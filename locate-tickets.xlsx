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65" documentId="8_{7F841BAC-E3D2-4E4B-A3CA-97B4D46101DD}" xr6:coauthVersionLast="47" xr6:coauthVersionMax="47" xr10:uidLastSave="{F0F95CEA-1C26-4D74-944D-6166FC0895B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<sst xmlns="http://schemas.openxmlformats.org/spreadsheetml/2006/main" count="29732" uniqueCount="1993">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</sst>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86</c:v>
                </c:pt>
                <c:pt idx="1">
                  <c:v>251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56</c:v>
                </c:pt>
                <c:pt idx="2">
                  <c:v>17</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87</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131</c:v>
                </c:pt>
                <c:pt idx="11">
                  <c:v>1</c:v>
                </c:pt>
                <c:pt idx="12">
                  <c:v>40</c:v>
                </c:pt>
                <c:pt idx="13">
                  <c:v>18</c:v>
                </c:pt>
                <c:pt idx="14">
                  <c:v>13</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12" tableId="2"/>
  </namedSheetView>
  <namedSheetView name="View2" id="{5C55A572-B441-4CF5-BE17-145477518499}">
    <nsvFilter filterId="{BB0ACC31-0A2E-46B2-8451-25A295C87F01}" ref="A1:R51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12" totalsRowShown="0" headerRowDxfId="25" dataDxfId="24" headerRowBorderDxfId="22" tableBorderDxfId="23">
  <autoFilter ref="A1:R512" xr:uid="{BB0ACC31-0A2E-46B2-8451-25A295C87F01}"/>
  <sortState xmlns:xlrd2="http://schemas.microsoft.com/office/spreadsheetml/2017/richdata2" ref="A2:R509">
    <sortCondition ref="O1:O50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5"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SUMPRODUCT((UPPER(Master!O2:O4408)="PENDING")*1)</f>
        <v>86</v>
      </c>
      <c r="R2" s="170" t="str" cm="1">
        <f t="array" ref="R2:R9">IFERROR(_xlfn._xlws.SORT(_xlfn.UNIQUE(_xlfn._xlws.FILTER(UPPER(Master!G2:G4408),Master!G2:G4408&lt;&gt;""))),"")</f>
        <v>BRADENTON</v>
      </c>
      <c r="S2" s="170" t="str" cm="1">
        <f t="array" ref="S2:S17">IFERROR(_xlfn._xlws.SORT(_xlfn.UNIQUE(_xlfn._xlws.FILTER(Master!H2:H4408,Master!H2:H4408&lt;&gt;""))),"")</f>
        <v>ALPHA OMEGA</v>
      </c>
      <c r="T2" s="170"/>
    </row>
    <row r="3" spans="1:20" ht="45" customHeight="1">
      <c r="A3" s="218">
        <f>COUNTA(Master!C2:C4408)</f>
        <v>337</v>
      </c>
      <c r="B3" s="218"/>
      <c r="C3" s="218"/>
      <c r="D3" s="221" cm="1">
        <f t="array" ref="D3">SUMPRODUCT((UPPER(Master!O2:O4408)="PENDING")*1)</f>
        <v>86</v>
      </c>
      <c r="E3" s="221"/>
      <c r="F3" s="221"/>
      <c r="G3" s="213" cm="1">
        <f t="array" ref="G3">SUMPRODUCT((UPPER(Master!O2:O4408)="CLEAR")*1)</f>
        <v>251</v>
      </c>
      <c r="H3" s="213"/>
      <c r="I3" s="213"/>
      <c r="J3" s="216" cm="1">
        <f t="array" ref="J3">SUMPRODUCT((UPPER(Master!O2:O4408)="EXPIRED")*1)</f>
        <v>0</v>
      </c>
      <c r="K3" s="216"/>
      <c r="L3" s="216"/>
      <c r="O3" s="170"/>
      <c r="P3" s="169" t="s">
        <v>10</v>
      </c>
      <c r="Q3" s="169" cm="1">
        <f t="array" ref="Q3">SUMPRODUCT((UPPER(Master!O2:O4408)="CLEAR")*1)</f>
        <v>251</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SUMPRODUCT((UPPER(Master!O2:O4408)="EXPIRED")*1)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SUMPRODUCT((UPPER(Master!G2:G4408)="BRADENTON")*1)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SUMPRODUCT((UPPER(Master!G2:G4408)="SARASOTA")*1)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IF(P14="","",SUMPRODUCT((UPPER(Master!H2:H4408)=UPPER(P14))*1))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IF(P15="","",SUMPRODUCT((UPPER(Master!H2:H4408)=UPPER(P15))*1))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IF(P16="","",SUMPRODUCT((UPPER(Master!H2:H4408)=UPPER(P16))*1))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IF(P17="","",SUMPRODUCT((UPPER(Master!H2:H4408)=UPPER(P17))*1))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IF(P18="","",SUMPRODUCT((UPPER(Master!H2:H4408)=UPPER(P18))*1))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IF(P19="","",SUMPRODUCT((UPPER(Master!H2:H4408)=UPPER(P19))*1))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IF(P20="","",SUMPRODUCT((UPPER(Master!H2:H4408)=UPPER(P20))*1))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IF(P21="","",SUMPRODUCT((UPPER(Master!H2:H4408)=UPPER(P21))*1))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IF(P22="","",SUMPRODUCT((UPPER(Master!H2:H4408)=UPPER(P22))*1))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IF(P23="","",SUMPRODUCT((UPPER(Master!H2:H4408)=UPPER(P23))*1))</f>
        <v>48</v>
      </c>
      <c r="R23" s="170"/>
      <c r="S23" s="170"/>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18</v>
      </c>
      <c r="D24" s="108" cm="1">
        <f t="array" ref="D24">IF(A24="","",SUMPRODUCT((UPPER(Master!G2:G4408)=A24)*(UPPER(Master!O2:O4408)="EXPIRED")))</f>
        <v>0</v>
      </c>
      <c r="E24" s="109">
        <f>IF(A24="","",B24+C24+D24)</f>
        <v>18</v>
      </c>
      <c r="G24" s="114" t="str">
        <f>IFERROR(INDEX(_xlfn.ANCHORARRAY(S2),1),"")</f>
        <v>ALPHA OMEGA</v>
      </c>
      <c r="H24" s="113" cm="1">
        <f t="array" ref="H24">IF(G24="","",SUMPRODUCT((UPPER(Master!H2:H4408)=UPPER(G24))*1))</f>
        <v>3</v>
      </c>
      <c r="O24" s="170"/>
      <c r="P24" s="169"/>
      <c r="Q24" s="169"/>
      <c r="R24" s="170"/>
      <c r="S24" s="170"/>
      <c r="T24" s="170"/>
    </row>
    <row r="25" spans="1:20" ht="15.75" customHeight="1">
      <c r="A25" s="110" t="str">
        <f>IFERROR(INDEX(_xlfn.ANCHORARRAY(R2),2),"")</f>
        <v>CLEARWATER</v>
      </c>
      <c r="B25" s="111" cm="1">
        <f t="array" ref="B25">IF(A25="","",SUMPRODUCT((UPPER(Master!G2:G4408)=A25)*(UPPER(Master!O2:O4408)="PENDING")))</f>
        <v>56</v>
      </c>
      <c r="C25" s="111" cm="1">
        <f t="array" ref="C25">IF(A25="","",SUMPRODUCT((UPPER(Master!G2:G4408)=A25)*(UPPER(Master!O2:O4408)="CLEAR")))</f>
        <v>87</v>
      </c>
      <c r="D25" s="111" cm="1">
        <f t="array" ref="D25">IF(A25="","",SUMPRODUCT((UPPER(Master!G2:G4408)=A25)*(UPPER(Master!O2:O4408)="EXPIRED")))</f>
        <v>0</v>
      </c>
      <c r="E25" s="112">
        <f>IF(A25="","",B25+C25+D25)</f>
        <v>143</v>
      </c>
      <c r="G25" s="110" t="str">
        <f>IFERROR(INDEX(_xlfn.ANCHORARRAY(S2),2),"")</f>
        <v>APT</v>
      </c>
      <c r="H25" s="112" cm="1">
        <f t="array" ref="H25">IF(G25="","",SUMPRODUCT((UPPER(Master!H2:H4408)=UPPER(G25))*1))</f>
        <v>10</v>
      </c>
      <c r="O25" s="170"/>
      <c r="P25" s="169"/>
      <c r="Q25" s="169"/>
      <c r="R25" s="170"/>
      <c r="S25" s="170"/>
      <c r="T25" s="170"/>
    </row>
    <row r="26" spans="1:20" ht="15.75" customHeight="1">
      <c r="A26" s="107" t="str">
        <f>IFERROR(INDEX(_xlfn.ANCHORARRAY(R2),3),"")</f>
        <v>FORT MYERS</v>
      </c>
      <c r="B26" s="108" cm="1">
        <f t="array" ref="B26">IF(A26="","",SUMPRODUCT((UPPER(Master!G2:G4408)=A26)*(UPPER(Master!O2:O4408)="PENDING")))</f>
        <v>17</v>
      </c>
      <c r="C26" s="108" cm="1">
        <f t="array" ref="C26">IF(A26="","",SUMPRODUCT((UPPER(Master!G2:G4408)=A26)*(UPPER(Master!O2:O4408)="CLEAR")))</f>
        <v>58</v>
      </c>
      <c r="D26" s="108" cm="1">
        <f t="array" ref="D26">IF(A26="","",SUMPRODUCT((UPPER(Master!G2:G4408)=A26)*(UPPER(Master!O2:O4408)="EXPIRED")))</f>
        <v>0</v>
      </c>
      <c r="E26" s="109">
        <f>IF(A26="","",B26+C26+D26)</f>
        <v>75</v>
      </c>
      <c r="G26" s="107" t="str">
        <f>IFERROR(INDEX(_xlfn.ANCHORARRAY(S2),3),"")</f>
        <v>BROTHERS</v>
      </c>
      <c r="H26" s="109" cm="1">
        <f t="array" ref="H26">IF(G26="","",SUMPRODUCT((UPPER(Master!H2:H4408)=UPPER(G26))*1))</f>
        <v>7</v>
      </c>
    </row>
    <row r="27" spans="1:20" ht="15.75" customHeight="1">
      <c r="A27" s="110" t="str">
        <f>IFERROR(INDEX(_xlfn.ANCHORARRAY(R2),4),"")</f>
        <v>LAKELAND</v>
      </c>
      <c r="B27" s="111" cm="1">
        <f t="array" ref="B27">IF(A27="","",SUMPRODUCT((UPPER(Master!G2:G4408)=A27)*(UPPER(Master!O2:O4408)="PENDING")))</f>
        <v>0</v>
      </c>
      <c r="C27" s="111" cm="1">
        <f t="array" ref="C27">IF(A27="","",SUMPRODUCT((UPPER(Master!G2:G4408)=A27)*(UPPER(Master!O2:O4408)="CLEAR")))</f>
        <v>2</v>
      </c>
      <c r="D27" s="111" cm="1">
        <f t="array" ref="D27">IF(A27="","",SUMPRODUCT((UPPER(Master!G2:G4408)=A27)*(UPPER(Master!O2:O4408)="EXPIRED")))</f>
        <v>0</v>
      </c>
      <c r="E27" s="112">
        <f>IF(A27="","",B27+C27+D27)</f>
        <v>2</v>
      </c>
      <c r="G27" s="110" t="str">
        <f>IFERROR(INDEX(_xlfn.ANCHORARRAY(S2),4),"")</f>
        <v>Gulf stream</v>
      </c>
      <c r="H27" s="112" cm="1">
        <f t="array" ref="H27">IF(G27="","",SUMPRODUCT((UPPER(Master!H2:H4408)=UPPER(G27))*1))</f>
        <v>2</v>
      </c>
    </row>
    <row r="28" spans="1:20" ht="15.75" customHeight="1">
      <c r="A28" s="107" t="str">
        <f>IFERROR(INDEX(_xlfn.ANCHORARRAY(R2),5),"")</f>
        <v>MIAMI</v>
      </c>
      <c r="B28" s="108" cm="1">
        <f t="array" ref="B28">IF(A28="","",SUMPRODUCT((UPPER(Master!G2:G4408)=A28)*(UPPER(Master!O2:O4408)="PENDING")))</f>
        <v>0</v>
      </c>
      <c r="C28" s="108" cm="1">
        <f t="array" ref="C28">IF(A28="","",SUMPRODUCT((UPPER(Master!G2:G4408)=A28)*(UPPER(Master!O2:O4408)="CLEAR")))</f>
        <v>63</v>
      </c>
      <c r="D28" s="108" cm="1">
        <f t="array" ref="D28">IF(A28="","",SUMPRODUCT((UPPER(Master!G2:G4408)=A28)*(UPPER(Master!O2:O4408)="EXPIRED")))</f>
        <v>0</v>
      </c>
      <c r="E28" s="109">
        <f>IF(A28="","",B28+C28+D28)</f>
        <v>63</v>
      </c>
      <c r="G28" s="107" t="str">
        <f>IFERROR(INDEX(_xlfn.ANCHORARRAY(S2),5),"")</f>
        <v>HAS</v>
      </c>
      <c r="H28" s="109" cm="1">
        <f t="array" ref="H28">IF(G28="","",SUMPRODUCT((UPPER(Master!H2:H4408)=UPPER(G28))*1))</f>
        <v>7</v>
      </c>
    </row>
    <row r="29" spans="1:20" ht="15.75" customHeight="1">
      <c r="A29" s="110" t="str">
        <f>IFERROR(INDEX(_xlfn.ANCHORARRAY(R2),6),"")</f>
        <v>SARASOTA</v>
      </c>
      <c r="B29" s="111" cm="1">
        <f t="array" ref="B29">IF(A29="","",SUMPRODUCT((UPPER(Master!G2:G4408)=A29)*(UPPER(Master!O2:O4408)="PENDING")))</f>
        <v>0</v>
      </c>
      <c r="C29" s="111" cm="1">
        <f t="array" ref="C29">IF(A29="","",SUMPRODUCT((UPPER(Master!G2:G4408)=A29)*(UPPER(Master!O2:O4408)="CLEAR")))</f>
        <v>22</v>
      </c>
      <c r="D29" s="111" cm="1">
        <f t="array" ref="D29">IF(A29="","",SUMPRODUCT((UPPER(Master!G2:G4408)=A29)*(UPPER(Master!O2:O4408)="EXPIRED")))</f>
        <v>0</v>
      </c>
      <c r="E29" s="112">
        <f>IF(A29="","",B29+C29+D29)</f>
        <v>22</v>
      </c>
      <c r="G29" s="110" t="str">
        <f>IFERROR(INDEX(_xlfn.ANCHORARRAY(S2),6),"")</f>
        <v>HD Cable</v>
      </c>
      <c r="H29" s="112" cm="1">
        <f t="array" ref="H29">IF(G29="","",SUMPRODUCT((UPPER(Master!H2:H4408)=UPPER(G29))*1))</f>
        <v>2</v>
      </c>
    </row>
    <row r="30" spans="1:20" ht="15.75" customHeight="1">
      <c r="A30" s="107" t="str">
        <f>IFERROR(INDEX(_xlfn.ANCHORARRAY(R2),7),"")</f>
        <v>SEMINOLE</v>
      </c>
      <c r="B30" s="108" cm="1">
        <f t="array" ref="B30">IF(A30="","",SUMPRODUCT((UPPER(Master!G2:G4408)=A30)*(UPPER(Master!O2:O4408)="PENDING")))</f>
        <v>13</v>
      </c>
      <c r="C30" s="108" cm="1">
        <f t="array" ref="C30">IF(A30="","",SUMPRODUCT((UPPER(Master!G2:G4408)=A30)*(UPPER(Master!O2:O4408)="CLEAR")))</f>
        <v>0</v>
      </c>
      <c r="D30" s="108" cm="1">
        <f t="array" ref="D30">IF(A30="","",SUMPRODUCT((UPPER(Master!G2:G4408)=A30)*(UPPER(Master!O2:O4408)="EXPIRED")))</f>
        <v>0</v>
      </c>
      <c r="E30" s="109">
        <f>IF(A30="","",B30+C30+D30)</f>
        <v>13</v>
      </c>
      <c r="G30" s="107" t="str">
        <f>IFERROR(INDEX(_xlfn.ANCHORARRAY(S2),7),"")</f>
        <v>HNC</v>
      </c>
      <c r="H30" s="109" cm="1">
        <f t="array" ref="H30">IF(G30="","",SUMPRODUCT((UPPER(Master!H2:H4408)=UPPER(G30))*1))</f>
        <v>26</v>
      </c>
    </row>
    <row r="31" spans="1:20" ht="15.75" customHeight="1">
      <c r="A31" s="110" t="str">
        <f>IFERROR(INDEX(_xlfn.ANCHORARRAY(R2),8),"")</f>
        <v>ST. PETERSBURG</v>
      </c>
      <c r="B31" s="111" cm="1">
        <f t="array" ref="B31">IF(A31="","",SUMPRODUCT((UPPER(Master!G2:G4408)=A31)*(UPPER(Master!O2:O4408)="PENDING")))</f>
        <v>0</v>
      </c>
      <c r="C31" s="111" cm="1">
        <f t="array" ref="C31">IF(A31="","",SUMPRODUCT((UPPER(Master!G2:G4408)=A31)*(UPPER(Master!O2:O4408)="CLEAR")))</f>
        <v>1</v>
      </c>
      <c r="D31" s="111" cm="1">
        <f t="array" ref="D31">IF(A31="","",SUMPRODUCT((UPPER(Master!G2:G4408)=A31)*(UPPER(Master!O2:O4408)="EXPIRED")))</f>
        <v>0</v>
      </c>
      <c r="E31" s="112">
        <f>IF(A31="","",B31+C31+D31)</f>
        <v>1</v>
      </c>
      <c r="G31" s="110" t="str">
        <f>IFERROR(INDEX(_xlfn.ANCHORARRAY(S2),8),"")</f>
        <v>J. GARCIA</v>
      </c>
      <c r="H31" s="112" cm="1">
        <f t="array" ref="H31">IF(G31="","",SUMPRODUCT((UPPER(Master!H2:H4408)=UPPER(G31))*1))</f>
        <v>7</v>
      </c>
    </row>
    <row r="32" spans="1:20" ht="15.75" customHeight="1">
      <c r="A32" s="107" t="str">
        <f>IFERROR(INDEX(_xlfn.ANCHORARRAY(R2),9),"")</f>
        <v/>
      </c>
      <c r="B32" s="108" t="str" cm="1">
        <f t="array" ref="B32">IF(A32="","",SUMPRODUCT((UPPER(Master!G2:G4408)=A32)*(UPPER(Master!O2:O4408)="PENDING")))</f>
        <v/>
      </c>
      <c r="C32" s="108" t="str" cm="1">
        <f t="array" ref="C32">IF(A32="","",SUMPRODUCT((UPPER(Master!G2:G4408)=A32)*(UPPER(Master!O2:O4408)="CLEAR")))</f>
        <v/>
      </c>
      <c r="D32" s="108" t="str" cm="1">
        <f t="array" ref="D32">IF(A32="","",SUMPRODUCT((UPPER(Master!G2:G4408)=A32)*(UPPER(Master!O2:O4408)="EXPIRED")))</f>
        <v/>
      </c>
      <c r="E32" s="109" t="str">
        <f>IF(A32="","",B32+C32+D32)</f>
        <v/>
      </c>
      <c r="G32" s="107" t="str">
        <f>IFERROR(INDEX(_xlfn.ANCHORARRAY(S2),9),"")</f>
        <v>LEGANT</v>
      </c>
      <c r="H32" s="109" cm="1">
        <f t="array" ref="H32">IF(G32="","",SUMPRODUCT((UPPER(Master!H2:H4408)=UPPER(G32))*1))</f>
        <v>1</v>
      </c>
    </row>
    <row r="33" spans="1:12" ht="15.75" customHeight="1">
      <c r="A33" s="110" t="str">
        <f>IFERROR(INDEX(_xlfn.ANCHORARRAY(R2),10),"")</f>
        <v/>
      </c>
      <c r="B33" s="111" t="str" cm="1">
        <f t="array" ref="B33">IF(A33="","",SUMPRODUCT((UPPER(Master!G2:G4408)=A33)*(UPPER(Master!O2:O4408)="PENDING")))</f>
        <v/>
      </c>
      <c r="C33" s="111" t="str" cm="1">
        <f t="array" ref="C33">IF(A33="","",SUMPRODUCT((UPPER(Master!G2:G4408)=A33)*(UPPER(Master!O2:O4408)="CLEAR")))</f>
        <v/>
      </c>
      <c r="D33" s="111" t="str" cm="1">
        <f t="array" ref="D33">IF(A33="","",SUMPRODUCT((UPPER(Master!G2:G4408)=A33)*(UPPER(Master!O2:O4408)="EXPIRED")))</f>
        <v/>
      </c>
      <c r="E33" s="112" t="str">
        <f>IF(A33="","",B33+C33+D33)</f>
        <v/>
      </c>
      <c r="G33" s="110" t="str">
        <f>IFERROR(INDEX(_xlfn.ANCHORARRAY(S2),10),"")</f>
        <v>LOPEZ</v>
      </c>
      <c r="H33" s="112" cm="1">
        <f t="array" ref="H33">IF(G33="","",SUMPRODUCT((UPPER(Master!H2:H4408)=UPPER(G33))*1))</f>
        <v>48</v>
      </c>
    </row>
    <row r="34" spans="1:12" ht="15.75" customHeight="1">
      <c r="A34" s="107" t="str">
        <f>IFERROR(INDEX(_xlfn.ANCHORARRAY(R2),11),"")</f>
        <v/>
      </c>
      <c r="B34" s="108" t="str" cm="1">
        <f t="array" ref="B34">IF(A34="","",SUMPRODUCT((UPPER(Master!G2:G4408)=A34)*(UPPER(Master!O2:O4408)="PENDING")))</f>
        <v/>
      </c>
      <c r="C34" s="108" t="str" cm="1">
        <f t="array" ref="C34">IF(A34="","",SUMPRODUCT((UPPER(Master!G2:G4408)=A34)*(UPPER(Master!O2:O4408)="CLEAR")))</f>
        <v/>
      </c>
      <c r="D34" s="108" t="str" cm="1">
        <f t="array" ref="D34">IF(A34="","",SUMPRODUCT((UPPER(Master!G2:G4408)=A34)*(UPPER(Master!O2:O4408)="EXPIRED")))</f>
        <v/>
      </c>
      <c r="E34" s="109" t="str">
        <f>IF(A34="","",B34+C34+D34)</f>
        <v/>
      </c>
      <c r="G34" s="107" t="str">
        <f>IFERROR(INDEX(_xlfn.ANCHORARRAY(S2),11),"")</f>
        <v>LSCG</v>
      </c>
      <c r="H34" s="109" cm="1">
        <f t="array" ref="H34">IF(G34="","",SUMPRODUCT((UPPER(Master!H2:H4408)=UPPER(G34))*1))</f>
        <v>131</v>
      </c>
    </row>
    <row r="35" spans="1:12" ht="15.75" customHeight="1">
      <c r="A35" s="110" t="str">
        <f>IFERROR(INDEX(_xlfn.ANCHORARRAY(R2),12),"")</f>
        <v/>
      </c>
      <c r="B35" s="111" t="str" cm="1">
        <f t="array" ref="B35">IF(A35="","",SUMPRODUCT((UPPER(Master!G2:G4408)=A35)*(UPPER(Master!O2:O4408)="PENDING")))</f>
        <v/>
      </c>
      <c r="C35" s="111" t="str" cm="1">
        <f t="array" ref="C35">IF(A35="","",SUMPRODUCT((UPPER(Master!G2:G4408)=A35)*(UPPER(Master!O2:O4408)="CLEAR")))</f>
        <v/>
      </c>
      <c r="D35" s="111" t="str" cm="1">
        <f t="array" ref="D35">IF(A35="","",SUMPRODUCT((UPPER(Master!G2:G4408)=A35)*(UPPER(Master!O2:O4408)="EXPIRED")))</f>
        <v/>
      </c>
      <c r="E35" s="112" t="str">
        <f>IF(A35="","",B35+C35+D35)</f>
        <v/>
      </c>
      <c r="G35" s="110" t="str">
        <f>IFERROR(INDEX(_xlfn.ANCHORARRAY(S2),12),"")</f>
        <v>MID FL</v>
      </c>
      <c r="H35" s="112" cm="1">
        <f t="array" ref="H35">IF(G35="","",SUMPRODUCT((UPPER(Master!H2:H4408)=UPPER(G35))*1))</f>
        <v>1</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NORTH PATH</v>
      </c>
      <c r="H36" s="113" cm="1">
        <f t="array" ref="H36">IF(G36="","",SUMPRODUCT((UPPER(Master!H2:H4408)=UPPER(G36))*1))</f>
        <v>40</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PATRIOT</v>
      </c>
      <c r="H37" s="112" cm="1">
        <f t="array" ref="H37">IF(G37="","",SUMPRODUCT((UPPER(Master!H2:H4408)=UPPER(G37))*1))</f>
        <v>18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Power Connect</v>
      </c>
      <c r="H38" s="113" cm="1">
        <f t="array" ref="H38">IF(G38="","",SUMPRODUCT((UPPER(Master!H2:H4408)=UPPER(G38))*1))</f>
        <v>13</v>
      </c>
      <c r="I38" s="95"/>
      <c r="J38" s="95"/>
      <c r="K38" s="95"/>
      <c r="L38" s="95"/>
    </row>
    <row r="39" spans="1:12" ht="15.75" customHeight="1">
      <c r="A39" s="116" t="s">
        <v>28</v>
      </c>
      <c r="B39" s="91">
        <f>SUMIF(A24:A38,"&lt;&gt;",B24:B38)</f>
        <v>86</v>
      </c>
      <c r="C39" s="91">
        <f>SUMIF(A24:A38,"&lt;&gt;",C24:C38)</f>
        <v>251</v>
      </c>
      <c r="D39" s="91">
        <f>SUMIF(A24:A38,"&lt;&gt;",D24:D38)</f>
        <v>0</v>
      </c>
      <c r="E39" s="92">
        <f>SUMIF(A24:A38,"&lt;&gt;",E24:E38)</f>
        <v>337</v>
      </c>
      <c r="G39" s="110" t="str">
        <f>IFERROR(INDEX(_xlfn.ANCHORARRAY(S2),16),"")</f>
        <v>R&amp;F</v>
      </c>
      <c r="H39" s="112" cm="1">
        <f t="array" ref="H39">IF(G39="","",SUMPRODUCT((UPPER(Master!H2:H4408)=UPPER(G39))*1))</f>
        <v>22</v>
      </c>
    </row>
    <row r="40" spans="1:12">
      <c r="G40" s="114" t="str">
        <f>IFERROR(INDEX(_xlfn.ANCHORARRAY(S2),17),"")</f>
        <v/>
      </c>
      <c r="H40" s="113" t="str" cm="1">
        <f t="array" ref="H40">IF(G40="","",SUMPRODUCT((UPPER(Master!H2:H4408)=UPPER(G40))*1))</f>
        <v/>
      </c>
    </row>
    <row r="41" spans="1:12" ht="17.25" customHeight="1">
      <c r="G41" s="188" t="s">
        <v>28</v>
      </c>
      <c r="H41" s="189">
        <f>SUM(H24:H40)</f>
        <v>338</v>
      </c>
    </row>
    <row r="42" spans="1:12" hidden="1">
      <c r="A42" t="s">
        <v>1</v>
      </c>
      <c r="B42" t="s">
        <v>2</v>
      </c>
      <c r="D42" t="s">
        <v>17</v>
      </c>
      <c r="E42" t="s">
        <v>2</v>
      </c>
      <c r="G42" t="s">
        <v>23</v>
      </c>
      <c r="H42" t="s">
        <v>2</v>
      </c>
    </row>
    <row r="43" spans="1:12" hidden="1">
      <c r="A43" t="s">
        <v>9</v>
      </c>
      <c r="B43">
        <f>D3</f>
        <v>86</v>
      </c>
      <c r="D43" t="s">
        <v>16</v>
      </c>
      <c r="E43">
        <f>E27</f>
        <v>2</v>
      </c>
      <c r="G43" t="s">
        <v>29</v>
      </c>
      <c r="H43">
        <f>H27</f>
        <v>2</v>
      </c>
    </row>
    <row r="44" spans="1:12" hidden="1">
      <c r="A44" t="s">
        <v>10</v>
      </c>
      <c r="B44">
        <f>G3</f>
        <v>251</v>
      </c>
      <c r="D44" t="s">
        <v>18</v>
      </c>
      <c r="E44">
        <f>E28</f>
        <v>63</v>
      </c>
      <c r="G44" t="s">
        <v>22</v>
      </c>
      <c r="H44">
        <f>H28</f>
        <v>7</v>
      </c>
    </row>
    <row r="45" spans="1:12" hidden="1">
      <c r="A45" t="s">
        <v>15</v>
      </c>
      <c r="B45">
        <f>J3</f>
        <v>0</v>
      </c>
      <c r="D45" t="s">
        <v>19</v>
      </c>
      <c r="E45">
        <f>E29</f>
        <v>22</v>
      </c>
      <c r="G45" t="s">
        <v>30</v>
      </c>
      <c r="H45">
        <f>H29</f>
        <v>2</v>
      </c>
    </row>
    <row r="46" spans="1:12" hidden="1">
      <c r="D46" t="s">
        <v>20</v>
      </c>
      <c r="E46">
        <f>E30</f>
        <v>13</v>
      </c>
    </row>
    <row r="47" spans="1:12" hidden="1">
      <c r="A47" t="s">
        <v>31</v>
      </c>
      <c r="D47" t="s">
        <v>21</v>
      </c>
      <c r="E47">
        <f>E31</f>
        <v>1</v>
      </c>
    </row>
    <row r="48" spans="1:12" hidden="1">
      <c r="A48">
        <f>COUNTA(Master!C2:C4408)</f>
        <v>337</v>
      </c>
      <c r="B48">
        <f>B54+B55</f>
        <v>925</v>
      </c>
      <c r="C48">
        <f>B55</f>
        <v>753</v>
      </c>
      <c r="D48">
        <f>B56</f>
        <v>0</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172</v>
      </c>
    </row>
    <row r="55" spans="1:2" hidden="1">
      <c r="A55" t="s">
        <v>10</v>
      </c>
      <c r="B55">
        <f>COUNTIF(Master!O2:O4408,"Clear")+COUNTIF(Master!O2:O4408,"clear")+COUNTIF(Master!O2:O4408,"CLEAR")</f>
        <v>753</v>
      </c>
    </row>
    <row r="56" spans="1:2" hidden="1">
      <c r="A56" t="s">
        <v>15</v>
      </c>
      <c r="B56">
        <f>COUNTIF(Master!O2:O4408,"Expired")+COUNTIF(Master!O2:O4408,"expired")+COUNTIF(Master!O2:O4408,"EXPIRED")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18</v>
      </c>
    </row>
    <row r="65" spans="1:2" hidden="1">
      <c r="A65" t="s">
        <v>18</v>
      </c>
      <c r="B65">
        <f>COUNTIF(Master!G2:G4408,"ST. PETERSBURG")</f>
        <v>1</v>
      </c>
    </row>
    <row r="66" spans="1:2" hidden="1">
      <c r="A66" t="s">
        <v>19</v>
      </c>
      <c r="B66">
        <f>COUNTIF(Master!G2:G4408,"PUNTA GORDA")</f>
        <v>0</v>
      </c>
    </row>
    <row r="67" spans="1:2" hidden="1">
      <c r="A67" t="s">
        <v>34</v>
      </c>
      <c r="B67">
        <f>COUNTIF(Master!G2:G4408,"Sarasota")</f>
        <v>22</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0</v>
      </c>
    </row>
    <row r="78" spans="1:2" hidden="1">
      <c r="A78" t="s">
        <v>38</v>
      </c>
      <c r="B78">
        <f>COUNTIF(Master!H2:H4408,"LIGHTSPEED")</f>
        <v>0</v>
      </c>
    </row>
    <row r="79" spans="1:2" hidden="1">
      <c r="A79" t="s">
        <v>30</v>
      </c>
      <c r="B79">
        <f>COUNTIF(Master!H2:H4408,"LSCG")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46"/>
  <sheetViews>
    <sheetView tabSelected="1" zoomScale="90" zoomScaleNormal="90" workbookViewId="0">
      <pane xSplit="1" topLeftCell="B313" activePane="topRight" state="frozen"/>
      <selection pane="topRight" activeCell="F339" sqref="F339"/>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customHeight="1">
      <c r="A78" s="173" t="s">
        <v>105</v>
      </c>
      <c r="B78" s="183"/>
      <c r="D78" s="168">
        <v>195603358</v>
      </c>
      <c r="F78" s="29" t="s">
        <v>97</v>
      </c>
      <c r="G78" s="3" t="s">
        <v>64</v>
      </c>
      <c r="H78" s="3" t="s">
        <v>30</v>
      </c>
      <c r="I78" s="55">
        <v>46217</v>
      </c>
      <c r="J78" s="55">
        <v>46220</v>
      </c>
      <c r="K78" s="55">
        <v>46248</v>
      </c>
      <c r="R78" s="177"/>
    </row>
    <row r="79" spans="1:18" ht="15" customHeight="1">
      <c r="A79" s="173" t="s">
        <v>107</v>
      </c>
      <c r="B79" s="173" t="s">
        <v>108</v>
      </c>
      <c r="C79" s="196">
        <v>159603538</v>
      </c>
      <c r="D79" s="168">
        <v>190601731</v>
      </c>
      <c r="F79" s="29" t="s">
        <v>97</v>
      </c>
      <c r="G79" s="3" t="s">
        <v>64</v>
      </c>
      <c r="H79" s="3" t="s">
        <v>30</v>
      </c>
      <c r="I79" s="55">
        <v>46181</v>
      </c>
      <c r="J79" s="55">
        <v>46184</v>
      </c>
      <c r="K79" s="55">
        <v>46211</v>
      </c>
      <c r="O79" s="3" t="s">
        <v>10</v>
      </c>
      <c r="P79" s="55">
        <v>46209</v>
      </c>
      <c r="R79" s="177"/>
    </row>
    <row r="80" spans="1:18" ht="15" customHeight="1">
      <c r="A80" s="173" t="s">
        <v>107</v>
      </c>
      <c r="B80" s="173" t="s">
        <v>108</v>
      </c>
      <c r="C80" s="196">
        <v>159603745</v>
      </c>
      <c r="D80" s="168">
        <v>190601745</v>
      </c>
      <c r="F80" s="29" t="s">
        <v>97</v>
      </c>
      <c r="G80" s="3" t="s">
        <v>64</v>
      </c>
      <c r="H80" s="3" t="s">
        <v>30</v>
      </c>
      <c r="I80" s="55">
        <v>46181</v>
      </c>
      <c r="J80" s="55">
        <v>46184</v>
      </c>
      <c r="K80" s="55">
        <v>46211</v>
      </c>
      <c r="O80" s="3" t="s">
        <v>10</v>
      </c>
      <c r="P80" s="55">
        <v>46209</v>
      </c>
      <c r="R80" s="177"/>
    </row>
    <row r="81" spans="1:18" ht="15" customHeight="1">
      <c r="A81" s="173" t="s">
        <v>107</v>
      </c>
      <c r="B81" s="173" t="s">
        <v>108</v>
      </c>
      <c r="C81" s="196">
        <v>159603777</v>
      </c>
      <c r="D81" s="168">
        <v>190601752</v>
      </c>
      <c r="F81" s="29" t="s">
        <v>97</v>
      </c>
      <c r="G81" s="3" t="s">
        <v>64</v>
      </c>
      <c r="H81" s="3" t="s">
        <v>30</v>
      </c>
      <c r="I81" s="55">
        <v>46181</v>
      </c>
      <c r="J81" s="55">
        <v>46184</v>
      </c>
      <c r="K81" s="55">
        <v>46211</v>
      </c>
      <c r="O81" s="3" t="s">
        <v>10</v>
      </c>
      <c r="P81" s="55">
        <v>46209</v>
      </c>
      <c r="R81" s="177"/>
    </row>
    <row r="82" spans="1:18" ht="15" customHeight="1">
      <c r="A82" s="183" t="s">
        <v>109</v>
      </c>
      <c r="B82" s="183" t="s">
        <v>110</v>
      </c>
      <c r="C82" s="196">
        <v>154607403</v>
      </c>
      <c r="D82" s="168"/>
      <c r="F82" s="29" t="s">
        <v>111</v>
      </c>
      <c r="G82" s="3" t="s">
        <v>64</v>
      </c>
      <c r="H82" s="3" t="s">
        <v>112</v>
      </c>
      <c r="I82" s="55">
        <v>46176</v>
      </c>
      <c r="J82" s="55">
        <v>46181</v>
      </c>
      <c r="K82" s="55">
        <v>46206</v>
      </c>
      <c r="O82" s="3" t="s">
        <v>10</v>
      </c>
      <c r="P82" s="55">
        <v>46190</v>
      </c>
      <c r="R82" s="177"/>
    </row>
    <row r="83" spans="1:18" ht="15" customHeight="1">
      <c r="A83" s="183" t="s">
        <v>109</v>
      </c>
      <c r="B83" s="183" t="s">
        <v>110</v>
      </c>
      <c r="C83" s="196">
        <v>154607387</v>
      </c>
      <c r="D83" s="168"/>
      <c r="F83" s="29" t="s">
        <v>111</v>
      </c>
      <c r="G83" s="3" t="s">
        <v>64</v>
      </c>
      <c r="H83" s="3" t="s">
        <v>112</v>
      </c>
      <c r="I83" s="55">
        <v>46176</v>
      </c>
      <c r="J83" s="55">
        <v>46181</v>
      </c>
      <c r="K83" s="55">
        <v>46206</v>
      </c>
      <c r="O83" s="3" t="s">
        <v>10</v>
      </c>
      <c r="P83" s="55">
        <v>46190</v>
      </c>
      <c r="R83" s="177"/>
    </row>
    <row r="84" spans="1:18" ht="15" customHeight="1">
      <c r="A84" s="183" t="s">
        <v>74</v>
      </c>
      <c r="B84" s="183" t="s">
        <v>75</v>
      </c>
      <c r="C84" s="196">
        <v>160608208</v>
      </c>
      <c r="D84" s="168"/>
      <c r="F84" s="29" t="s">
        <v>76</v>
      </c>
      <c r="G84" s="3" t="s">
        <v>64</v>
      </c>
      <c r="H84" s="45" t="s">
        <v>77</v>
      </c>
      <c r="I84" s="55">
        <v>46182</v>
      </c>
      <c r="J84" s="55">
        <v>46185</v>
      </c>
      <c r="K84" s="55">
        <v>46212</v>
      </c>
      <c r="O84" s="3" t="s">
        <v>10</v>
      </c>
      <c r="P84" s="55">
        <v>46190</v>
      </c>
      <c r="R84" s="177"/>
    </row>
    <row r="85" spans="1:18" ht="15" customHeight="1">
      <c r="A85" s="173" t="s">
        <v>78</v>
      </c>
      <c r="B85" s="183" t="s">
        <v>79</v>
      </c>
      <c r="C85" s="196">
        <v>160606651</v>
      </c>
      <c r="D85" s="168"/>
      <c r="F85" s="29" t="s">
        <v>80</v>
      </c>
      <c r="G85" s="3" t="s">
        <v>64</v>
      </c>
      <c r="H85" s="3" t="s">
        <v>81</v>
      </c>
      <c r="I85" s="55">
        <v>46182</v>
      </c>
      <c r="J85" s="55">
        <v>46185</v>
      </c>
      <c r="K85" s="55">
        <v>46212</v>
      </c>
      <c r="O85" s="3" t="s">
        <v>10</v>
      </c>
      <c r="P85" s="55">
        <v>46203</v>
      </c>
      <c r="R85" s="177"/>
    </row>
    <row r="86" spans="1:18" ht="15" customHeight="1">
      <c r="A86" s="173" t="s">
        <v>78</v>
      </c>
      <c r="B86" s="183" t="s">
        <v>79</v>
      </c>
      <c r="C86" s="196">
        <v>160606724</v>
      </c>
      <c r="D86" s="168"/>
      <c r="F86" s="29" t="s">
        <v>80</v>
      </c>
      <c r="G86" s="3" t="s">
        <v>64</v>
      </c>
      <c r="H86" s="3" t="s">
        <v>81</v>
      </c>
      <c r="I86" s="55">
        <v>46182</v>
      </c>
      <c r="J86" s="55">
        <v>46185</v>
      </c>
      <c r="K86" s="55">
        <v>46212</v>
      </c>
      <c r="O86" s="3" t="s">
        <v>10</v>
      </c>
      <c r="P86" s="55">
        <v>46203</v>
      </c>
      <c r="R86" s="177"/>
    </row>
    <row r="87" spans="1:18" ht="15" customHeight="1">
      <c r="A87" s="173" t="s">
        <v>78</v>
      </c>
      <c r="B87" s="183" t="s">
        <v>79</v>
      </c>
      <c r="C87" s="196">
        <v>160606696</v>
      </c>
      <c r="D87" s="168"/>
      <c r="F87" s="29" t="s">
        <v>80</v>
      </c>
      <c r="G87" s="3" t="s">
        <v>64</v>
      </c>
      <c r="H87" s="3" t="s">
        <v>81</v>
      </c>
      <c r="I87" s="55">
        <v>46182</v>
      </c>
      <c r="J87" s="55">
        <v>46185</v>
      </c>
      <c r="K87" s="55">
        <v>46212</v>
      </c>
      <c r="O87" s="3" t="s">
        <v>10</v>
      </c>
      <c r="P87" s="55">
        <v>46203</v>
      </c>
      <c r="R87" s="177"/>
    </row>
    <row r="88" spans="1:18" ht="15" customHeight="1">
      <c r="A88" s="173" t="s">
        <v>113</v>
      </c>
      <c r="B88" s="183" t="s">
        <v>114</v>
      </c>
      <c r="C88" s="196">
        <v>161606497</v>
      </c>
      <c r="D88" s="168"/>
      <c r="F88" s="29" t="s">
        <v>115</v>
      </c>
      <c r="G88" s="3" t="s">
        <v>116</v>
      </c>
      <c r="H88" s="3" t="s">
        <v>117</v>
      </c>
      <c r="I88" s="55">
        <v>46183</v>
      </c>
      <c r="J88" s="55">
        <v>46186</v>
      </c>
      <c r="K88" s="55">
        <v>46213</v>
      </c>
      <c r="O88" s="3" t="s">
        <v>10</v>
      </c>
      <c r="R88" s="177"/>
    </row>
    <row r="89" spans="1:18" ht="15" customHeight="1">
      <c r="A89" s="173" t="s">
        <v>118</v>
      </c>
      <c r="B89" s="183" t="s">
        <v>119</v>
      </c>
      <c r="C89" s="196">
        <v>161609221</v>
      </c>
      <c r="D89" s="168"/>
      <c r="F89" s="29" t="s">
        <v>120</v>
      </c>
      <c r="G89" s="3" t="s">
        <v>64</v>
      </c>
      <c r="H89" s="3" t="s">
        <v>121</v>
      </c>
      <c r="I89" s="55">
        <v>46183</v>
      </c>
      <c r="J89" s="55">
        <v>46186</v>
      </c>
      <c r="K89" s="55">
        <v>46213</v>
      </c>
      <c r="O89" s="3" t="s">
        <v>10</v>
      </c>
      <c r="P89" s="55">
        <v>46195</v>
      </c>
      <c r="R89" s="177"/>
    </row>
    <row r="90" spans="1:18" ht="15" customHeight="1">
      <c r="A90" s="173" t="s">
        <v>122</v>
      </c>
      <c r="B90" s="183" t="s">
        <v>123</v>
      </c>
      <c r="C90" s="196">
        <v>161609332</v>
      </c>
      <c r="D90" s="168"/>
      <c r="F90" s="29" t="s">
        <v>124</v>
      </c>
      <c r="G90" s="3" t="s">
        <v>64</v>
      </c>
      <c r="H90" s="3" t="s">
        <v>125</v>
      </c>
      <c r="I90" s="55">
        <v>46183</v>
      </c>
      <c r="J90" s="55">
        <v>46186</v>
      </c>
      <c r="K90" s="55">
        <v>46213</v>
      </c>
      <c r="O90" s="3" t="s">
        <v>10</v>
      </c>
      <c r="P90" s="55">
        <v>46205</v>
      </c>
      <c r="R90" s="177"/>
    </row>
    <row r="91" spans="1:18" ht="15" customHeight="1">
      <c r="A91" s="173" t="s">
        <v>122</v>
      </c>
      <c r="B91" s="183" t="s">
        <v>123</v>
      </c>
      <c r="C91" s="196">
        <v>161609368</v>
      </c>
      <c r="D91" s="168"/>
      <c r="F91" s="29" t="s">
        <v>124</v>
      </c>
      <c r="G91" s="3" t="s">
        <v>64</v>
      </c>
      <c r="H91" s="3" t="s">
        <v>125</v>
      </c>
      <c r="I91" s="55">
        <v>46183</v>
      </c>
      <c r="J91" s="55">
        <v>46186</v>
      </c>
      <c r="K91" s="55">
        <v>46213</v>
      </c>
      <c r="O91" s="3" t="s">
        <v>10</v>
      </c>
      <c r="P91" s="55">
        <v>46200</v>
      </c>
      <c r="R91" s="177"/>
    </row>
    <row r="92" spans="1:18" ht="15" customHeight="1">
      <c r="A92" s="173" t="s">
        <v>122</v>
      </c>
      <c r="B92" s="183" t="s">
        <v>123</v>
      </c>
      <c r="C92" s="196">
        <v>161609383</v>
      </c>
      <c r="D92" s="168"/>
      <c r="F92" s="29" t="s">
        <v>124</v>
      </c>
      <c r="G92" s="3" t="s">
        <v>64</v>
      </c>
      <c r="H92" s="3" t="s">
        <v>125</v>
      </c>
      <c r="I92" s="55">
        <v>46183</v>
      </c>
      <c r="J92" s="55">
        <v>46186</v>
      </c>
      <c r="K92" s="55">
        <v>46213</v>
      </c>
      <c r="O92" s="3" t="s">
        <v>10</v>
      </c>
      <c r="P92" s="55">
        <v>46200</v>
      </c>
      <c r="R92" s="177"/>
    </row>
    <row r="93" spans="1:18" ht="15" customHeight="1">
      <c r="A93" s="173" t="s">
        <v>122</v>
      </c>
      <c r="B93" s="183" t="s">
        <v>123</v>
      </c>
      <c r="C93" s="196">
        <v>161609391</v>
      </c>
      <c r="D93" s="168"/>
      <c r="F93" s="29" t="s">
        <v>124</v>
      </c>
      <c r="G93" s="3" t="s">
        <v>64</v>
      </c>
      <c r="H93" s="3" t="s">
        <v>125</v>
      </c>
      <c r="I93" s="55">
        <v>46183</v>
      </c>
      <c r="J93" s="55">
        <v>46186</v>
      </c>
      <c r="K93" s="55">
        <v>46213</v>
      </c>
      <c r="O93" s="3" t="s">
        <v>10</v>
      </c>
      <c r="P93" s="55">
        <v>46200</v>
      </c>
      <c r="R93" s="177"/>
    </row>
    <row r="94" spans="1:18" ht="15" customHeight="1">
      <c r="A94" s="173" t="s">
        <v>122</v>
      </c>
      <c r="B94" s="183" t="s">
        <v>123</v>
      </c>
      <c r="C94" s="196">
        <v>161609417</v>
      </c>
      <c r="D94" s="168"/>
      <c r="F94" s="29" t="s">
        <v>124</v>
      </c>
      <c r="G94" s="3" t="s">
        <v>64</v>
      </c>
      <c r="H94" s="3" t="s">
        <v>125</v>
      </c>
      <c r="I94" s="55">
        <v>46183</v>
      </c>
      <c r="J94" s="55">
        <v>46186</v>
      </c>
      <c r="K94" s="55">
        <v>46213</v>
      </c>
      <c r="O94" s="3" t="s">
        <v>10</v>
      </c>
      <c r="P94" s="55">
        <v>46200</v>
      </c>
      <c r="R94" s="177"/>
    </row>
    <row r="95" spans="1:18" ht="15" customHeight="1">
      <c r="A95" s="173" t="s">
        <v>122</v>
      </c>
      <c r="B95" s="183" t="s">
        <v>123</v>
      </c>
      <c r="C95" s="196">
        <v>161609426</v>
      </c>
      <c r="D95" s="168"/>
      <c r="F95" s="29" t="s">
        <v>124</v>
      </c>
      <c r="G95" s="3" t="s">
        <v>64</v>
      </c>
      <c r="H95" s="3" t="s">
        <v>125</v>
      </c>
      <c r="I95" s="55">
        <v>46183</v>
      </c>
      <c r="J95" s="55">
        <v>46186</v>
      </c>
      <c r="K95" s="55">
        <v>46213</v>
      </c>
      <c r="O95" s="3" t="s">
        <v>10</v>
      </c>
      <c r="P95" s="55">
        <v>46200</v>
      </c>
      <c r="R95" s="177"/>
    </row>
    <row r="96" spans="1:18" ht="15" customHeight="1">
      <c r="A96" s="173" t="s">
        <v>122</v>
      </c>
      <c r="B96" s="183" t="s">
        <v>123</v>
      </c>
      <c r="C96" s="196">
        <v>161609453</v>
      </c>
      <c r="D96" s="168"/>
      <c r="F96" s="29" t="s">
        <v>124</v>
      </c>
      <c r="G96" s="3" t="s">
        <v>64</v>
      </c>
      <c r="H96" s="3" t="s">
        <v>125</v>
      </c>
      <c r="I96" s="55">
        <v>46183</v>
      </c>
      <c r="J96" s="55">
        <v>46186</v>
      </c>
      <c r="K96" s="55">
        <v>46213</v>
      </c>
      <c r="O96" s="3" t="s">
        <v>10</v>
      </c>
      <c r="P96" s="55">
        <v>46200</v>
      </c>
      <c r="R96" s="177"/>
    </row>
    <row r="97" spans="1:18" ht="15" customHeight="1">
      <c r="A97" s="173" t="s">
        <v>122</v>
      </c>
      <c r="B97" s="183" t="s">
        <v>123</v>
      </c>
      <c r="C97" s="196">
        <v>161609485</v>
      </c>
      <c r="D97" s="168"/>
      <c r="F97" s="29" t="s">
        <v>124</v>
      </c>
      <c r="G97" s="3" t="s">
        <v>64</v>
      </c>
      <c r="H97" s="3" t="s">
        <v>125</v>
      </c>
      <c r="I97" s="55">
        <v>46183</v>
      </c>
      <c r="J97" s="55">
        <v>46186</v>
      </c>
      <c r="K97" s="55">
        <v>46213</v>
      </c>
      <c r="O97" s="3" t="s">
        <v>10</v>
      </c>
      <c r="P97" s="55">
        <v>46200</v>
      </c>
      <c r="R97" s="177"/>
    </row>
    <row r="98" spans="1:18" ht="15" customHeight="1">
      <c r="A98" s="173" t="s">
        <v>122</v>
      </c>
      <c r="B98" s="183" t="s">
        <v>123</v>
      </c>
      <c r="C98" s="196">
        <v>161609512</v>
      </c>
      <c r="D98" s="168"/>
      <c r="F98" s="29" t="s">
        <v>124</v>
      </c>
      <c r="G98" s="3" t="s">
        <v>64</v>
      </c>
      <c r="H98" s="3" t="s">
        <v>125</v>
      </c>
      <c r="I98" s="55">
        <v>46183</v>
      </c>
      <c r="J98" s="55">
        <v>46186</v>
      </c>
      <c r="K98" s="55">
        <v>46213</v>
      </c>
      <c r="O98" s="3" t="s">
        <v>10</v>
      </c>
      <c r="P98" s="55">
        <v>46200</v>
      </c>
      <c r="R98" s="177"/>
    </row>
    <row r="99" spans="1:18" ht="15" customHeight="1">
      <c r="A99" s="173" t="s">
        <v>122</v>
      </c>
      <c r="B99" s="183" t="s">
        <v>123</v>
      </c>
      <c r="C99" s="196">
        <v>161609519</v>
      </c>
      <c r="D99" s="168"/>
      <c r="F99" s="29" t="s">
        <v>124</v>
      </c>
      <c r="G99" s="3" t="s">
        <v>64</v>
      </c>
      <c r="H99" s="3" t="s">
        <v>125</v>
      </c>
      <c r="I99" s="55">
        <v>46183</v>
      </c>
      <c r="J99" s="55">
        <v>46186</v>
      </c>
      <c r="K99" s="55">
        <v>46213</v>
      </c>
      <c r="O99" s="3" t="s">
        <v>10</v>
      </c>
      <c r="P99" s="55">
        <v>46200</v>
      </c>
      <c r="R99" s="177"/>
    </row>
    <row r="100" spans="1:18" ht="15" customHeight="1">
      <c r="A100" s="173" t="s">
        <v>122</v>
      </c>
      <c r="B100" s="183" t="s">
        <v>123</v>
      </c>
      <c r="C100" s="196">
        <v>161609521</v>
      </c>
      <c r="D100" s="168"/>
      <c r="F100" s="29" t="s">
        <v>124</v>
      </c>
      <c r="G100" s="3" t="s">
        <v>64</v>
      </c>
      <c r="H100" s="3" t="s">
        <v>125</v>
      </c>
      <c r="I100" s="55">
        <v>46183</v>
      </c>
      <c r="J100" s="55">
        <v>46186</v>
      </c>
      <c r="K100" s="55">
        <v>46213</v>
      </c>
      <c r="O100" s="3" t="s">
        <v>10</v>
      </c>
      <c r="P100" s="55">
        <v>46200</v>
      </c>
      <c r="R100" s="177"/>
    </row>
    <row r="101" spans="1:18" ht="15" customHeight="1">
      <c r="A101" s="173" t="s">
        <v>122</v>
      </c>
      <c r="B101" s="183" t="s">
        <v>123</v>
      </c>
      <c r="C101" s="196">
        <v>161609526</v>
      </c>
      <c r="D101" s="168"/>
      <c r="F101" s="29" t="s">
        <v>124</v>
      </c>
      <c r="G101" s="3" t="s">
        <v>64</v>
      </c>
      <c r="H101" s="3" t="s">
        <v>125</v>
      </c>
      <c r="I101" s="55">
        <v>46183</v>
      </c>
      <c r="J101" s="55">
        <v>46186</v>
      </c>
      <c r="K101" s="55">
        <v>46213</v>
      </c>
      <c r="O101" s="3" t="s">
        <v>10</v>
      </c>
      <c r="P101" s="55">
        <v>46200</v>
      </c>
      <c r="R101" s="177"/>
    </row>
    <row r="102" spans="1:18" ht="15" customHeight="1">
      <c r="A102" s="173" t="s">
        <v>126</v>
      </c>
      <c r="B102" s="183" t="s">
        <v>127</v>
      </c>
      <c r="C102" s="196">
        <v>155607671</v>
      </c>
      <c r="D102" s="168"/>
      <c r="F102" s="29" t="s">
        <v>128</v>
      </c>
      <c r="G102" s="3" t="s">
        <v>116</v>
      </c>
      <c r="H102" s="3" t="s">
        <v>129</v>
      </c>
      <c r="I102" s="55">
        <v>46175</v>
      </c>
      <c r="J102" s="55">
        <v>46178</v>
      </c>
      <c r="K102" s="55">
        <v>46205</v>
      </c>
      <c r="O102" s="3" t="s">
        <v>10</v>
      </c>
      <c r="P102" s="55">
        <v>46181</v>
      </c>
      <c r="R102" s="177"/>
    </row>
    <row r="103" spans="1:18" ht="15" customHeight="1">
      <c r="A103" s="173" t="s">
        <v>126</v>
      </c>
      <c r="B103" s="183" t="s">
        <v>127</v>
      </c>
      <c r="C103" s="196">
        <v>155607621</v>
      </c>
      <c r="D103" s="168"/>
      <c r="F103" s="29" t="s">
        <v>128</v>
      </c>
      <c r="G103" s="3" t="s">
        <v>116</v>
      </c>
      <c r="H103" s="3" t="s">
        <v>129</v>
      </c>
      <c r="I103" s="55">
        <v>46175</v>
      </c>
      <c r="J103" s="55">
        <v>46178</v>
      </c>
      <c r="K103" s="55">
        <v>46205</v>
      </c>
      <c r="O103" s="3" t="s">
        <v>10</v>
      </c>
      <c r="P103" s="55">
        <v>46181</v>
      </c>
      <c r="R103" s="177"/>
    </row>
    <row r="104" spans="1:18" ht="15" customHeight="1">
      <c r="A104" s="173" t="s">
        <v>126</v>
      </c>
      <c r="B104" s="183" t="s">
        <v>127</v>
      </c>
      <c r="C104" s="196">
        <v>155607573</v>
      </c>
      <c r="D104" s="168"/>
      <c r="F104" s="29" t="s">
        <v>128</v>
      </c>
      <c r="G104" s="3" t="s">
        <v>116</v>
      </c>
      <c r="H104" s="3" t="s">
        <v>129</v>
      </c>
      <c r="I104" s="55">
        <v>46175</v>
      </c>
      <c r="J104" s="55">
        <v>46178</v>
      </c>
      <c r="K104" s="55">
        <v>46205</v>
      </c>
      <c r="O104" s="3" t="s">
        <v>10</v>
      </c>
      <c r="P104" s="55">
        <v>46193</v>
      </c>
      <c r="R104" s="177"/>
    </row>
    <row r="105" spans="1:18" ht="15" customHeight="1">
      <c r="A105" s="173" t="s">
        <v>126</v>
      </c>
      <c r="B105" s="183" t="s">
        <v>127</v>
      </c>
      <c r="C105" s="196">
        <v>155607553</v>
      </c>
      <c r="D105" s="168"/>
      <c r="F105" s="29" t="s">
        <v>128</v>
      </c>
      <c r="G105" s="3" t="s">
        <v>116</v>
      </c>
      <c r="H105" s="3" t="s">
        <v>129</v>
      </c>
      <c r="I105" s="55">
        <v>46175</v>
      </c>
      <c r="J105" s="55">
        <v>46178</v>
      </c>
      <c r="K105" s="55">
        <v>46205</v>
      </c>
      <c r="O105" s="3" t="s">
        <v>10</v>
      </c>
      <c r="P105" s="55">
        <v>46181</v>
      </c>
      <c r="R105" s="177"/>
    </row>
    <row r="106" spans="1:18" ht="15" customHeight="1">
      <c r="A106" s="173" t="s">
        <v>130</v>
      </c>
      <c r="B106" s="183" t="s">
        <v>131</v>
      </c>
      <c r="C106" s="196">
        <v>153600010</v>
      </c>
      <c r="D106" s="168"/>
      <c r="F106" s="29" t="s">
        <v>128</v>
      </c>
      <c r="G106" s="3" t="s">
        <v>116</v>
      </c>
      <c r="H106" s="3" t="s">
        <v>129</v>
      </c>
      <c r="I106" s="55">
        <v>46175</v>
      </c>
      <c r="J106" s="55">
        <v>46178</v>
      </c>
      <c r="K106" s="55">
        <v>46205</v>
      </c>
      <c r="O106" s="3" t="s">
        <v>10</v>
      </c>
      <c r="P106" s="55">
        <v>46181</v>
      </c>
      <c r="R106" s="177"/>
    </row>
    <row r="107" spans="1:18" ht="15" customHeight="1">
      <c r="A107" s="173" t="s">
        <v>130</v>
      </c>
      <c r="B107" s="183" t="s">
        <v>131</v>
      </c>
      <c r="C107" s="196">
        <v>153600007</v>
      </c>
      <c r="D107" s="168"/>
      <c r="F107" s="29" t="s">
        <v>128</v>
      </c>
      <c r="G107" s="3" t="s">
        <v>116</v>
      </c>
      <c r="H107" s="3" t="s">
        <v>129</v>
      </c>
      <c r="I107" s="55">
        <v>46175</v>
      </c>
      <c r="J107" s="55">
        <v>46178</v>
      </c>
      <c r="K107" s="55">
        <v>46205</v>
      </c>
      <c r="O107" s="3" t="s">
        <v>10</v>
      </c>
      <c r="P107" s="55">
        <v>46181</v>
      </c>
      <c r="R107" s="177"/>
    </row>
    <row r="108" spans="1:18" ht="15" customHeight="1">
      <c r="A108" s="173" t="s">
        <v>130</v>
      </c>
      <c r="B108" s="183" t="s">
        <v>131</v>
      </c>
      <c r="C108" s="196">
        <v>153600005</v>
      </c>
      <c r="D108" s="168"/>
      <c r="F108" s="29" t="s">
        <v>128</v>
      </c>
      <c r="G108" s="3" t="s">
        <v>116</v>
      </c>
      <c r="H108" s="3" t="s">
        <v>129</v>
      </c>
      <c r="I108" s="55">
        <v>46175</v>
      </c>
      <c r="J108" s="55">
        <v>46178</v>
      </c>
      <c r="K108" s="55">
        <v>46205</v>
      </c>
      <c r="O108" s="3" t="s">
        <v>10</v>
      </c>
      <c r="P108" s="55">
        <v>46181</v>
      </c>
      <c r="R108" s="177"/>
    </row>
    <row r="109" spans="1:18" ht="15" customHeight="1">
      <c r="A109" s="173" t="s">
        <v>130</v>
      </c>
      <c r="B109" s="183" t="s">
        <v>131</v>
      </c>
      <c r="C109" s="196">
        <v>153600003</v>
      </c>
      <c r="D109" s="168"/>
      <c r="F109" s="29" t="s">
        <v>128</v>
      </c>
      <c r="G109" s="3" t="s">
        <v>116</v>
      </c>
      <c r="H109" s="3" t="s">
        <v>129</v>
      </c>
      <c r="I109" s="55">
        <v>46175</v>
      </c>
      <c r="J109" s="55">
        <v>46178</v>
      </c>
      <c r="K109" s="55">
        <v>46205</v>
      </c>
      <c r="O109" s="3" t="s">
        <v>10</v>
      </c>
      <c r="P109" s="55">
        <v>46181</v>
      </c>
      <c r="R109" s="177"/>
    </row>
    <row r="110" spans="1:18" ht="15" customHeight="1">
      <c r="A110" s="173" t="s">
        <v>130</v>
      </c>
      <c r="B110" s="183" t="s">
        <v>131</v>
      </c>
      <c r="C110" s="196">
        <v>153600001</v>
      </c>
      <c r="D110" s="168"/>
      <c r="F110" s="29" t="s">
        <v>128</v>
      </c>
      <c r="G110" s="3" t="s">
        <v>116</v>
      </c>
      <c r="H110" s="3" t="s">
        <v>129</v>
      </c>
      <c r="I110" s="55">
        <v>46175</v>
      </c>
      <c r="J110" s="55">
        <v>46178</v>
      </c>
      <c r="K110" s="55">
        <v>46205</v>
      </c>
      <c r="O110" s="3" t="s">
        <v>10</v>
      </c>
      <c r="P110" s="55">
        <v>46181</v>
      </c>
      <c r="R110" s="177"/>
    </row>
    <row r="111" spans="1:18" ht="15" customHeight="1">
      <c r="A111" s="173" t="s">
        <v>132</v>
      </c>
      <c r="B111" s="183" t="s">
        <v>133</v>
      </c>
      <c r="C111" s="196">
        <v>152611593</v>
      </c>
      <c r="D111" s="168"/>
      <c r="F111" s="29" t="s">
        <v>128</v>
      </c>
      <c r="G111" s="3" t="s">
        <v>116</v>
      </c>
      <c r="H111" s="3" t="s">
        <v>129</v>
      </c>
      <c r="I111" s="55">
        <v>46175</v>
      </c>
      <c r="J111" s="55">
        <v>46178</v>
      </c>
      <c r="K111" s="55">
        <v>46205</v>
      </c>
      <c r="O111" s="3" t="s">
        <v>10</v>
      </c>
      <c r="P111" s="55">
        <v>46181</v>
      </c>
      <c r="R111" s="177"/>
    </row>
    <row r="112" spans="1:18" ht="15" customHeight="1">
      <c r="A112" s="173" t="s">
        <v>132</v>
      </c>
      <c r="B112" s="183" t="s">
        <v>133</v>
      </c>
      <c r="C112" s="196">
        <v>152611583</v>
      </c>
      <c r="D112" s="168"/>
      <c r="F112" s="29" t="s">
        <v>128</v>
      </c>
      <c r="G112" s="3" t="s">
        <v>116</v>
      </c>
      <c r="H112" s="3" t="s">
        <v>129</v>
      </c>
      <c r="I112" s="55">
        <v>46175</v>
      </c>
      <c r="J112" s="55">
        <v>46178</v>
      </c>
      <c r="K112" s="55">
        <v>46205</v>
      </c>
      <c r="O112" s="3" t="s">
        <v>10</v>
      </c>
      <c r="P112" s="55">
        <v>46181</v>
      </c>
      <c r="R112" s="177"/>
    </row>
    <row r="113" spans="1:18" ht="15" customHeight="1">
      <c r="A113" s="173" t="s">
        <v>132</v>
      </c>
      <c r="B113" s="183" t="s">
        <v>133</v>
      </c>
      <c r="C113" s="196">
        <v>152611578</v>
      </c>
      <c r="D113" s="168"/>
      <c r="F113" s="29" t="s">
        <v>128</v>
      </c>
      <c r="G113" s="3" t="s">
        <v>116</v>
      </c>
      <c r="H113" s="3" t="s">
        <v>129</v>
      </c>
      <c r="I113" s="55">
        <v>46175</v>
      </c>
      <c r="J113" s="55">
        <v>46178</v>
      </c>
      <c r="K113" s="55">
        <v>46205</v>
      </c>
      <c r="O113" s="3" t="s">
        <v>10</v>
      </c>
      <c r="P113" s="55">
        <v>46181</v>
      </c>
      <c r="R113" s="177"/>
    </row>
    <row r="114" spans="1:18" ht="15" customHeight="1">
      <c r="A114" s="173" t="s">
        <v>132</v>
      </c>
      <c r="B114" s="183" t="s">
        <v>133</v>
      </c>
      <c r="C114" s="196">
        <v>152611574</v>
      </c>
      <c r="D114" s="168"/>
      <c r="F114" s="29" t="s">
        <v>128</v>
      </c>
      <c r="G114" s="3" t="s">
        <v>116</v>
      </c>
      <c r="H114" s="3" t="s">
        <v>129</v>
      </c>
      <c r="I114" s="55">
        <v>46175</v>
      </c>
      <c r="J114" s="55">
        <v>46178</v>
      </c>
      <c r="K114" s="55">
        <v>46205</v>
      </c>
      <c r="O114" s="3" t="s">
        <v>10</v>
      </c>
      <c r="P114" s="55">
        <v>46181</v>
      </c>
      <c r="R114" s="177"/>
    </row>
    <row r="115" spans="1:18" ht="15" customHeight="1">
      <c r="A115" s="173" t="s">
        <v>132</v>
      </c>
      <c r="B115" s="183" t="s">
        <v>133</v>
      </c>
      <c r="C115" s="196">
        <v>152611552</v>
      </c>
      <c r="D115" s="168"/>
      <c r="F115" s="29" t="s">
        <v>128</v>
      </c>
      <c r="G115" s="3" t="s">
        <v>116</v>
      </c>
      <c r="H115" s="3" t="s">
        <v>129</v>
      </c>
      <c r="I115" s="55">
        <v>46175</v>
      </c>
      <c r="J115" s="55">
        <v>46178</v>
      </c>
      <c r="K115" s="55">
        <v>46205</v>
      </c>
      <c r="O115" s="3" t="s">
        <v>10</v>
      </c>
      <c r="P115" s="55">
        <v>46181</v>
      </c>
      <c r="R115" s="177"/>
    </row>
    <row r="116" spans="1:18" ht="15" customHeight="1">
      <c r="A116" s="173" t="s">
        <v>134</v>
      </c>
      <c r="B116" s="183" t="s">
        <v>135</v>
      </c>
      <c r="C116" s="196">
        <v>152611543</v>
      </c>
      <c r="D116" s="168"/>
      <c r="F116" s="29" t="s">
        <v>128</v>
      </c>
      <c r="G116" s="3" t="s">
        <v>116</v>
      </c>
      <c r="H116" s="3" t="s">
        <v>129</v>
      </c>
      <c r="I116" s="55">
        <v>46175</v>
      </c>
      <c r="J116" s="55">
        <v>46178</v>
      </c>
      <c r="K116" s="55">
        <v>46205</v>
      </c>
      <c r="O116" s="3" t="s">
        <v>10</v>
      </c>
      <c r="P116" s="55">
        <v>46181</v>
      </c>
      <c r="R116" s="177"/>
    </row>
    <row r="117" spans="1:18" ht="15" customHeight="1">
      <c r="A117" s="173" t="s">
        <v>134</v>
      </c>
      <c r="B117" s="183" t="s">
        <v>135</v>
      </c>
      <c r="C117" s="196">
        <v>152611541</v>
      </c>
      <c r="D117" s="168"/>
      <c r="F117" s="29" t="s">
        <v>128</v>
      </c>
      <c r="G117" s="3" t="s">
        <v>116</v>
      </c>
      <c r="H117" s="3" t="s">
        <v>129</v>
      </c>
      <c r="I117" s="55">
        <v>46175</v>
      </c>
      <c r="J117" s="55">
        <v>46178</v>
      </c>
      <c r="K117" s="55">
        <v>46205</v>
      </c>
      <c r="O117" s="3" t="s">
        <v>10</v>
      </c>
      <c r="P117" s="55">
        <v>46181</v>
      </c>
      <c r="R117" s="177"/>
    </row>
    <row r="118" spans="1:18" ht="15" customHeight="1">
      <c r="A118" s="173" t="s">
        <v>134</v>
      </c>
      <c r="B118" s="183" t="s">
        <v>135</v>
      </c>
      <c r="C118" s="196">
        <v>152611535</v>
      </c>
      <c r="D118" s="168"/>
      <c r="F118" s="29" t="s">
        <v>128</v>
      </c>
      <c r="G118" s="3" t="s">
        <v>116</v>
      </c>
      <c r="H118" s="3" t="s">
        <v>129</v>
      </c>
      <c r="I118" s="55">
        <v>46175</v>
      </c>
      <c r="J118" s="55">
        <v>46178</v>
      </c>
      <c r="K118" s="55">
        <v>46205</v>
      </c>
      <c r="O118" s="3" t="s">
        <v>10</v>
      </c>
      <c r="P118" s="55">
        <v>46181</v>
      </c>
      <c r="R118" s="177"/>
    </row>
    <row r="119" spans="1:18" ht="15" customHeight="1">
      <c r="A119" s="173" t="s">
        <v>134</v>
      </c>
      <c r="B119" s="183" t="s">
        <v>135</v>
      </c>
      <c r="C119" s="196">
        <v>152611533</v>
      </c>
      <c r="D119" s="168"/>
      <c r="F119" s="29" t="s">
        <v>128</v>
      </c>
      <c r="G119" s="3" t="s">
        <v>116</v>
      </c>
      <c r="H119" s="3" t="s">
        <v>129</v>
      </c>
      <c r="I119" s="55">
        <v>46175</v>
      </c>
      <c r="J119" s="55">
        <v>46178</v>
      </c>
      <c r="K119" s="55">
        <v>46205</v>
      </c>
      <c r="O119" s="3" t="s">
        <v>10</v>
      </c>
      <c r="P119" s="55">
        <v>46181</v>
      </c>
      <c r="R119" s="177"/>
    </row>
    <row r="120" spans="1:18" ht="15" customHeight="1">
      <c r="A120" s="173" t="s">
        <v>134</v>
      </c>
      <c r="B120" s="183" t="s">
        <v>135</v>
      </c>
      <c r="C120" s="196">
        <v>152611530</v>
      </c>
      <c r="D120" s="168"/>
      <c r="F120" s="29" t="s">
        <v>128</v>
      </c>
      <c r="G120" s="3" t="s">
        <v>116</v>
      </c>
      <c r="H120" s="3" t="s">
        <v>129</v>
      </c>
      <c r="I120" s="55">
        <v>46175</v>
      </c>
      <c r="J120" s="55">
        <v>46178</v>
      </c>
      <c r="K120" s="55">
        <v>46205</v>
      </c>
      <c r="O120" s="3" t="s">
        <v>10</v>
      </c>
      <c r="P120" s="55">
        <v>46181</v>
      </c>
      <c r="R120" s="177"/>
    </row>
    <row r="121" spans="1:18" ht="15" customHeight="1">
      <c r="A121" s="173" t="s">
        <v>136</v>
      </c>
      <c r="B121" s="183" t="s">
        <v>137</v>
      </c>
      <c r="C121" s="196">
        <v>151600890</v>
      </c>
      <c r="D121" s="168"/>
      <c r="F121" s="29" t="s">
        <v>128</v>
      </c>
      <c r="G121" s="3" t="s">
        <v>116</v>
      </c>
      <c r="H121" s="3" t="s">
        <v>129</v>
      </c>
      <c r="I121" s="55">
        <v>46175</v>
      </c>
      <c r="J121" s="55">
        <v>46178</v>
      </c>
      <c r="K121" s="55">
        <v>46205</v>
      </c>
      <c r="O121" s="3" t="s">
        <v>10</v>
      </c>
      <c r="P121" s="55">
        <v>46181</v>
      </c>
      <c r="R121" s="177"/>
    </row>
    <row r="122" spans="1:18" ht="15" customHeight="1">
      <c r="A122" s="173" t="s">
        <v>136</v>
      </c>
      <c r="B122" s="183" t="s">
        <v>137</v>
      </c>
      <c r="C122" s="196">
        <v>151600886</v>
      </c>
      <c r="D122" s="168"/>
      <c r="F122" s="29" t="s">
        <v>128</v>
      </c>
      <c r="G122" s="3" t="s">
        <v>116</v>
      </c>
      <c r="H122" s="3" t="s">
        <v>129</v>
      </c>
      <c r="I122" s="55">
        <v>46175</v>
      </c>
      <c r="J122" s="55">
        <v>46178</v>
      </c>
      <c r="K122" s="55">
        <v>46205</v>
      </c>
      <c r="O122" s="3" t="s">
        <v>10</v>
      </c>
      <c r="P122" s="55">
        <v>46181</v>
      </c>
      <c r="R122" s="177"/>
    </row>
    <row r="123" spans="1:18" ht="15" customHeight="1">
      <c r="A123" s="173" t="s">
        <v>136</v>
      </c>
      <c r="B123" s="183" t="s">
        <v>137</v>
      </c>
      <c r="C123" s="196">
        <v>151600884</v>
      </c>
      <c r="D123" s="168"/>
      <c r="F123" s="29" t="s">
        <v>128</v>
      </c>
      <c r="G123" s="3" t="s">
        <v>116</v>
      </c>
      <c r="H123" s="3" t="s">
        <v>129</v>
      </c>
      <c r="I123" s="55">
        <v>46175</v>
      </c>
      <c r="J123" s="55">
        <v>46178</v>
      </c>
      <c r="K123" s="55">
        <v>46205</v>
      </c>
      <c r="O123" s="3" t="s">
        <v>10</v>
      </c>
      <c r="P123" s="55">
        <v>46181</v>
      </c>
      <c r="R123" s="177"/>
    </row>
    <row r="124" spans="1:18" ht="15" customHeight="1">
      <c r="A124" s="173" t="s">
        <v>136</v>
      </c>
      <c r="B124" s="183" t="s">
        <v>137</v>
      </c>
      <c r="C124" s="196">
        <v>151600881</v>
      </c>
      <c r="D124" s="168"/>
      <c r="F124" s="29" t="s">
        <v>128</v>
      </c>
      <c r="G124" s="3" t="s">
        <v>116</v>
      </c>
      <c r="H124" s="3" t="s">
        <v>129</v>
      </c>
      <c r="I124" s="55">
        <v>46175</v>
      </c>
      <c r="J124" s="55">
        <v>46178</v>
      </c>
      <c r="K124" s="55">
        <v>46205</v>
      </c>
      <c r="O124" s="3" t="s">
        <v>10</v>
      </c>
      <c r="P124" s="55">
        <v>46181</v>
      </c>
      <c r="R124" s="177"/>
    </row>
    <row r="125" spans="1:18" ht="15" customHeight="1">
      <c r="A125" s="173" t="s">
        <v>138</v>
      </c>
      <c r="B125" s="183" t="s">
        <v>139</v>
      </c>
      <c r="C125" s="196">
        <v>151600871</v>
      </c>
      <c r="D125" s="168"/>
      <c r="F125" s="29" t="s">
        <v>128</v>
      </c>
      <c r="G125" s="3" t="s">
        <v>116</v>
      </c>
      <c r="H125" s="3" t="s">
        <v>129</v>
      </c>
      <c r="I125" s="55">
        <v>46175</v>
      </c>
      <c r="J125" s="55">
        <v>46178</v>
      </c>
      <c r="K125" s="55">
        <v>46205</v>
      </c>
      <c r="O125" s="3" t="s">
        <v>10</v>
      </c>
      <c r="P125" s="55">
        <v>46181</v>
      </c>
      <c r="R125" s="177"/>
    </row>
    <row r="126" spans="1:18" ht="15" customHeight="1">
      <c r="A126" s="173" t="s">
        <v>138</v>
      </c>
      <c r="B126" s="183" t="s">
        <v>139</v>
      </c>
      <c r="C126" s="196">
        <v>151600857</v>
      </c>
      <c r="D126" s="168"/>
      <c r="F126" s="29" t="s">
        <v>128</v>
      </c>
      <c r="G126" s="3" t="s">
        <v>116</v>
      </c>
      <c r="H126" s="3" t="s">
        <v>129</v>
      </c>
      <c r="I126" s="55">
        <v>46175</v>
      </c>
      <c r="J126" s="55">
        <v>46178</v>
      </c>
      <c r="K126" s="55">
        <v>46205</v>
      </c>
      <c r="O126" s="3" t="s">
        <v>10</v>
      </c>
      <c r="P126" s="55">
        <v>46181</v>
      </c>
      <c r="R126" s="177"/>
    </row>
    <row r="127" spans="1:18" ht="15" customHeight="1">
      <c r="A127" s="173" t="s">
        <v>138</v>
      </c>
      <c r="B127" s="183" t="s">
        <v>139</v>
      </c>
      <c r="C127" s="196">
        <v>151600851</v>
      </c>
      <c r="D127" s="168"/>
      <c r="F127" s="29" t="s">
        <v>128</v>
      </c>
      <c r="G127" s="3" t="s">
        <v>116</v>
      </c>
      <c r="H127" s="3" t="s">
        <v>129</v>
      </c>
      <c r="I127" s="55">
        <v>46175</v>
      </c>
      <c r="J127" s="55">
        <v>46178</v>
      </c>
      <c r="K127" s="55">
        <v>46205</v>
      </c>
      <c r="O127" s="3" t="s">
        <v>10</v>
      </c>
      <c r="P127" s="55">
        <v>46181</v>
      </c>
      <c r="R127" s="177"/>
    </row>
    <row r="128" spans="1:18" ht="15" customHeight="1">
      <c r="A128" s="173" t="s">
        <v>138</v>
      </c>
      <c r="B128" s="183" t="s">
        <v>139</v>
      </c>
      <c r="C128" s="196">
        <v>151600831</v>
      </c>
      <c r="D128" s="168"/>
      <c r="F128" s="29" t="s">
        <v>128</v>
      </c>
      <c r="G128" s="3" t="s">
        <v>116</v>
      </c>
      <c r="H128" s="3" t="s">
        <v>129</v>
      </c>
      <c r="I128" s="55">
        <v>46175</v>
      </c>
      <c r="J128" s="55">
        <v>46178</v>
      </c>
      <c r="K128" s="55">
        <v>46205</v>
      </c>
      <c r="O128" s="3" t="s">
        <v>10</v>
      </c>
      <c r="P128" s="55">
        <v>46181</v>
      </c>
      <c r="R128" s="177"/>
    </row>
    <row r="129" spans="1:18" ht="15" customHeight="1">
      <c r="A129" s="173" t="s">
        <v>140</v>
      </c>
      <c r="B129" s="183" t="s">
        <v>141</v>
      </c>
      <c r="C129" s="196">
        <v>151600823</v>
      </c>
      <c r="D129" s="168"/>
      <c r="F129" s="29" t="s">
        <v>128</v>
      </c>
      <c r="G129" s="3" t="s">
        <v>116</v>
      </c>
      <c r="H129" s="3" t="s">
        <v>129</v>
      </c>
      <c r="I129" s="55">
        <v>46175</v>
      </c>
      <c r="J129" s="55">
        <v>46178</v>
      </c>
      <c r="K129" s="55">
        <v>46205</v>
      </c>
      <c r="O129" s="3" t="s">
        <v>10</v>
      </c>
      <c r="P129" s="55">
        <v>46181</v>
      </c>
      <c r="R129" s="177"/>
    </row>
    <row r="130" spans="1:18" ht="15" customHeight="1">
      <c r="A130" s="173" t="s">
        <v>142</v>
      </c>
      <c r="B130" s="183" t="s">
        <v>143</v>
      </c>
      <c r="C130" s="196">
        <v>162607701</v>
      </c>
      <c r="D130" s="168"/>
      <c r="F130" s="29" t="s">
        <v>144</v>
      </c>
      <c r="G130" s="3" t="s">
        <v>16</v>
      </c>
      <c r="H130" s="3" t="s">
        <v>145</v>
      </c>
      <c r="I130" s="55">
        <v>46184</v>
      </c>
      <c r="J130" s="55">
        <v>46188</v>
      </c>
      <c r="K130" s="55">
        <v>46216</v>
      </c>
      <c r="O130" s="3" t="s">
        <v>10</v>
      </c>
      <c r="P130" s="55">
        <v>46189</v>
      </c>
      <c r="R130" s="177"/>
    </row>
    <row r="131" spans="1:18" ht="15" customHeight="1">
      <c r="A131" s="173" t="s">
        <v>142</v>
      </c>
      <c r="B131" s="183" t="s">
        <v>143</v>
      </c>
      <c r="C131" s="196">
        <v>162607790</v>
      </c>
      <c r="D131" s="168"/>
      <c r="F131" s="29" t="s">
        <v>144</v>
      </c>
      <c r="G131" s="3" t="s">
        <v>16</v>
      </c>
      <c r="H131" s="3" t="s">
        <v>145</v>
      </c>
      <c r="I131" s="55">
        <v>46184</v>
      </c>
      <c r="J131" s="55">
        <v>46188</v>
      </c>
      <c r="K131" s="55">
        <v>46216</v>
      </c>
      <c r="O131" s="3" t="s">
        <v>10</v>
      </c>
      <c r="P131" s="55">
        <v>46189</v>
      </c>
      <c r="R131" s="177"/>
    </row>
    <row r="132" spans="1:18" ht="15" customHeight="1">
      <c r="A132" s="173" t="s">
        <v>142</v>
      </c>
      <c r="B132" s="183" t="s">
        <v>143</v>
      </c>
      <c r="C132" s="196">
        <v>162607889</v>
      </c>
      <c r="D132" s="168"/>
      <c r="F132" s="29" t="s">
        <v>144</v>
      </c>
      <c r="G132" s="3" t="s">
        <v>16</v>
      </c>
      <c r="H132" s="3" t="s">
        <v>145</v>
      </c>
      <c r="I132" s="55">
        <v>46184</v>
      </c>
      <c r="J132" s="55">
        <v>46188</v>
      </c>
      <c r="K132" s="55">
        <v>46216</v>
      </c>
      <c r="O132" s="3" t="s">
        <v>10</v>
      </c>
      <c r="P132" s="55">
        <v>46189</v>
      </c>
      <c r="R132" s="177"/>
    </row>
    <row r="133" spans="1:18" ht="15" customHeight="1">
      <c r="A133" s="173" t="s">
        <v>142</v>
      </c>
      <c r="B133" s="183" t="s">
        <v>143</v>
      </c>
      <c r="C133" s="196">
        <v>162607954</v>
      </c>
      <c r="D133" s="168"/>
      <c r="F133" s="29" t="s">
        <v>144</v>
      </c>
      <c r="G133" s="3" t="s">
        <v>16</v>
      </c>
      <c r="H133" s="3" t="s">
        <v>145</v>
      </c>
      <c r="I133" s="55">
        <v>46184</v>
      </c>
      <c r="J133" s="55">
        <v>46188</v>
      </c>
      <c r="K133" s="55">
        <v>46216</v>
      </c>
      <c r="O133" s="3" t="s">
        <v>10</v>
      </c>
      <c r="P133" s="55">
        <v>46189</v>
      </c>
      <c r="R133" s="177"/>
    </row>
    <row r="134" spans="1:18" ht="15" customHeight="1">
      <c r="A134" s="173" t="s">
        <v>142</v>
      </c>
      <c r="B134" s="183" t="s">
        <v>143</v>
      </c>
      <c r="C134" s="196">
        <v>162608425</v>
      </c>
      <c r="D134" s="168"/>
      <c r="F134" s="29" t="s">
        <v>144</v>
      </c>
      <c r="G134" s="3" t="s">
        <v>16</v>
      </c>
      <c r="H134" s="3" t="s">
        <v>145</v>
      </c>
      <c r="I134" s="55">
        <v>46184</v>
      </c>
      <c r="J134" s="55">
        <v>46188</v>
      </c>
      <c r="K134" s="55">
        <v>46216</v>
      </c>
      <c r="O134" s="3" t="s">
        <v>10</v>
      </c>
      <c r="P134" s="55">
        <v>46189</v>
      </c>
      <c r="R134" s="177"/>
    </row>
    <row r="135" spans="1:18" ht="15" customHeight="1">
      <c r="A135" s="173" t="s">
        <v>146</v>
      </c>
      <c r="B135" s="183" t="s">
        <v>143</v>
      </c>
      <c r="C135" s="196">
        <v>162608219</v>
      </c>
      <c r="D135" s="168"/>
      <c r="F135" s="29" t="s">
        <v>144</v>
      </c>
      <c r="G135" s="3" t="s">
        <v>16</v>
      </c>
      <c r="H135" s="3" t="s">
        <v>145</v>
      </c>
      <c r="I135" s="55">
        <v>46184</v>
      </c>
      <c r="J135" s="55">
        <v>46188</v>
      </c>
      <c r="K135" s="55">
        <v>46216</v>
      </c>
      <c r="O135" s="3" t="s">
        <v>10</v>
      </c>
      <c r="P135" s="55">
        <v>46189</v>
      </c>
      <c r="R135" s="177"/>
    </row>
    <row r="136" spans="1:18" ht="15" customHeight="1">
      <c r="A136" s="173" t="s">
        <v>146</v>
      </c>
      <c r="B136" s="183" t="s">
        <v>143</v>
      </c>
      <c r="C136" s="196">
        <v>162608238</v>
      </c>
      <c r="D136" s="168"/>
      <c r="F136" s="29" t="s">
        <v>144</v>
      </c>
      <c r="G136" s="3" t="s">
        <v>16</v>
      </c>
      <c r="H136" s="3" t="s">
        <v>145</v>
      </c>
      <c r="I136" s="55">
        <v>46184</v>
      </c>
      <c r="J136" s="55">
        <v>46188</v>
      </c>
      <c r="K136" s="55">
        <v>46216</v>
      </c>
      <c r="O136" s="3" t="s">
        <v>10</v>
      </c>
      <c r="P136" s="55">
        <v>46189</v>
      </c>
      <c r="R136" s="177"/>
    </row>
    <row r="137" spans="1:18" ht="15" customHeight="1">
      <c r="A137" s="173" t="s">
        <v>146</v>
      </c>
      <c r="B137" s="183" t="s">
        <v>143</v>
      </c>
      <c r="C137" s="196">
        <v>162608253</v>
      </c>
      <c r="D137" s="168"/>
      <c r="F137" s="29" t="s">
        <v>144</v>
      </c>
      <c r="G137" s="3" t="s">
        <v>16</v>
      </c>
      <c r="H137" s="3" t="s">
        <v>145</v>
      </c>
      <c r="I137" s="55">
        <v>46184</v>
      </c>
      <c r="J137" s="55">
        <v>46188</v>
      </c>
      <c r="K137" s="55">
        <v>46216</v>
      </c>
      <c r="O137" s="3" t="s">
        <v>10</v>
      </c>
      <c r="P137" s="55">
        <v>46189</v>
      </c>
      <c r="R137" s="177"/>
    </row>
    <row r="138" spans="1:18" ht="15" customHeight="1">
      <c r="A138" s="173" t="s">
        <v>146</v>
      </c>
      <c r="B138" s="183" t="s">
        <v>143</v>
      </c>
      <c r="C138" s="196">
        <v>162608456</v>
      </c>
      <c r="D138" s="168"/>
      <c r="F138" s="29" t="s">
        <v>144</v>
      </c>
      <c r="G138" s="3" t="s">
        <v>16</v>
      </c>
      <c r="H138" s="3" t="s">
        <v>145</v>
      </c>
      <c r="I138" s="55">
        <v>46184</v>
      </c>
      <c r="J138" s="55">
        <v>46188</v>
      </c>
      <c r="K138" s="55">
        <v>46216</v>
      </c>
      <c r="O138" s="3" t="s">
        <v>10</v>
      </c>
      <c r="P138" s="55">
        <v>46189</v>
      </c>
      <c r="R138" s="177"/>
    </row>
    <row r="139" spans="1:18" ht="15" customHeight="1">
      <c r="A139" s="173" t="s">
        <v>146</v>
      </c>
      <c r="B139" s="183" t="s">
        <v>143</v>
      </c>
      <c r="C139" s="196">
        <v>162608311</v>
      </c>
      <c r="D139" s="168"/>
      <c r="F139" s="29" t="s">
        <v>144</v>
      </c>
      <c r="G139" s="3" t="s">
        <v>16</v>
      </c>
      <c r="H139" s="3" t="s">
        <v>145</v>
      </c>
      <c r="I139" s="55">
        <v>46184</v>
      </c>
      <c r="J139" s="55">
        <v>46188</v>
      </c>
      <c r="K139" s="55">
        <v>46216</v>
      </c>
      <c r="O139" s="3" t="s">
        <v>10</v>
      </c>
      <c r="P139" s="55">
        <v>46189</v>
      </c>
      <c r="R139" s="177"/>
    </row>
    <row r="140" spans="1:18" ht="15" customHeight="1">
      <c r="A140" s="173" t="s">
        <v>146</v>
      </c>
      <c r="B140" s="183" t="s">
        <v>143</v>
      </c>
      <c r="C140" s="196">
        <v>162608329</v>
      </c>
      <c r="D140" s="168"/>
      <c r="F140" s="29" t="s">
        <v>144</v>
      </c>
      <c r="G140" s="3" t="s">
        <v>16</v>
      </c>
      <c r="H140" s="3" t="s">
        <v>145</v>
      </c>
      <c r="I140" s="55">
        <v>46184</v>
      </c>
      <c r="J140" s="55">
        <v>46188</v>
      </c>
      <c r="K140" s="55">
        <v>46216</v>
      </c>
      <c r="O140" s="3" t="s">
        <v>10</v>
      </c>
      <c r="P140" s="55">
        <v>46189</v>
      </c>
      <c r="R140" s="177"/>
    </row>
    <row r="141" spans="1:18" ht="15" customHeight="1">
      <c r="A141" s="173" t="s">
        <v>146</v>
      </c>
      <c r="B141" s="183" t="s">
        <v>143</v>
      </c>
      <c r="C141" s="196">
        <v>162608468</v>
      </c>
      <c r="D141" s="168"/>
      <c r="F141" s="29" t="s">
        <v>144</v>
      </c>
      <c r="G141" s="3" t="s">
        <v>16</v>
      </c>
      <c r="H141" s="3" t="s">
        <v>145</v>
      </c>
      <c r="I141" s="55">
        <v>46184</v>
      </c>
      <c r="J141" s="55">
        <v>46188</v>
      </c>
      <c r="K141" s="55">
        <v>46216</v>
      </c>
      <c r="O141" s="3" t="s">
        <v>10</v>
      </c>
      <c r="P141" s="55">
        <v>46189</v>
      </c>
      <c r="R141" s="177"/>
    </row>
    <row r="142" spans="1:18" ht="15" customHeight="1">
      <c r="A142" s="173" t="s">
        <v>147</v>
      </c>
      <c r="B142" s="183" t="s">
        <v>148</v>
      </c>
      <c r="C142" s="196">
        <v>166610847</v>
      </c>
      <c r="D142" s="168"/>
      <c r="F142" s="29" t="s">
        <v>111</v>
      </c>
      <c r="G142" s="3" t="s">
        <v>64</v>
      </c>
      <c r="H142" s="3" t="s">
        <v>112</v>
      </c>
      <c r="I142" s="55">
        <v>46188</v>
      </c>
      <c r="J142" s="55">
        <v>46191</v>
      </c>
      <c r="K142" s="55">
        <v>46221</v>
      </c>
      <c r="O142" s="3" t="s">
        <v>9</v>
      </c>
      <c r="R142" s="177"/>
    </row>
    <row r="143" spans="1:18" ht="15" customHeight="1">
      <c r="A143" s="173" t="s">
        <v>147</v>
      </c>
      <c r="B143" s="183" t="s">
        <v>148</v>
      </c>
      <c r="C143" s="196">
        <v>166610846</v>
      </c>
      <c r="D143" s="168"/>
      <c r="F143" s="29" t="s">
        <v>111</v>
      </c>
      <c r="G143" s="3" t="s">
        <v>64</v>
      </c>
      <c r="H143" s="3" t="s">
        <v>112</v>
      </c>
      <c r="I143" s="55">
        <v>46188</v>
      </c>
      <c r="J143" s="55">
        <v>46191</v>
      </c>
      <c r="K143" s="55">
        <v>46221</v>
      </c>
      <c r="O143" s="3" t="s">
        <v>9</v>
      </c>
      <c r="R143" s="177"/>
    </row>
    <row r="144" spans="1:18" ht="15" customHeight="1">
      <c r="A144" s="173" t="s">
        <v>147</v>
      </c>
      <c r="B144" s="183" t="s">
        <v>148</v>
      </c>
      <c r="C144" s="196">
        <v>166610845</v>
      </c>
      <c r="D144" s="168"/>
      <c r="F144" s="29" t="s">
        <v>111</v>
      </c>
      <c r="G144" s="3" t="s">
        <v>64</v>
      </c>
      <c r="H144" s="3" t="s">
        <v>112</v>
      </c>
      <c r="I144" s="55">
        <v>46188</v>
      </c>
      <c r="J144" s="55">
        <v>46191</v>
      </c>
      <c r="K144" s="55">
        <v>46221</v>
      </c>
      <c r="O144" s="3" t="s">
        <v>9</v>
      </c>
      <c r="R144" s="177"/>
    </row>
    <row r="145" spans="1:18" ht="15" customHeight="1">
      <c r="A145" s="173" t="s">
        <v>147</v>
      </c>
      <c r="B145" s="183" t="s">
        <v>148</v>
      </c>
      <c r="C145" s="196">
        <v>166610843</v>
      </c>
      <c r="D145" s="168"/>
      <c r="F145" s="29" t="s">
        <v>111</v>
      </c>
      <c r="G145" s="3" t="s">
        <v>64</v>
      </c>
      <c r="H145" s="3" t="s">
        <v>112</v>
      </c>
      <c r="I145" s="55">
        <v>46188</v>
      </c>
      <c r="J145" s="55">
        <v>46191</v>
      </c>
      <c r="K145" s="55">
        <v>46221</v>
      </c>
      <c r="O145" s="3" t="s">
        <v>9</v>
      </c>
      <c r="R145" s="177"/>
    </row>
    <row r="146" spans="1:18" ht="15" customHeight="1">
      <c r="A146" s="173" t="s">
        <v>147</v>
      </c>
      <c r="B146" s="183" t="s">
        <v>148</v>
      </c>
      <c r="C146" s="196">
        <v>166610841</v>
      </c>
      <c r="D146" s="168"/>
      <c r="F146" s="29" t="s">
        <v>111</v>
      </c>
      <c r="G146" s="3" t="s">
        <v>64</v>
      </c>
      <c r="H146" s="3" t="s">
        <v>112</v>
      </c>
      <c r="I146" s="55">
        <v>46188</v>
      </c>
      <c r="J146" s="55">
        <v>46191</v>
      </c>
      <c r="K146" s="55">
        <v>46221</v>
      </c>
      <c r="O146" s="3" t="s">
        <v>9</v>
      </c>
      <c r="R146" s="177"/>
    </row>
    <row r="147" spans="1:18" ht="15" customHeight="1">
      <c r="A147" s="173" t="s">
        <v>149</v>
      </c>
      <c r="B147" s="183" t="s">
        <v>150</v>
      </c>
      <c r="C147" s="196">
        <v>166610818</v>
      </c>
      <c r="D147" s="168"/>
      <c r="F147" s="29" t="s">
        <v>111</v>
      </c>
      <c r="G147" s="3" t="s">
        <v>64</v>
      </c>
      <c r="H147" s="3" t="s">
        <v>112</v>
      </c>
      <c r="I147" s="55">
        <v>46188</v>
      </c>
      <c r="J147" s="55">
        <v>46191</v>
      </c>
      <c r="K147" s="55">
        <v>46221</v>
      </c>
      <c r="O147" s="3" t="s">
        <v>9</v>
      </c>
      <c r="R147" s="177"/>
    </row>
    <row r="148" spans="1:18" ht="15" customHeight="1">
      <c r="A148" s="173" t="s">
        <v>149</v>
      </c>
      <c r="B148" s="183" t="s">
        <v>150</v>
      </c>
      <c r="C148" s="196">
        <v>166610816</v>
      </c>
      <c r="D148" s="168"/>
      <c r="F148" s="29" t="s">
        <v>111</v>
      </c>
      <c r="G148" s="3" t="s">
        <v>64</v>
      </c>
      <c r="H148" s="3" t="s">
        <v>112</v>
      </c>
      <c r="I148" s="55">
        <v>46188</v>
      </c>
      <c r="J148" s="55">
        <v>46191</v>
      </c>
      <c r="K148" s="55">
        <v>46221</v>
      </c>
      <c r="O148" s="3" t="s">
        <v>9</v>
      </c>
      <c r="R148" s="177"/>
    </row>
    <row r="149" spans="1:18" ht="15" customHeight="1">
      <c r="A149" s="173" t="s">
        <v>149</v>
      </c>
      <c r="B149" s="183" t="s">
        <v>150</v>
      </c>
      <c r="C149" s="196">
        <v>166610815</v>
      </c>
      <c r="D149" s="168"/>
      <c r="F149" s="29" t="s">
        <v>111</v>
      </c>
      <c r="G149" s="3" t="s">
        <v>64</v>
      </c>
      <c r="H149" s="3" t="s">
        <v>112</v>
      </c>
      <c r="I149" s="55">
        <v>46188</v>
      </c>
      <c r="J149" s="55">
        <v>46191</v>
      </c>
      <c r="K149" s="55">
        <v>46221</v>
      </c>
      <c r="O149" s="3" t="s">
        <v>9</v>
      </c>
      <c r="R149" s="177"/>
    </row>
    <row r="150" spans="1:18" ht="15" customHeight="1">
      <c r="A150" s="173" t="s">
        <v>149</v>
      </c>
      <c r="B150" s="183" t="s">
        <v>150</v>
      </c>
      <c r="C150" s="196">
        <v>166610812</v>
      </c>
      <c r="D150" s="168"/>
      <c r="F150" s="29" t="s">
        <v>111</v>
      </c>
      <c r="G150" s="3" t="s">
        <v>64</v>
      </c>
      <c r="H150" s="3" t="s">
        <v>112</v>
      </c>
      <c r="I150" s="55">
        <v>46188</v>
      </c>
      <c r="J150" s="55">
        <v>46191</v>
      </c>
      <c r="K150" s="55">
        <v>46221</v>
      </c>
      <c r="O150" s="3" t="s">
        <v>9</v>
      </c>
      <c r="R150" s="177"/>
    </row>
    <row r="151" spans="1:18" ht="15" customHeight="1">
      <c r="A151" s="173" t="s">
        <v>149</v>
      </c>
      <c r="B151" s="183" t="s">
        <v>150</v>
      </c>
      <c r="C151" s="196">
        <v>166610809</v>
      </c>
      <c r="D151" s="168"/>
      <c r="F151" s="29" t="s">
        <v>111</v>
      </c>
      <c r="G151" s="3" t="s">
        <v>64</v>
      </c>
      <c r="H151" s="3" t="s">
        <v>112</v>
      </c>
      <c r="I151" s="55">
        <v>46188</v>
      </c>
      <c r="J151" s="55">
        <v>46191</v>
      </c>
      <c r="K151" s="55">
        <v>46221</v>
      </c>
      <c r="O151" s="3" t="s">
        <v>9</v>
      </c>
      <c r="R151" s="177"/>
    </row>
    <row r="152" spans="1:18" ht="15" customHeight="1">
      <c r="A152" s="173" t="s">
        <v>149</v>
      </c>
      <c r="B152" s="183" t="s">
        <v>150</v>
      </c>
      <c r="C152" s="196">
        <v>166610807</v>
      </c>
      <c r="D152" s="168"/>
      <c r="F152" s="29" t="s">
        <v>111</v>
      </c>
      <c r="G152" s="3" t="s">
        <v>64</v>
      </c>
      <c r="H152" s="3" t="s">
        <v>112</v>
      </c>
      <c r="I152" s="55">
        <v>46188</v>
      </c>
      <c r="J152" s="55">
        <v>46191</v>
      </c>
      <c r="K152" s="55">
        <v>46221</v>
      </c>
      <c r="O152" s="3" t="s">
        <v>9</v>
      </c>
      <c r="R152" s="177"/>
    </row>
    <row r="153" spans="1:18" ht="15" customHeight="1">
      <c r="A153" s="173" t="s">
        <v>149</v>
      </c>
      <c r="B153" s="183" t="s">
        <v>150</v>
      </c>
      <c r="C153" s="196">
        <v>166610805</v>
      </c>
      <c r="D153" s="168"/>
      <c r="F153" s="29" t="s">
        <v>111</v>
      </c>
      <c r="G153" s="3" t="s">
        <v>64</v>
      </c>
      <c r="H153" s="3" t="s">
        <v>112</v>
      </c>
      <c r="I153" s="55">
        <v>46188</v>
      </c>
      <c r="J153" s="55">
        <v>46191</v>
      </c>
      <c r="K153" s="55">
        <v>46221</v>
      </c>
      <c r="O153" s="3" t="s">
        <v>9</v>
      </c>
      <c r="R153" s="177"/>
    </row>
    <row r="154" spans="1:18" ht="15" customHeight="1">
      <c r="A154" s="173" t="s">
        <v>149</v>
      </c>
      <c r="B154" s="183" t="s">
        <v>150</v>
      </c>
      <c r="C154" s="196">
        <v>166610800</v>
      </c>
      <c r="D154" s="168"/>
      <c r="F154" s="29" t="s">
        <v>111</v>
      </c>
      <c r="G154" s="3" t="s">
        <v>64</v>
      </c>
      <c r="H154" s="3" t="s">
        <v>112</v>
      </c>
      <c r="I154" s="55">
        <v>46188</v>
      </c>
      <c r="J154" s="55">
        <v>46191</v>
      </c>
      <c r="K154" s="55">
        <v>46221</v>
      </c>
      <c r="O154" s="3" t="s">
        <v>9</v>
      </c>
      <c r="R154" s="177"/>
    </row>
    <row r="155" spans="1:18" ht="15" customHeight="1">
      <c r="A155" s="173" t="s">
        <v>149</v>
      </c>
      <c r="B155" s="183" t="s">
        <v>150</v>
      </c>
      <c r="C155" s="196">
        <v>166610794</v>
      </c>
      <c r="D155" s="168"/>
      <c r="F155" s="29" t="s">
        <v>111</v>
      </c>
      <c r="G155" s="3" t="s">
        <v>64</v>
      </c>
      <c r="H155" s="3" t="s">
        <v>112</v>
      </c>
      <c r="I155" s="55">
        <v>46188</v>
      </c>
      <c r="J155" s="55">
        <v>46191</v>
      </c>
      <c r="K155" s="55">
        <v>46221</v>
      </c>
      <c r="O155" s="3" t="s">
        <v>9</v>
      </c>
      <c r="R155" s="177"/>
    </row>
    <row r="156" spans="1:18" ht="15" customHeight="1">
      <c r="A156" s="173" t="s">
        <v>149</v>
      </c>
      <c r="B156" s="183" t="s">
        <v>150</v>
      </c>
      <c r="C156" s="196">
        <v>166610788</v>
      </c>
      <c r="D156" s="168"/>
      <c r="F156" s="29" t="s">
        <v>111</v>
      </c>
      <c r="G156" s="3" t="s">
        <v>64</v>
      </c>
      <c r="H156" s="3" t="s">
        <v>112</v>
      </c>
      <c r="I156" s="55">
        <v>46188</v>
      </c>
      <c r="J156" s="55">
        <v>46191</v>
      </c>
      <c r="K156" s="55">
        <v>46221</v>
      </c>
      <c r="O156" s="3" t="s">
        <v>9</v>
      </c>
      <c r="R156" s="177"/>
    </row>
    <row r="157" spans="1:18" ht="15" customHeight="1">
      <c r="A157" s="173" t="s">
        <v>149</v>
      </c>
      <c r="B157" s="183" t="s">
        <v>150</v>
      </c>
      <c r="C157" s="196">
        <v>166610784</v>
      </c>
      <c r="D157" s="168"/>
      <c r="F157" s="29" t="s">
        <v>111</v>
      </c>
      <c r="G157" s="3" t="s">
        <v>64</v>
      </c>
      <c r="H157" s="3" t="s">
        <v>112</v>
      </c>
      <c r="I157" s="55">
        <v>46188</v>
      </c>
      <c r="J157" s="55">
        <v>46191</v>
      </c>
      <c r="K157" s="55">
        <v>46221</v>
      </c>
      <c r="O157" s="3" t="s">
        <v>9</v>
      </c>
      <c r="R157" s="177"/>
    </row>
    <row r="158" spans="1:18" ht="15" customHeight="1">
      <c r="A158" s="173" t="s">
        <v>151</v>
      </c>
      <c r="B158" s="183" t="s">
        <v>152</v>
      </c>
      <c r="C158" s="196">
        <v>167602591</v>
      </c>
      <c r="D158" s="168"/>
      <c r="F158" s="29" t="s">
        <v>153</v>
      </c>
      <c r="G158" s="3" t="s">
        <v>116</v>
      </c>
      <c r="H158" s="3" t="s">
        <v>154</v>
      </c>
      <c r="I158" s="55">
        <v>46189</v>
      </c>
      <c r="J158" s="55">
        <v>46192</v>
      </c>
      <c r="K158" s="55">
        <v>46219</v>
      </c>
      <c r="O158" s="3" t="s">
        <v>9</v>
      </c>
      <c r="R158" s="177"/>
    </row>
    <row r="159" spans="1:18" ht="15" customHeight="1">
      <c r="A159" s="173" t="s">
        <v>155</v>
      </c>
      <c r="B159" s="183" t="s">
        <v>156</v>
      </c>
      <c r="C159" s="196">
        <v>167602359</v>
      </c>
      <c r="D159" s="168"/>
      <c r="F159" s="29" t="s">
        <v>153</v>
      </c>
      <c r="G159" s="3" t="s">
        <v>116</v>
      </c>
      <c r="H159" s="3" t="s">
        <v>154</v>
      </c>
      <c r="I159" s="55">
        <v>46189</v>
      </c>
      <c r="J159" s="55">
        <v>46192</v>
      </c>
      <c r="K159" s="55">
        <v>46219</v>
      </c>
      <c r="O159" s="3" t="s">
        <v>10</v>
      </c>
      <c r="P159" s="55">
        <v>46216</v>
      </c>
      <c r="R159" s="177"/>
    </row>
    <row r="160" spans="1:18" ht="15" customHeight="1">
      <c r="A160" s="173" t="s">
        <v>157</v>
      </c>
      <c r="B160" s="183" t="s">
        <v>158</v>
      </c>
      <c r="C160" s="196">
        <v>167602890</v>
      </c>
      <c r="D160" s="168"/>
      <c r="F160" s="29" t="s">
        <v>153</v>
      </c>
      <c r="G160" s="3" t="s">
        <v>116</v>
      </c>
      <c r="H160" s="3" t="s">
        <v>154</v>
      </c>
      <c r="I160" s="55">
        <v>46189</v>
      </c>
      <c r="J160" s="55">
        <v>46192</v>
      </c>
      <c r="K160" s="55">
        <v>46219</v>
      </c>
      <c r="O160" s="3" t="s">
        <v>9</v>
      </c>
      <c r="R160" s="177"/>
    </row>
    <row r="161" spans="1:18" ht="15" customHeight="1">
      <c r="A161" s="173" t="s">
        <v>157</v>
      </c>
      <c r="B161" s="183" t="s">
        <v>158</v>
      </c>
      <c r="C161" s="196">
        <v>167602799</v>
      </c>
      <c r="D161" s="168"/>
      <c r="F161" s="29" t="s">
        <v>153</v>
      </c>
      <c r="G161" s="3" t="s">
        <v>116</v>
      </c>
      <c r="H161" s="3" t="s">
        <v>154</v>
      </c>
      <c r="I161" s="55">
        <v>46189</v>
      </c>
      <c r="J161" s="55">
        <v>46192</v>
      </c>
      <c r="K161" s="55">
        <v>46219</v>
      </c>
      <c r="O161" s="3" t="s">
        <v>10</v>
      </c>
      <c r="P161" s="55">
        <v>46216</v>
      </c>
      <c r="R161" s="177"/>
    </row>
    <row r="162" spans="1:18" ht="15" customHeight="1">
      <c r="A162" s="173" t="s">
        <v>157</v>
      </c>
      <c r="B162" s="183" t="s">
        <v>158</v>
      </c>
      <c r="C162" s="196">
        <v>167603058</v>
      </c>
      <c r="D162" s="168"/>
      <c r="F162" s="29" t="s">
        <v>153</v>
      </c>
      <c r="G162" s="3" t="s">
        <v>116</v>
      </c>
      <c r="H162" s="3" t="s">
        <v>154</v>
      </c>
      <c r="I162" s="55">
        <v>46189</v>
      </c>
      <c r="J162" s="55">
        <v>46192</v>
      </c>
      <c r="K162" s="55">
        <v>46219</v>
      </c>
      <c r="O162" s="3" t="s">
        <v>10</v>
      </c>
      <c r="P162" s="55">
        <v>46216</v>
      </c>
      <c r="R162" s="177"/>
    </row>
    <row r="163" spans="1:18" ht="15" customHeight="1">
      <c r="A163" s="173" t="s">
        <v>157</v>
      </c>
      <c r="B163" s="183" t="s">
        <v>158</v>
      </c>
      <c r="C163" s="196">
        <v>167602832</v>
      </c>
      <c r="D163" s="168"/>
      <c r="F163" s="29" t="s">
        <v>153</v>
      </c>
      <c r="G163" s="3" t="s">
        <v>116</v>
      </c>
      <c r="H163" s="3" t="s">
        <v>154</v>
      </c>
      <c r="I163" s="55">
        <v>46189</v>
      </c>
      <c r="J163" s="55">
        <v>46192</v>
      </c>
      <c r="K163" s="55">
        <v>46219</v>
      </c>
      <c r="O163" s="3" t="s">
        <v>9</v>
      </c>
      <c r="R163" s="177"/>
    </row>
    <row r="164" spans="1:18" ht="15" customHeight="1">
      <c r="A164" s="173" t="s">
        <v>157</v>
      </c>
      <c r="B164" s="183" t="s">
        <v>158</v>
      </c>
      <c r="C164" s="196">
        <v>167602733</v>
      </c>
      <c r="D164" s="168"/>
      <c r="F164" s="29" t="s">
        <v>153</v>
      </c>
      <c r="G164" s="3" t="s">
        <v>116</v>
      </c>
      <c r="H164" s="3" t="s">
        <v>154</v>
      </c>
      <c r="I164" s="55">
        <v>46189</v>
      </c>
      <c r="J164" s="55">
        <v>46192</v>
      </c>
      <c r="K164" s="55">
        <v>46219</v>
      </c>
      <c r="O164" s="3" t="s">
        <v>9</v>
      </c>
      <c r="R164" s="177"/>
    </row>
    <row r="165" spans="1:18" ht="15" customHeight="1">
      <c r="A165" s="173" t="s">
        <v>159</v>
      </c>
      <c r="B165" s="183" t="s">
        <v>160</v>
      </c>
      <c r="C165" s="196">
        <v>167602953</v>
      </c>
      <c r="D165" s="168"/>
      <c r="F165" s="29" t="s">
        <v>161</v>
      </c>
      <c r="G165" s="3" t="s">
        <v>116</v>
      </c>
      <c r="H165" s="3" t="s">
        <v>117</v>
      </c>
      <c r="I165" s="55">
        <v>46189</v>
      </c>
      <c r="J165" s="55">
        <v>46192</v>
      </c>
      <c r="K165" s="55">
        <v>46219</v>
      </c>
      <c r="O165" s="3" t="s">
        <v>9</v>
      </c>
      <c r="R165" s="177"/>
    </row>
    <row r="166" spans="1:18" ht="15" customHeight="1">
      <c r="A166" s="173" t="s">
        <v>159</v>
      </c>
      <c r="B166" s="183" t="s">
        <v>160</v>
      </c>
      <c r="C166" s="196">
        <v>167603084</v>
      </c>
      <c r="D166" s="168"/>
      <c r="F166" s="29" t="s">
        <v>161</v>
      </c>
      <c r="G166" s="3" t="s">
        <v>116</v>
      </c>
      <c r="H166" s="3" t="s">
        <v>117</v>
      </c>
      <c r="I166" s="55">
        <v>46189</v>
      </c>
      <c r="J166" s="55">
        <v>46192</v>
      </c>
      <c r="K166" s="55">
        <v>46219</v>
      </c>
      <c r="O166" s="3" t="s">
        <v>9</v>
      </c>
      <c r="R166" s="177"/>
    </row>
    <row r="167" spans="1:18" ht="15" customHeight="1">
      <c r="A167" s="173" t="s">
        <v>162</v>
      </c>
      <c r="B167" s="183">
        <v>2025006895</v>
      </c>
      <c r="C167" s="196">
        <v>160601983</v>
      </c>
      <c r="D167" s="168"/>
      <c r="F167" s="29" t="s">
        <v>163</v>
      </c>
      <c r="G167" s="3" t="s">
        <v>164</v>
      </c>
      <c r="H167" s="3" t="s">
        <v>30</v>
      </c>
      <c r="I167" s="55">
        <v>46182</v>
      </c>
      <c r="J167" s="55">
        <v>46185</v>
      </c>
      <c r="K167" s="55">
        <v>46212</v>
      </c>
      <c r="O167" s="3" t="s">
        <v>10</v>
      </c>
      <c r="P167" s="55">
        <v>46183</v>
      </c>
      <c r="R167" s="177"/>
    </row>
    <row r="168" spans="1:18" ht="15" customHeight="1">
      <c r="A168" s="173" t="s">
        <v>162</v>
      </c>
      <c r="B168" s="183">
        <v>2025006895</v>
      </c>
      <c r="C168" s="196">
        <v>160601960</v>
      </c>
      <c r="D168" s="168"/>
      <c r="F168" s="29" t="s">
        <v>163</v>
      </c>
      <c r="G168" s="3" t="s">
        <v>164</v>
      </c>
      <c r="H168" s="3" t="s">
        <v>30</v>
      </c>
      <c r="I168" s="55">
        <v>46182</v>
      </c>
      <c r="J168" s="55">
        <v>46185</v>
      </c>
      <c r="K168" s="55">
        <v>46212</v>
      </c>
      <c r="O168" s="3" t="s">
        <v>10</v>
      </c>
      <c r="P168" s="55">
        <v>46183</v>
      </c>
      <c r="R168" s="177"/>
    </row>
    <row r="169" spans="1:18" ht="15" customHeight="1">
      <c r="A169" s="173" t="s">
        <v>162</v>
      </c>
      <c r="B169" s="183">
        <v>2025006895</v>
      </c>
      <c r="C169" s="196">
        <v>160601922</v>
      </c>
      <c r="D169" s="168"/>
      <c r="F169" s="29" t="s">
        <v>163</v>
      </c>
      <c r="G169" s="3" t="s">
        <v>164</v>
      </c>
      <c r="H169" s="3" t="s">
        <v>30</v>
      </c>
      <c r="I169" s="55">
        <v>46182</v>
      </c>
      <c r="J169" s="55">
        <v>46185</v>
      </c>
      <c r="K169" s="55">
        <v>46212</v>
      </c>
      <c r="O169" s="3" t="s">
        <v>10</v>
      </c>
      <c r="P169" s="55">
        <v>46183</v>
      </c>
      <c r="R169" s="177"/>
    </row>
    <row r="170" spans="1:18" ht="15" customHeight="1">
      <c r="A170" s="173" t="s">
        <v>162</v>
      </c>
      <c r="B170" s="183">
        <v>2025006895</v>
      </c>
      <c r="C170" s="196">
        <v>160601871</v>
      </c>
      <c r="D170" s="168"/>
      <c r="F170" s="29" t="s">
        <v>163</v>
      </c>
      <c r="G170" s="3" t="s">
        <v>164</v>
      </c>
      <c r="H170" s="3" t="s">
        <v>30</v>
      </c>
      <c r="I170" s="55">
        <v>46182</v>
      </c>
      <c r="J170" s="55">
        <v>46185</v>
      </c>
      <c r="K170" s="55">
        <v>46212</v>
      </c>
      <c r="O170" s="3" t="s">
        <v>10</v>
      </c>
      <c r="P170" s="55">
        <v>46183</v>
      </c>
      <c r="R170" s="177"/>
    </row>
    <row r="171" spans="1:18" ht="15" customHeight="1">
      <c r="A171" s="173" t="s">
        <v>162</v>
      </c>
      <c r="B171" s="183">
        <v>2025006895</v>
      </c>
      <c r="C171" s="196">
        <v>160601812</v>
      </c>
      <c r="D171" s="168"/>
      <c r="F171" s="29" t="s">
        <v>163</v>
      </c>
      <c r="G171" s="3" t="s">
        <v>164</v>
      </c>
      <c r="H171" s="3" t="s">
        <v>30</v>
      </c>
      <c r="I171" s="55">
        <v>46182</v>
      </c>
      <c r="J171" s="55">
        <v>46185</v>
      </c>
      <c r="K171" s="55">
        <v>46212</v>
      </c>
      <c r="O171" s="3" t="s">
        <v>10</v>
      </c>
      <c r="P171" s="55">
        <v>46183</v>
      </c>
      <c r="R171" s="177"/>
    </row>
    <row r="172" spans="1:18" ht="15" customHeight="1">
      <c r="A172" s="173" t="s">
        <v>162</v>
      </c>
      <c r="B172" s="183">
        <v>2025006895</v>
      </c>
      <c r="C172" s="196">
        <v>160601844</v>
      </c>
      <c r="D172" s="168"/>
      <c r="F172" s="29" t="s">
        <v>163</v>
      </c>
      <c r="G172" s="3" t="s">
        <v>164</v>
      </c>
      <c r="H172" s="3" t="s">
        <v>30</v>
      </c>
      <c r="I172" s="55">
        <v>46182</v>
      </c>
      <c r="J172" s="55">
        <v>46185</v>
      </c>
      <c r="K172" s="55">
        <v>46212</v>
      </c>
      <c r="O172" s="3" t="s">
        <v>10</v>
      </c>
      <c r="P172" s="55">
        <v>46183</v>
      </c>
      <c r="R172" s="177"/>
    </row>
    <row r="173" spans="1:18" ht="15" customHeight="1">
      <c r="A173" s="173" t="s">
        <v>162</v>
      </c>
      <c r="B173" s="183">
        <v>2025006895</v>
      </c>
      <c r="C173" s="196">
        <v>160601705</v>
      </c>
      <c r="D173" s="168"/>
      <c r="F173" s="29" t="s">
        <v>163</v>
      </c>
      <c r="G173" s="3" t="s">
        <v>164</v>
      </c>
      <c r="H173" s="3" t="s">
        <v>30</v>
      </c>
      <c r="I173" s="55">
        <v>46182</v>
      </c>
      <c r="J173" s="55">
        <v>46185</v>
      </c>
      <c r="K173" s="55">
        <v>46212</v>
      </c>
      <c r="O173" s="3" t="s">
        <v>10</v>
      </c>
      <c r="P173" s="55">
        <v>46183</v>
      </c>
      <c r="R173" s="177"/>
    </row>
    <row r="174" spans="1:18" ht="15" customHeight="1">
      <c r="A174" s="173" t="s">
        <v>162</v>
      </c>
      <c r="B174" s="183">
        <v>2025006895</v>
      </c>
      <c r="C174" s="196">
        <v>160602144</v>
      </c>
      <c r="D174" s="168"/>
      <c r="F174" s="29" t="s">
        <v>163</v>
      </c>
      <c r="G174" s="3" t="s">
        <v>164</v>
      </c>
      <c r="H174" s="3" t="s">
        <v>30</v>
      </c>
      <c r="I174" s="55">
        <v>46182</v>
      </c>
      <c r="J174" s="55">
        <v>46185</v>
      </c>
      <c r="K174" s="55">
        <v>46212</v>
      </c>
      <c r="O174" s="3" t="s">
        <v>10</v>
      </c>
      <c r="P174" s="55">
        <v>46183</v>
      </c>
      <c r="R174" s="177"/>
    </row>
    <row r="175" spans="1:18" ht="15" customHeight="1">
      <c r="A175" s="173" t="s">
        <v>162</v>
      </c>
      <c r="B175" s="183">
        <v>2025006895</v>
      </c>
      <c r="C175" s="196">
        <v>160602127</v>
      </c>
      <c r="D175" s="168"/>
      <c r="F175" s="29" t="s">
        <v>163</v>
      </c>
      <c r="G175" s="3" t="s">
        <v>164</v>
      </c>
      <c r="H175" s="3" t="s">
        <v>30</v>
      </c>
      <c r="I175" s="55">
        <v>46182</v>
      </c>
      <c r="J175" s="55">
        <v>46185</v>
      </c>
      <c r="K175" s="55">
        <v>46212</v>
      </c>
      <c r="O175" s="3" t="s">
        <v>10</v>
      </c>
      <c r="P175" s="55">
        <v>46183</v>
      </c>
      <c r="R175" s="177"/>
    </row>
    <row r="176" spans="1:18" ht="15" customHeight="1">
      <c r="A176" s="173" t="s">
        <v>162</v>
      </c>
      <c r="B176" s="183">
        <v>2025006895</v>
      </c>
      <c r="C176" s="196">
        <v>160602105</v>
      </c>
      <c r="D176" s="168"/>
      <c r="F176" s="29" t="s">
        <v>163</v>
      </c>
      <c r="G176" s="3" t="s">
        <v>164</v>
      </c>
      <c r="H176" s="3" t="s">
        <v>30</v>
      </c>
      <c r="I176" s="55">
        <v>46182</v>
      </c>
      <c r="J176" s="55">
        <v>46185</v>
      </c>
      <c r="K176" s="55">
        <v>46212</v>
      </c>
      <c r="O176" s="3" t="s">
        <v>10</v>
      </c>
      <c r="P176" s="55">
        <v>46183</v>
      </c>
      <c r="R176" s="177"/>
    </row>
    <row r="177" spans="1:18" ht="15" customHeight="1">
      <c r="A177" s="173" t="s">
        <v>162</v>
      </c>
      <c r="B177" s="183">
        <v>2025006895</v>
      </c>
      <c r="C177" s="196">
        <v>160602080</v>
      </c>
      <c r="D177" s="168"/>
      <c r="F177" s="29" t="s">
        <v>163</v>
      </c>
      <c r="G177" s="3" t="s">
        <v>164</v>
      </c>
      <c r="H177" s="3" t="s">
        <v>30</v>
      </c>
      <c r="I177" s="55">
        <v>46182</v>
      </c>
      <c r="J177" s="55">
        <v>46185</v>
      </c>
      <c r="K177" s="55">
        <v>46212</v>
      </c>
      <c r="O177" s="3" t="s">
        <v>10</v>
      </c>
      <c r="P177" s="55">
        <v>46183</v>
      </c>
      <c r="R177" s="177"/>
    </row>
    <row r="178" spans="1:18" ht="15" customHeight="1">
      <c r="A178" s="173" t="s">
        <v>162</v>
      </c>
      <c r="B178" s="183">
        <v>2025006895</v>
      </c>
      <c r="C178" s="196">
        <v>160602067</v>
      </c>
      <c r="D178" s="168"/>
      <c r="F178" s="29" t="s">
        <v>163</v>
      </c>
      <c r="G178" s="3" t="s">
        <v>164</v>
      </c>
      <c r="H178" s="3" t="s">
        <v>30</v>
      </c>
      <c r="I178" s="55">
        <v>46182</v>
      </c>
      <c r="J178" s="55">
        <v>46185</v>
      </c>
      <c r="K178" s="55">
        <v>46212</v>
      </c>
      <c r="O178" s="3" t="s">
        <v>10</v>
      </c>
      <c r="P178" s="55">
        <v>46183</v>
      </c>
      <c r="R178" s="177"/>
    </row>
    <row r="179" spans="1:18" ht="15" customHeight="1">
      <c r="A179" s="173" t="s">
        <v>162</v>
      </c>
      <c r="B179" s="183">
        <v>2025006895</v>
      </c>
      <c r="C179" s="196">
        <v>160602020</v>
      </c>
      <c r="D179" s="168"/>
      <c r="F179" s="29" t="s">
        <v>163</v>
      </c>
      <c r="G179" s="3" t="s">
        <v>164</v>
      </c>
      <c r="H179" s="3" t="s">
        <v>30</v>
      </c>
      <c r="I179" s="55">
        <v>46182</v>
      </c>
      <c r="J179" s="55">
        <v>46185</v>
      </c>
      <c r="K179" s="55">
        <v>46212</v>
      </c>
      <c r="O179" s="3" t="s">
        <v>10</v>
      </c>
      <c r="P179" s="55">
        <v>46177</v>
      </c>
      <c r="R179" s="177"/>
    </row>
    <row r="180" spans="1:18" ht="15" customHeight="1">
      <c r="A180" s="173" t="s">
        <v>165</v>
      </c>
      <c r="B180" s="183">
        <v>2025006984</v>
      </c>
      <c r="C180" s="196">
        <v>153602931</v>
      </c>
      <c r="D180" s="168"/>
      <c r="F180" s="29" t="s">
        <v>163</v>
      </c>
      <c r="G180" s="3" t="s">
        <v>164</v>
      </c>
      <c r="H180" s="3" t="s">
        <v>30</v>
      </c>
      <c r="I180" s="55">
        <v>46175</v>
      </c>
      <c r="J180" s="55">
        <v>46178</v>
      </c>
      <c r="K180" s="55">
        <v>46205</v>
      </c>
      <c r="O180" s="3" t="s">
        <v>10</v>
      </c>
      <c r="P180" s="55">
        <v>46177</v>
      </c>
      <c r="R180" s="177"/>
    </row>
    <row r="181" spans="1:18" ht="15" customHeight="1">
      <c r="A181" s="173" t="s">
        <v>165</v>
      </c>
      <c r="B181" s="183">
        <v>2025006984</v>
      </c>
      <c r="C181" s="196">
        <v>153602832</v>
      </c>
      <c r="D181" s="168"/>
      <c r="F181" s="29" t="s">
        <v>163</v>
      </c>
      <c r="G181" s="3" t="s">
        <v>164</v>
      </c>
      <c r="H181" s="3" t="s">
        <v>30</v>
      </c>
      <c r="I181" s="55">
        <v>46175</v>
      </c>
      <c r="J181" s="55">
        <v>46178</v>
      </c>
      <c r="K181" s="55">
        <v>46205</v>
      </c>
      <c r="O181" s="3" t="s">
        <v>10</v>
      </c>
      <c r="P181" s="55">
        <v>46177</v>
      </c>
      <c r="R181" s="177"/>
    </row>
    <row r="182" spans="1:18" ht="15" customHeight="1">
      <c r="A182" s="173" t="s">
        <v>165</v>
      </c>
      <c r="B182" s="183">
        <v>2025006984</v>
      </c>
      <c r="C182" s="196">
        <v>153602810</v>
      </c>
      <c r="D182" s="168"/>
      <c r="F182" s="29" t="s">
        <v>163</v>
      </c>
      <c r="G182" s="3" t="s">
        <v>164</v>
      </c>
      <c r="H182" s="3" t="s">
        <v>30</v>
      </c>
      <c r="I182" s="55">
        <v>46175</v>
      </c>
      <c r="J182" s="55">
        <v>46178</v>
      </c>
      <c r="K182" s="55">
        <v>46205</v>
      </c>
      <c r="O182" s="3" t="s">
        <v>10</v>
      </c>
      <c r="P182" s="55">
        <v>46177</v>
      </c>
      <c r="R182" s="177"/>
    </row>
    <row r="183" spans="1:18" ht="15" customHeight="1">
      <c r="A183" s="173" t="s">
        <v>165</v>
      </c>
      <c r="B183" s="183">
        <v>2025006984</v>
      </c>
      <c r="C183" s="196">
        <v>153602786</v>
      </c>
      <c r="D183" s="168"/>
      <c r="F183" s="29" t="s">
        <v>163</v>
      </c>
      <c r="G183" s="3" t="s">
        <v>164</v>
      </c>
      <c r="H183" s="3" t="s">
        <v>30</v>
      </c>
      <c r="I183" s="55">
        <v>46175</v>
      </c>
      <c r="J183" s="55">
        <v>46178</v>
      </c>
      <c r="K183" s="55">
        <v>46205</v>
      </c>
      <c r="O183" s="3" t="s">
        <v>10</v>
      </c>
      <c r="P183" s="55">
        <v>46177</v>
      </c>
      <c r="R183" s="177"/>
    </row>
    <row r="184" spans="1:18" ht="15" customHeight="1">
      <c r="A184" s="173" t="s">
        <v>165</v>
      </c>
      <c r="B184" s="183">
        <v>2025006984</v>
      </c>
      <c r="C184" s="196">
        <v>153602772</v>
      </c>
      <c r="D184" s="168"/>
      <c r="F184" s="29" t="s">
        <v>163</v>
      </c>
      <c r="G184" s="3" t="s">
        <v>164</v>
      </c>
      <c r="H184" s="3" t="s">
        <v>30</v>
      </c>
      <c r="I184" s="55">
        <v>46175</v>
      </c>
      <c r="J184" s="55">
        <v>46178</v>
      </c>
      <c r="K184" s="55">
        <v>46205</v>
      </c>
      <c r="O184" s="3" t="s">
        <v>10</v>
      </c>
      <c r="P184" s="55">
        <v>46177</v>
      </c>
      <c r="R184" s="177"/>
    </row>
    <row r="185" spans="1:18" ht="15" customHeight="1">
      <c r="A185" s="173" t="s">
        <v>165</v>
      </c>
      <c r="B185" s="183">
        <v>2025006984</v>
      </c>
      <c r="C185" s="196">
        <v>153602759</v>
      </c>
      <c r="D185" s="168"/>
      <c r="F185" s="29" t="s">
        <v>163</v>
      </c>
      <c r="G185" s="3" t="s">
        <v>164</v>
      </c>
      <c r="H185" s="3" t="s">
        <v>30</v>
      </c>
      <c r="I185" s="55">
        <v>46175</v>
      </c>
      <c r="J185" s="55">
        <v>46178</v>
      </c>
      <c r="K185" s="55">
        <v>46205</v>
      </c>
      <c r="O185" s="3" t="s">
        <v>10</v>
      </c>
      <c r="P185" s="55">
        <v>46177</v>
      </c>
      <c r="R185" s="177"/>
    </row>
    <row r="186" spans="1:18" ht="15" customHeight="1">
      <c r="A186" s="173" t="s">
        <v>165</v>
      </c>
      <c r="B186" s="183">
        <v>2025006984</v>
      </c>
      <c r="C186" s="196">
        <v>153602744</v>
      </c>
      <c r="D186" s="168"/>
      <c r="F186" s="29" t="s">
        <v>163</v>
      </c>
      <c r="G186" s="3" t="s">
        <v>164</v>
      </c>
      <c r="H186" s="3" t="s">
        <v>30</v>
      </c>
      <c r="I186" s="55">
        <v>46175</v>
      </c>
      <c r="J186" s="55">
        <v>46178</v>
      </c>
      <c r="K186" s="55">
        <v>46205</v>
      </c>
      <c r="O186" s="3" t="s">
        <v>10</v>
      </c>
      <c r="P186" s="55">
        <v>46177</v>
      </c>
      <c r="R186" s="177"/>
    </row>
    <row r="187" spans="1:18" ht="15" customHeight="1">
      <c r="A187" s="173" t="s">
        <v>165</v>
      </c>
      <c r="B187" s="183">
        <v>2025006984</v>
      </c>
      <c r="C187" s="196">
        <v>153602666</v>
      </c>
      <c r="D187" s="168"/>
      <c r="F187" s="29" t="s">
        <v>163</v>
      </c>
      <c r="G187" s="3" t="s">
        <v>164</v>
      </c>
      <c r="H187" s="3" t="s">
        <v>30</v>
      </c>
      <c r="I187" s="55">
        <v>46175</v>
      </c>
      <c r="J187" s="55">
        <v>46178</v>
      </c>
      <c r="K187" s="55">
        <v>46205</v>
      </c>
      <c r="O187" s="3" t="s">
        <v>10</v>
      </c>
      <c r="P187" s="55">
        <v>46177</v>
      </c>
      <c r="R187" s="177"/>
    </row>
    <row r="188" spans="1:18" ht="15" customHeight="1">
      <c r="A188" s="173" t="s">
        <v>165</v>
      </c>
      <c r="B188" s="183">
        <v>2025006984</v>
      </c>
      <c r="C188" s="196">
        <v>153602570</v>
      </c>
      <c r="D188" s="168"/>
      <c r="F188" s="29" t="s">
        <v>163</v>
      </c>
      <c r="G188" s="3" t="s">
        <v>164</v>
      </c>
      <c r="H188" s="3" t="s">
        <v>30</v>
      </c>
      <c r="I188" s="55">
        <v>46175</v>
      </c>
      <c r="J188" s="55">
        <v>46178</v>
      </c>
      <c r="K188" s="55">
        <v>46205</v>
      </c>
      <c r="O188" s="3" t="s">
        <v>10</v>
      </c>
      <c r="P188" s="55">
        <v>46177</v>
      </c>
      <c r="R188" s="177"/>
    </row>
    <row r="189" spans="1:18" ht="15" customHeight="1">
      <c r="A189" s="173" t="s">
        <v>165</v>
      </c>
      <c r="B189" s="183">
        <v>2025006984</v>
      </c>
      <c r="C189" s="196">
        <v>153602531</v>
      </c>
      <c r="D189" s="168"/>
      <c r="F189" s="29" t="s">
        <v>163</v>
      </c>
      <c r="G189" s="3" t="s">
        <v>164</v>
      </c>
      <c r="H189" s="3" t="s">
        <v>30</v>
      </c>
      <c r="I189" s="55">
        <v>46175</v>
      </c>
      <c r="J189" s="55">
        <v>46178</v>
      </c>
      <c r="K189" s="55">
        <v>46205</v>
      </c>
      <c r="O189" s="3" t="s">
        <v>10</v>
      </c>
      <c r="P189" s="55">
        <v>46177</v>
      </c>
      <c r="R189" s="177"/>
    </row>
    <row r="190" spans="1:18" ht="15" customHeight="1">
      <c r="A190" s="173" t="s">
        <v>165</v>
      </c>
      <c r="B190" s="183">
        <v>2025006984</v>
      </c>
      <c r="C190" s="196">
        <v>153602520</v>
      </c>
      <c r="D190" s="168"/>
      <c r="F190" s="29" t="s">
        <v>163</v>
      </c>
      <c r="G190" s="3" t="s">
        <v>164</v>
      </c>
      <c r="H190" s="3" t="s">
        <v>30</v>
      </c>
      <c r="I190" s="55">
        <v>46175</v>
      </c>
      <c r="J190" s="55">
        <v>46178</v>
      </c>
      <c r="K190" s="55">
        <v>46205</v>
      </c>
      <c r="O190" s="3" t="s">
        <v>10</v>
      </c>
      <c r="P190" s="55">
        <v>46177</v>
      </c>
      <c r="R190" s="177"/>
    </row>
    <row r="191" spans="1:18" ht="15" customHeight="1">
      <c r="A191" s="173" t="s">
        <v>165</v>
      </c>
      <c r="B191" s="183">
        <v>2025006984</v>
      </c>
      <c r="C191" s="196">
        <v>153602498</v>
      </c>
      <c r="D191" s="168"/>
      <c r="F191" s="29" t="s">
        <v>163</v>
      </c>
      <c r="G191" s="3" t="s">
        <v>164</v>
      </c>
      <c r="H191" s="3" t="s">
        <v>30</v>
      </c>
      <c r="I191" s="55">
        <v>46175</v>
      </c>
      <c r="J191" s="55">
        <v>46178</v>
      </c>
      <c r="K191" s="55">
        <v>46205</v>
      </c>
      <c r="O191" s="3" t="s">
        <v>10</v>
      </c>
      <c r="P191" s="55">
        <v>46177</v>
      </c>
      <c r="R191" s="177"/>
    </row>
    <row r="192" spans="1:18" ht="15" customHeight="1">
      <c r="A192" s="173" t="s">
        <v>165</v>
      </c>
      <c r="B192" s="183">
        <v>2025006984</v>
      </c>
      <c r="C192" s="196">
        <v>153602483</v>
      </c>
      <c r="D192" s="168"/>
      <c r="F192" s="29" t="s">
        <v>163</v>
      </c>
      <c r="G192" s="3" t="s">
        <v>164</v>
      </c>
      <c r="H192" s="3" t="s">
        <v>30</v>
      </c>
      <c r="I192" s="55">
        <v>46175</v>
      </c>
      <c r="J192" s="55">
        <v>46178</v>
      </c>
      <c r="K192" s="55">
        <v>46205</v>
      </c>
      <c r="O192" s="3" t="s">
        <v>10</v>
      </c>
      <c r="P192" s="55">
        <v>46177</v>
      </c>
      <c r="R192" s="177"/>
    </row>
    <row r="193" spans="1:18" ht="15" customHeight="1">
      <c r="A193" s="173" t="s">
        <v>165</v>
      </c>
      <c r="B193" s="183">
        <v>2025006984</v>
      </c>
      <c r="C193" s="196">
        <v>153602443</v>
      </c>
      <c r="D193" s="168"/>
      <c r="F193" s="29" t="s">
        <v>163</v>
      </c>
      <c r="G193" s="3" t="s">
        <v>164</v>
      </c>
      <c r="H193" s="3" t="s">
        <v>30</v>
      </c>
      <c r="I193" s="55">
        <v>46175</v>
      </c>
      <c r="J193" s="55">
        <v>46178</v>
      </c>
      <c r="K193" s="55">
        <v>46205</v>
      </c>
      <c r="O193" s="3" t="s">
        <v>10</v>
      </c>
      <c r="P193" s="55">
        <v>46177</v>
      </c>
      <c r="R193" s="177"/>
    </row>
    <row r="194" spans="1:18" ht="15" customHeight="1">
      <c r="A194" s="173" t="s">
        <v>165</v>
      </c>
      <c r="B194" s="183">
        <v>2025006984</v>
      </c>
      <c r="C194" s="196">
        <v>153602392</v>
      </c>
      <c r="D194" s="168"/>
      <c r="F194" s="29" t="s">
        <v>163</v>
      </c>
      <c r="G194" s="3" t="s">
        <v>164</v>
      </c>
      <c r="H194" s="3" t="s">
        <v>30</v>
      </c>
      <c r="I194" s="55">
        <v>46175</v>
      </c>
      <c r="J194" s="55">
        <v>46178</v>
      </c>
      <c r="K194" s="55">
        <v>46205</v>
      </c>
      <c r="O194" s="3" t="s">
        <v>10</v>
      </c>
      <c r="P194" s="55">
        <v>46177</v>
      </c>
      <c r="R194" s="177"/>
    </row>
    <row r="195" spans="1:18" ht="15" customHeight="1">
      <c r="A195" s="173" t="s">
        <v>165</v>
      </c>
      <c r="B195" s="183">
        <v>2025006984</v>
      </c>
      <c r="C195" s="196">
        <v>153602355</v>
      </c>
      <c r="D195" s="168"/>
      <c r="F195" s="29" t="s">
        <v>163</v>
      </c>
      <c r="G195" s="3" t="s">
        <v>164</v>
      </c>
      <c r="H195" s="3" t="s">
        <v>30</v>
      </c>
      <c r="I195" s="55">
        <v>46175</v>
      </c>
      <c r="J195" s="55">
        <v>46178</v>
      </c>
      <c r="K195" s="55">
        <v>46205</v>
      </c>
      <c r="O195" s="3" t="s">
        <v>10</v>
      </c>
      <c r="P195" s="55">
        <v>46177</v>
      </c>
      <c r="R195" s="177"/>
    </row>
    <row r="196" spans="1:18" ht="15" customHeight="1">
      <c r="A196" s="173" t="s">
        <v>165</v>
      </c>
      <c r="B196" s="183">
        <v>2025006984</v>
      </c>
      <c r="C196" s="196">
        <v>153602343</v>
      </c>
      <c r="D196" s="168"/>
      <c r="F196" s="29" t="s">
        <v>163</v>
      </c>
      <c r="G196" s="3" t="s">
        <v>164</v>
      </c>
      <c r="H196" s="3" t="s">
        <v>30</v>
      </c>
      <c r="I196" s="55">
        <v>46175</v>
      </c>
      <c r="J196" s="55">
        <v>46178</v>
      </c>
      <c r="K196" s="55">
        <v>46205</v>
      </c>
      <c r="O196" s="3" t="s">
        <v>10</v>
      </c>
      <c r="P196" s="55">
        <v>46177</v>
      </c>
      <c r="R196" s="177"/>
    </row>
    <row r="197" spans="1:18" ht="15" customHeight="1">
      <c r="A197" s="173" t="s">
        <v>165</v>
      </c>
      <c r="B197" s="183">
        <v>2025006984</v>
      </c>
      <c r="C197" s="196">
        <v>153602300</v>
      </c>
      <c r="D197" s="168"/>
      <c r="F197" s="29" t="s">
        <v>163</v>
      </c>
      <c r="G197" s="3" t="s">
        <v>164</v>
      </c>
      <c r="H197" s="3" t="s">
        <v>30</v>
      </c>
      <c r="I197" s="55">
        <v>46175</v>
      </c>
      <c r="J197" s="55">
        <v>46178</v>
      </c>
      <c r="K197" s="55">
        <v>46205</v>
      </c>
      <c r="O197" s="3" t="s">
        <v>10</v>
      </c>
      <c r="P197" s="55">
        <v>46177</v>
      </c>
      <c r="R197" s="177"/>
    </row>
    <row r="198" spans="1:18" ht="15" customHeight="1">
      <c r="A198" s="173" t="s">
        <v>165</v>
      </c>
      <c r="B198" s="183">
        <v>2025006984</v>
      </c>
      <c r="C198" s="196">
        <v>153602272</v>
      </c>
      <c r="D198" s="168"/>
      <c r="F198" s="29" t="s">
        <v>163</v>
      </c>
      <c r="G198" s="3" t="s">
        <v>164</v>
      </c>
      <c r="H198" s="3" t="s">
        <v>30</v>
      </c>
      <c r="I198" s="55">
        <v>46175</v>
      </c>
      <c r="J198" s="55">
        <v>46178</v>
      </c>
      <c r="K198" s="55">
        <v>46205</v>
      </c>
      <c r="O198" s="3" t="s">
        <v>10</v>
      </c>
      <c r="P198" s="55">
        <v>46177</v>
      </c>
      <c r="R198" s="177"/>
    </row>
    <row r="199" spans="1:18" ht="15" customHeight="1">
      <c r="A199" s="173" t="s">
        <v>166</v>
      </c>
      <c r="B199" s="183">
        <v>2025006938</v>
      </c>
      <c r="C199" s="196">
        <v>168605429</v>
      </c>
      <c r="D199" s="168"/>
      <c r="F199" s="29" t="s">
        <v>163</v>
      </c>
      <c r="G199" s="3" t="s">
        <v>164</v>
      </c>
      <c r="H199" s="3" t="s">
        <v>30</v>
      </c>
      <c r="I199" s="55">
        <v>46190</v>
      </c>
      <c r="J199" s="55">
        <v>46193</v>
      </c>
      <c r="K199" s="55">
        <v>46220</v>
      </c>
      <c r="O199" s="3" t="s">
        <v>10</v>
      </c>
      <c r="P199" s="55">
        <v>46199</v>
      </c>
      <c r="R199" s="177"/>
    </row>
    <row r="200" spans="1:18" ht="15" customHeight="1">
      <c r="A200" s="173" t="s">
        <v>166</v>
      </c>
      <c r="B200" s="183">
        <v>2025006938</v>
      </c>
      <c r="C200" s="196">
        <v>168605387</v>
      </c>
      <c r="D200" s="168"/>
      <c r="F200" s="29" t="s">
        <v>163</v>
      </c>
      <c r="G200" s="3" t="s">
        <v>164</v>
      </c>
      <c r="H200" s="3" t="s">
        <v>30</v>
      </c>
      <c r="I200" s="55">
        <v>46190</v>
      </c>
      <c r="J200" s="55">
        <v>46193</v>
      </c>
      <c r="K200" s="55">
        <v>46220</v>
      </c>
      <c r="O200" s="3" t="s">
        <v>10</v>
      </c>
      <c r="P200" s="55">
        <v>46199</v>
      </c>
      <c r="R200" s="177"/>
    </row>
    <row r="201" spans="1:18" ht="15" customHeight="1">
      <c r="A201" s="173" t="s">
        <v>166</v>
      </c>
      <c r="B201" s="183">
        <v>2025006938</v>
      </c>
      <c r="C201" s="196">
        <v>168605373</v>
      </c>
      <c r="D201" s="168"/>
      <c r="F201" s="29" t="s">
        <v>163</v>
      </c>
      <c r="G201" s="3" t="s">
        <v>164</v>
      </c>
      <c r="H201" s="3" t="s">
        <v>30</v>
      </c>
      <c r="I201" s="55">
        <v>46190</v>
      </c>
      <c r="J201" s="55">
        <v>46193</v>
      </c>
      <c r="K201" s="55">
        <v>46220</v>
      </c>
      <c r="O201" s="3" t="s">
        <v>10</v>
      </c>
      <c r="P201" s="55">
        <v>46199</v>
      </c>
      <c r="R201" s="177"/>
    </row>
    <row r="202" spans="1:18" ht="15" customHeight="1">
      <c r="A202" s="173" t="s">
        <v>166</v>
      </c>
      <c r="B202" s="183">
        <v>2025006938</v>
      </c>
      <c r="C202" s="196">
        <v>168605339</v>
      </c>
      <c r="D202" s="168"/>
      <c r="F202" s="29" t="s">
        <v>163</v>
      </c>
      <c r="G202" s="3" t="s">
        <v>164</v>
      </c>
      <c r="H202" s="3" t="s">
        <v>30</v>
      </c>
      <c r="I202" s="55">
        <v>46190</v>
      </c>
      <c r="J202" s="55">
        <v>46193</v>
      </c>
      <c r="K202" s="55">
        <v>46220</v>
      </c>
      <c r="O202" s="3" t="s">
        <v>10</v>
      </c>
      <c r="P202" s="55">
        <v>46199</v>
      </c>
      <c r="R202" s="177"/>
    </row>
    <row r="203" spans="1:18" ht="15" customHeight="1">
      <c r="A203" s="183" t="s">
        <v>166</v>
      </c>
      <c r="B203" s="183">
        <v>2025006938</v>
      </c>
      <c r="C203" s="196">
        <v>168605318</v>
      </c>
      <c r="D203" s="168"/>
      <c r="E203" s="184"/>
      <c r="F203" s="29" t="s">
        <v>163</v>
      </c>
      <c r="G203" s="45" t="s">
        <v>164</v>
      </c>
      <c r="H203" s="45" t="s">
        <v>30</v>
      </c>
      <c r="I203" s="59">
        <v>46190</v>
      </c>
      <c r="J203" s="59">
        <v>46193</v>
      </c>
      <c r="K203" s="59">
        <v>46220</v>
      </c>
      <c r="L203" s="45"/>
      <c r="M203" s="45"/>
      <c r="N203" s="45"/>
      <c r="O203" s="3" t="s">
        <v>10</v>
      </c>
      <c r="P203" s="55">
        <v>46199</v>
      </c>
      <c r="Q203" s="185"/>
      <c r="R203" s="177"/>
    </row>
    <row r="204" spans="1:18" ht="15" customHeight="1">
      <c r="A204" s="166" t="s">
        <v>166</v>
      </c>
      <c r="B204" s="183">
        <v>2025006938</v>
      </c>
      <c r="C204" s="196">
        <v>168605266</v>
      </c>
      <c r="D204" s="168"/>
      <c r="F204" s="29" t="s">
        <v>163</v>
      </c>
      <c r="G204" s="3" t="s">
        <v>164</v>
      </c>
      <c r="H204" s="3" t="s">
        <v>30</v>
      </c>
      <c r="I204" s="55">
        <v>46190</v>
      </c>
      <c r="J204" s="55">
        <v>46193</v>
      </c>
      <c r="K204" s="55">
        <v>46220</v>
      </c>
      <c r="O204" s="3" t="s">
        <v>10</v>
      </c>
      <c r="P204" s="55">
        <v>46199</v>
      </c>
      <c r="R204" s="190"/>
    </row>
    <row r="205" spans="1:18" ht="15" customHeight="1">
      <c r="A205" s="166" t="s">
        <v>166</v>
      </c>
      <c r="B205" s="183">
        <v>2025006938</v>
      </c>
      <c r="C205" s="196">
        <v>168605224</v>
      </c>
      <c r="D205" s="168"/>
      <c r="F205" s="29" t="s">
        <v>163</v>
      </c>
      <c r="G205" s="3" t="s">
        <v>164</v>
      </c>
      <c r="H205" s="3" t="s">
        <v>30</v>
      </c>
      <c r="I205" s="55">
        <v>46190</v>
      </c>
      <c r="J205" s="55">
        <v>46193</v>
      </c>
      <c r="K205" s="55">
        <v>46220</v>
      </c>
      <c r="O205" s="3" t="s">
        <v>10</v>
      </c>
      <c r="P205" s="55">
        <v>46199</v>
      </c>
      <c r="R205" s="190"/>
    </row>
    <row r="206" spans="1:18" ht="15" customHeight="1">
      <c r="A206" s="166" t="s">
        <v>166</v>
      </c>
      <c r="B206" s="183">
        <v>2025006938</v>
      </c>
      <c r="C206" s="196">
        <v>168605167</v>
      </c>
      <c r="D206" s="168"/>
      <c r="F206" s="29" t="s">
        <v>163</v>
      </c>
      <c r="G206" s="3" t="s">
        <v>164</v>
      </c>
      <c r="H206" s="3" t="s">
        <v>30</v>
      </c>
      <c r="I206" s="55">
        <v>46190</v>
      </c>
      <c r="J206" s="55">
        <v>46193</v>
      </c>
      <c r="K206" s="55">
        <v>46220</v>
      </c>
      <c r="O206" s="3" t="s">
        <v>10</v>
      </c>
      <c r="P206" s="55">
        <v>46199</v>
      </c>
      <c r="R206" s="190"/>
    </row>
    <row r="207" spans="1:18" ht="15" customHeight="1">
      <c r="A207" s="166" t="s">
        <v>166</v>
      </c>
      <c r="B207" s="183">
        <v>2025006938</v>
      </c>
      <c r="C207" s="196">
        <v>168605090</v>
      </c>
      <c r="D207" s="168"/>
      <c r="F207" s="29" t="s">
        <v>163</v>
      </c>
      <c r="G207" s="3" t="s">
        <v>164</v>
      </c>
      <c r="H207" s="3" t="s">
        <v>30</v>
      </c>
      <c r="I207" s="55">
        <v>46190</v>
      </c>
      <c r="J207" s="55">
        <v>46193</v>
      </c>
      <c r="K207" s="55">
        <v>46220</v>
      </c>
      <c r="O207" s="3" t="s">
        <v>10</v>
      </c>
      <c r="P207" s="55">
        <v>46199</v>
      </c>
      <c r="R207" s="190"/>
    </row>
    <row r="208" spans="1:18" ht="15" customHeight="1">
      <c r="A208" s="166" t="s">
        <v>166</v>
      </c>
      <c r="B208" s="183">
        <v>2025006938</v>
      </c>
      <c r="C208" s="196">
        <v>168605878</v>
      </c>
      <c r="D208" s="168"/>
      <c r="F208" s="29" t="s">
        <v>163</v>
      </c>
      <c r="G208" s="3" t="s">
        <v>164</v>
      </c>
      <c r="H208" s="3" t="s">
        <v>30</v>
      </c>
      <c r="I208" s="55">
        <v>46190</v>
      </c>
      <c r="J208" s="55">
        <v>46193</v>
      </c>
      <c r="K208" s="55">
        <v>46220</v>
      </c>
      <c r="O208" s="3" t="s">
        <v>10</v>
      </c>
      <c r="P208" s="55">
        <v>46199</v>
      </c>
      <c r="R208" s="190"/>
    </row>
    <row r="209" spans="1:121" ht="15" customHeight="1">
      <c r="A209" s="166" t="s">
        <v>166</v>
      </c>
      <c r="B209" s="183">
        <v>2025006938</v>
      </c>
      <c r="C209" s="196">
        <v>168605847</v>
      </c>
      <c r="D209" s="168"/>
      <c r="F209" s="29" t="s">
        <v>163</v>
      </c>
      <c r="G209" s="3" t="s">
        <v>164</v>
      </c>
      <c r="H209" s="3" t="s">
        <v>30</v>
      </c>
      <c r="I209" s="55">
        <v>46190</v>
      </c>
      <c r="J209" s="55">
        <v>46193</v>
      </c>
      <c r="K209" s="55">
        <v>46220</v>
      </c>
      <c r="O209" s="3" t="s">
        <v>10</v>
      </c>
      <c r="P209" s="55">
        <v>46199</v>
      </c>
      <c r="R209" s="190"/>
    </row>
    <row r="210" spans="1:121" ht="15" customHeight="1">
      <c r="A210" s="166" t="s">
        <v>166</v>
      </c>
      <c r="B210" s="183">
        <v>2025006938</v>
      </c>
      <c r="C210" s="196">
        <v>168605769</v>
      </c>
      <c r="D210" s="168"/>
      <c r="F210" s="29" t="s">
        <v>163</v>
      </c>
      <c r="G210" s="3" t="s">
        <v>164</v>
      </c>
      <c r="H210" s="3" t="s">
        <v>30</v>
      </c>
      <c r="I210" s="55">
        <v>46190</v>
      </c>
      <c r="J210" s="55">
        <v>46193</v>
      </c>
      <c r="K210" s="55">
        <v>46220</v>
      </c>
      <c r="O210" s="3" t="s">
        <v>10</v>
      </c>
      <c r="P210" s="55">
        <v>46199</v>
      </c>
      <c r="R210" s="190"/>
    </row>
    <row r="211" spans="1:121" ht="15" customHeight="1">
      <c r="A211" s="166" t="s">
        <v>167</v>
      </c>
      <c r="B211" s="166" t="s">
        <v>168</v>
      </c>
      <c r="C211" s="196">
        <v>167609280</v>
      </c>
      <c r="D211" s="168"/>
      <c r="F211" s="29" t="s">
        <v>93</v>
      </c>
      <c r="G211" s="3" t="s">
        <v>169</v>
      </c>
      <c r="H211" s="3" t="s">
        <v>30</v>
      </c>
      <c r="I211" s="55">
        <v>46189</v>
      </c>
      <c r="J211" s="55">
        <v>46192</v>
      </c>
      <c r="K211" s="55">
        <v>46219</v>
      </c>
      <c r="O211" s="3" t="s">
        <v>10</v>
      </c>
      <c r="P211" s="55">
        <v>46199</v>
      </c>
      <c r="R211" s="190" t="s">
        <v>170</v>
      </c>
      <c r="S211" s="1" t="s">
        <v>170</v>
      </c>
      <c r="T211" s="1" t="s">
        <v>170</v>
      </c>
      <c r="U211" s="1" t="s">
        <v>170</v>
      </c>
      <c r="V211" s="1" t="s">
        <v>170</v>
      </c>
      <c r="W211" s="1" t="s">
        <v>170</v>
      </c>
      <c r="X211" s="1" t="s">
        <v>170</v>
      </c>
      <c r="Y211" s="1" t="s">
        <v>170</v>
      </c>
      <c r="Z211" s="1" t="s">
        <v>170</v>
      </c>
      <c r="AA211" s="1" t="s">
        <v>170</v>
      </c>
      <c r="AB211" s="1" t="s">
        <v>170</v>
      </c>
      <c r="AC211" s="1" t="s">
        <v>170</v>
      </c>
      <c r="AD211" s="1" t="s">
        <v>170</v>
      </c>
      <c r="AE211" s="1" t="s">
        <v>170</v>
      </c>
      <c r="AF211" s="1" t="s">
        <v>170</v>
      </c>
      <c r="AG211" s="1" t="s">
        <v>170</v>
      </c>
      <c r="AH211" s="1" t="s">
        <v>170</v>
      </c>
      <c r="AI211" s="1" t="s">
        <v>170</v>
      </c>
      <c r="AJ211" s="1" t="s">
        <v>170</v>
      </c>
      <c r="AK211" s="1" t="s">
        <v>170</v>
      </c>
      <c r="AL211" s="1" t="s">
        <v>170</v>
      </c>
      <c r="AM211" s="1" t="s">
        <v>170</v>
      </c>
      <c r="AN211" s="1" t="s">
        <v>170</v>
      </c>
      <c r="AO211" s="1" t="s">
        <v>170</v>
      </c>
      <c r="AP211" s="1" t="s">
        <v>170</v>
      </c>
      <c r="AQ211" s="1" t="s">
        <v>170</v>
      </c>
      <c r="AR211" s="1" t="s">
        <v>170</v>
      </c>
      <c r="AS211" s="1" t="s">
        <v>170</v>
      </c>
      <c r="AT211" s="1" t="s">
        <v>170</v>
      </c>
      <c r="AU211" s="1" t="s">
        <v>170</v>
      </c>
      <c r="AV211" s="1" t="s">
        <v>170</v>
      </c>
      <c r="AW211" s="1" t="s">
        <v>170</v>
      </c>
      <c r="AX211" s="1" t="s">
        <v>170</v>
      </c>
      <c r="AY211" s="1" t="s">
        <v>170</v>
      </c>
      <c r="AZ211" s="1" t="s">
        <v>170</v>
      </c>
      <c r="BA211" s="1" t="s">
        <v>170</v>
      </c>
      <c r="BB211" s="1" t="s">
        <v>170</v>
      </c>
      <c r="BC211" s="1" t="s">
        <v>170</v>
      </c>
      <c r="BD211" s="1" t="s">
        <v>170</v>
      </c>
      <c r="BE211" s="1" t="s">
        <v>170</v>
      </c>
      <c r="BF211" s="1" t="s">
        <v>170</v>
      </c>
      <c r="BG211" s="1" t="s">
        <v>170</v>
      </c>
      <c r="BH211" s="1" t="s">
        <v>170</v>
      </c>
      <c r="BI211" s="1" t="s">
        <v>170</v>
      </c>
      <c r="BJ211" s="1" t="s">
        <v>170</v>
      </c>
      <c r="BK211" s="1" t="s">
        <v>170</v>
      </c>
      <c r="BL211" s="1" t="s">
        <v>170</v>
      </c>
      <c r="BM211" s="1" t="s">
        <v>170</v>
      </c>
      <c r="BN211" s="1" t="s">
        <v>170</v>
      </c>
      <c r="BO211" s="1" t="s">
        <v>170</v>
      </c>
      <c r="BP211" s="1" t="s">
        <v>170</v>
      </c>
      <c r="BQ211" s="1" t="s">
        <v>170</v>
      </c>
      <c r="BR211" s="1" t="s">
        <v>170</v>
      </c>
      <c r="BS211" s="1" t="s">
        <v>170</v>
      </c>
      <c r="BT211" s="1" t="s">
        <v>170</v>
      </c>
      <c r="BU211" s="1" t="s">
        <v>170</v>
      </c>
      <c r="BV211" s="1" t="s">
        <v>170</v>
      </c>
      <c r="BW211" s="1" t="s">
        <v>170</v>
      </c>
      <c r="BX211" s="1" t="s">
        <v>170</v>
      </c>
      <c r="BY211" s="1" t="s">
        <v>170</v>
      </c>
      <c r="BZ211" s="1" t="s">
        <v>170</v>
      </c>
      <c r="CA211" s="1" t="s">
        <v>170</v>
      </c>
      <c r="CB211" s="1" t="s">
        <v>170</v>
      </c>
      <c r="CC211" s="1" t="s">
        <v>170</v>
      </c>
      <c r="CD211" s="1" t="s">
        <v>170</v>
      </c>
      <c r="CE211" s="1" t="s">
        <v>170</v>
      </c>
      <c r="CF211" s="1" t="s">
        <v>170</v>
      </c>
      <c r="CG211" s="1" t="s">
        <v>170</v>
      </c>
      <c r="CH211" s="1" t="s">
        <v>170</v>
      </c>
      <c r="CI211" s="1" t="s">
        <v>170</v>
      </c>
      <c r="CJ211" s="1" t="s">
        <v>170</v>
      </c>
      <c r="CK211" s="1" t="s">
        <v>170</v>
      </c>
      <c r="CL211" s="1" t="s">
        <v>170</v>
      </c>
      <c r="CM211" s="1" t="s">
        <v>170</v>
      </c>
      <c r="CN211" s="1" t="s">
        <v>170</v>
      </c>
      <c r="CO211" s="1" t="s">
        <v>170</v>
      </c>
      <c r="CP211" s="1" t="s">
        <v>170</v>
      </c>
      <c r="CQ211" s="1" t="s">
        <v>170</v>
      </c>
      <c r="CR211" s="1" t="s">
        <v>170</v>
      </c>
      <c r="CS211" s="1" t="s">
        <v>170</v>
      </c>
      <c r="CT211" s="1" t="s">
        <v>170</v>
      </c>
      <c r="CU211" s="1" t="s">
        <v>170</v>
      </c>
      <c r="CV211" s="1" t="s">
        <v>170</v>
      </c>
      <c r="CW211" s="1" t="s">
        <v>170</v>
      </c>
      <c r="CX211" s="1" t="s">
        <v>170</v>
      </c>
      <c r="CY211" s="1" t="s">
        <v>170</v>
      </c>
      <c r="CZ211" s="1" t="s">
        <v>170</v>
      </c>
      <c r="DA211" s="1" t="s">
        <v>170</v>
      </c>
      <c r="DB211" s="1" t="s">
        <v>170</v>
      </c>
      <c r="DC211" s="1" t="s">
        <v>170</v>
      </c>
      <c r="DD211" s="1" t="s">
        <v>170</v>
      </c>
      <c r="DE211" s="1" t="s">
        <v>170</v>
      </c>
      <c r="DF211" s="1" t="s">
        <v>170</v>
      </c>
      <c r="DG211" s="1" t="s">
        <v>170</v>
      </c>
      <c r="DH211" s="1" t="s">
        <v>170</v>
      </c>
      <c r="DI211" s="1" t="s">
        <v>170</v>
      </c>
      <c r="DJ211" s="1" t="s">
        <v>170</v>
      </c>
      <c r="DK211" s="1" t="s">
        <v>170</v>
      </c>
      <c r="DL211" s="1" t="s">
        <v>170</v>
      </c>
      <c r="DM211" s="1" t="s">
        <v>170</v>
      </c>
      <c r="DN211" s="1" t="s">
        <v>170</v>
      </c>
      <c r="DO211" s="1" t="s">
        <v>170</v>
      </c>
      <c r="DP211" s="1" t="s">
        <v>170</v>
      </c>
      <c r="DQ211" s="1" t="s">
        <v>170</v>
      </c>
    </row>
    <row r="212" spans="1:121" ht="15" customHeight="1">
      <c r="A212" s="166" t="s">
        <v>167</v>
      </c>
      <c r="B212" s="166" t="s">
        <v>168</v>
      </c>
      <c r="C212" s="196">
        <v>167609291</v>
      </c>
      <c r="D212" s="168"/>
      <c r="F212" s="29" t="s">
        <v>93</v>
      </c>
      <c r="G212" s="3" t="s">
        <v>169</v>
      </c>
      <c r="H212" s="3" t="s">
        <v>30</v>
      </c>
      <c r="I212" s="55">
        <v>46189</v>
      </c>
      <c r="J212" s="55">
        <v>46192</v>
      </c>
      <c r="K212" s="55">
        <v>46219</v>
      </c>
      <c r="O212" s="3" t="s">
        <v>10</v>
      </c>
      <c r="P212" s="55">
        <v>46199</v>
      </c>
      <c r="R212" s="190" t="s">
        <v>170</v>
      </c>
      <c r="S212" s="1" t="s">
        <v>170</v>
      </c>
      <c r="T212" s="1" t="s">
        <v>170</v>
      </c>
      <c r="U212" s="1" t="s">
        <v>170</v>
      </c>
      <c r="V212" s="1" t="s">
        <v>170</v>
      </c>
      <c r="W212" s="1" t="s">
        <v>170</v>
      </c>
      <c r="X212" s="1" t="s">
        <v>170</v>
      </c>
      <c r="Y212" s="1" t="s">
        <v>170</v>
      </c>
      <c r="Z212" s="1" t="s">
        <v>170</v>
      </c>
      <c r="AA212" s="1" t="s">
        <v>170</v>
      </c>
      <c r="AB212" s="1" t="s">
        <v>170</v>
      </c>
      <c r="AC212" s="1" t="s">
        <v>170</v>
      </c>
      <c r="AD212" s="1" t="s">
        <v>170</v>
      </c>
      <c r="AE212" s="1" t="s">
        <v>170</v>
      </c>
      <c r="AF212" s="1" t="s">
        <v>170</v>
      </c>
      <c r="AG212" s="1" t="s">
        <v>170</v>
      </c>
      <c r="AH212" s="1" t="s">
        <v>170</v>
      </c>
      <c r="AI212" s="1" t="s">
        <v>170</v>
      </c>
      <c r="AJ212" s="1" t="s">
        <v>170</v>
      </c>
      <c r="AK212" s="1" t="s">
        <v>170</v>
      </c>
      <c r="AL212" s="1" t="s">
        <v>170</v>
      </c>
      <c r="AM212" s="1" t="s">
        <v>170</v>
      </c>
      <c r="AN212" s="1" t="s">
        <v>170</v>
      </c>
      <c r="AO212" s="1" t="s">
        <v>170</v>
      </c>
      <c r="AP212" s="1" t="s">
        <v>170</v>
      </c>
      <c r="AQ212" s="1" t="s">
        <v>170</v>
      </c>
      <c r="AR212" s="1" t="s">
        <v>170</v>
      </c>
      <c r="AS212" s="1" t="s">
        <v>170</v>
      </c>
      <c r="AT212" s="1" t="s">
        <v>170</v>
      </c>
      <c r="AU212" s="1" t="s">
        <v>170</v>
      </c>
      <c r="AV212" s="1" t="s">
        <v>170</v>
      </c>
      <c r="AW212" s="1" t="s">
        <v>170</v>
      </c>
      <c r="AX212" s="1" t="s">
        <v>170</v>
      </c>
      <c r="AY212" s="1" t="s">
        <v>170</v>
      </c>
      <c r="AZ212" s="1" t="s">
        <v>170</v>
      </c>
      <c r="BA212" s="1" t="s">
        <v>170</v>
      </c>
      <c r="BB212" s="1" t="s">
        <v>170</v>
      </c>
      <c r="BC212" s="1" t="s">
        <v>170</v>
      </c>
      <c r="BD212" s="1" t="s">
        <v>170</v>
      </c>
      <c r="BE212" s="1" t="s">
        <v>170</v>
      </c>
      <c r="BF212" s="1" t="s">
        <v>170</v>
      </c>
      <c r="BG212" s="1" t="s">
        <v>170</v>
      </c>
      <c r="BH212" s="1" t="s">
        <v>170</v>
      </c>
      <c r="BI212" s="1" t="s">
        <v>170</v>
      </c>
      <c r="BJ212" s="1" t="s">
        <v>170</v>
      </c>
      <c r="BK212" s="1" t="s">
        <v>170</v>
      </c>
      <c r="BL212" s="1" t="s">
        <v>170</v>
      </c>
      <c r="BM212" s="1" t="s">
        <v>170</v>
      </c>
      <c r="BN212" s="1" t="s">
        <v>170</v>
      </c>
      <c r="BO212" s="1" t="s">
        <v>170</v>
      </c>
      <c r="BP212" s="1" t="s">
        <v>170</v>
      </c>
      <c r="BQ212" s="1" t="s">
        <v>170</v>
      </c>
      <c r="BR212" s="1" t="s">
        <v>170</v>
      </c>
      <c r="BS212" s="1" t="s">
        <v>170</v>
      </c>
      <c r="BT212" s="1" t="s">
        <v>170</v>
      </c>
      <c r="BU212" s="1" t="s">
        <v>170</v>
      </c>
      <c r="BV212" s="1" t="s">
        <v>170</v>
      </c>
      <c r="BW212" s="1" t="s">
        <v>170</v>
      </c>
      <c r="BX212" s="1" t="s">
        <v>170</v>
      </c>
      <c r="BY212" s="1" t="s">
        <v>170</v>
      </c>
      <c r="BZ212" s="1" t="s">
        <v>170</v>
      </c>
      <c r="CA212" s="1" t="s">
        <v>170</v>
      </c>
      <c r="CB212" s="1" t="s">
        <v>170</v>
      </c>
      <c r="CC212" s="1" t="s">
        <v>170</v>
      </c>
      <c r="CD212" s="1" t="s">
        <v>170</v>
      </c>
      <c r="CE212" s="1" t="s">
        <v>170</v>
      </c>
      <c r="CF212" s="1" t="s">
        <v>170</v>
      </c>
      <c r="CG212" s="1" t="s">
        <v>170</v>
      </c>
      <c r="CH212" s="1" t="s">
        <v>170</v>
      </c>
      <c r="CI212" s="1" t="s">
        <v>170</v>
      </c>
      <c r="CJ212" s="1" t="s">
        <v>170</v>
      </c>
      <c r="CK212" s="1" t="s">
        <v>170</v>
      </c>
      <c r="CL212" s="1" t="s">
        <v>170</v>
      </c>
      <c r="CM212" s="1" t="s">
        <v>170</v>
      </c>
      <c r="CN212" s="1" t="s">
        <v>170</v>
      </c>
      <c r="CO212" s="1" t="s">
        <v>170</v>
      </c>
      <c r="CP212" s="1" t="s">
        <v>170</v>
      </c>
      <c r="CQ212" s="1" t="s">
        <v>170</v>
      </c>
      <c r="CR212" s="1" t="s">
        <v>170</v>
      </c>
      <c r="CS212" s="1" t="s">
        <v>170</v>
      </c>
      <c r="CT212" s="1" t="s">
        <v>170</v>
      </c>
      <c r="CU212" s="1" t="s">
        <v>170</v>
      </c>
      <c r="CV212" s="1" t="s">
        <v>170</v>
      </c>
      <c r="CW212" s="1" t="s">
        <v>170</v>
      </c>
      <c r="CX212" s="1" t="s">
        <v>170</v>
      </c>
      <c r="CY212" s="1" t="s">
        <v>170</v>
      </c>
      <c r="CZ212" s="1" t="s">
        <v>170</v>
      </c>
      <c r="DA212" s="1" t="s">
        <v>170</v>
      </c>
      <c r="DB212" s="1" t="s">
        <v>170</v>
      </c>
      <c r="DC212" s="1" t="s">
        <v>170</v>
      </c>
      <c r="DD212" s="1" t="s">
        <v>170</v>
      </c>
      <c r="DE212" s="1" t="s">
        <v>170</v>
      </c>
      <c r="DF212" s="1" t="s">
        <v>170</v>
      </c>
      <c r="DG212" s="1" t="s">
        <v>170</v>
      </c>
      <c r="DH212" s="1" t="s">
        <v>170</v>
      </c>
      <c r="DI212" s="1" t="s">
        <v>170</v>
      </c>
      <c r="DJ212" s="1" t="s">
        <v>170</v>
      </c>
      <c r="DK212" s="1" t="s">
        <v>170</v>
      </c>
      <c r="DL212" s="1" t="s">
        <v>170</v>
      </c>
      <c r="DM212" s="1" t="s">
        <v>170</v>
      </c>
      <c r="DN212" s="1" t="s">
        <v>170</v>
      </c>
      <c r="DO212" s="1" t="s">
        <v>170</v>
      </c>
      <c r="DP212" s="1" t="s">
        <v>170</v>
      </c>
      <c r="DQ212" s="1" t="s">
        <v>170</v>
      </c>
    </row>
    <row r="213" spans="1:121" ht="15" customHeight="1">
      <c r="A213" s="166" t="s">
        <v>171</v>
      </c>
      <c r="B213" s="183" t="s">
        <v>143</v>
      </c>
      <c r="C213" s="196">
        <v>169604002</v>
      </c>
      <c r="D213" s="168"/>
      <c r="F213" s="29" t="s">
        <v>144</v>
      </c>
      <c r="G213" s="3" t="s">
        <v>16</v>
      </c>
      <c r="H213" s="3" t="s">
        <v>145</v>
      </c>
      <c r="I213" s="55">
        <v>46196</v>
      </c>
      <c r="J213" s="55">
        <v>46198</v>
      </c>
      <c r="K213" s="55">
        <v>46223</v>
      </c>
      <c r="L213" s="55"/>
      <c r="O213" s="3" t="s">
        <v>10</v>
      </c>
      <c r="P213" s="55">
        <v>46196</v>
      </c>
      <c r="R213" s="190"/>
    </row>
    <row r="214" spans="1:121" ht="15" customHeight="1">
      <c r="A214" s="166" t="s">
        <v>171</v>
      </c>
      <c r="B214" s="183" t="s">
        <v>143</v>
      </c>
      <c r="C214" s="196">
        <v>169604108</v>
      </c>
      <c r="D214" s="168"/>
      <c r="F214" s="29" t="s">
        <v>144</v>
      </c>
      <c r="G214" s="3" t="s">
        <v>16</v>
      </c>
      <c r="H214" s="3" t="s">
        <v>145</v>
      </c>
      <c r="I214" s="55">
        <v>46196</v>
      </c>
      <c r="J214" s="55">
        <v>46198</v>
      </c>
      <c r="K214" s="55">
        <v>46223</v>
      </c>
      <c r="L214" s="55"/>
      <c r="O214" s="3" t="s">
        <v>10</v>
      </c>
      <c r="P214" s="55">
        <v>46196</v>
      </c>
      <c r="R214" s="190"/>
    </row>
    <row r="215" spans="1:121" ht="15" customHeight="1">
      <c r="A215" s="166" t="s">
        <v>171</v>
      </c>
      <c r="B215" s="183" t="s">
        <v>143</v>
      </c>
      <c r="C215" s="196">
        <v>169604401</v>
      </c>
      <c r="D215" s="168"/>
      <c r="F215" s="29" t="s">
        <v>144</v>
      </c>
      <c r="G215" s="3" t="s">
        <v>16</v>
      </c>
      <c r="H215" s="3" t="s">
        <v>145</v>
      </c>
      <c r="I215" s="55">
        <v>46196</v>
      </c>
      <c r="J215" s="55">
        <v>46198</v>
      </c>
      <c r="K215" s="55">
        <v>46223</v>
      </c>
      <c r="L215" s="55"/>
      <c r="O215" s="3" t="s">
        <v>10</v>
      </c>
      <c r="P215" s="55">
        <v>46196</v>
      </c>
      <c r="R215" s="190"/>
    </row>
    <row r="216" spans="1:121" ht="15" customHeight="1">
      <c r="A216" s="166" t="s">
        <v>171</v>
      </c>
      <c r="B216" s="183" t="s">
        <v>143</v>
      </c>
      <c r="C216" s="196">
        <v>169604462</v>
      </c>
      <c r="D216" s="168"/>
      <c r="F216" s="29" t="s">
        <v>144</v>
      </c>
      <c r="G216" s="3" t="s">
        <v>16</v>
      </c>
      <c r="H216" s="3" t="s">
        <v>145</v>
      </c>
      <c r="I216" s="55">
        <v>46196</v>
      </c>
      <c r="J216" s="55">
        <v>46198</v>
      </c>
      <c r="K216" s="55">
        <v>46223</v>
      </c>
      <c r="L216" s="55"/>
      <c r="O216" s="3" t="s">
        <v>10</v>
      </c>
      <c r="P216" s="55">
        <v>46196</v>
      </c>
      <c r="R216" s="190"/>
    </row>
    <row r="217" spans="1:121" ht="15" customHeight="1">
      <c r="A217" s="166" t="s">
        <v>171</v>
      </c>
      <c r="B217" s="183" t="s">
        <v>143</v>
      </c>
      <c r="C217" s="196">
        <v>169604556</v>
      </c>
      <c r="D217" s="168"/>
      <c r="F217" s="29" t="s">
        <v>144</v>
      </c>
      <c r="G217" s="3" t="s">
        <v>16</v>
      </c>
      <c r="H217" s="3" t="s">
        <v>145</v>
      </c>
      <c r="I217" s="55">
        <v>46196</v>
      </c>
      <c r="J217" s="55">
        <v>46198</v>
      </c>
      <c r="K217" s="55">
        <v>46223</v>
      </c>
      <c r="L217" s="55"/>
      <c r="O217" s="3" t="s">
        <v>10</v>
      </c>
      <c r="P217" s="55">
        <v>46196</v>
      </c>
      <c r="R217" s="190"/>
    </row>
    <row r="218" spans="1:121" ht="15" customHeight="1">
      <c r="A218" s="166" t="s">
        <v>171</v>
      </c>
      <c r="B218" s="183" t="s">
        <v>143</v>
      </c>
      <c r="C218" s="196">
        <v>169604586</v>
      </c>
      <c r="D218" s="168"/>
      <c r="F218" s="29" t="s">
        <v>144</v>
      </c>
      <c r="G218" s="3" t="s">
        <v>16</v>
      </c>
      <c r="H218" s="3" t="s">
        <v>145</v>
      </c>
      <c r="I218" s="55">
        <v>46196</v>
      </c>
      <c r="J218" s="55">
        <v>46198</v>
      </c>
      <c r="K218" s="55">
        <v>46223</v>
      </c>
      <c r="L218" s="55"/>
      <c r="O218" s="3" t="s">
        <v>10</v>
      </c>
      <c r="P218" s="55">
        <v>46196</v>
      </c>
      <c r="R218" s="190"/>
    </row>
    <row r="219" spans="1:121" ht="15" customHeight="1">
      <c r="A219" s="166" t="s">
        <v>172</v>
      </c>
      <c r="B219" s="166" t="s">
        <v>173</v>
      </c>
      <c r="C219" s="196">
        <v>175609901</v>
      </c>
      <c r="D219" s="168"/>
      <c r="F219" s="29" t="s">
        <v>124</v>
      </c>
      <c r="G219" s="3" t="s">
        <v>64</v>
      </c>
      <c r="H219" s="3" t="s">
        <v>125</v>
      </c>
      <c r="I219" s="55">
        <v>46197</v>
      </c>
      <c r="J219" s="55">
        <v>46199</v>
      </c>
      <c r="K219" s="55">
        <v>46227</v>
      </c>
      <c r="O219" s="3" t="s">
        <v>10</v>
      </c>
      <c r="P219" s="55">
        <v>46205</v>
      </c>
      <c r="R219" s="190"/>
    </row>
    <row r="220" spans="1:121" ht="15" customHeight="1">
      <c r="A220" s="166" t="s">
        <v>172</v>
      </c>
      <c r="B220" s="166" t="s">
        <v>173</v>
      </c>
      <c r="C220" s="196">
        <v>175609918</v>
      </c>
      <c r="D220" s="168"/>
      <c r="F220" s="29" t="s">
        <v>124</v>
      </c>
      <c r="G220" s="3" t="s">
        <v>64</v>
      </c>
      <c r="H220" s="3" t="s">
        <v>125</v>
      </c>
      <c r="I220" s="55">
        <v>46197</v>
      </c>
      <c r="J220" s="55">
        <v>46199</v>
      </c>
      <c r="K220" s="55">
        <v>46227</v>
      </c>
      <c r="O220" s="3" t="s">
        <v>10</v>
      </c>
      <c r="P220" s="55">
        <v>46205</v>
      </c>
      <c r="R220" s="190"/>
    </row>
    <row r="221" spans="1:121" ht="15" customHeight="1">
      <c r="A221" s="166" t="s">
        <v>172</v>
      </c>
      <c r="B221" s="166" t="s">
        <v>173</v>
      </c>
      <c r="C221" s="196">
        <v>175609924</v>
      </c>
      <c r="D221" s="168"/>
      <c r="F221" s="29" t="s">
        <v>124</v>
      </c>
      <c r="G221" s="3" t="s">
        <v>64</v>
      </c>
      <c r="H221" s="3" t="s">
        <v>125</v>
      </c>
      <c r="I221" s="55">
        <v>46197</v>
      </c>
      <c r="J221" s="55">
        <v>46199</v>
      </c>
      <c r="K221" s="55">
        <v>46227</v>
      </c>
      <c r="O221" s="3" t="s">
        <v>10</v>
      </c>
      <c r="P221" s="55">
        <v>46205</v>
      </c>
      <c r="R221" s="190"/>
    </row>
    <row r="222" spans="1:121" ht="15" customHeight="1">
      <c r="A222" s="166" t="s">
        <v>172</v>
      </c>
      <c r="B222" s="166" t="s">
        <v>173</v>
      </c>
      <c r="C222" s="196">
        <v>175609963</v>
      </c>
      <c r="D222" s="168"/>
      <c r="F222" s="29" t="s">
        <v>124</v>
      </c>
      <c r="G222" s="3" t="s">
        <v>64</v>
      </c>
      <c r="H222" s="3" t="s">
        <v>125</v>
      </c>
      <c r="I222" s="55">
        <v>46197</v>
      </c>
      <c r="J222" s="55">
        <v>46199</v>
      </c>
      <c r="K222" s="55">
        <v>46227</v>
      </c>
      <c r="O222" s="3" t="s">
        <v>10</v>
      </c>
      <c r="P222" s="55">
        <v>46205</v>
      </c>
      <c r="R222" s="190"/>
    </row>
    <row r="223" spans="1:121" ht="15" customHeight="1">
      <c r="A223" s="166" t="s">
        <v>172</v>
      </c>
      <c r="B223" s="166" t="s">
        <v>173</v>
      </c>
      <c r="C223" s="196">
        <v>175609980</v>
      </c>
      <c r="D223" s="168"/>
      <c r="F223" s="29" t="s">
        <v>124</v>
      </c>
      <c r="G223" s="3" t="s">
        <v>64</v>
      </c>
      <c r="H223" s="3" t="s">
        <v>125</v>
      </c>
      <c r="I223" s="55">
        <v>46197</v>
      </c>
      <c r="J223" s="55">
        <v>46199</v>
      </c>
      <c r="K223" s="55">
        <v>46227</v>
      </c>
      <c r="O223" s="3" t="s">
        <v>10</v>
      </c>
      <c r="P223" s="55">
        <v>46205</v>
      </c>
      <c r="R223" s="190"/>
    </row>
    <row r="224" spans="1:121" ht="15" customHeight="1">
      <c r="A224" s="166" t="s">
        <v>172</v>
      </c>
      <c r="B224" s="166" t="s">
        <v>173</v>
      </c>
      <c r="C224" s="196">
        <v>175610008</v>
      </c>
      <c r="D224" s="168"/>
      <c r="F224" s="29" t="s">
        <v>124</v>
      </c>
      <c r="G224" s="3" t="s">
        <v>64</v>
      </c>
      <c r="H224" s="3" t="s">
        <v>125</v>
      </c>
      <c r="I224" s="55">
        <v>46197</v>
      </c>
      <c r="J224" s="55">
        <v>46199</v>
      </c>
      <c r="K224" s="55">
        <v>46227</v>
      </c>
      <c r="O224" s="3" t="s">
        <v>10</v>
      </c>
      <c r="P224" s="55">
        <v>46205</v>
      </c>
      <c r="R224" s="190"/>
    </row>
    <row r="225" spans="1:18" ht="15" customHeight="1">
      <c r="A225" s="166" t="s">
        <v>172</v>
      </c>
      <c r="B225" s="166" t="s">
        <v>173</v>
      </c>
      <c r="C225" s="196">
        <v>175609955</v>
      </c>
      <c r="D225" s="168"/>
      <c r="F225" s="29" t="s">
        <v>124</v>
      </c>
      <c r="G225" s="3" t="s">
        <v>64</v>
      </c>
      <c r="H225" s="3" t="s">
        <v>125</v>
      </c>
      <c r="I225" s="55">
        <v>46197</v>
      </c>
      <c r="J225" s="55">
        <v>46199</v>
      </c>
      <c r="K225" s="55">
        <v>46227</v>
      </c>
      <c r="O225" s="3" t="s">
        <v>10</v>
      </c>
      <c r="P225" s="55">
        <v>46205</v>
      </c>
      <c r="R225" s="190"/>
    </row>
    <row r="226" spans="1:18" ht="15" customHeight="1">
      <c r="A226" s="166" t="s">
        <v>172</v>
      </c>
      <c r="B226" s="166" t="s">
        <v>173</v>
      </c>
      <c r="C226" s="196">
        <v>175609958</v>
      </c>
      <c r="D226" s="168"/>
      <c r="F226" s="29" t="s">
        <v>124</v>
      </c>
      <c r="G226" s="3" t="s">
        <v>64</v>
      </c>
      <c r="H226" s="3" t="s">
        <v>125</v>
      </c>
      <c r="I226" s="55">
        <v>46197</v>
      </c>
      <c r="J226" s="55">
        <v>46199</v>
      </c>
      <c r="K226" s="55">
        <v>46227</v>
      </c>
      <c r="O226" s="3" t="s">
        <v>10</v>
      </c>
      <c r="P226" s="55">
        <v>46205</v>
      </c>
      <c r="R226" s="190"/>
    </row>
    <row r="227" spans="1:18" ht="15" customHeight="1">
      <c r="A227" s="166" t="s">
        <v>172</v>
      </c>
      <c r="B227" s="166" t="s">
        <v>173</v>
      </c>
      <c r="C227" s="196">
        <v>175609937</v>
      </c>
      <c r="D227" s="168"/>
      <c r="F227" s="29" t="s">
        <v>124</v>
      </c>
      <c r="G227" s="3" t="s">
        <v>64</v>
      </c>
      <c r="H227" s="3" t="s">
        <v>125</v>
      </c>
      <c r="I227" s="55">
        <v>46197</v>
      </c>
      <c r="J227" s="55">
        <v>46199</v>
      </c>
      <c r="K227" s="55">
        <v>46227</v>
      </c>
      <c r="O227" s="3" t="s">
        <v>10</v>
      </c>
      <c r="P227" s="55">
        <v>46205</v>
      </c>
      <c r="R227" s="190"/>
    </row>
    <row r="228" spans="1:18" ht="15" customHeight="1">
      <c r="A228" s="166" t="s">
        <v>172</v>
      </c>
      <c r="B228" s="166" t="s">
        <v>173</v>
      </c>
      <c r="C228" s="196">
        <v>175610015</v>
      </c>
      <c r="D228" s="168"/>
      <c r="F228" s="29" t="s">
        <v>124</v>
      </c>
      <c r="G228" s="3" t="s">
        <v>64</v>
      </c>
      <c r="H228" s="3" t="s">
        <v>125</v>
      </c>
      <c r="I228" s="55">
        <v>46197</v>
      </c>
      <c r="J228" s="55">
        <v>46199</v>
      </c>
      <c r="K228" s="55">
        <v>46227</v>
      </c>
      <c r="O228" s="3" t="s">
        <v>9</v>
      </c>
      <c r="R228" s="190"/>
    </row>
    <row r="229" spans="1:18" ht="15" customHeight="1">
      <c r="A229" s="166" t="s">
        <v>166</v>
      </c>
      <c r="B229" s="183">
        <v>2025006938</v>
      </c>
      <c r="C229" s="196">
        <v>168605429</v>
      </c>
      <c r="D229" s="168"/>
      <c r="F229" s="29" t="s">
        <v>163</v>
      </c>
      <c r="G229" s="3" t="s">
        <v>164</v>
      </c>
      <c r="H229" s="3" t="s">
        <v>30</v>
      </c>
      <c r="I229" s="55">
        <v>46190</v>
      </c>
      <c r="J229" s="55">
        <v>46193</v>
      </c>
      <c r="K229" s="55">
        <v>46220</v>
      </c>
      <c r="O229" s="3" t="s">
        <v>10</v>
      </c>
      <c r="P229" s="55">
        <v>46200</v>
      </c>
      <c r="R229" s="190"/>
    </row>
    <row r="230" spans="1:18" ht="15" customHeight="1">
      <c r="A230" s="166" t="s">
        <v>166</v>
      </c>
      <c r="B230" s="183">
        <v>2025006938</v>
      </c>
      <c r="C230" s="196">
        <v>168605387</v>
      </c>
      <c r="D230" s="168"/>
      <c r="F230" s="29" t="s">
        <v>163</v>
      </c>
      <c r="G230" s="3" t="s">
        <v>164</v>
      </c>
      <c r="H230" s="3" t="s">
        <v>30</v>
      </c>
      <c r="I230" s="55">
        <v>46190</v>
      </c>
      <c r="J230" s="55">
        <v>46193</v>
      </c>
      <c r="K230" s="55">
        <v>46220</v>
      </c>
      <c r="O230" s="3" t="s">
        <v>10</v>
      </c>
      <c r="P230" s="55">
        <v>46200</v>
      </c>
      <c r="R230" s="190"/>
    </row>
    <row r="231" spans="1:18" ht="15" customHeight="1">
      <c r="A231" s="166" t="s">
        <v>166</v>
      </c>
      <c r="B231" s="183">
        <v>2025006938</v>
      </c>
      <c r="C231" s="196">
        <v>168605373</v>
      </c>
      <c r="D231" s="168"/>
      <c r="F231" s="29" t="s">
        <v>163</v>
      </c>
      <c r="G231" s="3" t="s">
        <v>164</v>
      </c>
      <c r="H231" s="3" t="s">
        <v>30</v>
      </c>
      <c r="I231" s="55">
        <v>46190</v>
      </c>
      <c r="J231" s="55">
        <v>46193</v>
      </c>
      <c r="K231" s="55">
        <v>46220</v>
      </c>
      <c r="O231" s="3" t="s">
        <v>10</v>
      </c>
      <c r="P231" s="55">
        <v>46200</v>
      </c>
      <c r="R231" s="190"/>
    </row>
    <row r="232" spans="1:18" ht="15" customHeight="1">
      <c r="A232" s="166" t="s">
        <v>166</v>
      </c>
      <c r="B232" s="183">
        <v>2025006938</v>
      </c>
      <c r="C232" s="196">
        <v>168605339</v>
      </c>
      <c r="D232" s="168"/>
      <c r="F232" s="29" t="s">
        <v>163</v>
      </c>
      <c r="G232" s="3" t="s">
        <v>164</v>
      </c>
      <c r="H232" s="3" t="s">
        <v>30</v>
      </c>
      <c r="I232" s="55">
        <v>46190</v>
      </c>
      <c r="J232" s="55">
        <v>46193</v>
      </c>
      <c r="K232" s="55">
        <v>46220</v>
      </c>
      <c r="O232" s="3" t="s">
        <v>10</v>
      </c>
      <c r="P232" s="55">
        <v>46200</v>
      </c>
      <c r="R232" s="190"/>
    </row>
    <row r="233" spans="1:18" ht="15" customHeight="1">
      <c r="A233" s="166" t="s">
        <v>166</v>
      </c>
      <c r="B233" s="183">
        <v>2025006938</v>
      </c>
      <c r="C233" s="196">
        <v>168605318</v>
      </c>
      <c r="D233" s="168"/>
      <c r="F233" s="29" t="s">
        <v>163</v>
      </c>
      <c r="G233" s="3" t="s">
        <v>164</v>
      </c>
      <c r="H233" s="3" t="s">
        <v>30</v>
      </c>
      <c r="I233" s="55">
        <v>46190</v>
      </c>
      <c r="J233" s="55">
        <v>46193</v>
      </c>
      <c r="K233" s="55">
        <v>46220</v>
      </c>
      <c r="O233" s="3" t="s">
        <v>10</v>
      </c>
      <c r="P233" s="55">
        <v>46200</v>
      </c>
      <c r="R233" s="190"/>
    </row>
    <row r="234" spans="1:18" ht="15" customHeight="1">
      <c r="A234" s="166" t="s">
        <v>166</v>
      </c>
      <c r="B234" s="183">
        <v>2025006938</v>
      </c>
      <c r="C234" s="196">
        <v>168605266</v>
      </c>
      <c r="D234" s="168"/>
      <c r="F234" s="29" t="s">
        <v>163</v>
      </c>
      <c r="G234" s="3" t="s">
        <v>164</v>
      </c>
      <c r="H234" s="3" t="s">
        <v>30</v>
      </c>
      <c r="I234" s="55">
        <v>46190</v>
      </c>
      <c r="J234" s="55">
        <v>46193</v>
      </c>
      <c r="K234" s="55">
        <v>46220</v>
      </c>
      <c r="O234" s="3" t="s">
        <v>10</v>
      </c>
      <c r="P234" s="55">
        <v>46200</v>
      </c>
      <c r="R234" s="190"/>
    </row>
    <row r="235" spans="1:18" ht="15" customHeight="1">
      <c r="A235" s="166" t="s">
        <v>166</v>
      </c>
      <c r="B235" s="183">
        <v>2025006938</v>
      </c>
      <c r="C235" s="196">
        <v>168605224</v>
      </c>
      <c r="D235" s="168"/>
      <c r="F235" s="29" t="s">
        <v>163</v>
      </c>
      <c r="G235" s="3" t="s">
        <v>164</v>
      </c>
      <c r="H235" s="3" t="s">
        <v>30</v>
      </c>
      <c r="I235" s="55">
        <v>46190</v>
      </c>
      <c r="J235" s="55">
        <v>46193</v>
      </c>
      <c r="K235" s="55">
        <v>46220</v>
      </c>
      <c r="O235" s="3" t="s">
        <v>10</v>
      </c>
      <c r="P235" s="55">
        <v>46200</v>
      </c>
      <c r="R235" s="190"/>
    </row>
    <row r="236" spans="1:18" ht="15" customHeight="1">
      <c r="A236" s="166" t="s">
        <v>166</v>
      </c>
      <c r="B236" s="183">
        <v>2025006938</v>
      </c>
      <c r="C236" s="196">
        <v>168605167</v>
      </c>
      <c r="D236" s="168"/>
      <c r="F236" s="29" t="s">
        <v>163</v>
      </c>
      <c r="G236" s="3" t="s">
        <v>164</v>
      </c>
      <c r="H236" s="3" t="s">
        <v>30</v>
      </c>
      <c r="I236" s="55">
        <v>46190</v>
      </c>
      <c r="J236" s="55">
        <v>46193</v>
      </c>
      <c r="K236" s="55">
        <v>46220</v>
      </c>
      <c r="O236" s="3" t="s">
        <v>10</v>
      </c>
      <c r="P236" s="55">
        <v>46200</v>
      </c>
      <c r="R236" s="190"/>
    </row>
    <row r="237" spans="1:18" ht="15" customHeight="1">
      <c r="A237" s="166" t="s">
        <v>166</v>
      </c>
      <c r="B237" s="183">
        <v>2025006938</v>
      </c>
      <c r="C237" s="196">
        <v>168605090</v>
      </c>
      <c r="D237" s="168"/>
      <c r="F237" s="29" t="s">
        <v>163</v>
      </c>
      <c r="G237" s="3" t="s">
        <v>164</v>
      </c>
      <c r="H237" s="3" t="s">
        <v>30</v>
      </c>
      <c r="I237" s="55">
        <v>46190</v>
      </c>
      <c r="J237" s="55">
        <v>46193</v>
      </c>
      <c r="K237" s="55">
        <v>46220</v>
      </c>
      <c r="O237" s="3" t="s">
        <v>10</v>
      </c>
      <c r="P237" s="55">
        <v>46200</v>
      </c>
      <c r="R237" s="190"/>
    </row>
    <row r="238" spans="1:18" ht="15" customHeight="1">
      <c r="A238" s="166" t="s">
        <v>166</v>
      </c>
      <c r="B238" s="183">
        <v>2025006938</v>
      </c>
      <c r="C238" s="196">
        <v>168605878</v>
      </c>
      <c r="D238" s="168"/>
      <c r="F238" s="29" t="s">
        <v>163</v>
      </c>
      <c r="G238" s="3" t="s">
        <v>164</v>
      </c>
      <c r="H238" s="3" t="s">
        <v>30</v>
      </c>
      <c r="I238" s="55">
        <v>46190</v>
      </c>
      <c r="J238" s="55">
        <v>46193</v>
      </c>
      <c r="K238" s="55">
        <v>46220</v>
      </c>
      <c r="O238" s="3" t="s">
        <v>10</v>
      </c>
      <c r="P238" s="55">
        <v>46200</v>
      </c>
      <c r="R238" s="190"/>
    </row>
    <row r="239" spans="1:18" ht="15" customHeight="1">
      <c r="A239" s="166" t="s">
        <v>166</v>
      </c>
      <c r="B239" s="183">
        <v>2025006938</v>
      </c>
      <c r="C239" s="196">
        <v>168605847</v>
      </c>
      <c r="D239" s="168"/>
      <c r="F239" s="29" t="s">
        <v>163</v>
      </c>
      <c r="G239" s="3" t="s">
        <v>164</v>
      </c>
      <c r="H239" s="3" t="s">
        <v>30</v>
      </c>
      <c r="I239" s="55">
        <v>46190</v>
      </c>
      <c r="J239" s="55">
        <v>46193</v>
      </c>
      <c r="K239" s="55">
        <v>46220</v>
      </c>
      <c r="O239" s="3" t="s">
        <v>10</v>
      </c>
      <c r="P239" s="55">
        <v>46200</v>
      </c>
      <c r="R239" s="190"/>
    </row>
    <row r="240" spans="1:18" ht="15" customHeight="1">
      <c r="A240" s="166" t="s">
        <v>166</v>
      </c>
      <c r="B240" s="183">
        <v>2025006938</v>
      </c>
      <c r="C240" s="196">
        <v>168605769</v>
      </c>
      <c r="D240" s="168"/>
      <c r="F240" s="29" t="s">
        <v>163</v>
      </c>
      <c r="G240" s="3" t="s">
        <v>164</v>
      </c>
      <c r="H240" s="3" t="s">
        <v>30</v>
      </c>
      <c r="I240" s="55">
        <v>46190</v>
      </c>
      <c r="J240" s="55">
        <v>46193</v>
      </c>
      <c r="K240" s="55">
        <v>46220</v>
      </c>
      <c r="O240" s="3" t="s">
        <v>10</v>
      </c>
      <c r="P240" s="55">
        <v>46200</v>
      </c>
      <c r="R240" s="190"/>
    </row>
    <row r="241" spans="1:18" ht="15" customHeight="1">
      <c r="A241" s="166" t="s">
        <v>166</v>
      </c>
      <c r="B241" s="183">
        <v>2025006938</v>
      </c>
      <c r="C241" s="196">
        <v>175604611</v>
      </c>
      <c r="D241" s="168"/>
      <c r="F241" s="29" t="s">
        <v>163</v>
      </c>
      <c r="G241" s="3" t="s">
        <v>164</v>
      </c>
      <c r="H241" s="3" t="s">
        <v>30</v>
      </c>
      <c r="I241" s="55">
        <v>46190</v>
      </c>
      <c r="J241" s="55">
        <v>46193</v>
      </c>
      <c r="K241" s="55">
        <v>46220</v>
      </c>
      <c r="O241" s="3" t="s">
        <v>10</v>
      </c>
      <c r="P241" s="55">
        <v>46200</v>
      </c>
      <c r="R241" s="190"/>
    </row>
    <row r="242" spans="1:18" ht="15" customHeight="1">
      <c r="A242" s="166" t="s">
        <v>166</v>
      </c>
      <c r="B242" s="183">
        <v>2025006938</v>
      </c>
      <c r="C242" s="196">
        <v>175604389</v>
      </c>
      <c r="D242" s="168"/>
      <c r="F242" s="29" t="s">
        <v>163</v>
      </c>
      <c r="G242" s="3" t="s">
        <v>164</v>
      </c>
      <c r="H242" s="3" t="s">
        <v>30</v>
      </c>
      <c r="I242" s="55">
        <v>46190</v>
      </c>
      <c r="J242" s="55">
        <v>46193</v>
      </c>
      <c r="K242" s="55">
        <v>46220</v>
      </c>
      <c r="O242" s="3" t="s">
        <v>10</v>
      </c>
      <c r="P242" s="55">
        <v>46200</v>
      </c>
      <c r="R242" s="190"/>
    </row>
    <row r="243" spans="1:18" ht="15" customHeight="1">
      <c r="A243" s="166" t="s">
        <v>166</v>
      </c>
      <c r="B243" s="183">
        <v>2025006938</v>
      </c>
      <c r="C243" s="196">
        <v>175604352</v>
      </c>
      <c r="D243" s="168"/>
      <c r="F243" s="29" t="s">
        <v>163</v>
      </c>
      <c r="G243" s="3" t="s">
        <v>164</v>
      </c>
      <c r="H243" s="3" t="s">
        <v>30</v>
      </c>
      <c r="I243" s="55">
        <v>46190</v>
      </c>
      <c r="J243" s="55">
        <v>46193</v>
      </c>
      <c r="K243" s="55">
        <v>46220</v>
      </c>
      <c r="O243" s="3" t="s">
        <v>10</v>
      </c>
      <c r="P243" s="55">
        <v>46200</v>
      </c>
      <c r="R243" s="190"/>
    </row>
    <row r="244" spans="1:18" ht="15" customHeight="1">
      <c r="A244" s="166" t="s">
        <v>166</v>
      </c>
      <c r="B244" s="183">
        <v>2025006938</v>
      </c>
      <c r="C244" s="196">
        <v>175604296</v>
      </c>
      <c r="D244" s="168"/>
      <c r="F244" s="29" t="s">
        <v>163</v>
      </c>
      <c r="G244" s="3" t="s">
        <v>164</v>
      </c>
      <c r="H244" s="3" t="s">
        <v>30</v>
      </c>
      <c r="I244" s="55">
        <v>46190</v>
      </c>
      <c r="J244" s="55">
        <v>46193</v>
      </c>
      <c r="K244" s="55">
        <v>46220</v>
      </c>
      <c r="O244" s="3" t="s">
        <v>10</v>
      </c>
      <c r="P244" s="55">
        <v>46200</v>
      </c>
      <c r="R244" s="190"/>
    </row>
    <row r="245" spans="1:18" ht="15" customHeight="1">
      <c r="A245" s="166" t="s">
        <v>166</v>
      </c>
      <c r="B245" s="183">
        <v>2025006938</v>
      </c>
      <c r="C245" s="196">
        <v>175604271</v>
      </c>
      <c r="D245" s="168"/>
      <c r="F245" s="29" t="s">
        <v>163</v>
      </c>
      <c r="G245" s="3" t="s">
        <v>164</v>
      </c>
      <c r="H245" s="3" t="s">
        <v>30</v>
      </c>
      <c r="I245" s="55">
        <v>46190</v>
      </c>
      <c r="J245" s="55">
        <v>46193</v>
      </c>
      <c r="K245" s="55">
        <v>46220</v>
      </c>
      <c r="O245" s="3" t="s">
        <v>10</v>
      </c>
      <c r="P245" s="55">
        <v>46200</v>
      </c>
      <c r="R245" s="190"/>
    </row>
    <row r="246" spans="1:18" ht="15" customHeight="1">
      <c r="A246" s="166" t="s">
        <v>166</v>
      </c>
      <c r="B246" s="183">
        <v>2025006938</v>
      </c>
      <c r="C246" s="196">
        <v>175604236</v>
      </c>
      <c r="D246" s="168"/>
      <c r="F246" s="29" t="s">
        <v>163</v>
      </c>
      <c r="G246" s="3" t="s">
        <v>164</v>
      </c>
      <c r="H246" s="3" t="s">
        <v>30</v>
      </c>
      <c r="I246" s="55">
        <v>46190</v>
      </c>
      <c r="J246" s="55">
        <v>46193</v>
      </c>
      <c r="K246" s="55">
        <v>46220</v>
      </c>
      <c r="O246" s="3" t="s">
        <v>10</v>
      </c>
      <c r="P246" s="55">
        <v>46200</v>
      </c>
      <c r="R246" s="190"/>
    </row>
    <row r="247" spans="1:18" ht="15" customHeight="1">
      <c r="A247" s="166" t="s">
        <v>166</v>
      </c>
      <c r="B247" s="183">
        <v>2025006938</v>
      </c>
      <c r="C247" s="196">
        <v>175604697</v>
      </c>
      <c r="D247" s="168"/>
      <c r="F247" s="29" t="s">
        <v>163</v>
      </c>
      <c r="G247" s="3" t="s">
        <v>164</v>
      </c>
      <c r="H247" s="3" t="s">
        <v>30</v>
      </c>
      <c r="I247" s="55">
        <v>46190</v>
      </c>
      <c r="J247" s="55">
        <v>46193</v>
      </c>
      <c r="K247" s="55">
        <v>46220</v>
      </c>
      <c r="O247" s="3" t="s">
        <v>10</v>
      </c>
      <c r="P247" s="55">
        <v>46200</v>
      </c>
      <c r="R247" s="190"/>
    </row>
    <row r="248" spans="1:18" ht="15" customHeight="1">
      <c r="A248" s="166" t="s">
        <v>174</v>
      </c>
      <c r="B248" s="166" t="s">
        <v>175</v>
      </c>
      <c r="C248" s="196">
        <v>166609501</v>
      </c>
      <c r="D248" s="168"/>
      <c r="F248" s="29" t="s">
        <v>144</v>
      </c>
      <c r="G248" s="3" t="s">
        <v>20</v>
      </c>
      <c r="H248" s="3" t="s">
        <v>145</v>
      </c>
      <c r="I248" s="55">
        <v>46188</v>
      </c>
      <c r="J248" s="55">
        <v>46191</v>
      </c>
      <c r="K248" s="55">
        <v>46218</v>
      </c>
      <c r="O248" s="3" t="s">
        <v>10</v>
      </c>
      <c r="P248" s="55">
        <v>46202</v>
      </c>
      <c r="R248" s="190"/>
    </row>
    <row r="249" spans="1:18" ht="15" customHeight="1">
      <c r="A249" s="166" t="s">
        <v>174</v>
      </c>
      <c r="B249" s="166" t="s">
        <v>175</v>
      </c>
      <c r="C249" s="196">
        <v>166609660</v>
      </c>
      <c r="D249" s="168"/>
      <c r="F249" s="29" t="s">
        <v>144</v>
      </c>
      <c r="G249" s="3" t="s">
        <v>20</v>
      </c>
      <c r="H249" s="3" t="s">
        <v>145</v>
      </c>
      <c r="I249" s="55">
        <v>46188</v>
      </c>
      <c r="J249" s="55">
        <v>46191</v>
      </c>
      <c r="K249" s="55">
        <v>46218</v>
      </c>
      <c r="O249" s="3" t="s">
        <v>10</v>
      </c>
      <c r="P249" s="55">
        <v>46202</v>
      </c>
      <c r="R249" s="190"/>
    </row>
    <row r="250" spans="1:18" ht="15" customHeight="1">
      <c r="A250" s="166" t="s">
        <v>174</v>
      </c>
      <c r="B250" s="166" t="s">
        <v>175</v>
      </c>
      <c r="C250" s="196">
        <v>166609835</v>
      </c>
      <c r="D250" s="168"/>
      <c r="F250" s="29" t="s">
        <v>144</v>
      </c>
      <c r="G250" s="3" t="s">
        <v>20</v>
      </c>
      <c r="H250" s="3" t="s">
        <v>145</v>
      </c>
      <c r="I250" s="55">
        <v>46188</v>
      </c>
      <c r="J250" s="55">
        <v>46191</v>
      </c>
      <c r="K250" s="55">
        <v>46218</v>
      </c>
      <c r="O250" s="3" t="s">
        <v>10</v>
      </c>
      <c r="P250" s="55">
        <v>46202</v>
      </c>
      <c r="R250" s="190"/>
    </row>
    <row r="251" spans="1:18" ht="15" customHeight="1">
      <c r="A251" s="166" t="s">
        <v>174</v>
      </c>
      <c r="B251" s="166" t="s">
        <v>175</v>
      </c>
      <c r="C251" s="196">
        <v>166609899</v>
      </c>
      <c r="D251" s="168"/>
      <c r="F251" s="29" t="s">
        <v>144</v>
      </c>
      <c r="G251" s="3" t="s">
        <v>20</v>
      </c>
      <c r="H251" s="3" t="s">
        <v>145</v>
      </c>
      <c r="I251" s="55">
        <v>46188</v>
      </c>
      <c r="J251" s="55">
        <v>46191</v>
      </c>
      <c r="K251" s="55">
        <v>46218</v>
      </c>
      <c r="O251" s="3" t="s">
        <v>10</v>
      </c>
      <c r="P251" s="55">
        <v>46202</v>
      </c>
      <c r="R251" s="190"/>
    </row>
    <row r="252" spans="1:18" ht="15" customHeight="1">
      <c r="A252" s="166" t="s">
        <v>174</v>
      </c>
      <c r="B252" s="166" t="s">
        <v>175</v>
      </c>
      <c r="C252" s="196">
        <v>166609976</v>
      </c>
      <c r="D252" s="168"/>
      <c r="F252" s="29" t="s">
        <v>144</v>
      </c>
      <c r="G252" s="3" t="s">
        <v>20</v>
      </c>
      <c r="H252" s="3" t="s">
        <v>145</v>
      </c>
      <c r="I252" s="55">
        <v>46188</v>
      </c>
      <c r="J252" s="55">
        <v>46191</v>
      </c>
      <c r="K252" s="55">
        <v>46218</v>
      </c>
      <c r="O252" s="3" t="s">
        <v>10</v>
      </c>
      <c r="P252" s="55">
        <v>46202</v>
      </c>
      <c r="R252" s="190"/>
    </row>
    <row r="253" spans="1:18" ht="15" customHeight="1">
      <c r="A253" s="166" t="s">
        <v>171</v>
      </c>
      <c r="B253" s="183" t="s">
        <v>175</v>
      </c>
      <c r="C253" s="196">
        <v>169604002</v>
      </c>
      <c r="D253" s="168"/>
      <c r="F253" s="29" t="s">
        <v>144</v>
      </c>
      <c r="G253" s="3" t="s">
        <v>20</v>
      </c>
      <c r="H253" s="3" t="s">
        <v>145</v>
      </c>
      <c r="I253" s="55">
        <v>46192</v>
      </c>
      <c r="J253" s="55">
        <v>46195</v>
      </c>
      <c r="K253" s="55">
        <v>46222</v>
      </c>
      <c r="O253" s="3" t="s">
        <v>10</v>
      </c>
      <c r="P253" s="55">
        <v>46202</v>
      </c>
      <c r="R253" s="190"/>
    </row>
    <row r="254" spans="1:18" ht="15" customHeight="1">
      <c r="A254" s="166" t="s">
        <v>171</v>
      </c>
      <c r="B254" s="183" t="s">
        <v>175</v>
      </c>
      <c r="C254" s="196">
        <v>169604108</v>
      </c>
      <c r="D254" s="168"/>
      <c r="F254" s="29" t="s">
        <v>144</v>
      </c>
      <c r="G254" s="3" t="s">
        <v>20</v>
      </c>
      <c r="H254" s="3" t="s">
        <v>145</v>
      </c>
      <c r="I254" s="55">
        <v>46192</v>
      </c>
      <c r="J254" s="55">
        <v>46195</v>
      </c>
      <c r="K254" s="55">
        <v>46222</v>
      </c>
      <c r="O254" s="3" t="s">
        <v>10</v>
      </c>
      <c r="P254" s="55">
        <v>46202</v>
      </c>
      <c r="R254" s="190"/>
    </row>
    <row r="255" spans="1:18" ht="15" customHeight="1">
      <c r="A255" s="166" t="s">
        <v>171</v>
      </c>
      <c r="B255" s="183" t="s">
        <v>175</v>
      </c>
      <c r="C255" s="196">
        <v>169604401</v>
      </c>
      <c r="D255" s="168"/>
      <c r="F255" s="29" t="s">
        <v>144</v>
      </c>
      <c r="G255" s="3" t="s">
        <v>20</v>
      </c>
      <c r="H255" s="3" t="s">
        <v>145</v>
      </c>
      <c r="I255" s="55">
        <v>46192</v>
      </c>
      <c r="J255" s="55">
        <v>46195</v>
      </c>
      <c r="K255" s="55">
        <v>46222</v>
      </c>
      <c r="O255" s="3" t="s">
        <v>10</v>
      </c>
      <c r="P255" s="55">
        <v>46202</v>
      </c>
      <c r="R255" s="190"/>
    </row>
    <row r="256" spans="1:18" ht="15" customHeight="1">
      <c r="A256" s="166" t="s">
        <v>171</v>
      </c>
      <c r="B256" s="183" t="s">
        <v>175</v>
      </c>
      <c r="C256" s="196">
        <v>169604462</v>
      </c>
      <c r="D256" s="168"/>
      <c r="F256" s="29" t="s">
        <v>144</v>
      </c>
      <c r="G256" s="3" t="s">
        <v>20</v>
      </c>
      <c r="H256" s="3" t="s">
        <v>145</v>
      </c>
      <c r="I256" s="55">
        <v>46192</v>
      </c>
      <c r="J256" s="55">
        <v>46195</v>
      </c>
      <c r="K256" s="55">
        <v>46222</v>
      </c>
      <c r="O256" s="3" t="s">
        <v>10</v>
      </c>
      <c r="P256" s="55">
        <v>46202</v>
      </c>
      <c r="R256" s="190"/>
    </row>
    <row r="257" spans="1:18" ht="15" customHeight="1">
      <c r="A257" s="166" t="s">
        <v>171</v>
      </c>
      <c r="B257" s="183" t="s">
        <v>175</v>
      </c>
      <c r="C257" s="196">
        <v>169604556</v>
      </c>
      <c r="D257" s="168"/>
      <c r="F257" s="29" t="s">
        <v>144</v>
      </c>
      <c r="G257" s="3" t="s">
        <v>20</v>
      </c>
      <c r="H257" s="3" t="s">
        <v>145</v>
      </c>
      <c r="I257" s="55">
        <v>46192</v>
      </c>
      <c r="J257" s="55">
        <v>46195</v>
      </c>
      <c r="K257" s="55">
        <v>46222</v>
      </c>
      <c r="O257" s="3" t="s">
        <v>10</v>
      </c>
      <c r="P257" s="55">
        <v>46202</v>
      </c>
      <c r="R257" s="190"/>
    </row>
    <row r="258" spans="1:18" ht="15" customHeight="1">
      <c r="A258" s="166" t="s">
        <v>171</v>
      </c>
      <c r="B258" s="183" t="s">
        <v>175</v>
      </c>
      <c r="C258" s="196">
        <v>169604586</v>
      </c>
      <c r="D258" s="168"/>
      <c r="F258" s="29" t="s">
        <v>144</v>
      </c>
      <c r="G258" s="3" t="s">
        <v>20</v>
      </c>
      <c r="H258" s="3" t="s">
        <v>145</v>
      </c>
      <c r="I258" s="55">
        <v>46192</v>
      </c>
      <c r="J258" s="55">
        <v>46195</v>
      </c>
      <c r="K258" s="55">
        <v>46222</v>
      </c>
      <c r="O258" s="3" t="s">
        <v>10</v>
      </c>
      <c r="P258" s="55">
        <v>46202</v>
      </c>
      <c r="R258" s="190"/>
    </row>
    <row r="259" spans="1:18" ht="15" customHeight="1">
      <c r="A259" s="166" t="s">
        <v>176</v>
      </c>
      <c r="B259" s="183" t="s">
        <v>175</v>
      </c>
      <c r="C259" s="196">
        <v>173609634</v>
      </c>
      <c r="D259" s="168"/>
      <c r="F259" s="29" t="s">
        <v>144</v>
      </c>
      <c r="G259" s="3" t="s">
        <v>20</v>
      </c>
      <c r="H259" s="3" t="s">
        <v>145</v>
      </c>
      <c r="I259" s="55">
        <v>46194</v>
      </c>
      <c r="J259" s="55">
        <v>46197</v>
      </c>
      <c r="K259" s="55">
        <v>46226</v>
      </c>
      <c r="O259" s="3" t="s">
        <v>10</v>
      </c>
      <c r="P259" s="55">
        <v>46202</v>
      </c>
      <c r="R259" s="190"/>
    </row>
    <row r="260" spans="1:18" ht="15" customHeight="1">
      <c r="A260" s="166" t="s">
        <v>176</v>
      </c>
      <c r="B260" s="183" t="s">
        <v>175</v>
      </c>
      <c r="C260" s="196">
        <v>173609679</v>
      </c>
      <c r="D260" s="168"/>
      <c r="F260" s="29" t="s">
        <v>144</v>
      </c>
      <c r="G260" s="3" t="s">
        <v>20</v>
      </c>
      <c r="H260" s="3" t="s">
        <v>145</v>
      </c>
      <c r="I260" s="55">
        <v>46194</v>
      </c>
      <c r="J260" s="55">
        <v>46197</v>
      </c>
      <c r="K260" s="55">
        <v>46226</v>
      </c>
      <c r="O260" s="3" t="s">
        <v>10</v>
      </c>
      <c r="P260" s="55">
        <v>46202</v>
      </c>
      <c r="R260" s="190"/>
    </row>
    <row r="261" spans="1:18" ht="15" customHeight="1">
      <c r="A261" s="166" t="s">
        <v>176</v>
      </c>
      <c r="B261" s="183" t="s">
        <v>175</v>
      </c>
      <c r="C261" s="196">
        <v>173609705</v>
      </c>
      <c r="D261" s="168"/>
      <c r="F261" s="29" t="s">
        <v>144</v>
      </c>
      <c r="G261" s="3" t="s">
        <v>20</v>
      </c>
      <c r="H261" s="3" t="s">
        <v>145</v>
      </c>
      <c r="I261" s="55">
        <v>46194</v>
      </c>
      <c r="J261" s="55">
        <v>46197</v>
      </c>
      <c r="K261" s="55">
        <v>46226</v>
      </c>
      <c r="O261" s="3" t="s">
        <v>10</v>
      </c>
      <c r="P261" s="55">
        <v>46202</v>
      </c>
      <c r="R261" s="190"/>
    </row>
    <row r="262" spans="1:18" ht="15" customHeight="1">
      <c r="A262" s="166" t="s">
        <v>176</v>
      </c>
      <c r="B262" s="183" t="s">
        <v>175</v>
      </c>
      <c r="C262" s="196">
        <v>173609720</v>
      </c>
      <c r="D262" s="168"/>
      <c r="F262" s="29" t="s">
        <v>144</v>
      </c>
      <c r="G262" s="3" t="s">
        <v>20</v>
      </c>
      <c r="H262" s="3" t="s">
        <v>145</v>
      </c>
      <c r="I262" s="55">
        <v>46194</v>
      </c>
      <c r="J262" s="55">
        <v>46197</v>
      </c>
      <c r="K262" s="55">
        <v>46226</v>
      </c>
      <c r="O262" s="3" t="s">
        <v>10</v>
      </c>
      <c r="P262" s="55">
        <v>46202</v>
      </c>
      <c r="R262" s="190"/>
    </row>
    <row r="263" spans="1:18" ht="15" customHeight="1">
      <c r="A263" s="166" t="s">
        <v>176</v>
      </c>
      <c r="B263" s="183" t="s">
        <v>175</v>
      </c>
      <c r="C263" s="196">
        <v>173609732</v>
      </c>
      <c r="D263" s="168"/>
      <c r="F263" s="29" t="s">
        <v>144</v>
      </c>
      <c r="G263" s="3" t="s">
        <v>20</v>
      </c>
      <c r="H263" s="3" t="s">
        <v>145</v>
      </c>
      <c r="I263" s="55">
        <v>46194</v>
      </c>
      <c r="J263" s="55">
        <v>46197</v>
      </c>
      <c r="K263" s="55">
        <v>46226</v>
      </c>
      <c r="O263" s="3" t="s">
        <v>10</v>
      </c>
      <c r="P263" s="55">
        <v>46202</v>
      </c>
      <c r="R263" s="190"/>
    </row>
    <row r="264" spans="1:18" ht="15" customHeight="1">
      <c r="A264" s="166" t="s">
        <v>176</v>
      </c>
      <c r="B264" s="166" t="s">
        <v>175</v>
      </c>
      <c r="C264" s="196">
        <v>173609744</v>
      </c>
      <c r="D264" s="168"/>
      <c r="F264" s="29" t="s">
        <v>144</v>
      </c>
      <c r="G264" s="3" t="s">
        <v>20</v>
      </c>
      <c r="H264" s="3" t="s">
        <v>145</v>
      </c>
      <c r="I264" s="55">
        <v>46194</v>
      </c>
      <c r="J264" s="55">
        <v>46197</v>
      </c>
      <c r="K264" s="55">
        <v>46226</v>
      </c>
      <c r="O264" s="3" t="s">
        <v>10</v>
      </c>
      <c r="P264" s="55">
        <v>46202</v>
      </c>
      <c r="R264" s="190"/>
    </row>
    <row r="265" spans="1:18" ht="15" customHeight="1">
      <c r="A265" s="166" t="s">
        <v>176</v>
      </c>
      <c r="B265" s="183" t="s">
        <v>175</v>
      </c>
      <c r="C265" s="196">
        <v>174609193</v>
      </c>
      <c r="D265" s="168"/>
      <c r="F265" s="29" t="s">
        <v>144</v>
      </c>
      <c r="G265" s="3" t="s">
        <v>20</v>
      </c>
      <c r="H265" s="3" t="s">
        <v>145</v>
      </c>
      <c r="I265" s="55">
        <v>46194</v>
      </c>
      <c r="J265" s="55">
        <v>46197</v>
      </c>
      <c r="K265" s="55">
        <v>46226</v>
      </c>
      <c r="O265" s="3" t="s">
        <v>10</v>
      </c>
      <c r="P265" s="55">
        <v>46202</v>
      </c>
      <c r="R265" s="190"/>
    </row>
    <row r="266" spans="1:18" ht="15" customHeight="1">
      <c r="A266" s="166" t="s">
        <v>177</v>
      </c>
      <c r="B266" s="183" t="s">
        <v>175</v>
      </c>
      <c r="C266" s="196">
        <v>180607813</v>
      </c>
      <c r="D266" s="168"/>
      <c r="F266" s="29" t="s">
        <v>144</v>
      </c>
      <c r="G266" s="3" t="s">
        <v>20</v>
      </c>
      <c r="H266" s="3" t="s">
        <v>145</v>
      </c>
      <c r="I266" s="55">
        <v>46194</v>
      </c>
      <c r="J266" s="55">
        <v>46197</v>
      </c>
      <c r="K266" s="55">
        <v>46226</v>
      </c>
      <c r="O266" s="3" t="s">
        <v>10</v>
      </c>
      <c r="P266" s="55">
        <v>46204</v>
      </c>
      <c r="R266" s="190"/>
    </row>
    <row r="267" spans="1:18" ht="15" customHeight="1">
      <c r="A267" s="166" t="s">
        <v>177</v>
      </c>
      <c r="B267" s="183" t="s">
        <v>175</v>
      </c>
      <c r="C267" s="196">
        <v>180608022</v>
      </c>
      <c r="D267" s="168"/>
      <c r="F267" s="29" t="s">
        <v>144</v>
      </c>
      <c r="G267" s="3" t="s">
        <v>20</v>
      </c>
      <c r="H267" s="3" t="s">
        <v>145</v>
      </c>
      <c r="I267" s="55">
        <v>46194</v>
      </c>
      <c r="J267" s="55">
        <v>46197</v>
      </c>
      <c r="K267" s="55">
        <v>46226</v>
      </c>
      <c r="O267" s="3" t="s">
        <v>10</v>
      </c>
      <c r="P267" s="55">
        <v>46204</v>
      </c>
      <c r="R267" s="190"/>
    </row>
    <row r="268" spans="1:18" ht="15" customHeight="1">
      <c r="A268" s="166" t="s">
        <v>177</v>
      </c>
      <c r="B268" s="183" t="s">
        <v>175</v>
      </c>
      <c r="C268" s="196">
        <v>180608045</v>
      </c>
      <c r="D268" s="168"/>
      <c r="F268" s="29" t="s">
        <v>144</v>
      </c>
      <c r="G268" s="3" t="s">
        <v>20</v>
      </c>
      <c r="H268" s="3" t="s">
        <v>145</v>
      </c>
      <c r="I268" s="55">
        <v>46194</v>
      </c>
      <c r="J268" s="55">
        <v>46197</v>
      </c>
      <c r="K268" s="55">
        <v>46226</v>
      </c>
      <c r="O268" s="3" t="s">
        <v>10</v>
      </c>
      <c r="P268" s="55">
        <v>46204</v>
      </c>
      <c r="R268" s="190"/>
    </row>
    <row r="269" spans="1:18" ht="15" customHeight="1">
      <c r="A269" s="166" t="s">
        <v>178</v>
      </c>
      <c r="B269" s="183"/>
      <c r="C269" s="196">
        <v>180610183</v>
      </c>
      <c r="D269" s="168"/>
      <c r="F269" s="29" t="s">
        <v>144</v>
      </c>
      <c r="G269" s="3" t="s">
        <v>20</v>
      </c>
      <c r="H269" s="3" t="s">
        <v>145</v>
      </c>
      <c r="I269" s="55">
        <v>46194</v>
      </c>
      <c r="J269" s="55">
        <v>46197</v>
      </c>
      <c r="K269" s="55">
        <v>46226</v>
      </c>
      <c r="O269" s="3" t="s">
        <v>10</v>
      </c>
      <c r="P269" s="55">
        <v>46204</v>
      </c>
      <c r="R269" s="190"/>
    </row>
    <row r="270" spans="1:18" ht="15" customHeight="1">
      <c r="A270" s="166" t="s">
        <v>179</v>
      </c>
      <c r="B270" s="173">
        <v>20260101251</v>
      </c>
      <c r="C270" s="196">
        <v>161603178</v>
      </c>
      <c r="D270" s="168"/>
      <c r="F270" s="29" t="s">
        <v>180</v>
      </c>
      <c r="G270" s="3" t="s">
        <v>116</v>
      </c>
      <c r="H270" s="3" t="s">
        <v>30</v>
      </c>
      <c r="I270" s="55">
        <v>46183</v>
      </c>
      <c r="J270" s="55">
        <v>46186</v>
      </c>
      <c r="K270" s="55">
        <v>46213</v>
      </c>
      <c r="O270" s="3" t="s">
        <v>10</v>
      </c>
      <c r="P270" s="55">
        <v>46213</v>
      </c>
      <c r="R270" s="177"/>
    </row>
    <row r="271" spans="1:18" ht="15" customHeight="1">
      <c r="A271" s="166" t="s">
        <v>179</v>
      </c>
      <c r="B271" s="173">
        <v>20260101251</v>
      </c>
      <c r="C271" s="196">
        <v>161603147</v>
      </c>
      <c r="D271" s="168"/>
      <c r="F271" s="29" t="s">
        <v>180</v>
      </c>
      <c r="G271" s="3" t="s">
        <v>116</v>
      </c>
      <c r="H271" s="3" t="s">
        <v>30</v>
      </c>
      <c r="I271" s="55">
        <v>46183</v>
      </c>
      <c r="J271" s="55">
        <v>46186</v>
      </c>
      <c r="K271" s="55">
        <v>46213</v>
      </c>
      <c r="O271" s="3" t="s">
        <v>10</v>
      </c>
      <c r="P271" s="55">
        <v>46213</v>
      </c>
      <c r="R271" s="177"/>
    </row>
    <row r="272" spans="1:18" ht="15" customHeight="1">
      <c r="A272" s="166" t="s">
        <v>179</v>
      </c>
      <c r="B272" s="173">
        <v>20260101251</v>
      </c>
      <c r="C272" s="196">
        <v>161603351</v>
      </c>
      <c r="D272" s="168"/>
      <c r="F272" s="29" t="s">
        <v>180</v>
      </c>
      <c r="G272" s="3" t="s">
        <v>116</v>
      </c>
      <c r="H272" s="3" t="s">
        <v>30</v>
      </c>
      <c r="I272" s="55">
        <v>46183</v>
      </c>
      <c r="J272" s="55">
        <v>46186</v>
      </c>
      <c r="K272" s="55">
        <v>46213</v>
      </c>
      <c r="O272" s="3" t="s">
        <v>10</v>
      </c>
      <c r="P272" s="55">
        <v>46213</v>
      </c>
      <c r="R272" s="177"/>
    </row>
    <row r="273" spans="1:18" ht="15" customHeight="1">
      <c r="A273" s="166" t="s">
        <v>179</v>
      </c>
      <c r="B273" s="173">
        <v>20260101251</v>
      </c>
      <c r="C273" s="196">
        <v>161603300</v>
      </c>
      <c r="D273" s="168"/>
      <c r="F273" s="29" t="s">
        <v>180</v>
      </c>
      <c r="G273" s="3" t="s">
        <v>116</v>
      </c>
      <c r="H273" s="3" t="s">
        <v>30</v>
      </c>
      <c r="I273" s="55">
        <v>46183</v>
      </c>
      <c r="J273" s="55">
        <v>46186</v>
      </c>
      <c r="K273" s="55">
        <v>46213</v>
      </c>
      <c r="O273" s="3" t="s">
        <v>10</v>
      </c>
      <c r="P273" s="55">
        <v>46213</v>
      </c>
      <c r="R273" s="177"/>
    </row>
    <row r="274" spans="1:18" ht="15" customHeight="1">
      <c r="A274" s="166" t="s">
        <v>179</v>
      </c>
      <c r="B274" s="173">
        <v>20260101251</v>
      </c>
      <c r="C274" s="196">
        <v>161603260</v>
      </c>
      <c r="D274" s="168"/>
      <c r="F274" s="29" t="s">
        <v>180</v>
      </c>
      <c r="G274" s="3" t="s">
        <v>116</v>
      </c>
      <c r="H274" s="3" t="s">
        <v>30</v>
      </c>
      <c r="I274" s="55">
        <v>46183</v>
      </c>
      <c r="J274" s="55">
        <v>46186</v>
      </c>
      <c r="K274" s="55">
        <v>46213</v>
      </c>
      <c r="O274" s="3" t="s">
        <v>10</v>
      </c>
      <c r="P274" s="55">
        <v>46213</v>
      </c>
      <c r="R274" s="177"/>
    </row>
    <row r="275" spans="1:18" ht="15" customHeight="1">
      <c r="A275" s="166" t="s">
        <v>179</v>
      </c>
      <c r="B275" s="173">
        <v>20260101251</v>
      </c>
      <c r="C275" s="196">
        <v>161603238</v>
      </c>
      <c r="D275" s="168"/>
      <c r="F275" s="29" t="s">
        <v>180</v>
      </c>
      <c r="G275" s="3" t="s">
        <v>116</v>
      </c>
      <c r="H275" s="3" t="s">
        <v>30</v>
      </c>
      <c r="I275" s="55">
        <v>46183</v>
      </c>
      <c r="J275" s="55">
        <v>46186</v>
      </c>
      <c r="K275" s="55">
        <v>46213</v>
      </c>
      <c r="O275" s="3" t="s">
        <v>10</v>
      </c>
      <c r="P275" s="55">
        <v>46213</v>
      </c>
      <c r="R275" s="177"/>
    </row>
    <row r="276" spans="1:18" ht="15" customHeight="1">
      <c r="A276" s="166" t="s">
        <v>179</v>
      </c>
      <c r="B276" s="173">
        <v>20260101251</v>
      </c>
      <c r="C276" s="196">
        <v>161603197</v>
      </c>
      <c r="D276" s="168"/>
      <c r="F276" s="29" t="s">
        <v>180</v>
      </c>
      <c r="G276" s="3" t="s">
        <v>116</v>
      </c>
      <c r="H276" s="3" t="s">
        <v>30</v>
      </c>
      <c r="I276" s="55">
        <v>46183</v>
      </c>
      <c r="J276" s="55">
        <v>46186</v>
      </c>
      <c r="K276" s="55">
        <v>46213</v>
      </c>
      <c r="O276" s="3" t="s">
        <v>10</v>
      </c>
      <c r="P276" s="55">
        <v>46213</v>
      </c>
      <c r="R276" s="177"/>
    </row>
    <row r="277" spans="1:18" ht="15" customHeight="1">
      <c r="A277" s="166" t="s">
        <v>181</v>
      </c>
      <c r="B277" s="173">
        <v>20251239031</v>
      </c>
      <c r="C277" s="196">
        <v>160608116</v>
      </c>
      <c r="D277" s="168"/>
      <c r="F277" s="29" t="s">
        <v>180</v>
      </c>
      <c r="G277" s="3" t="s">
        <v>116</v>
      </c>
      <c r="H277" s="3" t="s">
        <v>30</v>
      </c>
      <c r="I277" s="55">
        <v>46183</v>
      </c>
      <c r="J277" s="55">
        <v>46186</v>
      </c>
      <c r="K277" s="55">
        <v>46213</v>
      </c>
      <c r="O277" s="3" t="s">
        <v>10</v>
      </c>
      <c r="P277" s="55">
        <v>46213</v>
      </c>
      <c r="R277" s="177"/>
    </row>
    <row r="278" spans="1:18" ht="15" customHeight="1">
      <c r="A278" s="166" t="s">
        <v>182</v>
      </c>
      <c r="B278" s="173" t="s">
        <v>183</v>
      </c>
      <c r="C278" s="196">
        <v>160608125</v>
      </c>
      <c r="D278" s="168"/>
      <c r="F278" s="29" t="s">
        <v>76</v>
      </c>
      <c r="G278" s="3" t="s">
        <v>184</v>
      </c>
      <c r="H278" s="3" t="s">
        <v>30</v>
      </c>
      <c r="I278" s="55">
        <v>46183</v>
      </c>
      <c r="J278" s="55">
        <v>46186</v>
      </c>
      <c r="K278" s="55">
        <v>46213</v>
      </c>
      <c r="O278" s="3" t="s">
        <v>10</v>
      </c>
      <c r="P278" s="55">
        <v>46190</v>
      </c>
      <c r="R278" s="177"/>
    </row>
    <row r="279" spans="1:18" ht="15" customHeight="1">
      <c r="A279" s="166" t="s">
        <v>182</v>
      </c>
      <c r="B279" s="173" t="s">
        <v>183</v>
      </c>
      <c r="C279" s="196">
        <v>160608137</v>
      </c>
      <c r="D279" s="168"/>
      <c r="F279" s="29" t="s">
        <v>76</v>
      </c>
      <c r="G279" s="3" t="s">
        <v>184</v>
      </c>
      <c r="H279" s="3" t="s">
        <v>30</v>
      </c>
      <c r="I279" s="55">
        <v>46183</v>
      </c>
      <c r="J279" s="55">
        <v>46186</v>
      </c>
      <c r="K279" s="55">
        <v>46213</v>
      </c>
      <c r="O279" s="3" t="s">
        <v>10</v>
      </c>
      <c r="P279" s="55">
        <v>46190</v>
      </c>
      <c r="R279" s="177"/>
    </row>
    <row r="280" spans="1:18" ht="15" customHeight="1">
      <c r="A280" s="166" t="s">
        <v>182</v>
      </c>
      <c r="B280" s="173" t="s">
        <v>183</v>
      </c>
      <c r="C280" s="196">
        <v>160608154</v>
      </c>
      <c r="D280" s="168"/>
      <c r="F280" s="29" t="s">
        <v>76</v>
      </c>
      <c r="G280" s="3" t="s">
        <v>184</v>
      </c>
      <c r="H280" s="3" t="s">
        <v>30</v>
      </c>
      <c r="I280" s="55">
        <v>46183</v>
      </c>
      <c r="J280" s="55">
        <v>46186</v>
      </c>
      <c r="K280" s="55">
        <v>46213</v>
      </c>
      <c r="O280" s="3" t="s">
        <v>10</v>
      </c>
      <c r="P280" s="55">
        <v>46190</v>
      </c>
      <c r="R280" s="177"/>
    </row>
    <row r="281" spans="1:18" ht="15" customHeight="1">
      <c r="A281" s="166" t="s">
        <v>182</v>
      </c>
      <c r="B281" s="173" t="s">
        <v>183</v>
      </c>
      <c r="C281" s="196">
        <v>160608169</v>
      </c>
      <c r="D281" s="168"/>
      <c r="F281" s="29" t="s">
        <v>76</v>
      </c>
      <c r="G281" s="3" t="s">
        <v>184</v>
      </c>
      <c r="H281" s="3" t="s">
        <v>30</v>
      </c>
      <c r="I281" s="55">
        <v>46183</v>
      </c>
      <c r="J281" s="55">
        <v>46186</v>
      </c>
      <c r="K281" s="55">
        <v>46213</v>
      </c>
      <c r="O281" s="3" t="s">
        <v>10</v>
      </c>
      <c r="P281" s="55">
        <v>46190</v>
      </c>
      <c r="R281" s="177"/>
    </row>
    <row r="282" spans="1:18" ht="15" customHeight="1">
      <c r="A282" s="166" t="s">
        <v>182</v>
      </c>
      <c r="B282" s="173" t="s">
        <v>183</v>
      </c>
      <c r="C282" s="196">
        <v>160608177</v>
      </c>
      <c r="D282" s="168"/>
      <c r="F282" s="29" t="s">
        <v>76</v>
      </c>
      <c r="G282" s="3" t="s">
        <v>184</v>
      </c>
      <c r="H282" s="3" t="s">
        <v>30</v>
      </c>
      <c r="I282" s="55">
        <v>46183</v>
      </c>
      <c r="J282" s="55">
        <v>46186</v>
      </c>
      <c r="K282" s="55">
        <v>46213</v>
      </c>
      <c r="O282" s="3" t="s">
        <v>10</v>
      </c>
      <c r="P282" s="55">
        <v>46190</v>
      </c>
      <c r="R282" s="177"/>
    </row>
    <row r="283" spans="1:18" ht="15" customHeight="1">
      <c r="A283" s="166" t="s">
        <v>182</v>
      </c>
      <c r="B283" s="173" t="s">
        <v>183</v>
      </c>
      <c r="C283" s="196">
        <v>160608208</v>
      </c>
      <c r="D283" s="168"/>
      <c r="F283" s="29" t="s">
        <v>76</v>
      </c>
      <c r="G283" s="3" t="s">
        <v>184</v>
      </c>
      <c r="H283" s="3" t="s">
        <v>30</v>
      </c>
      <c r="I283" s="55">
        <v>46183</v>
      </c>
      <c r="J283" s="55">
        <v>46186</v>
      </c>
      <c r="K283" s="55">
        <v>46213</v>
      </c>
      <c r="O283" s="3" t="s">
        <v>10</v>
      </c>
      <c r="P283" s="55">
        <v>46190</v>
      </c>
      <c r="R283" s="177"/>
    </row>
    <row r="284" spans="1:18" ht="15" customHeight="1">
      <c r="A284" s="173" t="s">
        <v>78</v>
      </c>
      <c r="B284" s="173" t="s">
        <v>185</v>
      </c>
      <c r="C284" s="196">
        <v>181608905</v>
      </c>
      <c r="D284" s="168"/>
      <c r="F284" s="29" t="s">
        <v>186</v>
      </c>
      <c r="G284" s="3" t="s">
        <v>64</v>
      </c>
      <c r="H284" s="3" t="s">
        <v>69</v>
      </c>
      <c r="I284" s="55">
        <v>46194</v>
      </c>
      <c r="J284" s="55">
        <v>46197</v>
      </c>
      <c r="K284" s="55">
        <v>46226</v>
      </c>
      <c r="O284" s="3" t="s">
        <v>10</v>
      </c>
      <c r="P284" s="55">
        <v>46216</v>
      </c>
      <c r="R284" s="177"/>
    </row>
    <row r="285" spans="1:18" ht="15" customHeight="1">
      <c r="A285" s="173" t="s">
        <v>78</v>
      </c>
      <c r="B285" s="173" t="s">
        <v>185</v>
      </c>
      <c r="C285" s="196">
        <v>181608901</v>
      </c>
      <c r="D285" s="168"/>
      <c r="F285" s="29" t="s">
        <v>186</v>
      </c>
      <c r="G285" s="3" t="s">
        <v>64</v>
      </c>
      <c r="H285" s="3" t="s">
        <v>69</v>
      </c>
      <c r="I285" s="55">
        <v>46194</v>
      </c>
      <c r="J285" s="55">
        <v>46197</v>
      </c>
      <c r="K285" s="55">
        <v>46226</v>
      </c>
      <c r="O285" s="3" t="s">
        <v>10</v>
      </c>
      <c r="P285" s="55">
        <v>46210</v>
      </c>
      <c r="R285" s="177"/>
    </row>
    <row r="286" spans="1:18" ht="15" customHeight="1">
      <c r="A286" s="173" t="s">
        <v>78</v>
      </c>
      <c r="B286" s="173" t="s">
        <v>185</v>
      </c>
      <c r="C286" s="196">
        <v>181608900</v>
      </c>
      <c r="D286" s="168"/>
      <c r="F286" s="29" t="s">
        <v>186</v>
      </c>
      <c r="G286" s="3" t="s">
        <v>64</v>
      </c>
      <c r="H286" s="3" t="s">
        <v>69</v>
      </c>
      <c r="I286" s="55">
        <v>46194</v>
      </c>
      <c r="J286" s="55">
        <v>46197</v>
      </c>
      <c r="K286" s="55">
        <v>46226</v>
      </c>
      <c r="O286" s="3" t="s">
        <v>10</v>
      </c>
      <c r="P286" s="55">
        <v>46216</v>
      </c>
      <c r="R286" s="177"/>
    </row>
    <row r="287" spans="1:18" ht="15" customHeight="1">
      <c r="A287" s="173" t="s">
        <v>78</v>
      </c>
      <c r="B287" s="173" t="s">
        <v>185</v>
      </c>
      <c r="C287" s="196">
        <v>181608897</v>
      </c>
      <c r="D287" s="168"/>
      <c r="F287" s="29" t="s">
        <v>186</v>
      </c>
      <c r="G287" s="3" t="s">
        <v>64</v>
      </c>
      <c r="H287" s="3" t="s">
        <v>69</v>
      </c>
      <c r="I287" s="55">
        <v>46194</v>
      </c>
      <c r="J287" s="55">
        <v>46197</v>
      </c>
      <c r="K287" s="55">
        <v>46226</v>
      </c>
      <c r="O287" s="3" t="s">
        <v>10</v>
      </c>
      <c r="P287" s="55">
        <v>46210</v>
      </c>
      <c r="R287" s="177"/>
    </row>
    <row r="288" spans="1:18" ht="15" customHeight="1">
      <c r="A288" s="173" t="s">
        <v>78</v>
      </c>
      <c r="B288" s="173" t="s">
        <v>185</v>
      </c>
      <c r="C288" s="196">
        <v>181608893</v>
      </c>
      <c r="D288" s="168"/>
      <c r="F288" s="29" t="s">
        <v>186</v>
      </c>
      <c r="G288" s="3" t="s">
        <v>64</v>
      </c>
      <c r="H288" s="3" t="s">
        <v>69</v>
      </c>
      <c r="I288" s="55">
        <v>46194</v>
      </c>
      <c r="J288" s="55">
        <v>46197</v>
      </c>
      <c r="K288" s="55">
        <v>46226</v>
      </c>
      <c r="O288" s="3" t="s">
        <v>9</v>
      </c>
      <c r="R288" s="177"/>
    </row>
    <row r="289" spans="1:18" ht="15" customHeight="1">
      <c r="A289" s="173" t="s">
        <v>78</v>
      </c>
      <c r="B289" s="173" t="s">
        <v>185</v>
      </c>
      <c r="C289" s="196">
        <v>181608806</v>
      </c>
      <c r="D289" s="168"/>
      <c r="F289" s="29" t="s">
        <v>186</v>
      </c>
      <c r="G289" s="3" t="s">
        <v>64</v>
      </c>
      <c r="H289" s="3" t="s">
        <v>69</v>
      </c>
      <c r="I289" s="55">
        <v>46194</v>
      </c>
      <c r="J289" s="55">
        <v>46197</v>
      </c>
      <c r="K289" s="55">
        <v>46226</v>
      </c>
      <c r="O289" s="3" t="s">
        <v>10</v>
      </c>
      <c r="P289" s="55">
        <v>46210</v>
      </c>
      <c r="R289" s="177"/>
    </row>
    <row r="290" spans="1:18" ht="15" customHeight="1">
      <c r="A290" s="173" t="s">
        <v>78</v>
      </c>
      <c r="B290" s="173" t="s">
        <v>185</v>
      </c>
      <c r="C290" s="196">
        <v>181608802</v>
      </c>
      <c r="D290" s="168"/>
      <c r="F290" s="29" t="s">
        <v>186</v>
      </c>
      <c r="G290" s="3" t="s">
        <v>64</v>
      </c>
      <c r="H290" s="3" t="s">
        <v>69</v>
      </c>
      <c r="I290" s="55">
        <v>46194</v>
      </c>
      <c r="J290" s="55">
        <v>46197</v>
      </c>
      <c r="K290" s="55">
        <v>46226</v>
      </c>
      <c r="O290" s="3" t="s">
        <v>10</v>
      </c>
      <c r="P290" s="55">
        <v>46210</v>
      </c>
      <c r="R290" s="177"/>
    </row>
    <row r="291" spans="1:18" ht="15" customHeight="1">
      <c r="A291" s="173" t="s">
        <v>78</v>
      </c>
      <c r="B291" s="173" t="s">
        <v>185</v>
      </c>
      <c r="C291" s="196">
        <v>181608799</v>
      </c>
      <c r="D291" s="168"/>
      <c r="F291" s="29" t="s">
        <v>186</v>
      </c>
      <c r="G291" s="3" t="s">
        <v>64</v>
      </c>
      <c r="H291" s="3" t="s">
        <v>69</v>
      </c>
      <c r="I291" s="55">
        <v>46194</v>
      </c>
      <c r="J291" s="55">
        <v>46197</v>
      </c>
      <c r="K291" s="55">
        <v>46226</v>
      </c>
      <c r="O291" s="3" t="s">
        <v>9</v>
      </c>
      <c r="R291" s="177"/>
    </row>
    <row r="292" spans="1:18" ht="15" customHeight="1">
      <c r="A292" s="173" t="s">
        <v>78</v>
      </c>
      <c r="B292" s="173" t="s">
        <v>185</v>
      </c>
      <c r="C292" s="196">
        <v>181608787</v>
      </c>
      <c r="D292" s="168"/>
      <c r="F292" s="29" t="s">
        <v>186</v>
      </c>
      <c r="G292" s="3" t="s">
        <v>64</v>
      </c>
      <c r="H292" s="3" t="s">
        <v>69</v>
      </c>
      <c r="I292" s="55">
        <v>46194</v>
      </c>
      <c r="J292" s="55">
        <v>46197</v>
      </c>
      <c r="K292" s="55">
        <v>46226</v>
      </c>
      <c r="O292" s="3" t="s">
        <v>10</v>
      </c>
      <c r="P292" s="55">
        <v>46210</v>
      </c>
      <c r="R292" s="177"/>
    </row>
    <row r="293" spans="1:18" ht="15" customHeight="1">
      <c r="A293" s="173" t="s">
        <v>78</v>
      </c>
      <c r="B293" s="173" t="s">
        <v>185</v>
      </c>
      <c r="C293" s="196">
        <v>181608782</v>
      </c>
      <c r="D293" s="168"/>
      <c r="F293" s="29" t="s">
        <v>186</v>
      </c>
      <c r="G293" s="3" t="s">
        <v>64</v>
      </c>
      <c r="H293" s="3" t="s">
        <v>69</v>
      </c>
      <c r="I293" s="55">
        <v>46194</v>
      </c>
      <c r="J293" s="55">
        <v>46197</v>
      </c>
      <c r="K293" s="55">
        <v>46226</v>
      </c>
      <c r="O293" s="3" t="s">
        <v>10</v>
      </c>
      <c r="P293" s="55">
        <v>46210</v>
      </c>
      <c r="R293" s="177"/>
    </row>
    <row r="294" spans="1:18" ht="15" customHeight="1">
      <c r="A294" s="173" t="s">
        <v>78</v>
      </c>
      <c r="B294" s="173" t="s">
        <v>185</v>
      </c>
      <c r="C294" s="196">
        <v>181608779</v>
      </c>
      <c r="D294" s="168"/>
      <c r="F294" s="29" t="s">
        <v>186</v>
      </c>
      <c r="G294" s="3" t="s">
        <v>64</v>
      </c>
      <c r="H294" s="3" t="s">
        <v>69</v>
      </c>
      <c r="I294" s="55">
        <v>46194</v>
      </c>
      <c r="J294" s="55">
        <v>46197</v>
      </c>
      <c r="K294" s="55">
        <v>46226</v>
      </c>
      <c r="O294" s="3" t="s">
        <v>10</v>
      </c>
      <c r="P294" s="55">
        <v>46210</v>
      </c>
      <c r="R294" s="177"/>
    </row>
    <row r="295" spans="1:18" ht="15" customHeight="1">
      <c r="A295" s="173" t="s">
        <v>78</v>
      </c>
      <c r="B295" s="173" t="s">
        <v>185</v>
      </c>
      <c r="C295" s="196">
        <v>181608776</v>
      </c>
      <c r="D295" s="168"/>
      <c r="F295" s="29" t="s">
        <v>186</v>
      </c>
      <c r="G295" s="3" t="s">
        <v>64</v>
      </c>
      <c r="H295" s="3" t="s">
        <v>69</v>
      </c>
      <c r="I295" s="55">
        <v>46194</v>
      </c>
      <c r="J295" s="55">
        <v>46197</v>
      </c>
      <c r="K295" s="55">
        <v>46226</v>
      </c>
      <c r="O295" s="3" t="s">
        <v>10</v>
      </c>
      <c r="P295" s="55">
        <v>46210</v>
      </c>
      <c r="R295" s="177"/>
    </row>
    <row r="296" spans="1:18" ht="15" customHeight="1">
      <c r="A296" s="173" t="s">
        <v>78</v>
      </c>
      <c r="B296" s="173" t="s">
        <v>185</v>
      </c>
      <c r="C296" s="196">
        <v>181608774</v>
      </c>
      <c r="D296" s="168"/>
      <c r="F296" s="29" t="s">
        <v>186</v>
      </c>
      <c r="G296" s="3" t="s">
        <v>64</v>
      </c>
      <c r="H296" s="3" t="s">
        <v>69</v>
      </c>
      <c r="I296" s="55">
        <v>46194</v>
      </c>
      <c r="J296" s="55">
        <v>46197</v>
      </c>
      <c r="K296" s="55">
        <v>46226</v>
      </c>
      <c r="O296" s="3" t="s">
        <v>10</v>
      </c>
      <c r="P296" s="55">
        <v>46210</v>
      </c>
      <c r="R296" s="177"/>
    </row>
    <row r="297" spans="1:18" ht="15" customHeight="1">
      <c r="A297" s="173" t="s">
        <v>78</v>
      </c>
      <c r="B297" s="173" t="s">
        <v>185</v>
      </c>
      <c r="C297" s="196">
        <v>181608770</v>
      </c>
      <c r="D297" s="168"/>
      <c r="F297" s="29" t="s">
        <v>186</v>
      </c>
      <c r="G297" s="3" t="s">
        <v>64</v>
      </c>
      <c r="H297" s="3" t="s">
        <v>69</v>
      </c>
      <c r="I297" s="55">
        <v>46194</v>
      </c>
      <c r="J297" s="55">
        <v>46197</v>
      </c>
      <c r="K297" s="55">
        <v>46226</v>
      </c>
      <c r="O297" s="3" t="s">
        <v>9</v>
      </c>
      <c r="R297" s="177"/>
    </row>
    <row r="298" spans="1:18" ht="15" customHeight="1">
      <c r="A298" s="183" t="s">
        <v>187</v>
      </c>
      <c r="B298" s="183">
        <v>20260412377</v>
      </c>
      <c r="C298" s="196">
        <v>189600722</v>
      </c>
      <c r="D298" s="204"/>
      <c r="E298" s="184"/>
      <c r="F298" s="184" t="s">
        <v>188</v>
      </c>
      <c r="G298" s="45" t="s">
        <v>116</v>
      </c>
      <c r="H298" s="3" t="s">
        <v>189</v>
      </c>
      <c r="I298" s="59">
        <v>46211</v>
      </c>
      <c r="J298" s="55">
        <v>46214</v>
      </c>
      <c r="K298" s="59">
        <v>46242</v>
      </c>
      <c r="L298" s="45"/>
      <c r="M298" s="45"/>
      <c r="N298" s="45"/>
      <c r="O298" s="3" t="s">
        <v>9</v>
      </c>
      <c r="P298" s="45"/>
      <c r="Q298" s="185"/>
      <c r="R298" s="186"/>
    </row>
    <row r="299" spans="1:18" ht="15" customHeight="1">
      <c r="A299" s="173" t="s">
        <v>187</v>
      </c>
      <c r="B299" s="183">
        <v>20260412377</v>
      </c>
      <c r="C299" s="196">
        <v>189600830</v>
      </c>
      <c r="D299" s="168"/>
      <c r="F299" s="29" t="s">
        <v>188</v>
      </c>
      <c r="G299" s="45" t="s">
        <v>116</v>
      </c>
      <c r="H299" s="3" t="s">
        <v>189</v>
      </c>
      <c r="I299" s="59">
        <v>46211</v>
      </c>
      <c r="J299" s="55">
        <v>46214</v>
      </c>
      <c r="K299" s="59">
        <v>46242</v>
      </c>
      <c r="O299" s="3" t="s">
        <v>9</v>
      </c>
      <c r="R299" s="177"/>
    </row>
    <row r="300" spans="1:18" ht="15" customHeight="1">
      <c r="A300" s="173" t="s">
        <v>190</v>
      </c>
      <c r="B300" s="173" t="s">
        <v>191</v>
      </c>
      <c r="C300" s="196">
        <v>181603407</v>
      </c>
      <c r="D300" s="168"/>
      <c r="F300" s="29" t="s">
        <v>192</v>
      </c>
      <c r="G300" s="3" t="s">
        <v>116</v>
      </c>
      <c r="H300" s="3" t="s">
        <v>81</v>
      </c>
      <c r="I300" s="59">
        <v>46211</v>
      </c>
      <c r="J300" s="59">
        <v>46214</v>
      </c>
      <c r="K300" s="59">
        <v>46242</v>
      </c>
      <c r="L300" s="45"/>
      <c r="M300" s="45"/>
      <c r="N300" s="45"/>
      <c r="O300" s="3" t="s">
        <v>10</v>
      </c>
      <c r="P300" s="55">
        <v>46205</v>
      </c>
      <c r="R300" s="177"/>
    </row>
    <row r="301" spans="1:18" ht="15" customHeight="1">
      <c r="A301" s="173" t="s">
        <v>190</v>
      </c>
      <c r="B301" s="173" t="s">
        <v>191</v>
      </c>
      <c r="C301" s="196">
        <v>181603458</v>
      </c>
      <c r="D301" s="168"/>
      <c r="F301" s="29" t="s">
        <v>192</v>
      </c>
      <c r="G301" s="3" t="s">
        <v>116</v>
      </c>
      <c r="H301" s="3" t="s">
        <v>81</v>
      </c>
      <c r="I301" s="59">
        <v>46211</v>
      </c>
      <c r="J301" s="59">
        <v>46214</v>
      </c>
      <c r="K301" s="59">
        <v>46242</v>
      </c>
      <c r="L301" s="45"/>
      <c r="M301" s="45"/>
      <c r="N301" s="45"/>
      <c r="O301" s="3" t="s">
        <v>10</v>
      </c>
      <c r="P301" s="55">
        <v>46205</v>
      </c>
      <c r="R301" s="177"/>
    </row>
    <row r="302" spans="1:18" ht="15" customHeight="1">
      <c r="A302" s="173" t="s">
        <v>190</v>
      </c>
      <c r="B302" s="173" t="s">
        <v>191</v>
      </c>
      <c r="C302" s="196">
        <v>181603515</v>
      </c>
      <c r="D302" s="168"/>
      <c r="F302" s="29" t="s">
        <v>192</v>
      </c>
      <c r="G302" s="3" t="s">
        <v>116</v>
      </c>
      <c r="H302" s="3" t="s">
        <v>81</v>
      </c>
      <c r="I302" s="59">
        <v>46211</v>
      </c>
      <c r="J302" s="59">
        <v>46214</v>
      </c>
      <c r="K302" s="59">
        <v>46242</v>
      </c>
      <c r="L302" s="45"/>
      <c r="M302" s="45"/>
      <c r="N302" s="45"/>
      <c r="O302" s="3" t="s">
        <v>10</v>
      </c>
      <c r="P302" s="55">
        <v>46205</v>
      </c>
      <c r="R302" s="177"/>
    </row>
    <row r="303" spans="1:18" ht="15" customHeight="1">
      <c r="A303" s="173" t="s">
        <v>190</v>
      </c>
      <c r="B303" s="173" t="s">
        <v>191</v>
      </c>
      <c r="C303" s="196">
        <v>181603555</v>
      </c>
      <c r="D303" s="168"/>
      <c r="F303" s="29" t="s">
        <v>192</v>
      </c>
      <c r="G303" s="3" t="s">
        <v>116</v>
      </c>
      <c r="H303" s="3" t="s">
        <v>81</v>
      </c>
      <c r="I303" s="59">
        <v>46211</v>
      </c>
      <c r="J303" s="59">
        <v>46214</v>
      </c>
      <c r="K303" s="59">
        <v>46242</v>
      </c>
      <c r="L303" s="45"/>
      <c r="M303" s="45"/>
      <c r="N303" s="45"/>
      <c r="O303" s="3" t="s">
        <v>10</v>
      </c>
      <c r="P303" s="55">
        <v>46205</v>
      </c>
      <c r="R303" s="177"/>
    </row>
    <row r="304" spans="1:18" ht="15" customHeight="1">
      <c r="A304" s="173" t="s">
        <v>190</v>
      </c>
      <c r="B304" s="173" t="s">
        <v>191</v>
      </c>
      <c r="C304" s="196">
        <v>181603598</v>
      </c>
      <c r="D304" s="168"/>
      <c r="F304" s="29" t="s">
        <v>192</v>
      </c>
      <c r="G304" s="3" t="s">
        <v>116</v>
      </c>
      <c r="H304" s="3" t="s">
        <v>81</v>
      </c>
      <c r="I304" s="59">
        <v>46211</v>
      </c>
      <c r="J304" s="59">
        <v>46214</v>
      </c>
      <c r="K304" s="59">
        <v>46242</v>
      </c>
      <c r="L304" s="45"/>
      <c r="M304" s="45"/>
      <c r="N304" s="45"/>
      <c r="O304" s="3" t="s">
        <v>10</v>
      </c>
      <c r="P304" s="55">
        <v>46205</v>
      </c>
      <c r="R304" s="177"/>
    </row>
    <row r="305" spans="1:18" ht="15" customHeight="1">
      <c r="A305" s="173" t="s">
        <v>193</v>
      </c>
      <c r="B305" s="173">
        <v>20260307552</v>
      </c>
      <c r="C305" s="196">
        <v>186600565</v>
      </c>
      <c r="D305" s="168"/>
      <c r="F305" s="29" t="s">
        <v>128</v>
      </c>
      <c r="G305" s="3" t="s">
        <v>116</v>
      </c>
      <c r="H305" s="3" t="s">
        <v>194</v>
      </c>
      <c r="I305" s="59">
        <v>46211</v>
      </c>
      <c r="J305" s="59">
        <v>46214</v>
      </c>
      <c r="K305" s="59">
        <v>46242</v>
      </c>
      <c r="L305" s="45"/>
      <c r="M305" s="45"/>
      <c r="N305" s="45"/>
      <c r="O305" s="3" t="s">
        <v>9</v>
      </c>
      <c r="R305" s="177"/>
    </row>
    <row r="306" spans="1:18" ht="15" customHeight="1">
      <c r="A306" s="173" t="s">
        <v>193</v>
      </c>
      <c r="B306" s="173">
        <v>20260307552</v>
      </c>
      <c r="C306" s="196">
        <v>186600558</v>
      </c>
      <c r="D306" s="168"/>
      <c r="F306" s="29" t="s">
        <v>128</v>
      </c>
      <c r="G306" s="3" t="s">
        <v>116</v>
      </c>
      <c r="H306" s="3" t="s">
        <v>194</v>
      </c>
      <c r="I306" s="59">
        <v>46211</v>
      </c>
      <c r="J306" s="59">
        <v>46214</v>
      </c>
      <c r="K306" s="59">
        <v>46242</v>
      </c>
      <c r="L306" s="45"/>
      <c r="M306" s="45"/>
      <c r="N306" s="45"/>
      <c r="O306" s="3" t="s">
        <v>9</v>
      </c>
      <c r="R306" s="177"/>
    </row>
    <row r="307" spans="1:18" ht="15" customHeight="1">
      <c r="A307" s="173" t="s">
        <v>193</v>
      </c>
      <c r="B307" s="173">
        <v>20260307552</v>
      </c>
      <c r="C307" s="196">
        <v>186600555</v>
      </c>
      <c r="D307" s="168"/>
      <c r="F307" s="29" t="s">
        <v>128</v>
      </c>
      <c r="G307" s="3" t="s">
        <v>116</v>
      </c>
      <c r="H307" s="3" t="s">
        <v>194</v>
      </c>
      <c r="I307" s="59">
        <v>46211</v>
      </c>
      <c r="J307" s="59">
        <v>46214</v>
      </c>
      <c r="K307" s="59">
        <v>46242</v>
      </c>
      <c r="L307" s="45"/>
      <c r="M307" s="45"/>
      <c r="N307" s="45"/>
      <c r="O307" s="3" t="s">
        <v>9</v>
      </c>
      <c r="R307" s="177"/>
    </row>
    <row r="308" spans="1:18" ht="15" customHeight="1">
      <c r="A308" s="173" t="s">
        <v>193</v>
      </c>
      <c r="B308" s="173">
        <v>20260307552</v>
      </c>
      <c r="C308" s="196">
        <v>186600567</v>
      </c>
      <c r="D308" s="168"/>
      <c r="F308" s="29" t="s">
        <v>128</v>
      </c>
      <c r="G308" s="3" t="s">
        <v>116</v>
      </c>
      <c r="H308" s="3" t="s">
        <v>194</v>
      </c>
      <c r="I308" s="59">
        <v>46211</v>
      </c>
      <c r="J308" s="59">
        <v>46214</v>
      </c>
      <c r="K308" s="59">
        <v>46242</v>
      </c>
      <c r="L308" s="45"/>
      <c r="M308" s="45"/>
      <c r="N308" s="45"/>
      <c r="O308" s="3" t="s">
        <v>9</v>
      </c>
      <c r="R308" s="177"/>
    </row>
    <row r="309" spans="1:18" ht="15" customHeight="1">
      <c r="A309" s="173" t="s">
        <v>193</v>
      </c>
      <c r="B309" s="173">
        <v>20260307552</v>
      </c>
      <c r="C309" s="196">
        <v>186600553</v>
      </c>
      <c r="D309" s="168"/>
      <c r="F309" s="29" t="s">
        <v>128</v>
      </c>
      <c r="G309" s="3" t="s">
        <v>116</v>
      </c>
      <c r="H309" s="3" t="s">
        <v>194</v>
      </c>
      <c r="I309" s="59">
        <v>46211</v>
      </c>
      <c r="J309" s="59">
        <v>46214</v>
      </c>
      <c r="K309" s="59">
        <v>46242</v>
      </c>
      <c r="L309" s="45"/>
      <c r="M309" s="45"/>
      <c r="N309" s="45"/>
      <c r="O309" s="3" t="s">
        <v>9</v>
      </c>
      <c r="R309" s="177"/>
    </row>
    <row r="310" spans="1:18" ht="15" customHeight="1">
      <c r="A310" s="173" t="s">
        <v>193</v>
      </c>
      <c r="B310" s="173">
        <v>20260307552</v>
      </c>
      <c r="C310" s="196">
        <v>186600549</v>
      </c>
      <c r="D310" s="168"/>
      <c r="F310" s="29" t="s">
        <v>128</v>
      </c>
      <c r="G310" s="3" t="s">
        <v>116</v>
      </c>
      <c r="H310" s="3" t="s">
        <v>194</v>
      </c>
      <c r="I310" s="59">
        <v>46211</v>
      </c>
      <c r="J310" s="59">
        <v>46214</v>
      </c>
      <c r="K310" s="59">
        <v>46242</v>
      </c>
      <c r="L310" s="45"/>
      <c r="M310" s="45"/>
      <c r="N310" s="45"/>
      <c r="O310" s="3" t="s">
        <v>9</v>
      </c>
      <c r="R310" s="177"/>
    </row>
    <row r="311" spans="1:18" ht="15" customHeight="1">
      <c r="A311" s="173" t="s">
        <v>193</v>
      </c>
      <c r="B311" s="173">
        <v>20260307552</v>
      </c>
      <c r="C311" s="196">
        <v>186600548</v>
      </c>
      <c r="D311" s="168"/>
      <c r="F311" s="29" t="s">
        <v>128</v>
      </c>
      <c r="G311" s="3" t="s">
        <v>116</v>
      </c>
      <c r="H311" s="3" t="s">
        <v>194</v>
      </c>
      <c r="I311" s="59">
        <v>46211</v>
      </c>
      <c r="J311" s="59">
        <v>46214</v>
      </c>
      <c r="K311" s="59">
        <v>46242</v>
      </c>
      <c r="L311" s="45"/>
      <c r="M311" s="45"/>
      <c r="N311" s="45"/>
      <c r="O311" s="3" t="s">
        <v>9</v>
      </c>
      <c r="R311" s="177"/>
    </row>
    <row r="312" spans="1:18" ht="15" customHeight="1">
      <c r="A312" s="173" t="s">
        <v>195</v>
      </c>
      <c r="B312" s="173" t="s">
        <v>196</v>
      </c>
      <c r="C312" s="196">
        <v>176600042</v>
      </c>
      <c r="D312" s="168"/>
      <c r="F312" s="29" t="s">
        <v>128</v>
      </c>
      <c r="G312" s="3" t="s">
        <v>116</v>
      </c>
      <c r="H312" s="3" t="s">
        <v>194</v>
      </c>
      <c r="I312" s="59">
        <v>46211</v>
      </c>
      <c r="J312" s="59">
        <v>46214</v>
      </c>
      <c r="K312" s="59">
        <v>46242</v>
      </c>
      <c r="L312" s="45"/>
      <c r="M312" s="45"/>
      <c r="N312" s="45"/>
      <c r="O312" s="3" t="s">
        <v>10</v>
      </c>
      <c r="P312" s="55">
        <v>46203</v>
      </c>
      <c r="R312" s="177"/>
    </row>
    <row r="313" spans="1:18" ht="15" customHeight="1">
      <c r="A313" s="173" t="s">
        <v>195</v>
      </c>
      <c r="B313" s="173" t="s">
        <v>196</v>
      </c>
      <c r="C313" s="196">
        <v>176600026</v>
      </c>
      <c r="D313" s="168"/>
      <c r="F313" s="29" t="s">
        <v>128</v>
      </c>
      <c r="G313" s="3" t="s">
        <v>116</v>
      </c>
      <c r="H313" s="3" t="s">
        <v>194</v>
      </c>
      <c r="I313" s="59">
        <v>46211</v>
      </c>
      <c r="J313" s="59">
        <v>46214</v>
      </c>
      <c r="K313" s="59">
        <v>46242</v>
      </c>
      <c r="L313" s="45"/>
      <c r="M313" s="45"/>
      <c r="N313" s="45"/>
      <c r="O313" s="3" t="s">
        <v>10</v>
      </c>
      <c r="P313" s="55">
        <v>46203</v>
      </c>
      <c r="R313" s="177"/>
    </row>
    <row r="314" spans="1:18" ht="15" customHeight="1">
      <c r="A314" s="173" t="s">
        <v>195</v>
      </c>
      <c r="B314" s="173" t="s">
        <v>196</v>
      </c>
      <c r="C314" s="196">
        <v>176600022</v>
      </c>
      <c r="D314" s="168"/>
      <c r="F314" s="29" t="s">
        <v>128</v>
      </c>
      <c r="G314" s="3" t="s">
        <v>116</v>
      </c>
      <c r="H314" s="3" t="s">
        <v>194</v>
      </c>
      <c r="I314" s="59">
        <v>46211</v>
      </c>
      <c r="J314" s="59">
        <v>46214</v>
      </c>
      <c r="K314" s="59">
        <v>46242</v>
      </c>
      <c r="L314" s="45"/>
      <c r="M314" s="45"/>
      <c r="N314" s="45"/>
      <c r="O314" s="3" t="s">
        <v>10</v>
      </c>
      <c r="P314" s="55">
        <v>46203</v>
      </c>
      <c r="R314" s="177"/>
    </row>
    <row r="315" spans="1:18" ht="15" customHeight="1">
      <c r="A315" s="173" t="s">
        <v>195</v>
      </c>
      <c r="B315" s="173" t="s">
        <v>196</v>
      </c>
      <c r="C315" s="196">
        <v>176600016</v>
      </c>
      <c r="D315" s="168"/>
      <c r="F315" s="29" t="s">
        <v>128</v>
      </c>
      <c r="G315" s="3" t="s">
        <v>116</v>
      </c>
      <c r="H315" s="3" t="s">
        <v>194</v>
      </c>
      <c r="I315" s="59">
        <v>46211</v>
      </c>
      <c r="J315" s="59">
        <v>46214</v>
      </c>
      <c r="K315" s="59">
        <v>46242</v>
      </c>
      <c r="L315" s="45"/>
      <c r="M315" s="45"/>
      <c r="N315" s="45"/>
      <c r="O315" s="3" t="s">
        <v>10</v>
      </c>
      <c r="P315" s="55">
        <v>46203</v>
      </c>
      <c r="R315" s="177"/>
    </row>
    <row r="316" spans="1:18" ht="15" customHeight="1">
      <c r="A316" s="173" t="s">
        <v>195</v>
      </c>
      <c r="B316" s="173" t="s">
        <v>196</v>
      </c>
      <c r="C316" s="196">
        <v>176600014</v>
      </c>
      <c r="D316" s="168"/>
      <c r="F316" s="29" t="s">
        <v>128</v>
      </c>
      <c r="G316" s="3" t="s">
        <v>116</v>
      </c>
      <c r="H316" s="3" t="s">
        <v>194</v>
      </c>
      <c r="I316" s="59">
        <v>46211</v>
      </c>
      <c r="J316" s="59">
        <v>46214</v>
      </c>
      <c r="K316" s="59">
        <v>46242</v>
      </c>
      <c r="L316" s="45"/>
      <c r="M316" s="45"/>
      <c r="N316" s="45"/>
      <c r="O316" s="3" t="s">
        <v>10</v>
      </c>
      <c r="P316" s="55">
        <v>46203</v>
      </c>
      <c r="R316" s="177"/>
    </row>
    <row r="317" spans="1:18" ht="15" customHeight="1">
      <c r="A317" s="173" t="s">
        <v>195</v>
      </c>
      <c r="B317" s="173" t="s">
        <v>196</v>
      </c>
      <c r="C317" s="196">
        <v>176600010</v>
      </c>
      <c r="D317" s="168"/>
      <c r="F317" s="29" t="s">
        <v>128</v>
      </c>
      <c r="G317" s="3" t="s">
        <v>116</v>
      </c>
      <c r="H317" s="3" t="s">
        <v>194</v>
      </c>
      <c r="I317" s="59">
        <v>46211</v>
      </c>
      <c r="J317" s="59">
        <v>46214</v>
      </c>
      <c r="K317" s="59">
        <v>46242</v>
      </c>
      <c r="L317" s="45"/>
      <c r="M317" s="45"/>
      <c r="N317" s="45"/>
      <c r="O317" s="3" t="s">
        <v>10</v>
      </c>
      <c r="P317" s="55">
        <v>46203</v>
      </c>
      <c r="R317" s="177"/>
    </row>
    <row r="318" spans="1:18" ht="15" customHeight="1">
      <c r="A318" s="173" t="s">
        <v>195</v>
      </c>
      <c r="B318" s="173" t="s">
        <v>196</v>
      </c>
      <c r="C318" s="196">
        <v>175609915</v>
      </c>
      <c r="D318" s="168"/>
      <c r="F318" s="29" t="s">
        <v>128</v>
      </c>
      <c r="G318" s="3" t="s">
        <v>116</v>
      </c>
      <c r="H318" s="3" t="s">
        <v>194</v>
      </c>
      <c r="I318" s="59">
        <v>46211</v>
      </c>
      <c r="J318" s="59">
        <v>46214</v>
      </c>
      <c r="K318" s="59">
        <v>46242</v>
      </c>
      <c r="L318" s="45"/>
      <c r="M318" s="45"/>
      <c r="N318" s="45"/>
      <c r="O318" s="3" t="s">
        <v>10</v>
      </c>
      <c r="P318" s="55">
        <v>46203</v>
      </c>
      <c r="R318" s="177"/>
    </row>
    <row r="319" spans="1:18" ht="15" customHeight="1">
      <c r="A319" s="173" t="s">
        <v>195</v>
      </c>
      <c r="B319" s="173" t="s">
        <v>196</v>
      </c>
      <c r="C319" s="196">
        <v>175609910</v>
      </c>
      <c r="D319" s="168"/>
      <c r="F319" s="29" t="s">
        <v>128</v>
      </c>
      <c r="G319" s="3" t="s">
        <v>116</v>
      </c>
      <c r="H319" s="3" t="s">
        <v>194</v>
      </c>
      <c r="I319" s="59">
        <v>46211</v>
      </c>
      <c r="J319" s="59">
        <v>46214</v>
      </c>
      <c r="K319" s="59">
        <v>46242</v>
      </c>
      <c r="L319" s="45"/>
      <c r="M319" s="45"/>
      <c r="N319" s="45"/>
      <c r="O319" s="3" t="s">
        <v>10</v>
      </c>
      <c r="P319" s="55">
        <v>46203</v>
      </c>
      <c r="R319" s="177"/>
    </row>
    <row r="320" spans="1:18" ht="15" customHeight="1">
      <c r="A320" s="173" t="s">
        <v>195</v>
      </c>
      <c r="B320" s="173" t="s">
        <v>196</v>
      </c>
      <c r="C320" s="196">
        <v>175609903</v>
      </c>
      <c r="D320" s="168"/>
      <c r="F320" s="29" t="s">
        <v>128</v>
      </c>
      <c r="G320" s="3" t="s">
        <v>116</v>
      </c>
      <c r="H320" s="3" t="s">
        <v>194</v>
      </c>
      <c r="I320" s="59">
        <v>46211</v>
      </c>
      <c r="J320" s="59">
        <v>46214</v>
      </c>
      <c r="K320" s="59">
        <v>46242</v>
      </c>
      <c r="L320" s="45"/>
      <c r="M320" s="45"/>
      <c r="N320" s="45"/>
      <c r="O320" s="3" t="s">
        <v>10</v>
      </c>
      <c r="P320" s="55">
        <v>46203</v>
      </c>
      <c r="R320" s="177"/>
    </row>
    <row r="321" spans="1:18" ht="15" customHeight="1">
      <c r="A321" s="173" t="s">
        <v>195</v>
      </c>
      <c r="B321" s="173" t="s">
        <v>196</v>
      </c>
      <c r="C321" s="196">
        <v>175609896</v>
      </c>
      <c r="D321" s="168"/>
      <c r="F321" s="29" t="s">
        <v>128</v>
      </c>
      <c r="G321" s="3" t="s">
        <v>116</v>
      </c>
      <c r="H321" s="3" t="s">
        <v>194</v>
      </c>
      <c r="I321" s="59">
        <v>46211</v>
      </c>
      <c r="J321" s="59">
        <v>46214</v>
      </c>
      <c r="K321" s="59">
        <v>46242</v>
      </c>
      <c r="L321" s="45"/>
      <c r="M321" s="45"/>
      <c r="N321" s="45"/>
      <c r="O321" s="3" t="s">
        <v>10</v>
      </c>
      <c r="P321" s="55">
        <v>46203</v>
      </c>
      <c r="R321" s="177"/>
    </row>
    <row r="322" spans="1:18" ht="15" customHeight="1">
      <c r="A322" s="173" t="s">
        <v>195</v>
      </c>
      <c r="B322" s="173" t="s">
        <v>196</v>
      </c>
      <c r="C322" s="196">
        <v>175609890</v>
      </c>
      <c r="D322" s="168"/>
      <c r="F322" s="29" t="s">
        <v>128</v>
      </c>
      <c r="G322" s="3" t="s">
        <v>116</v>
      </c>
      <c r="H322" s="3" t="s">
        <v>194</v>
      </c>
      <c r="I322" s="59">
        <v>46211</v>
      </c>
      <c r="J322" s="59">
        <v>46214</v>
      </c>
      <c r="K322" s="59">
        <v>46242</v>
      </c>
      <c r="L322" s="45"/>
      <c r="M322" s="45"/>
      <c r="N322" s="45"/>
      <c r="O322" s="3" t="s">
        <v>10</v>
      </c>
      <c r="P322" s="55">
        <v>46203</v>
      </c>
      <c r="R322" s="177"/>
    </row>
    <row r="323" spans="1:18" ht="15" customHeight="1">
      <c r="A323" s="173" t="s">
        <v>195</v>
      </c>
      <c r="B323" s="173" t="s">
        <v>196</v>
      </c>
      <c r="C323" s="196">
        <v>175609887</v>
      </c>
      <c r="D323" s="168"/>
      <c r="F323" s="29" t="s">
        <v>128</v>
      </c>
      <c r="G323" s="3" t="s">
        <v>116</v>
      </c>
      <c r="H323" s="3" t="s">
        <v>194</v>
      </c>
      <c r="I323" s="59">
        <v>46211</v>
      </c>
      <c r="J323" s="59">
        <v>46214</v>
      </c>
      <c r="K323" s="59">
        <v>46242</v>
      </c>
      <c r="L323" s="45"/>
      <c r="M323" s="45"/>
      <c r="N323" s="45"/>
      <c r="O323" s="3" t="s">
        <v>10</v>
      </c>
      <c r="P323" s="55">
        <v>46203</v>
      </c>
      <c r="R323" s="177"/>
    </row>
    <row r="324" spans="1:18" ht="15" customHeight="1">
      <c r="A324" s="173" t="s">
        <v>195</v>
      </c>
      <c r="B324" s="173" t="s">
        <v>196</v>
      </c>
      <c r="C324" s="196">
        <v>176600031</v>
      </c>
      <c r="D324" s="168"/>
      <c r="F324" s="29" t="s">
        <v>128</v>
      </c>
      <c r="G324" s="3" t="s">
        <v>116</v>
      </c>
      <c r="H324" s="3" t="s">
        <v>194</v>
      </c>
      <c r="I324" s="59">
        <v>46211</v>
      </c>
      <c r="J324" s="59">
        <v>46214</v>
      </c>
      <c r="K324" s="59">
        <v>46242</v>
      </c>
      <c r="L324" s="45"/>
      <c r="M324" s="45"/>
      <c r="N324" s="45"/>
      <c r="O324" s="3" t="s">
        <v>10</v>
      </c>
      <c r="P324" s="55">
        <v>46203</v>
      </c>
      <c r="R324" s="177"/>
    </row>
    <row r="325" spans="1:18" ht="15" customHeight="1">
      <c r="A325" s="173" t="s">
        <v>197</v>
      </c>
      <c r="B325" s="173" t="s">
        <v>198</v>
      </c>
      <c r="C325" s="196">
        <v>175609208</v>
      </c>
      <c r="D325" s="168">
        <v>195603906</v>
      </c>
      <c r="F325" s="29" t="s">
        <v>199</v>
      </c>
      <c r="G325" s="3" t="s">
        <v>200</v>
      </c>
      <c r="H325" s="3" t="s">
        <v>201</v>
      </c>
      <c r="I325" s="55">
        <v>46217</v>
      </c>
      <c r="J325" s="55">
        <v>46220</v>
      </c>
      <c r="K325" s="55">
        <v>46248</v>
      </c>
      <c r="O325" s="3" t="s">
        <v>9</v>
      </c>
      <c r="R325" s="177"/>
    </row>
    <row r="326" spans="1:18" ht="15" customHeight="1">
      <c r="A326" s="173" t="s">
        <v>197</v>
      </c>
      <c r="B326" s="173" t="s">
        <v>198</v>
      </c>
      <c r="C326" s="196">
        <v>175609178</v>
      </c>
      <c r="D326" s="168">
        <v>195603897</v>
      </c>
      <c r="F326" s="29" t="s">
        <v>199</v>
      </c>
      <c r="G326" s="3" t="s">
        <v>200</v>
      </c>
      <c r="H326" s="3" t="s">
        <v>201</v>
      </c>
      <c r="I326" s="55">
        <v>46217</v>
      </c>
      <c r="J326" s="55">
        <v>46220</v>
      </c>
      <c r="K326" s="55">
        <v>46248</v>
      </c>
      <c r="O326" s="3" t="s">
        <v>9</v>
      </c>
      <c r="R326" s="177"/>
    </row>
    <row r="327" spans="1:18" ht="15" customHeight="1">
      <c r="A327" s="173" t="s">
        <v>197</v>
      </c>
      <c r="B327" s="173" t="s">
        <v>198</v>
      </c>
      <c r="C327" s="196">
        <v>175609155</v>
      </c>
      <c r="D327" s="168">
        <v>195603893</v>
      </c>
      <c r="F327" s="29" t="s">
        <v>199</v>
      </c>
      <c r="G327" s="3" t="s">
        <v>200</v>
      </c>
      <c r="H327" s="3" t="s">
        <v>201</v>
      </c>
      <c r="I327" s="55">
        <v>46217</v>
      </c>
      <c r="J327" s="55">
        <v>46220</v>
      </c>
      <c r="K327" s="55">
        <v>46248</v>
      </c>
      <c r="O327" s="3" t="s">
        <v>9</v>
      </c>
      <c r="R327" s="177"/>
    </row>
    <row r="328" spans="1:18" ht="15" customHeight="1">
      <c r="A328" s="173" t="s">
        <v>197</v>
      </c>
      <c r="B328" s="173" t="s">
        <v>198</v>
      </c>
      <c r="C328" s="196">
        <v>175609136</v>
      </c>
      <c r="D328" s="168">
        <v>195603889</v>
      </c>
      <c r="F328" s="29" t="s">
        <v>199</v>
      </c>
      <c r="G328" s="3" t="s">
        <v>200</v>
      </c>
      <c r="H328" s="3" t="s">
        <v>201</v>
      </c>
      <c r="I328" s="55">
        <v>46217</v>
      </c>
      <c r="J328" s="55">
        <v>46220</v>
      </c>
      <c r="K328" s="55">
        <v>46248</v>
      </c>
      <c r="O328" s="3" t="s">
        <v>9</v>
      </c>
      <c r="R328" s="177"/>
    </row>
    <row r="329" spans="1:18" ht="15" customHeight="1">
      <c r="A329" s="173" t="s">
        <v>197</v>
      </c>
      <c r="B329" s="173" t="s">
        <v>198</v>
      </c>
      <c r="C329" s="196">
        <v>175609106</v>
      </c>
      <c r="D329" s="168">
        <v>195603872</v>
      </c>
      <c r="F329" s="29" t="s">
        <v>199</v>
      </c>
      <c r="G329" s="3" t="s">
        <v>200</v>
      </c>
      <c r="H329" s="3" t="s">
        <v>201</v>
      </c>
      <c r="I329" s="55">
        <v>46217</v>
      </c>
      <c r="J329" s="55">
        <v>46220</v>
      </c>
      <c r="K329" s="55">
        <v>46248</v>
      </c>
      <c r="O329" s="3" t="s">
        <v>9</v>
      </c>
      <c r="R329" s="177"/>
    </row>
    <row r="330" spans="1:18" ht="15" customHeight="1">
      <c r="A330" s="173" t="s">
        <v>197</v>
      </c>
      <c r="B330" s="173" t="s">
        <v>198</v>
      </c>
      <c r="C330" s="196">
        <v>175609024</v>
      </c>
      <c r="D330" s="168">
        <v>195603865</v>
      </c>
      <c r="F330" s="29" t="s">
        <v>199</v>
      </c>
      <c r="G330" s="3" t="s">
        <v>200</v>
      </c>
      <c r="H330" s="3" t="s">
        <v>201</v>
      </c>
      <c r="I330" s="55">
        <v>46217</v>
      </c>
      <c r="J330" s="55">
        <v>46220</v>
      </c>
      <c r="K330" s="55">
        <v>46248</v>
      </c>
      <c r="O330" s="3" t="s">
        <v>9</v>
      </c>
      <c r="R330" s="177"/>
    </row>
    <row r="331" spans="1:18" ht="15" customHeight="1">
      <c r="A331" s="173" t="s">
        <v>197</v>
      </c>
      <c r="B331" s="173" t="s">
        <v>198</v>
      </c>
      <c r="C331" s="196">
        <v>175609000</v>
      </c>
      <c r="D331" s="168">
        <v>195603857</v>
      </c>
      <c r="F331" s="29" t="s">
        <v>199</v>
      </c>
      <c r="G331" s="3" t="s">
        <v>200</v>
      </c>
      <c r="H331" s="3" t="s">
        <v>201</v>
      </c>
      <c r="I331" s="55">
        <v>46217</v>
      </c>
      <c r="J331" s="55">
        <v>46220</v>
      </c>
      <c r="K331" s="55">
        <v>46248</v>
      </c>
      <c r="O331" s="3" t="s">
        <v>9</v>
      </c>
      <c r="R331" s="177"/>
    </row>
    <row r="332" spans="1:18" ht="15" customHeight="1">
      <c r="A332" s="173" t="s">
        <v>197</v>
      </c>
      <c r="B332" s="173" t="s">
        <v>198</v>
      </c>
      <c r="C332" s="196">
        <v>175608989</v>
      </c>
      <c r="D332" s="168">
        <v>195603853</v>
      </c>
      <c r="F332" s="29" t="s">
        <v>199</v>
      </c>
      <c r="G332" s="3" t="s">
        <v>200</v>
      </c>
      <c r="H332" s="3" t="s">
        <v>201</v>
      </c>
      <c r="I332" s="55">
        <v>46217</v>
      </c>
      <c r="J332" s="55">
        <v>46220</v>
      </c>
      <c r="K332" s="55">
        <v>46248</v>
      </c>
      <c r="O332" s="3" t="s">
        <v>9</v>
      </c>
      <c r="R332" s="177"/>
    </row>
    <row r="333" spans="1:18" ht="15" customHeight="1">
      <c r="A333" s="173" t="s">
        <v>197</v>
      </c>
      <c r="B333" s="173" t="s">
        <v>198</v>
      </c>
      <c r="C333" s="196">
        <v>175608937</v>
      </c>
      <c r="D333" s="168">
        <v>195603841</v>
      </c>
      <c r="F333" s="29" t="s">
        <v>199</v>
      </c>
      <c r="G333" s="3" t="s">
        <v>200</v>
      </c>
      <c r="H333" s="3" t="s">
        <v>201</v>
      </c>
      <c r="I333" s="55">
        <v>46217</v>
      </c>
      <c r="J333" s="55">
        <v>46220</v>
      </c>
      <c r="K333" s="55">
        <v>46248</v>
      </c>
      <c r="O333" s="3" t="s">
        <v>9</v>
      </c>
      <c r="R333" s="177"/>
    </row>
    <row r="334" spans="1:18" ht="15" customHeight="1">
      <c r="A334" s="173" t="s">
        <v>197</v>
      </c>
      <c r="B334" s="173" t="s">
        <v>198</v>
      </c>
      <c r="C334" s="196">
        <v>175608914</v>
      </c>
      <c r="D334" s="168">
        <v>195603835</v>
      </c>
      <c r="F334" s="29" t="s">
        <v>199</v>
      </c>
      <c r="G334" s="3" t="s">
        <v>200</v>
      </c>
      <c r="H334" s="3" t="s">
        <v>201</v>
      </c>
      <c r="I334" s="55">
        <v>46217</v>
      </c>
      <c r="J334" s="55">
        <v>46220</v>
      </c>
      <c r="K334" s="55">
        <v>46248</v>
      </c>
      <c r="O334" s="3" t="s">
        <v>9</v>
      </c>
      <c r="R334" s="177"/>
    </row>
    <row r="335" spans="1:18" ht="15" customHeight="1">
      <c r="A335" s="173" t="s">
        <v>197</v>
      </c>
      <c r="B335" s="173" t="s">
        <v>198</v>
      </c>
      <c r="C335" s="196">
        <v>175608564</v>
      </c>
      <c r="D335" s="168">
        <v>195603829</v>
      </c>
      <c r="F335" s="29" t="s">
        <v>199</v>
      </c>
      <c r="G335" s="3" t="s">
        <v>200</v>
      </c>
      <c r="H335" s="3" t="s">
        <v>201</v>
      </c>
      <c r="I335" s="55">
        <v>46217</v>
      </c>
      <c r="J335" s="55">
        <v>46220</v>
      </c>
      <c r="K335" s="55">
        <v>46248</v>
      </c>
      <c r="O335" s="3" t="s">
        <v>9</v>
      </c>
      <c r="R335" s="177"/>
    </row>
    <row r="336" spans="1:18" ht="15" customHeight="1">
      <c r="A336" s="173" t="s">
        <v>197</v>
      </c>
      <c r="B336" s="173" t="s">
        <v>198</v>
      </c>
      <c r="C336" s="196">
        <v>175608529</v>
      </c>
      <c r="D336" s="168">
        <v>195603822</v>
      </c>
      <c r="F336" s="29" t="s">
        <v>199</v>
      </c>
      <c r="G336" s="3" t="s">
        <v>200</v>
      </c>
      <c r="H336" s="3" t="s">
        <v>201</v>
      </c>
      <c r="I336" s="55">
        <v>46217</v>
      </c>
      <c r="J336" s="55">
        <v>46220</v>
      </c>
      <c r="K336" s="55">
        <v>46248</v>
      </c>
      <c r="O336" s="3" t="s">
        <v>9</v>
      </c>
      <c r="R336" s="177"/>
    </row>
    <row r="337" spans="1:18" ht="15" customHeight="1">
      <c r="A337" s="173" t="s">
        <v>197</v>
      </c>
      <c r="B337" s="173" t="s">
        <v>198</v>
      </c>
      <c r="C337" s="196">
        <v>175608961</v>
      </c>
      <c r="D337" s="168">
        <v>195603813</v>
      </c>
      <c r="F337" s="29" t="s">
        <v>199</v>
      </c>
      <c r="G337" s="3" t="s">
        <v>200</v>
      </c>
      <c r="H337" s="3" t="s">
        <v>201</v>
      </c>
      <c r="I337" s="55">
        <v>46217</v>
      </c>
      <c r="J337" s="55">
        <v>46220</v>
      </c>
      <c r="K337" s="55">
        <v>46248</v>
      </c>
      <c r="O337" s="3" t="s">
        <v>9</v>
      </c>
      <c r="R337" s="177"/>
    </row>
    <row r="338" spans="1:18" ht="15" customHeight="1">
      <c r="A338" s="173" t="s">
        <v>202</v>
      </c>
      <c r="B338" s="173"/>
      <c r="C338" s="196">
        <v>194610957</v>
      </c>
      <c r="D338" s="168"/>
      <c r="F338" s="29" t="s">
        <v>203</v>
      </c>
      <c r="G338" s="3" t="s">
        <v>116</v>
      </c>
      <c r="H338" s="3" t="s">
        <v>204</v>
      </c>
      <c r="I338" s="55">
        <v>46216</v>
      </c>
      <c r="J338" s="55">
        <v>46219</v>
      </c>
      <c r="K338" s="55">
        <v>46247</v>
      </c>
      <c r="O338" s="3" t="s">
        <v>9</v>
      </c>
      <c r="R338" s="177"/>
    </row>
    <row r="339" spans="1:18" ht="15" customHeight="1">
      <c r="A339" s="173" t="s">
        <v>202</v>
      </c>
      <c r="B339" s="173"/>
      <c r="C339" s="196">
        <v>194610953</v>
      </c>
      <c r="D339" s="168"/>
      <c r="F339" s="29" t="s">
        <v>203</v>
      </c>
      <c r="G339" s="3" t="s">
        <v>116</v>
      </c>
      <c r="H339" s="3" t="s">
        <v>204</v>
      </c>
      <c r="I339" s="55">
        <v>46216</v>
      </c>
      <c r="J339" s="55">
        <v>46219</v>
      </c>
      <c r="K339" s="55">
        <v>46247</v>
      </c>
      <c r="O339" s="3" t="s">
        <v>9</v>
      </c>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83"/>
      <c r="B405" s="183"/>
      <c r="C405" s="198"/>
      <c r="D405" s="168"/>
      <c r="E405" s="184"/>
      <c r="F405" s="184"/>
      <c r="G405" s="45"/>
      <c r="H405" s="45"/>
      <c r="I405" s="45"/>
      <c r="J405" s="45"/>
      <c r="K405" s="45"/>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73"/>
      <c r="B411" s="173"/>
      <c r="D411" s="168"/>
      <c r="L411" s="45"/>
      <c r="M411" s="45"/>
      <c r="N411" s="45"/>
      <c r="P411" s="45"/>
      <c r="Q411" s="185"/>
      <c r="R411" s="186"/>
    </row>
    <row r="412" spans="1:18" ht="15" customHeight="1">
      <c r="A412" s="173"/>
      <c r="B412" s="173"/>
      <c r="D412" s="168"/>
      <c r="L412" s="45"/>
      <c r="M412" s="45"/>
      <c r="N412" s="45"/>
      <c r="P412" s="45"/>
      <c r="Q412" s="185"/>
      <c r="R412" s="186"/>
    </row>
    <row r="413" spans="1:18" ht="15" customHeight="1">
      <c r="A413" s="173"/>
      <c r="B413" s="173"/>
      <c r="D413" s="168"/>
      <c r="L413" s="45"/>
      <c r="M413" s="45"/>
      <c r="N413" s="45"/>
      <c r="P413" s="45"/>
      <c r="Q413" s="185"/>
      <c r="R413" s="186"/>
    </row>
    <row r="414" spans="1:18" ht="15" customHeight="1">
      <c r="A414" s="173"/>
      <c r="B414" s="173"/>
      <c r="D414" s="168"/>
      <c r="L414" s="45"/>
      <c r="M414" s="45"/>
      <c r="N414" s="45"/>
      <c r="P414" s="45"/>
      <c r="Q414" s="185"/>
      <c r="R414" s="186"/>
    </row>
    <row r="415" spans="1:18" ht="15" customHeight="1">
      <c r="A415" s="173"/>
      <c r="B415" s="173"/>
      <c r="D415" s="168"/>
      <c r="L415" s="45"/>
      <c r="M415" s="45"/>
      <c r="N415" s="45"/>
      <c r="P415" s="45"/>
      <c r="Q415" s="185"/>
      <c r="R415" s="186"/>
    </row>
    <row r="416" spans="1:18" ht="15" customHeight="1">
      <c r="A416" s="173"/>
      <c r="B416" s="173"/>
      <c r="D416" s="168"/>
      <c r="L416" s="45"/>
      <c r="M416" s="45"/>
      <c r="N416" s="45"/>
      <c r="P416" s="45"/>
      <c r="Q416" s="185"/>
      <c r="R416" s="186"/>
    </row>
    <row r="417" spans="1:18" ht="15" customHeight="1">
      <c r="A417" s="173"/>
      <c r="B417" s="173"/>
      <c r="D417" s="168"/>
      <c r="L417" s="45"/>
      <c r="M417" s="45"/>
      <c r="N417" s="45"/>
      <c r="P417" s="45"/>
      <c r="Q417" s="185"/>
      <c r="R417" s="186"/>
    </row>
    <row r="418" spans="1:18" ht="15" customHeight="1">
      <c r="A418" s="173"/>
      <c r="B418" s="173"/>
      <c r="D418" s="168"/>
      <c r="L418" s="45"/>
      <c r="M418" s="45"/>
      <c r="N418" s="45"/>
      <c r="P418" s="45"/>
      <c r="Q418" s="185"/>
      <c r="R418" s="186"/>
    </row>
    <row r="419" spans="1:18" ht="15" customHeight="1">
      <c r="A419" s="173"/>
      <c r="B419" s="173"/>
      <c r="D419" s="168"/>
      <c r="L419" s="45"/>
      <c r="M419" s="45"/>
      <c r="N419" s="45"/>
      <c r="P419" s="45"/>
      <c r="Q419" s="185"/>
      <c r="R419" s="186"/>
    </row>
    <row r="420" spans="1:18" ht="15" customHeight="1">
      <c r="A420" s="173"/>
      <c r="B420" s="173"/>
      <c r="D420" s="168"/>
      <c r="L420" s="45"/>
      <c r="M420" s="45"/>
      <c r="N420" s="45"/>
      <c r="P420" s="45"/>
      <c r="Q420" s="185"/>
      <c r="R420" s="186"/>
    </row>
    <row r="421" spans="1:18" ht="15" customHeight="1">
      <c r="A421" s="173"/>
      <c r="B421" s="173"/>
      <c r="D421" s="168"/>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83"/>
      <c r="B426" s="183"/>
      <c r="C426" s="198"/>
      <c r="D426" s="168"/>
      <c r="E426" s="184"/>
      <c r="F426" s="184"/>
      <c r="H426" s="45"/>
      <c r="I426" s="45"/>
      <c r="J426" s="45"/>
      <c r="K426" s="45"/>
      <c r="L426" s="45"/>
      <c r="M426" s="45"/>
      <c r="N426" s="45"/>
      <c r="P426" s="45"/>
      <c r="Q426" s="185"/>
      <c r="R426" s="186"/>
    </row>
    <row r="427" spans="1:18" ht="15" customHeight="1">
      <c r="A427" s="183"/>
      <c r="B427" s="183"/>
      <c r="C427" s="198"/>
      <c r="D427" s="168"/>
      <c r="E427" s="184"/>
      <c r="F427" s="184"/>
      <c r="H427" s="45"/>
      <c r="I427" s="45"/>
      <c r="J427" s="45"/>
      <c r="K427" s="45"/>
      <c r="L427" s="45"/>
      <c r="M427" s="45"/>
      <c r="N427" s="45"/>
      <c r="P427" s="45"/>
      <c r="Q427" s="185"/>
      <c r="R427" s="186"/>
    </row>
    <row r="428" spans="1:18" ht="15" customHeight="1">
      <c r="A428" s="183"/>
      <c r="B428" s="183"/>
      <c r="C428" s="198"/>
      <c r="D428" s="168"/>
      <c r="E428" s="184"/>
      <c r="F428" s="184"/>
      <c r="H428" s="45"/>
      <c r="I428" s="45"/>
      <c r="J428" s="45"/>
      <c r="K428" s="45"/>
      <c r="L428" s="45"/>
      <c r="M428" s="45"/>
      <c r="N428" s="45"/>
      <c r="P428" s="45"/>
      <c r="Q428" s="185"/>
      <c r="R428" s="186"/>
    </row>
    <row r="429" spans="1:18" ht="15" customHeight="1">
      <c r="A429" s="183"/>
      <c r="B429" s="183"/>
      <c r="C429" s="198"/>
      <c r="D429" s="168"/>
      <c r="E429" s="184"/>
      <c r="F429" s="184"/>
      <c r="H429" s="45"/>
      <c r="I429" s="45"/>
      <c r="J429" s="45"/>
      <c r="K429" s="45"/>
      <c r="L429" s="45"/>
      <c r="M429" s="45"/>
      <c r="N429" s="45"/>
      <c r="P429" s="45"/>
      <c r="Q429" s="185"/>
      <c r="R429" s="186"/>
    </row>
    <row r="430" spans="1:18" ht="15" customHeight="1">
      <c r="A430" s="183"/>
      <c r="B430" s="183"/>
      <c r="C430" s="198"/>
      <c r="D430" s="168"/>
      <c r="E430" s="184"/>
      <c r="F430" s="184"/>
      <c r="H430" s="45"/>
      <c r="I430" s="45"/>
      <c r="J430" s="45"/>
      <c r="K430" s="45"/>
      <c r="L430" s="45"/>
      <c r="M430" s="45"/>
      <c r="N430" s="45"/>
      <c r="P430" s="45"/>
      <c r="Q430" s="185"/>
      <c r="R430" s="186"/>
    </row>
    <row r="431" spans="1:18" ht="15" customHeight="1">
      <c r="A431" s="183"/>
      <c r="B431" s="183"/>
      <c r="C431" s="198"/>
      <c r="D431" s="168"/>
      <c r="E431" s="184"/>
      <c r="F431" s="184"/>
      <c r="H431" s="45"/>
      <c r="I431" s="45"/>
      <c r="J431" s="45"/>
      <c r="K431" s="45"/>
      <c r="L431" s="45"/>
      <c r="M431" s="45"/>
      <c r="N431" s="45"/>
      <c r="P431" s="45"/>
      <c r="Q431" s="185"/>
      <c r="R431" s="186"/>
    </row>
    <row r="432" spans="1:18" ht="15" customHeight="1">
      <c r="A432" s="183"/>
      <c r="B432" s="183"/>
      <c r="C432" s="198"/>
      <c r="D432" s="168"/>
      <c r="E432" s="184"/>
      <c r="F432" s="184"/>
      <c r="H432" s="45"/>
      <c r="I432" s="45"/>
      <c r="J432" s="45"/>
      <c r="K432" s="45"/>
      <c r="L432" s="45"/>
      <c r="M432" s="45"/>
      <c r="N432" s="45"/>
      <c r="P432" s="45"/>
      <c r="Q432" s="185"/>
      <c r="R432" s="186"/>
    </row>
    <row r="433" spans="1:18" ht="15" customHeight="1">
      <c r="A433" s="183"/>
      <c r="B433" s="183"/>
      <c r="C433" s="198"/>
      <c r="D433" s="168"/>
      <c r="E433" s="184"/>
      <c r="F433" s="184"/>
      <c r="H433" s="45"/>
      <c r="I433" s="45"/>
      <c r="J433" s="45"/>
      <c r="K433" s="45"/>
      <c r="L433" s="45"/>
      <c r="M433" s="45"/>
      <c r="N433" s="45"/>
      <c r="P433" s="45"/>
      <c r="Q433" s="185"/>
      <c r="R433" s="186"/>
    </row>
    <row r="434" spans="1:18" ht="15" customHeight="1">
      <c r="A434" s="183"/>
      <c r="B434" s="183"/>
      <c r="C434" s="198"/>
      <c r="D434" s="168"/>
      <c r="E434" s="184"/>
      <c r="F434" s="184"/>
      <c r="H434" s="45"/>
      <c r="I434" s="45"/>
      <c r="J434" s="45"/>
      <c r="K434" s="45"/>
      <c r="L434" s="45"/>
      <c r="M434" s="45"/>
      <c r="N434" s="45"/>
      <c r="P434" s="45"/>
      <c r="Q434" s="185"/>
      <c r="R434" s="186"/>
    </row>
    <row r="435" spans="1:18" ht="15" customHeight="1">
      <c r="A435" s="183"/>
      <c r="B435" s="183"/>
      <c r="C435" s="198"/>
      <c r="D435" s="168"/>
      <c r="E435" s="184"/>
      <c r="F435" s="184"/>
      <c r="H435" s="45"/>
      <c r="I435" s="45"/>
      <c r="J435" s="45"/>
      <c r="K435" s="45"/>
      <c r="L435" s="45"/>
      <c r="M435" s="45"/>
      <c r="N435" s="45"/>
      <c r="P435" s="45"/>
      <c r="Q435" s="185"/>
      <c r="R435" s="186"/>
    </row>
    <row r="436" spans="1:18" ht="15" customHeight="1">
      <c r="A436" s="183"/>
      <c r="B436" s="183"/>
      <c r="C436" s="198"/>
      <c r="D436" s="168"/>
      <c r="E436" s="184"/>
      <c r="F436" s="184"/>
      <c r="H436" s="45"/>
      <c r="I436" s="45"/>
      <c r="J436" s="45"/>
      <c r="K436" s="45"/>
      <c r="L436" s="45"/>
      <c r="M436" s="45"/>
      <c r="N436" s="45"/>
      <c r="P436" s="45"/>
      <c r="Q436" s="185"/>
      <c r="R436" s="186"/>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83"/>
      <c r="B509" s="183"/>
      <c r="C509" s="198"/>
      <c r="D509" s="168"/>
      <c r="E509" s="184"/>
      <c r="F509" s="184"/>
      <c r="G509" s="45"/>
      <c r="H509" s="45"/>
      <c r="I509" s="45"/>
      <c r="J509" s="45"/>
      <c r="K509" s="45"/>
      <c r="L509" s="45"/>
      <c r="M509" s="45"/>
      <c r="N509" s="45"/>
      <c r="P509" s="45"/>
      <c r="Q509" s="185"/>
      <c r="R509" s="186"/>
    </row>
    <row r="510" spans="1:18" ht="15" customHeight="1">
      <c r="A510" s="173"/>
      <c r="B510" s="173"/>
      <c r="D510" s="168"/>
      <c r="R510" s="177"/>
    </row>
    <row r="511" spans="1:18" ht="15" customHeight="1">
      <c r="A511" s="183"/>
      <c r="B511" s="183"/>
      <c r="C511" s="198"/>
      <c r="D511" s="204"/>
      <c r="E511" s="184"/>
      <c r="F511" s="184"/>
      <c r="G511" s="45"/>
      <c r="H511" s="45"/>
      <c r="I511" s="45"/>
      <c r="J511" s="45"/>
      <c r="K511" s="45"/>
      <c r="L511" s="45"/>
      <c r="M511" s="45"/>
      <c r="N511" s="45"/>
      <c r="P511" s="45"/>
      <c r="Q511" s="185"/>
      <c r="R511" s="186"/>
    </row>
    <row r="512" spans="1:18" ht="15" customHeight="1">
      <c r="A512" s="173"/>
      <c r="B512" s="183"/>
      <c r="D512" s="168"/>
      <c r="R512" s="177"/>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row r="536" spans="4:4" ht="15" customHeight="1">
      <c r="D536" s="168"/>
    </row>
    <row r="537" spans="4:4" ht="15" customHeight="1">
      <c r="D537" s="168"/>
    </row>
    <row r="538" spans="4:4" ht="15" customHeight="1">
      <c r="D538" s="168"/>
    </row>
    <row r="539" spans="4:4" ht="15" customHeight="1">
      <c r="D539" s="168"/>
    </row>
    <row r="540" spans="4:4" ht="15" customHeight="1">
      <c r="D540" s="168"/>
    </row>
    <row r="541" spans="4:4" ht="15" customHeight="1">
      <c r="D541" s="168"/>
    </row>
    <row r="542" spans="4:4" ht="15" customHeight="1">
      <c r="D542" s="168"/>
    </row>
    <row r="543" spans="4:4" ht="15" customHeight="1">
      <c r="D543" s="168"/>
    </row>
    <row r="544" spans="4:4" ht="15" customHeight="1">
      <c r="D544" s="168"/>
    </row>
    <row r="545" spans="4:4" ht="15" customHeight="1">
      <c r="D545" s="168"/>
    </row>
    <row r="546" spans="4:4" ht="15" customHeight="1">
      <c r="D54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201</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201</v>
      </c>
      <c r="F276" s="10" t="s">
        <v>354</v>
      </c>
    </row>
    <row r="277" spans="1:6" ht="39.75" customHeight="1">
      <c r="A277" s="10" t="s">
        <v>353</v>
      </c>
      <c r="B277" s="10">
        <v>36501547</v>
      </c>
      <c r="C277" s="10" t="s">
        <v>36</v>
      </c>
      <c r="D277" s="9">
        <v>45692</v>
      </c>
      <c r="E277" s="10" t="s">
        <v>201</v>
      </c>
      <c r="F277" s="10" t="s">
        <v>355</v>
      </c>
    </row>
    <row r="278" spans="1:6" ht="39.75" customHeight="1">
      <c r="A278" s="10" t="s">
        <v>353</v>
      </c>
      <c r="B278" s="10">
        <v>36501450</v>
      </c>
      <c r="C278" s="10" t="s">
        <v>36</v>
      </c>
      <c r="D278" s="9">
        <v>45692</v>
      </c>
      <c r="E278" s="10" t="s">
        <v>201</v>
      </c>
      <c r="F278" s="10" t="s">
        <v>356</v>
      </c>
    </row>
    <row r="279" spans="1:6" ht="39.75" customHeight="1">
      <c r="A279" s="10" t="s">
        <v>353</v>
      </c>
      <c r="B279" s="10">
        <v>36501361</v>
      </c>
      <c r="C279" s="10" t="s">
        <v>36</v>
      </c>
      <c r="D279" s="9">
        <v>45692</v>
      </c>
      <c r="E279" s="10" t="s">
        <v>201</v>
      </c>
      <c r="F279" s="10" t="s">
        <v>357</v>
      </c>
    </row>
    <row r="280" spans="1:6" ht="39.75" customHeight="1">
      <c r="A280" s="10" t="s">
        <v>353</v>
      </c>
      <c r="B280" s="10">
        <v>35509604</v>
      </c>
      <c r="C280" s="10" t="s">
        <v>36</v>
      </c>
      <c r="D280" s="9">
        <v>45692</v>
      </c>
      <c r="E280" s="10" t="s">
        <v>201</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201</v>
      </c>
      <c r="F344" s="10" t="s">
        <v>380</v>
      </c>
    </row>
    <row r="345" spans="1:6" ht="39.75" customHeight="1">
      <c r="A345" s="10" t="s">
        <v>379</v>
      </c>
      <c r="B345" s="10">
        <v>41510026</v>
      </c>
      <c r="C345" s="10" t="s">
        <v>36</v>
      </c>
      <c r="D345" s="9">
        <v>45694</v>
      </c>
      <c r="E345" s="10" t="s">
        <v>201</v>
      </c>
      <c r="F345" s="10" t="s">
        <v>381</v>
      </c>
    </row>
    <row r="346" spans="1:6" ht="39.75" customHeight="1">
      <c r="A346" s="10" t="s">
        <v>379</v>
      </c>
      <c r="B346" s="10">
        <v>41510021</v>
      </c>
      <c r="C346" s="10" t="s">
        <v>36</v>
      </c>
      <c r="D346" s="9">
        <v>45694</v>
      </c>
      <c r="E346" s="10" t="s">
        <v>201</v>
      </c>
      <c r="F346" s="10" t="s">
        <v>382</v>
      </c>
    </row>
    <row r="347" spans="1:6" ht="39.75" customHeight="1">
      <c r="A347" s="10" t="s">
        <v>379</v>
      </c>
      <c r="B347" s="10">
        <v>41510011</v>
      </c>
      <c r="C347" s="10" t="s">
        <v>36</v>
      </c>
      <c r="D347" s="9">
        <v>45694</v>
      </c>
      <c r="E347" s="10" t="s">
        <v>201</v>
      </c>
      <c r="F347" s="10" t="s">
        <v>383</v>
      </c>
    </row>
    <row r="348" spans="1:6" ht="39.75" customHeight="1">
      <c r="A348" s="10" t="s">
        <v>379</v>
      </c>
      <c r="B348" s="10">
        <v>41510009</v>
      </c>
      <c r="C348" s="10" t="s">
        <v>36</v>
      </c>
      <c r="D348" s="9">
        <v>45694</v>
      </c>
      <c r="E348" s="10" t="s">
        <v>201</v>
      </c>
      <c r="F348" s="10" t="s">
        <v>384</v>
      </c>
    </row>
    <row r="349" spans="1:6" ht="39.75" customHeight="1">
      <c r="A349" s="10" t="s">
        <v>379</v>
      </c>
      <c r="B349" s="10">
        <v>41509998</v>
      </c>
      <c r="C349" s="10" t="s">
        <v>36</v>
      </c>
      <c r="D349" s="9">
        <v>45694</v>
      </c>
      <c r="E349" s="10" t="s">
        <v>201</v>
      </c>
      <c r="F349" s="10" t="s">
        <v>383</v>
      </c>
    </row>
    <row r="350" spans="1:6" ht="39.75" customHeight="1">
      <c r="A350" s="10" t="s">
        <v>379</v>
      </c>
      <c r="B350" s="10">
        <v>41509965</v>
      </c>
      <c r="C350" s="10" t="s">
        <v>36</v>
      </c>
      <c r="D350" s="9">
        <v>45694</v>
      </c>
      <c r="E350" s="10" t="s">
        <v>201</v>
      </c>
      <c r="F350" s="10" t="s">
        <v>385</v>
      </c>
    </row>
    <row r="351" spans="1:6" ht="39.75" customHeight="1">
      <c r="A351" s="10" t="s">
        <v>379</v>
      </c>
      <c r="B351" s="10">
        <v>41509943</v>
      </c>
      <c r="C351" s="10" t="s">
        <v>36</v>
      </c>
      <c r="D351" s="9">
        <v>45694</v>
      </c>
      <c r="E351" s="10" t="s">
        <v>201</v>
      </c>
      <c r="F351" s="10" t="s">
        <v>386</v>
      </c>
    </row>
    <row r="352" spans="1:6" ht="39.75" customHeight="1">
      <c r="A352" s="10" t="s">
        <v>379</v>
      </c>
      <c r="B352" s="10">
        <v>41509932</v>
      </c>
      <c r="C352" s="10" t="s">
        <v>36</v>
      </c>
      <c r="D352" s="9">
        <v>45694</v>
      </c>
      <c r="E352" s="10" t="s">
        <v>201</v>
      </c>
      <c r="F352" s="10" t="s">
        <v>387</v>
      </c>
    </row>
    <row r="353" spans="1:6" ht="39.75" customHeight="1">
      <c r="A353" s="10" t="s">
        <v>379</v>
      </c>
      <c r="B353" s="10">
        <v>41509914</v>
      </c>
      <c r="C353" s="10" t="s">
        <v>36</v>
      </c>
      <c r="D353" s="9">
        <v>45694</v>
      </c>
      <c r="E353" s="10" t="s">
        <v>201</v>
      </c>
      <c r="F353" s="10" t="s">
        <v>388</v>
      </c>
    </row>
    <row r="354" spans="1:6" ht="39.75" customHeight="1">
      <c r="A354" s="10" t="s">
        <v>379</v>
      </c>
      <c r="B354" s="10">
        <v>41509898</v>
      </c>
      <c r="C354" s="10" t="s">
        <v>36</v>
      </c>
      <c r="D354" s="9">
        <v>45694</v>
      </c>
      <c r="E354" s="10" t="s">
        <v>201</v>
      </c>
      <c r="F354" s="10" t="s">
        <v>389</v>
      </c>
    </row>
    <row r="355" spans="1:6" ht="39.75" customHeight="1">
      <c r="A355" s="10" t="s">
        <v>379</v>
      </c>
      <c r="B355" s="10">
        <v>41509893</v>
      </c>
      <c r="C355" s="10" t="s">
        <v>36</v>
      </c>
      <c r="D355" s="9">
        <v>45694</v>
      </c>
      <c r="E355" s="10" t="s">
        <v>201</v>
      </c>
      <c r="F355" s="10" t="s">
        <v>390</v>
      </c>
    </row>
    <row r="356" spans="1:6" ht="39.75" customHeight="1">
      <c r="A356" s="10" t="s">
        <v>379</v>
      </c>
      <c r="B356" s="10">
        <v>41509884</v>
      </c>
      <c r="C356" s="10" t="s">
        <v>36</v>
      </c>
      <c r="D356" s="9">
        <v>45694</v>
      </c>
      <c r="E356" s="10" t="s">
        <v>201</v>
      </c>
      <c r="F356" s="10" t="s">
        <v>386</v>
      </c>
    </row>
    <row r="357" spans="1:6" ht="39.75" customHeight="1">
      <c r="A357" s="10" t="s">
        <v>379</v>
      </c>
      <c r="B357" s="10">
        <v>41509879</v>
      </c>
      <c r="C357" s="10" t="s">
        <v>36</v>
      </c>
      <c r="D357" s="9">
        <v>45694</v>
      </c>
      <c r="E357" s="10" t="s">
        <v>201</v>
      </c>
      <c r="F357" s="10" t="s">
        <v>386</v>
      </c>
    </row>
    <row r="358" spans="1:6" ht="39.75" customHeight="1">
      <c r="A358" s="10" t="s">
        <v>379</v>
      </c>
      <c r="B358" s="10">
        <v>41509833</v>
      </c>
      <c r="C358" s="10" t="s">
        <v>36</v>
      </c>
      <c r="D358" s="9">
        <v>45694</v>
      </c>
      <c r="E358" s="10" t="s">
        <v>201</v>
      </c>
      <c r="F358" s="10" t="s">
        <v>390</v>
      </c>
    </row>
    <row r="359" spans="1:6" ht="39.75" customHeight="1">
      <c r="A359" s="10" t="s">
        <v>379</v>
      </c>
      <c r="B359" s="10">
        <v>41509811</v>
      </c>
      <c r="C359" s="10" t="s">
        <v>36</v>
      </c>
      <c r="D359" s="9">
        <v>45694</v>
      </c>
      <c r="E359" s="10" t="s">
        <v>201</v>
      </c>
      <c r="F359" s="10" t="s">
        <v>389</v>
      </c>
    </row>
    <row r="360" spans="1:6" ht="39.75" customHeight="1">
      <c r="A360" s="10" t="s">
        <v>379</v>
      </c>
      <c r="B360" s="10">
        <v>41509791</v>
      </c>
      <c r="C360" s="10" t="s">
        <v>36</v>
      </c>
      <c r="D360" s="9">
        <v>45694</v>
      </c>
      <c r="E360" s="10" t="s">
        <v>201</v>
      </c>
      <c r="F360" s="10" t="s">
        <v>388</v>
      </c>
    </row>
    <row r="361" spans="1:6" ht="39.75" customHeight="1">
      <c r="A361" s="10" t="s">
        <v>353</v>
      </c>
      <c r="B361" s="10">
        <v>36501266</v>
      </c>
      <c r="C361" s="10" t="s">
        <v>36</v>
      </c>
      <c r="D361" s="9">
        <v>45694</v>
      </c>
      <c r="E361" s="10" t="s">
        <v>201</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201</v>
      </c>
      <c r="F645" s="3" t="s">
        <v>617</v>
      </c>
    </row>
    <row r="646" spans="1:6" ht="39.75" customHeight="1">
      <c r="A646" s="10" t="s">
        <v>358</v>
      </c>
      <c r="B646" s="3">
        <v>48507534</v>
      </c>
      <c r="C646" s="10" t="s">
        <v>36</v>
      </c>
      <c r="D646" s="55">
        <v>45705</v>
      </c>
      <c r="E646" s="3" t="s">
        <v>201</v>
      </c>
      <c r="F646" s="3" t="s">
        <v>618</v>
      </c>
    </row>
    <row r="647" spans="1:6" ht="39.75" customHeight="1">
      <c r="A647" s="10" t="s">
        <v>358</v>
      </c>
      <c r="B647" s="3">
        <v>48507486</v>
      </c>
      <c r="C647" s="10" t="s">
        <v>36</v>
      </c>
      <c r="D647" s="55">
        <v>45705</v>
      </c>
      <c r="E647" s="3" t="s">
        <v>201</v>
      </c>
      <c r="F647" s="3" t="s">
        <v>619</v>
      </c>
    </row>
    <row r="648" spans="1:6" ht="39.75" customHeight="1">
      <c r="A648" s="10" t="s">
        <v>358</v>
      </c>
      <c r="B648" s="3">
        <v>48507387</v>
      </c>
      <c r="C648" s="10" t="s">
        <v>36</v>
      </c>
      <c r="D648" s="55">
        <v>45705</v>
      </c>
      <c r="E648" s="3" t="s">
        <v>201</v>
      </c>
      <c r="F648" s="3" t="s">
        <v>620</v>
      </c>
    </row>
    <row r="649" spans="1:6" ht="39.75" customHeight="1">
      <c r="A649" s="10" t="s">
        <v>358</v>
      </c>
      <c r="B649" s="3">
        <v>48507301</v>
      </c>
      <c r="C649" s="10" t="s">
        <v>36</v>
      </c>
      <c r="D649" s="55">
        <v>45705</v>
      </c>
      <c r="E649" s="3" t="s">
        <v>201</v>
      </c>
      <c r="F649" s="3" t="s">
        <v>621</v>
      </c>
    </row>
    <row r="650" spans="1:6" ht="39.75" customHeight="1">
      <c r="A650" s="10" t="s">
        <v>358</v>
      </c>
      <c r="B650" s="3">
        <v>48507163</v>
      </c>
      <c r="C650" s="10" t="s">
        <v>36</v>
      </c>
      <c r="D650" s="55">
        <v>45705</v>
      </c>
      <c r="E650" s="3" t="s">
        <v>201</v>
      </c>
      <c r="F650" s="3" t="s">
        <v>622</v>
      </c>
    </row>
    <row r="651" spans="1:6">
      <c r="A651" s="3" t="s">
        <v>623</v>
      </c>
      <c r="B651" s="4">
        <v>55503706</v>
      </c>
      <c r="C651" s="3" t="s">
        <v>624</v>
      </c>
      <c r="D651" s="65">
        <v>45709</v>
      </c>
      <c r="E651" s="3" t="s">
        <v>201</v>
      </c>
      <c r="F651" s="3" t="s">
        <v>625</v>
      </c>
    </row>
    <row r="652" spans="1:6">
      <c r="A652" s="3" t="s">
        <v>623</v>
      </c>
      <c r="B652" s="4">
        <v>55503801</v>
      </c>
      <c r="C652" s="3" t="s">
        <v>624</v>
      </c>
      <c r="D652" s="65">
        <v>45709</v>
      </c>
      <c r="E652" s="3" t="s">
        <v>201</v>
      </c>
      <c r="F652" s="3" t="s">
        <v>626</v>
      </c>
    </row>
    <row r="653" spans="1:6">
      <c r="A653" s="3" t="s">
        <v>623</v>
      </c>
      <c r="B653" s="4">
        <v>55503862</v>
      </c>
      <c r="C653" s="3" t="s">
        <v>624</v>
      </c>
      <c r="D653" s="65">
        <v>45709</v>
      </c>
      <c r="E653" s="3" t="s">
        <v>201</v>
      </c>
      <c r="F653" s="3" t="s">
        <v>627</v>
      </c>
    </row>
    <row r="654" spans="1:6">
      <c r="A654" s="3" t="s">
        <v>623</v>
      </c>
      <c r="B654" s="4">
        <v>55503935</v>
      </c>
      <c r="C654" s="3" t="s">
        <v>624</v>
      </c>
      <c r="D654" s="65">
        <v>45709</v>
      </c>
      <c r="E654" s="3" t="s">
        <v>201</v>
      </c>
      <c r="F654" s="3" t="s">
        <v>628</v>
      </c>
    </row>
    <row r="655" spans="1:6">
      <c r="A655" s="3" t="s">
        <v>623</v>
      </c>
      <c r="B655" s="64">
        <v>55503969</v>
      </c>
      <c r="C655" s="45" t="s">
        <v>624</v>
      </c>
      <c r="D655" s="66">
        <v>45709</v>
      </c>
      <c r="E655" s="45" t="s">
        <v>201</v>
      </c>
      <c r="F655" s="45" t="s">
        <v>629</v>
      </c>
    </row>
    <row r="656" spans="1:6">
      <c r="A656" s="3" t="s">
        <v>630</v>
      </c>
      <c r="B656" s="3">
        <v>55504206</v>
      </c>
      <c r="C656" s="3" t="s">
        <v>624</v>
      </c>
      <c r="D656" s="55">
        <v>45709</v>
      </c>
      <c r="E656" s="3" t="s">
        <v>201</v>
      </c>
      <c r="F656" s="3" t="s">
        <v>631</v>
      </c>
    </row>
    <row r="657" spans="1:6">
      <c r="A657" s="3" t="s">
        <v>630</v>
      </c>
      <c r="B657" s="3">
        <v>55504188</v>
      </c>
      <c r="C657" s="3" t="s">
        <v>624</v>
      </c>
      <c r="D657" s="55">
        <v>45709</v>
      </c>
      <c r="E657" s="3" t="s">
        <v>201</v>
      </c>
      <c r="F657" s="3" t="s">
        <v>632</v>
      </c>
    </row>
    <row r="658" spans="1:6">
      <c r="A658" s="3" t="s">
        <v>630</v>
      </c>
      <c r="B658" s="3">
        <v>55504303</v>
      </c>
      <c r="C658" s="3" t="s">
        <v>624</v>
      </c>
      <c r="D658" s="55">
        <v>45709</v>
      </c>
      <c r="E658" s="3" t="s">
        <v>201</v>
      </c>
      <c r="F658" s="3" t="s">
        <v>633</v>
      </c>
    </row>
    <row r="659" spans="1:6">
      <c r="A659" s="3" t="s">
        <v>630</v>
      </c>
      <c r="B659" s="3">
        <v>55504345</v>
      </c>
      <c r="C659" s="3" t="s">
        <v>624</v>
      </c>
      <c r="D659" s="55">
        <v>45709</v>
      </c>
      <c r="E659" s="3" t="s">
        <v>201</v>
      </c>
      <c r="F659" s="3" t="s">
        <v>634</v>
      </c>
    </row>
    <row r="660" spans="1:6">
      <c r="A660" s="3" t="s">
        <v>630</v>
      </c>
      <c r="B660" s="3">
        <v>55504388</v>
      </c>
      <c r="C660" s="3" t="s">
        <v>624</v>
      </c>
      <c r="D660" s="55">
        <v>45709</v>
      </c>
      <c r="E660" s="3" t="s">
        <v>201</v>
      </c>
      <c r="F660" s="3" t="s">
        <v>635</v>
      </c>
    </row>
    <row r="661" spans="1:6">
      <c r="A661" s="3" t="s">
        <v>630</v>
      </c>
      <c r="B661" s="3">
        <v>55504421</v>
      </c>
      <c r="C661" s="3" t="s">
        <v>624</v>
      </c>
      <c r="D661" s="55">
        <v>45709</v>
      </c>
      <c r="E661" s="3" t="s">
        <v>201</v>
      </c>
      <c r="F661" s="3" t="s">
        <v>636</v>
      </c>
    </row>
    <row r="662" spans="1:6">
      <c r="A662" s="3" t="s">
        <v>630</v>
      </c>
      <c r="B662" s="3">
        <v>55504460</v>
      </c>
      <c r="C662" s="3" t="s">
        <v>624</v>
      </c>
      <c r="D662" s="55">
        <v>45709</v>
      </c>
      <c r="E662" s="3" t="s">
        <v>201</v>
      </c>
      <c r="F662" s="3" t="s">
        <v>625</v>
      </c>
    </row>
    <row r="663" spans="1:6">
      <c r="A663" s="6" t="s">
        <v>637</v>
      </c>
      <c r="B663" s="67">
        <v>51507839</v>
      </c>
      <c r="C663" s="10" t="s">
        <v>36</v>
      </c>
      <c r="D663" s="55">
        <v>45713</v>
      </c>
      <c r="E663" s="11" t="s">
        <v>201</v>
      </c>
      <c r="F663" s="68" t="s">
        <v>638</v>
      </c>
    </row>
    <row r="664" spans="1:6">
      <c r="A664" s="6" t="s">
        <v>637</v>
      </c>
      <c r="B664" s="67">
        <v>51507845</v>
      </c>
      <c r="C664" s="10" t="s">
        <v>36</v>
      </c>
      <c r="D664" s="55">
        <v>45713</v>
      </c>
      <c r="E664" s="11" t="s">
        <v>201</v>
      </c>
      <c r="F664" s="68" t="s">
        <v>639</v>
      </c>
    </row>
    <row r="665" spans="1:6">
      <c r="A665" s="6" t="s">
        <v>637</v>
      </c>
      <c r="B665" s="67">
        <v>51507850</v>
      </c>
      <c r="C665" s="10" t="s">
        <v>36</v>
      </c>
      <c r="D665" s="55">
        <v>45713</v>
      </c>
      <c r="E665" s="11" t="s">
        <v>201</v>
      </c>
      <c r="F665" s="68" t="s">
        <v>638</v>
      </c>
    </row>
    <row r="666" spans="1:6">
      <c r="A666" s="6" t="s">
        <v>637</v>
      </c>
      <c r="B666" s="67">
        <v>52505611</v>
      </c>
      <c r="C666" s="10" t="s">
        <v>36</v>
      </c>
      <c r="D666" s="55">
        <v>45713</v>
      </c>
      <c r="E666" s="11" t="s">
        <v>201</v>
      </c>
      <c r="F666" s="68" t="s">
        <v>640</v>
      </c>
    </row>
    <row r="667" spans="1:6">
      <c r="A667" s="6" t="s">
        <v>637</v>
      </c>
      <c r="B667" s="67">
        <v>52505674</v>
      </c>
      <c r="C667" s="10" t="s">
        <v>36</v>
      </c>
      <c r="D667" s="55">
        <v>45713</v>
      </c>
      <c r="E667" s="11" t="s">
        <v>201</v>
      </c>
      <c r="F667" s="68" t="s">
        <v>641</v>
      </c>
    </row>
    <row r="668" spans="1:6">
      <c r="A668" s="6" t="s">
        <v>637</v>
      </c>
      <c r="B668" s="67">
        <v>51507828</v>
      </c>
      <c r="C668" s="10" t="s">
        <v>36</v>
      </c>
      <c r="D668" s="55">
        <v>45713</v>
      </c>
      <c r="E668" s="11" t="s">
        <v>201</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15"/>
  <sheetViews>
    <sheetView workbookViewId="0">
      <pane ySplit="1" topLeftCell="A4602" activePane="bottomLeft" state="frozen"/>
      <selection pane="bottomLeft" activeCell="A4615" sqref="A4615:DQ461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737</v>
      </c>
      <c r="B2" s="71"/>
      <c r="C2" s="71">
        <v>38505194</v>
      </c>
      <c r="D2" s="145"/>
      <c r="E2" s="145"/>
      <c r="F2" s="145"/>
      <c r="G2" s="71" t="s">
        <v>169</v>
      </c>
      <c r="H2" s="71" t="s">
        <v>431</v>
      </c>
      <c r="I2" s="139">
        <v>45695</v>
      </c>
      <c r="J2" s="145"/>
      <c r="K2" s="145"/>
      <c r="L2" s="145"/>
      <c r="M2" s="145"/>
      <c r="N2" s="145"/>
      <c r="O2" s="145"/>
      <c r="P2" s="145"/>
      <c r="Q2" s="146"/>
      <c r="R2" s="71" t="s">
        <v>738</v>
      </c>
    </row>
    <row r="3" spans="1:18" hidden="1">
      <c r="A3" s="29" t="s">
        <v>737</v>
      </c>
      <c r="B3" s="29"/>
      <c r="C3" s="29">
        <v>38505213</v>
      </c>
      <c r="G3" s="29" t="s">
        <v>169</v>
      </c>
      <c r="H3" s="29" t="s">
        <v>431</v>
      </c>
      <c r="I3" s="120">
        <v>45695</v>
      </c>
      <c r="P3" s="134"/>
      <c r="R3" s="29" t="s">
        <v>739</v>
      </c>
    </row>
    <row r="4" spans="1:18" hidden="1">
      <c r="A4" s="41" t="s">
        <v>740</v>
      </c>
      <c r="B4" s="41"/>
      <c r="C4" s="41">
        <v>50507609</v>
      </c>
      <c r="G4" s="29" t="s">
        <v>169</v>
      </c>
      <c r="H4" s="29" t="s">
        <v>77</v>
      </c>
      <c r="I4" s="120">
        <v>45707</v>
      </c>
      <c r="P4" s="134"/>
      <c r="R4" s="41" t="s">
        <v>741</v>
      </c>
    </row>
    <row r="5" spans="1:18" hidden="1">
      <c r="A5" s="41" t="s">
        <v>740</v>
      </c>
      <c r="B5" s="41"/>
      <c r="C5" s="41">
        <v>50507859</v>
      </c>
      <c r="G5" s="29" t="s">
        <v>169</v>
      </c>
      <c r="H5" s="29" t="s">
        <v>77</v>
      </c>
      <c r="I5" s="120">
        <v>45707</v>
      </c>
      <c r="P5" s="134"/>
      <c r="R5" s="41" t="s">
        <v>742</v>
      </c>
    </row>
    <row r="6" spans="1:18" hidden="1">
      <c r="A6" s="147" t="s">
        <v>743</v>
      </c>
      <c r="B6" s="147"/>
      <c r="C6" s="29">
        <v>21507562</v>
      </c>
      <c r="G6" s="29" t="s">
        <v>169</v>
      </c>
      <c r="H6" s="29" t="s">
        <v>236</v>
      </c>
      <c r="I6" s="120">
        <v>45678</v>
      </c>
      <c r="P6" s="134"/>
      <c r="R6" s="29"/>
    </row>
    <row r="7" spans="1:18" hidden="1">
      <c r="A7" s="147" t="s">
        <v>743</v>
      </c>
      <c r="B7" s="147"/>
      <c r="C7" s="29">
        <v>21507565</v>
      </c>
      <c r="G7" s="29" t="s">
        <v>169</v>
      </c>
      <c r="H7" s="29" t="s">
        <v>236</v>
      </c>
      <c r="I7" s="120">
        <v>45678</v>
      </c>
      <c r="P7" s="134"/>
      <c r="R7" s="29"/>
    </row>
    <row r="8" spans="1:18" hidden="1">
      <c r="A8" s="147" t="s">
        <v>743</v>
      </c>
      <c r="B8" s="147"/>
      <c r="C8" s="29">
        <v>21507568</v>
      </c>
      <c r="G8" s="29" t="s">
        <v>169</v>
      </c>
      <c r="H8" s="29" t="s">
        <v>236</v>
      </c>
      <c r="I8" s="120">
        <v>45678</v>
      </c>
      <c r="P8" s="134"/>
      <c r="R8" s="29"/>
    </row>
    <row r="9" spans="1:18" hidden="1">
      <c r="A9" s="147" t="s">
        <v>743</v>
      </c>
      <c r="B9" s="147"/>
      <c r="C9" s="29">
        <v>21507569</v>
      </c>
      <c r="G9" s="29" t="s">
        <v>169</v>
      </c>
      <c r="H9" s="29" t="s">
        <v>236</v>
      </c>
      <c r="I9" s="120">
        <v>45678</v>
      </c>
      <c r="P9" s="134"/>
      <c r="R9" s="29"/>
    </row>
    <row r="10" spans="1:18" hidden="1">
      <c r="A10" s="147" t="s">
        <v>743</v>
      </c>
      <c r="B10" s="147"/>
      <c r="C10" s="29">
        <v>21507570</v>
      </c>
      <c r="G10" s="29" t="s">
        <v>169</v>
      </c>
      <c r="H10" s="29" t="s">
        <v>236</v>
      </c>
      <c r="I10" s="120">
        <v>45678</v>
      </c>
      <c r="P10" s="134"/>
      <c r="R10" s="29"/>
    </row>
    <row r="11" spans="1:18" hidden="1">
      <c r="A11" s="29" t="s">
        <v>248</v>
      </c>
      <c r="B11" s="29"/>
      <c r="C11" s="29">
        <v>30503735</v>
      </c>
      <c r="G11" s="29" t="s">
        <v>744</v>
      </c>
      <c r="H11" s="29" t="s">
        <v>249</v>
      </c>
      <c r="I11" s="120">
        <v>45686</v>
      </c>
      <c r="P11" s="134"/>
      <c r="R11" s="29" t="s">
        <v>250</v>
      </c>
    </row>
    <row r="12" spans="1:18" hidden="1">
      <c r="A12" s="29" t="s">
        <v>248</v>
      </c>
      <c r="B12" s="29"/>
      <c r="C12" s="29">
        <v>30503776</v>
      </c>
      <c r="G12" s="29" t="s">
        <v>744</v>
      </c>
      <c r="H12" s="29" t="s">
        <v>249</v>
      </c>
      <c r="I12" s="120">
        <v>45686</v>
      </c>
      <c r="P12" s="134"/>
      <c r="R12" s="29" t="s">
        <v>251</v>
      </c>
    </row>
    <row r="13" spans="1:18" hidden="1">
      <c r="A13" s="29" t="s">
        <v>248</v>
      </c>
      <c r="B13" s="29"/>
      <c r="C13" s="29">
        <v>30503798</v>
      </c>
      <c r="G13" s="29" t="s">
        <v>744</v>
      </c>
      <c r="H13" s="29" t="s">
        <v>249</v>
      </c>
      <c r="I13" s="120">
        <v>45686</v>
      </c>
      <c r="P13" s="134"/>
      <c r="R13" s="29" t="s">
        <v>252</v>
      </c>
    </row>
    <row r="14" spans="1:18" hidden="1">
      <c r="A14" s="29" t="s">
        <v>248</v>
      </c>
      <c r="B14" s="29"/>
      <c r="C14" s="29">
        <v>30503821</v>
      </c>
      <c r="G14" s="29" t="s">
        <v>744</v>
      </c>
      <c r="H14" s="29" t="s">
        <v>249</v>
      </c>
      <c r="I14" s="120">
        <v>45686</v>
      </c>
      <c r="P14" s="134"/>
      <c r="R14" s="29" t="s">
        <v>253</v>
      </c>
    </row>
    <row r="15" spans="1:18" hidden="1">
      <c r="A15" s="29" t="s">
        <v>248</v>
      </c>
      <c r="B15" s="29"/>
      <c r="C15" s="29">
        <v>30503763</v>
      </c>
      <c r="G15" s="29" t="s">
        <v>744</v>
      </c>
      <c r="H15" s="29" t="s">
        <v>249</v>
      </c>
      <c r="I15" s="120">
        <v>45686</v>
      </c>
      <c r="P15" s="134"/>
      <c r="R15" s="29" t="s">
        <v>254</v>
      </c>
    </row>
    <row r="16" spans="1:18" hidden="1">
      <c r="A16" s="29" t="s">
        <v>248</v>
      </c>
      <c r="B16" s="29"/>
      <c r="C16" s="29">
        <v>35505134</v>
      </c>
      <c r="G16" s="29" t="s">
        <v>744</v>
      </c>
      <c r="H16" s="29" t="s">
        <v>249</v>
      </c>
      <c r="I16" s="120">
        <v>45691</v>
      </c>
      <c r="P16" s="134"/>
      <c r="R16" s="29" t="s">
        <v>253</v>
      </c>
    </row>
    <row r="17" spans="1:19" hidden="1">
      <c r="A17" s="29" t="s">
        <v>248</v>
      </c>
      <c r="B17" s="29"/>
      <c r="C17" s="29">
        <v>35505087</v>
      </c>
      <c r="G17" s="29" t="s">
        <v>744</v>
      </c>
      <c r="H17" s="29" t="s">
        <v>249</v>
      </c>
      <c r="I17" s="120">
        <v>45691</v>
      </c>
      <c r="P17" s="134"/>
      <c r="R17" s="29" t="s">
        <v>252</v>
      </c>
    </row>
    <row r="18" spans="1:19" hidden="1">
      <c r="A18" s="29" t="s">
        <v>248</v>
      </c>
      <c r="B18" s="29"/>
      <c r="C18" s="29">
        <v>35504960</v>
      </c>
      <c r="G18" s="29" t="s">
        <v>744</v>
      </c>
      <c r="H18" s="29" t="s">
        <v>249</v>
      </c>
      <c r="I18" s="120">
        <v>45691</v>
      </c>
      <c r="J18" s="29"/>
      <c r="K18" s="29"/>
      <c r="L18" s="29"/>
      <c r="M18" s="29"/>
      <c r="N18" s="29"/>
      <c r="O18" s="29"/>
      <c r="P18" s="29"/>
      <c r="Q18" s="81"/>
      <c r="R18" s="29" t="s">
        <v>311</v>
      </c>
      <c r="S18" s="123"/>
    </row>
    <row r="19" spans="1:19" hidden="1">
      <c r="A19" s="29" t="s">
        <v>248</v>
      </c>
      <c r="B19" s="29"/>
      <c r="C19" s="29">
        <v>35504929</v>
      </c>
      <c r="G19" s="29" t="s">
        <v>744</v>
      </c>
      <c r="H19" s="29" t="s">
        <v>249</v>
      </c>
      <c r="I19" s="120">
        <v>45691</v>
      </c>
      <c r="J19" s="29"/>
      <c r="K19" s="29"/>
      <c r="L19" s="29"/>
      <c r="M19" s="29"/>
      <c r="N19" s="29"/>
      <c r="O19" s="29"/>
      <c r="P19" s="29"/>
      <c r="Q19" s="81"/>
      <c r="R19" s="29" t="s">
        <v>250</v>
      </c>
      <c r="S19" s="123"/>
    </row>
    <row r="20" spans="1:19" hidden="1">
      <c r="A20" s="29" t="s">
        <v>248</v>
      </c>
      <c r="B20" s="29"/>
      <c r="C20" s="29">
        <v>35504891</v>
      </c>
      <c r="G20" s="29" t="s">
        <v>744</v>
      </c>
      <c r="H20" s="29" t="s">
        <v>249</v>
      </c>
      <c r="I20" s="120">
        <v>45691</v>
      </c>
      <c r="J20" s="29"/>
      <c r="K20" s="29"/>
      <c r="L20" s="29"/>
      <c r="M20" s="29"/>
      <c r="N20" s="29"/>
      <c r="O20" s="29"/>
      <c r="P20" s="29"/>
      <c r="Q20" s="81"/>
      <c r="R20" s="29" t="s">
        <v>251</v>
      </c>
      <c r="S20" s="123"/>
    </row>
    <row r="21" spans="1:19" hidden="1">
      <c r="A21" s="29" t="s">
        <v>248</v>
      </c>
      <c r="B21" s="29"/>
      <c r="C21" s="29">
        <v>35504415</v>
      </c>
      <c r="G21" s="29" t="s">
        <v>744</v>
      </c>
      <c r="H21" s="29" t="s">
        <v>249</v>
      </c>
      <c r="I21" s="120">
        <v>45691</v>
      </c>
      <c r="J21" s="29"/>
      <c r="K21" s="29"/>
      <c r="L21" s="29"/>
      <c r="M21" s="29"/>
      <c r="N21" s="29"/>
      <c r="O21" s="29"/>
      <c r="P21" s="29"/>
      <c r="Q21" s="81"/>
      <c r="R21" s="29" t="s">
        <v>254</v>
      </c>
      <c r="S21" s="123"/>
    </row>
    <row r="22" spans="1:19" hidden="1">
      <c r="A22" s="29" t="s">
        <v>304</v>
      </c>
      <c r="B22" s="29"/>
      <c r="C22" s="29">
        <v>35506238</v>
      </c>
      <c r="G22" s="29" t="s">
        <v>744</v>
      </c>
      <c r="H22" s="29" t="s">
        <v>249</v>
      </c>
      <c r="I22" s="120">
        <v>45691</v>
      </c>
      <c r="J22" s="29"/>
      <c r="K22" s="29"/>
      <c r="L22" s="29"/>
      <c r="M22" s="29"/>
      <c r="N22" s="29"/>
      <c r="O22" s="29"/>
      <c r="P22" s="29"/>
      <c r="Q22" s="81"/>
      <c r="R22" s="29" t="s">
        <v>305</v>
      </c>
      <c r="S22" s="123"/>
    </row>
    <row r="23" spans="1:19" hidden="1">
      <c r="A23" s="29" t="s">
        <v>304</v>
      </c>
      <c r="B23" s="29"/>
      <c r="C23" s="29">
        <v>35506199</v>
      </c>
      <c r="G23" s="29" t="s">
        <v>744</v>
      </c>
      <c r="H23" s="29" t="s">
        <v>249</v>
      </c>
      <c r="I23" s="120">
        <v>45691</v>
      </c>
      <c r="J23" s="29"/>
      <c r="K23" s="29"/>
      <c r="L23" s="29"/>
      <c r="M23" s="29"/>
      <c r="N23" s="29"/>
      <c r="O23" s="29"/>
      <c r="P23" s="29"/>
      <c r="Q23" s="81"/>
      <c r="R23" s="29" t="s">
        <v>306</v>
      </c>
      <c r="S23" s="123"/>
    </row>
    <row r="24" spans="1:19" hidden="1">
      <c r="A24" s="29" t="s">
        <v>304</v>
      </c>
      <c r="B24" s="29"/>
      <c r="C24" s="29">
        <v>35506159</v>
      </c>
      <c r="G24" s="29" t="s">
        <v>744</v>
      </c>
      <c r="H24" s="29" t="s">
        <v>249</v>
      </c>
      <c r="I24" s="120">
        <v>45691</v>
      </c>
      <c r="J24" s="29"/>
      <c r="K24" s="29"/>
      <c r="L24" s="29"/>
      <c r="M24" s="29"/>
      <c r="N24" s="29"/>
      <c r="O24" s="29"/>
      <c r="P24" s="29"/>
      <c r="Q24" s="81"/>
      <c r="R24" s="29" t="s">
        <v>307</v>
      </c>
      <c r="S24" s="123"/>
    </row>
    <row r="25" spans="1:19" hidden="1">
      <c r="A25" s="29" t="s">
        <v>304</v>
      </c>
      <c r="B25" s="29"/>
      <c r="C25" s="29">
        <v>35506111</v>
      </c>
      <c r="G25" s="29" t="s">
        <v>744</v>
      </c>
      <c r="H25" s="29" t="s">
        <v>249</v>
      </c>
      <c r="I25" s="120">
        <v>45691</v>
      </c>
      <c r="J25" s="29"/>
      <c r="K25" s="29"/>
      <c r="L25" s="29"/>
      <c r="M25" s="29"/>
      <c r="N25" s="29"/>
      <c r="O25" s="29"/>
      <c r="P25" s="29"/>
      <c r="Q25" s="81"/>
      <c r="R25" s="29" t="s">
        <v>308</v>
      </c>
      <c r="S25" s="123"/>
    </row>
    <row r="26" spans="1:19" hidden="1">
      <c r="A26" s="29" t="s">
        <v>304</v>
      </c>
      <c r="B26" s="29"/>
      <c r="C26" s="29">
        <v>35506054</v>
      </c>
      <c r="G26" s="29" t="s">
        <v>744</v>
      </c>
      <c r="H26" s="29" t="s">
        <v>249</v>
      </c>
      <c r="I26" s="120">
        <v>45691</v>
      </c>
      <c r="J26" s="29"/>
      <c r="K26" s="29"/>
      <c r="L26" s="29"/>
      <c r="M26" s="29"/>
      <c r="N26" s="29"/>
      <c r="O26" s="29"/>
      <c r="P26" s="29"/>
      <c r="Q26" s="81"/>
      <c r="R26" s="29" t="s">
        <v>309</v>
      </c>
      <c r="S26" s="123"/>
    </row>
    <row r="27" spans="1:19" hidden="1">
      <c r="A27" s="29" t="s">
        <v>304</v>
      </c>
      <c r="B27" s="29"/>
      <c r="C27" s="29">
        <v>35505986</v>
      </c>
      <c r="G27" s="29" t="s">
        <v>744</v>
      </c>
      <c r="H27" s="29" t="s">
        <v>249</v>
      </c>
      <c r="I27" s="120">
        <v>45691</v>
      </c>
      <c r="J27" s="29"/>
      <c r="K27" s="29"/>
      <c r="L27" s="29"/>
      <c r="M27" s="29"/>
      <c r="N27" s="29"/>
      <c r="O27" s="29"/>
      <c r="P27" s="29"/>
      <c r="Q27" s="81"/>
      <c r="R27" s="29" t="s">
        <v>310</v>
      </c>
      <c r="S27" s="123"/>
    </row>
    <row r="28" spans="1:19" hidden="1">
      <c r="A28" s="29" t="s">
        <v>286</v>
      </c>
      <c r="B28" s="29"/>
      <c r="C28" s="29">
        <v>35510080</v>
      </c>
      <c r="G28" s="29" t="s">
        <v>744</v>
      </c>
      <c r="H28" s="29" t="s">
        <v>287</v>
      </c>
      <c r="I28" s="120">
        <v>45691</v>
      </c>
      <c r="J28" s="29"/>
      <c r="K28" s="29"/>
      <c r="L28" s="29"/>
      <c r="M28" s="29"/>
      <c r="N28" s="29"/>
      <c r="O28" s="29"/>
      <c r="P28" s="29"/>
      <c r="Q28" s="81"/>
      <c r="R28" s="29" t="s">
        <v>291</v>
      </c>
      <c r="S28" s="123"/>
    </row>
    <row r="29" spans="1:19" hidden="1">
      <c r="A29" s="29" t="s">
        <v>286</v>
      </c>
      <c r="B29" s="29"/>
      <c r="C29" s="29">
        <v>35510070</v>
      </c>
      <c r="G29" s="29" t="s">
        <v>744</v>
      </c>
      <c r="H29" s="29" t="s">
        <v>287</v>
      </c>
      <c r="I29" s="120">
        <v>45691</v>
      </c>
      <c r="J29" s="29"/>
      <c r="K29" s="29"/>
      <c r="L29" s="29"/>
      <c r="M29" s="29"/>
      <c r="N29" s="29"/>
      <c r="O29" s="29"/>
      <c r="P29" s="29"/>
      <c r="Q29" s="81"/>
      <c r="R29" s="29" t="s">
        <v>292</v>
      </c>
      <c r="S29" s="123"/>
    </row>
    <row r="30" spans="1:19" hidden="1">
      <c r="A30" s="29" t="s">
        <v>286</v>
      </c>
      <c r="B30" s="29"/>
      <c r="C30" s="29">
        <v>35510055</v>
      </c>
      <c r="G30" s="29" t="s">
        <v>744</v>
      </c>
      <c r="H30" s="29" t="s">
        <v>287</v>
      </c>
      <c r="I30" s="120">
        <v>45691</v>
      </c>
      <c r="J30" s="29"/>
      <c r="K30" s="29"/>
      <c r="L30" s="29"/>
      <c r="M30" s="29"/>
      <c r="N30" s="29"/>
      <c r="O30" s="29"/>
      <c r="P30" s="29"/>
      <c r="Q30" s="81"/>
      <c r="R30" s="29" t="s">
        <v>293</v>
      </c>
      <c r="S30" s="123"/>
    </row>
    <row r="31" spans="1:19" hidden="1">
      <c r="A31" s="29" t="s">
        <v>286</v>
      </c>
      <c r="B31" s="29"/>
      <c r="C31" s="29">
        <v>35510045</v>
      </c>
      <c r="G31" s="29" t="s">
        <v>744</v>
      </c>
      <c r="H31" s="29" t="s">
        <v>287</v>
      </c>
      <c r="I31" s="120">
        <v>45691</v>
      </c>
      <c r="J31" s="29"/>
      <c r="K31" s="29"/>
      <c r="L31" s="29"/>
      <c r="M31" s="29"/>
      <c r="N31" s="29"/>
      <c r="O31" s="29"/>
      <c r="P31" s="29"/>
      <c r="Q31" s="81"/>
      <c r="R31" s="29" t="s">
        <v>294</v>
      </c>
      <c r="S31" s="123"/>
    </row>
    <row r="32" spans="1:19" hidden="1">
      <c r="A32" s="29" t="s">
        <v>286</v>
      </c>
      <c r="B32" s="29"/>
      <c r="C32" s="29">
        <v>35510032</v>
      </c>
      <c r="G32" s="29" t="s">
        <v>744</v>
      </c>
      <c r="H32" s="29" t="s">
        <v>287</v>
      </c>
      <c r="I32" s="120">
        <v>45691</v>
      </c>
      <c r="J32" s="29"/>
      <c r="K32" s="29"/>
      <c r="L32" s="29"/>
      <c r="M32" s="29"/>
      <c r="N32" s="29"/>
      <c r="O32" s="29"/>
      <c r="P32" s="29"/>
      <c r="Q32" s="81"/>
      <c r="R32" s="29" t="s">
        <v>295</v>
      </c>
      <c r="S32" s="123"/>
    </row>
    <row r="33" spans="1:19" hidden="1">
      <c r="A33" s="29" t="s">
        <v>286</v>
      </c>
      <c r="B33" s="29"/>
      <c r="C33" s="29">
        <v>35510022</v>
      </c>
      <c r="G33" s="29" t="s">
        <v>744</v>
      </c>
      <c r="H33" s="29" t="s">
        <v>287</v>
      </c>
      <c r="I33" s="120">
        <v>45691</v>
      </c>
      <c r="J33" s="29"/>
      <c r="K33" s="29"/>
      <c r="L33" s="29"/>
      <c r="M33" s="29"/>
      <c r="N33" s="29"/>
      <c r="O33" s="29"/>
      <c r="P33" s="29"/>
      <c r="Q33" s="81"/>
      <c r="R33" s="29" t="s">
        <v>296</v>
      </c>
      <c r="S33" s="123"/>
    </row>
    <row r="34" spans="1:19" hidden="1">
      <c r="A34" s="29" t="s">
        <v>286</v>
      </c>
      <c r="B34" s="29"/>
      <c r="C34" s="29">
        <v>35510009</v>
      </c>
      <c r="G34" s="29" t="s">
        <v>744</v>
      </c>
      <c r="H34" s="29" t="s">
        <v>287</v>
      </c>
      <c r="I34" s="120">
        <v>45691</v>
      </c>
      <c r="J34" s="29"/>
      <c r="K34" s="29"/>
      <c r="L34" s="29"/>
      <c r="M34" s="29"/>
      <c r="N34" s="29"/>
      <c r="O34" s="29"/>
      <c r="P34" s="29"/>
      <c r="Q34" s="81"/>
      <c r="R34" s="29" t="s">
        <v>297</v>
      </c>
      <c r="S34" s="123"/>
    </row>
    <row r="35" spans="1:19" hidden="1">
      <c r="A35" s="29" t="s">
        <v>286</v>
      </c>
      <c r="B35" s="29"/>
      <c r="C35" s="29">
        <v>35509989</v>
      </c>
      <c r="G35" s="29" t="s">
        <v>744</v>
      </c>
      <c r="H35" s="29" t="s">
        <v>287</v>
      </c>
      <c r="I35" s="120">
        <v>45691</v>
      </c>
      <c r="J35" s="29"/>
      <c r="K35" s="29"/>
      <c r="L35" s="29"/>
      <c r="M35" s="29"/>
      <c r="N35" s="29"/>
      <c r="O35" s="29"/>
      <c r="P35" s="29"/>
      <c r="Q35" s="81"/>
      <c r="R35" s="29" t="s">
        <v>298</v>
      </c>
      <c r="S35" s="123"/>
    </row>
    <row r="36" spans="1:19" hidden="1">
      <c r="A36" s="29" t="s">
        <v>286</v>
      </c>
      <c r="B36" s="29"/>
      <c r="C36" s="29">
        <v>37508582</v>
      </c>
      <c r="G36" s="29" t="s">
        <v>744</v>
      </c>
      <c r="H36" s="29" t="s">
        <v>287</v>
      </c>
      <c r="I36" s="120">
        <v>45693</v>
      </c>
      <c r="J36" s="29"/>
      <c r="K36" s="29"/>
      <c r="L36" s="29"/>
      <c r="M36" s="29"/>
      <c r="N36" s="29"/>
      <c r="O36" s="29"/>
      <c r="P36" s="29"/>
      <c r="Q36" s="81"/>
      <c r="R36" s="29" t="s">
        <v>397</v>
      </c>
      <c r="S36" s="123"/>
    </row>
    <row r="37" spans="1:19" hidden="1">
      <c r="A37" s="29" t="s">
        <v>286</v>
      </c>
      <c r="B37" s="29"/>
      <c r="C37" s="29">
        <v>37508534</v>
      </c>
      <c r="G37" s="29" t="s">
        <v>744</v>
      </c>
      <c r="H37" s="29" t="s">
        <v>287</v>
      </c>
      <c r="I37" s="120">
        <v>45693</v>
      </c>
      <c r="J37" s="29"/>
      <c r="K37" s="29"/>
      <c r="L37" s="29"/>
      <c r="M37" s="29"/>
      <c r="N37" s="29"/>
      <c r="O37" s="29"/>
      <c r="P37" s="29"/>
      <c r="Q37" s="81"/>
      <c r="R37" s="29" t="s">
        <v>399</v>
      </c>
      <c r="S37" s="123"/>
    </row>
    <row r="38" spans="1:19" hidden="1">
      <c r="A38" s="29" t="s">
        <v>286</v>
      </c>
      <c r="B38" s="29"/>
      <c r="C38" s="29">
        <v>37508555</v>
      </c>
      <c r="G38" s="29" t="s">
        <v>744</v>
      </c>
      <c r="H38" s="29" t="s">
        <v>287</v>
      </c>
      <c r="I38" s="120">
        <v>45693</v>
      </c>
      <c r="J38" s="29"/>
      <c r="K38" s="29"/>
      <c r="L38" s="29"/>
      <c r="M38" s="29"/>
      <c r="N38" s="29"/>
      <c r="O38" s="29"/>
      <c r="P38" s="29"/>
      <c r="Q38" s="81"/>
      <c r="R38" s="29" t="s">
        <v>398</v>
      </c>
      <c r="S38" s="123"/>
    </row>
    <row r="39" spans="1:19" hidden="1">
      <c r="A39" s="29" t="s">
        <v>286</v>
      </c>
      <c r="B39" s="29"/>
      <c r="C39" s="29">
        <v>37508444</v>
      </c>
      <c r="G39" s="29" t="s">
        <v>744</v>
      </c>
      <c r="H39" s="29" t="s">
        <v>287</v>
      </c>
      <c r="I39" s="120">
        <v>45693</v>
      </c>
      <c r="J39" s="29"/>
      <c r="K39" s="29"/>
      <c r="L39" s="29"/>
      <c r="M39" s="29"/>
      <c r="N39" s="29"/>
      <c r="O39" s="29"/>
      <c r="P39" s="29"/>
      <c r="Q39" s="81"/>
      <c r="R39" s="29" t="s">
        <v>401</v>
      </c>
      <c r="S39" s="123"/>
    </row>
    <row r="40" spans="1:19" hidden="1">
      <c r="A40" s="29" t="s">
        <v>286</v>
      </c>
      <c r="B40" s="29"/>
      <c r="C40" s="29">
        <v>37508509</v>
      </c>
      <c r="G40" s="29" t="s">
        <v>744</v>
      </c>
      <c r="H40" s="29" t="s">
        <v>287</v>
      </c>
      <c r="I40" s="120">
        <v>45693</v>
      </c>
      <c r="J40" s="29"/>
      <c r="K40" s="29"/>
      <c r="L40" s="29"/>
      <c r="M40" s="29"/>
      <c r="N40" s="29"/>
      <c r="O40" s="29"/>
      <c r="P40" s="29"/>
      <c r="Q40" s="81"/>
      <c r="R40" s="29" t="s">
        <v>400</v>
      </c>
      <c r="S40" s="123"/>
    </row>
    <row r="41" spans="1:19" hidden="1">
      <c r="A41" s="29" t="s">
        <v>286</v>
      </c>
      <c r="B41" s="29"/>
      <c r="C41" s="29">
        <v>37508419</v>
      </c>
      <c r="G41" s="29" t="s">
        <v>744</v>
      </c>
      <c r="H41" s="29" t="s">
        <v>287</v>
      </c>
      <c r="I41" s="120">
        <v>45693</v>
      </c>
      <c r="J41" s="29"/>
      <c r="K41" s="29"/>
      <c r="L41" s="29"/>
      <c r="M41" s="29"/>
      <c r="N41" s="29"/>
      <c r="O41" s="29"/>
      <c r="P41" s="29"/>
      <c r="Q41" s="81"/>
      <c r="R41" s="29" t="s">
        <v>402</v>
      </c>
      <c r="S41" s="123"/>
    </row>
    <row r="42" spans="1:19" hidden="1">
      <c r="A42" s="29" t="s">
        <v>286</v>
      </c>
      <c r="B42" s="29"/>
      <c r="C42" s="29">
        <v>37508391</v>
      </c>
      <c r="G42" s="29" t="s">
        <v>744</v>
      </c>
      <c r="H42" s="29" t="s">
        <v>287</v>
      </c>
      <c r="I42" s="120">
        <v>45693</v>
      </c>
      <c r="J42" s="29"/>
      <c r="K42" s="29"/>
      <c r="L42" s="29"/>
      <c r="M42" s="29"/>
      <c r="N42" s="29"/>
      <c r="O42" s="29"/>
      <c r="P42" s="29"/>
      <c r="Q42" s="81"/>
      <c r="R42" s="29" t="s">
        <v>403</v>
      </c>
      <c r="S42" s="123"/>
    </row>
    <row r="43" spans="1:19" hidden="1">
      <c r="A43" s="29" t="s">
        <v>286</v>
      </c>
      <c r="B43" s="29"/>
      <c r="C43" s="29">
        <v>37508358</v>
      </c>
      <c r="G43" s="29" t="s">
        <v>744</v>
      </c>
      <c r="H43" s="29" t="s">
        <v>287</v>
      </c>
      <c r="I43" s="120">
        <v>45693</v>
      </c>
      <c r="J43" s="29"/>
      <c r="K43" s="29"/>
      <c r="L43" s="29"/>
      <c r="M43" s="29"/>
      <c r="N43" s="29"/>
      <c r="O43" s="29"/>
      <c r="P43" s="29"/>
      <c r="Q43" s="81"/>
      <c r="R43" s="29" t="s">
        <v>404</v>
      </c>
      <c r="S43" s="123"/>
    </row>
    <row r="44" spans="1:19" hidden="1">
      <c r="A44" s="29" t="s">
        <v>286</v>
      </c>
      <c r="B44" s="29"/>
      <c r="C44" s="29">
        <v>36500028</v>
      </c>
      <c r="G44" s="29" t="s">
        <v>744</v>
      </c>
      <c r="H44" s="29" t="s">
        <v>287</v>
      </c>
      <c r="I44" s="120">
        <v>45692</v>
      </c>
      <c r="J44" s="29"/>
      <c r="K44" s="29"/>
      <c r="L44" s="29"/>
      <c r="M44" s="29"/>
      <c r="N44" s="29"/>
      <c r="O44" s="29"/>
      <c r="P44" s="29"/>
      <c r="Q44" s="81"/>
      <c r="R44" s="29" t="s">
        <v>293</v>
      </c>
      <c r="S44" s="123"/>
    </row>
    <row r="45" spans="1:19" hidden="1">
      <c r="A45" s="29" t="s">
        <v>286</v>
      </c>
      <c r="B45" s="29"/>
      <c r="C45" s="29">
        <v>36500027</v>
      </c>
      <c r="G45" s="29" t="s">
        <v>744</v>
      </c>
      <c r="H45" s="29" t="s">
        <v>287</v>
      </c>
      <c r="I45" s="120">
        <v>45692</v>
      </c>
      <c r="J45" s="29"/>
      <c r="K45" s="29"/>
      <c r="L45" s="29"/>
      <c r="M45" s="29"/>
      <c r="N45" s="29"/>
      <c r="O45" s="29"/>
      <c r="P45" s="29"/>
      <c r="Q45" s="81"/>
      <c r="R45" s="29" t="s">
        <v>294</v>
      </c>
      <c r="S45" s="123"/>
    </row>
    <row r="46" spans="1:19" hidden="1">
      <c r="A46" s="29" t="s">
        <v>286</v>
      </c>
      <c r="B46" s="29"/>
      <c r="C46" s="29">
        <v>36500026</v>
      </c>
      <c r="G46" s="29" t="s">
        <v>744</v>
      </c>
      <c r="H46" s="29" t="s">
        <v>287</v>
      </c>
      <c r="I46" s="120">
        <v>45692</v>
      </c>
      <c r="J46" s="29"/>
      <c r="K46" s="29"/>
      <c r="L46" s="29"/>
      <c r="M46" s="29"/>
      <c r="N46" s="29"/>
      <c r="O46" s="29"/>
      <c r="P46" s="29"/>
      <c r="Q46" s="81"/>
      <c r="R46" s="29" t="s">
        <v>295</v>
      </c>
      <c r="S46" s="123"/>
    </row>
    <row r="47" spans="1:19" hidden="1">
      <c r="A47" s="29" t="s">
        <v>286</v>
      </c>
      <c r="B47" s="29"/>
      <c r="C47" s="29">
        <v>36500024</v>
      </c>
      <c r="G47" s="29" t="s">
        <v>744</v>
      </c>
      <c r="H47" s="29" t="s">
        <v>287</v>
      </c>
      <c r="I47" s="120">
        <v>45692</v>
      </c>
      <c r="J47" s="29"/>
      <c r="K47" s="29"/>
      <c r="L47" s="29"/>
      <c r="M47" s="29"/>
      <c r="N47" s="29"/>
      <c r="O47" s="29"/>
      <c r="P47" s="29"/>
      <c r="Q47" s="81"/>
      <c r="R47" s="29" t="s">
        <v>296</v>
      </c>
      <c r="S47" s="123"/>
    </row>
    <row r="48" spans="1:19" hidden="1">
      <c r="A48" s="29" t="s">
        <v>286</v>
      </c>
      <c r="B48" s="29"/>
      <c r="C48" s="29">
        <v>36500023</v>
      </c>
      <c r="G48" s="29" t="s">
        <v>744</v>
      </c>
      <c r="H48" s="29" t="s">
        <v>287</v>
      </c>
      <c r="I48" s="120">
        <v>45692</v>
      </c>
      <c r="J48" s="29"/>
      <c r="K48" s="29"/>
      <c r="L48" s="29"/>
      <c r="M48" s="29"/>
      <c r="N48" s="29"/>
      <c r="O48" s="29"/>
      <c r="P48" s="29"/>
      <c r="Q48" s="81"/>
      <c r="R48" s="29" t="s">
        <v>297</v>
      </c>
      <c r="S48" s="123"/>
    </row>
    <row r="49" spans="1:19" hidden="1">
      <c r="A49" s="29" t="s">
        <v>286</v>
      </c>
      <c r="B49" s="29"/>
      <c r="C49" s="29">
        <v>36500022</v>
      </c>
      <c r="G49" s="29" t="s">
        <v>744</v>
      </c>
      <c r="H49" s="29" t="s">
        <v>287</v>
      </c>
      <c r="I49" s="120">
        <v>45692</v>
      </c>
      <c r="J49" s="29"/>
      <c r="K49" s="29"/>
      <c r="L49" s="29"/>
      <c r="M49" s="29"/>
      <c r="N49" s="29"/>
      <c r="O49" s="29"/>
      <c r="P49" s="29"/>
      <c r="Q49" s="81"/>
      <c r="R49" s="29" t="s">
        <v>298</v>
      </c>
      <c r="S49" s="123"/>
    </row>
    <row r="50" spans="1:19" hidden="1">
      <c r="A50" s="29" t="s">
        <v>286</v>
      </c>
      <c r="B50" s="29"/>
      <c r="C50" s="29">
        <v>36500021</v>
      </c>
      <c r="G50" s="29" t="s">
        <v>744</v>
      </c>
      <c r="H50" s="29" t="s">
        <v>287</v>
      </c>
      <c r="I50" s="120">
        <v>45692</v>
      </c>
      <c r="J50" s="29"/>
      <c r="K50" s="29"/>
      <c r="L50" s="29"/>
      <c r="M50" s="29"/>
      <c r="N50" s="29"/>
      <c r="O50" s="29"/>
      <c r="P50" s="29"/>
      <c r="Q50" s="81"/>
      <c r="R50" s="29" t="s">
        <v>292</v>
      </c>
      <c r="S50" s="123"/>
    </row>
    <row r="51" spans="1:19" hidden="1">
      <c r="A51" s="29" t="s">
        <v>286</v>
      </c>
      <c r="B51" s="29"/>
      <c r="C51" s="29">
        <v>36500020</v>
      </c>
      <c r="G51" s="29" t="s">
        <v>744</v>
      </c>
      <c r="H51" s="29" t="s">
        <v>287</v>
      </c>
      <c r="I51" s="120">
        <v>45692</v>
      </c>
      <c r="J51" s="29"/>
      <c r="K51" s="29"/>
      <c r="L51" s="29"/>
      <c r="M51" s="29"/>
      <c r="N51" s="29"/>
      <c r="O51" s="29"/>
      <c r="P51" s="29"/>
      <c r="Q51" s="81"/>
      <c r="R51" s="29" t="s">
        <v>291</v>
      </c>
      <c r="S51" s="123"/>
    </row>
    <row r="52" spans="1:19" hidden="1">
      <c r="A52" s="29" t="s">
        <v>286</v>
      </c>
      <c r="B52" s="29"/>
      <c r="C52" s="29">
        <v>41510494</v>
      </c>
      <c r="G52" s="29" t="s">
        <v>744</v>
      </c>
      <c r="H52" s="29" t="s">
        <v>287</v>
      </c>
      <c r="I52" s="120">
        <v>45694</v>
      </c>
      <c r="J52" s="29"/>
      <c r="K52" s="29"/>
      <c r="L52" s="29"/>
      <c r="M52" s="29"/>
      <c r="N52" s="29"/>
      <c r="O52" s="29"/>
      <c r="P52" s="29"/>
      <c r="Q52" s="81"/>
      <c r="R52" s="29" t="s">
        <v>366</v>
      </c>
      <c r="S52" s="123"/>
    </row>
    <row r="53" spans="1:19" hidden="1">
      <c r="A53" s="29" t="s">
        <v>286</v>
      </c>
      <c r="B53" s="29"/>
      <c r="C53" s="29">
        <v>41510481</v>
      </c>
      <c r="G53" s="29" t="s">
        <v>744</v>
      </c>
      <c r="H53" s="29" t="s">
        <v>287</v>
      </c>
      <c r="I53" s="120">
        <v>45694</v>
      </c>
      <c r="J53" s="29"/>
      <c r="K53" s="29"/>
      <c r="L53" s="29"/>
      <c r="M53" s="29"/>
      <c r="N53" s="29"/>
      <c r="O53" s="29"/>
      <c r="P53" s="29"/>
      <c r="Q53" s="81"/>
      <c r="R53" s="29" t="s">
        <v>367</v>
      </c>
      <c r="S53" s="123"/>
    </row>
    <row r="54" spans="1:19" hidden="1">
      <c r="A54" s="29" t="s">
        <v>286</v>
      </c>
      <c r="B54" s="29"/>
      <c r="C54" s="29">
        <v>41510470</v>
      </c>
      <c r="G54" s="29" t="s">
        <v>744</v>
      </c>
      <c r="H54" s="29" t="s">
        <v>287</v>
      </c>
      <c r="I54" s="120">
        <v>45694</v>
      </c>
      <c r="J54" s="29"/>
      <c r="K54" s="29"/>
      <c r="L54" s="29"/>
      <c r="M54" s="29"/>
      <c r="N54" s="29"/>
      <c r="O54" s="29"/>
      <c r="P54" s="29"/>
      <c r="Q54" s="81"/>
      <c r="R54" s="29" t="s">
        <v>368</v>
      </c>
      <c r="S54" s="123"/>
    </row>
    <row r="55" spans="1:19" hidden="1">
      <c r="A55" s="29" t="s">
        <v>286</v>
      </c>
      <c r="B55" s="29"/>
      <c r="C55" s="29">
        <v>41510452</v>
      </c>
      <c r="G55" s="29" t="s">
        <v>744</v>
      </c>
      <c r="H55" s="29" t="s">
        <v>287</v>
      </c>
      <c r="I55" s="120">
        <v>45694</v>
      </c>
      <c r="J55" s="29"/>
      <c r="K55" s="29"/>
      <c r="L55" s="29"/>
      <c r="M55" s="29"/>
      <c r="N55" s="29"/>
      <c r="O55" s="29"/>
      <c r="P55" s="29"/>
      <c r="Q55" s="81"/>
      <c r="R55" s="29" t="s">
        <v>369</v>
      </c>
      <c r="S55" s="123"/>
    </row>
    <row r="56" spans="1:19" hidden="1">
      <c r="A56" s="29" t="s">
        <v>286</v>
      </c>
      <c r="B56" s="29"/>
      <c r="C56" s="29">
        <v>41510441</v>
      </c>
      <c r="G56" s="29" t="s">
        <v>744</v>
      </c>
      <c r="H56" s="29" t="s">
        <v>287</v>
      </c>
      <c r="I56" s="120">
        <v>45694</v>
      </c>
      <c r="J56" s="29"/>
      <c r="K56" s="29"/>
      <c r="L56" s="29"/>
      <c r="M56" s="29"/>
      <c r="N56" s="29"/>
      <c r="O56" s="29"/>
      <c r="P56" s="29"/>
      <c r="Q56" s="81"/>
      <c r="R56" s="29" t="s">
        <v>370</v>
      </c>
      <c r="S56" s="123"/>
    </row>
    <row r="57" spans="1:19" hidden="1">
      <c r="A57" s="29" t="s">
        <v>286</v>
      </c>
      <c r="B57" s="29"/>
      <c r="C57" s="29">
        <v>41510437</v>
      </c>
      <c r="G57" s="29" t="s">
        <v>744</v>
      </c>
      <c r="H57" s="29" t="s">
        <v>287</v>
      </c>
      <c r="I57" s="120">
        <v>45694</v>
      </c>
      <c r="J57" s="29"/>
      <c r="K57" s="29"/>
      <c r="L57" s="29"/>
      <c r="M57" s="29"/>
      <c r="N57" s="29"/>
      <c r="O57" s="29"/>
      <c r="P57" s="29"/>
      <c r="Q57" s="81"/>
      <c r="R57" s="29" t="s">
        <v>371</v>
      </c>
      <c r="S57" s="123"/>
    </row>
    <row r="58" spans="1:19" hidden="1">
      <c r="A58" s="29" t="s">
        <v>286</v>
      </c>
      <c r="B58" s="29"/>
      <c r="C58" s="29">
        <v>41510416</v>
      </c>
      <c r="G58" s="29" t="s">
        <v>744</v>
      </c>
      <c r="H58" s="29" t="s">
        <v>287</v>
      </c>
      <c r="I58" s="120">
        <v>45694</v>
      </c>
      <c r="J58" s="29"/>
      <c r="K58" s="29"/>
      <c r="L58" s="29"/>
      <c r="M58" s="29"/>
      <c r="N58" s="29"/>
      <c r="O58" s="29"/>
      <c r="P58" s="29"/>
      <c r="Q58" s="81"/>
      <c r="R58" s="29" t="s">
        <v>372</v>
      </c>
      <c r="S58" s="123"/>
    </row>
    <row r="59" spans="1:19" hidden="1">
      <c r="A59" s="29" t="s">
        <v>286</v>
      </c>
      <c r="B59" s="29"/>
      <c r="C59" s="29">
        <v>41510403</v>
      </c>
      <c r="G59" s="29" t="s">
        <v>744</v>
      </c>
      <c r="H59" s="29" t="s">
        <v>287</v>
      </c>
      <c r="I59" s="120">
        <v>45694</v>
      </c>
      <c r="J59" s="29"/>
      <c r="K59" s="29"/>
      <c r="L59" s="29"/>
      <c r="M59" s="29"/>
      <c r="N59" s="29"/>
      <c r="O59" s="29"/>
      <c r="P59" s="29"/>
      <c r="Q59" s="81"/>
      <c r="R59" s="29" t="s">
        <v>373</v>
      </c>
      <c r="S59" s="123"/>
    </row>
    <row r="60" spans="1:19" hidden="1">
      <c r="A60" s="29" t="s">
        <v>286</v>
      </c>
      <c r="B60" s="29"/>
      <c r="C60" s="29">
        <v>41510390</v>
      </c>
      <c r="G60" s="29" t="s">
        <v>744</v>
      </c>
      <c r="H60" s="29" t="s">
        <v>287</v>
      </c>
      <c r="I60" s="120">
        <v>45694</v>
      </c>
      <c r="J60" s="29"/>
      <c r="K60" s="29"/>
      <c r="L60" s="29"/>
      <c r="M60" s="29"/>
      <c r="N60" s="29"/>
      <c r="O60" s="29"/>
      <c r="P60" s="29"/>
      <c r="Q60" s="81"/>
      <c r="R60" s="29" t="s">
        <v>374</v>
      </c>
      <c r="S60" s="123"/>
    </row>
    <row r="61" spans="1:19" hidden="1">
      <c r="A61" s="29" t="s">
        <v>286</v>
      </c>
      <c r="B61" s="29"/>
      <c r="C61" s="29">
        <v>41510380</v>
      </c>
      <c r="G61" s="29" t="s">
        <v>744</v>
      </c>
      <c r="H61" s="29" t="s">
        <v>287</v>
      </c>
      <c r="I61" s="120">
        <v>45694</v>
      </c>
      <c r="J61" s="29"/>
      <c r="K61" s="29"/>
      <c r="L61" s="29"/>
      <c r="M61" s="29"/>
      <c r="N61" s="29"/>
      <c r="O61" s="29"/>
      <c r="P61" s="29"/>
      <c r="Q61" s="81"/>
      <c r="R61" s="29" t="s">
        <v>375</v>
      </c>
      <c r="S61" s="123"/>
    </row>
    <row r="62" spans="1:19" hidden="1">
      <c r="A62" s="29" t="s">
        <v>286</v>
      </c>
      <c r="B62" s="29"/>
      <c r="C62" s="29">
        <v>41510370</v>
      </c>
      <c r="G62" s="29" t="s">
        <v>744</v>
      </c>
      <c r="H62" s="29" t="s">
        <v>287</v>
      </c>
      <c r="I62" s="120">
        <v>45694</v>
      </c>
      <c r="J62" s="29"/>
      <c r="K62" s="29"/>
      <c r="L62" s="29"/>
      <c r="M62" s="29"/>
      <c r="N62" s="29"/>
      <c r="O62" s="29"/>
      <c r="P62" s="29"/>
      <c r="Q62" s="81"/>
      <c r="R62" s="29" t="s">
        <v>376</v>
      </c>
      <c r="S62" s="123"/>
    </row>
    <row r="63" spans="1:19" hidden="1">
      <c r="A63" s="29" t="s">
        <v>286</v>
      </c>
      <c r="B63" s="29"/>
      <c r="C63" s="29">
        <v>41510351</v>
      </c>
      <c r="G63" s="29" t="s">
        <v>744</v>
      </c>
      <c r="H63" s="29" t="s">
        <v>287</v>
      </c>
      <c r="I63" s="120">
        <v>45694</v>
      </c>
      <c r="J63" s="29"/>
      <c r="K63" s="29"/>
      <c r="L63" s="29"/>
      <c r="M63" s="29"/>
      <c r="N63" s="29"/>
      <c r="O63" s="29"/>
      <c r="P63" s="29"/>
      <c r="Q63" s="81"/>
      <c r="R63" s="29" t="s">
        <v>377</v>
      </c>
      <c r="S63" s="123"/>
    </row>
    <row r="64" spans="1:19" hidden="1">
      <c r="A64" s="29" t="s">
        <v>286</v>
      </c>
      <c r="B64" s="29"/>
      <c r="C64" s="29">
        <v>41510329</v>
      </c>
      <c r="G64" s="29" t="s">
        <v>744</v>
      </c>
      <c r="H64" s="29" t="s">
        <v>287</v>
      </c>
      <c r="I64" s="120">
        <v>45694</v>
      </c>
      <c r="J64" s="29"/>
      <c r="K64" s="29"/>
      <c r="L64" s="29"/>
      <c r="M64" s="29"/>
      <c r="N64" s="29"/>
      <c r="O64" s="29"/>
      <c r="P64" s="29"/>
      <c r="Q64" s="81"/>
      <c r="R64" s="29" t="s">
        <v>378</v>
      </c>
      <c r="S64" s="123"/>
    </row>
    <row r="65" spans="1:19" hidden="1">
      <c r="A65" s="41" t="s">
        <v>286</v>
      </c>
      <c r="B65" s="41"/>
      <c r="C65" s="41">
        <v>36500020</v>
      </c>
      <c r="G65" s="84" t="s">
        <v>744</v>
      </c>
      <c r="H65" s="29" t="s">
        <v>287</v>
      </c>
      <c r="I65" s="42">
        <v>45693</v>
      </c>
      <c r="J65" s="29"/>
      <c r="K65" s="29"/>
      <c r="L65" s="29"/>
      <c r="M65" s="29"/>
      <c r="N65" s="29"/>
      <c r="O65" s="29"/>
      <c r="P65" s="29"/>
      <c r="Q65" s="81"/>
      <c r="R65" s="41" t="s">
        <v>745</v>
      </c>
      <c r="S65" s="123"/>
    </row>
    <row r="66" spans="1:19" hidden="1">
      <c r="A66" s="41" t="s">
        <v>286</v>
      </c>
      <c r="B66" s="41"/>
      <c r="C66" s="41">
        <v>36500021</v>
      </c>
      <c r="G66" s="84" t="s">
        <v>744</v>
      </c>
      <c r="H66" s="29" t="s">
        <v>287</v>
      </c>
      <c r="I66" s="42">
        <v>45693</v>
      </c>
      <c r="J66" s="29"/>
      <c r="K66" s="29"/>
      <c r="L66" s="29"/>
      <c r="M66" s="29"/>
      <c r="N66" s="29"/>
      <c r="O66" s="29"/>
      <c r="P66" s="29"/>
      <c r="Q66" s="81"/>
      <c r="R66" s="41" t="s">
        <v>746</v>
      </c>
      <c r="S66" s="123"/>
    </row>
    <row r="67" spans="1:19" hidden="1">
      <c r="A67" s="41" t="s">
        <v>286</v>
      </c>
      <c r="B67" s="41"/>
      <c r="C67" s="41">
        <v>36500022</v>
      </c>
      <c r="G67" s="84" t="s">
        <v>744</v>
      </c>
      <c r="H67" s="29" t="s">
        <v>287</v>
      </c>
      <c r="I67" s="42">
        <v>45693</v>
      </c>
      <c r="J67" s="29"/>
      <c r="K67" s="29"/>
      <c r="L67" s="29"/>
      <c r="M67" s="29"/>
      <c r="N67" s="29"/>
      <c r="O67" s="29"/>
      <c r="P67" s="29"/>
      <c r="Q67" s="81"/>
      <c r="R67" s="41" t="s">
        <v>747</v>
      </c>
      <c r="S67" s="123"/>
    </row>
    <row r="68" spans="1:19" hidden="1">
      <c r="A68" s="41" t="s">
        <v>286</v>
      </c>
      <c r="B68" s="41"/>
      <c r="C68" s="41">
        <v>36500023</v>
      </c>
      <c r="G68" s="84" t="s">
        <v>744</v>
      </c>
      <c r="H68" s="29" t="s">
        <v>287</v>
      </c>
      <c r="I68" s="42">
        <v>45693</v>
      </c>
      <c r="J68" s="29"/>
      <c r="K68" s="29"/>
      <c r="L68" s="29"/>
      <c r="M68" s="29"/>
      <c r="N68" s="29"/>
      <c r="O68" s="29"/>
      <c r="P68" s="29"/>
      <c r="Q68" s="81"/>
      <c r="R68" s="41" t="s">
        <v>748</v>
      </c>
      <c r="S68" s="123"/>
    </row>
    <row r="69" spans="1:19" hidden="1">
      <c r="A69" s="41" t="s">
        <v>286</v>
      </c>
      <c r="B69" s="41"/>
      <c r="C69" s="41">
        <v>36500024</v>
      </c>
      <c r="G69" s="84" t="s">
        <v>744</v>
      </c>
      <c r="H69" s="29" t="s">
        <v>287</v>
      </c>
      <c r="I69" s="42">
        <v>45693</v>
      </c>
      <c r="J69" s="29"/>
      <c r="K69" s="29"/>
      <c r="L69" s="29"/>
      <c r="M69" s="29"/>
      <c r="N69" s="29"/>
      <c r="O69" s="29"/>
      <c r="P69" s="29"/>
      <c r="Q69" s="81"/>
      <c r="R69" s="41" t="s">
        <v>749</v>
      </c>
      <c r="S69" s="123"/>
    </row>
    <row r="70" spans="1:19" hidden="1">
      <c r="A70" s="41" t="s">
        <v>286</v>
      </c>
      <c r="B70" s="41"/>
      <c r="C70" s="41">
        <v>36500026</v>
      </c>
      <c r="G70" s="84" t="s">
        <v>744</v>
      </c>
      <c r="H70" s="29" t="s">
        <v>287</v>
      </c>
      <c r="I70" s="42">
        <v>45693</v>
      </c>
      <c r="J70" s="29"/>
      <c r="K70" s="29"/>
      <c r="L70" s="29"/>
      <c r="M70" s="29"/>
      <c r="N70" s="29"/>
      <c r="O70" s="29"/>
      <c r="P70" s="29"/>
      <c r="Q70" s="81"/>
      <c r="R70" s="41" t="s">
        <v>750</v>
      </c>
      <c r="S70" s="123"/>
    </row>
    <row r="71" spans="1:19" hidden="1">
      <c r="A71" s="41" t="s">
        <v>286</v>
      </c>
      <c r="B71" s="41"/>
      <c r="C71" s="41">
        <v>36500027</v>
      </c>
      <c r="G71" s="84" t="s">
        <v>744</v>
      </c>
      <c r="H71" s="29" t="s">
        <v>287</v>
      </c>
      <c r="I71" s="42">
        <v>45693</v>
      </c>
      <c r="J71" s="29"/>
      <c r="K71" s="29"/>
      <c r="L71" s="29"/>
      <c r="M71" s="29"/>
      <c r="N71" s="29"/>
      <c r="O71" s="29"/>
      <c r="P71" s="29"/>
      <c r="Q71" s="81"/>
      <c r="R71" s="41" t="s">
        <v>751</v>
      </c>
      <c r="S71" s="123"/>
    </row>
    <row r="72" spans="1:19" hidden="1">
      <c r="A72" s="41" t="s">
        <v>286</v>
      </c>
      <c r="B72" s="41"/>
      <c r="C72" s="41">
        <v>36500028</v>
      </c>
      <c r="G72" s="84" t="s">
        <v>744</v>
      </c>
      <c r="H72" s="29" t="s">
        <v>287</v>
      </c>
      <c r="I72" s="42">
        <v>45693</v>
      </c>
      <c r="J72" s="29"/>
      <c r="K72" s="29"/>
      <c r="L72" s="29"/>
      <c r="M72" s="29"/>
      <c r="N72" s="29"/>
      <c r="O72" s="29"/>
      <c r="P72" s="29"/>
      <c r="Q72" s="81"/>
      <c r="R72" s="41" t="s">
        <v>752</v>
      </c>
      <c r="S72" s="123"/>
    </row>
    <row r="73" spans="1:19" hidden="1">
      <c r="A73" s="41" t="s">
        <v>286</v>
      </c>
      <c r="B73" s="41"/>
      <c r="C73" s="41">
        <v>38506867</v>
      </c>
      <c r="G73" s="84" t="s">
        <v>744</v>
      </c>
      <c r="H73" s="29" t="s">
        <v>287</v>
      </c>
      <c r="I73" s="42">
        <v>45695</v>
      </c>
      <c r="J73" s="29"/>
      <c r="K73" s="29"/>
      <c r="L73" s="29"/>
      <c r="M73" s="29"/>
      <c r="N73" s="29"/>
      <c r="O73" s="29"/>
      <c r="P73" s="29"/>
      <c r="Q73" s="81"/>
      <c r="R73" s="41" t="s">
        <v>753</v>
      </c>
      <c r="S73" s="123"/>
    </row>
    <row r="74" spans="1:19" hidden="1">
      <c r="A74" s="41" t="s">
        <v>286</v>
      </c>
      <c r="B74" s="41"/>
      <c r="C74" s="41">
        <v>38506877</v>
      </c>
      <c r="G74" s="84" t="s">
        <v>744</v>
      </c>
      <c r="H74" s="29" t="s">
        <v>287</v>
      </c>
      <c r="I74" s="42">
        <v>45695</v>
      </c>
      <c r="J74" s="29"/>
      <c r="K74" s="29"/>
      <c r="L74" s="29"/>
      <c r="M74" s="29"/>
      <c r="N74" s="29"/>
      <c r="O74" s="29"/>
      <c r="P74" s="29"/>
      <c r="Q74" s="81"/>
      <c r="R74" s="41" t="s">
        <v>754</v>
      </c>
      <c r="S74" s="123"/>
    </row>
    <row r="75" spans="1:19" hidden="1">
      <c r="A75" s="41" t="s">
        <v>286</v>
      </c>
      <c r="B75" s="41"/>
      <c r="C75" s="41">
        <v>3506891</v>
      </c>
      <c r="G75" s="84" t="s">
        <v>744</v>
      </c>
      <c r="H75" s="29" t="s">
        <v>287</v>
      </c>
      <c r="I75" s="42">
        <v>45695</v>
      </c>
      <c r="J75" s="29"/>
      <c r="K75" s="29"/>
      <c r="L75" s="29"/>
      <c r="M75" s="29"/>
      <c r="N75" s="29"/>
      <c r="O75" s="29"/>
      <c r="P75" s="29"/>
      <c r="Q75" s="81"/>
      <c r="R75" s="41" t="s">
        <v>524</v>
      </c>
      <c r="S75" s="123"/>
    </row>
    <row r="76" spans="1:19" hidden="1">
      <c r="A76" s="41" t="s">
        <v>286</v>
      </c>
      <c r="B76" s="41"/>
      <c r="C76" s="41">
        <v>35506896</v>
      </c>
      <c r="G76" s="84" t="s">
        <v>744</v>
      </c>
      <c r="H76" s="29" t="s">
        <v>287</v>
      </c>
      <c r="I76" s="42">
        <v>45695</v>
      </c>
      <c r="J76" s="29"/>
      <c r="K76" s="29"/>
      <c r="L76" s="29"/>
      <c r="M76" s="29"/>
      <c r="N76" s="29"/>
      <c r="O76" s="29"/>
      <c r="P76" s="29"/>
      <c r="Q76" s="81"/>
      <c r="R76" s="41" t="s">
        <v>525</v>
      </c>
      <c r="S76" s="123"/>
    </row>
    <row r="77" spans="1:19" hidden="1">
      <c r="A77" s="41" t="s">
        <v>286</v>
      </c>
      <c r="B77" s="41"/>
      <c r="C77" s="41">
        <v>37508488</v>
      </c>
      <c r="G77" s="84" t="s">
        <v>744</v>
      </c>
      <c r="H77" s="29" t="s">
        <v>287</v>
      </c>
      <c r="I77" s="42">
        <v>45694</v>
      </c>
      <c r="J77" s="29"/>
      <c r="K77" s="29"/>
      <c r="L77" s="29"/>
      <c r="M77" s="29"/>
      <c r="N77" s="29"/>
      <c r="O77" s="29"/>
      <c r="P77" s="29"/>
      <c r="Q77" s="81"/>
      <c r="R77" s="41" t="s">
        <v>755</v>
      </c>
      <c r="S77" s="123"/>
    </row>
    <row r="78" spans="1:19" hidden="1">
      <c r="A78" s="41" t="s">
        <v>286</v>
      </c>
      <c r="B78" s="41"/>
      <c r="C78" s="41">
        <v>38506900</v>
      </c>
      <c r="G78" s="84" t="s">
        <v>744</v>
      </c>
      <c r="H78" s="29" t="s">
        <v>287</v>
      </c>
      <c r="I78" s="42">
        <v>45695</v>
      </c>
      <c r="J78" s="29"/>
      <c r="K78" s="29"/>
      <c r="L78" s="29"/>
      <c r="M78" s="29"/>
      <c r="N78" s="29"/>
      <c r="O78" s="29"/>
      <c r="P78" s="29"/>
      <c r="Q78" s="81"/>
      <c r="R78" s="41" t="s">
        <v>756</v>
      </c>
      <c r="S78" s="123"/>
    </row>
    <row r="79" spans="1:19" hidden="1">
      <c r="A79" s="41" t="s">
        <v>286</v>
      </c>
      <c r="B79" s="41"/>
      <c r="C79" s="41">
        <v>38506904</v>
      </c>
      <c r="G79" s="84" t="s">
        <v>744</v>
      </c>
      <c r="H79" s="29" t="s">
        <v>287</v>
      </c>
      <c r="I79" s="42">
        <v>45695</v>
      </c>
      <c r="J79" s="29"/>
      <c r="K79" s="29"/>
      <c r="L79" s="29"/>
      <c r="M79" s="29"/>
      <c r="N79" s="29"/>
      <c r="O79" s="29"/>
      <c r="P79" s="29"/>
      <c r="Q79" s="81"/>
      <c r="R79" s="41" t="s">
        <v>757</v>
      </c>
      <c r="S79" s="123"/>
    </row>
    <row r="80" spans="1:19" hidden="1">
      <c r="A80" s="41" t="s">
        <v>286</v>
      </c>
      <c r="B80" s="41"/>
      <c r="C80" s="41">
        <v>38506907</v>
      </c>
      <c r="G80" s="84" t="s">
        <v>744</v>
      </c>
      <c r="H80" s="29" t="s">
        <v>287</v>
      </c>
      <c r="I80" s="42">
        <v>45695</v>
      </c>
      <c r="J80" s="29"/>
      <c r="K80" s="29"/>
      <c r="L80" s="29"/>
      <c r="M80" s="29"/>
      <c r="N80" s="29"/>
      <c r="O80" s="29"/>
      <c r="P80" s="29"/>
      <c r="Q80" s="81"/>
      <c r="R80" s="41" t="s">
        <v>758</v>
      </c>
      <c r="S80" s="123"/>
    </row>
    <row r="81" spans="1:19" hidden="1">
      <c r="A81" s="41" t="s">
        <v>286</v>
      </c>
      <c r="B81" s="41"/>
      <c r="C81" s="41">
        <v>37508574</v>
      </c>
      <c r="G81" s="84" t="s">
        <v>744</v>
      </c>
      <c r="H81" s="29" t="s">
        <v>287</v>
      </c>
      <c r="I81" s="42">
        <v>45695</v>
      </c>
      <c r="J81" s="29"/>
      <c r="K81" s="29"/>
      <c r="L81" s="29"/>
      <c r="M81" s="29"/>
      <c r="N81" s="29"/>
      <c r="O81" s="29"/>
      <c r="P81" s="29"/>
      <c r="Q81" s="81"/>
      <c r="R81" s="41" t="s">
        <v>759</v>
      </c>
      <c r="S81" s="123"/>
    </row>
    <row r="82" spans="1:19" hidden="1">
      <c r="A82" s="41" t="s">
        <v>286</v>
      </c>
      <c r="B82" s="41"/>
      <c r="C82" s="41">
        <v>38506910</v>
      </c>
      <c r="G82" s="84" t="s">
        <v>744</v>
      </c>
      <c r="H82" s="29" t="s">
        <v>287</v>
      </c>
      <c r="I82" s="42">
        <v>45695</v>
      </c>
      <c r="J82" s="29"/>
      <c r="K82" s="29"/>
      <c r="L82" s="29"/>
      <c r="M82" s="29"/>
      <c r="N82" s="29"/>
      <c r="O82" s="29"/>
      <c r="P82" s="29"/>
      <c r="Q82" s="81"/>
      <c r="R82" s="41" t="s">
        <v>760</v>
      </c>
      <c r="S82" s="123"/>
    </row>
    <row r="83" spans="1:19" hidden="1">
      <c r="A83" s="41" t="s">
        <v>286</v>
      </c>
      <c r="B83" s="41"/>
      <c r="C83" s="41">
        <v>38506913</v>
      </c>
      <c r="G83" s="84" t="s">
        <v>744</v>
      </c>
      <c r="H83" s="29" t="s">
        <v>287</v>
      </c>
      <c r="I83" s="42">
        <v>45695</v>
      </c>
      <c r="J83" s="29"/>
      <c r="K83" s="29"/>
      <c r="L83" s="29"/>
      <c r="M83" s="29"/>
      <c r="N83" s="29"/>
      <c r="O83" s="29"/>
      <c r="P83" s="29"/>
      <c r="Q83" s="81"/>
      <c r="R83" s="41" t="s">
        <v>761</v>
      </c>
      <c r="S83" s="123"/>
    </row>
    <row r="84" spans="1:19" hidden="1">
      <c r="A84" s="41" t="s">
        <v>286</v>
      </c>
      <c r="B84" s="41"/>
      <c r="C84" s="41">
        <v>41510329</v>
      </c>
      <c r="G84" s="84" t="s">
        <v>744</v>
      </c>
      <c r="H84" s="29" t="s">
        <v>287</v>
      </c>
      <c r="I84" s="42">
        <v>45698</v>
      </c>
      <c r="J84" s="29"/>
      <c r="K84" s="29"/>
      <c r="L84" s="29"/>
      <c r="M84" s="29"/>
      <c r="N84" s="29"/>
      <c r="O84" s="29"/>
      <c r="P84" s="29"/>
      <c r="Q84" s="81"/>
      <c r="R84" s="41" t="s">
        <v>762</v>
      </c>
      <c r="S84" s="123"/>
    </row>
    <row r="85" spans="1:19" hidden="1">
      <c r="A85" s="41" t="s">
        <v>286</v>
      </c>
      <c r="B85" s="41"/>
      <c r="C85" s="41">
        <v>41510351</v>
      </c>
      <c r="G85" s="84" t="s">
        <v>744</v>
      </c>
      <c r="H85" s="29" t="s">
        <v>287</v>
      </c>
      <c r="I85" s="42">
        <v>45698</v>
      </c>
      <c r="J85" s="29"/>
      <c r="K85" s="29"/>
      <c r="L85" s="29"/>
      <c r="M85" s="29"/>
      <c r="N85" s="29"/>
      <c r="O85" s="29"/>
      <c r="P85" s="29"/>
      <c r="Q85" s="81"/>
      <c r="R85" s="41" t="s">
        <v>763</v>
      </c>
      <c r="S85" s="123"/>
    </row>
    <row r="86" spans="1:19" hidden="1">
      <c r="A86" s="41" t="s">
        <v>286</v>
      </c>
      <c r="B86" s="41"/>
      <c r="C86" s="41">
        <v>41510370</v>
      </c>
      <c r="G86" s="84" t="s">
        <v>744</v>
      </c>
      <c r="H86" s="29" t="s">
        <v>287</v>
      </c>
      <c r="I86" s="42">
        <v>45698</v>
      </c>
      <c r="J86" s="29"/>
      <c r="K86" s="29"/>
      <c r="L86" s="29"/>
      <c r="M86" s="29"/>
      <c r="N86" s="29"/>
      <c r="O86" s="29"/>
      <c r="P86" s="29"/>
      <c r="Q86" s="81"/>
      <c r="R86" s="41" t="s">
        <v>764</v>
      </c>
      <c r="S86" s="123"/>
    </row>
    <row r="87" spans="1:19" hidden="1">
      <c r="A87" s="41" t="s">
        <v>286</v>
      </c>
      <c r="B87" s="41"/>
      <c r="C87" s="41">
        <v>41510380</v>
      </c>
      <c r="G87" s="84" t="s">
        <v>744</v>
      </c>
      <c r="H87" s="29" t="s">
        <v>287</v>
      </c>
      <c r="I87" s="42">
        <v>45698</v>
      </c>
      <c r="J87" s="29"/>
      <c r="K87" s="29"/>
      <c r="L87" s="29"/>
      <c r="M87" s="29"/>
      <c r="N87" s="29"/>
      <c r="O87" s="29"/>
      <c r="P87" s="29"/>
      <c r="Q87" s="81"/>
      <c r="R87" s="41" t="s">
        <v>765</v>
      </c>
      <c r="S87" s="123"/>
    </row>
    <row r="88" spans="1:19" hidden="1">
      <c r="A88" s="41" t="s">
        <v>286</v>
      </c>
      <c r="B88" s="41"/>
      <c r="C88" s="41">
        <v>41510390</v>
      </c>
      <c r="G88" s="84" t="s">
        <v>744</v>
      </c>
      <c r="H88" s="29" t="s">
        <v>287</v>
      </c>
      <c r="I88" s="42">
        <v>45698</v>
      </c>
      <c r="J88" s="29"/>
      <c r="K88" s="29"/>
      <c r="L88" s="29"/>
      <c r="M88" s="29"/>
      <c r="N88" s="29"/>
      <c r="O88" s="29"/>
      <c r="P88" s="29"/>
      <c r="Q88" s="81"/>
      <c r="R88" s="41" t="s">
        <v>766</v>
      </c>
      <c r="S88" s="123"/>
    </row>
    <row r="89" spans="1:19" hidden="1">
      <c r="A89" s="41" t="s">
        <v>286</v>
      </c>
      <c r="B89" s="41"/>
      <c r="C89" s="41">
        <v>41510403</v>
      </c>
      <c r="G89" s="84" t="s">
        <v>744</v>
      </c>
      <c r="H89" s="29" t="s">
        <v>287</v>
      </c>
      <c r="I89" s="42">
        <v>45698</v>
      </c>
      <c r="J89" s="29"/>
      <c r="K89" s="29"/>
      <c r="L89" s="29"/>
      <c r="M89" s="29"/>
      <c r="N89" s="29"/>
      <c r="O89" s="29"/>
      <c r="P89" s="29"/>
      <c r="Q89" s="81"/>
      <c r="R89" s="41" t="s">
        <v>767</v>
      </c>
      <c r="S89" s="123"/>
    </row>
    <row r="90" spans="1:19" hidden="1">
      <c r="A90" s="41" t="s">
        <v>286</v>
      </c>
      <c r="B90" s="41"/>
      <c r="C90" s="41">
        <v>41510416</v>
      </c>
      <c r="G90" s="84" t="s">
        <v>744</v>
      </c>
      <c r="H90" s="29" t="s">
        <v>287</v>
      </c>
      <c r="I90" s="42">
        <v>45698</v>
      </c>
      <c r="J90" s="29"/>
      <c r="K90" s="29"/>
      <c r="L90" s="29"/>
      <c r="M90" s="29"/>
      <c r="N90" s="29"/>
      <c r="O90" s="29"/>
      <c r="P90" s="29"/>
      <c r="Q90" s="81"/>
      <c r="R90" s="41" t="s">
        <v>768</v>
      </c>
      <c r="S90" s="123"/>
    </row>
    <row r="91" spans="1:19" hidden="1">
      <c r="A91" s="41" t="s">
        <v>286</v>
      </c>
      <c r="B91" s="41"/>
      <c r="C91" s="41">
        <v>41510437</v>
      </c>
      <c r="G91" s="84" t="s">
        <v>744</v>
      </c>
      <c r="H91" s="29" t="s">
        <v>287</v>
      </c>
      <c r="I91" s="42">
        <v>45698</v>
      </c>
      <c r="J91" s="29"/>
      <c r="K91" s="29"/>
      <c r="L91" s="29"/>
      <c r="M91" s="29"/>
      <c r="N91" s="29"/>
      <c r="O91" s="29"/>
      <c r="P91" s="29"/>
      <c r="Q91" s="81"/>
      <c r="R91" s="41" t="s">
        <v>769</v>
      </c>
      <c r="S91" s="123"/>
    </row>
    <row r="92" spans="1:19" hidden="1">
      <c r="A92" s="41" t="s">
        <v>286</v>
      </c>
      <c r="B92" s="41"/>
      <c r="C92" s="41">
        <v>41510441</v>
      </c>
      <c r="G92" s="84" t="s">
        <v>744</v>
      </c>
      <c r="H92" s="29" t="s">
        <v>287</v>
      </c>
      <c r="I92" s="42">
        <v>45698</v>
      </c>
      <c r="J92" s="29"/>
      <c r="K92" s="29"/>
      <c r="L92" s="29"/>
      <c r="M92" s="29"/>
      <c r="N92" s="29"/>
      <c r="O92" s="29"/>
      <c r="P92" s="29"/>
      <c r="Q92" s="81"/>
      <c r="R92" s="41" t="s">
        <v>770</v>
      </c>
      <c r="S92" s="123"/>
    </row>
    <row r="93" spans="1:19" hidden="1">
      <c r="A93" s="41" t="s">
        <v>286</v>
      </c>
      <c r="B93" s="41"/>
      <c r="C93" s="41">
        <v>41510452</v>
      </c>
      <c r="G93" s="84" t="s">
        <v>744</v>
      </c>
      <c r="H93" s="29" t="s">
        <v>287</v>
      </c>
      <c r="I93" s="42">
        <v>45698</v>
      </c>
      <c r="J93" s="29"/>
      <c r="K93" s="29"/>
      <c r="L93" s="29"/>
      <c r="M93" s="29"/>
      <c r="N93" s="29"/>
      <c r="O93" s="29"/>
      <c r="P93" s="29"/>
      <c r="Q93" s="81"/>
      <c r="R93" s="41" t="s">
        <v>771</v>
      </c>
      <c r="S93" s="123"/>
    </row>
    <row r="94" spans="1:19" hidden="1">
      <c r="A94" s="41" t="s">
        <v>286</v>
      </c>
      <c r="B94" s="41"/>
      <c r="C94" s="41">
        <v>41510470</v>
      </c>
      <c r="G94" s="84" t="s">
        <v>744</v>
      </c>
      <c r="H94" s="29" t="s">
        <v>287</v>
      </c>
      <c r="I94" s="42">
        <v>45698</v>
      </c>
      <c r="J94" s="29"/>
      <c r="K94" s="29"/>
      <c r="L94" s="29"/>
      <c r="M94" s="29"/>
      <c r="N94" s="29"/>
      <c r="O94" s="29"/>
      <c r="P94" s="29"/>
      <c r="Q94" s="81"/>
      <c r="R94" s="41" t="s">
        <v>772</v>
      </c>
      <c r="S94" s="123"/>
    </row>
    <row r="95" spans="1:19" hidden="1">
      <c r="A95" s="41" t="s">
        <v>286</v>
      </c>
      <c r="B95" s="41"/>
      <c r="C95" s="41">
        <v>41510481</v>
      </c>
      <c r="G95" s="84" t="s">
        <v>744</v>
      </c>
      <c r="H95" s="29" t="s">
        <v>287</v>
      </c>
      <c r="I95" s="42">
        <v>45698</v>
      </c>
      <c r="J95" s="29"/>
      <c r="K95" s="29"/>
      <c r="L95" s="29"/>
      <c r="M95" s="29"/>
      <c r="N95" s="29"/>
      <c r="O95" s="29"/>
      <c r="P95" s="29"/>
      <c r="Q95" s="81"/>
      <c r="R95" s="41" t="s">
        <v>773</v>
      </c>
      <c r="S95" s="123"/>
    </row>
    <row r="96" spans="1:19" hidden="1">
      <c r="A96" s="41" t="s">
        <v>286</v>
      </c>
      <c r="B96" s="41"/>
      <c r="C96" s="41">
        <v>41510494</v>
      </c>
      <c r="G96" s="84" t="s">
        <v>744</v>
      </c>
      <c r="H96" s="29" t="s">
        <v>287</v>
      </c>
      <c r="I96" s="42">
        <v>45698</v>
      </c>
      <c r="J96" s="29"/>
      <c r="K96" s="29"/>
      <c r="L96" s="29"/>
      <c r="M96" s="29"/>
      <c r="N96" s="29"/>
      <c r="O96" s="29"/>
      <c r="P96" s="29"/>
      <c r="Q96" s="81"/>
      <c r="R96" s="41" t="s">
        <v>774</v>
      </c>
      <c r="S96" s="123"/>
    </row>
    <row r="97" spans="1:19" hidden="1">
      <c r="A97" s="29" t="s">
        <v>286</v>
      </c>
      <c r="B97" s="29"/>
      <c r="C97" s="29">
        <v>38506913</v>
      </c>
      <c r="G97" s="29" t="s">
        <v>744</v>
      </c>
      <c r="H97" s="29" t="s">
        <v>287</v>
      </c>
      <c r="I97" s="120">
        <v>45694</v>
      </c>
      <c r="J97" s="29"/>
      <c r="K97" s="29"/>
      <c r="L97" s="29"/>
      <c r="M97" s="29"/>
      <c r="N97" s="29"/>
      <c r="O97" s="29"/>
      <c r="P97" s="29"/>
      <c r="Q97" s="81"/>
      <c r="R97" s="29" t="s">
        <v>288</v>
      </c>
      <c r="S97" s="123"/>
    </row>
    <row r="98" spans="1:19" hidden="1">
      <c r="A98" s="29" t="s">
        <v>286</v>
      </c>
      <c r="B98" s="29"/>
      <c r="C98" s="29">
        <v>38506910</v>
      </c>
      <c r="G98" s="29" t="s">
        <v>744</v>
      </c>
      <c r="H98" s="29" t="s">
        <v>287</v>
      </c>
      <c r="I98" s="120">
        <v>45694</v>
      </c>
      <c r="J98" s="29"/>
      <c r="K98" s="29"/>
      <c r="L98" s="29"/>
      <c r="M98" s="29"/>
      <c r="N98" s="29"/>
      <c r="O98" s="29"/>
      <c r="P98" s="29"/>
      <c r="Q98" s="81"/>
      <c r="R98" s="29" t="s">
        <v>397</v>
      </c>
      <c r="S98" s="123"/>
    </row>
    <row r="99" spans="1:19" hidden="1">
      <c r="A99" s="29" t="s">
        <v>286</v>
      </c>
      <c r="B99" s="29"/>
      <c r="C99" s="29">
        <v>38506907</v>
      </c>
      <c r="G99" s="29" t="s">
        <v>744</v>
      </c>
      <c r="H99" s="29" t="s">
        <v>287</v>
      </c>
      <c r="I99" s="120">
        <v>45694</v>
      </c>
      <c r="J99" s="29"/>
      <c r="K99" s="29"/>
      <c r="L99" s="29"/>
      <c r="M99" s="29"/>
      <c r="N99" s="29"/>
      <c r="O99" s="29"/>
      <c r="P99" s="29"/>
      <c r="Q99" s="81"/>
      <c r="R99" s="29" t="s">
        <v>398</v>
      </c>
      <c r="S99" s="123"/>
    </row>
    <row r="100" spans="1:19" hidden="1">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hidden="1">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hidden="1">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hidden="1">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hidden="1">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hidden="1">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hidden="1">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hidden="1">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hidden="1">
      <c r="A108" s="29" t="s">
        <v>775</v>
      </c>
      <c r="B108" s="29"/>
      <c r="C108" s="29">
        <v>37506123</v>
      </c>
      <c r="G108" s="29" t="s">
        <v>744</v>
      </c>
      <c r="H108" s="29" t="s">
        <v>201</v>
      </c>
      <c r="I108" s="120">
        <v>45694</v>
      </c>
      <c r="J108" s="29"/>
      <c r="K108" s="29"/>
      <c r="L108" s="29"/>
      <c r="M108" s="29"/>
      <c r="N108" s="29"/>
      <c r="O108" s="29"/>
      <c r="P108" s="29"/>
      <c r="Q108" s="81"/>
      <c r="R108" s="29" t="s">
        <v>776</v>
      </c>
      <c r="S108" s="123"/>
    </row>
    <row r="109" spans="1:19" hidden="1">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hidden="1">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hidden="1">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hidden="1">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hidden="1">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hidden="1">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hidden="1">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hidden="1">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hidden="1">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hidden="1">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hidden="1">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hidden="1">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hidden="1">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hidden="1">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hidden="1">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hidden="1">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hidden="1">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hidden="1">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hidden="1">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hidden="1">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hidden="1">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hidden="1">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hidden="1">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hidden="1">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hidden="1">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hidden="1">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hidden="1">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hidden="1">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hidden="1">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hidden="1">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hidden="1">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hidden="1">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hidden="1">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hidden="1">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hidden="1">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hidden="1">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hidden="1">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hidden="1">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hidden="1">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hidden="1">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hidden="1">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hidden="1">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hidden="1">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hidden="1">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hidden="1">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hidden="1">
      <c r="A154" s="29" t="s">
        <v>229</v>
      </c>
      <c r="B154" s="29"/>
      <c r="C154" s="29">
        <v>18500300</v>
      </c>
      <c r="G154" s="29" t="s">
        <v>744</v>
      </c>
      <c r="H154" s="29" t="s">
        <v>212</v>
      </c>
      <c r="I154" s="120">
        <v>45675</v>
      </c>
      <c r="J154" s="29"/>
      <c r="K154" s="29"/>
      <c r="L154" s="29"/>
      <c r="M154" s="29"/>
      <c r="N154" s="29"/>
      <c r="O154" s="29"/>
      <c r="P154" s="29"/>
      <c r="Q154" s="81"/>
      <c r="R154" s="29"/>
      <c r="S154" s="123"/>
    </row>
    <row r="155" spans="1:19" hidden="1">
      <c r="A155" s="29" t="s">
        <v>229</v>
      </c>
      <c r="B155" s="29"/>
      <c r="C155" s="29">
        <v>18500282</v>
      </c>
      <c r="G155" s="29" t="s">
        <v>744</v>
      </c>
      <c r="H155" s="29" t="s">
        <v>212</v>
      </c>
      <c r="I155" s="120">
        <v>45675</v>
      </c>
      <c r="J155" s="29"/>
      <c r="K155" s="29"/>
      <c r="L155" s="29"/>
      <c r="M155" s="29"/>
      <c r="N155" s="29"/>
      <c r="O155" s="29"/>
      <c r="P155" s="29"/>
      <c r="Q155" s="81"/>
      <c r="R155" s="29"/>
      <c r="S155" s="123"/>
    </row>
    <row r="156" spans="1:19" hidden="1">
      <c r="A156" s="29" t="s">
        <v>229</v>
      </c>
      <c r="B156" s="29"/>
      <c r="C156" s="29">
        <v>18500294</v>
      </c>
      <c r="G156" s="29" t="s">
        <v>744</v>
      </c>
      <c r="H156" s="29" t="s">
        <v>212</v>
      </c>
      <c r="I156" s="120">
        <v>45675</v>
      </c>
      <c r="J156" s="29"/>
      <c r="K156" s="29"/>
      <c r="L156" s="29"/>
      <c r="M156" s="29"/>
      <c r="N156" s="29"/>
      <c r="O156" s="29"/>
      <c r="P156" s="29"/>
      <c r="Q156" s="81"/>
      <c r="R156" s="29"/>
      <c r="S156" s="123"/>
    </row>
    <row r="157" spans="1:19" hidden="1">
      <c r="A157" s="29" t="s">
        <v>229</v>
      </c>
      <c r="B157" s="29"/>
      <c r="C157" s="29">
        <v>18500272</v>
      </c>
      <c r="G157" s="29" t="s">
        <v>744</v>
      </c>
      <c r="H157" s="29" t="s">
        <v>212</v>
      </c>
      <c r="I157" s="120">
        <v>45675</v>
      </c>
      <c r="J157" s="29"/>
      <c r="K157" s="29"/>
      <c r="L157" s="29"/>
      <c r="M157" s="29"/>
      <c r="N157" s="29"/>
      <c r="O157" s="29"/>
      <c r="P157" s="29"/>
      <c r="Q157" s="81"/>
      <c r="R157" s="29"/>
      <c r="S157" s="123"/>
    </row>
    <row r="158" spans="1:19" hidden="1">
      <c r="A158" s="29" t="s">
        <v>229</v>
      </c>
      <c r="B158" s="29"/>
      <c r="C158" s="29">
        <v>18500276</v>
      </c>
      <c r="G158" s="29" t="s">
        <v>744</v>
      </c>
      <c r="H158" s="29" t="s">
        <v>212</v>
      </c>
      <c r="I158" s="120">
        <v>45675</v>
      </c>
      <c r="J158" s="29"/>
      <c r="K158" s="29"/>
      <c r="L158" s="29"/>
      <c r="M158" s="29"/>
      <c r="N158" s="29"/>
      <c r="O158" s="29"/>
      <c r="P158" s="29"/>
      <c r="Q158" s="81"/>
      <c r="R158" s="29"/>
      <c r="S158" s="123"/>
    </row>
    <row r="159" spans="1:19" hidden="1">
      <c r="A159" s="147" t="s">
        <v>229</v>
      </c>
      <c r="B159" s="147"/>
      <c r="C159" s="29">
        <v>21507602</v>
      </c>
      <c r="G159" s="29" t="s">
        <v>744</v>
      </c>
      <c r="H159" s="29" t="s">
        <v>235</v>
      </c>
      <c r="I159" s="120">
        <v>45679</v>
      </c>
      <c r="J159" s="29"/>
      <c r="K159" s="29"/>
      <c r="L159" s="29"/>
      <c r="M159" s="29"/>
      <c r="N159" s="29"/>
      <c r="O159" s="29"/>
      <c r="P159" s="29"/>
      <c r="Q159" s="81"/>
      <c r="R159" s="29"/>
      <c r="S159" s="123"/>
    </row>
    <row r="160" spans="1:19" hidden="1">
      <c r="A160" s="147" t="s">
        <v>229</v>
      </c>
      <c r="B160" s="147"/>
      <c r="C160" s="29">
        <v>22500600</v>
      </c>
      <c r="G160" s="29" t="s">
        <v>744</v>
      </c>
      <c r="H160" s="29" t="s">
        <v>235</v>
      </c>
      <c r="I160" s="120">
        <v>45679</v>
      </c>
      <c r="J160" s="29"/>
      <c r="K160" s="29"/>
      <c r="L160" s="29"/>
      <c r="M160" s="29"/>
      <c r="N160" s="29"/>
      <c r="O160" s="29"/>
      <c r="P160" s="29"/>
      <c r="Q160" s="81"/>
      <c r="R160" s="29"/>
      <c r="S160" s="123"/>
    </row>
    <row r="161" spans="1:19" hidden="1">
      <c r="A161" s="147" t="s">
        <v>229</v>
      </c>
      <c r="B161" s="147"/>
      <c r="C161" s="29">
        <v>22500667</v>
      </c>
      <c r="G161" s="29" t="s">
        <v>744</v>
      </c>
      <c r="H161" s="29" t="s">
        <v>235</v>
      </c>
      <c r="I161" s="120">
        <v>45679</v>
      </c>
      <c r="J161" s="29"/>
      <c r="K161" s="29"/>
      <c r="L161" s="29"/>
      <c r="M161" s="29"/>
      <c r="N161" s="29"/>
      <c r="O161" s="29"/>
      <c r="P161" s="29"/>
      <c r="Q161" s="81"/>
      <c r="R161" s="29"/>
      <c r="S161" s="123"/>
    </row>
    <row r="162" spans="1:19" hidden="1">
      <c r="A162" s="147" t="s">
        <v>229</v>
      </c>
      <c r="B162" s="147"/>
      <c r="C162" s="29">
        <v>22500718</v>
      </c>
      <c r="G162" s="29" t="s">
        <v>744</v>
      </c>
      <c r="H162" s="29" t="s">
        <v>235</v>
      </c>
      <c r="I162" s="120">
        <v>45679</v>
      </c>
      <c r="J162" s="29"/>
      <c r="K162" s="29"/>
      <c r="L162" s="29"/>
      <c r="M162" s="29"/>
      <c r="N162" s="29"/>
      <c r="O162" s="29"/>
      <c r="P162" s="29"/>
      <c r="Q162" s="81"/>
      <c r="R162" s="29"/>
      <c r="S162" s="123"/>
    </row>
    <row r="163" spans="1:19" hidden="1">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hidden="1">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hidden="1">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hidden="1">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hidden="1">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hidden="1">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hidden="1">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hidden="1">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hidden="1">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hidden="1">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hidden="1">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hidden="1">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hidden="1">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hidden="1">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hidden="1">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hidden="1">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hidden="1">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hidden="1">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hidden="1">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hidden="1">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hidden="1">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hidden="1">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hidden="1">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hidden="1">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hidden="1">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hidden="1">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hidden="1">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hidden="1">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hidden="1">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hidden="1">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hidden="1">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hidden="1">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hidden="1">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hidden="1">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hidden="1">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hidden="1">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hidden="1">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hidden="1">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hidden="1">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hidden="1">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hidden="1">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hidden="1">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hidden="1">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hidden="1">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hidden="1">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hidden="1">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hidden="1">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hidden="1">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hidden="1">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hidden="1">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hidden="1">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hidden="1">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201</v>
      </c>
      <c r="I215" s="120">
        <v>45694</v>
      </c>
      <c r="J215" s="29"/>
      <c r="K215" s="29"/>
      <c r="L215" s="29"/>
      <c r="M215" s="29"/>
      <c r="N215" s="29"/>
      <c r="O215" s="29"/>
      <c r="P215" s="29"/>
      <c r="Q215" s="81"/>
      <c r="R215" s="29" t="s">
        <v>781</v>
      </c>
      <c r="S215" s="123"/>
    </row>
    <row r="216" spans="1:19" hidden="1">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201</v>
      </c>
      <c r="I217" s="120">
        <v>45694</v>
      </c>
      <c r="J217" s="29"/>
      <c r="K217" s="29"/>
      <c r="L217" s="29"/>
      <c r="M217" s="29"/>
      <c r="N217" s="29"/>
      <c r="O217" s="29"/>
      <c r="P217" s="29"/>
      <c r="Q217" s="81"/>
      <c r="R217" s="29" t="s">
        <v>781</v>
      </c>
      <c r="S217" s="123"/>
    </row>
    <row r="218" spans="1:19" hidden="1">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hidden="1">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201</v>
      </c>
      <c r="I220" s="120">
        <v>45694</v>
      </c>
      <c r="J220" s="29"/>
      <c r="K220" s="29"/>
      <c r="L220" s="29"/>
      <c r="M220" s="29"/>
      <c r="N220" s="29"/>
      <c r="O220" s="29"/>
      <c r="P220" s="29"/>
      <c r="Q220" s="81"/>
      <c r="R220" s="29" t="s">
        <v>783</v>
      </c>
      <c r="S220" s="123"/>
    </row>
    <row r="221" spans="1:19" hidden="1">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hidden="1">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hidden="1">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hidden="1">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hidden="1">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hidden="1">
      <c r="A226" s="29" t="s">
        <v>775</v>
      </c>
      <c r="B226" s="29"/>
      <c r="C226" s="29">
        <v>36501750</v>
      </c>
      <c r="G226" s="29" t="s">
        <v>744</v>
      </c>
      <c r="H226" s="29" t="s">
        <v>201</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201</v>
      </c>
      <c r="I227" s="120">
        <v>45692</v>
      </c>
      <c r="J227" s="29"/>
      <c r="K227" s="29"/>
      <c r="L227" s="29"/>
      <c r="M227" s="29"/>
      <c r="N227" s="29"/>
      <c r="O227" s="29"/>
      <c r="P227" s="29"/>
      <c r="Q227" s="81"/>
      <c r="R227" s="29" t="s">
        <v>354</v>
      </c>
      <c r="S227" s="123"/>
    </row>
    <row r="228" spans="1:19" hidden="1">
      <c r="A228" s="29" t="s">
        <v>775</v>
      </c>
      <c r="B228" s="29"/>
      <c r="C228" s="29">
        <v>36501220</v>
      </c>
      <c r="G228" s="29" t="s">
        <v>744</v>
      </c>
      <c r="H228" s="29" t="s">
        <v>201</v>
      </c>
      <c r="I228" s="120">
        <v>45692</v>
      </c>
      <c r="J228" s="29"/>
      <c r="K228" s="29"/>
      <c r="L228" s="29"/>
      <c r="M228" s="29"/>
      <c r="N228" s="29"/>
      <c r="O228" s="29"/>
      <c r="P228" s="29"/>
      <c r="Q228" s="81"/>
      <c r="R228" s="29" t="s">
        <v>391</v>
      </c>
      <c r="S228" s="123"/>
    </row>
    <row r="229" spans="1:19" hidden="1">
      <c r="A229" s="29" t="s">
        <v>775</v>
      </c>
      <c r="B229" s="29"/>
      <c r="C229" s="29">
        <v>35509618</v>
      </c>
      <c r="G229" s="29" t="s">
        <v>744</v>
      </c>
      <c r="H229" s="29" t="s">
        <v>201</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201</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201</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201</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201</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201</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201</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201</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201</v>
      </c>
      <c r="I237" s="120">
        <v>45694</v>
      </c>
      <c r="J237" s="29"/>
      <c r="K237" s="29"/>
      <c r="L237" s="29"/>
      <c r="M237" s="29"/>
      <c r="N237" s="29"/>
      <c r="O237" s="29"/>
      <c r="P237" s="29"/>
      <c r="Q237" s="81"/>
      <c r="R237" s="29" t="s">
        <v>791</v>
      </c>
      <c r="S237" s="123"/>
    </row>
    <row r="238" spans="1:19" hidden="1">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201</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201</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201</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201</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201</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201</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201</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201</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201</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201</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201</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201</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201</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201</v>
      </c>
      <c r="I252" s="120">
        <v>45691</v>
      </c>
      <c r="P252" s="134"/>
      <c r="R252" s="29" t="s">
        <v>785</v>
      </c>
    </row>
    <row r="253" spans="1:19" hidden="1">
      <c r="A253" s="29" t="s">
        <v>775</v>
      </c>
      <c r="B253" s="29"/>
      <c r="C253" s="29">
        <v>35509633</v>
      </c>
      <c r="G253" s="29" t="s">
        <v>744</v>
      </c>
      <c r="H253" s="29" t="s">
        <v>201</v>
      </c>
      <c r="I253" s="120">
        <v>45691</v>
      </c>
      <c r="P253" s="134"/>
      <c r="R253" s="29" t="s">
        <v>786</v>
      </c>
    </row>
    <row r="254" spans="1:19" hidden="1">
      <c r="A254" s="29" t="s">
        <v>775</v>
      </c>
      <c r="B254" s="29"/>
      <c r="C254" s="29">
        <v>35509658</v>
      </c>
      <c r="G254" s="29" t="s">
        <v>744</v>
      </c>
      <c r="H254" s="29" t="s">
        <v>201</v>
      </c>
      <c r="I254" s="120">
        <v>45691</v>
      </c>
      <c r="P254" s="134"/>
      <c r="R254" s="29" t="s">
        <v>787</v>
      </c>
    </row>
    <row r="255" spans="1:19" hidden="1">
      <c r="A255" s="29" t="s">
        <v>775</v>
      </c>
      <c r="B255" s="29"/>
      <c r="C255" s="29">
        <v>37506123</v>
      </c>
      <c r="G255" s="29" t="s">
        <v>744</v>
      </c>
      <c r="H255" s="29" t="s">
        <v>201</v>
      </c>
      <c r="I255" s="120">
        <v>45694</v>
      </c>
      <c r="P255" s="134"/>
      <c r="R255" s="29" t="s">
        <v>776</v>
      </c>
    </row>
    <row r="256" spans="1:19" hidden="1">
      <c r="A256" s="29" t="s">
        <v>775</v>
      </c>
      <c r="B256" s="29"/>
      <c r="C256" s="29">
        <v>37506111</v>
      </c>
      <c r="G256" s="29" t="s">
        <v>744</v>
      </c>
      <c r="H256" s="29" t="s">
        <v>201</v>
      </c>
      <c r="I256" s="120">
        <v>45694</v>
      </c>
      <c r="P256" s="134"/>
      <c r="R256" s="29" t="s">
        <v>793</v>
      </c>
    </row>
    <row r="257" spans="1:18" hidden="1">
      <c r="A257" s="29" t="s">
        <v>775</v>
      </c>
      <c r="B257" s="29"/>
      <c r="C257" s="29">
        <v>37506073</v>
      </c>
      <c r="G257" s="29" t="s">
        <v>744</v>
      </c>
      <c r="H257" s="29" t="s">
        <v>201</v>
      </c>
      <c r="I257" s="120">
        <v>45694</v>
      </c>
      <c r="P257" s="134"/>
      <c r="R257" s="29" t="s">
        <v>793</v>
      </c>
    </row>
    <row r="258" spans="1:18" hidden="1">
      <c r="A258" s="29" t="s">
        <v>775</v>
      </c>
      <c r="B258" s="29"/>
      <c r="C258" s="29">
        <v>37506056</v>
      </c>
      <c r="G258" s="29" t="s">
        <v>744</v>
      </c>
      <c r="H258" s="29" t="s">
        <v>201</v>
      </c>
      <c r="I258" s="120">
        <v>45694</v>
      </c>
      <c r="P258" s="134"/>
      <c r="R258" s="29" t="s">
        <v>790</v>
      </c>
    </row>
    <row r="259" spans="1:18" hidden="1">
      <c r="A259" s="29" t="s">
        <v>775</v>
      </c>
      <c r="B259" s="29"/>
      <c r="C259" s="29">
        <v>37506038</v>
      </c>
      <c r="G259" s="29" t="s">
        <v>744</v>
      </c>
      <c r="H259" s="29" t="s">
        <v>201</v>
      </c>
      <c r="I259" s="120">
        <v>45694</v>
      </c>
      <c r="P259" s="134"/>
      <c r="R259" s="29" t="s">
        <v>788</v>
      </c>
    </row>
    <row r="260" spans="1:18" hidden="1">
      <c r="A260" s="29" t="s">
        <v>775</v>
      </c>
      <c r="B260" s="29"/>
      <c r="C260" s="29">
        <v>37505985</v>
      </c>
      <c r="G260" s="29" t="s">
        <v>744</v>
      </c>
      <c r="H260" s="29" t="s">
        <v>201</v>
      </c>
      <c r="I260" s="120">
        <v>45694</v>
      </c>
      <c r="P260" s="134"/>
      <c r="R260" s="29" t="s">
        <v>789</v>
      </c>
    </row>
    <row r="261" spans="1:18" hidden="1">
      <c r="A261" s="29" t="s">
        <v>775</v>
      </c>
      <c r="B261" s="29"/>
      <c r="C261" s="29">
        <v>37505961</v>
      </c>
      <c r="G261" s="29" t="s">
        <v>744</v>
      </c>
      <c r="H261" s="29" t="s">
        <v>201</v>
      </c>
      <c r="I261" s="120">
        <v>45694</v>
      </c>
      <c r="P261" s="134"/>
      <c r="R261" s="29" t="s">
        <v>790</v>
      </c>
    </row>
    <row r="262" spans="1:18" hidden="1">
      <c r="A262" s="29" t="s">
        <v>775</v>
      </c>
      <c r="B262" s="29"/>
      <c r="C262" s="29">
        <v>37505929</v>
      </c>
      <c r="G262" s="29" t="s">
        <v>744</v>
      </c>
      <c r="H262" s="29" t="s">
        <v>201</v>
      </c>
      <c r="I262" s="120">
        <v>45694</v>
      </c>
      <c r="P262" s="134"/>
      <c r="R262" s="29" t="s">
        <v>781</v>
      </c>
    </row>
    <row r="263" spans="1:18" hidden="1">
      <c r="A263" s="29" t="s">
        <v>775</v>
      </c>
      <c r="B263" s="29"/>
      <c r="C263" s="29">
        <v>37505902</v>
      </c>
      <c r="G263" s="29" t="s">
        <v>744</v>
      </c>
      <c r="H263" s="29" t="s">
        <v>201</v>
      </c>
      <c r="I263" s="120">
        <v>45694</v>
      </c>
      <c r="P263" s="134"/>
      <c r="R263" s="29" t="s">
        <v>781</v>
      </c>
    </row>
    <row r="264" spans="1:18" hidden="1">
      <c r="A264" s="29" t="s">
        <v>299</v>
      </c>
      <c r="B264" s="29"/>
      <c r="C264" s="29">
        <v>37505890</v>
      </c>
      <c r="G264" s="29" t="s">
        <v>744</v>
      </c>
      <c r="H264" s="29" t="s">
        <v>211</v>
      </c>
      <c r="I264" s="120">
        <v>45694</v>
      </c>
      <c r="P264" s="134"/>
      <c r="R264" s="29" t="s">
        <v>777</v>
      </c>
    </row>
    <row r="265" spans="1:18" hidden="1">
      <c r="A265" s="29" t="s">
        <v>299</v>
      </c>
      <c r="B265" s="29"/>
      <c r="C265" s="29">
        <v>37505866</v>
      </c>
      <c r="G265" s="29" t="s">
        <v>744</v>
      </c>
      <c r="H265" s="29" t="s">
        <v>211</v>
      </c>
      <c r="I265" s="120">
        <v>45694</v>
      </c>
      <c r="P265" s="134"/>
      <c r="R265" s="29" t="s">
        <v>778</v>
      </c>
    </row>
    <row r="266" spans="1:18" hidden="1">
      <c r="A266" s="29" t="s">
        <v>775</v>
      </c>
      <c r="B266" s="29"/>
      <c r="C266" s="29">
        <v>37505858</v>
      </c>
      <c r="G266" s="29" t="s">
        <v>744</v>
      </c>
      <c r="H266" s="29" t="s">
        <v>201</v>
      </c>
      <c r="I266" s="120">
        <v>45694</v>
      </c>
      <c r="P266" s="134"/>
      <c r="R266" s="29" t="s">
        <v>781</v>
      </c>
    </row>
    <row r="267" spans="1:18" hidden="1">
      <c r="A267" s="29" t="s">
        <v>299</v>
      </c>
      <c r="B267" s="29"/>
      <c r="C267" s="29">
        <v>37505767</v>
      </c>
      <c r="G267" s="29" t="s">
        <v>744</v>
      </c>
      <c r="H267" s="29" t="s">
        <v>211</v>
      </c>
      <c r="I267" s="120">
        <v>45694</v>
      </c>
      <c r="P267" s="134"/>
      <c r="R267" s="29" t="s">
        <v>779</v>
      </c>
    </row>
    <row r="268" spans="1:18" hidden="1">
      <c r="A268" s="29" t="s">
        <v>299</v>
      </c>
      <c r="B268" s="29"/>
      <c r="C268" s="29">
        <v>37505730</v>
      </c>
      <c r="G268" s="29" t="s">
        <v>744</v>
      </c>
      <c r="H268" s="29" t="s">
        <v>211</v>
      </c>
      <c r="I268" s="120">
        <v>45694</v>
      </c>
      <c r="P268" s="134"/>
      <c r="R268" s="29" t="s">
        <v>779</v>
      </c>
    </row>
    <row r="269" spans="1:18" hidden="1">
      <c r="A269" s="29" t="s">
        <v>299</v>
      </c>
      <c r="B269" s="29"/>
      <c r="C269" s="29">
        <v>37505708</v>
      </c>
      <c r="G269" s="29" t="s">
        <v>744</v>
      </c>
      <c r="H269" s="29" t="s">
        <v>211</v>
      </c>
      <c r="I269" s="120">
        <v>45694</v>
      </c>
      <c r="P269" s="134"/>
      <c r="R269" s="29" t="s">
        <v>779</v>
      </c>
    </row>
    <row r="270" spans="1:18" hidden="1">
      <c r="A270" s="29" t="s">
        <v>299</v>
      </c>
      <c r="B270" s="29"/>
      <c r="C270" s="29">
        <v>37505692</v>
      </c>
      <c r="G270" s="29" t="s">
        <v>744</v>
      </c>
      <c r="H270" s="29" t="s">
        <v>211</v>
      </c>
      <c r="I270" s="120">
        <v>45694</v>
      </c>
      <c r="P270" s="134"/>
      <c r="R270" s="29" t="s">
        <v>780</v>
      </c>
    </row>
    <row r="271" spans="1:18" hidden="1">
      <c r="A271" s="29" t="s">
        <v>775</v>
      </c>
      <c r="B271" s="29"/>
      <c r="C271" s="29">
        <v>37505682</v>
      </c>
      <c r="G271" s="29" t="s">
        <v>744</v>
      </c>
      <c r="H271" s="29" t="s">
        <v>201</v>
      </c>
      <c r="I271" s="120">
        <v>45694</v>
      </c>
      <c r="P271" s="134"/>
      <c r="R271" s="29" t="s">
        <v>781</v>
      </c>
    </row>
    <row r="272" spans="1:18" hidden="1">
      <c r="A272" s="29" t="s">
        <v>299</v>
      </c>
      <c r="B272" s="29"/>
      <c r="C272" s="29">
        <v>37505653</v>
      </c>
      <c r="G272" s="29" t="s">
        <v>744</v>
      </c>
      <c r="H272" s="29" t="s">
        <v>211</v>
      </c>
      <c r="I272" s="120">
        <v>45694</v>
      </c>
      <c r="P272" s="134"/>
      <c r="R272" s="29" t="s">
        <v>782</v>
      </c>
    </row>
    <row r="273" spans="1:18" hidden="1">
      <c r="A273" s="29" t="s">
        <v>775</v>
      </c>
      <c r="B273" s="29"/>
      <c r="C273" s="29">
        <v>37505642</v>
      </c>
      <c r="G273" s="29" t="s">
        <v>744</v>
      </c>
      <c r="H273" s="29" t="s">
        <v>201</v>
      </c>
      <c r="I273" s="120">
        <v>45694</v>
      </c>
      <c r="P273" s="134"/>
      <c r="R273" s="29" t="s">
        <v>791</v>
      </c>
    </row>
    <row r="274" spans="1:18" hidden="1">
      <c r="A274" s="29" t="s">
        <v>299</v>
      </c>
      <c r="B274" s="29"/>
      <c r="C274" s="29">
        <v>37505640</v>
      </c>
      <c r="G274" s="29" t="s">
        <v>744</v>
      </c>
      <c r="H274" s="29" t="s">
        <v>211</v>
      </c>
      <c r="I274" s="120">
        <v>45694</v>
      </c>
      <c r="P274" s="134"/>
      <c r="R274" s="29" t="s">
        <v>792</v>
      </c>
    </row>
    <row r="275" spans="1:18" hidden="1">
      <c r="A275" s="29" t="s">
        <v>775</v>
      </c>
      <c r="B275" s="29"/>
      <c r="C275" s="29">
        <v>37505599</v>
      </c>
      <c r="G275" s="29" t="s">
        <v>744</v>
      </c>
      <c r="H275" s="29" t="s">
        <v>201</v>
      </c>
      <c r="I275" s="120">
        <v>45694</v>
      </c>
      <c r="P275" s="134"/>
      <c r="R275" s="29" t="s">
        <v>783</v>
      </c>
    </row>
    <row r="276" spans="1:18" hidden="1">
      <c r="A276" s="29" t="s">
        <v>775</v>
      </c>
      <c r="B276" s="29"/>
      <c r="C276" s="29">
        <v>37505280</v>
      </c>
      <c r="G276" s="29" t="s">
        <v>744</v>
      </c>
      <c r="H276" s="29" t="s">
        <v>201</v>
      </c>
      <c r="I276" s="120">
        <v>45694</v>
      </c>
      <c r="P276" s="134"/>
      <c r="R276" s="29" t="s">
        <v>783</v>
      </c>
    </row>
    <row r="277" spans="1:18" hidden="1">
      <c r="A277" s="29" t="s">
        <v>775</v>
      </c>
      <c r="B277" s="29"/>
      <c r="C277" s="29">
        <v>37505252</v>
      </c>
      <c r="G277" s="29" t="s">
        <v>744</v>
      </c>
      <c r="H277" s="29" t="s">
        <v>201</v>
      </c>
      <c r="I277" s="120">
        <v>45694</v>
      </c>
      <c r="P277" s="134"/>
      <c r="R277" s="29" t="s">
        <v>783</v>
      </c>
    </row>
    <row r="278" spans="1:18" hidden="1">
      <c r="A278" s="29" t="s">
        <v>775</v>
      </c>
      <c r="B278" s="29"/>
      <c r="C278" s="29">
        <v>37505229</v>
      </c>
      <c r="G278" s="29" t="s">
        <v>744</v>
      </c>
      <c r="H278" s="29" t="s">
        <v>201</v>
      </c>
      <c r="I278" s="120">
        <v>45694</v>
      </c>
      <c r="P278" s="134"/>
      <c r="R278" s="29" t="s">
        <v>794</v>
      </c>
    </row>
    <row r="279" spans="1:18" hidden="1">
      <c r="A279" s="29" t="s">
        <v>775</v>
      </c>
      <c r="B279" s="29"/>
      <c r="C279" s="29">
        <v>37505213</v>
      </c>
      <c r="G279" s="29" t="s">
        <v>744</v>
      </c>
      <c r="H279" s="29" t="s">
        <v>201</v>
      </c>
      <c r="I279" s="120">
        <v>45694</v>
      </c>
      <c r="P279" s="134"/>
      <c r="R279" s="29" t="s">
        <v>795</v>
      </c>
    </row>
    <row r="280" spans="1:18" hidden="1">
      <c r="A280" s="29" t="s">
        <v>775</v>
      </c>
      <c r="B280" s="29"/>
      <c r="C280" s="29">
        <v>37505183</v>
      </c>
      <c r="G280" s="29" t="s">
        <v>744</v>
      </c>
      <c r="H280" s="29" t="s">
        <v>201</v>
      </c>
      <c r="I280" s="120">
        <v>45694</v>
      </c>
      <c r="P280" s="134"/>
      <c r="R280" s="29" t="s">
        <v>796</v>
      </c>
    </row>
    <row r="281" spans="1:18" hidden="1">
      <c r="A281" s="29" t="s">
        <v>775</v>
      </c>
      <c r="B281" s="29"/>
      <c r="C281" s="29">
        <v>37505094</v>
      </c>
      <c r="G281" s="29" t="s">
        <v>744</v>
      </c>
      <c r="H281" s="29" t="s">
        <v>201</v>
      </c>
      <c r="I281" s="120">
        <v>45694</v>
      </c>
      <c r="P281" s="134"/>
      <c r="R281" s="29" t="s">
        <v>797</v>
      </c>
    </row>
    <row r="282" spans="1:18" hidden="1">
      <c r="A282" s="29" t="s">
        <v>775</v>
      </c>
      <c r="B282" s="29"/>
      <c r="C282" s="29">
        <v>37505037</v>
      </c>
      <c r="G282" s="29" t="s">
        <v>744</v>
      </c>
      <c r="H282" s="29" t="s">
        <v>201</v>
      </c>
      <c r="I282" s="120">
        <v>45694</v>
      </c>
      <c r="P282" s="134"/>
      <c r="R282" s="29" t="s">
        <v>798</v>
      </c>
    </row>
    <row r="283" spans="1:18" hidden="1">
      <c r="A283" s="29" t="s">
        <v>775</v>
      </c>
      <c r="B283" s="29"/>
      <c r="C283" s="29">
        <v>37502907</v>
      </c>
      <c r="G283" s="29" t="s">
        <v>744</v>
      </c>
      <c r="H283" s="29" t="s">
        <v>201</v>
      </c>
      <c r="I283" s="120">
        <v>45694</v>
      </c>
      <c r="P283" s="134"/>
      <c r="R283" s="29" t="s">
        <v>799</v>
      </c>
    </row>
    <row r="284" spans="1:18" hidden="1">
      <c r="A284" s="29" t="s">
        <v>775</v>
      </c>
      <c r="B284" s="29"/>
      <c r="C284" s="29">
        <v>37502781</v>
      </c>
      <c r="G284" s="29" t="s">
        <v>744</v>
      </c>
      <c r="H284" s="29" t="s">
        <v>201</v>
      </c>
      <c r="I284" s="120">
        <v>45694</v>
      </c>
      <c r="P284" s="134"/>
      <c r="R284" s="29" t="s">
        <v>800</v>
      </c>
    </row>
    <row r="285" spans="1:18" hidden="1">
      <c r="A285" s="29" t="s">
        <v>775</v>
      </c>
      <c r="B285" s="29"/>
      <c r="C285" s="29">
        <v>36501750</v>
      </c>
      <c r="G285" s="29" t="s">
        <v>744</v>
      </c>
      <c r="H285" s="29" t="s">
        <v>201</v>
      </c>
      <c r="I285" s="120">
        <v>45692</v>
      </c>
      <c r="P285" s="134"/>
      <c r="R285" s="29" t="s">
        <v>784</v>
      </c>
    </row>
    <row r="286" spans="1:18" hidden="1">
      <c r="A286" s="29" t="s">
        <v>775</v>
      </c>
      <c r="B286" s="29"/>
      <c r="C286" s="29">
        <v>36501703</v>
      </c>
      <c r="G286" s="29" t="s">
        <v>744</v>
      </c>
      <c r="H286" s="29" t="s">
        <v>201</v>
      </c>
      <c r="I286" s="120">
        <v>45692</v>
      </c>
      <c r="P286" s="134"/>
      <c r="R286" s="29" t="s">
        <v>354</v>
      </c>
    </row>
    <row r="287" spans="1:18" hidden="1">
      <c r="A287" s="29" t="s">
        <v>775</v>
      </c>
      <c r="B287" s="29"/>
      <c r="C287" s="29">
        <v>36501220</v>
      </c>
      <c r="G287" s="29" t="s">
        <v>744</v>
      </c>
      <c r="H287" s="29" t="s">
        <v>201</v>
      </c>
      <c r="I287" s="120">
        <v>45692</v>
      </c>
      <c r="P287" s="134"/>
      <c r="R287" s="29" t="s">
        <v>391</v>
      </c>
    </row>
    <row r="288" spans="1:18" hidden="1">
      <c r="A288" s="29" t="s">
        <v>358</v>
      </c>
      <c r="B288" s="29"/>
      <c r="C288" s="29">
        <v>36508939</v>
      </c>
      <c r="G288" s="29" t="s">
        <v>744</v>
      </c>
      <c r="H288" s="147" t="s">
        <v>359</v>
      </c>
      <c r="I288" s="120">
        <v>45692</v>
      </c>
      <c r="P288" s="134"/>
      <c r="R288" s="29" t="s">
        <v>427</v>
      </c>
    </row>
    <row r="289" spans="1:18" hidden="1">
      <c r="A289" s="29" t="s">
        <v>358</v>
      </c>
      <c r="B289" s="29"/>
      <c r="C289" s="29">
        <v>36508971</v>
      </c>
      <c r="G289" s="29" t="s">
        <v>744</v>
      </c>
      <c r="H289" s="147" t="s">
        <v>359</v>
      </c>
      <c r="I289" s="120">
        <v>45692</v>
      </c>
      <c r="P289" s="134"/>
      <c r="R289" s="29" t="s">
        <v>425</v>
      </c>
    </row>
    <row r="290" spans="1:18" hidden="1">
      <c r="A290" s="29" t="s">
        <v>358</v>
      </c>
      <c r="B290" s="29"/>
      <c r="C290" s="29">
        <v>36509009</v>
      </c>
      <c r="G290" s="29" t="s">
        <v>744</v>
      </c>
      <c r="H290" s="147" t="s">
        <v>359</v>
      </c>
      <c r="I290" s="120">
        <v>45692</v>
      </c>
      <c r="P290" s="134"/>
      <c r="R290" s="29" t="s">
        <v>802</v>
      </c>
    </row>
    <row r="291" spans="1:18" hidden="1">
      <c r="A291" s="29" t="s">
        <v>358</v>
      </c>
      <c r="B291" s="29"/>
      <c r="C291" s="29">
        <v>36509029</v>
      </c>
      <c r="G291" s="29" t="s">
        <v>744</v>
      </c>
      <c r="H291" s="147" t="s">
        <v>359</v>
      </c>
      <c r="I291" s="120">
        <v>45692</v>
      </c>
      <c r="P291" s="134"/>
      <c r="R291" s="29" t="s">
        <v>803</v>
      </c>
    </row>
    <row r="292" spans="1:18" hidden="1">
      <c r="A292" s="29" t="s">
        <v>358</v>
      </c>
      <c r="B292" s="29"/>
      <c r="C292" s="29">
        <v>37508603</v>
      </c>
      <c r="G292" s="29" t="s">
        <v>744</v>
      </c>
      <c r="H292" s="147" t="s">
        <v>359</v>
      </c>
      <c r="I292" s="120">
        <v>45692</v>
      </c>
      <c r="P292" s="134"/>
      <c r="R292" s="29" t="s">
        <v>803</v>
      </c>
    </row>
    <row r="293" spans="1:18" hidden="1">
      <c r="A293" s="29" t="s">
        <v>358</v>
      </c>
      <c r="B293" s="29"/>
      <c r="C293" s="29">
        <v>37508593</v>
      </c>
      <c r="G293" s="29" t="s">
        <v>744</v>
      </c>
      <c r="H293" s="147" t="s">
        <v>359</v>
      </c>
      <c r="I293" s="120">
        <v>45692</v>
      </c>
      <c r="P293" s="134"/>
      <c r="R293" s="29" t="s">
        <v>802</v>
      </c>
    </row>
    <row r="294" spans="1:18" hidden="1">
      <c r="A294" s="29" t="s">
        <v>358</v>
      </c>
      <c r="B294" s="29"/>
      <c r="C294" s="29">
        <v>36508894</v>
      </c>
      <c r="G294" s="29" t="s">
        <v>744</v>
      </c>
      <c r="H294" s="147" t="s">
        <v>359</v>
      </c>
      <c r="I294" s="120">
        <v>45692</v>
      </c>
      <c r="P294" s="134"/>
      <c r="R294" s="29" t="s">
        <v>428</v>
      </c>
    </row>
    <row r="295" spans="1:18" hidden="1">
      <c r="A295" s="29" t="s">
        <v>358</v>
      </c>
      <c r="B295" s="29"/>
      <c r="C295" s="29">
        <v>36508864</v>
      </c>
      <c r="G295" s="29" t="s">
        <v>744</v>
      </c>
      <c r="H295" s="147" t="s">
        <v>359</v>
      </c>
      <c r="I295" s="120">
        <v>45692</v>
      </c>
      <c r="P295" s="134"/>
      <c r="R295" s="29" t="s">
        <v>430</v>
      </c>
    </row>
    <row r="296" spans="1:18" hidden="1">
      <c r="A296" s="29" t="s">
        <v>210</v>
      </c>
      <c r="B296" s="29"/>
      <c r="C296" s="29">
        <v>36505090</v>
      </c>
      <c r="G296" s="29" t="s">
        <v>744</v>
      </c>
      <c r="H296" s="29" t="s">
        <v>235</v>
      </c>
      <c r="I296" s="120">
        <v>45692</v>
      </c>
      <c r="P296" s="134"/>
      <c r="R296" s="29" t="s">
        <v>804</v>
      </c>
    </row>
    <row r="297" spans="1:18" hidden="1">
      <c r="A297" s="29" t="s">
        <v>210</v>
      </c>
      <c r="B297" s="29"/>
      <c r="C297" s="29">
        <v>36505041</v>
      </c>
      <c r="G297" s="29" t="s">
        <v>744</v>
      </c>
      <c r="H297" s="29" t="s">
        <v>235</v>
      </c>
      <c r="I297" s="120">
        <v>45692</v>
      </c>
      <c r="P297" s="134"/>
      <c r="R297" s="29" t="s">
        <v>805</v>
      </c>
    </row>
    <row r="298" spans="1:18" hidden="1">
      <c r="A298" s="29" t="s">
        <v>210</v>
      </c>
      <c r="B298" s="29"/>
      <c r="C298" s="29">
        <v>36505003</v>
      </c>
      <c r="G298" s="29" t="s">
        <v>744</v>
      </c>
      <c r="H298" s="29" t="s">
        <v>235</v>
      </c>
      <c r="I298" s="120">
        <v>45692</v>
      </c>
      <c r="P298" s="134"/>
      <c r="R298" s="29" t="s">
        <v>806</v>
      </c>
    </row>
    <row r="299" spans="1:18" hidden="1">
      <c r="A299" s="29" t="s">
        <v>210</v>
      </c>
      <c r="B299" s="29"/>
      <c r="C299" s="29">
        <v>36504973</v>
      </c>
      <c r="G299" s="29" t="s">
        <v>744</v>
      </c>
      <c r="H299" s="29" t="s">
        <v>235</v>
      </c>
      <c r="I299" s="120">
        <v>45692</v>
      </c>
      <c r="P299" s="134"/>
      <c r="R299" s="29" t="s">
        <v>807</v>
      </c>
    </row>
    <row r="300" spans="1:18" hidden="1">
      <c r="A300" s="29" t="s">
        <v>210</v>
      </c>
      <c r="B300" s="29"/>
      <c r="C300" s="29">
        <v>36504920</v>
      </c>
      <c r="G300" s="29" t="s">
        <v>744</v>
      </c>
      <c r="H300" s="29" t="s">
        <v>235</v>
      </c>
      <c r="I300" s="120">
        <v>45692</v>
      </c>
      <c r="P300" s="134"/>
      <c r="R300" s="29" t="s">
        <v>808</v>
      </c>
    </row>
    <row r="301" spans="1:18" hidden="1">
      <c r="A301" s="29" t="s">
        <v>210</v>
      </c>
      <c r="B301" s="29"/>
      <c r="C301" s="29">
        <v>36504794</v>
      </c>
      <c r="G301" s="29" t="s">
        <v>744</v>
      </c>
      <c r="H301" s="29" t="s">
        <v>235</v>
      </c>
      <c r="I301" s="120">
        <v>45692</v>
      </c>
      <c r="P301" s="134"/>
      <c r="R301" s="29" t="s">
        <v>809</v>
      </c>
    </row>
    <row r="302" spans="1:18" hidden="1">
      <c r="A302" s="29" t="s">
        <v>358</v>
      </c>
      <c r="B302" s="29"/>
      <c r="C302" s="29">
        <v>36500830</v>
      </c>
      <c r="G302" s="29" t="s">
        <v>744</v>
      </c>
      <c r="H302" s="147" t="s">
        <v>359</v>
      </c>
      <c r="I302" s="120">
        <v>45692</v>
      </c>
      <c r="P302" s="134"/>
      <c r="R302" s="29" t="s">
        <v>810</v>
      </c>
    </row>
    <row r="303" spans="1:18" hidden="1">
      <c r="A303" s="29" t="s">
        <v>286</v>
      </c>
      <c r="B303" s="29"/>
      <c r="C303" s="29">
        <v>36500028</v>
      </c>
      <c r="G303" s="29" t="s">
        <v>744</v>
      </c>
      <c r="H303" s="29" t="s">
        <v>287</v>
      </c>
      <c r="I303" s="120">
        <v>45692</v>
      </c>
      <c r="P303" s="134"/>
      <c r="R303" s="29" t="s">
        <v>293</v>
      </c>
    </row>
    <row r="304" spans="1:18" hidden="1">
      <c r="A304" s="29" t="s">
        <v>286</v>
      </c>
      <c r="B304" s="29"/>
      <c r="C304" s="29">
        <v>36500027</v>
      </c>
      <c r="G304" s="29" t="s">
        <v>744</v>
      </c>
      <c r="H304" s="29" t="s">
        <v>287</v>
      </c>
      <c r="I304" s="120">
        <v>45692</v>
      </c>
      <c r="P304" s="134"/>
      <c r="R304" s="29" t="s">
        <v>294</v>
      </c>
    </row>
    <row r="305" spans="1:18" hidden="1">
      <c r="A305" s="29" t="s">
        <v>286</v>
      </c>
      <c r="B305" s="29"/>
      <c r="C305" s="29">
        <v>36500026</v>
      </c>
      <c r="G305" s="29" t="s">
        <v>744</v>
      </c>
      <c r="H305" s="29" t="s">
        <v>287</v>
      </c>
      <c r="I305" s="120">
        <v>45692</v>
      </c>
      <c r="P305" s="134"/>
      <c r="R305" s="29" t="s">
        <v>295</v>
      </c>
    </row>
    <row r="306" spans="1:18" hidden="1">
      <c r="A306" s="29" t="s">
        <v>286</v>
      </c>
      <c r="B306" s="29"/>
      <c r="C306" s="29">
        <v>36500024</v>
      </c>
      <c r="G306" s="29" t="s">
        <v>744</v>
      </c>
      <c r="H306" s="29" t="s">
        <v>287</v>
      </c>
      <c r="I306" s="120">
        <v>45692</v>
      </c>
      <c r="P306" s="134"/>
      <c r="R306" s="29" t="s">
        <v>296</v>
      </c>
    </row>
    <row r="307" spans="1:18" hidden="1">
      <c r="A307" s="29" t="s">
        <v>286</v>
      </c>
      <c r="B307" s="29"/>
      <c r="C307" s="29">
        <v>36500023</v>
      </c>
      <c r="G307" s="29" t="s">
        <v>744</v>
      </c>
      <c r="H307" s="29" t="s">
        <v>287</v>
      </c>
      <c r="I307" s="120">
        <v>45692</v>
      </c>
      <c r="P307" s="134"/>
      <c r="R307" s="29" t="s">
        <v>297</v>
      </c>
    </row>
    <row r="308" spans="1:18" hidden="1">
      <c r="A308" s="29" t="s">
        <v>286</v>
      </c>
      <c r="B308" s="29"/>
      <c r="C308" s="29">
        <v>36500022</v>
      </c>
      <c r="G308" s="29" t="s">
        <v>744</v>
      </c>
      <c r="H308" s="29" t="s">
        <v>287</v>
      </c>
      <c r="I308" s="120">
        <v>45692</v>
      </c>
      <c r="P308" s="134"/>
      <c r="R308" s="29" t="s">
        <v>298</v>
      </c>
    </row>
    <row r="309" spans="1:18" hidden="1">
      <c r="A309" s="29" t="s">
        <v>286</v>
      </c>
      <c r="B309" s="29"/>
      <c r="C309" s="29">
        <v>36500021</v>
      </c>
      <c r="G309" s="29" t="s">
        <v>744</v>
      </c>
      <c r="H309" s="29" t="s">
        <v>287</v>
      </c>
      <c r="I309" s="120">
        <v>45692</v>
      </c>
      <c r="P309" s="134"/>
      <c r="R309" s="29" t="s">
        <v>292</v>
      </c>
    </row>
    <row r="310" spans="1:18" hidden="1">
      <c r="A310" s="29" t="s">
        <v>286</v>
      </c>
      <c r="B310" s="29"/>
      <c r="C310" s="29">
        <v>36500020</v>
      </c>
      <c r="G310" s="29" t="s">
        <v>744</v>
      </c>
      <c r="H310" s="29" t="s">
        <v>287</v>
      </c>
      <c r="I310" s="120">
        <v>45692</v>
      </c>
      <c r="P310" s="134"/>
      <c r="R310" s="29" t="s">
        <v>291</v>
      </c>
    </row>
    <row r="311" spans="1:18" ht="201.75" hidden="1">
      <c r="A311" s="147" t="s">
        <v>358</v>
      </c>
      <c r="B311" s="147"/>
      <c r="C311" s="150">
        <v>36508864</v>
      </c>
      <c r="G311" s="29" t="s">
        <v>744</v>
      </c>
      <c r="H311" s="147" t="s">
        <v>359</v>
      </c>
      <c r="I311" s="148">
        <v>45693</v>
      </c>
      <c r="P311" s="134"/>
      <c r="R311" s="149" t="s">
        <v>811</v>
      </c>
    </row>
    <row r="312" spans="1:18" ht="216.75" hidden="1">
      <c r="A312" s="147" t="s">
        <v>358</v>
      </c>
      <c r="B312" s="147"/>
      <c r="C312" s="150">
        <v>36508894</v>
      </c>
      <c r="G312" s="29" t="s">
        <v>744</v>
      </c>
      <c r="H312" s="147" t="s">
        <v>359</v>
      </c>
      <c r="I312" s="148">
        <v>45693</v>
      </c>
      <c r="P312" s="134"/>
      <c r="R312" s="149" t="s">
        <v>812</v>
      </c>
    </row>
    <row r="313" spans="1:18" ht="201.75" hidden="1">
      <c r="A313" s="147" t="s">
        <v>358</v>
      </c>
      <c r="B313" s="147"/>
      <c r="C313" s="150">
        <v>36508918</v>
      </c>
      <c r="G313" s="29" t="s">
        <v>744</v>
      </c>
      <c r="H313" s="147" t="s">
        <v>359</v>
      </c>
      <c r="I313" s="148">
        <v>45693</v>
      </c>
      <c r="P313" s="134"/>
      <c r="R313" s="149" t="s">
        <v>813</v>
      </c>
    </row>
    <row r="314" spans="1:18" ht="201.75" hidden="1">
      <c r="A314" s="147" t="s">
        <v>358</v>
      </c>
      <c r="B314" s="147"/>
      <c r="C314" s="150">
        <v>36508939</v>
      </c>
      <c r="G314" s="29" t="s">
        <v>744</v>
      </c>
      <c r="H314" s="147" t="s">
        <v>359</v>
      </c>
      <c r="I314" s="148">
        <v>45693</v>
      </c>
      <c r="P314" s="134"/>
      <c r="R314" s="149" t="s">
        <v>814</v>
      </c>
    </row>
    <row r="315" spans="1:18" ht="201.75" hidden="1">
      <c r="A315" s="147" t="s">
        <v>358</v>
      </c>
      <c r="B315" s="147"/>
      <c r="C315" s="150">
        <v>36508971</v>
      </c>
      <c r="G315" s="29" t="s">
        <v>744</v>
      </c>
      <c r="H315" s="147" t="s">
        <v>359</v>
      </c>
      <c r="I315" s="148">
        <v>45693</v>
      </c>
      <c r="P315" s="134"/>
      <c r="R315" s="149" t="s">
        <v>815</v>
      </c>
    </row>
    <row r="316" spans="1:18" ht="216.75" hidden="1">
      <c r="A316" s="147" t="s">
        <v>358</v>
      </c>
      <c r="B316" s="147"/>
      <c r="C316" s="150">
        <v>36509009</v>
      </c>
      <c r="G316" s="29" t="s">
        <v>744</v>
      </c>
      <c r="H316" s="147" t="s">
        <v>359</v>
      </c>
      <c r="I316" s="148">
        <v>45693</v>
      </c>
      <c r="P316" s="134"/>
      <c r="R316" s="149" t="s">
        <v>816</v>
      </c>
    </row>
    <row r="317" spans="1:18" ht="201.75" hidden="1">
      <c r="A317" s="147" t="s">
        <v>358</v>
      </c>
      <c r="B317" s="147"/>
      <c r="C317" s="150">
        <v>36509029</v>
      </c>
      <c r="G317" s="29" t="s">
        <v>744</v>
      </c>
      <c r="H317" s="147" t="s">
        <v>359</v>
      </c>
      <c r="I317" s="148">
        <v>45693</v>
      </c>
      <c r="P317" s="134"/>
      <c r="R317" s="149" t="s">
        <v>817</v>
      </c>
    </row>
    <row r="318" spans="1:18" hidden="1">
      <c r="A318" s="147" t="s">
        <v>210</v>
      </c>
      <c r="B318" s="147"/>
      <c r="C318" s="150">
        <v>36504794</v>
      </c>
      <c r="G318" s="29" t="s">
        <v>744</v>
      </c>
      <c r="H318" s="29" t="s">
        <v>235</v>
      </c>
      <c r="I318" s="148">
        <v>45693</v>
      </c>
      <c r="P318" s="134"/>
      <c r="R318" s="149" t="s">
        <v>563</v>
      </c>
    </row>
    <row r="319" spans="1:18" hidden="1">
      <c r="A319" s="147" t="s">
        <v>210</v>
      </c>
      <c r="B319" s="147"/>
      <c r="C319" s="150">
        <v>36504920</v>
      </c>
      <c r="G319" s="29" t="s">
        <v>744</v>
      </c>
      <c r="H319" s="29" t="s">
        <v>235</v>
      </c>
      <c r="I319" s="148">
        <v>45693</v>
      </c>
      <c r="P319" s="134"/>
      <c r="R319" s="149" t="s">
        <v>564</v>
      </c>
    </row>
    <row r="320" spans="1:18" hidden="1">
      <c r="A320" s="147" t="s">
        <v>210</v>
      </c>
      <c r="B320" s="147"/>
      <c r="C320" s="150">
        <v>36504973</v>
      </c>
      <c r="G320" s="29" t="s">
        <v>744</v>
      </c>
      <c r="H320" s="29" t="s">
        <v>235</v>
      </c>
      <c r="I320" s="148">
        <v>45693</v>
      </c>
      <c r="P320" s="134"/>
      <c r="R320" s="149" t="s">
        <v>565</v>
      </c>
    </row>
    <row r="321" spans="1:18" hidden="1">
      <c r="A321" s="147" t="s">
        <v>210</v>
      </c>
      <c r="B321" s="147"/>
      <c r="C321" s="150">
        <v>36505003</v>
      </c>
      <c r="G321" s="29" t="s">
        <v>744</v>
      </c>
      <c r="H321" s="29" t="s">
        <v>235</v>
      </c>
      <c r="I321" s="148">
        <v>45693</v>
      </c>
      <c r="P321" s="134"/>
      <c r="R321" s="149" t="s">
        <v>566</v>
      </c>
    </row>
    <row r="322" spans="1:18" hidden="1">
      <c r="A322" s="147" t="s">
        <v>210</v>
      </c>
      <c r="B322" s="147"/>
      <c r="C322" s="150">
        <v>36505041</v>
      </c>
      <c r="G322" s="29" t="s">
        <v>744</v>
      </c>
      <c r="H322" s="29" t="s">
        <v>235</v>
      </c>
      <c r="I322" s="148">
        <v>45693</v>
      </c>
      <c r="P322" s="134"/>
      <c r="R322" s="149" t="s">
        <v>567</v>
      </c>
    </row>
    <row r="323" spans="1:18" hidden="1">
      <c r="A323" s="147" t="s">
        <v>210</v>
      </c>
      <c r="B323" s="147"/>
      <c r="C323" s="150">
        <v>36505090</v>
      </c>
      <c r="G323" s="29" t="s">
        <v>744</v>
      </c>
      <c r="H323" s="29" t="s">
        <v>235</v>
      </c>
      <c r="I323" s="148">
        <v>45693</v>
      </c>
      <c r="P323" s="134"/>
      <c r="R323" s="149" t="s">
        <v>568</v>
      </c>
    </row>
    <row r="324" spans="1:18" hidden="1">
      <c r="A324" s="29" t="s">
        <v>286</v>
      </c>
      <c r="B324" s="29"/>
      <c r="C324" s="29">
        <v>37508582</v>
      </c>
      <c r="G324" s="29" t="s">
        <v>744</v>
      </c>
      <c r="H324" s="29" t="s">
        <v>287</v>
      </c>
      <c r="I324" s="120">
        <v>45693</v>
      </c>
      <c r="P324" s="134"/>
      <c r="R324" s="29" t="s">
        <v>397</v>
      </c>
    </row>
    <row r="325" spans="1:18" hidden="1">
      <c r="A325" s="29" t="s">
        <v>286</v>
      </c>
      <c r="B325" s="29"/>
      <c r="C325" s="29">
        <v>37508534</v>
      </c>
      <c r="G325" s="29" t="s">
        <v>744</v>
      </c>
      <c r="H325" s="29" t="s">
        <v>287</v>
      </c>
      <c r="I325" s="120">
        <v>45693</v>
      </c>
      <c r="P325" s="134"/>
      <c r="R325" s="29" t="s">
        <v>399</v>
      </c>
    </row>
    <row r="326" spans="1:18" hidden="1">
      <c r="A326" s="29" t="s">
        <v>286</v>
      </c>
      <c r="B326" s="29"/>
      <c r="C326" s="29">
        <v>37508555</v>
      </c>
      <c r="G326" s="29" t="s">
        <v>744</v>
      </c>
      <c r="H326" s="29" t="s">
        <v>287</v>
      </c>
      <c r="I326" s="120">
        <v>45693</v>
      </c>
      <c r="P326" s="134"/>
      <c r="R326" s="29" t="s">
        <v>398</v>
      </c>
    </row>
    <row r="327" spans="1:18" hidden="1">
      <c r="A327" s="29" t="s">
        <v>286</v>
      </c>
      <c r="B327" s="29"/>
      <c r="C327" s="29">
        <v>37508444</v>
      </c>
      <c r="G327" s="29" t="s">
        <v>744</v>
      </c>
      <c r="H327" s="29" t="s">
        <v>287</v>
      </c>
      <c r="I327" s="120">
        <v>45693</v>
      </c>
      <c r="P327" s="134"/>
      <c r="R327" s="29" t="s">
        <v>401</v>
      </c>
    </row>
    <row r="328" spans="1:18" hidden="1">
      <c r="A328" s="29" t="s">
        <v>286</v>
      </c>
      <c r="B328" s="29"/>
      <c r="C328" s="29">
        <v>37508509</v>
      </c>
      <c r="G328" s="29" t="s">
        <v>744</v>
      </c>
      <c r="H328" s="29" t="s">
        <v>287</v>
      </c>
      <c r="I328" s="120">
        <v>45693</v>
      </c>
      <c r="P328" s="134"/>
      <c r="R328" s="29" t="s">
        <v>400</v>
      </c>
    </row>
    <row r="329" spans="1:18" hidden="1">
      <c r="A329" s="29" t="s">
        <v>286</v>
      </c>
      <c r="B329" s="29"/>
      <c r="C329" s="29">
        <v>37508419</v>
      </c>
      <c r="G329" s="29" t="s">
        <v>744</v>
      </c>
      <c r="H329" s="29" t="s">
        <v>287</v>
      </c>
      <c r="I329" s="120">
        <v>45693</v>
      </c>
      <c r="P329" s="134"/>
      <c r="R329" s="29" t="s">
        <v>402</v>
      </c>
    </row>
    <row r="330" spans="1:18" hidden="1">
      <c r="A330" s="29" t="s">
        <v>286</v>
      </c>
      <c r="B330" s="29"/>
      <c r="C330" s="29">
        <v>37508391</v>
      </c>
      <c r="G330" s="29" t="s">
        <v>744</v>
      </c>
      <c r="H330" s="29" t="s">
        <v>287</v>
      </c>
      <c r="I330" s="120">
        <v>45693</v>
      </c>
      <c r="P330" s="134"/>
      <c r="R330" s="29" t="s">
        <v>403</v>
      </c>
    </row>
    <row r="331" spans="1:18" hidden="1">
      <c r="A331" s="29" t="s">
        <v>286</v>
      </c>
      <c r="B331" s="29"/>
      <c r="C331" s="29">
        <v>37508358</v>
      </c>
      <c r="G331" s="29" t="s">
        <v>744</v>
      </c>
      <c r="H331" s="29" t="s">
        <v>287</v>
      </c>
      <c r="I331" s="120">
        <v>45693</v>
      </c>
      <c r="P331" s="134"/>
      <c r="R331" s="29" t="s">
        <v>404</v>
      </c>
    </row>
    <row r="332" spans="1:18" hidden="1">
      <c r="A332" s="29" t="s">
        <v>775</v>
      </c>
      <c r="B332" s="29"/>
      <c r="C332" s="29">
        <v>37504943</v>
      </c>
      <c r="G332" s="29" t="s">
        <v>744</v>
      </c>
      <c r="H332" s="29" t="s">
        <v>201</v>
      </c>
      <c r="I332" s="120">
        <v>45693</v>
      </c>
      <c r="P332" s="134"/>
      <c r="R332" s="29" t="s">
        <v>801</v>
      </c>
    </row>
    <row r="333" spans="1:18" hidden="1">
      <c r="A333" s="84" t="s">
        <v>608</v>
      </c>
      <c r="B333" s="84"/>
      <c r="C333" s="84">
        <v>34509810</v>
      </c>
      <c r="G333" s="84" t="s">
        <v>744</v>
      </c>
      <c r="H333" s="88" t="s">
        <v>278</v>
      </c>
      <c r="I333" s="85">
        <v>45691</v>
      </c>
      <c r="P333" s="134"/>
      <c r="R333" s="84" t="s">
        <v>609</v>
      </c>
    </row>
    <row r="334" spans="1:18" hidden="1">
      <c r="A334" s="84" t="s">
        <v>608</v>
      </c>
      <c r="B334" s="84"/>
      <c r="C334" s="84">
        <v>34509844</v>
      </c>
      <c r="G334" s="84" t="s">
        <v>744</v>
      </c>
      <c r="H334" s="88" t="s">
        <v>278</v>
      </c>
      <c r="I334" s="85">
        <v>45691</v>
      </c>
      <c r="P334" s="134"/>
      <c r="R334" s="84" t="s">
        <v>610</v>
      </c>
    </row>
    <row r="335" spans="1:18" hidden="1">
      <c r="A335" s="84" t="s">
        <v>608</v>
      </c>
      <c r="B335" s="84"/>
      <c r="C335" s="84">
        <v>34509930</v>
      </c>
      <c r="G335" s="84" t="s">
        <v>744</v>
      </c>
      <c r="H335" s="88" t="s">
        <v>278</v>
      </c>
      <c r="I335" s="85">
        <v>45691</v>
      </c>
      <c r="P335" s="134"/>
      <c r="R335" s="84" t="s">
        <v>611</v>
      </c>
    </row>
    <row r="336" spans="1:18" hidden="1">
      <c r="A336" s="84" t="s">
        <v>608</v>
      </c>
      <c r="B336" s="84"/>
      <c r="C336" s="84">
        <v>34509957</v>
      </c>
      <c r="G336" s="84" t="s">
        <v>744</v>
      </c>
      <c r="H336" s="88" t="s">
        <v>278</v>
      </c>
      <c r="I336" s="85">
        <v>45691</v>
      </c>
      <c r="P336" s="134"/>
      <c r="R336" s="84" t="s">
        <v>612</v>
      </c>
    </row>
    <row r="337" spans="1:19" hidden="1">
      <c r="A337" s="84" t="s">
        <v>277</v>
      </c>
      <c r="B337" s="84"/>
      <c r="C337" s="84">
        <v>18500302</v>
      </c>
      <c r="G337" s="84" t="s">
        <v>744</v>
      </c>
      <c r="H337" s="88" t="s">
        <v>278</v>
      </c>
      <c r="I337" s="85">
        <v>45675</v>
      </c>
      <c r="P337" s="134"/>
      <c r="R337" s="84" t="s">
        <v>601</v>
      </c>
    </row>
    <row r="338" spans="1:19" hidden="1">
      <c r="A338" s="84" t="s">
        <v>277</v>
      </c>
      <c r="B338" s="84"/>
      <c r="C338" s="84">
        <v>18500307</v>
      </c>
      <c r="G338" s="84" t="s">
        <v>744</v>
      </c>
      <c r="H338" s="88" t="s">
        <v>278</v>
      </c>
      <c r="I338" s="85">
        <v>45675</v>
      </c>
      <c r="P338" s="134"/>
      <c r="R338" s="84" t="s">
        <v>602</v>
      </c>
    </row>
    <row r="339" spans="1:19" hidden="1">
      <c r="A339" s="84" t="s">
        <v>277</v>
      </c>
      <c r="B339" s="84"/>
      <c r="C339" s="84">
        <v>18500310</v>
      </c>
      <c r="G339" s="84" t="s">
        <v>744</v>
      </c>
      <c r="H339" s="88" t="s">
        <v>278</v>
      </c>
      <c r="I339" s="85">
        <v>45675</v>
      </c>
      <c r="P339" s="134"/>
      <c r="R339" s="84" t="s">
        <v>603</v>
      </c>
    </row>
    <row r="340" spans="1:19" hidden="1">
      <c r="A340" s="84" t="s">
        <v>277</v>
      </c>
      <c r="B340" s="84"/>
      <c r="C340" s="84">
        <v>18500314</v>
      </c>
      <c r="G340" s="84" t="s">
        <v>744</v>
      </c>
      <c r="H340" s="88" t="s">
        <v>278</v>
      </c>
      <c r="I340" s="85">
        <v>45675</v>
      </c>
      <c r="P340" s="134"/>
      <c r="R340" s="84" t="s">
        <v>604</v>
      </c>
    </row>
    <row r="341" spans="1:19" hidden="1">
      <c r="A341" s="84" t="s">
        <v>277</v>
      </c>
      <c r="B341" s="84"/>
      <c r="C341" s="84">
        <v>18500316</v>
      </c>
      <c r="G341" s="84" t="s">
        <v>744</v>
      </c>
      <c r="H341" s="88" t="s">
        <v>278</v>
      </c>
      <c r="I341" s="85">
        <v>45675</v>
      </c>
      <c r="P341" s="134"/>
      <c r="R341" s="84" t="s">
        <v>605</v>
      </c>
    </row>
    <row r="342" spans="1:19" hidden="1">
      <c r="A342" s="84" t="s">
        <v>277</v>
      </c>
      <c r="B342" s="84"/>
      <c r="C342" s="84">
        <v>18500318</v>
      </c>
      <c r="G342" s="84" t="s">
        <v>744</v>
      </c>
      <c r="H342" s="88" t="s">
        <v>278</v>
      </c>
      <c r="I342" s="85">
        <v>45675</v>
      </c>
      <c r="P342" s="134"/>
      <c r="R342" s="84" t="s">
        <v>606</v>
      </c>
    </row>
    <row r="343" spans="1:19" hidden="1">
      <c r="A343" s="84" t="s">
        <v>277</v>
      </c>
      <c r="B343" s="84"/>
      <c r="C343" s="84">
        <v>18500320</v>
      </c>
      <c r="G343" s="84" t="s">
        <v>744</v>
      </c>
      <c r="H343" s="88" t="s">
        <v>278</v>
      </c>
      <c r="I343" s="85">
        <v>45675</v>
      </c>
      <c r="P343" s="134"/>
      <c r="R343" s="84" t="s">
        <v>607</v>
      </c>
    </row>
    <row r="344" spans="1:19" hidden="1">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hidden="1">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hidden="1">
      <c r="A346" s="29" t="s">
        <v>818</v>
      </c>
      <c r="B346" s="29"/>
      <c r="C346" s="29">
        <v>36504999</v>
      </c>
      <c r="G346" s="29" t="s">
        <v>169</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169</v>
      </c>
      <c r="H347" s="29" t="s">
        <v>236</v>
      </c>
      <c r="I347" s="120">
        <v>45692</v>
      </c>
      <c r="J347" s="29"/>
      <c r="K347" s="29"/>
      <c r="L347" s="29"/>
      <c r="M347" s="29"/>
      <c r="N347" s="29"/>
      <c r="O347" s="29"/>
      <c r="P347" s="29"/>
      <c r="Q347" s="81"/>
      <c r="R347" s="29"/>
      <c r="S347" s="123"/>
    </row>
    <row r="348" spans="1:19" ht="15.75" hidden="1">
      <c r="A348" s="29" t="s">
        <v>818</v>
      </c>
      <c r="B348" s="29"/>
      <c r="C348" s="121">
        <v>36505390</v>
      </c>
      <c r="G348" s="29" t="s">
        <v>169</v>
      </c>
      <c r="H348" s="29" t="s">
        <v>236</v>
      </c>
      <c r="I348" s="120">
        <v>45692</v>
      </c>
      <c r="J348" s="29"/>
      <c r="K348" s="29"/>
      <c r="L348" s="29"/>
      <c r="M348" s="29"/>
      <c r="N348" s="29"/>
      <c r="O348" s="29"/>
      <c r="P348" s="29"/>
      <c r="Q348" s="81"/>
      <c r="R348" s="29"/>
      <c r="S348" s="123"/>
    </row>
    <row r="349" spans="1:19" ht="15.75" hidden="1">
      <c r="A349" s="29" t="s">
        <v>818</v>
      </c>
      <c r="B349" s="29"/>
      <c r="C349" s="121">
        <v>36505446</v>
      </c>
      <c r="G349" s="29" t="s">
        <v>169</v>
      </c>
      <c r="H349" s="29" t="s">
        <v>236</v>
      </c>
      <c r="I349" s="120">
        <v>45692</v>
      </c>
      <c r="J349" s="29"/>
      <c r="K349" s="29"/>
      <c r="L349" s="29"/>
      <c r="M349" s="29"/>
      <c r="N349" s="29"/>
      <c r="O349" s="29"/>
      <c r="P349" s="29"/>
      <c r="Q349" s="81"/>
      <c r="R349" s="29"/>
      <c r="S349" s="123"/>
    </row>
    <row r="350" spans="1:19" ht="15.75" hidden="1">
      <c r="A350" s="29" t="s">
        <v>818</v>
      </c>
      <c r="B350" s="29"/>
      <c r="C350" s="121">
        <v>36505501</v>
      </c>
      <c r="G350" s="29" t="s">
        <v>169</v>
      </c>
      <c r="H350" s="29" t="s">
        <v>236</v>
      </c>
      <c r="I350" s="120">
        <v>45692</v>
      </c>
      <c r="J350" s="29"/>
      <c r="K350" s="29"/>
      <c r="L350" s="29"/>
      <c r="M350" s="29"/>
      <c r="N350" s="29"/>
      <c r="O350" s="29"/>
      <c r="P350" s="29"/>
      <c r="Q350" s="81"/>
      <c r="R350" s="29"/>
      <c r="S350" s="123"/>
    </row>
    <row r="351" spans="1:19" ht="15.75" hidden="1">
      <c r="A351" s="29" t="s">
        <v>818</v>
      </c>
      <c r="B351" s="29"/>
      <c r="C351" s="121">
        <v>36504194</v>
      </c>
      <c r="G351" s="29" t="s">
        <v>169</v>
      </c>
      <c r="H351" s="29" t="s">
        <v>236</v>
      </c>
      <c r="I351" s="120">
        <v>45692</v>
      </c>
      <c r="J351" s="29"/>
      <c r="K351" s="29"/>
      <c r="L351" s="29"/>
      <c r="M351" s="29"/>
      <c r="N351" s="29"/>
      <c r="O351" s="29"/>
      <c r="P351" s="29"/>
      <c r="Q351" s="81"/>
      <c r="R351" s="29"/>
      <c r="S351" s="123"/>
    </row>
    <row r="352" spans="1:19" ht="15.75" hidden="1">
      <c r="A352" s="29" t="s">
        <v>818</v>
      </c>
      <c r="B352" s="29"/>
      <c r="C352" s="121">
        <v>36504399</v>
      </c>
      <c r="G352" s="29" t="s">
        <v>169</v>
      </c>
      <c r="H352" s="29" t="s">
        <v>236</v>
      </c>
      <c r="I352" s="120">
        <v>45692</v>
      </c>
      <c r="J352" s="29"/>
      <c r="K352" s="29"/>
      <c r="L352" s="29"/>
      <c r="M352" s="29"/>
      <c r="N352" s="29"/>
      <c r="O352" s="29"/>
      <c r="P352" s="29"/>
      <c r="Q352" s="81"/>
      <c r="R352" s="29"/>
      <c r="S352" s="123"/>
    </row>
    <row r="353" spans="1:19" ht="15.75" hidden="1">
      <c r="A353" s="29" t="s">
        <v>818</v>
      </c>
      <c r="B353" s="29"/>
      <c r="C353" s="121">
        <v>36504493</v>
      </c>
      <c r="G353" s="29" t="s">
        <v>169</v>
      </c>
      <c r="H353" s="29" t="s">
        <v>236</v>
      </c>
      <c r="I353" s="120">
        <v>45692</v>
      </c>
      <c r="J353" s="29"/>
      <c r="K353" s="29"/>
      <c r="L353" s="29"/>
      <c r="M353" s="29"/>
      <c r="N353" s="29"/>
      <c r="O353" s="29"/>
      <c r="P353" s="29"/>
      <c r="Q353" s="81"/>
      <c r="R353" s="29"/>
      <c r="S353" s="123"/>
    </row>
    <row r="354" spans="1:19" ht="15.75" hidden="1">
      <c r="A354" s="29" t="s">
        <v>818</v>
      </c>
      <c r="B354" s="29"/>
      <c r="C354" s="121">
        <v>36504549</v>
      </c>
      <c r="G354" s="29" t="s">
        <v>169</v>
      </c>
      <c r="H354" s="29" t="s">
        <v>236</v>
      </c>
      <c r="I354" s="120">
        <v>45692</v>
      </c>
      <c r="J354" s="29"/>
      <c r="K354" s="29"/>
      <c r="L354" s="29"/>
      <c r="M354" s="29"/>
      <c r="N354" s="29"/>
      <c r="O354" s="29"/>
      <c r="P354" s="29"/>
      <c r="Q354" s="81"/>
      <c r="R354" s="29"/>
      <c r="S354" s="123"/>
    </row>
    <row r="355" spans="1:19" ht="15.75" hidden="1">
      <c r="A355" s="29" t="s">
        <v>818</v>
      </c>
      <c r="B355" s="29"/>
      <c r="C355" s="121">
        <v>36504718</v>
      </c>
      <c r="G355" s="29" t="s">
        <v>169</v>
      </c>
      <c r="H355" s="29" t="s">
        <v>236</v>
      </c>
      <c r="I355" s="120">
        <v>45692</v>
      </c>
      <c r="J355" s="29"/>
      <c r="K355" s="29"/>
      <c r="L355" s="29"/>
      <c r="M355" s="29"/>
      <c r="N355" s="29"/>
      <c r="O355" s="29"/>
      <c r="P355" s="29"/>
      <c r="Q355" s="81"/>
      <c r="R355" s="29"/>
      <c r="S355" s="123"/>
    </row>
    <row r="356" spans="1:19" hidden="1">
      <c r="A356" s="29" t="s">
        <v>818</v>
      </c>
      <c r="B356" s="29"/>
      <c r="C356" s="29">
        <v>36505051</v>
      </c>
      <c r="G356" s="29" t="s">
        <v>169</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169</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169</v>
      </c>
      <c r="H358" s="29" t="s">
        <v>406</v>
      </c>
      <c r="I358" s="120">
        <v>45692</v>
      </c>
      <c r="J358" s="29"/>
      <c r="K358" s="29"/>
      <c r="L358" s="29"/>
      <c r="M358" s="29"/>
      <c r="N358" s="29"/>
      <c r="O358" s="29"/>
      <c r="P358" s="29"/>
      <c r="Q358" s="81"/>
      <c r="R358" s="29" t="s">
        <v>822</v>
      </c>
      <c r="S358" s="123"/>
    </row>
    <row r="359" spans="1:19" hidden="1">
      <c r="A359" s="29" t="s">
        <v>818</v>
      </c>
      <c r="B359" s="29"/>
      <c r="C359" s="29">
        <v>36505501</v>
      </c>
      <c r="G359" s="29" t="s">
        <v>169</v>
      </c>
      <c r="H359" s="29" t="s">
        <v>406</v>
      </c>
      <c r="I359" s="120">
        <v>45692</v>
      </c>
      <c r="J359" s="29"/>
      <c r="K359" s="29"/>
      <c r="L359" s="29"/>
      <c r="M359" s="29"/>
      <c r="N359" s="29"/>
      <c r="O359" s="29"/>
      <c r="P359" s="29"/>
      <c r="Q359" s="81"/>
      <c r="R359" s="29" t="s">
        <v>823</v>
      </c>
      <c r="S359" s="123"/>
    </row>
    <row r="360" spans="1:19" hidden="1">
      <c r="A360" s="29" t="s">
        <v>818</v>
      </c>
      <c r="B360" s="29"/>
      <c r="C360" s="29">
        <v>36505446</v>
      </c>
      <c r="G360" s="29" t="s">
        <v>169</v>
      </c>
      <c r="H360" s="29" t="s">
        <v>406</v>
      </c>
      <c r="I360" s="120">
        <v>45692</v>
      </c>
      <c r="J360" s="29"/>
      <c r="K360" s="29"/>
      <c r="L360" s="29"/>
      <c r="M360" s="29"/>
      <c r="N360" s="29"/>
      <c r="O360" s="29"/>
      <c r="P360" s="29"/>
      <c r="Q360" s="81"/>
      <c r="R360" s="29" t="s">
        <v>824</v>
      </c>
      <c r="S360" s="123"/>
    </row>
    <row r="361" spans="1:19" hidden="1">
      <c r="A361" s="29" t="s">
        <v>818</v>
      </c>
      <c r="B361" s="29"/>
      <c r="C361" s="29">
        <v>36505390</v>
      </c>
      <c r="G361" s="29" t="s">
        <v>169</v>
      </c>
      <c r="H361" s="29" t="s">
        <v>406</v>
      </c>
      <c r="I361" s="120">
        <v>45692</v>
      </c>
      <c r="J361" s="29"/>
      <c r="K361" s="29"/>
      <c r="L361" s="29"/>
      <c r="M361" s="29"/>
      <c r="N361" s="29"/>
      <c r="O361" s="29"/>
      <c r="P361" s="29"/>
      <c r="Q361" s="81"/>
      <c r="R361" s="29" t="s">
        <v>824</v>
      </c>
      <c r="S361" s="123"/>
    </row>
    <row r="362" spans="1:19" hidden="1">
      <c r="A362" s="29" t="s">
        <v>818</v>
      </c>
      <c r="B362" s="29"/>
      <c r="C362" s="29">
        <v>36505340</v>
      </c>
      <c r="G362" s="29" t="s">
        <v>169</v>
      </c>
      <c r="H362" s="29" t="s">
        <v>406</v>
      </c>
      <c r="I362" s="120">
        <v>45692</v>
      </c>
      <c r="J362" s="29"/>
      <c r="K362" s="29"/>
      <c r="L362" s="29"/>
      <c r="M362" s="29"/>
      <c r="N362" s="29"/>
      <c r="O362" s="29"/>
      <c r="P362" s="29"/>
      <c r="Q362" s="81"/>
      <c r="R362" s="29" t="s">
        <v>825</v>
      </c>
      <c r="S362" s="123"/>
    </row>
    <row r="363" spans="1:19" hidden="1">
      <c r="A363" s="29" t="s">
        <v>818</v>
      </c>
      <c r="B363" s="29"/>
      <c r="C363" s="29">
        <v>36505299</v>
      </c>
      <c r="G363" s="29" t="s">
        <v>169</v>
      </c>
      <c r="H363" s="29" t="s">
        <v>406</v>
      </c>
      <c r="I363" s="120">
        <v>45692</v>
      </c>
      <c r="J363" s="29"/>
      <c r="K363" s="29"/>
      <c r="L363" s="29"/>
      <c r="M363" s="29"/>
      <c r="N363" s="29"/>
      <c r="O363" s="29"/>
      <c r="P363" s="29"/>
      <c r="Q363" s="81"/>
      <c r="R363" s="29" t="s">
        <v>826</v>
      </c>
      <c r="S363" s="123"/>
    </row>
    <row r="364" spans="1:19" hidden="1">
      <c r="A364" s="29" t="s">
        <v>818</v>
      </c>
      <c r="B364" s="29"/>
      <c r="C364" s="29">
        <v>36505254</v>
      </c>
      <c r="G364" s="29" t="s">
        <v>169</v>
      </c>
      <c r="H364" s="29" t="s">
        <v>406</v>
      </c>
      <c r="I364" s="120">
        <v>45692</v>
      </c>
      <c r="J364" s="29"/>
      <c r="K364" s="29"/>
      <c r="L364" s="29"/>
      <c r="M364" s="29"/>
      <c r="N364" s="29"/>
      <c r="O364" s="29"/>
      <c r="P364" s="29"/>
      <c r="Q364" s="81"/>
      <c r="R364" s="29" t="s">
        <v>827</v>
      </c>
      <c r="S364" s="123"/>
    </row>
    <row r="365" spans="1:19" hidden="1">
      <c r="A365" s="29" t="s">
        <v>818</v>
      </c>
      <c r="B365" s="29"/>
      <c r="C365" s="29">
        <v>36505184</v>
      </c>
      <c r="G365" s="29" t="s">
        <v>169</v>
      </c>
      <c r="H365" s="29" t="s">
        <v>406</v>
      </c>
      <c r="I365" s="120">
        <v>45692</v>
      </c>
      <c r="J365" s="29"/>
      <c r="K365" s="29"/>
      <c r="L365" s="29"/>
      <c r="M365" s="29"/>
      <c r="N365" s="29"/>
      <c r="O365" s="29"/>
      <c r="P365" s="29"/>
      <c r="Q365" s="81"/>
      <c r="R365" s="29" t="s">
        <v>828</v>
      </c>
      <c r="S365" s="123"/>
    </row>
    <row r="366" spans="1:19" ht="15.75" hidden="1">
      <c r="A366" s="29" t="s">
        <v>818</v>
      </c>
      <c r="B366" s="29"/>
      <c r="C366" s="121">
        <v>36504303</v>
      </c>
      <c r="G366" s="29" t="s">
        <v>169</v>
      </c>
      <c r="H366" s="29" t="s">
        <v>236</v>
      </c>
      <c r="I366" s="120">
        <v>45692</v>
      </c>
      <c r="J366" s="29"/>
      <c r="P366" s="134"/>
      <c r="R366" s="29"/>
    </row>
    <row r="367" spans="1:19" ht="15.75" hidden="1">
      <c r="A367" s="29" t="s">
        <v>818</v>
      </c>
      <c r="B367" s="29"/>
      <c r="C367" s="121">
        <v>36504399</v>
      </c>
      <c r="G367" s="29" t="s">
        <v>169</v>
      </c>
      <c r="H367" s="29" t="s">
        <v>236</v>
      </c>
      <c r="I367" s="120">
        <v>45692</v>
      </c>
      <c r="J367" s="29"/>
      <c r="P367" s="134"/>
      <c r="R367" s="29"/>
    </row>
    <row r="368" spans="1:19" ht="15.75" hidden="1">
      <c r="A368" s="29" t="s">
        <v>818</v>
      </c>
      <c r="B368" s="29"/>
      <c r="C368" s="121">
        <v>36504493</v>
      </c>
      <c r="G368" s="29" t="s">
        <v>169</v>
      </c>
      <c r="H368" s="29" t="s">
        <v>236</v>
      </c>
      <c r="I368" s="120">
        <v>45692</v>
      </c>
      <c r="J368" s="29"/>
      <c r="P368" s="134"/>
      <c r="R368" s="29"/>
    </row>
    <row r="369" spans="1:18" ht="15.75" hidden="1">
      <c r="A369" s="29" t="s">
        <v>818</v>
      </c>
      <c r="B369" s="29"/>
      <c r="C369" s="121">
        <v>36504549</v>
      </c>
      <c r="G369" s="29" t="s">
        <v>169</v>
      </c>
      <c r="H369" s="29" t="s">
        <v>236</v>
      </c>
      <c r="I369" s="120">
        <v>45692</v>
      </c>
      <c r="J369" s="29"/>
      <c r="P369" s="134"/>
      <c r="R369" s="29"/>
    </row>
    <row r="370" spans="1:18" ht="15.75" hidden="1">
      <c r="A370" s="29" t="s">
        <v>818</v>
      </c>
      <c r="B370" s="29"/>
      <c r="C370" s="121">
        <v>36504718</v>
      </c>
      <c r="G370" s="29" t="s">
        <v>169</v>
      </c>
      <c r="H370" s="29" t="s">
        <v>236</v>
      </c>
      <c r="I370" s="120">
        <v>45692</v>
      </c>
      <c r="J370" s="29"/>
      <c r="P370" s="134"/>
      <c r="R370" s="29"/>
    </row>
    <row r="371" spans="1:18" ht="15.75" hidden="1">
      <c r="A371" s="29" t="s">
        <v>818</v>
      </c>
      <c r="B371" s="29"/>
      <c r="C371" s="121">
        <v>36504907</v>
      </c>
      <c r="G371" s="29" t="s">
        <v>169</v>
      </c>
      <c r="H371" s="29" t="s">
        <v>236</v>
      </c>
      <c r="I371" s="120">
        <v>45692</v>
      </c>
      <c r="J371" s="29"/>
      <c r="P371" s="134"/>
      <c r="R371" s="29"/>
    </row>
    <row r="372" spans="1:18" hidden="1">
      <c r="A372" s="29" t="s">
        <v>818</v>
      </c>
      <c r="B372" s="29"/>
      <c r="C372" s="29">
        <v>36504999</v>
      </c>
      <c r="G372" s="29" t="s">
        <v>169</v>
      </c>
      <c r="H372" s="29" t="s">
        <v>819</v>
      </c>
      <c r="I372" s="120">
        <v>45692</v>
      </c>
      <c r="J372" s="29"/>
      <c r="P372" s="134"/>
      <c r="R372" s="29" t="s">
        <v>820</v>
      </c>
    </row>
    <row r="373" spans="1:18" hidden="1">
      <c r="A373" s="29" t="s">
        <v>818</v>
      </c>
      <c r="B373" s="29"/>
      <c r="C373" s="29">
        <v>36505051</v>
      </c>
      <c r="G373" s="29" t="s">
        <v>169</v>
      </c>
      <c r="H373" s="29" t="s">
        <v>819</v>
      </c>
      <c r="I373" s="120">
        <v>45692</v>
      </c>
      <c r="J373" s="29"/>
      <c r="P373" s="134"/>
      <c r="R373" s="29" t="s">
        <v>821</v>
      </c>
    </row>
    <row r="374" spans="1:18" hidden="1">
      <c r="A374" s="29" t="s">
        <v>818</v>
      </c>
      <c r="B374" s="29"/>
      <c r="C374" s="29">
        <v>36505051</v>
      </c>
      <c r="G374" s="29" t="s">
        <v>169</v>
      </c>
      <c r="H374" s="29" t="s">
        <v>819</v>
      </c>
      <c r="I374" s="120">
        <v>45692</v>
      </c>
      <c r="J374" s="29"/>
      <c r="P374" s="134"/>
      <c r="R374" s="29" t="s">
        <v>821</v>
      </c>
    </row>
    <row r="375" spans="1:18" hidden="1">
      <c r="A375" s="29" t="s">
        <v>818</v>
      </c>
      <c r="B375" s="29"/>
      <c r="C375" s="29">
        <v>36505123</v>
      </c>
      <c r="G375" s="29" t="s">
        <v>169</v>
      </c>
      <c r="H375" s="29" t="s">
        <v>819</v>
      </c>
      <c r="I375" s="120">
        <v>45694</v>
      </c>
      <c r="J375" s="29"/>
      <c r="P375" s="134"/>
      <c r="R375" s="29" t="s">
        <v>829</v>
      </c>
    </row>
    <row r="376" spans="1:18" hidden="1">
      <c r="A376" s="29" t="s">
        <v>818</v>
      </c>
      <c r="B376" s="29"/>
      <c r="C376" s="29">
        <v>36505184</v>
      </c>
      <c r="G376" s="29" t="s">
        <v>169</v>
      </c>
      <c r="H376" s="29" t="s">
        <v>406</v>
      </c>
      <c r="I376" s="120">
        <v>45692</v>
      </c>
      <c r="J376" s="29"/>
      <c r="P376" s="134"/>
      <c r="R376" s="29" t="s">
        <v>828</v>
      </c>
    </row>
    <row r="377" spans="1:18" hidden="1">
      <c r="A377" s="29" t="s">
        <v>818</v>
      </c>
      <c r="B377" s="29"/>
      <c r="C377" s="29">
        <v>36505254</v>
      </c>
      <c r="G377" s="29" t="s">
        <v>169</v>
      </c>
      <c r="H377" s="29" t="s">
        <v>406</v>
      </c>
      <c r="I377" s="120">
        <v>45692</v>
      </c>
      <c r="J377" s="29"/>
      <c r="P377" s="134"/>
      <c r="R377" s="29" t="s">
        <v>827</v>
      </c>
    </row>
    <row r="378" spans="1:18" hidden="1">
      <c r="A378" s="29" t="s">
        <v>818</v>
      </c>
      <c r="B378" s="29"/>
      <c r="C378" s="29">
        <v>36505299</v>
      </c>
      <c r="G378" s="29" t="s">
        <v>169</v>
      </c>
      <c r="H378" s="29" t="s">
        <v>406</v>
      </c>
      <c r="I378" s="120">
        <v>45692</v>
      </c>
      <c r="J378" s="29"/>
      <c r="P378" s="134"/>
      <c r="R378" s="29" t="s">
        <v>826</v>
      </c>
    </row>
    <row r="379" spans="1:18" ht="15.75" hidden="1">
      <c r="A379" s="29" t="s">
        <v>818</v>
      </c>
      <c r="B379" s="29"/>
      <c r="C379" s="121">
        <v>36505340</v>
      </c>
      <c r="G379" s="29" t="s">
        <v>169</v>
      </c>
      <c r="H379" s="29" t="s">
        <v>236</v>
      </c>
      <c r="I379" s="120">
        <v>45692</v>
      </c>
      <c r="J379" s="29"/>
      <c r="P379" s="134"/>
      <c r="R379" s="29"/>
    </row>
    <row r="380" spans="1:18" hidden="1">
      <c r="A380" s="29" t="s">
        <v>818</v>
      </c>
      <c r="B380" s="29"/>
      <c r="C380" s="29">
        <v>36505340</v>
      </c>
      <c r="G380" s="29" t="s">
        <v>169</v>
      </c>
      <c r="H380" s="29" t="s">
        <v>406</v>
      </c>
      <c r="I380" s="120">
        <v>45692</v>
      </c>
      <c r="J380" s="29"/>
      <c r="P380" s="134"/>
      <c r="R380" s="29" t="s">
        <v>825</v>
      </c>
    </row>
    <row r="381" spans="1:18" ht="15.75" hidden="1">
      <c r="A381" s="29" t="s">
        <v>818</v>
      </c>
      <c r="B381" s="29"/>
      <c r="C381" s="121">
        <v>36505390</v>
      </c>
      <c r="G381" s="29" t="s">
        <v>169</v>
      </c>
      <c r="H381" s="29" t="s">
        <v>236</v>
      </c>
      <c r="I381" s="120">
        <v>45692</v>
      </c>
      <c r="J381" s="29"/>
      <c r="P381" s="134"/>
      <c r="R381" s="29"/>
    </row>
    <row r="382" spans="1:18" hidden="1">
      <c r="A382" s="29" t="s">
        <v>818</v>
      </c>
      <c r="B382" s="29"/>
      <c r="C382" s="29">
        <v>36505390</v>
      </c>
      <c r="G382" s="29" t="s">
        <v>169</v>
      </c>
      <c r="H382" s="29" t="s">
        <v>406</v>
      </c>
      <c r="I382" s="120">
        <v>45692</v>
      </c>
      <c r="J382" s="29"/>
      <c r="P382" s="134"/>
      <c r="R382" s="29" t="s">
        <v>824</v>
      </c>
    </row>
    <row r="383" spans="1:18" ht="15.75" hidden="1">
      <c r="A383" s="29" t="s">
        <v>818</v>
      </c>
      <c r="B383" s="29"/>
      <c r="C383" s="121">
        <v>36505446</v>
      </c>
      <c r="G383" s="29" t="s">
        <v>169</v>
      </c>
      <c r="H383" s="29" t="s">
        <v>236</v>
      </c>
      <c r="I383" s="120">
        <v>45692</v>
      </c>
      <c r="J383" s="29"/>
      <c r="P383" s="134"/>
      <c r="R383" s="29"/>
    </row>
    <row r="384" spans="1:18" hidden="1">
      <c r="A384" s="29" t="s">
        <v>818</v>
      </c>
      <c r="B384" s="29"/>
      <c r="C384" s="29">
        <v>36505446</v>
      </c>
      <c r="G384" s="29" t="s">
        <v>169</v>
      </c>
      <c r="H384" s="29" t="s">
        <v>406</v>
      </c>
      <c r="I384" s="120">
        <v>45692</v>
      </c>
      <c r="J384" s="29"/>
      <c r="P384" s="134"/>
      <c r="R384" s="29" t="s">
        <v>824</v>
      </c>
    </row>
    <row r="385" spans="1:19" ht="15.75" hidden="1">
      <c r="A385" s="29" t="s">
        <v>818</v>
      </c>
      <c r="B385" s="29"/>
      <c r="C385" s="121">
        <v>36505501</v>
      </c>
      <c r="G385" s="29" t="s">
        <v>169</v>
      </c>
      <c r="H385" s="29" t="s">
        <v>236</v>
      </c>
      <c r="I385" s="120">
        <v>45692</v>
      </c>
      <c r="J385" s="29"/>
      <c r="P385" s="134"/>
      <c r="R385" s="29"/>
    </row>
    <row r="386" spans="1:19" hidden="1">
      <c r="A386" s="29" t="s">
        <v>818</v>
      </c>
      <c r="B386" s="29"/>
      <c r="C386" s="29">
        <v>36505501</v>
      </c>
      <c r="G386" s="29" t="s">
        <v>169</v>
      </c>
      <c r="H386" s="29" t="s">
        <v>406</v>
      </c>
      <c r="I386" s="120">
        <v>45692</v>
      </c>
      <c r="J386" s="29"/>
      <c r="P386" s="134"/>
      <c r="R386" s="29" t="s">
        <v>823</v>
      </c>
    </row>
    <row r="387" spans="1:19" hidden="1">
      <c r="A387" s="29" t="s">
        <v>818</v>
      </c>
      <c r="B387" s="29"/>
      <c r="C387" s="29">
        <v>36505123</v>
      </c>
      <c r="G387" s="29" t="s">
        <v>169</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169</v>
      </c>
      <c r="H388" s="29" t="s">
        <v>406</v>
      </c>
      <c r="I388" s="120">
        <v>45692</v>
      </c>
      <c r="J388" s="29"/>
      <c r="P388" s="134"/>
      <c r="R388" s="29" t="s">
        <v>822</v>
      </c>
    </row>
    <row r="389" spans="1:19" hidden="1">
      <c r="A389" s="41" t="s">
        <v>740</v>
      </c>
      <c r="B389" s="41"/>
      <c r="C389" s="41">
        <v>50507785</v>
      </c>
      <c r="G389" s="29" t="s">
        <v>169</v>
      </c>
      <c r="H389" s="29" t="s">
        <v>77</v>
      </c>
      <c r="I389" s="120">
        <v>45707</v>
      </c>
      <c r="J389" s="29"/>
      <c r="P389" s="134"/>
      <c r="R389" s="41" t="s">
        <v>830</v>
      </c>
    </row>
    <row r="390" spans="1:19" hidden="1">
      <c r="A390" s="41" t="s">
        <v>740</v>
      </c>
      <c r="B390" s="41"/>
      <c r="C390" s="41">
        <v>50507819</v>
      </c>
      <c r="G390" s="29" t="s">
        <v>169</v>
      </c>
      <c r="H390" s="29" t="s">
        <v>77</v>
      </c>
      <c r="I390" s="120">
        <v>45707</v>
      </c>
      <c r="J390" s="29"/>
      <c r="P390" s="134"/>
      <c r="R390" s="41" t="s">
        <v>831</v>
      </c>
    </row>
    <row r="391" spans="1:19" hidden="1">
      <c r="A391" s="41" t="s">
        <v>740</v>
      </c>
      <c r="B391" s="41"/>
      <c r="C391" s="41">
        <v>50507838</v>
      </c>
      <c r="G391" s="29" t="s">
        <v>169</v>
      </c>
      <c r="H391" s="29" t="s">
        <v>77</v>
      </c>
      <c r="I391" s="120">
        <v>45707</v>
      </c>
      <c r="J391" s="29"/>
      <c r="P391" s="134"/>
      <c r="R391" s="41" t="s">
        <v>832</v>
      </c>
    </row>
    <row r="392" spans="1:19" hidden="1">
      <c r="A392" s="41" t="s">
        <v>740</v>
      </c>
      <c r="B392" s="41"/>
      <c r="C392" s="41">
        <v>50507640</v>
      </c>
      <c r="G392" s="29" t="s">
        <v>169</v>
      </c>
      <c r="H392" s="29" t="s">
        <v>77</v>
      </c>
      <c r="I392" s="120">
        <v>45707</v>
      </c>
      <c r="J392" s="29"/>
      <c r="P392" s="134"/>
      <c r="R392" s="41" t="s">
        <v>833</v>
      </c>
    </row>
    <row r="393" spans="1:19" hidden="1">
      <c r="A393" s="41" t="s">
        <v>740</v>
      </c>
      <c r="B393" s="41"/>
      <c r="C393" s="41">
        <v>50507678</v>
      </c>
      <c r="G393" s="29" t="s">
        <v>169</v>
      </c>
      <c r="H393" s="29" t="s">
        <v>77</v>
      </c>
      <c r="I393" s="120">
        <v>45707</v>
      </c>
      <c r="J393" s="29"/>
      <c r="P393" s="134"/>
      <c r="R393" s="41" t="s">
        <v>834</v>
      </c>
    </row>
    <row r="394" spans="1:19" hidden="1">
      <c r="A394" s="41" t="s">
        <v>740</v>
      </c>
      <c r="B394" s="41"/>
      <c r="C394" s="41">
        <v>50507713</v>
      </c>
      <c r="G394" s="29" t="s">
        <v>169</v>
      </c>
      <c r="H394" s="29" t="s">
        <v>77</v>
      </c>
      <c r="I394" s="120">
        <v>45707</v>
      </c>
      <c r="J394" s="29"/>
      <c r="P394" s="134"/>
      <c r="R394" s="41" t="s">
        <v>835</v>
      </c>
    </row>
    <row r="395" spans="1:19" hidden="1">
      <c r="A395" s="41" t="s">
        <v>740</v>
      </c>
      <c r="B395" s="41"/>
      <c r="C395" s="41">
        <v>50507757</v>
      </c>
      <c r="G395" s="29" t="s">
        <v>169</v>
      </c>
      <c r="H395" s="29" t="s">
        <v>77</v>
      </c>
      <c r="I395" s="120">
        <v>45707</v>
      </c>
      <c r="J395" s="29"/>
      <c r="P395" s="134"/>
      <c r="R395" s="41" t="s">
        <v>836</v>
      </c>
    </row>
    <row r="396" spans="1:19" hidden="1">
      <c r="A396" s="41" t="s">
        <v>740</v>
      </c>
      <c r="B396" s="41"/>
      <c r="C396" s="41">
        <v>50507609</v>
      </c>
      <c r="G396" s="29" t="s">
        <v>169</v>
      </c>
      <c r="H396" s="29" t="s">
        <v>431</v>
      </c>
      <c r="I396" s="42">
        <v>45707</v>
      </c>
      <c r="P396" s="134"/>
      <c r="R396" s="41" t="s">
        <v>741</v>
      </c>
    </row>
    <row r="397" spans="1:19" hidden="1">
      <c r="A397" s="41" t="s">
        <v>740</v>
      </c>
      <c r="B397" s="41"/>
      <c r="C397" s="41">
        <v>50507859</v>
      </c>
      <c r="G397" s="29" t="s">
        <v>169</v>
      </c>
      <c r="H397" s="29" t="s">
        <v>431</v>
      </c>
      <c r="I397" s="42">
        <v>45707</v>
      </c>
      <c r="P397" s="134"/>
      <c r="R397" s="41" t="s">
        <v>742</v>
      </c>
    </row>
    <row r="398" spans="1:19" hidden="1">
      <c r="A398" s="41" t="s">
        <v>740</v>
      </c>
      <c r="B398" s="41"/>
      <c r="C398" s="41">
        <v>50507785</v>
      </c>
      <c r="G398" s="29" t="s">
        <v>169</v>
      </c>
      <c r="H398" s="29" t="s">
        <v>431</v>
      </c>
      <c r="I398" s="42">
        <v>45707</v>
      </c>
      <c r="P398" s="134"/>
      <c r="R398" s="41" t="s">
        <v>830</v>
      </c>
    </row>
    <row r="399" spans="1:19" hidden="1">
      <c r="A399" s="41" t="s">
        <v>740</v>
      </c>
      <c r="B399" s="41"/>
      <c r="C399" s="41">
        <v>50507819</v>
      </c>
      <c r="G399" s="29" t="s">
        <v>169</v>
      </c>
      <c r="H399" s="29" t="s">
        <v>431</v>
      </c>
      <c r="I399" s="42">
        <v>45707</v>
      </c>
      <c r="P399" s="134"/>
      <c r="R399" s="41" t="s">
        <v>831</v>
      </c>
    </row>
    <row r="400" spans="1:19" hidden="1">
      <c r="A400" s="41" t="s">
        <v>740</v>
      </c>
      <c r="B400" s="41"/>
      <c r="C400" s="41">
        <v>50507838</v>
      </c>
      <c r="G400" s="29" t="s">
        <v>169</v>
      </c>
      <c r="H400" s="29" t="s">
        <v>431</v>
      </c>
      <c r="I400" s="42">
        <v>45707</v>
      </c>
      <c r="P400" s="134"/>
      <c r="R400" s="41" t="s">
        <v>832</v>
      </c>
    </row>
    <row r="401" spans="1:18" hidden="1">
      <c r="A401" s="41" t="s">
        <v>740</v>
      </c>
      <c r="B401" s="41"/>
      <c r="C401" s="41">
        <v>50507640</v>
      </c>
      <c r="G401" s="29" t="s">
        <v>169</v>
      </c>
      <c r="H401" s="29" t="s">
        <v>431</v>
      </c>
      <c r="I401" s="42">
        <v>45707</v>
      </c>
      <c r="P401" s="134"/>
      <c r="R401" s="41" t="s">
        <v>833</v>
      </c>
    </row>
    <row r="402" spans="1:18" hidden="1">
      <c r="A402" s="41" t="s">
        <v>740</v>
      </c>
      <c r="B402" s="41"/>
      <c r="C402" s="41">
        <v>50507678</v>
      </c>
      <c r="G402" s="29" t="s">
        <v>169</v>
      </c>
      <c r="H402" s="29" t="s">
        <v>431</v>
      </c>
      <c r="I402" s="42">
        <v>45707</v>
      </c>
      <c r="P402" s="134"/>
      <c r="R402" s="41" t="s">
        <v>834</v>
      </c>
    </row>
    <row r="403" spans="1:18" hidden="1">
      <c r="A403" s="41" t="s">
        <v>740</v>
      </c>
      <c r="B403" s="41"/>
      <c r="C403" s="41">
        <v>50507713</v>
      </c>
      <c r="G403" s="29" t="s">
        <v>169</v>
      </c>
      <c r="H403" s="29" t="s">
        <v>431</v>
      </c>
      <c r="I403" s="42">
        <v>45707</v>
      </c>
      <c r="P403" s="134"/>
      <c r="R403" s="41" t="s">
        <v>835</v>
      </c>
    </row>
    <row r="404" spans="1:18" hidden="1">
      <c r="A404" s="41" t="s">
        <v>740</v>
      </c>
      <c r="B404" s="41"/>
      <c r="C404" s="41">
        <v>50507757</v>
      </c>
      <c r="G404" s="29" t="s">
        <v>169</v>
      </c>
      <c r="H404" s="29" t="s">
        <v>431</v>
      </c>
      <c r="I404" s="42">
        <v>45707</v>
      </c>
      <c r="P404" s="134"/>
      <c r="R404" s="41" t="s">
        <v>836</v>
      </c>
    </row>
    <row r="405" spans="1:18" hidden="1">
      <c r="A405" s="41" t="s">
        <v>740</v>
      </c>
      <c r="B405" s="41"/>
      <c r="C405" s="41">
        <v>50507609</v>
      </c>
      <c r="G405" s="29" t="s">
        <v>169</v>
      </c>
      <c r="H405" s="29" t="s">
        <v>431</v>
      </c>
      <c r="I405" s="42">
        <v>45707</v>
      </c>
      <c r="P405" s="134"/>
      <c r="R405" s="41" t="s">
        <v>741</v>
      </c>
    </row>
    <row r="406" spans="1:18" hidden="1">
      <c r="A406" s="41" t="s">
        <v>740</v>
      </c>
      <c r="B406" s="41"/>
      <c r="C406" s="41">
        <v>50507859</v>
      </c>
      <c r="G406" s="29" t="s">
        <v>169</v>
      </c>
      <c r="H406" s="29" t="s">
        <v>431</v>
      </c>
      <c r="I406" s="42">
        <v>45707</v>
      </c>
      <c r="P406" s="134"/>
      <c r="R406" s="41" t="s">
        <v>742</v>
      </c>
    </row>
    <row r="407" spans="1:18" hidden="1">
      <c r="A407" s="41" t="s">
        <v>740</v>
      </c>
      <c r="B407" s="41"/>
      <c r="C407" s="41">
        <v>50507785</v>
      </c>
      <c r="G407" s="29" t="s">
        <v>169</v>
      </c>
      <c r="H407" s="29" t="s">
        <v>431</v>
      </c>
      <c r="I407" s="42">
        <v>45707</v>
      </c>
      <c r="P407" s="134"/>
      <c r="R407" s="41" t="s">
        <v>830</v>
      </c>
    </row>
    <row r="408" spans="1:18" hidden="1">
      <c r="A408" s="41" t="s">
        <v>740</v>
      </c>
      <c r="B408" s="41"/>
      <c r="C408" s="41">
        <v>50507819</v>
      </c>
      <c r="G408" s="29" t="s">
        <v>169</v>
      </c>
      <c r="H408" s="29" t="s">
        <v>431</v>
      </c>
      <c r="I408" s="42">
        <v>45707</v>
      </c>
      <c r="P408" s="134"/>
      <c r="R408" s="41" t="s">
        <v>831</v>
      </c>
    </row>
    <row r="409" spans="1:18" hidden="1">
      <c r="A409" s="41" t="s">
        <v>740</v>
      </c>
      <c r="B409" s="41"/>
      <c r="C409" s="41">
        <v>50507838</v>
      </c>
      <c r="G409" s="29" t="s">
        <v>169</v>
      </c>
      <c r="H409" s="29" t="s">
        <v>431</v>
      </c>
      <c r="I409" s="42">
        <v>45707</v>
      </c>
      <c r="P409" s="134"/>
      <c r="R409" s="41" t="s">
        <v>832</v>
      </c>
    </row>
    <row r="410" spans="1:18" hidden="1">
      <c r="A410" s="41" t="s">
        <v>740</v>
      </c>
      <c r="B410" s="41"/>
      <c r="C410" s="41">
        <v>50507640</v>
      </c>
      <c r="G410" s="29" t="s">
        <v>169</v>
      </c>
      <c r="H410" s="29" t="s">
        <v>431</v>
      </c>
      <c r="I410" s="42">
        <v>45707</v>
      </c>
      <c r="P410" s="134"/>
      <c r="R410" s="41" t="s">
        <v>833</v>
      </c>
    </row>
    <row r="411" spans="1:18" hidden="1">
      <c r="A411" s="41" t="s">
        <v>740</v>
      </c>
      <c r="B411" s="41"/>
      <c r="C411" s="41">
        <v>50507678</v>
      </c>
      <c r="G411" s="29" t="s">
        <v>169</v>
      </c>
      <c r="H411" s="29" t="s">
        <v>431</v>
      </c>
      <c r="I411" s="42">
        <v>45707</v>
      </c>
      <c r="P411" s="134"/>
      <c r="R411" s="41" t="s">
        <v>834</v>
      </c>
    </row>
    <row r="412" spans="1:18" hidden="1">
      <c r="A412" s="41" t="s">
        <v>740</v>
      </c>
      <c r="B412" s="41"/>
      <c r="C412" s="41">
        <v>50507713</v>
      </c>
      <c r="G412" s="29" t="s">
        <v>169</v>
      </c>
      <c r="H412" s="29" t="s">
        <v>431</v>
      </c>
      <c r="I412" s="42">
        <v>45707</v>
      </c>
      <c r="P412" s="134"/>
      <c r="R412" s="41" t="s">
        <v>835</v>
      </c>
    </row>
    <row r="413" spans="1:18" hidden="1">
      <c r="A413" s="41" t="s">
        <v>740</v>
      </c>
      <c r="B413" s="41"/>
      <c r="C413" s="41">
        <v>50507757</v>
      </c>
      <c r="G413" s="29" t="s">
        <v>169</v>
      </c>
      <c r="H413" s="29" t="s">
        <v>431</v>
      </c>
      <c r="I413" s="42">
        <v>45707</v>
      </c>
      <c r="P413" s="134"/>
      <c r="R413" s="41" t="s">
        <v>836</v>
      </c>
    </row>
    <row r="414" spans="1:18" hidden="1">
      <c r="A414" s="41" t="s">
        <v>740</v>
      </c>
      <c r="B414" s="41"/>
      <c r="C414" s="41">
        <v>50507609</v>
      </c>
      <c r="G414" s="29" t="s">
        <v>169</v>
      </c>
      <c r="H414" s="29" t="s">
        <v>77</v>
      </c>
      <c r="I414" s="120">
        <v>45707</v>
      </c>
      <c r="J414" s="29"/>
      <c r="K414" s="29"/>
      <c r="L414" s="29"/>
      <c r="M414" s="29"/>
      <c r="N414" s="29"/>
      <c r="P414" s="134"/>
      <c r="R414" s="41" t="s">
        <v>741</v>
      </c>
    </row>
    <row r="415" spans="1:18" hidden="1">
      <c r="A415" s="41" t="s">
        <v>740</v>
      </c>
      <c r="B415" s="41"/>
      <c r="C415" s="41">
        <v>50507859</v>
      </c>
      <c r="G415" s="29" t="s">
        <v>169</v>
      </c>
      <c r="H415" s="29" t="s">
        <v>77</v>
      </c>
      <c r="I415" s="120">
        <v>45707</v>
      </c>
      <c r="J415" s="29"/>
      <c r="K415" s="29"/>
      <c r="L415" s="29"/>
      <c r="M415" s="29"/>
      <c r="N415" s="29"/>
      <c r="P415" s="134"/>
      <c r="R415" s="41" t="s">
        <v>742</v>
      </c>
    </row>
    <row r="416" spans="1:18" hidden="1">
      <c r="A416" s="41" t="s">
        <v>740</v>
      </c>
      <c r="B416" s="41"/>
      <c r="C416" s="41">
        <v>50507785</v>
      </c>
      <c r="G416" s="29" t="s">
        <v>169</v>
      </c>
      <c r="H416" s="29" t="s">
        <v>77</v>
      </c>
      <c r="I416" s="120">
        <v>45707</v>
      </c>
      <c r="J416" s="29"/>
      <c r="K416" s="29"/>
      <c r="L416" s="29"/>
      <c r="M416" s="29"/>
      <c r="N416" s="29"/>
      <c r="P416" s="134"/>
      <c r="R416" s="41" t="s">
        <v>830</v>
      </c>
    </row>
    <row r="417" spans="1:19" hidden="1">
      <c r="A417" s="41" t="s">
        <v>740</v>
      </c>
      <c r="B417" s="41"/>
      <c r="C417" s="41">
        <v>50507819</v>
      </c>
      <c r="G417" s="29" t="s">
        <v>169</v>
      </c>
      <c r="H417" s="29" t="s">
        <v>77</v>
      </c>
      <c r="I417" s="120">
        <v>45707</v>
      </c>
      <c r="J417" s="29"/>
      <c r="K417" s="29"/>
      <c r="L417" s="29"/>
      <c r="M417" s="29"/>
      <c r="N417" s="29"/>
      <c r="P417" s="134"/>
      <c r="R417" s="41" t="s">
        <v>831</v>
      </c>
    </row>
    <row r="418" spans="1:19" hidden="1">
      <c r="A418" s="41" t="s">
        <v>740</v>
      </c>
      <c r="B418" s="41"/>
      <c r="C418" s="41">
        <v>50507838</v>
      </c>
      <c r="G418" s="29" t="s">
        <v>169</v>
      </c>
      <c r="H418" s="29" t="s">
        <v>77</v>
      </c>
      <c r="I418" s="120">
        <v>45707</v>
      </c>
      <c r="J418" s="29"/>
      <c r="K418" s="29"/>
      <c r="L418" s="29"/>
      <c r="M418" s="29"/>
      <c r="N418" s="29"/>
      <c r="P418" s="134"/>
      <c r="R418" s="41" t="s">
        <v>832</v>
      </c>
    </row>
    <row r="419" spans="1:19" hidden="1">
      <c r="A419" s="41" t="s">
        <v>740</v>
      </c>
      <c r="B419" s="41"/>
      <c r="C419" s="41">
        <v>50507640</v>
      </c>
      <c r="G419" s="29" t="s">
        <v>169</v>
      </c>
      <c r="H419" s="29" t="s">
        <v>77</v>
      </c>
      <c r="I419" s="120">
        <v>45707</v>
      </c>
      <c r="J419" s="29"/>
      <c r="K419" s="29"/>
      <c r="L419" s="29"/>
      <c r="M419" s="29"/>
      <c r="N419" s="29"/>
      <c r="P419" s="134"/>
      <c r="R419" s="41" t="s">
        <v>833</v>
      </c>
    </row>
    <row r="420" spans="1:19" hidden="1">
      <c r="A420" s="41" t="s">
        <v>740</v>
      </c>
      <c r="B420" s="41"/>
      <c r="C420" s="41">
        <v>50507678</v>
      </c>
      <c r="G420" s="29" t="s">
        <v>169</v>
      </c>
      <c r="H420" s="29" t="s">
        <v>77</v>
      </c>
      <c r="I420" s="120">
        <v>45707</v>
      </c>
      <c r="J420" s="29"/>
      <c r="K420" s="29"/>
      <c r="L420" s="29"/>
      <c r="M420" s="29"/>
      <c r="N420" s="29"/>
      <c r="P420" s="134"/>
      <c r="R420" s="41" t="s">
        <v>834</v>
      </c>
    </row>
    <row r="421" spans="1:19" hidden="1">
      <c r="A421" s="41" t="s">
        <v>740</v>
      </c>
      <c r="B421" s="41"/>
      <c r="C421" s="41">
        <v>50507713</v>
      </c>
      <c r="G421" s="29" t="s">
        <v>169</v>
      </c>
      <c r="H421" s="29" t="s">
        <v>77</v>
      </c>
      <c r="I421" s="120">
        <v>45707</v>
      </c>
      <c r="J421" s="29"/>
      <c r="K421" s="29"/>
      <c r="L421" s="29"/>
      <c r="M421" s="29"/>
      <c r="N421" s="29"/>
      <c r="P421" s="134"/>
      <c r="R421" s="41" t="s">
        <v>835</v>
      </c>
    </row>
    <row r="422" spans="1:19" hidden="1">
      <c r="A422" s="41" t="s">
        <v>740</v>
      </c>
      <c r="B422" s="41"/>
      <c r="C422" s="41">
        <v>50507757</v>
      </c>
      <c r="G422" s="29" t="s">
        <v>169</v>
      </c>
      <c r="H422" s="29" t="s">
        <v>77</v>
      </c>
      <c r="I422" s="120">
        <v>45707</v>
      </c>
      <c r="J422" s="29"/>
      <c r="K422" s="29"/>
      <c r="L422" s="29"/>
      <c r="M422" s="29"/>
      <c r="N422" s="29"/>
      <c r="P422" s="134"/>
      <c r="R422" s="41" t="s">
        <v>836</v>
      </c>
    </row>
    <row r="423" spans="1:19" hidden="1">
      <c r="A423" s="147" t="s">
        <v>837</v>
      </c>
      <c r="B423" s="147"/>
      <c r="C423" s="29">
        <v>6508035</v>
      </c>
      <c r="G423" s="29" t="s">
        <v>169</v>
      </c>
      <c r="H423" s="29" t="s">
        <v>838</v>
      </c>
      <c r="I423" s="120">
        <v>45659</v>
      </c>
      <c r="J423" s="29"/>
      <c r="K423" s="29"/>
      <c r="L423" s="29"/>
      <c r="M423" s="29"/>
      <c r="N423" s="29"/>
      <c r="O423" s="29"/>
      <c r="P423" s="29"/>
      <c r="Q423" s="81"/>
      <c r="R423" s="29"/>
      <c r="S423" s="123"/>
    </row>
    <row r="424" spans="1:19" hidden="1">
      <c r="A424" s="147" t="s">
        <v>837</v>
      </c>
      <c r="B424" s="147"/>
      <c r="C424" s="29">
        <v>6508102</v>
      </c>
      <c r="G424" s="29" t="s">
        <v>169</v>
      </c>
      <c r="H424" s="29" t="s">
        <v>838</v>
      </c>
      <c r="I424" s="120">
        <v>45659</v>
      </c>
      <c r="J424" s="29"/>
      <c r="K424" s="29"/>
      <c r="L424" s="29"/>
      <c r="M424" s="29"/>
      <c r="N424" s="29"/>
      <c r="O424" s="29"/>
      <c r="P424" s="29"/>
      <c r="Q424" s="81"/>
      <c r="R424" s="29"/>
      <c r="S424" s="123"/>
    </row>
    <row r="425" spans="1:19" hidden="1">
      <c r="A425" s="147" t="s">
        <v>837</v>
      </c>
      <c r="B425" s="147"/>
      <c r="C425" s="29">
        <v>6508109</v>
      </c>
      <c r="G425" s="29" t="s">
        <v>169</v>
      </c>
      <c r="H425" s="29" t="s">
        <v>838</v>
      </c>
      <c r="I425" s="120">
        <v>45659</v>
      </c>
      <c r="J425" s="29"/>
      <c r="K425" s="29"/>
      <c r="L425" s="29"/>
      <c r="M425" s="29"/>
      <c r="N425" s="29"/>
      <c r="O425" s="29"/>
      <c r="P425" s="29"/>
      <c r="Q425" s="81"/>
      <c r="R425" s="29"/>
      <c r="S425" s="123"/>
    </row>
    <row r="426" spans="1:19" hidden="1">
      <c r="A426" s="147" t="s">
        <v>837</v>
      </c>
      <c r="B426" s="147"/>
      <c r="C426" s="29">
        <v>6508118</v>
      </c>
      <c r="G426" s="29" t="s">
        <v>169</v>
      </c>
      <c r="H426" s="29" t="s">
        <v>838</v>
      </c>
      <c r="I426" s="120">
        <v>45659</v>
      </c>
      <c r="J426" s="29"/>
      <c r="K426" s="29"/>
      <c r="L426" s="29"/>
      <c r="M426" s="29"/>
      <c r="N426" s="29"/>
      <c r="O426" s="29"/>
      <c r="P426" s="29"/>
      <c r="Q426" s="81"/>
      <c r="R426" s="29"/>
      <c r="S426" s="123"/>
    </row>
    <row r="427" spans="1:19" hidden="1">
      <c r="A427" s="147" t="s">
        <v>837</v>
      </c>
      <c r="B427" s="147"/>
      <c r="C427" s="29">
        <v>6508147</v>
      </c>
      <c r="G427" s="29" t="s">
        <v>169</v>
      </c>
      <c r="H427" s="29" t="s">
        <v>838</v>
      </c>
      <c r="I427" s="120">
        <v>45659</v>
      </c>
      <c r="J427" s="29"/>
      <c r="K427" s="29"/>
      <c r="L427" s="29"/>
      <c r="M427" s="29"/>
      <c r="N427" s="29"/>
      <c r="O427" s="29"/>
      <c r="P427" s="29"/>
      <c r="Q427" s="81"/>
      <c r="R427" s="29"/>
      <c r="S427" s="123"/>
    </row>
    <row r="428" spans="1:19" hidden="1">
      <c r="A428" s="147" t="s">
        <v>837</v>
      </c>
      <c r="B428" s="147"/>
      <c r="C428" s="29">
        <v>6508194</v>
      </c>
      <c r="G428" s="29" t="s">
        <v>169</v>
      </c>
      <c r="H428" s="29" t="s">
        <v>838</v>
      </c>
      <c r="I428" s="120">
        <v>45659</v>
      </c>
      <c r="J428" s="29"/>
      <c r="K428" s="29"/>
      <c r="L428" s="29"/>
      <c r="M428" s="29"/>
      <c r="N428" s="29"/>
      <c r="O428" s="29"/>
      <c r="P428" s="29"/>
      <c r="Q428" s="81"/>
      <c r="R428" s="29"/>
      <c r="S428" s="123"/>
    </row>
    <row r="429" spans="1:19" hidden="1">
      <c r="A429" s="147" t="s">
        <v>837</v>
      </c>
      <c r="B429" s="147"/>
      <c r="C429" s="29">
        <v>6508205</v>
      </c>
      <c r="G429" s="29" t="s">
        <v>169</v>
      </c>
      <c r="H429" s="29" t="s">
        <v>838</v>
      </c>
      <c r="I429" s="120">
        <v>45659</v>
      </c>
      <c r="J429" s="29"/>
      <c r="K429" s="29"/>
      <c r="L429" s="29"/>
      <c r="M429" s="29"/>
      <c r="N429" s="29"/>
      <c r="O429" s="29"/>
      <c r="P429" s="29"/>
      <c r="Q429" s="81"/>
      <c r="R429" s="29"/>
      <c r="S429" s="123"/>
    </row>
    <row r="430" spans="1:19" hidden="1">
      <c r="A430" s="147" t="s">
        <v>837</v>
      </c>
      <c r="B430" s="147"/>
      <c r="C430" s="29">
        <v>6508233</v>
      </c>
      <c r="G430" s="29" t="s">
        <v>169</v>
      </c>
      <c r="H430" s="29" t="s">
        <v>838</v>
      </c>
      <c r="I430" s="120">
        <v>45659</v>
      </c>
      <c r="J430" s="29"/>
      <c r="K430" s="29"/>
      <c r="L430" s="29"/>
      <c r="M430" s="29"/>
      <c r="N430" s="29"/>
      <c r="O430" s="29"/>
      <c r="P430" s="29"/>
      <c r="Q430" s="81"/>
      <c r="R430" s="29"/>
      <c r="S430" s="123"/>
    </row>
    <row r="431" spans="1:19" hidden="1">
      <c r="A431" s="147" t="s">
        <v>837</v>
      </c>
      <c r="B431" s="147"/>
      <c r="C431" s="29">
        <v>6508247</v>
      </c>
      <c r="G431" s="29" t="s">
        <v>169</v>
      </c>
      <c r="H431" s="29" t="s">
        <v>838</v>
      </c>
      <c r="I431" s="120">
        <v>45659</v>
      </c>
      <c r="J431" s="29"/>
      <c r="K431" s="29"/>
      <c r="L431" s="29"/>
      <c r="M431" s="29"/>
      <c r="N431" s="29"/>
      <c r="O431" s="29"/>
      <c r="P431" s="29"/>
      <c r="Q431" s="81"/>
      <c r="R431" s="29"/>
      <c r="S431" s="123"/>
    </row>
    <row r="432" spans="1:19" hidden="1">
      <c r="A432" s="147" t="s">
        <v>837</v>
      </c>
      <c r="B432" s="147"/>
      <c r="C432" s="29">
        <v>6508254</v>
      </c>
      <c r="G432" s="29" t="s">
        <v>169</v>
      </c>
      <c r="H432" s="29" t="s">
        <v>838</v>
      </c>
      <c r="I432" s="120">
        <v>45659</v>
      </c>
      <c r="J432" s="29"/>
      <c r="K432" s="29"/>
      <c r="L432" s="29"/>
      <c r="M432" s="29"/>
      <c r="N432" s="29"/>
      <c r="O432" s="29"/>
      <c r="P432" s="29"/>
      <c r="Q432" s="81"/>
      <c r="R432" s="29"/>
      <c r="S432" s="123"/>
    </row>
    <row r="433" spans="1:19" hidden="1">
      <c r="A433" s="147" t="s">
        <v>837</v>
      </c>
      <c r="B433" s="147"/>
      <c r="C433" s="29">
        <v>6508313</v>
      </c>
      <c r="G433" s="29" t="s">
        <v>169</v>
      </c>
      <c r="H433" s="29" t="s">
        <v>838</v>
      </c>
      <c r="I433" s="120">
        <v>45659</v>
      </c>
      <c r="J433" s="29"/>
      <c r="K433" s="29"/>
      <c r="L433" s="29"/>
      <c r="M433" s="29"/>
      <c r="N433" s="29"/>
      <c r="O433" s="29"/>
      <c r="P433" s="29"/>
      <c r="Q433" s="81"/>
      <c r="R433" s="29"/>
      <c r="S433" s="123"/>
    </row>
    <row r="434" spans="1:19" hidden="1">
      <c r="A434" s="147" t="s">
        <v>837</v>
      </c>
      <c r="B434" s="147"/>
      <c r="C434" s="29">
        <v>6508324</v>
      </c>
      <c r="G434" s="29" t="s">
        <v>169</v>
      </c>
      <c r="H434" s="29" t="s">
        <v>838</v>
      </c>
      <c r="I434" s="120">
        <v>45659</v>
      </c>
      <c r="J434" s="29"/>
      <c r="K434" s="29"/>
      <c r="L434" s="29"/>
      <c r="M434" s="29"/>
      <c r="N434" s="29"/>
      <c r="O434" s="29"/>
      <c r="P434" s="29"/>
      <c r="Q434" s="81"/>
      <c r="R434" s="29"/>
      <c r="S434" s="123"/>
    </row>
    <row r="435" spans="1:19" hidden="1">
      <c r="A435" s="147" t="s">
        <v>837</v>
      </c>
      <c r="B435" s="147"/>
      <c r="C435" s="29">
        <v>6508339</v>
      </c>
      <c r="G435" s="29" t="s">
        <v>169</v>
      </c>
      <c r="H435" s="29" t="s">
        <v>838</v>
      </c>
      <c r="I435" s="120">
        <v>45659</v>
      </c>
      <c r="J435" s="29"/>
      <c r="K435" s="29"/>
      <c r="L435" s="29"/>
      <c r="M435" s="29"/>
      <c r="N435" s="29"/>
      <c r="O435" s="29"/>
      <c r="P435" s="29"/>
      <c r="Q435" s="81"/>
      <c r="R435" s="29"/>
      <c r="S435" s="123"/>
    </row>
    <row r="436" spans="1:19" hidden="1">
      <c r="A436" s="147" t="s">
        <v>837</v>
      </c>
      <c r="B436" s="147"/>
      <c r="C436" s="29">
        <v>6508357</v>
      </c>
      <c r="G436" s="29" t="s">
        <v>169</v>
      </c>
      <c r="H436" s="29" t="s">
        <v>838</v>
      </c>
      <c r="I436" s="120">
        <v>45659</v>
      </c>
      <c r="J436" s="29"/>
      <c r="K436" s="29"/>
      <c r="L436" s="29"/>
      <c r="M436" s="29"/>
      <c r="N436" s="29"/>
      <c r="O436" s="29"/>
      <c r="P436" s="29"/>
      <c r="Q436" s="81"/>
      <c r="R436" s="29"/>
      <c r="S436" s="123"/>
    </row>
    <row r="437" spans="1:19" hidden="1">
      <c r="A437" s="147" t="s">
        <v>837</v>
      </c>
      <c r="B437" s="147"/>
      <c r="C437" s="29">
        <v>6508367</v>
      </c>
      <c r="G437" s="29" t="s">
        <v>169</v>
      </c>
      <c r="H437" s="29" t="s">
        <v>838</v>
      </c>
      <c r="I437" s="120">
        <v>45659</v>
      </c>
      <c r="J437" s="29"/>
      <c r="K437" s="29"/>
      <c r="L437" s="29"/>
      <c r="M437" s="29"/>
      <c r="N437" s="29"/>
      <c r="O437" s="29"/>
      <c r="P437" s="29"/>
      <c r="Q437" s="81"/>
      <c r="R437" s="29"/>
      <c r="S437" s="123"/>
    </row>
    <row r="438" spans="1:19" hidden="1">
      <c r="A438" s="147" t="s">
        <v>837</v>
      </c>
      <c r="B438" s="147"/>
      <c r="C438" s="29">
        <v>6508375</v>
      </c>
      <c r="G438" s="29" t="s">
        <v>169</v>
      </c>
      <c r="H438" s="29" t="s">
        <v>838</v>
      </c>
      <c r="I438" s="120">
        <v>45659</v>
      </c>
      <c r="J438" s="29"/>
      <c r="K438" s="29"/>
      <c r="L438" s="29"/>
      <c r="M438" s="29"/>
      <c r="N438" s="29"/>
      <c r="O438" s="29"/>
      <c r="P438" s="29"/>
      <c r="Q438" s="81"/>
      <c r="R438" s="29"/>
      <c r="S438" s="123"/>
    </row>
    <row r="439" spans="1:19" hidden="1">
      <c r="A439" s="147" t="s">
        <v>837</v>
      </c>
      <c r="B439" s="147"/>
      <c r="C439" s="29">
        <v>6508420</v>
      </c>
      <c r="G439" s="29" t="s">
        <v>169</v>
      </c>
      <c r="H439" s="29" t="s">
        <v>838</v>
      </c>
      <c r="I439" s="120">
        <v>45659</v>
      </c>
      <c r="J439" s="29"/>
      <c r="K439" s="29"/>
      <c r="L439" s="29"/>
      <c r="M439" s="29"/>
      <c r="N439" s="29"/>
      <c r="O439" s="29"/>
      <c r="P439" s="29"/>
      <c r="Q439" s="81"/>
      <c r="R439" s="29"/>
      <c r="S439" s="123"/>
    </row>
    <row r="440" spans="1:19" hidden="1">
      <c r="A440" s="147" t="s">
        <v>837</v>
      </c>
      <c r="B440" s="147"/>
      <c r="C440" s="29">
        <v>6508410</v>
      </c>
      <c r="G440" s="29" t="s">
        <v>169</v>
      </c>
      <c r="H440" s="29" t="s">
        <v>838</v>
      </c>
      <c r="I440" s="120">
        <v>45659</v>
      </c>
      <c r="J440" s="29"/>
      <c r="K440" s="29"/>
      <c r="L440" s="29"/>
      <c r="M440" s="29"/>
      <c r="N440" s="29"/>
      <c r="O440" s="29"/>
      <c r="P440" s="29"/>
      <c r="Q440" s="81"/>
      <c r="R440" s="29"/>
      <c r="S440" s="123"/>
    </row>
    <row r="441" spans="1:19" hidden="1">
      <c r="A441" s="147" t="s">
        <v>837</v>
      </c>
      <c r="B441" s="147"/>
      <c r="C441" s="29">
        <v>6508430</v>
      </c>
      <c r="G441" s="29" t="s">
        <v>169</v>
      </c>
      <c r="H441" s="29" t="s">
        <v>838</v>
      </c>
      <c r="I441" s="120">
        <v>45659</v>
      </c>
      <c r="J441" s="29"/>
      <c r="K441" s="29"/>
      <c r="L441" s="29"/>
      <c r="M441" s="29"/>
      <c r="N441" s="29"/>
      <c r="O441" s="29"/>
      <c r="P441" s="29"/>
      <c r="Q441" s="81"/>
      <c r="R441" s="29"/>
      <c r="S441" s="123"/>
    </row>
    <row r="442" spans="1:19" hidden="1">
      <c r="A442" s="147" t="s">
        <v>837</v>
      </c>
      <c r="B442" s="147"/>
      <c r="C442" s="29">
        <v>6508443</v>
      </c>
      <c r="G442" s="29" t="s">
        <v>169</v>
      </c>
      <c r="H442" s="29" t="s">
        <v>838</v>
      </c>
      <c r="I442" s="120">
        <v>45659</v>
      </c>
      <c r="J442" s="29"/>
      <c r="K442" s="29"/>
      <c r="L442" s="29"/>
      <c r="M442" s="29"/>
      <c r="N442" s="29"/>
      <c r="O442" s="29"/>
      <c r="P442" s="29"/>
      <c r="Q442" s="81"/>
      <c r="R442" s="29"/>
      <c r="S442" s="123"/>
    </row>
    <row r="443" spans="1:19" hidden="1">
      <c r="A443" s="147" t="s">
        <v>837</v>
      </c>
      <c r="B443" s="147"/>
      <c r="C443" s="29">
        <v>6508466</v>
      </c>
      <c r="G443" s="29" t="s">
        <v>169</v>
      </c>
      <c r="H443" s="29" t="s">
        <v>838</v>
      </c>
      <c r="I443" s="120">
        <v>45659</v>
      </c>
      <c r="J443" s="29"/>
      <c r="K443" s="29"/>
      <c r="L443" s="29"/>
      <c r="M443" s="29"/>
      <c r="N443" s="29"/>
      <c r="O443" s="29"/>
      <c r="P443" s="29"/>
      <c r="Q443" s="81"/>
      <c r="R443" s="29"/>
      <c r="S443" s="123"/>
    </row>
    <row r="444" spans="1:19" hidden="1">
      <c r="A444" s="147" t="s">
        <v>837</v>
      </c>
      <c r="B444" s="147"/>
      <c r="C444" s="29">
        <v>6508486</v>
      </c>
      <c r="G444" s="29" t="s">
        <v>169</v>
      </c>
      <c r="H444" s="29" t="s">
        <v>838</v>
      </c>
      <c r="I444" s="120">
        <v>45659</v>
      </c>
      <c r="J444" s="29"/>
      <c r="K444" s="29"/>
      <c r="L444" s="29"/>
      <c r="M444" s="29"/>
      <c r="N444" s="29"/>
      <c r="O444" s="29"/>
      <c r="P444" s="29"/>
      <c r="Q444" s="81"/>
      <c r="R444" s="29"/>
      <c r="S444" s="123"/>
    </row>
    <row r="445" spans="1:19" hidden="1">
      <c r="A445" s="147" t="s">
        <v>837</v>
      </c>
      <c r="B445" s="147"/>
      <c r="C445" s="29">
        <v>6508492</v>
      </c>
      <c r="G445" s="29" t="s">
        <v>169</v>
      </c>
      <c r="H445" s="29" t="s">
        <v>838</v>
      </c>
      <c r="I445" s="120">
        <v>45659</v>
      </c>
      <c r="J445" s="29"/>
      <c r="K445" s="29"/>
      <c r="L445" s="29"/>
      <c r="M445" s="29"/>
      <c r="N445" s="29"/>
      <c r="O445" s="29"/>
      <c r="P445" s="29"/>
      <c r="Q445" s="81"/>
      <c r="R445" s="29"/>
      <c r="S445" s="123"/>
    </row>
    <row r="446" spans="1:19" hidden="1">
      <c r="A446" s="147" t="s">
        <v>837</v>
      </c>
      <c r="B446" s="147"/>
      <c r="C446" s="29">
        <v>6508513</v>
      </c>
      <c r="G446" s="29" t="s">
        <v>169</v>
      </c>
      <c r="H446" s="29" t="s">
        <v>838</v>
      </c>
      <c r="I446" s="120">
        <v>45659</v>
      </c>
      <c r="J446" s="29"/>
      <c r="K446" s="29"/>
      <c r="L446" s="29"/>
      <c r="M446" s="29"/>
      <c r="N446" s="29"/>
      <c r="O446" s="29"/>
      <c r="P446" s="29"/>
      <c r="Q446" s="81"/>
      <c r="R446" s="29"/>
      <c r="S446" s="123"/>
    </row>
    <row r="447" spans="1:19" hidden="1">
      <c r="A447" s="147" t="s">
        <v>837</v>
      </c>
      <c r="B447" s="147"/>
      <c r="C447" s="29">
        <v>6508521</v>
      </c>
      <c r="G447" s="29" t="s">
        <v>169</v>
      </c>
      <c r="H447" s="29" t="s">
        <v>838</v>
      </c>
      <c r="I447" s="120">
        <v>45659</v>
      </c>
      <c r="J447" s="29"/>
      <c r="K447" s="29"/>
      <c r="L447" s="29"/>
      <c r="M447" s="29"/>
      <c r="N447" s="29"/>
      <c r="O447" s="29"/>
      <c r="P447" s="29"/>
      <c r="Q447" s="81"/>
      <c r="R447" s="29"/>
      <c r="S447" s="123"/>
    </row>
    <row r="448" spans="1:19" hidden="1">
      <c r="A448" s="29" t="s">
        <v>837</v>
      </c>
      <c r="B448" s="29"/>
      <c r="C448" s="29">
        <v>35500215</v>
      </c>
      <c r="G448" s="29" t="s">
        <v>169</v>
      </c>
      <c r="H448" s="29" t="s">
        <v>236</v>
      </c>
      <c r="I448" s="120">
        <v>45659</v>
      </c>
      <c r="J448" s="29"/>
      <c r="K448" s="29"/>
      <c r="L448" s="29"/>
      <c r="M448" s="29"/>
      <c r="N448" s="29"/>
      <c r="O448" s="29"/>
      <c r="P448" s="29"/>
      <c r="Q448" s="81"/>
      <c r="R448" s="29" t="s">
        <v>839</v>
      </c>
      <c r="S448" s="123"/>
    </row>
    <row r="449" spans="1:19" hidden="1">
      <c r="A449" s="29" t="s">
        <v>837</v>
      </c>
      <c r="B449" s="29"/>
      <c r="C449" s="29">
        <v>31503960</v>
      </c>
      <c r="G449" s="29" t="s">
        <v>169</v>
      </c>
      <c r="H449" s="29" t="s">
        <v>236</v>
      </c>
      <c r="I449" s="120">
        <v>45659</v>
      </c>
      <c r="J449" s="29"/>
      <c r="K449" s="29"/>
      <c r="L449" s="29"/>
      <c r="M449" s="29"/>
      <c r="N449" s="29"/>
      <c r="O449" s="29"/>
      <c r="P449" s="29"/>
      <c r="Q449" s="81"/>
      <c r="R449" s="29" t="s">
        <v>840</v>
      </c>
      <c r="S449" s="123"/>
    </row>
    <row r="450" spans="1:19" hidden="1">
      <c r="A450" s="29" t="s">
        <v>837</v>
      </c>
      <c r="B450" s="29"/>
      <c r="C450" s="29">
        <v>32500495</v>
      </c>
      <c r="G450" s="29" t="s">
        <v>169</v>
      </c>
      <c r="H450" s="29" t="s">
        <v>236</v>
      </c>
      <c r="I450" s="120">
        <v>45659</v>
      </c>
      <c r="J450" s="29"/>
      <c r="K450" s="29"/>
      <c r="L450" s="29"/>
      <c r="M450" s="29"/>
      <c r="N450" s="29"/>
      <c r="O450" s="29"/>
      <c r="P450" s="29"/>
      <c r="Q450" s="81"/>
      <c r="R450" s="29" t="s">
        <v>841</v>
      </c>
      <c r="S450" s="123"/>
    </row>
    <row r="451" spans="1:19" hidden="1">
      <c r="A451" s="29" t="s">
        <v>837</v>
      </c>
      <c r="B451" s="29"/>
      <c r="C451" s="29">
        <v>35500151</v>
      </c>
      <c r="G451" s="29" t="s">
        <v>169</v>
      </c>
      <c r="H451" s="29" t="s">
        <v>236</v>
      </c>
      <c r="I451" s="120">
        <v>45659</v>
      </c>
      <c r="J451" s="29"/>
      <c r="K451" s="29"/>
      <c r="L451" s="29"/>
      <c r="M451" s="29"/>
      <c r="N451" s="29"/>
      <c r="O451" s="29"/>
      <c r="P451" s="29"/>
      <c r="Q451" s="81"/>
      <c r="R451" s="29" t="s">
        <v>842</v>
      </c>
      <c r="S451" s="123"/>
    </row>
    <row r="452" spans="1:19" hidden="1">
      <c r="A452" s="147" t="s">
        <v>837</v>
      </c>
      <c r="B452" s="147"/>
      <c r="C452" s="29">
        <v>6508035</v>
      </c>
      <c r="G452" s="29" t="s">
        <v>169</v>
      </c>
      <c r="H452" s="29" t="s">
        <v>838</v>
      </c>
      <c r="I452" s="120">
        <v>45659</v>
      </c>
      <c r="J452" s="29"/>
      <c r="P452" s="134"/>
      <c r="R452" s="29"/>
    </row>
    <row r="453" spans="1:19" hidden="1">
      <c r="A453" s="147" t="s">
        <v>837</v>
      </c>
      <c r="B453" s="147"/>
      <c r="C453" s="29">
        <v>6508102</v>
      </c>
      <c r="G453" s="29" t="s">
        <v>169</v>
      </c>
      <c r="H453" s="29" t="s">
        <v>838</v>
      </c>
      <c r="I453" s="120">
        <v>45659</v>
      </c>
      <c r="J453" s="29"/>
      <c r="P453" s="134"/>
      <c r="R453" s="29"/>
    </row>
    <row r="454" spans="1:19" hidden="1">
      <c r="A454" s="147" t="s">
        <v>837</v>
      </c>
      <c r="B454" s="147"/>
      <c r="C454" s="29">
        <v>6508109</v>
      </c>
      <c r="G454" s="29" t="s">
        <v>169</v>
      </c>
      <c r="H454" s="29" t="s">
        <v>838</v>
      </c>
      <c r="I454" s="120">
        <v>45659</v>
      </c>
      <c r="J454" s="29"/>
      <c r="P454" s="134"/>
      <c r="R454" s="29"/>
    </row>
    <row r="455" spans="1:19" hidden="1">
      <c r="A455" s="147" t="s">
        <v>837</v>
      </c>
      <c r="B455" s="147"/>
      <c r="C455" s="29">
        <v>6508118</v>
      </c>
      <c r="G455" s="29" t="s">
        <v>169</v>
      </c>
      <c r="H455" s="29" t="s">
        <v>838</v>
      </c>
      <c r="I455" s="120">
        <v>45659</v>
      </c>
      <c r="J455" s="29"/>
      <c r="P455" s="134"/>
      <c r="R455" s="29"/>
    </row>
    <row r="456" spans="1:19" hidden="1">
      <c r="A456" s="147" t="s">
        <v>837</v>
      </c>
      <c r="B456" s="147"/>
      <c r="C456" s="29">
        <v>6508147</v>
      </c>
      <c r="G456" s="29" t="s">
        <v>169</v>
      </c>
      <c r="H456" s="29" t="s">
        <v>838</v>
      </c>
      <c r="I456" s="120">
        <v>45659</v>
      </c>
      <c r="J456" s="29"/>
      <c r="P456" s="134"/>
      <c r="R456" s="29"/>
    </row>
    <row r="457" spans="1:19" hidden="1">
      <c r="A457" s="147" t="s">
        <v>837</v>
      </c>
      <c r="B457" s="147"/>
      <c r="C457" s="29">
        <v>6508194</v>
      </c>
      <c r="G457" s="29" t="s">
        <v>169</v>
      </c>
      <c r="H457" s="29" t="s">
        <v>838</v>
      </c>
      <c r="I457" s="120">
        <v>45659</v>
      </c>
      <c r="J457" s="29"/>
      <c r="P457" s="134"/>
      <c r="R457" s="29"/>
    </row>
    <row r="458" spans="1:19" hidden="1">
      <c r="A458" s="147" t="s">
        <v>837</v>
      </c>
      <c r="B458" s="147"/>
      <c r="C458" s="29">
        <v>6508205</v>
      </c>
      <c r="G458" s="29" t="s">
        <v>169</v>
      </c>
      <c r="H458" s="29" t="s">
        <v>838</v>
      </c>
      <c r="I458" s="120">
        <v>45659</v>
      </c>
      <c r="J458" s="29"/>
      <c r="P458" s="134"/>
      <c r="R458" s="29"/>
    </row>
    <row r="459" spans="1:19" hidden="1">
      <c r="A459" s="147" t="s">
        <v>837</v>
      </c>
      <c r="B459" s="147"/>
      <c r="C459" s="29">
        <v>6508233</v>
      </c>
      <c r="G459" s="29" t="s">
        <v>169</v>
      </c>
      <c r="H459" s="29" t="s">
        <v>838</v>
      </c>
      <c r="I459" s="120">
        <v>45659</v>
      </c>
      <c r="J459" s="29"/>
      <c r="P459" s="134"/>
      <c r="R459" s="29"/>
    </row>
    <row r="460" spans="1:19" hidden="1">
      <c r="A460" s="147" t="s">
        <v>837</v>
      </c>
      <c r="B460" s="147"/>
      <c r="C460" s="29">
        <v>6508247</v>
      </c>
      <c r="G460" s="29" t="s">
        <v>169</v>
      </c>
      <c r="H460" s="29" t="s">
        <v>838</v>
      </c>
      <c r="I460" s="120">
        <v>45659</v>
      </c>
      <c r="J460" s="29"/>
      <c r="P460" s="134"/>
      <c r="R460" s="29"/>
    </row>
    <row r="461" spans="1:19" hidden="1">
      <c r="A461" s="147" t="s">
        <v>837</v>
      </c>
      <c r="B461" s="147"/>
      <c r="C461" s="29">
        <v>6508254</v>
      </c>
      <c r="G461" s="29" t="s">
        <v>169</v>
      </c>
      <c r="H461" s="29" t="s">
        <v>838</v>
      </c>
      <c r="I461" s="120">
        <v>45659</v>
      </c>
      <c r="J461" s="29"/>
      <c r="P461" s="134"/>
      <c r="R461" s="29"/>
    </row>
    <row r="462" spans="1:19" hidden="1">
      <c r="A462" s="147" t="s">
        <v>837</v>
      </c>
      <c r="B462" s="147"/>
      <c r="C462" s="29">
        <v>6508313</v>
      </c>
      <c r="G462" s="29" t="s">
        <v>169</v>
      </c>
      <c r="H462" s="29" t="s">
        <v>838</v>
      </c>
      <c r="I462" s="120">
        <v>45659</v>
      </c>
      <c r="J462" s="29"/>
      <c r="P462" s="134"/>
      <c r="R462" s="29"/>
    </row>
    <row r="463" spans="1:19" hidden="1">
      <c r="A463" s="147" t="s">
        <v>837</v>
      </c>
      <c r="B463" s="147"/>
      <c r="C463" s="29">
        <v>6508324</v>
      </c>
      <c r="G463" s="29" t="s">
        <v>169</v>
      </c>
      <c r="H463" s="29" t="s">
        <v>838</v>
      </c>
      <c r="I463" s="120">
        <v>45659</v>
      </c>
      <c r="J463" s="29"/>
      <c r="P463" s="134"/>
      <c r="R463" s="29"/>
    </row>
    <row r="464" spans="1:19" hidden="1">
      <c r="A464" s="147" t="s">
        <v>837</v>
      </c>
      <c r="B464" s="147"/>
      <c r="C464" s="29">
        <v>6508339</v>
      </c>
      <c r="G464" s="29" t="s">
        <v>169</v>
      </c>
      <c r="H464" s="29" t="s">
        <v>838</v>
      </c>
      <c r="I464" s="120">
        <v>45659</v>
      </c>
      <c r="J464" s="29"/>
      <c r="P464" s="134"/>
      <c r="R464" s="29"/>
    </row>
    <row r="465" spans="1:18" hidden="1">
      <c r="A465" s="147" t="s">
        <v>837</v>
      </c>
      <c r="B465" s="147"/>
      <c r="C465" s="29">
        <v>6508357</v>
      </c>
      <c r="G465" s="29" t="s">
        <v>169</v>
      </c>
      <c r="H465" s="29" t="s">
        <v>838</v>
      </c>
      <c r="I465" s="120">
        <v>45659</v>
      </c>
      <c r="J465" s="29"/>
      <c r="P465" s="134"/>
      <c r="R465" s="29"/>
    </row>
    <row r="466" spans="1:18" hidden="1">
      <c r="A466" s="147" t="s">
        <v>837</v>
      </c>
      <c r="B466" s="147"/>
      <c r="C466" s="29">
        <v>6508367</v>
      </c>
      <c r="G466" s="29" t="s">
        <v>169</v>
      </c>
      <c r="H466" s="29" t="s">
        <v>838</v>
      </c>
      <c r="I466" s="120">
        <v>45659</v>
      </c>
      <c r="J466" s="29"/>
      <c r="P466" s="134"/>
      <c r="R466" s="29"/>
    </row>
    <row r="467" spans="1:18" hidden="1">
      <c r="A467" s="147" t="s">
        <v>837</v>
      </c>
      <c r="B467" s="147"/>
      <c r="C467" s="29">
        <v>6508375</v>
      </c>
      <c r="G467" s="29" t="s">
        <v>169</v>
      </c>
      <c r="H467" s="29" t="s">
        <v>838</v>
      </c>
      <c r="I467" s="120">
        <v>45659</v>
      </c>
      <c r="J467" s="29"/>
      <c r="P467" s="134"/>
      <c r="R467" s="29"/>
    </row>
    <row r="468" spans="1:18" hidden="1">
      <c r="A468" s="147" t="s">
        <v>837</v>
      </c>
      <c r="B468" s="147"/>
      <c r="C468" s="29">
        <v>6508420</v>
      </c>
      <c r="G468" s="29" t="s">
        <v>169</v>
      </c>
      <c r="H468" s="29" t="s">
        <v>838</v>
      </c>
      <c r="I468" s="120">
        <v>45659</v>
      </c>
      <c r="J468" s="29"/>
      <c r="P468" s="134"/>
      <c r="R468" s="29"/>
    </row>
    <row r="469" spans="1:18" hidden="1">
      <c r="A469" s="147" t="s">
        <v>837</v>
      </c>
      <c r="B469" s="147"/>
      <c r="C469" s="29">
        <v>6508410</v>
      </c>
      <c r="G469" s="29" t="s">
        <v>169</v>
      </c>
      <c r="H469" s="29" t="s">
        <v>838</v>
      </c>
      <c r="I469" s="120">
        <v>45659</v>
      </c>
      <c r="J469" s="29"/>
      <c r="P469" s="134"/>
      <c r="R469" s="29"/>
    </row>
    <row r="470" spans="1:18" hidden="1">
      <c r="A470" s="147" t="s">
        <v>837</v>
      </c>
      <c r="B470" s="147"/>
      <c r="C470" s="29">
        <v>6508430</v>
      </c>
      <c r="G470" s="29" t="s">
        <v>169</v>
      </c>
      <c r="H470" s="29" t="s">
        <v>838</v>
      </c>
      <c r="I470" s="120">
        <v>45659</v>
      </c>
      <c r="J470" s="29"/>
      <c r="P470" s="134"/>
      <c r="R470" s="29"/>
    </row>
    <row r="471" spans="1:18" hidden="1">
      <c r="A471" s="147" t="s">
        <v>837</v>
      </c>
      <c r="B471" s="147"/>
      <c r="C471" s="29">
        <v>6508443</v>
      </c>
      <c r="G471" s="29" t="s">
        <v>169</v>
      </c>
      <c r="H471" s="29" t="s">
        <v>838</v>
      </c>
      <c r="I471" s="120">
        <v>45659</v>
      </c>
      <c r="J471" s="29"/>
      <c r="P471" s="134"/>
      <c r="R471" s="29"/>
    </row>
    <row r="472" spans="1:18" hidden="1">
      <c r="A472" s="147" t="s">
        <v>837</v>
      </c>
      <c r="B472" s="147"/>
      <c r="C472" s="29">
        <v>6508466</v>
      </c>
      <c r="G472" s="29" t="s">
        <v>169</v>
      </c>
      <c r="H472" s="29" t="s">
        <v>838</v>
      </c>
      <c r="I472" s="120">
        <v>45659</v>
      </c>
      <c r="J472" s="29"/>
      <c r="P472" s="134"/>
      <c r="R472" s="29"/>
    </row>
    <row r="473" spans="1:18" hidden="1">
      <c r="A473" s="147" t="s">
        <v>837</v>
      </c>
      <c r="B473" s="147"/>
      <c r="C473" s="29">
        <v>6508486</v>
      </c>
      <c r="G473" s="29" t="s">
        <v>169</v>
      </c>
      <c r="H473" s="29" t="s">
        <v>838</v>
      </c>
      <c r="I473" s="120">
        <v>45659</v>
      </c>
      <c r="J473" s="29"/>
      <c r="P473" s="134"/>
      <c r="R473" s="29"/>
    </row>
    <row r="474" spans="1:18" hidden="1">
      <c r="A474" s="147" t="s">
        <v>837</v>
      </c>
      <c r="B474" s="147"/>
      <c r="C474" s="29">
        <v>6508492</v>
      </c>
      <c r="G474" s="29" t="s">
        <v>169</v>
      </c>
      <c r="H474" s="29" t="s">
        <v>838</v>
      </c>
      <c r="I474" s="120">
        <v>45659</v>
      </c>
      <c r="J474" s="29"/>
      <c r="P474" s="134"/>
      <c r="R474" s="29"/>
    </row>
    <row r="475" spans="1:18" hidden="1">
      <c r="A475" s="147" t="s">
        <v>837</v>
      </c>
      <c r="B475" s="147"/>
      <c r="C475" s="29">
        <v>6508513</v>
      </c>
      <c r="G475" s="29" t="s">
        <v>169</v>
      </c>
      <c r="H475" s="29" t="s">
        <v>838</v>
      </c>
      <c r="I475" s="120">
        <v>45659</v>
      </c>
      <c r="J475" s="29"/>
      <c r="P475" s="134"/>
      <c r="R475" s="29"/>
    </row>
    <row r="476" spans="1:18" hidden="1">
      <c r="A476" s="147" t="s">
        <v>837</v>
      </c>
      <c r="B476" s="147"/>
      <c r="C476" s="29">
        <v>6508521</v>
      </c>
      <c r="G476" s="29" t="s">
        <v>169</v>
      </c>
      <c r="H476" s="29" t="s">
        <v>838</v>
      </c>
      <c r="I476" s="120">
        <v>45659</v>
      </c>
      <c r="J476" s="29"/>
      <c r="P476" s="134"/>
      <c r="R476" s="29"/>
    </row>
    <row r="477" spans="1:18" hidden="1">
      <c r="A477" s="29" t="s">
        <v>837</v>
      </c>
      <c r="B477" s="29"/>
      <c r="C477" s="29">
        <v>35500215</v>
      </c>
      <c r="G477" s="29" t="s">
        <v>169</v>
      </c>
      <c r="H477" s="29" t="s">
        <v>843</v>
      </c>
      <c r="I477" s="120">
        <v>45659</v>
      </c>
      <c r="J477" s="29"/>
      <c r="P477" s="134"/>
      <c r="R477" s="29" t="s">
        <v>839</v>
      </c>
    </row>
    <row r="478" spans="1:18" hidden="1">
      <c r="A478" s="29" t="s">
        <v>837</v>
      </c>
      <c r="B478" s="29"/>
      <c r="C478" s="29">
        <v>31503960</v>
      </c>
      <c r="G478" s="29" t="s">
        <v>169</v>
      </c>
      <c r="H478" s="29" t="s">
        <v>843</v>
      </c>
      <c r="I478" s="120">
        <v>45659</v>
      </c>
      <c r="J478" s="29"/>
      <c r="P478" s="134"/>
      <c r="R478" s="29" t="s">
        <v>840</v>
      </c>
    </row>
    <row r="479" spans="1:18" hidden="1">
      <c r="A479" s="29" t="s">
        <v>837</v>
      </c>
      <c r="B479" s="29"/>
      <c r="C479" s="29">
        <v>32500495</v>
      </c>
      <c r="G479" s="29" t="s">
        <v>169</v>
      </c>
      <c r="H479" s="29" t="s">
        <v>843</v>
      </c>
      <c r="I479" s="120">
        <v>45659</v>
      </c>
      <c r="J479" s="29"/>
      <c r="P479" s="134"/>
      <c r="R479" s="29" t="s">
        <v>841</v>
      </c>
    </row>
    <row r="480" spans="1:18" hidden="1">
      <c r="A480" s="29" t="s">
        <v>837</v>
      </c>
      <c r="B480" s="29"/>
      <c r="C480" s="29">
        <v>35500151</v>
      </c>
      <c r="G480" s="29" t="s">
        <v>169</v>
      </c>
      <c r="H480" s="29" t="s">
        <v>843</v>
      </c>
      <c r="I480" s="120">
        <v>45659</v>
      </c>
      <c r="J480" s="29"/>
      <c r="P480" s="134"/>
      <c r="R480" s="29" t="s">
        <v>842</v>
      </c>
    </row>
    <row r="481" spans="1:19" hidden="1">
      <c r="A481" s="147" t="s">
        <v>844</v>
      </c>
      <c r="B481" s="147"/>
      <c r="C481" s="29">
        <v>16507757</v>
      </c>
      <c r="G481" s="29" t="s">
        <v>169</v>
      </c>
      <c r="H481" s="29" t="s">
        <v>845</v>
      </c>
      <c r="I481" s="120">
        <v>45673</v>
      </c>
      <c r="J481" s="29"/>
      <c r="K481" s="29"/>
      <c r="L481" s="29"/>
      <c r="M481" s="29"/>
      <c r="N481" s="29"/>
      <c r="O481" s="29"/>
      <c r="P481" s="29"/>
      <c r="Q481" s="81"/>
      <c r="R481" s="29"/>
      <c r="S481" s="123"/>
    </row>
    <row r="482" spans="1:19" hidden="1">
      <c r="A482" s="147" t="s">
        <v>844</v>
      </c>
      <c r="B482" s="147"/>
      <c r="C482" s="29">
        <v>16507726</v>
      </c>
      <c r="G482" s="29" t="s">
        <v>169</v>
      </c>
      <c r="H482" s="29" t="s">
        <v>845</v>
      </c>
      <c r="I482" s="120">
        <v>45673</v>
      </c>
      <c r="J482" s="29"/>
      <c r="K482" s="29"/>
      <c r="L482" s="29"/>
      <c r="M482" s="29"/>
      <c r="N482" s="29"/>
      <c r="O482" s="29"/>
      <c r="P482" s="29"/>
      <c r="Q482" s="81"/>
      <c r="R482" s="29"/>
      <c r="S482" s="123"/>
    </row>
    <row r="483" spans="1:19" hidden="1">
      <c r="A483" s="147" t="s">
        <v>844</v>
      </c>
      <c r="B483" s="147"/>
      <c r="C483" s="29">
        <v>16507808</v>
      </c>
      <c r="G483" s="29" t="s">
        <v>169</v>
      </c>
      <c r="H483" s="29" t="s">
        <v>845</v>
      </c>
      <c r="I483" s="120">
        <v>45673</v>
      </c>
      <c r="J483" s="29"/>
      <c r="K483" s="29"/>
      <c r="L483" s="29"/>
      <c r="M483" s="29"/>
      <c r="N483" s="29"/>
      <c r="O483" s="29"/>
      <c r="P483" s="29"/>
      <c r="Q483" s="81"/>
      <c r="R483" s="29"/>
      <c r="S483" s="123"/>
    </row>
    <row r="484" spans="1:19" hidden="1">
      <c r="A484" s="147" t="s">
        <v>844</v>
      </c>
      <c r="B484" s="147"/>
      <c r="C484" s="29">
        <v>16507786</v>
      </c>
      <c r="G484" s="29" t="s">
        <v>169</v>
      </c>
      <c r="H484" s="29" t="s">
        <v>845</v>
      </c>
      <c r="I484" s="120">
        <v>45673</v>
      </c>
      <c r="J484" s="29"/>
      <c r="K484" s="29"/>
      <c r="L484" s="29"/>
      <c r="M484" s="29"/>
      <c r="N484" s="29"/>
      <c r="O484" s="29"/>
      <c r="P484" s="29"/>
      <c r="Q484" s="81"/>
      <c r="R484" s="29"/>
      <c r="S484" s="123"/>
    </row>
    <row r="485" spans="1:19" hidden="1">
      <c r="A485" s="147" t="s">
        <v>844</v>
      </c>
      <c r="B485" s="147"/>
      <c r="C485" s="29">
        <v>35500151</v>
      </c>
      <c r="G485" s="29" t="s">
        <v>169</v>
      </c>
      <c r="H485" s="29" t="s">
        <v>236</v>
      </c>
      <c r="I485" s="120">
        <v>45692</v>
      </c>
      <c r="J485" s="29"/>
      <c r="K485" s="29"/>
      <c r="L485" s="29"/>
      <c r="M485" s="29"/>
      <c r="N485" s="29"/>
      <c r="O485" s="29"/>
      <c r="P485" s="29"/>
      <c r="Q485" s="81"/>
      <c r="R485" s="29"/>
      <c r="S485" s="123"/>
    </row>
    <row r="486" spans="1:19" hidden="1">
      <c r="A486" s="147" t="s">
        <v>844</v>
      </c>
      <c r="B486" s="147"/>
      <c r="C486" s="29">
        <v>16507757</v>
      </c>
      <c r="G486" s="29" t="s">
        <v>169</v>
      </c>
      <c r="H486" s="29" t="s">
        <v>845</v>
      </c>
      <c r="I486" s="120">
        <v>45673</v>
      </c>
      <c r="J486" s="29"/>
      <c r="P486" s="134"/>
    </row>
    <row r="487" spans="1:19" hidden="1">
      <c r="A487" s="147" t="s">
        <v>844</v>
      </c>
      <c r="B487" s="147"/>
      <c r="C487" s="29">
        <v>16507726</v>
      </c>
      <c r="G487" s="29" t="s">
        <v>169</v>
      </c>
      <c r="H487" s="29" t="s">
        <v>845</v>
      </c>
      <c r="I487" s="120">
        <v>45673</v>
      </c>
      <c r="J487" s="29"/>
      <c r="P487" s="134"/>
    </row>
    <row r="488" spans="1:19" hidden="1">
      <c r="A488" s="147" t="s">
        <v>844</v>
      </c>
      <c r="B488" s="147"/>
      <c r="C488" s="29">
        <v>16507786</v>
      </c>
      <c r="G488" s="29" t="s">
        <v>169</v>
      </c>
      <c r="H488" s="29" t="s">
        <v>845</v>
      </c>
      <c r="I488" s="120">
        <v>45673</v>
      </c>
      <c r="J488" s="29"/>
      <c r="P488" s="134"/>
    </row>
    <row r="489" spans="1:19" hidden="1">
      <c r="A489" s="147" t="s">
        <v>844</v>
      </c>
      <c r="B489" s="147"/>
      <c r="C489" s="29">
        <v>35500151</v>
      </c>
      <c r="G489" s="29" t="s">
        <v>169</v>
      </c>
      <c r="H489" s="29" t="s">
        <v>236</v>
      </c>
      <c r="I489" s="120">
        <v>45692</v>
      </c>
      <c r="J489" s="29"/>
      <c r="P489" s="134"/>
    </row>
    <row r="490" spans="1:19" hidden="1">
      <c r="A490" s="147" t="s">
        <v>846</v>
      </c>
      <c r="B490" s="147"/>
      <c r="C490" s="29">
        <v>21507458</v>
      </c>
      <c r="G490" s="29" t="s">
        <v>169</v>
      </c>
      <c r="H490" s="29" t="s">
        <v>236</v>
      </c>
      <c r="I490" s="120">
        <v>45678</v>
      </c>
      <c r="J490" s="29"/>
      <c r="K490" s="29"/>
      <c r="L490" s="29"/>
      <c r="M490" s="29"/>
      <c r="N490" s="29"/>
      <c r="O490" s="29"/>
      <c r="P490" s="29"/>
      <c r="Q490" s="81"/>
      <c r="R490" s="29"/>
      <c r="S490" s="123"/>
    </row>
    <row r="491" spans="1:19" hidden="1">
      <c r="A491" s="147" t="s">
        <v>846</v>
      </c>
      <c r="B491" s="147"/>
      <c r="C491" s="29">
        <v>21507496</v>
      </c>
      <c r="G491" s="29" t="s">
        <v>169</v>
      </c>
      <c r="H491" s="29" t="s">
        <v>236</v>
      </c>
      <c r="I491" s="120">
        <v>45678</v>
      </c>
      <c r="J491" s="29"/>
      <c r="K491" s="29"/>
      <c r="L491" s="29"/>
      <c r="M491" s="29"/>
      <c r="N491" s="29"/>
      <c r="O491" s="29"/>
      <c r="P491" s="29"/>
      <c r="Q491" s="81"/>
      <c r="R491" s="29"/>
      <c r="S491" s="123"/>
    </row>
    <row r="492" spans="1:19" hidden="1">
      <c r="A492" s="147" t="s">
        <v>846</v>
      </c>
      <c r="B492" s="147"/>
      <c r="C492" s="29">
        <v>21507508</v>
      </c>
      <c r="G492" s="29" t="s">
        <v>169</v>
      </c>
      <c r="H492" s="29" t="s">
        <v>236</v>
      </c>
      <c r="I492" s="120">
        <v>45678</v>
      </c>
      <c r="J492" s="29"/>
      <c r="K492" s="29"/>
      <c r="L492" s="29"/>
      <c r="M492" s="29"/>
      <c r="N492" s="29"/>
      <c r="O492" s="29"/>
      <c r="P492" s="29"/>
      <c r="Q492" s="81"/>
      <c r="R492" s="29"/>
      <c r="S492" s="123"/>
    </row>
    <row r="493" spans="1:19" hidden="1">
      <c r="A493" s="147" t="s">
        <v>846</v>
      </c>
      <c r="B493" s="147"/>
      <c r="C493" s="29">
        <v>21507522</v>
      </c>
      <c r="G493" s="29" t="s">
        <v>169</v>
      </c>
      <c r="H493" s="29" t="s">
        <v>236</v>
      </c>
      <c r="I493" s="120">
        <v>45678</v>
      </c>
      <c r="J493" s="29"/>
      <c r="K493" s="29"/>
      <c r="L493" s="29"/>
      <c r="M493" s="29"/>
      <c r="N493" s="29"/>
      <c r="O493" s="29"/>
      <c r="P493" s="29"/>
      <c r="Q493" s="81"/>
      <c r="R493" s="29"/>
      <c r="S493" s="123"/>
    </row>
    <row r="494" spans="1:19" hidden="1">
      <c r="A494" s="147" t="s">
        <v>846</v>
      </c>
      <c r="B494" s="147"/>
      <c r="C494" s="29">
        <v>15508079</v>
      </c>
      <c r="G494" s="29" t="s">
        <v>169</v>
      </c>
      <c r="H494" s="29" t="s">
        <v>77</v>
      </c>
      <c r="I494" s="120">
        <v>45672</v>
      </c>
      <c r="J494" s="29"/>
      <c r="K494" s="29"/>
      <c r="L494" s="29"/>
      <c r="M494" s="29"/>
      <c r="N494" s="29"/>
      <c r="O494" s="29"/>
      <c r="P494" s="29"/>
      <c r="Q494" s="81"/>
      <c r="R494" s="29"/>
      <c r="S494" s="123"/>
    </row>
    <row r="495" spans="1:19" hidden="1">
      <c r="A495" s="147" t="s">
        <v>846</v>
      </c>
      <c r="B495" s="147"/>
      <c r="C495" s="29">
        <v>15508117</v>
      </c>
      <c r="G495" s="29" t="s">
        <v>169</v>
      </c>
      <c r="H495" s="29" t="s">
        <v>77</v>
      </c>
      <c r="I495" s="120">
        <v>45672</v>
      </c>
      <c r="J495" s="29"/>
      <c r="K495" s="29"/>
      <c r="L495" s="29"/>
      <c r="M495" s="29"/>
      <c r="N495" s="29"/>
      <c r="O495" s="29"/>
      <c r="P495" s="29"/>
      <c r="Q495" s="81"/>
      <c r="R495" s="29"/>
      <c r="S495" s="123"/>
    </row>
    <row r="496" spans="1:19" hidden="1">
      <c r="A496" s="147" t="s">
        <v>846</v>
      </c>
      <c r="B496" s="147"/>
      <c r="C496" s="29">
        <v>15508166</v>
      </c>
      <c r="G496" s="29" t="s">
        <v>169</v>
      </c>
      <c r="H496" s="29" t="s">
        <v>77</v>
      </c>
      <c r="I496" s="120">
        <v>45672</v>
      </c>
      <c r="J496" s="29"/>
      <c r="K496" s="29"/>
      <c r="L496" s="29"/>
      <c r="M496" s="29"/>
      <c r="N496" s="29"/>
      <c r="O496" s="29"/>
      <c r="P496" s="29"/>
      <c r="Q496" s="81"/>
      <c r="R496" s="29"/>
      <c r="S496" s="123"/>
    </row>
    <row r="497" spans="1:19" hidden="1">
      <c r="A497" s="147" t="s">
        <v>846</v>
      </c>
      <c r="B497" s="147"/>
      <c r="C497" s="29">
        <v>15508197</v>
      </c>
      <c r="G497" s="29" t="s">
        <v>169</v>
      </c>
      <c r="H497" s="29" t="s">
        <v>77</v>
      </c>
      <c r="I497" s="120">
        <v>45672</v>
      </c>
      <c r="J497" s="29"/>
      <c r="K497" s="29"/>
      <c r="L497" s="29"/>
      <c r="M497" s="29"/>
      <c r="N497" s="29"/>
      <c r="O497" s="29"/>
      <c r="P497" s="29"/>
      <c r="Q497" s="81"/>
      <c r="R497" s="29"/>
      <c r="S497" s="123"/>
    </row>
    <row r="498" spans="1:19" hidden="1">
      <c r="A498" s="147" t="s">
        <v>846</v>
      </c>
      <c r="B498" s="147"/>
      <c r="C498" s="29">
        <v>15508138</v>
      </c>
      <c r="G498" s="29" t="s">
        <v>169</v>
      </c>
      <c r="H498" s="29" t="s">
        <v>77</v>
      </c>
      <c r="I498" s="120">
        <v>45672</v>
      </c>
      <c r="J498" s="29"/>
      <c r="K498" s="29"/>
      <c r="L498" s="29"/>
      <c r="M498" s="29"/>
      <c r="N498" s="29"/>
      <c r="O498" s="29"/>
      <c r="P498" s="29"/>
      <c r="Q498" s="81"/>
      <c r="R498" s="29"/>
      <c r="S498" s="123"/>
    </row>
    <row r="499" spans="1:19" hidden="1">
      <c r="A499" s="147" t="s">
        <v>846</v>
      </c>
      <c r="B499" s="147"/>
      <c r="C499" s="29">
        <v>15508079</v>
      </c>
      <c r="G499" s="29" t="s">
        <v>169</v>
      </c>
      <c r="H499" s="29" t="s">
        <v>77</v>
      </c>
      <c r="I499" s="120">
        <v>45672</v>
      </c>
      <c r="J499" s="29"/>
      <c r="P499" s="134"/>
    </row>
    <row r="500" spans="1:19" hidden="1">
      <c r="A500" s="147" t="s">
        <v>846</v>
      </c>
      <c r="B500" s="147"/>
      <c r="C500" s="29">
        <v>15508117</v>
      </c>
      <c r="G500" s="29" t="s">
        <v>169</v>
      </c>
      <c r="H500" s="29" t="s">
        <v>77</v>
      </c>
      <c r="I500" s="120">
        <v>45672</v>
      </c>
      <c r="J500" s="29"/>
      <c r="P500" s="134"/>
    </row>
    <row r="501" spans="1:19" hidden="1">
      <c r="A501" s="147" t="s">
        <v>846</v>
      </c>
      <c r="B501" s="147"/>
      <c r="C501" s="29">
        <v>15508166</v>
      </c>
      <c r="G501" s="29" t="s">
        <v>169</v>
      </c>
      <c r="H501" s="29" t="s">
        <v>77</v>
      </c>
      <c r="I501" s="120">
        <v>45672</v>
      </c>
      <c r="J501" s="29"/>
      <c r="P501" s="134"/>
    </row>
    <row r="502" spans="1:19" hidden="1">
      <c r="A502" s="147" t="s">
        <v>846</v>
      </c>
      <c r="B502" s="147"/>
      <c r="C502" s="29">
        <v>15508197</v>
      </c>
      <c r="G502" s="29" t="s">
        <v>169</v>
      </c>
      <c r="H502" s="29" t="s">
        <v>77</v>
      </c>
      <c r="I502" s="120">
        <v>45672</v>
      </c>
      <c r="J502" s="29"/>
      <c r="P502" s="134"/>
    </row>
    <row r="503" spans="1:19" hidden="1">
      <c r="A503" s="147" t="s">
        <v>846</v>
      </c>
      <c r="B503" s="147"/>
      <c r="C503" s="29">
        <v>15508138</v>
      </c>
      <c r="G503" s="29" t="s">
        <v>169</v>
      </c>
      <c r="H503" s="29" t="s">
        <v>77</v>
      </c>
      <c r="I503" s="120">
        <v>45672</v>
      </c>
      <c r="J503" s="29"/>
      <c r="P503" s="134"/>
    </row>
    <row r="504" spans="1:19" hidden="1">
      <c r="A504" s="147" t="s">
        <v>846</v>
      </c>
      <c r="B504" s="147"/>
      <c r="C504" s="29">
        <v>21507458</v>
      </c>
      <c r="G504" s="29" t="s">
        <v>169</v>
      </c>
      <c r="H504" s="29" t="s">
        <v>236</v>
      </c>
      <c r="I504" s="120">
        <v>45678</v>
      </c>
      <c r="J504" s="29"/>
      <c r="P504" s="134"/>
    </row>
    <row r="505" spans="1:19" hidden="1">
      <c r="A505" s="147" t="s">
        <v>846</v>
      </c>
      <c r="B505" s="147"/>
      <c r="C505" s="29">
        <v>21507496</v>
      </c>
      <c r="G505" s="29" t="s">
        <v>169</v>
      </c>
      <c r="H505" s="29" t="s">
        <v>236</v>
      </c>
      <c r="I505" s="120">
        <v>45678</v>
      </c>
      <c r="J505" s="29"/>
      <c r="P505" s="134"/>
    </row>
    <row r="506" spans="1:19" hidden="1">
      <c r="A506" s="147" t="s">
        <v>846</v>
      </c>
      <c r="B506" s="147"/>
      <c r="C506" s="29">
        <v>21507508</v>
      </c>
      <c r="G506" s="29" t="s">
        <v>169</v>
      </c>
      <c r="H506" s="29" t="s">
        <v>236</v>
      </c>
      <c r="I506" s="120">
        <v>45678</v>
      </c>
      <c r="J506" s="29"/>
      <c r="P506" s="134"/>
    </row>
    <row r="507" spans="1:19" hidden="1">
      <c r="A507" s="147" t="s">
        <v>846</v>
      </c>
      <c r="B507" s="147"/>
      <c r="C507" s="29">
        <v>21507522</v>
      </c>
      <c r="G507" s="29" t="s">
        <v>169</v>
      </c>
      <c r="H507" s="29" t="s">
        <v>236</v>
      </c>
      <c r="I507" s="120">
        <v>45678</v>
      </c>
      <c r="J507" s="29"/>
      <c r="P507" s="134"/>
    </row>
    <row r="508" spans="1:19" hidden="1">
      <c r="A508" s="147" t="s">
        <v>847</v>
      </c>
      <c r="B508" s="147"/>
      <c r="C508" s="29">
        <v>15508269</v>
      </c>
      <c r="G508" s="29" t="s">
        <v>169</v>
      </c>
      <c r="H508" s="29" t="s">
        <v>77</v>
      </c>
      <c r="I508" s="120">
        <v>45672</v>
      </c>
      <c r="J508" s="29"/>
      <c r="P508" s="134"/>
    </row>
    <row r="509" spans="1:19" hidden="1">
      <c r="A509" s="147" t="s">
        <v>847</v>
      </c>
      <c r="B509" s="147"/>
      <c r="C509" s="29">
        <v>15508306</v>
      </c>
      <c r="G509" s="29" t="s">
        <v>169</v>
      </c>
      <c r="H509" s="29" t="s">
        <v>77</v>
      </c>
      <c r="I509" s="120">
        <v>45672</v>
      </c>
      <c r="J509" s="29"/>
      <c r="P509" s="134"/>
    </row>
    <row r="510" spans="1:19" hidden="1">
      <c r="A510" s="147" t="s">
        <v>847</v>
      </c>
      <c r="B510" s="147"/>
      <c r="C510" s="29">
        <v>15508345</v>
      </c>
      <c r="G510" s="29" t="s">
        <v>169</v>
      </c>
      <c r="H510" s="29" t="s">
        <v>77</v>
      </c>
      <c r="I510" s="120">
        <v>45672</v>
      </c>
      <c r="J510" s="29"/>
      <c r="P510" s="134"/>
    </row>
    <row r="511" spans="1:19" hidden="1">
      <c r="A511" s="147" t="s">
        <v>847</v>
      </c>
      <c r="B511" s="147"/>
      <c r="C511" s="29">
        <v>15508377</v>
      </c>
      <c r="G511" s="29" t="s">
        <v>169</v>
      </c>
      <c r="H511" s="29" t="s">
        <v>77</v>
      </c>
      <c r="I511" s="120">
        <v>45672</v>
      </c>
      <c r="J511" s="29"/>
      <c r="P511" s="134"/>
    </row>
    <row r="512" spans="1:19" hidden="1">
      <c r="A512" s="147" t="s">
        <v>847</v>
      </c>
      <c r="B512" s="147"/>
      <c r="C512" s="29">
        <v>21507541</v>
      </c>
      <c r="G512" s="29" t="s">
        <v>169</v>
      </c>
      <c r="H512" s="29" t="s">
        <v>236</v>
      </c>
      <c r="I512" s="120">
        <v>45678</v>
      </c>
      <c r="J512" s="29"/>
      <c r="P512" s="134"/>
    </row>
    <row r="513" spans="1:19" hidden="1">
      <c r="A513" s="147" t="s">
        <v>847</v>
      </c>
      <c r="B513" s="147"/>
      <c r="C513" s="29">
        <v>21507542</v>
      </c>
      <c r="G513" s="29" t="s">
        <v>169</v>
      </c>
      <c r="H513" s="29" t="s">
        <v>236</v>
      </c>
      <c r="I513" s="120">
        <v>45678</v>
      </c>
      <c r="J513" s="29"/>
      <c r="P513" s="134"/>
    </row>
    <row r="514" spans="1:19" hidden="1">
      <c r="A514" s="147" t="s">
        <v>847</v>
      </c>
      <c r="B514" s="147"/>
      <c r="C514" s="29">
        <v>21507549</v>
      </c>
      <c r="G514" s="29" t="s">
        <v>169</v>
      </c>
      <c r="H514" s="29" t="s">
        <v>236</v>
      </c>
      <c r="I514" s="120">
        <v>45678</v>
      </c>
      <c r="J514" s="29"/>
      <c r="P514" s="134"/>
    </row>
    <row r="515" spans="1:19" hidden="1">
      <c r="A515" s="147" t="s">
        <v>847</v>
      </c>
      <c r="B515" s="147"/>
      <c r="C515" s="29">
        <v>21507541</v>
      </c>
      <c r="G515" s="29" t="s">
        <v>169</v>
      </c>
      <c r="H515" s="29" t="s">
        <v>236</v>
      </c>
      <c r="I515" s="120">
        <v>45678</v>
      </c>
      <c r="J515" s="29"/>
      <c r="K515" s="29"/>
      <c r="L515" s="29"/>
      <c r="M515" s="29"/>
      <c r="N515" s="29"/>
      <c r="O515" s="29"/>
      <c r="P515" s="29"/>
      <c r="Q515" s="81"/>
      <c r="R515" s="29"/>
      <c r="S515" s="123"/>
    </row>
    <row r="516" spans="1:19" hidden="1">
      <c r="A516" s="147" t="s">
        <v>847</v>
      </c>
      <c r="B516" s="147"/>
      <c r="C516" s="29">
        <v>21507542</v>
      </c>
      <c r="G516" s="29" t="s">
        <v>169</v>
      </c>
      <c r="H516" s="29" t="s">
        <v>236</v>
      </c>
      <c r="I516" s="120">
        <v>45678</v>
      </c>
      <c r="J516" s="29"/>
      <c r="K516" s="29"/>
      <c r="L516" s="29"/>
      <c r="M516" s="29"/>
      <c r="N516" s="29"/>
      <c r="O516" s="29"/>
      <c r="P516" s="29"/>
      <c r="Q516" s="81"/>
      <c r="R516" s="29"/>
      <c r="S516" s="123"/>
    </row>
    <row r="517" spans="1:19" hidden="1">
      <c r="A517" s="147" t="s">
        <v>847</v>
      </c>
      <c r="B517" s="147"/>
      <c r="C517" s="29">
        <v>21507549</v>
      </c>
      <c r="G517" s="29" t="s">
        <v>169</v>
      </c>
      <c r="H517" s="29" t="s">
        <v>236</v>
      </c>
      <c r="I517" s="120">
        <v>45678</v>
      </c>
      <c r="J517" s="29"/>
      <c r="K517" s="29"/>
      <c r="L517" s="29"/>
      <c r="M517" s="29"/>
      <c r="N517" s="29"/>
      <c r="O517" s="29"/>
      <c r="P517" s="29"/>
      <c r="Q517" s="81"/>
      <c r="R517" s="29"/>
      <c r="S517" s="123"/>
    </row>
    <row r="518" spans="1:19" hidden="1">
      <c r="A518" s="147" t="s">
        <v>847</v>
      </c>
      <c r="B518" s="147"/>
      <c r="C518" s="29">
        <v>21507550</v>
      </c>
      <c r="G518" s="29" t="s">
        <v>169</v>
      </c>
      <c r="H518" s="29" t="s">
        <v>236</v>
      </c>
      <c r="I518" s="120">
        <v>45678</v>
      </c>
      <c r="J518" s="29"/>
      <c r="K518" s="29"/>
      <c r="L518" s="29"/>
      <c r="M518" s="29"/>
      <c r="N518" s="29"/>
      <c r="O518" s="29"/>
      <c r="P518" s="29"/>
      <c r="Q518" s="81"/>
      <c r="R518" s="29"/>
      <c r="S518" s="123"/>
    </row>
    <row r="519" spans="1:19" hidden="1">
      <c r="A519" s="147" t="s">
        <v>847</v>
      </c>
      <c r="B519" s="147"/>
      <c r="C519" s="29">
        <v>15508269</v>
      </c>
      <c r="G519" s="29" t="s">
        <v>169</v>
      </c>
      <c r="H519" s="29" t="s">
        <v>77</v>
      </c>
      <c r="I519" s="120">
        <v>45672</v>
      </c>
      <c r="J519" s="29"/>
      <c r="K519" s="29"/>
      <c r="L519" s="29"/>
      <c r="M519" s="29"/>
      <c r="N519" s="29"/>
      <c r="O519" s="29"/>
      <c r="P519" s="29"/>
      <c r="Q519" s="81"/>
      <c r="R519" s="29"/>
      <c r="S519" s="123"/>
    </row>
    <row r="520" spans="1:19" hidden="1">
      <c r="A520" s="147" t="s">
        <v>847</v>
      </c>
      <c r="B520" s="147"/>
      <c r="C520" s="29">
        <v>15508306</v>
      </c>
      <c r="G520" s="29" t="s">
        <v>169</v>
      </c>
      <c r="H520" s="29" t="s">
        <v>77</v>
      </c>
      <c r="I520" s="120">
        <v>45672</v>
      </c>
      <c r="J520" s="29"/>
      <c r="K520" s="29"/>
      <c r="L520" s="29"/>
      <c r="M520" s="29"/>
      <c r="N520" s="29"/>
      <c r="O520" s="29"/>
      <c r="P520" s="29"/>
      <c r="Q520" s="81"/>
      <c r="R520" s="29"/>
      <c r="S520" s="123"/>
    </row>
    <row r="521" spans="1:19" hidden="1">
      <c r="A521" s="147" t="s">
        <v>847</v>
      </c>
      <c r="B521" s="147"/>
      <c r="C521" s="29">
        <v>15508345</v>
      </c>
      <c r="G521" s="29" t="s">
        <v>169</v>
      </c>
      <c r="H521" s="29" t="s">
        <v>77</v>
      </c>
      <c r="I521" s="120">
        <v>45672</v>
      </c>
      <c r="J521" s="29"/>
      <c r="K521" s="29"/>
      <c r="L521" s="29"/>
      <c r="M521" s="29"/>
      <c r="N521" s="29"/>
      <c r="O521" s="29"/>
      <c r="P521" s="29"/>
      <c r="Q521" s="81"/>
      <c r="R521" s="29"/>
      <c r="S521" s="123"/>
    </row>
    <row r="522" spans="1:19" hidden="1">
      <c r="A522" s="147" t="s">
        <v>847</v>
      </c>
      <c r="B522" s="147"/>
      <c r="C522" s="29">
        <v>15508377</v>
      </c>
      <c r="G522" s="29" t="s">
        <v>169</v>
      </c>
      <c r="H522" s="29" t="s">
        <v>77</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hidden="1">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hidden="1">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hidden="1">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hidden="1">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hidden="1">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hidden="1">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169</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169</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169</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169</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169</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169</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169</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169</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169</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169</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169</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169</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169</v>
      </c>
      <c r="H543" s="29" t="s">
        <v>838</v>
      </c>
      <c r="I543" s="120">
        <v>45659</v>
      </c>
      <c r="J543" s="120">
        <f>WORKDAY(I543, 3)</f>
        <v>45664</v>
      </c>
      <c r="K543" s="120"/>
      <c r="L543" s="120"/>
      <c r="M543" s="120"/>
      <c r="N543" s="120"/>
      <c r="O543" s="119" t="s">
        <v>850</v>
      </c>
      <c r="P543" s="120"/>
      <c r="Q543" s="135"/>
      <c r="R543" s="29"/>
      <c r="S543" s="123"/>
    </row>
    <row r="544" spans="1:19" hidden="1">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hidden="1">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hidden="1">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hidden="1">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hidden="1">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hidden="1">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hidden="1">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hidden="1">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hidden="1">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hidden="1">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hidden="1">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hidden="1">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hidden="1">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hidden="1">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hidden="1">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hidden="1">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hidden="1">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hidden="1">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hidden="1">
      <c r="A562" s="147" t="s">
        <v>852</v>
      </c>
      <c r="B562" s="147"/>
      <c r="C562" s="41">
        <v>16500038</v>
      </c>
      <c r="D562" s="41"/>
      <c r="F562" s="41"/>
      <c r="G562" s="29" t="s">
        <v>169</v>
      </c>
      <c r="H562" s="29" t="s">
        <v>236</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169</v>
      </c>
      <c r="H563" s="29" t="s">
        <v>236</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169</v>
      </c>
      <c r="H564" s="29" t="s">
        <v>236</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169</v>
      </c>
      <c r="H565" s="29" t="s">
        <v>236</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169</v>
      </c>
      <c r="H566" s="29" t="s">
        <v>236</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169</v>
      </c>
      <c r="H567" s="29" t="s">
        <v>236</v>
      </c>
      <c r="I567" s="120">
        <v>45673</v>
      </c>
      <c r="J567" s="120">
        <f>WORKDAY(I567, 3)</f>
        <v>45678</v>
      </c>
      <c r="K567" s="120"/>
      <c r="L567" s="120"/>
      <c r="M567" s="120"/>
      <c r="N567" s="120"/>
      <c r="O567" s="119" t="s">
        <v>850</v>
      </c>
      <c r="P567" s="120"/>
      <c r="Q567" s="135"/>
      <c r="R567" s="29" t="s">
        <v>858</v>
      </c>
      <c r="S567" s="123"/>
    </row>
    <row r="568" spans="1:19" hidden="1">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hidden="1">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hidden="1">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hidden="1">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hidden="1">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hidden="1">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hidden="1">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hidden="1">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hidden="1">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hidden="1">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hidden="1">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hidden="1">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hidden="1">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hidden="1">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hidden="1">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hidden="1">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hidden="1">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hidden="1">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hidden="1">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hidden="1">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hidden="1">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hidden="1">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hidden="1">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hidden="1">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hidden="1">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hidden="1">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hidden="1">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hidden="1">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hidden="1">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hidden="1">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hidden="1">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hidden="1">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hidden="1">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hidden="1">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hidden="1">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hidden="1">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hidden="1">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hidden="1">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hidden="1">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hidden="1">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hidden="1">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hidden="1">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hidden="1">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hidden="1">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hidden="1">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hidden="1">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hidden="1">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hidden="1">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hidden="1">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hidden="1">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hidden="1">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hidden="1">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hidden="1">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hidden="1">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hidden="1">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hidden="1">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hidden="1">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hidden="1">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hidden="1">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hidden="1">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hidden="1">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hidden="1">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hidden="1">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hidden="1">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hidden="1">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hidden="1">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hidden="1">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hidden="1">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hidden="1">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hidden="1">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hidden="1">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hidden="1">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hidden="1">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hidden="1">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hidden="1">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hidden="1">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hidden="1">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hidden="1">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hidden="1">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hidden="1">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hidden="1">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hidden="1">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hidden="1">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hidden="1">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hidden="1">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hidden="1">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hidden="1">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hidden="1">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hidden="1">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hidden="1">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hidden="1">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hidden="1">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hidden="1">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hidden="1">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hidden="1">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hidden="1">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hidden="1">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hidden="1">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hidden="1">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hidden="1">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hidden="1">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hidden="1">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hidden="1">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hidden="1">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hidden="1">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hidden="1">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hidden="1">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hidden="1">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hidden="1">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hidden="1">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hidden="1">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hidden="1">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hidden="1">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hidden="1">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hidden="1">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hidden="1">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hidden="1">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hidden="1">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hidden="1">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hidden="1">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hidden="1">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hidden="1">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hidden="1">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hidden="1">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hidden="1">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hidden="1">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hidden="1">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hidden="1">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hidden="1">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hidden="1">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hidden="1">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hidden="1">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hidden="1">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hidden="1">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hidden="1">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hidden="1">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hidden="1">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hidden="1">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hidden="1">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hidden="1">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hidden="1">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hidden="1">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hidden="1">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hidden="1">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hidden="1">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hidden="1">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hidden="1">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hidden="1">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hidden="1">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hidden="1">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hidden="1">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hidden="1">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hidden="1">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hidden="1">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hidden="1">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hidden="1">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hidden="1">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hidden="1">
      <c r="A725" s="29" t="s">
        <v>289</v>
      </c>
      <c r="B725" s="29"/>
      <c r="C725" s="29">
        <v>35509586</v>
      </c>
      <c r="D725" s="29"/>
      <c r="F725" s="29"/>
      <c r="G725" s="29" t="s">
        <v>744</v>
      </c>
      <c r="H725" s="29" t="s">
        <v>201</v>
      </c>
      <c r="I725" s="120">
        <v>45691</v>
      </c>
      <c r="J725" s="120">
        <f>WORKDAY(I725, 3)</f>
        <v>45694</v>
      </c>
      <c r="K725" s="120">
        <v>45729</v>
      </c>
      <c r="L725" s="120"/>
      <c r="M725" s="120"/>
      <c r="N725" s="120"/>
      <c r="O725" s="119" t="s">
        <v>850</v>
      </c>
      <c r="P725" s="120"/>
      <c r="Q725" s="135"/>
      <c r="R725" s="29" t="s">
        <v>290</v>
      </c>
      <c r="S725" s="123"/>
    </row>
    <row r="726" spans="1:19" hidden="1">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hidden="1">
      <c r="A727" s="29" t="s">
        <v>859</v>
      </c>
      <c r="B727" s="29"/>
      <c r="C727" s="121">
        <v>36504907</v>
      </c>
      <c r="D727" s="121"/>
      <c r="F727" s="121"/>
      <c r="G727" s="29" t="s">
        <v>169</v>
      </c>
      <c r="H727" s="29" t="s">
        <v>236</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169</v>
      </c>
      <c r="H728" s="29" t="s">
        <v>236</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169</v>
      </c>
      <c r="H729" s="29" t="s">
        <v>236</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169</v>
      </c>
      <c r="H730" s="29" t="s">
        <v>236</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169</v>
      </c>
      <c r="H731" s="29" t="s">
        <v>236</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169</v>
      </c>
      <c r="H732" s="29" t="s">
        <v>236</v>
      </c>
      <c r="I732" s="120">
        <v>45692</v>
      </c>
      <c r="J732" s="120">
        <f>WORKDAY(I732, 3)</f>
        <v>45695</v>
      </c>
      <c r="K732" s="120"/>
      <c r="L732" s="120"/>
      <c r="M732" s="120"/>
      <c r="N732" s="120"/>
      <c r="O732" s="119" t="s">
        <v>850</v>
      </c>
      <c r="P732" s="120"/>
      <c r="Q732" s="135"/>
      <c r="R732" s="29"/>
      <c r="S732" s="123"/>
    </row>
    <row r="733" spans="1:19" hidden="1">
      <c r="A733" s="29" t="s">
        <v>353</v>
      </c>
      <c r="B733" s="29"/>
      <c r="C733" s="29">
        <v>36501666</v>
      </c>
      <c r="D733" s="29"/>
      <c r="F733" s="29"/>
      <c r="G733" s="29" t="s">
        <v>744</v>
      </c>
      <c r="H733" s="29" t="s">
        <v>201</v>
      </c>
      <c r="I733" s="120">
        <v>45692</v>
      </c>
      <c r="J733" s="120">
        <f>WORKDAY(I733, 3)</f>
        <v>45695</v>
      </c>
      <c r="K733" s="120"/>
      <c r="L733" s="120"/>
      <c r="M733" s="120"/>
      <c r="N733" s="120">
        <v>45697</v>
      </c>
      <c r="O733" s="119" t="s">
        <v>10</v>
      </c>
      <c r="P733" s="152"/>
      <c r="Q733" s="153"/>
      <c r="R733" s="29" t="s">
        <v>354</v>
      </c>
      <c r="S733" s="123"/>
    </row>
    <row r="734" spans="1:19" hidden="1">
      <c r="A734" s="29" t="s">
        <v>353</v>
      </c>
      <c r="B734" s="29"/>
      <c r="C734" s="29">
        <v>36501547</v>
      </c>
      <c r="D734" s="29"/>
      <c r="F734" s="29"/>
      <c r="G734" s="29" t="s">
        <v>744</v>
      </c>
      <c r="H734" s="29" t="s">
        <v>201</v>
      </c>
      <c r="I734" s="120">
        <v>45692</v>
      </c>
      <c r="J734" s="120">
        <f>WORKDAY(I734, 3)</f>
        <v>45695</v>
      </c>
      <c r="K734" s="120">
        <v>45729</v>
      </c>
      <c r="L734" s="120"/>
      <c r="M734" s="120"/>
      <c r="N734" s="120"/>
      <c r="O734" s="119" t="s">
        <v>860</v>
      </c>
      <c r="P734" s="120"/>
      <c r="Q734" s="135"/>
      <c r="R734" s="29" t="s">
        <v>355</v>
      </c>
      <c r="S734" s="123"/>
    </row>
    <row r="735" spans="1:19" hidden="1">
      <c r="A735" s="29" t="s">
        <v>353</v>
      </c>
      <c r="B735" s="29"/>
      <c r="C735" s="29">
        <v>36501450</v>
      </c>
      <c r="D735" s="29"/>
      <c r="F735" s="29"/>
      <c r="G735" s="29" t="s">
        <v>744</v>
      </c>
      <c r="H735" s="29" t="s">
        <v>201</v>
      </c>
      <c r="I735" s="120">
        <v>45692</v>
      </c>
      <c r="J735" s="120">
        <f>WORKDAY(I735, 3)</f>
        <v>45695</v>
      </c>
      <c r="K735" s="120">
        <v>45729</v>
      </c>
      <c r="L735" s="120"/>
      <c r="M735" s="120"/>
      <c r="N735" s="120"/>
      <c r="O735" s="119" t="s">
        <v>860</v>
      </c>
      <c r="P735" s="120"/>
      <c r="Q735" s="135"/>
      <c r="R735" s="29" t="s">
        <v>356</v>
      </c>
      <c r="S735" s="123"/>
    </row>
    <row r="736" spans="1:19" hidden="1">
      <c r="A736" s="29" t="s">
        <v>353</v>
      </c>
      <c r="B736" s="29"/>
      <c r="C736" s="29">
        <v>36501361</v>
      </c>
      <c r="D736" s="29"/>
      <c r="F736" s="29"/>
      <c r="G736" s="29" t="s">
        <v>744</v>
      </c>
      <c r="H736" s="29" t="s">
        <v>201</v>
      </c>
      <c r="I736" s="120">
        <v>45692</v>
      </c>
      <c r="J736" s="120">
        <f>WORKDAY(I736, 3)</f>
        <v>45695</v>
      </c>
      <c r="K736" s="120">
        <v>45729</v>
      </c>
      <c r="L736" s="120"/>
      <c r="M736" s="120"/>
      <c r="N736" s="120"/>
      <c r="O736" s="119" t="s">
        <v>860</v>
      </c>
      <c r="P736" s="120"/>
      <c r="Q736" s="135"/>
      <c r="R736" s="29" t="s">
        <v>357</v>
      </c>
      <c r="S736" s="123"/>
    </row>
    <row r="737" spans="1:19" hidden="1">
      <c r="A737" s="29" t="s">
        <v>353</v>
      </c>
      <c r="B737" s="29"/>
      <c r="C737" s="29">
        <v>35509604</v>
      </c>
      <c r="D737" s="29"/>
      <c r="F737" s="29"/>
      <c r="G737" s="29" t="s">
        <v>744</v>
      </c>
      <c r="H737" s="29" t="s">
        <v>201</v>
      </c>
      <c r="I737" s="120">
        <v>45692</v>
      </c>
      <c r="J737" s="120">
        <f>WORKDAY(I737, 3)</f>
        <v>45695</v>
      </c>
      <c r="K737" s="120"/>
      <c r="L737" s="120"/>
      <c r="M737" s="120"/>
      <c r="N737" s="120">
        <v>45697</v>
      </c>
      <c r="O737" s="119" t="s">
        <v>10</v>
      </c>
      <c r="P737" s="152"/>
      <c r="Q737" s="153"/>
      <c r="R737" s="29" t="s">
        <v>290</v>
      </c>
      <c r="S737" s="123"/>
    </row>
    <row r="738" spans="1:19" hidden="1">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hidden="1">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hidden="1">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hidden="1">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hidden="1">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hidden="1">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hidden="1">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hidden="1">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hidden="1">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hidden="1">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hidden="1">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hidden="1">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hidden="1">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hidden="1">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hidden="1">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hidden="1">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hidden="1">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hidden="1">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hidden="1">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hidden="1">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hidden="1">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hidden="1">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hidden="1">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hidden="1">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hidden="1">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hidden="1">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hidden="1">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hidden="1">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hidden="1">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hidden="1">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hidden="1">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hidden="1">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hidden="1">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hidden="1">
      <c r="A771" s="29" t="s">
        <v>379</v>
      </c>
      <c r="B771" s="29"/>
      <c r="C771" s="29">
        <v>41510040</v>
      </c>
      <c r="D771" s="29"/>
      <c r="F771" s="29"/>
      <c r="G771" s="29" t="s">
        <v>744</v>
      </c>
      <c r="H771" s="29" t="s">
        <v>201</v>
      </c>
      <c r="I771" s="120">
        <v>45694</v>
      </c>
      <c r="J771" s="120">
        <f>WORKDAY(I771, 3)</f>
        <v>45699</v>
      </c>
      <c r="K771" s="120"/>
      <c r="L771" s="120"/>
      <c r="M771" s="120"/>
      <c r="N771" s="120">
        <v>45709</v>
      </c>
      <c r="O771" s="119" t="s">
        <v>10</v>
      </c>
      <c r="P771" s="152"/>
      <c r="Q771" s="153"/>
      <c r="R771" s="29" t="s">
        <v>380</v>
      </c>
      <c r="S771" s="123"/>
    </row>
    <row r="772" spans="1:19" hidden="1">
      <c r="A772" s="29" t="s">
        <v>379</v>
      </c>
      <c r="B772" s="29"/>
      <c r="C772" s="29">
        <v>41510026</v>
      </c>
      <c r="D772" s="29"/>
      <c r="F772" s="29"/>
      <c r="G772" s="29" t="s">
        <v>744</v>
      </c>
      <c r="H772" s="29" t="s">
        <v>201</v>
      </c>
      <c r="I772" s="120">
        <v>45694</v>
      </c>
      <c r="J772" s="120">
        <f>WORKDAY(I772, 3)</f>
        <v>45699</v>
      </c>
      <c r="K772" s="120"/>
      <c r="L772" s="120"/>
      <c r="M772" s="120"/>
      <c r="N772" s="120">
        <v>45710</v>
      </c>
      <c r="O772" s="119" t="s">
        <v>10</v>
      </c>
      <c r="P772" s="152"/>
      <c r="Q772" s="153"/>
      <c r="R772" s="29" t="s">
        <v>381</v>
      </c>
      <c r="S772" s="123"/>
    </row>
    <row r="773" spans="1:19" hidden="1">
      <c r="A773" s="29" t="s">
        <v>379</v>
      </c>
      <c r="B773" s="29"/>
      <c r="C773" s="29">
        <v>41510021</v>
      </c>
      <c r="D773" s="29"/>
      <c r="F773" s="29"/>
      <c r="G773" s="29" t="s">
        <v>744</v>
      </c>
      <c r="H773" s="29" t="s">
        <v>201</v>
      </c>
      <c r="I773" s="120">
        <v>45694</v>
      </c>
      <c r="J773" s="120">
        <f>WORKDAY(I773, 3)</f>
        <v>45699</v>
      </c>
      <c r="K773" s="120"/>
      <c r="L773" s="120"/>
      <c r="M773" s="120"/>
      <c r="N773" s="120">
        <v>45703</v>
      </c>
      <c r="O773" s="119" t="s">
        <v>10</v>
      </c>
      <c r="P773" s="152"/>
      <c r="Q773" s="153"/>
      <c r="R773" s="29" t="s">
        <v>382</v>
      </c>
      <c r="S773" s="123"/>
    </row>
    <row r="774" spans="1:19" hidden="1">
      <c r="A774" s="29" t="s">
        <v>379</v>
      </c>
      <c r="B774" s="29"/>
      <c r="C774" s="29">
        <v>41510011</v>
      </c>
      <c r="D774" s="29"/>
      <c r="F774" s="29"/>
      <c r="G774" s="29" t="s">
        <v>744</v>
      </c>
      <c r="H774" s="29" t="s">
        <v>201</v>
      </c>
      <c r="I774" s="120">
        <v>45694</v>
      </c>
      <c r="J774" s="120">
        <f>WORKDAY(I774, 3)</f>
        <v>45699</v>
      </c>
      <c r="K774" s="120"/>
      <c r="L774" s="120"/>
      <c r="M774" s="120"/>
      <c r="N774" s="120">
        <v>45710</v>
      </c>
      <c r="O774" s="119" t="s">
        <v>10</v>
      </c>
      <c r="P774" s="152"/>
      <c r="Q774" s="153"/>
      <c r="R774" s="29" t="s">
        <v>383</v>
      </c>
      <c r="S774" s="123"/>
    </row>
    <row r="775" spans="1:19" hidden="1">
      <c r="A775" s="29" t="s">
        <v>379</v>
      </c>
      <c r="B775" s="29"/>
      <c r="C775" s="29">
        <v>41510009</v>
      </c>
      <c r="D775" s="29"/>
      <c r="F775" s="29"/>
      <c r="G775" s="29" t="s">
        <v>744</v>
      </c>
      <c r="H775" s="29" t="s">
        <v>201</v>
      </c>
      <c r="I775" s="120">
        <v>45694</v>
      </c>
      <c r="J775" s="120">
        <f>WORKDAY(I775, 3)</f>
        <v>45699</v>
      </c>
      <c r="K775" s="120"/>
      <c r="L775" s="120"/>
      <c r="M775" s="120"/>
      <c r="N775" s="120">
        <v>45701</v>
      </c>
      <c r="O775" s="119" t="s">
        <v>10</v>
      </c>
      <c r="P775" s="152"/>
      <c r="Q775" s="153"/>
      <c r="R775" s="29" t="s">
        <v>384</v>
      </c>
      <c r="S775" s="123"/>
    </row>
    <row r="776" spans="1:19" hidden="1">
      <c r="A776" s="29" t="s">
        <v>379</v>
      </c>
      <c r="B776" s="29"/>
      <c r="C776" s="29">
        <v>41509998</v>
      </c>
      <c r="D776" s="29"/>
      <c r="F776" s="29"/>
      <c r="G776" s="29" t="s">
        <v>744</v>
      </c>
      <c r="H776" s="29" t="s">
        <v>201</v>
      </c>
      <c r="I776" s="120">
        <v>45694</v>
      </c>
      <c r="J776" s="120">
        <f>WORKDAY(I776, 3)</f>
        <v>45699</v>
      </c>
      <c r="K776" s="120"/>
      <c r="L776" s="120"/>
      <c r="M776" s="120"/>
      <c r="N776" s="148"/>
      <c r="O776" s="119" t="s">
        <v>850</v>
      </c>
      <c r="P776" s="148"/>
      <c r="Q776" s="154"/>
      <c r="R776" s="29" t="s">
        <v>383</v>
      </c>
      <c r="S776" s="123"/>
    </row>
    <row r="777" spans="1:19" hidden="1">
      <c r="A777" s="29" t="s">
        <v>379</v>
      </c>
      <c r="B777" s="29"/>
      <c r="C777" s="29">
        <v>41509965</v>
      </c>
      <c r="D777" s="29"/>
      <c r="F777" s="29"/>
      <c r="G777" s="29" t="s">
        <v>744</v>
      </c>
      <c r="H777" s="29" t="s">
        <v>201</v>
      </c>
      <c r="I777" s="120">
        <v>45694</v>
      </c>
      <c r="J777" s="120">
        <f>WORKDAY(I777, 3)</f>
        <v>45699</v>
      </c>
      <c r="K777" s="120"/>
      <c r="L777" s="120"/>
      <c r="M777" s="120"/>
      <c r="N777" s="120">
        <v>45709</v>
      </c>
      <c r="O777" s="119" t="s">
        <v>10</v>
      </c>
      <c r="P777" s="152"/>
      <c r="Q777" s="153"/>
      <c r="R777" s="29" t="s">
        <v>385</v>
      </c>
      <c r="S777" s="123"/>
    </row>
    <row r="778" spans="1:19" hidden="1">
      <c r="A778" s="29" t="s">
        <v>379</v>
      </c>
      <c r="B778" s="29"/>
      <c r="C778" s="29">
        <v>41509943</v>
      </c>
      <c r="D778" s="29"/>
      <c r="F778" s="29"/>
      <c r="G778" s="29" t="s">
        <v>744</v>
      </c>
      <c r="H778" s="29" t="s">
        <v>201</v>
      </c>
      <c r="I778" s="120">
        <v>45694</v>
      </c>
      <c r="J778" s="120">
        <f>WORKDAY(I778, 3)</f>
        <v>45699</v>
      </c>
      <c r="K778" s="120"/>
      <c r="L778" s="120"/>
      <c r="M778" s="120"/>
      <c r="N778" s="120">
        <v>45701</v>
      </c>
      <c r="O778" s="119" t="s">
        <v>10</v>
      </c>
      <c r="P778" s="152"/>
      <c r="Q778" s="153"/>
      <c r="R778" s="29" t="s">
        <v>386</v>
      </c>
      <c r="S778" s="123"/>
    </row>
    <row r="779" spans="1:19" hidden="1">
      <c r="A779" s="29" t="s">
        <v>379</v>
      </c>
      <c r="B779" s="29"/>
      <c r="C779" s="29">
        <v>41509932</v>
      </c>
      <c r="D779" s="29"/>
      <c r="F779" s="29"/>
      <c r="G779" s="29" t="s">
        <v>744</v>
      </c>
      <c r="H779" s="29" t="s">
        <v>201</v>
      </c>
      <c r="I779" s="120">
        <v>45694</v>
      </c>
      <c r="J779" s="120">
        <f>WORKDAY(I779, 3)</f>
        <v>45699</v>
      </c>
      <c r="K779" s="120"/>
      <c r="L779" s="120"/>
      <c r="M779" s="120"/>
      <c r="N779" s="120">
        <v>45706</v>
      </c>
      <c r="O779" s="119" t="s">
        <v>10</v>
      </c>
      <c r="P779" s="152"/>
      <c r="Q779" s="153"/>
      <c r="R779" s="29" t="s">
        <v>387</v>
      </c>
      <c r="S779" s="123"/>
    </row>
    <row r="780" spans="1:19" hidden="1">
      <c r="A780" s="29" t="s">
        <v>379</v>
      </c>
      <c r="B780" s="29"/>
      <c r="C780" s="29">
        <v>41509914</v>
      </c>
      <c r="D780" s="29"/>
      <c r="F780" s="29"/>
      <c r="G780" s="29" t="s">
        <v>744</v>
      </c>
      <c r="H780" s="29" t="s">
        <v>201</v>
      </c>
      <c r="I780" s="120">
        <v>45694</v>
      </c>
      <c r="J780" s="120">
        <f>WORKDAY(I780, 3)</f>
        <v>45699</v>
      </c>
      <c r="K780" s="120"/>
      <c r="L780" s="120"/>
      <c r="M780" s="120"/>
      <c r="N780" s="120">
        <v>45701</v>
      </c>
      <c r="O780" s="119" t="s">
        <v>10</v>
      </c>
      <c r="P780" s="152"/>
      <c r="Q780" s="153"/>
      <c r="R780" s="29" t="s">
        <v>388</v>
      </c>
      <c r="S780" s="123"/>
    </row>
    <row r="781" spans="1:19" hidden="1">
      <c r="A781" s="29" t="s">
        <v>379</v>
      </c>
      <c r="B781" s="29"/>
      <c r="C781" s="29">
        <v>41509898</v>
      </c>
      <c r="D781" s="29"/>
      <c r="F781" s="29"/>
      <c r="G781" s="29" t="s">
        <v>744</v>
      </c>
      <c r="H781" s="29" t="s">
        <v>201</v>
      </c>
      <c r="I781" s="120">
        <v>45694</v>
      </c>
      <c r="J781" s="120">
        <f>WORKDAY(I781, 3)</f>
        <v>45699</v>
      </c>
      <c r="K781" s="120"/>
      <c r="L781" s="120"/>
      <c r="M781" s="120"/>
      <c r="N781" s="120">
        <v>45702</v>
      </c>
      <c r="O781" s="119" t="s">
        <v>10</v>
      </c>
      <c r="P781" s="152"/>
      <c r="Q781" s="153"/>
      <c r="R781" s="29" t="s">
        <v>389</v>
      </c>
      <c r="S781" s="123"/>
    </row>
    <row r="782" spans="1:19" hidden="1">
      <c r="A782" s="29" t="s">
        <v>379</v>
      </c>
      <c r="B782" s="29"/>
      <c r="C782" s="29">
        <v>41509893</v>
      </c>
      <c r="D782" s="29"/>
      <c r="F782" s="29"/>
      <c r="G782" s="29" t="s">
        <v>744</v>
      </c>
      <c r="H782" s="29" t="s">
        <v>201</v>
      </c>
      <c r="I782" s="120">
        <v>45694</v>
      </c>
      <c r="J782" s="120">
        <f>WORKDAY(I782, 3)</f>
        <v>45699</v>
      </c>
      <c r="K782" s="120"/>
      <c r="L782" s="120"/>
      <c r="M782" s="120"/>
      <c r="N782" s="120">
        <v>45707</v>
      </c>
      <c r="O782" s="119" t="s">
        <v>10</v>
      </c>
      <c r="P782" s="152"/>
      <c r="Q782" s="153"/>
      <c r="R782" s="29" t="s">
        <v>390</v>
      </c>
      <c r="S782" s="123"/>
    </row>
    <row r="783" spans="1:19" hidden="1">
      <c r="A783" s="29" t="s">
        <v>379</v>
      </c>
      <c r="B783" s="29"/>
      <c r="C783" s="29">
        <v>41509884</v>
      </c>
      <c r="D783" s="29"/>
      <c r="F783" s="29"/>
      <c r="G783" s="29" t="s">
        <v>744</v>
      </c>
      <c r="H783" s="29" t="s">
        <v>201</v>
      </c>
      <c r="I783" s="120">
        <v>45694</v>
      </c>
      <c r="J783" s="120">
        <f>WORKDAY(I783, 3)</f>
        <v>45699</v>
      </c>
      <c r="K783" s="120">
        <v>45729</v>
      </c>
      <c r="L783" s="120"/>
      <c r="M783" s="120"/>
      <c r="N783" s="148"/>
      <c r="O783" s="119" t="s">
        <v>850</v>
      </c>
      <c r="P783" s="148"/>
      <c r="Q783" s="154"/>
      <c r="R783" s="29" t="s">
        <v>386</v>
      </c>
      <c r="S783" s="123"/>
    </row>
    <row r="784" spans="1:19" hidden="1">
      <c r="A784" s="29" t="s">
        <v>379</v>
      </c>
      <c r="B784" s="29"/>
      <c r="C784" s="29">
        <v>41509879</v>
      </c>
      <c r="D784" s="29"/>
      <c r="F784" s="29"/>
      <c r="G784" s="29" t="s">
        <v>744</v>
      </c>
      <c r="H784" s="29" t="s">
        <v>201</v>
      </c>
      <c r="I784" s="120">
        <v>45694</v>
      </c>
      <c r="J784" s="120">
        <f>WORKDAY(I784, 3)</f>
        <v>45699</v>
      </c>
      <c r="K784" s="120">
        <v>45729</v>
      </c>
      <c r="L784" s="120"/>
      <c r="M784" s="120"/>
      <c r="N784" s="148"/>
      <c r="O784" s="119" t="s">
        <v>850</v>
      </c>
      <c r="P784" s="148"/>
      <c r="Q784" s="154"/>
      <c r="R784" s="29" t="s">
        <v>386</v>
      </c>
      <c r="S784" s="123"/>
    </row>
    <row r="785" spans="1:19" hidden="1">
      <c r="A785" s="29" t="s">
        <v>379</v>
      </c>
      <c r="B785" s="29"/>
      <c r="C785" s="29">
        <v>41509833</v>
      </c>
      <c r="D785" s="29"/>
      <c r="F785" s="29"/>
      <c r="G785" s="29" t="s">
        <v>744</v>
      </c>
      <c r="H785" s="29" t="s">
        <v>201</v>
      </c>
      <c r="I785" s="120">
        <v>45694</v>
      </c>
      <c r="J785" s="120">
        <f>WORKDAY(I785, 3)</f>
        <v>45699</v>
      </c>
      <c r="K785" s="120">
        <v>45729</v>
      </c>
      <c r="L785" s="120"/>
      <c r="M785" s="120"/>
      <c r="N785" s="148"/>
      <c r="O785" s="119" t="s">
        <v>850</v>
      </c>
      <c r="P785" s="148"/>
      <c r="Q785" s="154"/>
      <c r="R785" s="29" t="s">
        <v>390</v>
      </c>
      <c r="S785" s="123"/>
    </row>
    <row r="786" spans="1:19" hidden="1">
      <c r="A786" s="29" t="s">
        <v>379</v>
      </c>
      <c r="B786" s="29"/>
      <c r="C786" s="29">
        <v>41509811</v>
      </c>
      <c r="D786" s="29"/>
      <c r="F786" s="29"/>
      <c r="G786" s="29" t="s">
        <v>744</v>
      </c>
      <c r="H786" s="29" t="s">
        <v>201</v>
      </c>
      <c r="I786" s="120">
        <v>45694</v>
      </c>
      <c r="J786" s="120">
        <f>WORKDAY(I786, 3)</f>
        <v>45699</v>
      </c>
      <c r="K786" s="120">
        <v>45729</v>
      </c>
      <c r="L786" s="120"/>
      <c r="M786" s="120"/>
      <c r="N786" s="148"/>
      <c r="O786" s="119" t="s">
        <v>850</v>
      </c>
      <c r="P786" s="148"/>
      <c r="Q786" s="154"/>
      <c r="R786" s="29" t="s">
        <v>389</v>
      </c>
      <c r="S786" s="123"/>
    </row>
    <row r="787" spans="1:19" hidden="1">
      <c r="A787" s="29" t="s">
        <v>379</v>
      </c>
      <c r="B787" s="29"/>
      <c r="C787" s="29">
        <v>41509791</v>
      </c>
      <c r="D787" s="29"/>
      <c r="F787" s="29"/>
      <c r="G787" s="29" t="s">
        <v>744</v>
      </c>
      <c r="H787" s="29" t="s">
        <v>201</v>
      </c>
      <c r="I787" s="120">
        <v>45694</v>
      </c>
      <c r="J787" s="120">
        <f>WORKDAY(I787, 3)</f>
        <v>45699</v>
      </c>
      <c r="K787" s="120">
        <v>45729</v>
      </c>
      <c r="L787" s="120"/>
      <c r="M787" s="120"/>
      <c r="N787" s="148"/>
      <c r="O787" s="119" t="s">
        <v>850</v>
      </c>
      <c r="P787" s="148"/>
      <c r="Q787" s="154"/>
      <c r="R787" s="29" t="s">
        <v>388</v>
      </c>
      <c r="S787" s="123"/>
    </row>
    <row r="788" spans="1:19" hidden="1">
      <c r="A788" s="29" t="s">
        <v>353</v>
      </c>
      <c r="B788" s="29"/>
      <c r="C788" s="29">
        <v>36501266</v>
      </c>
      <c r="D788" s="29"/>
      <c r="F788" s="29"/>
      <c r="G788" s="29" t="s">
        <v>744</v>
      </c>
      <c r="H788" s="29" t="s">
        <v>201</v>
      </c>
      <c r="I788" s="120">
        <v>45694</v>
      </c>
      <c r="J788" s="120">
        <f>WORKDAY(I788, 3)</f>
        <v>45699</v>
      </c>
      <c r="K788" s="120">
        <v>45729</v>
      </c>
      <c r="L788" s="120"/>
      <c r="M788" s="120"/>
      <c r="N788" s="148"/>
      <c r="O788" s="119" t="s">
        <v>850</v>
      </c>
      <c r="P788" s="148"/>
      <c r="Q788" s="154"/>
      <c r="R788" s="29" t="s">
        <v>391</v>
      </c>
      <c r="S788" s="123"/>
    </row>
    <row r="789" spans="1:19" hidden="1">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hidden="1">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hidden="1">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hidden="1">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hidden="1">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hidden="1">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hidden="1">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hidden="1">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hidden="1">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hidden="1">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hidden="1">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hidden="1">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hidden="1">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hidden="1">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hidden="1">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hidden="1">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hidden="1">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hidden="1">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hidden="1">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hidden="1">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hidden="1">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hidden="1">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hidden="1">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hidden="1">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hidden="1">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hidden="1">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hidden="1">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hidden="1">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hidden="1">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hidden="1">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hidden="1">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hidden="1">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hidden="1">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hidden="1">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hidden="1">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hidden="1">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hidden="1">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hidden="1">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hidden="1">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hidden="1">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hidden="1">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hidden="1">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hidden="1">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hidden="1">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hidden="1">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hidden="1">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hidden="1">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hidden="1">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hidden="1">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hidden="1">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169</v>
      </c>
      <c r="H839" s="29" t="s">
        <v>236</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169</v>
      </c>
      <c r="H840" s="29" t="s">
        <v>236</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169</v>
      </c>
      <c r="H841" s="29" t="s">
        <v>236</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169</v>
      </c>
      <c r="H842" s="29" t="s">
        <v>236</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169</v>
      </c>
      <c r="H843" s="29" t="s">
        <v>236</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169</v>
      </c>
      <c r="H844" s="29" t="s">
        <v>236</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169</v>
      </c>
      <c r="H845" s="29" t="s">
        <v>236</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169</v>
      </c>
      <c r="H846" s="29" t="s">
        <v>236</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169</v>
      </c>
      <c r="H847" s="29" t="s">
        <v>236</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169</v>
      </c>
      <c r="H848" s="29" t="s">
        <v>236</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169</v>
      </c>
      <c r="H849" s="29" t="s">
        <v>236</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169</v>
      </c>
      <c r="H850" s="29" t="s">
        <v>236</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169</v>
      </c>
      <c r="H851" s="29" t="s">
        <v>236</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169</v>
      </c>
      <c r="H852" s="29" t="s">
        <v>236</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169</v>
      </c>
      <c r="H853" s="29" t="s">
        <v>236</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169</v>
      </c>
      <c r="H854" s="29" t="s">
        <v>236</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169</v>
      </c>
      <c r="H855" s="29" t="s">
        <v>236</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169</v>
      </c>
      <c r="H856" s="29" t="s">
        <v>236</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169</v>
      </c>
      <c r="H857" s="29" t="s">
        <v>236</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169</v>
      </c>
      <c r="H858" s="29" t="s">
        <v>236</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169</v>
      </c>
      <c r="H859" s="29" t="s">
        <v>236</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169</v>
      </c>
      <c r="H860" s="29" t="s">
        <v>236</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169</v>
      </c>
      <c r="H861" s="29" t="s">
        <v>236</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169</v>
      </c>
      <c r="H862" s="29" t="s">
        <v>236</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169</v>
      </c>
      <c r="H863" s="29" t="s">
        <v>236</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169</v>
      </c>
      <c r="H864" s="29" t="s">
        <v>236</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169</v>
      </c>
      <c r="H865" s="29" t="s">
        <v>236</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169</v>
      </c>
      <c r="H866" s="29" t="s">
        <v>236</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169</v>
      </c>
      <c r="H867" s="29" t="s">
        <v>236</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169</v>
      </c>
      <c r="H868" s="29" t="s">
        <v>236</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169</v>
      </c>
      <c r="H869" s="29" t="s">
        <v>236</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169</v>
      </c>
      <c r="H870" s="29" t="s">
        <v>236</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169</v>
      </c>
      <c r="H871" s="29" t="s">
        <v>236</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169</v>
      </c>
      <c r="H872" s="29" t="s">
        <v>236</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169</v>
      </c>
      <c r="H873" s="29" t="s">
        <v>236</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169</v>
      </c>
      <c r="H874" s="29" t="s">
        <v>236</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169</v>
      </c>
      <c r="H875" s="29" t="s">
        <v>236</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169</v>
      </c>
      <c r="H876" s="29" t="s">
        <v>236</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169</v>
      </c>
      <c r="H877" s="29" t="s">
        <v>236</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169</v>
      </c>
      <c r="H878" s="29" t="s">
        <v>236</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169</v>
      </c>
      <c r="H879" s="29" t="s">
        <v>236</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169</v>
      </c>
      <c r="H880" s="29" t="s">
        <v>236</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169</v>
      </c>
      <c r="H881" s="29" t="s">
        <v>236</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169</v>
      </c>
      <c r="H882" s="29" t="s">
        <v>236</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169</v>
      </c>
      <c r="H883" s="29" t="s">
        <v>236</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169</v>
      </c>
      <c r="H884" s="29" t="s">
        <v>236</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169</v>
      </c>
      <c r="H885" s="29" t="s">
        <v>236</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169</v>
      </c>
      <c r="H886" s="29" t="s">
        <v>236</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169</v>
      </c>
      <c r="H887" s="29" t="s">
        <v>236</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169</v>
      </c>
      <c r="H888" s="29" t="s">
        <v>236</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169</v>
      </c>
      <c r="H889" s="29" t="s">
        <v>236</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169</v>
      </c>
      <c r="H890" s="29" t="s">
        <v>236</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169</v>
      </c>
      <c r="H891" s="29" t="s">
        <v>236</v>
      </c>
      <c r="I891" s="120">
        <v>45695</v>
      </c>
      <c r="J891" s="120">
        <f>WORKDAY(I891, 3)</f>
        <v>45700</v>
      </c>
      <c r="K891" s="120"/>
      <c r="L891" s="120"/>
      <c r="M891" s="120"/>
      <c r="N891" s="120"/>
      <c r="O891" s="119" t="s">
        <v>850</v>
      </c>
      <c r="P891" s="120"/>
      <c r="Q891" s="135"/>
      <c r="R891" s="29" t="s">
        <v>825</v>
      </c>
      <c r="S891" s="123"/>
    </row>
    <row r="892" spans="1:19" hidden="1">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hidden="1">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hidden="1">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hidden="1">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hidden="1">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hidden="1">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hidden="1">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hidden="1">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hidden="1">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hidden="1">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hidden="1">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hidden="1">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hidden="1">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hidden="1">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hidden="1">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hidden="1">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hidden="1">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hidden="1">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hidden="1">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hidden="1">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hidden="1">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hidden="1">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hidden="1">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hidden="1">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hidden="1">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hidden="1">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hidden="1">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hidden="1">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hidden="1">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hidden="1">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hidden="1">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hidden="1">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hidden="1">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hidden="1">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hidden="1">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hidden="1">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hidden="1">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hidden="1">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hidden="1">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hidden="1">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hidden="1">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hidden="1">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hidden="1">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hidden="1">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hidden="1">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hidden="1">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hidden="1">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hidden="1">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hidden="1">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hidden="1">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hidden="1">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hidden="1">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hidden="1">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hidden="1">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hidden="1">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hidden="1">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hidden="1">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hidden="1">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hidden="1">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hidden="1">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hidden="1">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hidden="1">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hidden="1">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hidden="1">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hidden="1">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hidden="1">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hidden="1">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hidden="1">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hidden="1">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hidden="1">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hidden="1">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hidden="1">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hidden="1">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hidden="1">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hidden="1">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hidden="1">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hidden="1">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hidden="1">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hidden="1">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hidden="1">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hidden="1">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hidden="1">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hidden="1">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hidden="1">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hidden="1">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hidden="1">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hidden="1">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hidden="1">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hidden="1">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hidden="1">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hidden="1">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hidden="1">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hidden="1">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hidden="1">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hidden="1">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hidden="1">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hidden="1">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hidden="1">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hidden="1">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hidden="1">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hidden="1">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hidden="1">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hidden="1">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hidden="1">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hidden="1">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hidden="1">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hidden="1">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hidden="1">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hidden="1">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hidden="1">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hidden="1">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hidden="1">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hidden="1">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hidden="1">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hidden="1">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hidden="1">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hidden="1">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hidden="1">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hidden="1">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hidden="1">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hidden="1">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hidden="1">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hidden="1">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hidden="1">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hidden="1">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hidden="1">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hidden="1">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hidden="1">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hidden="1">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hidden="1">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hidden="1">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hidden="1">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hidden="1">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hidden="1">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hidden="1">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hidden="1">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hidden="1">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hidden="1">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hidden="1">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hidden="1">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hidden="1">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hidden="1">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hidden="1">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hidden="1">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hidden="1">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hidden="1">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hidden="1">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hidden="1">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hidden="1">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hidden="1">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hidden="1">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hidden="1">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hidden="1">
      <c r="A1044" s="147" t="s">
        <v>852</v>
      </c>
      <c r="B1044" s="147"/>
      <c r="C1044" s="29">
        <v>56504026</v>
      </c>
      <c r="D1044" s="29"/>
      <c r="F1044" s="29"/>
      <c r="G1044" s="29" t="s">
        <v>169</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169</v>
      </c>
      <c r="H1045" s="29" t="s">
        <v>431</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169</v>
      </c>
      <c r="H1046" s="29" t="s">
        <v>431</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169</v>
      </c>
      <c r="H1047" s="29" t="s">
        <v>431</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169</v>
      </c>
      <c r="H1048" s="29" t="s">
        <v>431</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169</v>
      </c>
      <c r="H1049" s="29" t="s">
        <v>431</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169</v>
      </c>
      <c r="H1050" s="29" t="s">
        <v>431</v>
      </c>
      <c r="I1050" s="120">
        <v>45713</v>
      </c>
      <c r="J1050" s="120">
        <f>WORKDAY(I1050, 3)</f>
        <v>45716</v>
      </c>
      <c r="K1050" s="120"/>
      <c r="L1050" s="120"/>
      <c r="M1050" s="120"/>
      <c r="N1050" s="120">
        <v>45719</v>
      </c>
      <c r="O1050" s="119" t="s">
        <v>10</v>
      </c>
      <c r="P1050" s="152"/>
      <c r="Q1050" s="153"/>
      <c r="R1050" s="41" t="s">
        <v>821</v>
      </c>
    </row>
    <row r="1051" spans="1:19" hidden="1">
      <c r="A1051" s="29" t="s">
        <v>358</v>
      </c>
      <c r="B1051" s="29"/>
      <c r="C1051" s="29">
        <v>48507590</v>
      </c>
      <c r="D1051" s="29"/>
      <c r="F1051" s="29"/>
      <c r="G1051" s="29" t="s">
        <v>744</v>
      </c>
      <c r="H1051" s="29" t="s">
        <v>201</v>
      </c>
      <c r="I1051" s="120">
        <v>45705</v>
      </c>
      <c r="J1051" s="120">
        <f>WORKDAY(I1051, 3)</f>
        <v>45708</v>
      </c>
      <c r="K1051" s="120"/>
      <c r="L1051" s="120"/>
      <c r="M1051" s="120"/>
      <c r="N1051" s="120"/>
      <c r="O1051" s="119" t="s">
        <v>850</v>
      </c>
      <c r="P1051" s="120"/>
      <c r="Q1051" s="135"/>
      <c r="R1051" s="29" t="s">
        <v>617</v>
      </c>
    </row>
    <row r="1052" spans="1:19" hidden="1">
      <c r="A1052" s="29" t="s">
        <v>358</v>
      </c>
      <c r="B1052" s="29"/>
      <c r="C1052" s="29">
        <v>48507534</v>
      </c>
      <c r="D1052" s="29"/>
      <c r="F1052" s="29"/>
      <c r="G1052" s="29" t="s">
        <v>744</v>
      </c>
      <c r="H1052" s="29" t="s">
        <v>201</v>
      </c>
      <c r="I1052" s="120">
        <v>45705</v>
      </c>
      <c r="J1052" s="120">
        <f>WORKDAY(I1052, 3)</f>
        <v>45708</v>
      </c>
      <c r="K1052" s="120"/>
      <c r="L1052" s="120"/>
      <c r="M1052" s="120"/>
      <c r="N1052" s="120"/>
      <c r="O1052" s="119" t="s">
        <v>850</v>
      </c>
      <c r="P1052" s="120"/>
      <c r="Q1052" s="135"/>
      <c r="R1052" s="29" t="s">
        <v>618</v>
      </c>
    </row>
    <row r="1053" spans="1:19" hidden="1">
      <c r="A1053" s="29" t="s">
        <v>358</v>
      </c>
      <c r="B1053" s="29"/>
      <c r="C1053" s="29">
        <v>48507486</v>
      </c>
      <c r="D1053" s="29"/>
      <c r="F1053" s="29"/>
      <c r="G1053" s="29" t="s">
        <v>744</v>
      </c>
      <c r="H1053" s="29" t="s">
        <v>201</v>
      </c>
      <c r="I1053" s="120">
        <v>45705</v>
      </c>
      <c r="J1053" s="120">
        <f>WORKDAY(I1053, 3)</f>
        <v>45708</v>
      </c>
      <c r="K1053" s="120"/>
      <c r="L1053" s="120"/>
      <c r="M1053" s="120"/>
      <c r="N1053" s="120"/>
      <c r="O1053" s="119" t="s">
        <v>850</v>
      </c>
      <c r="P1053" s="120"/>
      <c r="Q1053" s="135"/>
      <c r="R1053" s="29" t="s">
        <v>619</v>
      </c>
    </row>
    <row r="1054" spans="1:19" hidden="1">
      <c r="A1054" s="29" t="s">
        <v>358</v>
      </c>
      <c r="B1054" s="29"/>
      <c r="C1054" s="29">
        <v>48507387</v>
      </c>
      <c r="D1054" s="29"/>
      <c r="F1054" s="29"/>
      <c r="G1054" s="29" t="s">
        <v>744</v>
      </c>
      <c r="H1054" s="29" t="s">
        <v>201</v>
      </c>
      <c r="I1054" s="120">
        <v>45705</v>
      </c>
      <c r="J1054" s="120">
        <f>WORKDAY(I1054, 3)</f>
        <v>45708</v>
      </c>
      <c r="K1054" s="120"/>
      <c r="L1054" s="120"/>
      <c r="M1054" s="120"/>
      <c r="N1054" s="120"/>
      <c r="O1054" s="119" t="s">
        <v>850</v>
      </c>
      <c r="P1054" s="120"/>
      <c r="Q1054" s="135"/>
      <c r="R1054" s="29" t="s">
        <v>620</v>
      </c>
    </row>
    <row r="1055" spans="1:19" hidden="1">
      <c r="A1055" s="29" t="s">
        <v>358</v>
      </c>
      <c r="B1055" s="29"/>
      <c r="C1055" s="29">
        <v>48507301</v>
      </c>
      <c r="D1055" s="29"/>
      <c r="F1055" s="29"/>
      <c r="G1055" s="29" t="s">
        <v>744</v>
      </c>
      <c r="H1055" s="29" t="s">
        <v>201</v>
      </c>
      <c r="I1055" s="120">
        <v>45705</v>
      </c>
      <c r="J1055" s="120">
        <f>WORKDAY(I1055, 3)</f>
        <v>45708</v>
      </c>
      <c r="K1055" s="120"/>
      <c r="L1055" s="120"/>
      <c r="M1055" s="120"/>
      <c r="N1055" s="120"/>
      <c r="O1055" s="119" t="s">
        <v>850</v>
      </c>
      <c r="P1055" s="120"/>
      <c r="Q1055" s="135"/>
      <c r="R1055" s="29" t="s">
        <v>621</v>
      </c>
    </row>
    <row r="1056" spans="1:19" hidden="1">
      <c r="A1056" s="29" t="s">
        <v>358</v>
      </c>
      <c r="B1056" s="29"/>
      <c r="C1056" s="29">
        <v>48507163</v>
      </c>
      <c r="D1056" s="29"/>
      <c r="F1056" s="29"/>
      <c r="G1056" s="29" t="s">
        <v>744</v>
      </c>
      <c r="H1056" s="29" t="s">
        <v>201</v>
      </c>
      <c r="I1056" s="120">
        <v>45705</v>
      </c>
      <c r="J1056" s="120">
        <f>WORKDAY(I1056, 3)</f>
        <v>45708</v>
      </c>
      <c r="K1056" s="120"/>
      <c r="L1056" s="120"/>
      <c r="M1056" s="120"/>
      <c r="N1056" s="120"/>
      <c r="O1056" s="119" t="s">
        <v>850</v>
      </c>
      <c r="P1056" s="120"/>
      <c r="Q1056" s="135"/>
      <c r="R1056" s="29" t="s">
        <v>622</v>
      </c>
    </row>
    <row r="1057" spans="1:18" hidden="1">
      <c r="A1057" s="29" t="s">
        <v>888</v>
      </c>
      <c r="B1057" s="29"/>
      <c r="C1057" s="29">
        <v>55503706</v>
      </c>
      <c r="D1057" s="29"/>
      <c r="F1057" s="29"/>
      <c r="G1057" s="29" t="s">
        <v>624</v>
      </c>
      <c r="H1057" s="29" t="s">
        <v>201</v>
      </c>
      <c r="I1057" s="120">
        <v>45709</v>
      </c>
      <c r="J1057" s="120">
        <f>WORKDAY(I1057, 3)</f>
        <v>45714</v>
      </c>
      <c r="K1057" s="120"/>
      <c r="L1057" s="120"/>
      <c r="M1057" s="120"/>
      <c r="N1057" s="120"/>
      <c r="O1057" s="119" t="s">
        <v>850</v>
      </c>
      <c r="P1057" s="120"/>
      <c r="Q1057" s="135"/>
      <c r="R1057" s="29" t="s">
        <v>625</v>
      </c>
    </row>
    <row r="1058" spans="1:18" hidden="1">
      <c r="A1058" s="29" t="s">
        <v>888</v>
      </c>
      <c r="B1058" s="29"/>
      <c r="C1058" s="29">
        <v>55503801</v>
      </c>
      <c r="D1058" s="29"/>
      <c r="F1058" s="29"/>
      <c r="G1058" s="29" t="s">
        <v>624</v>
      </c>
      <c r="H1058" s="29" t="s">
        <v>201</v>
      </c>
      <c r="I1058" s="120">
        <v>45709</v>
      </c>
      <c r="J1058" s="120">
        <f>WORKDAY(I1058, 3)</f>
        <v>45714</v>
      </c>
      <c r="K1058" s="120"/>
      <c r="L1058" s="120"/>
      <c r="M1058" s="120"/>
      <c r="N1058" s="120"/>
      <c r="O1058" s="119" t="s">
        <v>850</v>
      </c>
      <c r="P1058" s="120"/>
      <c r="Q1058" s="135"/>
      <c r="R1058" s="29" t="s">
        <v>626</v>
      </c>
    </row>
    <row r="1059" spans="1:18" hidden="1">
      <c r="A1059" s="29" t="s">
        <v>888</v>
      </c>
      <c r="B1059" s="29"/>
      <c r="C1059" s="29">
        <v>55503862</v>
      </c>
      <c r="D1059" s="29"/>
      <c r="F1059" s="29"/>
      <c r="G1059" s="29" t="s">
        <v>624</v>
      </c>
      <c r="H1059" s="29" t="s">
        <v>201</v>
      </c>
      <c r="I1059" s="120">
        <v>45709</v>
      </c>
      <c r="J1059" s="120">
        <f>WORKDAY(I1059, 3)</f>
        <v>45714</v>
      </c>
      <c r="K1059" s="120"/>
      <c r="L1059" s="120"/>
      <c r="M1059" s="120"/>
      <c r="N1059" s="120"/>
      <c r="O1059" s="119" t="s">
        <v>850</v>
      </c>
      <c r="P1059" s="120"/>
      <c r="Q1059" s="135"/>
      <c r="R1059" s="29" t="s">
        <v>627</v>
      </c>
    </row>
    <row r="1060" spans="1:18" hidden="1">
      <c r="A1060" s="29" t="s">
        <v>888</v>
      </c>
      <c r="B1060" s="29"/>
      <c r="C1060" s="29">
        <v>55503935</v>
      </c>
      <c r="D1060" s="29"/>
      <c r="F1060" s="29"/>
      <c r="G1060" s="29" t="s">
        <v>624</v>
      </c>
      <c r="H1060" s="29" t="s">
        <v>201</v>
      </c>
      <c r="I1060" s="120">
        <v>45709</v>
      </c>
      <c r="J1060" s="120">
        <f>WORKDAY(I1060, 3)</f>
        <v>45714</v>
      </c>
      <c r="K1060" s="120"/>
      <c r="L1060" s="120"/>
      <c r="M1060" s="120"/>
      <c r="N1060" s="120"/>
      <c r="O1060" s="119" t="s">
        <v>850</v>
      </c>
      <c r="P1060" s="120"/>
      <c r="Q1060" s="135"/>
      <c r="R1060" s="29" t="s">
        <v>628</v>
      </c>
    </row>
    <row r="1061" spans="1:18" hidden="1">
      <c r="A1061" s="29" t="s">
        <v>888</v>
      </c>
      <c r="B1061" s="29"/>
      <c r="C1061" s="29">
        <v>55503969</v>
      </c>
      <c r="D1061" s="29"/>
      <c r="F1061" s="29"/>
      <c r="G1061" s="29" t="s">
        <v>624</v>
      </c>
      <c r="H1061" s="29" t="s">
        <v>201</v>
      </c>
      <c r="I1061" s="120">
        <v>45709</v>
      </c>
      <c r="J1061" s="120">
        <f>WORKDAY(I1061, 3)</f>
        <v>45714</v>
      </c>
      <c r="K1061" s="120"/>
      <c r="L1061" s="120"/>
      <c r="M1061" s="120"/>
      <c r="N1061" s="120"/>
      <c r="O1061" s="119" t="s">
        <v>850</v>
      </c>
      <c r="P1061" s="120"/>
      <c r="Q1061" s="135"/>
      <c r="R1061" s="29" t="s">
        <v>629</v>
      </c>
    </row>
    <row r="1062" spans="1:18" hidden="1">
      <c r="A1062" s="29" t="s">
        <v>889</v>
      </c>
      <c r="B1062" s="29"/>
      <c r="C1062" s="29">
        <v>55504206</v>
      </c>
      <c r="D1062" s="29"/>
      <c r="F1062" s="29"/>
      <c r="G1062" s="29" t="s">
        <v>624</v>
      </c>
      <c r="H1062" s="29" t="s">
        <v>201</v>
      </c>
      <c r="I1062" s="120">
        <v>45709</v>
      </c>
      <c r="J1062" s="120">
        <f>WORKDAY(I1062, 3)</f>
        <v>45714</v>
      </c>
      <c r="K1062" s="120"/>
      <c r="L1062" s="120"/>
      <c r="M1062" s="120"/>
      <c r="N1062" s="120"/>
      <c r="O1062" s="119" t="s">
        <v>850</v>
      </c>
      <c r="P1062" s="120"/>
      <c r="Q1062" s="135"/>
      <c r="R1062" s="29" t="s">
        <v>631</v>
      </c>
    </row>
    <row r="1063" spans="1:18" hidden="1">
      <c r="A1063" s="29" t="s">
        <v>889</v>
      </c>
      <c r="B1063" s="29"/>
      <c r="C1063" s="29">
        <v>55504188</v>
      </c>
      <c r="D1063" s="29"/>
      <c r="F1063" s="29"/>
      <c r="G1063" s="29" t="s">
        <v>624</v>
      </c>
      <c r="H1063" s="29" t="s">
        <v>201</v>
      </c>
      <c r="I1063" s="120">
        <v>45709</v>
      </c>
      <c r="J1063" s="120">
        <f>WORKDAY(I1063, 3)</f>
        <v>45714</v>
      </c>
      <c r="K1063" s="120"/>
      <c r="L1063" s="120"/>
      <c r="M1063" s="120"/>
      <c r="N1063" s="120"/>
      <c r="O1063" s="119" t="s">
        <v>850</v>
      </c>
      <c r="P1063" s="120"/>
      <c r="Q1063" s="135"/>
      <c r="R1063" s="29" t="s">
        <v>632</v>
      </c>
    </row>
    <row r="1064" spans="1:18" hidden="1">
      <c r="A1064" s="29" t="s">
        <v>889</v>
      </c>
      <c r="B1064" s="29"/>
      <c r="C1064" s="29">
        <v>55504303</v>
      </c>
      <c r="D1064" s="29"/>
      <c r="F1064" s="29"/>
      <c r="G1064" s="29" t="s">
        <v>624</v>
      </c>
      <c r="H1064" s="29" t="s">
        <v>201</v>
      </c>
      <c r="I1064" s="120">
        <v>45709</v>
      </c>
      <c r="J1064" s="120">
        <f>WORKDAY(I1064, 3)</f>
        <v>45714</v>
      </c>
      <c r="K1064" s="120"/>
      <c r="L1064" s="120"/>
      <c r="M1064" s="120"/>
      <c r="N1064" s="120"/>
      <c r="O1064" s="119" t="s">
        <v>850</v>
      </c>
      <c r="P1064" s="120"/>
      <c r="Q1064" s="135"/>
      <c r="R1064" s="29" t="s">
        <v>633</v>
      </c>
    </row>
    <row r="1065" spans="1:18" hidden="1">
      <c r="A1065" s="29" t="s">
        <v>889</v>
      </c>
      <c r="B1065" s="29"/>
      <c r="C1065" s="29">
        <v>55504345</v>
      </c>
      <c r="D1065" s="29"/>
      <c r="F1065" s="29"/>
      <c r="G1065" s="29" t="s">
        <v>624</v>
      </c>
      <c r="H1065" s="29" t="s">
        <v>201</v>
      </c>
      <c r="I1065" s="120">
        <v>45709</v>
      </c>
      <c r="J1065" s="120">
        <f>WORKDAY(I1065, 3)</f>
        <v>45714</v>
      </c>
      <c r="K1065" s="120"/>
      <c r="L1065" s="120"/>
      <c r="M1065" s="120"/>
      <c r="N1065" s="120"/>
      <c r="O1065" s="119" t="s">
        <v>850</v>
      </c>
      <c r="P1065" s="120"/>
      <c r="Q1065" s="135"/>
      <c r="R1065" s="29" t="s">
        <v>634</v>
      </c>
    </row>
    <row r="1066" spans="1:18" hidden="1">
      <c r="A1066" s="29" t="s">
        <v>889</v>
      </c>
      <c r="B1066" s="29"/>
      <c r="C1066" s="29">
        <v>55504388</v>
      </c>
      <c r="D1066" s="29"/>
      <c r="F1066" s="29"/>
      <c r="G1066" s="29" t="s">
        <v>624</v>
      </c>
      <c r="H1066" s="29" t="s">
        <v>201</v>
      </c>
      <c r="I1066" s="120">
        <v>45709</v>
      </c>
      <c r="J1066" s="120">
        <f>WORKDAY(I1066, 3)</f>
        <v>45714</v>
      </c>
      <c r="K1066" s="120"/>
      <c r="L1066" s="120"/>
      <c r="M1066" s="120"/>
      <c r="N1066" s="120"/>
      <c r="O1066" s="119" t="s">
        <v>850</v>
      </c>
      <c r="P1066" s="120"/>
      <c r="Q1066" s="135"/>
      <c r="R1066" s="29" t="s">
        <v>635</v>
      </c>
    </row>
    <row r="1067" spans="1:18" hidden="1">
      <c r="A1067" s="29" t="s">
        <v>889</v>
      </c>
      <c r="B1067" s="29"/>
      <c r="C1067" s="29">
        <v>55504421</v>
      </c>
      <c r="D1067" s="29"/>
      <c r="F1067" s="29"/>
      <c r="G1067" s="29" t="s">
        <v>624</v>
      </c>
      <c r="H1067" s="29" t="s">
        <v>201</v>
      </c>
      <c r="I1067" s="120">
        <v>45709</v>
      </c>
      <c r="J1067" s="120">
        <f>WORKDAY(I1067, 3)</f>
        <v>45714</v>
      </c>
      <c r="K1067" s="120"/>
      <c r="L1067" s="120"/>
      <c r="M1067" s="120"/>
      <c r="N1067" s="120"/>
      <c r="O1067" s="119" t="s">
        <v>850</v>
      </c>
      <c r="P1067" s="120"/>
      <c r="Q1067" s="135"/>
      <c r="R1067" s="29" t="s">
        <v>636</v>
      </c>
    </row>
    <row r="1068" spans="1:18" hidden="1">
      <c r="A1068" s="29" t="s">
        <v>889</v>
      </c>
      <c r="B1068" s="29"/>
      <c r="C1068" s="29">
        <v>55504460</v>
      </c>
      <c r="D1068" s="29"/>
      <c r="F1068" s="29"/>
      <c r="G1068" s="29" t="s">
        <v>624</v>
      </c>
      <c r="H1068" s="29" t="s">
        <v>201</v>
      </c>
      <c r="I1068" s="120">
        <v>45709</v>
      </c>
      <c r="J1068" s="120">
        <f>WORKDAY(I1068, 3)</f>
        <v>45714</v>
      </c>
      <c r="K1068" s="120"/>
      <c r="L1068" s="120"/>
      <c r="M1068" s="120"/>
      <c r="N1068" s="120"/>
      <c r="O1068" s="119" t="s">
        <v>850</v>
      </c>
      <c r="P1068" s="120"/>
      <c r="Q1068" s="135"/>
      <c r="R1068" s="29" t="s">
        <v>625</v>
      </c>
    </row>
    <row r="1069" spans="1:18" hidden="1">
      <c r="A1069" s="147" t="s">
        <v>637</v>
      </c>
      <c r="B1069" s="147"/>
      <c r="C1069" s="67">
        <v>51507839</v>
      </c>
      <c r="D1069" s="67"/>
      <c r="F1069" s="67"/>
      <c r="G1069" s="29" t="s">
        <v>744</v>
      </c>
      <c r="H1069" s="29" t="s">
        <v>201</v>
      </c>
      <c r="I1069" s="120">
        <v>45713</v>
      </c>
      <c r="J1069" s="120">
        <f>WORKDAY(I1069, 3)</f>
        <v>45716</v>
      </c>
      <c r="K1069" s="120"/>
      <c r="L1069" s="120"/>
      <c r="M1069" s="120"/>
      <c r="N1069" s="120">
        <v>45721</v>
      </c>
      <c r="O1069" s="119" t="s">
        <v>10</v>
      </c>
      <c r="P1069" s="152"/>
      <c r="Q1069" s="153"/>
      <c r="R1069" s="67" t="s">
        <v>638</v>
      </c>
    </row>
    <row r="1070" spans="1:18" hidden="1">
      <c r="A1070" s="147" t="s">
        <v>637</v>
      </c>
      <c r="B1070" s="147"/>
      <c r="C1070" s="67">
        <v>51507845</v>
      </c>
      <c r="D1070" s="67"/>
      <c r="F1070" s="67"/>
      <c r="G1070" s="29" t="s">
        <v>744</v>
      </c>
      <c r="H1070" s="29" t="s">
        <v>201</v>
      </c>
      <c r="I1070" s="120">
        <v>45713</v>
      </c>
      <c r="J1070" s="120">
        <f>WORKDAY(I1070, 3)</f>
        <v>45716</v>
      </c>
      <c r="K1070" s="120"/>
      <c r="L1070" s="120"/>
      <c r="M1070" s="120"/>
      <c r="N1070" s="120">
        <v>45717</v>
      </c>
      <c r="O1070" s="119" t="s">
        <v>10</v>
      </c>
      <c r="P1070" s="152"/>
      <c r="Q1070" s="153"/>
      <c r="R1070" s="67" t="s">
        <v>639</v>
      </c>
    </row>
    <row r="1071" spans="1:18" hidden="1">
      <c r="A1071" s="147" t="s">
        <v>637</v>
      </c>
      <c r="B1071" s="147"/>
      <c r="C1071" s="67">
        <v>51507850</v>
      </c>
      <c r="D1071" s="67"/>
      <c r="F1071" s="67"/>
      <c r="G1071" s="29" t="s">
        <v>744</v>
      </c>
      <c r="H1071" s="29" t="s">
        <v>201</v>
      </c>
      <c r="I1071" s="120">
        <v>45713</v>
      </c>
      <c r="J1071" s="120">
        <f>WORKDAY(I1071, 3)</f>
        <v>45716</v>
      </c>
      <c r="K1071" s="120"/>
      <c r="L1071" s="120"/>
      <c r="M1071" s="120"/>
      <c r="N1071" s="120">
        <v>45722</v>
      </c>
      <c r="O1071" s="119" t="s">
        <v>10</v>
      </c>
      <c r="P1071" s="152"/>
      <c r="Q1071" s="153"/>
      <c r="R1071" s="67" t="s">
        <v>638</v>
      </c>
    </row>
    <row r="1072" spans="1:18" hidden="1">
      <c r="A1072" s="147" t="s">
        <v>637</v>
      </c>
      <c r="B1072" s="147"/>
      <c r="C1072" s="67">
        <v>52505611</v>
      </c>
      <c r="D1072" s="67"/>
      <c r="F1072" s="67"/>
      <c r="G1072" s="29" t="s">
        <v>744</v>
      </c>
      <c r="H1072" s="29" t="s">
        <v>201</v>
      </c>
      <c r="I1072" s="120">
        <v>45713</v>
      </c>
      <c r="J1072" s="120">
        <f>WORKDAY(I1072, 3)</f>
        <v>45716</v>
      </c>
      <c r="K1072" s="120">
        <v>45729</v>
      </c>
      <c r="L1072" s="120"/>
      <c r="M1072" s="120"/>
      <c r="N1072" s="120"/>
      <c r="O1072" s="119" t="s">
        <v>850</v>
      </c>
      <c r="P1072" s="120"/>
      <c r="Q1072" s="135"/>
      <c r="R1072" s="67" t="s">
        <v>640</v>
      </c>
    </row>
    <row r="1073" spans="1:18" hidden="1">
      <c r="A1073" s="147" t="s">
        <v>637</v>
      </c>
      <c r="B1073" s="147"/>
      <c r="C1073" s="67">
        <v>52505674</v>
      </c>
      <c r="D1073" s="67"/>
      <c r="F1073" s="67"/>
      <c r="G1073" s="29" t="s">
        <v>744</v>
      </c>
      <c r="H1073" s="29" t="s">
        <v>201</v>
      </c>
      <c r="I1073" s="120">
        <v>45713</v>
      </c>
      <c r="J1073" s="120">
        <f>WORKDAY(I1073, 3)</f>
        <v>45716</v>
      </c>
      <c r="K1073" s="120">
        <v>45729</v>
      </c>
      <c r="L1073" s="120"/>
      <c r="M1073" s="120"/>
      <c r="N1073" s="120"/>
      <c r="O1073" s="119" t="s">
        <v>850</v>
      </c>
      <c r="P1073" s="120"/>
      <c r="Q1073" s="135"/>
      <c r="R1073" s="67" t="s">
        <v>641</v>
      </c>
    </row>
    <row r="1074" spans="1:18" hidden="1">
      <c r="A1074" s="147" t="s">
        <v>637</v>
      </c>
      <c r="B1074" s="147"/>
      <c r="C1074" s="67">
        <v>51507828</v>
      </c>
      <c r="D1074" s="67"/>
      <c r="F1074" s="67"/>
      <c r="G1074" s="29" t="s">
        <v>744</v>
      </c>
      <c r="H1074" s="29" t="s">
        <v>201</v>
      </c>
      <c r="I1074" s="120">
        <v>45713</v>
      </c>
      <c r="J1074" s="120">
        <f>WORKDAY(I1074, 3)</f>
        <v>45716</v>
      </c>
      <c r="K1074" s="120"/>
      <c r="L1074" s="120"/>
      <c r="M1074" s="120"/>
      <c r="N1074" s="120">
        <v>45717</v>
      </c>
      <c r="O1074" s="119" t="s">
        <v>10</v>
      </c>
      <c r="P1074" s="152"/>
      <c r="Q1074" s="153"/>
      <c r="R1074" s="67" t="s">
        <v>639</v>
      </c>
    </row>
    <row r="1075" spans="1:18" hidden="1">
      <c r="A1075" s="147" t="s">
        <v>890</v>
      </c>
      <c r="B1075" s="147"/>
      <c r="C1075" s="29">
        <v>57502427</v>
      </c>
      <c r="D1075" s="29"/>
      <c r="F1075" s="29"/>
      <c r="G1075" s="29" t="s">
        <v>169</v>
      </c>
      <c r="H1075" s="29" t="s">
        <v>236</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169</v>
      </c>
      <c r="H1076" s="29" t="s">
        <v>236</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169</v>
      </c>
      <c r="H1077" s="29" t="s">
        <v>236</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169</v>
      </c>
      <c r="H1078" s="29" t="s">
        <v>236</v>
      </c>
      <c r="I1078" s="120">
        <v>45709</v>
      </c>
      <c r="J1078" s="120">
        <f>WORKDAY(I1078, 3)</f>
        <v>45714</v>
      </c>
      <c r="K1078" s="120"/>
      <c r="L1078" s="120"/>
      <c r="M1078" s="120"/>
      <c r="N1078" s="120"/>
      <c r="O1078" s="119" t="s">
        <v>850</v>
      </c>
      <c r="P1078" s="120"/>
      <c r="Q1078" s="135"/>
    </row>
    <row r="1079" spans="1:18" hidden="1">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hidden="1">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hidden="1">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hidden="1">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hidden="1">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hidden="1">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hidden="1">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hidden="1">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hidden="1">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hidden="1">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hidden="1">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hidden="1">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hidden="1">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hidden="1">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hidden="1">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hidden="1">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hidden="1">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hidden="1">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hidden="1">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hidden="1">
      <c r="A1098" s="41" t="s">
        <v>737</v>
      </c>
      <c r="B1098" s="41"/>
      <c r="C1098" s="41">
        <v>38505194</v>
      </c>
      <c r="D1098" s="41"/>
      <c r="F1098" s="41"/>
      <c r="G1098" s="29" t="s">
        <v>169</v>
      </c>
      <c r="H1098" s="29" t="s">
        <v>77</v>
      </c>
      <c r="I1098" s="120">
        <v>45695</v>
      </c>
      <c r="J1098" s="120">
        <f>WORKDAY(I1098, 3)</f>
        <v>45700</v>
      </c>
      <c r="K1098" s="120"/>
      <c r="L1098" s="120"/>
      <c r="M1098" s="120"/>
      <c r="N1098" s="42">
        <v>45705</v>
      </c>
      <c r="O1098" s="119" t="s">
        <v>10</v>
      </c>
      <c r="P1098" s="152"/>
      <c r="Q1098" s="153"/>
      <c r="R1098" s="41" t="s">
        <v>738</v>
      </c>
      <c r="S1098" s="123"/>
    </row>
    <row r="1099" spans="1:19" hidden="1">
      <c r="A1099" s="41" t="s">
        <v>737</v>
      </c>
      <c r="B1099" s="41"/>
      <c r="C1099" s="41">
        <v>38505213</v>
      </c>
      <c r="D1099" s="41"/>
      <c r="F1099" s="41"/>
      <c r="G1099" s="29" t="s">
        <v>169</v>
      </c>
      <c r="H1099" s="29" t="s">
        <v>77</v>
      </c>
      <c r="I1099" s="120">
        <v>45695</v>
      </c>
      <c r="J1099" s="120">
        <f>WORKDAY(I1099, 3)</f>
        <v>45700</v>
      </c>
      <c r="K1099" s="120"/>
      <c r="L1099" s="120"/>
      <c r="M1099" s="120"/>
      <c r="N1099" s="42">
        <v>45705</v>
      </c>
      <c r="O1099" s="119" t="s">
        <v>10</v>
      </c>
      <c r="P1099" s="152"/>
      <c r="Q1099" s="153"/>
      <c r="R1099" s="41" t="s">
        <v>739</v>
      </c>
      <c r="S1099" s="123"/>
    </row>
    <row r="1100" spans="1:19" hidden="1">
      <c r="A1100" s="41" t="s">
        <v>859</v>
      </c>
      <c r="B1100" s="41"/>
      <c r="C1100" s="41">
        <v>56503360</v>
      </c>
      <c r="D1100" s="41"/>
      <c r="F1100" s="41"/>
      <c r="G1100" s="29" t="s">
        <v>169</v>
      </c>
      <c r="H1100" s="29" t="s">
        <v>77</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169</v>
      </c>
      <c r="H1101" s="29" t="s">
        <v>77</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169</v>
      </c>
      <c r="H1102" s="29" t="s">
        <v>77</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169</v>
      </c>
      <c r="H1103" s="29" t="s">
        <v>77</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169</v>
      </c>
      <c r="H1104" s="29" t="s">
        <v>77</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169</v>
      </c>
      <c r="H1105" s="29" t="s">
        <v>77</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169</v>
      </c>
      <c r="H1106" s="29" t="s">
        <v>77</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169</v>
      </c>
      <c r="H1107" s="29" t="s">
        <v>77</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169</v>
      </c>
      <c r="H1108" s="29" t="s">
        <v>77</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169</v>
      </c>
      <c r="H1109" s="29" t="s">
        <v>77</v>
      </c>
      <c r="I1109" s="42">
        <v>45715</v>
      </c>
      <c r="J1109" s="120">
        <f>WORKDAY(I1109, 3)</f>
        <v>45720</v>
      </c>
      <c r="K1109" s="42"/>
      <c r="L1109" s="42"/>
      <c r="M1109" s="42"/>
      <c r="N1109" s="42">
        <v>45726</v>
      </c>
      <c r="O1109" s="119" t="s">
        <v>10</v>
      </c>
      <c r="P1109" s="152"/>
      <c r="Q1109" s="153"/>
      <c r="R1109" s="41" t="s">
        <v>896</v>
      </c>
      <c r="S1109" s="123"/>
    </row>
    <row r="1110" spans="1:19" hidden="1">
      <c r="A1110" s="29" t="s">
        <v>205</v>
      </c>
      <c r="B1110" s="29"/>
      <c r="C1110" s="29">
        <v>56506013</v>
      </c>
      <c r="D1110" s="29"/>
      <c r="F1110" s="29"/>
      <c r="G1110" s="29" t="s">
        <v>116</v>
      </c>
      <c r="H1110" s="29" t="s">
        <v>207</v>
      </c>
      <c r="I1110" s="120">
        <v>45716</v>
      </c>
      <c r="J1110" s="120">
        <f>WORKDAY(I1110, 3)</f>
        <v>45721</v>
      </c>
      <c r="K1110" s="120">
        <v>45729</v>
      </c>
      <c r="L1110" s="120"/>
      <c r="M1110" s="120"/>
      <c r="N1110" s="120"/>
      <c r="O1110" s="119" t="s">
        <v>850</v>
      </c>
      <c r="P1110" s="120"/>
      <c r="Q1110" s="135"/>
      <c r="R1110" s="29"/>
    </row>
    <row r="1111" spans="1:19" hidden="1">
      <c r="A1111" s="29" t="s">
        <v>205</v>
      </c>
      <c r="B1111" s="29"/>
      <c r="C1111" s="29">
        <v>56506218</v>
      </c>
      <c r="D1111" s="29"/>
      <c r="F1111" s="29"/>
      <c r="G1111" s="29" t="s">
        <v>116</v>
      </c>
      <c r="H1111" s="29" t="s">
        <v>207</v>
      </c>
      <c r="I1111" s="120">
        <v>45716</v>
      </c>
      <c r="J1111" s="120">
        <f>WORKDAY(I1111, 3)</f>
        <v>45721</v>
      </c>
      <c r="K1111" s="120"/>
      <c r="L1111" s="120"/>
      <c r="M1111" s="120"/>
      <c r="N1111" s="120">
        <v>45717</v>
      </c>
      <c r="O1111" s="119" t="s">
        <v>10</v>
      </c>
      <c r="P1111" s="152"/>
      <c r="Q1111" s="153"/>
      <c r="R1111" s="29"/>
    </row>
    <row r="1112" spans="1:19" hidden="1">
      <c r="A1112" s="29" t="s">
        <v>208</v>
      </c>
      <c r="B1112" s="29"/>
      <c r="C1112" s="29">
        <v>56506367</v>
      </c>
      <c r="D1112" s="29"/>
      <c r="F1112" s="29"/>
      <c r="G1112" s="29" t="s">
        <v>116</v>
      </c>
      <c r="H1112" s="29" t="s">
        <v>207</v>
      </c>
      <c r="I1112" s="120">
        <v>45716</v>
      </c>
      <c r="J1112" s="120">
        <f>WORKDAY(I1112, 3)</f>
        <v>45721</v>
      </c>
      <c r="K1112" s="120">
        <v>45729</v>
      </c>
      <c r="L1112" s="120"/>
      <c r="M1112" s="120"/>
      <c r="N1112" s="120"/>
      <c r="O1112" s="119" t="s">
        <v>850</v>
      </c>
      <c r="P1112" s="120"/>
      <c r="Q1112" s="135"/>
      <c r="R1112" s="29"/>
    </row>
    <row r="1113" spans="1:19" hidden="1">
      <c r="A1113" s="29" t="s">
        <v>209</v>
      </c>
      <c r="B1113" s="29"/>
      <c r="C1113" s="29">
        <v>56506513</v>
      </c>
      <c r="D1113" s="29"/>
      <c r="F1113" s="29"/>
      <c r="G1113" s="29" t="s">
        <v>116</v>
      </c>
      <c r="H1113" s="29" t="s">
        <v>207</v>
      </c>
      <c r="I1113" s="120">
        <v>45716</v>
      </c>
      <c r="J1113" s="120">
        <f>WORKDAY(I1113, 3)</f>
        <v>45721</v>
      </c>
      <c r="K1113" s="120"/>
      <c r="L1113" s="120"/>
      <c r="M1113" s="120"/>
      <c r="N1113" s="120">
        <v>45717</v>
      </c>
      <c r="O1113" s="119" t="s">
        <v>10</v>
      </c>
      <c r="P1113" s="120"/>
      <c r="Q1113" s="135"/>
      <c r="R1113" s="29"/>
    </row>
    <row r="1114" spans="1:19" hidden="1">
      <c r="A1114" s="29" t="s">
        <v>209</v>
      </c>
      <c r="B1114" s="29"/>
      <c r="C1114" s="29">
        <v>56506567</v>
      </c>
      <c r="D1114" s="29"/>
      <c r="F1114" s="29"/>
      <c r="G1114" s="29" t="s">
        <v>116</v>
      </c>
      <c r="H1114" s="29" t="s">
        <v>207</v>
      </c>
      <c r="I1114" s="120">
        <v>45716</v>
      </c>
      <c r="J1114" s="120">
        <f>WORKDAY(I1114, 3)</f>
        <v>45721</v>
      </c>
      <c r="K1114" s="120"/>
      <c r="L1114" s="120"/>
      <c r="M1114" s="120"/>
      <c r="N1114" s="120">
        <v>45714</v>
      </c>
      <c r="O1114" s="119" t="s">
        <v>10</v>
      </c>
      <c r="P1114" s="152"/>
      <c r="Q1114" s="153"/>
      <c r="R1114" s="29"/>
    </row>
    <row r="1115" spans="1:19" hidden="1">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hidden="1">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hidden="1">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hidden="1">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hidden="1">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hidden="1">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hidden="1">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hidden="1">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hidden="1">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hidden="1">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hidden="1">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hidden="1">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hidden="1">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hidden="1">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hidden="1">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hidden="1">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hidden="1">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hidden="1">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hidden="1">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hidden="1">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hidden="1">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hidden="1">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hidden="1">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hidden="1">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hidden="1">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hidden="1">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hidden="1">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hidden="1">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hidden="1">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hidden="1">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hidden="1">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hidden="1">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hidden="1">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hidden="1">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hidden="1">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hidden="1">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hidden="1">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hidden="1">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hidden="1">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hidden="1">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hidden="1">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hidden="1">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hidden="1">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hidden="1">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hidden="1">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hidden="1">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hidden="1">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hidden="1">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hidden="1">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hidden="1">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hidden="1">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hidden="1">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hidden="1">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hidden="1">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hidden="1">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hidden="1">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hidden="1">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hidden="1">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hidden="1">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hidden="1">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hidden="1">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hidden="1">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hidden="1">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hidden="1">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hidden="1">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hidden="1">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hidden="1">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hidden="1">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hidden="1">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hidden="1">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hidden="1">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hidden="1">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hidden="1">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hidden="1">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hidden="1">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hidden="1">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hidden="1">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hidden="1">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hidden="1">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hidden="1">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hidden="1">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hidden="1">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hidden="1">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hidden="1">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hidden="1">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hidden="1">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hidden="1">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hidden="1">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hidden="1">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hidden="1">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hidden="1">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hidden="1">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hidden="1">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hidden="1">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hidden="1">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hidden="1">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hidden="1">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154</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154</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154</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154</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154</v>
      </c>
      <c r="I1219" s="120">
        <v>45726</v>
      </c>
      <c r="J1219" s="120">
        <f>WORKDAY(I1219, 3)</f>
        <v>45729</v>
      </c>
      <c r="K1219" s="42">
        <v>45727</v>
      </c>
      <c r="L1219" s="42"/>
      <c r="M1219" s="42"/>
      <c r="N1219" s="120">
        <v>45737</v>
      </c>
      <c r="O1219" s="119" t="s">
        <v>902</v>
      </c>
      <c r="P1219" s="29"/>
      <c r="Q1219" s="81"/>
    </row>
    <row r="1220" spans="1:18" hidden="1">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154</v>
      </c>
      <c r="I1221" s="120">
        <v>45720</v>
      </c>
      <c r="J1221" s="120">
        <f>WORKDAY(I1221, 3)</f>
        <v>45723</v>
      </c>
      <c r="K1221" s="42">
        <v>45727</v>
      </c>
      <c r="L1221" s="42"/>
      <c r="M1221" s="42"/>
      <c r="N1221" s="29"/>
      <c r="O1221" s="119" t="s">
        <v>850</v>
      </c>
      <c r="P1221" s="29"/>
      <c r="Q1221" s="81"/>
    </row>
    <row r="1222" spans="1:18" hidden="1">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hidden="1">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hidden="1">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hidden="1">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hidden="1">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hidden="1">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hidden="1">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hidden="1">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hidden="1">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hidden="1">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hidden="1">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hidden="1">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hidden="1">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hidden="1">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hidden="1">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hidden="1">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hidden="1">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hidden="1">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hidden="1">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hidden="1">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hidden="1">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hidden="1">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hidden="1">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hidden="1">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76</v>
      </c>
      <c r="G1337" s="29" t="s">
        <v>169</v>
      </c>
      <c r="H1337" s="29" t="s">
        <v>77</v>
      </c>
      <c r="I1337" s="42">
        <v>45729</v>
      </c>
      <c r="J1337" s="120">
        <f>WORKDAY(I1337, 3)</f>
        <v>45734</v>
      </c>
      <c r="K1337" s="120">
        <v>45730</v>
      </c>
      <c r="L1337" s="120"/>
      <c r="M1337" s="120"/>
      <c r="N1337" s="120">
        <v>45738</v>
      </c>
      <c r="O1337" s="119" t="s">
        <v>884</v>
      </c>
      <c r="P1337" s="29"/>
      <c r="Q1337" s="81"/>
      <c r="R1337" s="119" t="s">
        <v>972</v>
      </c>
    </row>
    <row r="1338" spans="1:18" hidden="1">
      <c r="A1338" s="134" t="s">
        <v>971</v>
      </c>
      <c r="C1338" s="29">
        <v>72502046</v>
      </c>
      <c r="D1338" s="29"/>
      <c r="F1338" s="29" t="s">
        <v>76</v>
      </c>
      <c r="G1338" s="29" t="s">
        <v>169</v>
      </c>
      <c r="H1338" s="29" t="s">
        <v>77</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76</v>
      </c>
      <c r="G1339" s="29" t="s">
        <v>169</v>
      </c>
      <c r="H1339" s="29" t="s">
        <v>77</v>
      </c>
      <c r="I1339" s="42">
        <v>45729</v>
      </c>
      <c r="J1339" s="120">
        <f>WORKDAY(I1339, 3)</f>
        <v>45734</v>
      </c>
      <c r="K1339" s="120">
        <v>45730</v>
      </c>
      <c r="L1339" s="120"/>
      <c r="M1339" s="120"/>
      <c r="N1339" s="120">
        <v>45738</v>
      </c>
      <c r="O1339" s="119" t="s">
        <v>884</v>
      </c>
      <c r="P1339" s="29"/>
      <c r="Q1339" s="81"/>
      <c r="R1339" s="119" t="s">
        <v>974</v>
      </c>
    </row>
    <row r="1340" spans="1:18" hidden="1">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199</v>
      </c>
      <c r="G1364" s="29" t="s">
        <v>744</v>
      </c>
      <c r="H1364" s="29" t="s">
        <v>976</v>
      </c>
      <c r="I1364" s="42">
        <v>45728</v>
      </c>
      <c r="J1364" s="120">
        <f>WORKDAY(I1364, 3)</f>
        <v>45733</v>
      </c>
      <c r="K1364" s="120">
        <v>45733</v>
      </c>
      <c r="L1364" s="120"/>
      <c r="M1364" s="120"/>
      <c r="N1364" s="120">
        <v>45738</v>
      </c>
      <c r="O1364" s="119" t="s">
        <v>884</v>
      </c>
      <c r="P1364" s="134"/>
    </row>
    <row r="1365" spans="1:17" hidden="1">
      <c r="A1365" s="134" t="s">
        <v>975</v>
      </c>
      <c r="C1365" s="29">
        <v>71509608</v>
      </c>
      <c r="D1365" s="29"/>
      <c r="F1365" s="29" t="s">
        <v>199</v>
      </c>
      <c r="G1365" s="29" t="s">
        <v>744</v>
      </c>
      <c r="H1365" s="29" t="s">
        <v>976</v>
      </c>
      <c r="I1365" s="42">
        <v>45728</v>
      </c>
      <c r="J1365" s="120">
        <f>WORKDAY(I1365, 3)</f>
        <v>45733</v>
      </c>
      <c r="K1365" s="120">
        <v>45733</v>
      </c>
      <c r="L1365" s="120"/>
      <c r="M1365" s="120"/>
      <c r="N1365" s="120">
        <v>45738</v>
      </c>
      <c r="O1365" s="119" t="s">
        <v>884</v>
      </c>
      <c r="P1365" s="29"/>
      <c r="Q1365" s="81"/>
    </row>
    <row r="1366" spans="1:17" hidden="1">
      <c r="A1366" s="134" t="s">
        <v>975</v>
      </c>
      <c r="C1366" s="29">
        <v>71509579</v>
      </c>
      <c r="D1366" s="29"/>
      <c r="F1366" s="29" t="s">
        <v>199</v>
      </c>
      <c r="G1366" s="29" t="s">
        <v>744</v>
      </c>
      <c r="H1366" s="29" t="s">
        <v>976</v>
      </c>
      <c r="I1366" s="42">
        <v>45728</v>
      </c>
      <c r="J1366" s="120">
        <f>WORKDAY(I1366, 3)</f>
        <v>45733</v>
      </c>
      <c r="K1366" s="120">
        <v>45733</v>
      </c>
      <c r="L1366" s="120"/>
      <c r="M1366" s="120"/>
      <c r="N1366" s="120">
        <v>45738</v>
      </c>
      <c r="O1366" s="119" t="s">
        <v>884</v>
      </c>
      <c r="P1366" s="29"/>
      <c r="Q1366" s="81"/>
    </row>
    <row r="1367" spans="1:17" hidden="1">
      <c r="A1367" s="134" t="s">
        <v>975</v>
      </c>
      <c r="C1367" s="29">
        <v>71509631</v>
      </c>
      <c r="D1367" s="29"/>
      <c r="F1367" s="29" t="s">
        <v>199</v>
      </c>
      <c r="G1367" s="29" t="s">
        <v>744</v>
      </c>
      <c r="H1367" s="29" t="s">
        <v>976</v>
      </c>
      <c r="I1367" s="42">
        <v>45728</v>
      </c>
      <c r="J1367" s="120">
        <f>WORKDAY(I1367, 3)</f>
        <v>45733</v>
      </c>
      <c r="K1367" s="120">
        <v>45733</v>
      </c>
      <c r="L1367" s="120"/>
      <c r="M1367" s="120"/>
      <c r="N1367" s="120">
        <v>45738</v>
      </c>
      <c r="O1367" s="119" t="s">
        <v>884</v>
      </c>
      <c r="P1367" s="29"/>
      <c r="Q1367" s="81"/>
    </row>
    <row r="1368" spans="1:17" hidden="1">
      <c r="A1368" s="134" t="s">
        <v>975</v>
      </c>
      <c r="C1368" s="29">
        <v>71509628</v>
      </c>
      <c r="D1368" s="29"/>
      <c r="F1368" s="29" t="s">
        <v>199</v>
      </c>
      <c r="G1368" s="29" t="s">
        <v>744</v>
      </c>
      <c r="H1368" s="29" t="s">
        <v>976</v>
      </c>
      <c r="I1368" s="42">
        <v>45728</v>
      </c>
      <c r="J1368" s="120">
        <f>WORKDAY(I1368, 3)</f>
        <v>45733</v>
      </c>
      <c r="K1368" s="120">
        <v>45733</v>
      </c>
      <c r="L1368" s="120"/>
      <c r="M1368" s="120"/>
      <c r="N1368" s="120">
        <v>45738</v>
      </c>
      <c r="O1368" s="119" t="s">
        <v>884</v>
      </c>
      <c r="P1368" s="29"/>
      <c r="Q1368" s="81"/>
    </row>
    <row r="1369" spans="1:17" hidden="1">
      <c r="A1369" s="134" t="s">
        <v>975</v>
      </c>
      <c r="C1369" s="29">
        <v>71509598</v>
      </c>
      <c r="D1369" s="29"/>
      <c r="F1369" s="29" t="s">
        <v>199</v>
      </c>
      <c r="G1369" s="29" t="s">
        <v>744</v>
      </c>
      <c r="H1369" s="29" t="s">
        <v>976</v>
      </c>
      <c r="I1369" s="42">
        <v>45728</v>
      </c>
      <c r="J1369" s="120">
        <f>WORKDAY(I1369, 3)</f>
        <v>45733</v>
      </c>
      <c r="K1369" s="120">
        <v>45733</v>
      </c>
      <c r="L1369" s="120"/>
      <c r="M1369" s="120"/>
      <c r="N1369" s="120">
        <v>45738</v>
      </c>
      <c r="O1369" s="119" t="s">
        <v>884</v>
      </c>
      <c r="P1369" s="29"/>
      <c r="Q1369" s="81"/>
    </row>
    <row r="1370" spans="1:17" hidden="1">
      <c r="A1370" s="134" t="s">
        <v>975</v>
      </c>
      <c r="C1370" s="29">
        <v>71509498</v>
      </c>
      <c r="D1370" s="29"/>
      <c r="F1370" s="29" t="s">
        <v>199</v>
      </c>
      <c r="G1370" s="29" t="s">
        <v>744</v>
      </c>
      <c r="H1370" s="29" t="s">
        <v>976</v>
      </c>
      <c r="I1370" s="42">
        <v>45728</v>
      </c>
      <c r="J1370" s="120">
        <f>WORKDAY(I1370, 3)</f>
        <v>45733</v>
      </c>
      <c r="K1370" s="120">
        <v>45733</v>
      </c>
      <c r="L1370" s="120"/>
      <c r="M1370" s="120"/>
      <c r="N1370" s="120">
        <v>45738</v>
      </c>
      <c r="O1370" s="119" t="s">
        <v>884</v>
      </c>
      <c r="P1370" s="29"/>
      <c r="Q1370" s="81"/>
    </row>
    <row r="1371" spans="1:17" hidden="1">
      <c r="A1371" s="134" t="s">
        <v>975</v>
      </c>
      <c r="C1371" s="29">
        <v>71509510</v>
      </c>
      <c r="D1371" s="29"/>
      <c r="F1371" s="29" t="s">
        <v>199</v>
      </c>
      <c r="G1371" s="29" t="s">
        <v>744</v>
      </c>
      <c r="H1371" s="29" t="s">
        <v>976</v>
      </c>
      <c r="I1371" s="42">
        <v>45728</v>
      </c>
      <c r="J1371" s="120">
        <f>WORKDAY(I1371, 3)</f>
        <v>45733</v>
      </c>
      <c r="K1371" s="120">
        <v>45733</v>
      </c>
      <c r="L1371" s="120"/>
      <c r="M1371" s="120"/>
      <c r="N1371" s="120">
        <v>45738</v>
      </c>
      <c r="O1371" s="119" t="s">
        <v>884</v>
      </c>
      <c r="P1371" s="29"/>
      <c r="Q1371" s="81"/>
    </row>
    <row r="1372" spans="1:17" hidden="1">
      <c r="A1372" s="134" t="s">
        <v>975</v>
      </c>
      <c r="C1372" s="29">
        <v>71509534</v>
      </c>
      <c r="D1372" s="29"/>
      <c r="F1372" s="29" t="s">
        <v>199</v>
      </c>
      <c r="G1372" s="29" t="s">
        <v>744</v>
      </c>
      <c r="H1372" s="29" t="s">
        <v>976</v>
      </c>
      <c r="I1372" s="42">
        <v>45728</v>
      </c>
      <c r="J1372" s="120">
        <f>WORKDAY(I1372, 3)</f>
        <v>45733</v>
      </c>
      <c r="K1372" s="120">
        <v>45733</v>
      </c>
      <c r="L1372" s="120"/>
      <c r="M1372" s="120"/>
      <c r="N1372" s="120">
        <v>45738</v>
      </c>
      <c r="O1372" s="119" t="s">
        <v>884</v>
      </c>
      <c r="P1372" s="29"/>
      <c r="Q1372" s="81"/>
    </row>
    <row r="1373" spans="1:17" hidden="1">
      <c r="A1373" s="134" t="s">
        <v>975</v>
      </c>
      <c r="C1373" s="29">
        <v>71509573</v>
      </c>
      <c r="D1373" s="29"/>
      <c r="F1373" s="29" t="s">
        <v>199</v>
      </c>
      <c r="G1373" s="29" t="s">
        <v>744</v>
      </c>
      <c r="H1373" s="29" t="s">
        <v>976</v>
      </c>
      <c r="I1373" s="42">
        <v>45728</v>
      </c>
      <c r="J1373" s="120">
        <f>WORKDAY(I1373, 3)</f>
        <v>45733</v>
      </c>
      <c r="K1373" s="120">
        <v>45733</v>
      </c>
      <c r="L1373" s="120"/>
      <c r="M1373" s="120"/>
      <c r="N1373" s="120">
        <v>45740</v>
      </c>
      <c r="O1373" s="119" t="s">
        <v>884</v>
      </c>
      <c r="P1373" s="29"/>
      <c r="Q1373" s="81"/>
    </row>
    <row r="1374" spans="1:17" hidden="1">
      <c r="A1374" s="134" t="s">
        <v>975</v>
      </c>
      <c r="C1374" s="29">
        <v>71509553</v>
      </c>
      <c r="D1374" s="29"/>
      <c r="F1374" s="29" t="s">
        <v>199</v>
      </c>
      <c r="G1374" s="29" t="s">
        <v>744</v>
      </c>
      <c r="H1374" s="29" t="s">
        <v>976</v>
      </c>
      <c r="I1374" s="42">
        <v>45728</v>
      </c>
      <c r="J1374" s="120">
        <f>WORKDAY(I1374, 3)</f>
        <v>45733</v>
      </c>
      <c r="K1374" s="120">
        <v>45733</v>
      </c>
      <c r="L1374" s="120"/>
      <c r="M1374" s="120"/>
      <c r="N1374" s="120">
        <v>45740</v>
      </c>
      <c r="O1374" s="119" t="s">
        <v>884</v>
      </c>
      <c r="P1374" s="29"/>
      <c r="Q1374" s="81"/>
    </row>
    <row r="1375" spans="1:17" hidden="1">
      <c r="A1375" s="134" t="s">
        <v>975</v>
      </c>
      <c r="C1375" s="29">
        <v>71509566</v>
      </c>
      <c r="D1375" s="29"/>
      <c r="F1375" s="29" t="s">
        <v>199</v>
      </c>
      <c r="G1375" s="29" t="s">
        <v>744</v>
      </c>
      <c r="H1375" s="29" t="s">
        <v>976</v>
      </c>
      <c r="I1375" s="42">
        <v>45728</v>
      </c>
      <c r="J1375" s="120">
        <f>WORKDAY(I1375, 3)</f>
        <v>45733</v>
      </c>
      <c r="K1375" s="120">
        <v>45733</v>
      </c>
      <c r="L1375" s="120"/>
      <c r="M1375" s="120"/>
      <c r="N1375" s="120">
        <v>45738</v>
      </c>
      <c r="O1375" s="119" t="s">
        <v>884</v>
      </c>
      <c r="P1375" s="29"/>
      <c r="Q1375" s="81"/>
    </row>
    <row r="1376" spans="1:17" hidden="1">
      <c r="A1376" s="134" t="s">
        <v>975</v>
      </c>
      <c r="C1376" s="29">
        <v>71509620</v>
      </c>
      <c r="D1376" s="29"/>
      <c r="F1376" s="29" t="s">
        <v>199</v>
      </c>
      <c r="G1376" s="29" t="s">
        <v>744</v>
      </c>
      <c r="H1376" s="29" t="s">
        <v>976</v>
      </c>
      <c r="I1376" s="42">
        <v>45728</v>
      </c>
      <c r="J1376" s="120">
        <f>WORKDAY(I1376, 3)</f>
        <v>45733</v>
      </c>
      <c r="K1376" s="120">
        <v>45733</v>
      </c>
      <c r="L1376" s="120"/>
      <c r="M1376" s="120"/>
      <c r="N1376" s="120">
        <v>45738</v>
      </c>
      <c r="O1376" s="119" t="s">
        <v>884</v>
      </c>
      <c r="P1376" s="29"/>
      <c r="Q1376" s="81"/>
    </row>
    <row r="1377" spans="1:18" hidden="1">
      <c r="A1377" s="134" t="s">
        <v>975</v>
      </c>
      <c r="C1377" s="29">
        <v>71509267</v>
      </c>
      <c r="D1377" s="29"/>
      <c r="F1377" s="29" t="s">
        <v>199</v>
      </c>
      <c r="G1377" s="29" t="s">
        <v>744</v>
      </c>
      <c r="H1377" s="29" t="s">
        <v>976</v>
      </c>
      <c r="I1377" s="42">
        <v>45728</v>
      </c>
      <c r="J1377" s="120">
        <f>WORKDAY(I1377, 3)</f>
        <v>45733</v>
      </c>
      <c r="K1377" s="120">
        <v>45733</v>
      </c>
      <c r="L1377" s="120"/>
      <c r="M1377" s="120"/>
      <c r="N1377" s="120">
        <v>45740</v>
      </c>
      <c r="O1377" s="119" t="s">
        <v>884</v>
      </c>
      <c r="P1377" s="29"/>
      <c r="Q1377" s="81"/>
    </row>
    <row r="1378" spans="1:18" hidden="1">
      <c r="A1378" s="134" t="s">
        <v>975</v>
      </c>
      <c r="C1378" s="29">
        <v>71509293</v>
      </c>
      <c r="D1378" s="29"/>
      <c r="F1378" s="29" t="s">
        <v>199</v>
      </c>
      <c r="G1378" s="29" t="s">
        <v>744</v>
      </c>
      <c r="H1378" s="29" t="s">
        <v>976</v>
      </c>
      <c r="I1378" s="42">
        <v>45728</v>
      </c>
      <c r="J1378" s="120">
        <f>WORKDAY(I1378, 3)</f>
        <v>45733</v>
      </c>
      <c r="K1378" s="120">
        <v>45733</v>
      </c>
      <c r="L1378" s="120"/>
      <c r="M1378" s="120"/>
      <c r="N1378" s="120">
        <v>45738</v>
      </c>
      <c r="O1378" s="119" t="s">
        <v>884</v>
      </c>
      <c r="P1378" s="29"/>
      <c r="Q1378" s="81"/>
    </row>
    <row r="1379" spans="1:18" hidden="1">
      <c r="A1379" s="134" t="s">
        <v>975</v>
      </c>
      <c r="C1379" s="29">
        <v>71509399</v>
      </c>
      <c r="D1379" s="29"/>
      <c r="F1379" s="29" t="s">
        <v>199</v>
      </c>
      <c r="G1379" s="29" t="s">
        <v>744</v>
      </c>
      <c r="H1379" s="29" t="s">
        <v>976</v>
      </c>
      <c r="I1379" s="42">
        <v>45728</v>
      </c>
      <c r="J1379" s="120">
        <f>WORKDAY(I1379, 3)</f>
        <v>45733</v>
      </c>
      <c r="K1379" s="120">
        <v>45733</v>
      </c>
      <c r="L1379" s="120"/>
      <c r="M1379" s="120"/>
      <c r="N1379" s="120">
        <v>45738</v>
      </c>
      <c r="O1379" s="119" t="s">
        <v>884</v>
      </c>
      <c r="P1379" s="29"/>
      <c r="Q1379" s="81"/>
    </row>
    <row r="1380" spans="1:18" hidden="1">
      <c r="A1380" s="134" t="s">
        <v>975</v>
      </c>
      <c r="C1380" s="29">
        <v>71509418</v>
      </c>
      <c r="D1380" s="29"/>
      <c r="F1380" s="29" t="s">
        <v>199</v>
      </c>
      <c r="G1380" s="29" t="s">
        <v>744</v>
      </c>
      <c r="H1380" s="29" t="s">
        <v>976</v>
      </c>
      <c r="I1380" s="42">
        <v>45728</v>
      </c>
      <c r="J1380" s="120">
        <f>WORKDAY(I1380, 3)</f>
        <v>45733</v>
      </c>
      <c r="K1380" s="120">
        <v>45733</v>
      </c>
      <c r="L1380" s="120"/>
      <c r="M1380" s="120"/>
      <c r="N1380" s="120">
        <v>45738</v>
      </c>
      <c r="O1380" s="119" t="s">
        <v>884</v>
      </c>
      <c r="P1380" s="29"/>
      <c r="Q1380" s="81"/>
    </row>
    <row r="1381" spans="1:18" hidden="1">
      <c r="A1381" s="134" t="s">
        <v>975</v>
      </c>
      <c r="C1381" s="29">
        <v>71509325</v>
      </c>
      <c r="D1381" s="29"/>
      <c r="F1381" s="29" t="s">
        <v>199</v>
      </c>
      <c r="G1381" s="29" t="s">
        <v>744</v>
      </c>
      <c r="H1381" s="29" t="s">
        <v>976</v>
      </c>
      <c r="I1381" s="42">
        <v>45728</v>
      </c>
      <c r="J1381" s="120">
        <f>WORKDAY(I1381, 3)</f>
        <v>45733</v>
      </c>
      <c r="K1381" s="120">
        <v>45733</v>
      </c>
      <c r="L1381" s="120"/>
      <c r="M1381" s="120"/>
      <c r="N1381" s="120">
        <v>45737</v>
      </c>
      <c r="O1381" s="119" t="s">
        <v>884</v>
      </c>
      <c r="P1381" s="29"/>
      <c r="Q1381" s="81"/>
    </row>
    <row r="1382" spans="1:18" hidden="1">
      <c r="A1382" s="134" t="s">
        <v>975</v>
      </c>
      <c r="C1382" s="29">
        <v>71509370</v>
      </c>
      <c r="D1382" s="29"/>
      <c r="F1382" s="29" t="s">
        <v>199</v>
      </c>
      <c r="G1382" s="29" t="s">
        <v>744</v>
      </c>
      <c r="H1382" s="29" t="s">
        <v>976</v>
      </c>
      <c r="I1382" s="42">
        <v>45728</v>
      </c>
      <c r="J1382" s="120">
        <f>WORKDAY(I1382, 3)</f>
        <v>45733</v>
      </c>
      <c r="K1382" s="120">
        <v>45733</v>
      </c>
      <c r="L1382" s="120"/>
      <c r="M1382" s="120"/>
      <c r="N1382" s="120">
        <v>45737</v>
      </c>
      <c r="O1382" s="119" t="s">
        <v>884</v>
      </c>
      <c r="P1382" s="29"/>
      <c r="Q1382" s="81"/>
    </row>
    <row r="1383" spans="1:18" hidden="1">
      <c r="A1383" s="134" t="s">
        <v>975</v>
      </c>
      <c r="C1383" s="29">
        <v>71509213</v>
      </c>
      <c r="D1383" s="29"/>
      <c r="F1383" s="29" t="s">
        <v>199</v>
      </c>
      <c r="G1383" s="29" t="s">
        <v>744</v>
      </c>
      <c r="H1383" s="29" t="s">
        <v>976</v>
      </c>
      <c r="I1383" s="42">
        <v>45728</v>
      </c>
      <c r="J1383" s="120">
        <f>WORKDAY(I1383, 3)</f>
        <v>45733</v>
      </c>
      <c r="K1383" s="120">
        <v>45733</v>
      </c>
      <c r="L1383" s="120"/>
      <c r="M1383" s="120"/>
      <c r="N1383" s="120">
        <v>45738</v>
      </c>
      <c r="O1383" s="119" t="s">
        <v>884</v>
      </c>
      <c r="P1383" s="29"/>
      <c r="Q1383" s="81"/>
    </row>
    <row r="1384" spans="1:18" hidden="1">
      <c r="A1384" s="134" t="s">
        <v>975</v>
      </c>
      <c r="C1384" s="29">
        <v>71509244</v>
      </c>
      <c r="D1384" s="29"/>
      <c r="F1384" s="29" t="s">
        <v>199</v>
      </c>
      <c r="G1384" s="29" t="s">
        <v>744</v>
      </c>
      <c r="H1384" s="29" t="s">
        <v>976</v>
      </c>
      <c r="I1384" s="42">
        <v>45728</v>
      </c>
      <c r="J1384" s="120">
        <f>WORKDAY(I1384, 3)</f>
        <v>45733</v>
      </c>
      <c r="K1384" s="120">
        <v>45733</v>
      </c>
      <c r="L1384" s="120"/>
      <c r="M1384" s="120"/>
      <c r="N1384" s="120">
        <v>45738</v>
      </c>
      <c r="O1384" s="119" t="s">
        <v>884</v>
      </c>
      <c r="P1384" s="29"/>
      <c r="Q1384" s="81"/>
    </row>
    <row r="1385" spans="1:18" hidden="1">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hidden="1">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hidden="1">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hidden="1">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hidden="1">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hidden="1">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hidden="1">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hidden="1">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hidden="1">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hidden="1">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hidden="1">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hidden="1">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hidden="1">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hidden="1">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hidden="1">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hidden="1">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hidden="1">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hidden="1">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hidden="1">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hidden="1">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hidden="1">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hidden="1">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hidden="1">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hidden="1">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hidden="1">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hidden="1">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hidden="1">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hidden="1">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hidden="1">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hidden="1">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hidden="1">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hidden="1">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hidden="1">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hidden="1">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hidden="1">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hidden="1">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hidden="1">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hidden="1">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hidden="1">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hidden="1">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hidden="1">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hidden="1">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hidden="1">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hidden="1">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hidden="1">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hidden="1">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hidden="1">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hidden="1">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hidden="1">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hidden="1">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hidden="1">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hidden="1">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hidden="1">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hidden="1">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hidden="1">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hidden="1">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hidden="1">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hidden="1">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hidden="1">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hidden="1">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hidden="1">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hidden="1">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hidden="1">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hidden="1">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hidden="1">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hidden="1">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hidden="1">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hidden="1">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hidden="1">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hidden="1">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hidden="1">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hidden="1">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hidden="1">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hidden="1">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hidden="1">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hidden="1">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hidden="1">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hidden="1">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hidden="1">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hidden="1">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hidden="1">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hidden="1">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hidden="1">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hidden="1">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hidden="1">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hidden="1">
      <c r="A1522" s="134" t="s">
        <v>1056</v>
      </c>
      <c r="C1522" s="29">
        <v>97506131</v>
      </c>
      <c r="D1522" s="29"/>
      <c r="F1522" s="29" t="s">
        <v>97</v>
      </c>
      <c r="G1522" s="29" t="s">
        <v>744</v>
      </c>
      <c r="H1522" s="29" t="s">
        <v>38</v>
      </c>
      <c r="I1522" s="120">
        <v>45754</v>
      </c>
      <c r="J1522" s="120">
        <f>WORKDAY(I1522, 3)</f>
        <v>45757</v>
      </c>
      <c r="K1522" s="29"/>
      <c r="L1522" s="29"/>
      <c r="M1522" s="29"/>
      <c r="N1522" s="29"/>
      <c r="O1522" s="119" t="s">
        <v>901</v>
      </c>
      <c r="P1522" s="29"/>
      <c r="Q1522" s="81">
        <v>75</v>
      </c>
      <c r="R1522" s="134" t="s">
        <v>1057</v>
      </c>
    </row>
    <row r="1523" spans="1:18" hidden="1">
      <c r="A1523" s="134" t="s">
        <v>1056</v>
      </c>
      <c r="C1523" s="29">
        <v>97506211</v>
      </c>
      <c r="D1523" s="29"/>
      <c r="F1523" s="29" t="s">
        <v>97</v>
      </c>
      <c r="G1523" s="29" t="s">
        <v>744</v>
      </c>
      <c r="H1523" s="29" t="s">
        <v>38</v>
      </c>
      <c r="I1523" s="120">
        <v>45754</v>
      </c>
      <c r="J1523" s="120">
        <f>WORKDAY(I1523, 3)</f>
        <v>45757</v>
      </c>
      <c r="K1523" s="29"/>
      <c r="L1523" s="29"/>
      <c r="M1523" s="29"/>
      <c r="N1523" s="29"/>
      <c r="O1523" s="119" t="s">
        <v>901</v>
      </c>
      <c r="P1523" s="29"/>
      <c r="Q1523" s="81">
        <v>260</v>
      </c>
      <c r="R1523" s="134" t="s">
        <v>1057</v>
      </c>
    </row>
    <row r="1524" spans="1:18" hidden="1">
      <c r="A1524" s="134" t="s">
        <v>1056</v>
      </c>
      <c r="C1524" s="29">
        <v>97506268</v>
      </c>
      <c r="D1524" s="29"/>
      <c r="F1524" s="29" t="s">
        <v>97</v>
      </c>
      <c r="G1524" s="29" t="s">
        <v>744</v>
      </c>
      <c r="H1524" s="29" t="s">
        <v>38</v>
      </c>
      <c r="I1524" s="120">
        <v>45754</v>
      </c>
      <c r="J1524" s="120">
        <f>WORKDAY(I1524, 3)</f>
        <v>45757</v>
      </c>
      <c r="K1524" s="29"/>
      <c r="L1524" s="29"/>
      <c r="M1524" s="29"/>
      <c r="N1524" s="29"/>
      <c r="O1524" s="119" t="s">
        <v>901</v>
      </c>
      <c r="P1524" s="29"/>
      <c r="Q1524" s="81">
        <v>70</v>
      </c>
      <c r="R1524" s="134" t="s">
        <v>1057</v>
      </c>
    </row>
    <row r="1525" spans="1:18" hidden="1">
      <c r="A1525" s="134" t="s">
        <v>1056</v>
      </c>
      <c r="C1525" s="29">
        <v>97506432</v>
      </c>
      <c r="D1525" s="29"/>
      <c r="F1525" s="29" t="s">
        <v>97</v>
      </c>
      <c r="G1525" s="29" t="s">
        <v>744</v>
      </c>
      <c r="H1525" s="29" t="s">
        <v>38</v>
      </c>
      <c r="I1525" s="120">
        <v>45754</v>
      </c>
      <c r="J1525" s="120">
        <f>WORKDAY(I1525, 3)</f>
        <v>45757</v>
      </c>
      <c r="K1525" s="29"/>
      <c r="L1525" s="29"/>
      <c r="M1525" s="29"/>
      <c r="N1525" s="29"/>
      <c r="O1525" s="119" t="s">
        <v>901</v>
      </c>
      <c r="P1525" s="29"/>
      <c r="Q1525" s="81">
        <v>140</v>
      </c>
      <c r="R1525" s="134" t="s">
        <v>1057</v>
      </c>
    </row>
    <row r="1526" spans="1:18" hidden="1">
      <c r="A1526" s="134" t="s">
        <v>1056</v>
      </c>
      <c r="C1526" s="29">
        <v>97506519</v>
      </c>
      <c r="D1526" s="29"/>
      <c r="F1526" s="29" t="s">
        <v>97</v>
      </c>
      <c r="G1526" s="29" t="s">
        <v>744</v>
      </c>
      <c r="H1526" s="29" t="s">
        <v>38</v>
      </c>
      <c r="I1526" s="120">
        <v>45754</v>
      </c>
      <c r="J1526" s="120">
        <f>WORKDAY(I1526, 3)</f>
        <v>45757</v>
      </c>
      <c r="K1526" s="29"/>
      <c r="L1526" s="29"/>
      <c r="M1526" s="29"/>
      <c r="N1526" s="29"/>
      <c r="O1526" s="119" t="s">
        <v>901</v>
      </c>
      <c r="P1526" s="29"/>
      <c r="Q1526" s="81">
        <v>140</v>
      </c>
      <c r="R1526" s="134" t="s">
        <v>1057</v>
      </c>
    </row>
    <row r="1527" spans="1:18" hidden="1">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hidden="1">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hidden="1">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hidden="1">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hidden="1">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hidden="1">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hidden="1">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hidden="1">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hidden="1">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hidden="1">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hidden="1">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hidden="1">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hidden="1">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hidden="1">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hidden="1">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hidden="1">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hidden="1">
      <c r="A1543" s="134" t="s">
        <v>1061</v>
      </c>
      <c r="C1543" s="29">
        <v>87506589</v>
      </c>
      <c r="D1543" s="29"/>
      <c r="F1543" s="29" t="s">
        <v>199</v>
      </c>
      <c r="G1543" s="29" t="s">
        <v>744</v>
      </c>
      <c r="H1543" s="29" t="s">
        <v>1062</v>
      </c>
      <c r="I1543" s="120">
        <v>45744</v>
      </c>
      <c r="J1543" s="120">
        <f>WORKDAY(I1543, 3)</f>
        <v>45749</v>
      </c>
      <c r="K1543" s="29"/>
      <c r="L1543" s="29"/>
      <c r="M1543" s="29"/>
      <c r="N1543" s="29"/>
      <c r="O1543" s="119" t="s">
        <v>901</v>
      </c>
      <c r="P1543" s="29"/>
      <c r="Q1543" s="81"/>
    </row>
    <row r="1544" spans="1:18" hidden="1">
      <c r="A1544" s="134" t="s">
        <v>1061</v>
      </c>
      <c r="C1544" s="29">
        <v>87506617</v>
      </c>
      <c r="D1544" s="29"/>
      <c r="F1544" s="29" t="s">
        <v>199</v>
      </c>
      <c r="G1544" s="29" t="s">
        <v>744</v>
      </c>
      <c r="H1544" s="29" t="s">
        <v>1062</v>
      </c>
      <c r="I1544" s="120">
        <v>45744</v>
      </c>
      <c r="J1544" s="120">
        <f>WORKDAY(I1544, 3)</f>
        <v>45749</v>
      </c>
      <c r="K1544" s="29"/>
      <c r="L1544" s="29"/>
      <c r="M1544" s="29"/>
      <c r="N1544" s="29"/>
      <c r="O1544" s="119" t="s">
        <v>901</v>
      </c>
      <c r="P1544" s="29"/>
      <c r="Q1544" s="81"/>
    </row>
    <row r="1545" spans="1:18" hidden="1">
      <c r="A1545" s="134" t="s">
        <v>1061</v>
      </c>
      <c r="C1545" s="29">
        <v>87506654</v>
      </c>
      <c r="D1545" s="29"/>
      <c r="F1545" s="29" t="s">
        <v>199</v>
      </c>
      <c r="G1545" s="29" t="s">
        <v>744</v>
      </c>
      <c r="H1545" s="29" t="s">
        <v>1062</v>
      </c>
      <c r="I1545" s="120">
        <v>45744</v>
      </c>
      <c r="J1545" s="120">
        <f>WORKDAY(I1545, 3)</f>
        <v>45749</v>
      </c>
      <c r="K1545" s="29"/>
      <c r="L1545" s="29"/>
      <c r="M1545" s="29"/>
      <c r="N1545" s="29"/>
      <c r="O1545" s="119" t="s">
        <v>901</v>
      </c>
      <c r="P1545" s="29"/>
      <c r="Q1545" s="81"/>
    </row>
    <row r="1546" spans="1:18" hidden="1">
      <c r="A1546" s="134" t="s">
        <v>1061</v>
      </c>
      <c r="C1546" s="29">
        <v>87506683</v>
      </c>
      <c r="D1546" s="29"/>
      <c r="F1546" s="29" t="s">
        <v>199</v>
      </c>
      <c r="G1546" s="29" t="s">
        <v>744</v>
      </c>
      <c r="H1546" s="29" t="s">
        <v>1062</v>
      </c>
      <c r="I1546" s="120">
        <v>45744</v>
      </c>
      <c r="J1546" s="120">
        <f>WORKDAY(I1546, 3)</f>
        <v>45749</v>
      </c>
      <c r="K1546" s="29"/>
      <c r="L1546" s="29"/>
      <c r="M1546" s="29"/>
      <c r="N1546" s="29"/>
      <c r="O1546" s="119" t="s">
        <v>901</v>
      </c>
      <c r="P1546" s="29"/>
      <c r="Q1546" s="81"/>
    </row>
    <row r="1547" spans="1:18" hidden="1">
      <c r="A1547" s="134" t="s">
        <v>1061</v>
      </c>
      <c r="C1547" s="29">
        <v>87506708</v>
      </c>
      <c r="D1547" s="29"/>
      <c r="F1547" s="29" t="s">
        <v>199</v>
      </c>
      <c r="G1547" s="29" t="s">
        <v>744</v>
      </c>
      <c r="H1547" s="29" t="s">
        <v>1062</v>
      </c>
      <c r="I1547" s="120">
        <v>45744</v>
      </c>
      <c r="J1547" s="120">
        <f>WORKDAY(I1547, 3)</f>
        <v>45749</v>
      </c>
      <c r="K1547" s="29"/>
      <c r="L1547" s="29"/>
      <c r="M1547" s="29"/>
      <c r="N1547" s="29"/>
      <c r="O1547" s="119" t="s">
        <v>901</v>
      </c>
      <c r="P1547" s="29"/>
      <c r="Q1547" s="81"/>
    </row>
    <row r="1548" spans="1:18" hidden="1">
      <c r="A1548" s="134" t="s">
        <v>1061</v>
      </c>
      <c r="C1548" s="29">
        <v>87506735</v>
      </c>
      <c r="D1548" s="29"/>
      <c r="F1548" s="29" t="s">
        <v>199</v>
      </c>
      <c r="G1548" s="29" t="s">
        <v>744</v>
      </c>
      <c r="H1548" s="29" t="s">
        <v>1062</v>
      </c>
      <c r="I1548" s="120">
        <v>45744</v>
      </c>
      <c r="J1548" s="120">
        <f>WORKDAY(I1548, 3)</f>
        <v>45749</v>
      </c>
      <c r="K1548" s="29"/>
      <c r="L1548" s="29"/>
      <c r="M1548" s="29"/>
      <c r="N1548" s="29"/>
      <c r="O1548" s="119" t="s">
        <v>901</v>
      </c>
      <c r="P1548" s="29"/>
      <c r="Q1548" s="81"/>
    </row>
    <row r="1549" spans="1:18" hidden="1">
      <c r="A1549" s="134" t="s">
        <v>1061</v>
      </c>
      <c r="C1549" s="29">
        <v>87506758</v>
      </c>
      <c r="D1549" s="29"/>
      <c r="F1549" s="29" t="s">
        <v>199</v>
      </c>
      <c r="G1549" s="29" t="s">
        <v>744</v>
      </c>
      <c r="H1549" s="29" t="s">
        <v>1062</v>
      </c>
      <c r="I1549" s="120">
        <v>45744</v>
      </c>
      <c r="J1549" s="120">
        <f>WORKDAY(I1549, 3)</f>
        <v>45749</v>
      </c>
      <c r="K1549" s="29"/>
      <c r="L1549" s="29"/>
      <c r="M1549" s="29"/>
      <c r="N1549" s="29"/>
      <c r="O1549" s="119" t="s">
        <v>901</v>
      </c>
      <c r="P1549" s="29"/>
      <c r="Q1549" s="81"/>
    </row>
    <row r="1550" spans="1:18" hidden="1">
      <c r="A1550" s="134" t="s">
        <v>1061</v>
      </c>
      <c r="C1550" s="29">
        <v>87506784</v>
      </c>
      <c r="D1550" s="29"/>
      <c r="F1550" s="29" t="s">
        <v>199</v>
      </c>
      <c r="G1550" s="29" t="s">
        <v>744</v>
      </c>
      <c r="H1550" s="29" t="s">
        <v>1062</v>
      </c>
      <c r="I1550" s="120">
        <v>45744</v>
      </c>
      <c r="J1550" s="120">
        <f>WORKDAY(I1550, 3)</f>
        <v>45749</v>
      </c>
      <c r="K1550" s="29"/>
      <c r="L1550" s="29"/>
      <c r="M1550" s="29"/>
      <c r="N1550" s="29"/>
      <c r="O1550" s="119" t="s">
        <v>901</v>
      </c>
      <c r="P1550" s="29"/>
      <c r="Q1550" s="81"/>
    </row>
    <row r="1551" spans="1:18" hidden="1">
      <c r="A1551" s="134" t="s">
        <v>1061</v>
      </c>
      <c r="C1551" s="29">
        <v>87506834</v>
      </c>
      <c r="D1551" s="29"/>
      <c r="F1551" s="29" t="s">
        <v>199</v>
      </c>
      <c r="G1551" s="29" t="s">
        <v>744</v>
      </c>
      <c r="H1551" s="29" t="s">
        <v>1062</v>
      </c>
      <c r="I1551" s="120">
        <v>45744</v>
      </c>
      <c r="J1551" s="120">
        <f>WORKDAY(I1551, 3)</f>
        <v>45749</v>
      </c>
      <c r="K1551" s="29"/>
      <c r="L1551" s="29"/>
      <c r="M1551" s="29"/>
      <c r="N1551" s="29"/>
      <c r="O1551" s="119" t="s">
        <v>901</v>
      </c>
      <c r="P1551" s="29"/>
      <c r="Q1551" s="81"/>
    </row>
    <row r="1552" spans="1:18" hidden="1">
      <c r="A1552" s="134" t="s">
        <v>1061</v>
      </c>
      <c r="C1552" s="29">
        <v>87506851</v>
      </c>
      <c r="D1552" s="29"/>
      <c r="F1552" s="29" t="s">
        <v>199</v>
      </c>
      <c r="G1552" s="29" t="s">
        <v>744</v>
      </c>
      <c r="H1552" s="29" t="s">
        <v>1062</v>
      </c>
      <c r="I1552" s="120">
        <v>45744</v>
      </c>
      <c r="J1552" s="120">
        <f>WORKDAY(I1552, 3)</f>
        <v>45749</v>
      </c>
      <c r="K1552" s="29"/>
      <c r="L1552" s="29"/>
      <c r="M1552" s="29"/>
      <c r="N1552" s="29"/>
      <c r="O1552" s="119" t="s">
        <v>901</v>
      </c>
      <c r="P1552" s="29"/>
      <c r="Q1552" s="81"/>
    </row>
    <row r="1553" spans="1:17" hidden="1">
      <c r="A1553" s="134" t="s">
        <v>1063</v>
      </c>
      <c r="C1553" s="29">
        <v>87504795</v>
      </c>
      <c r="D1553" s="29"/>
      <c r="F1553" s="29" t="s">
        <v>199</v>
      </c>
      <c r="G1553" s="29" t="s">
        <v>744</v>
      </c>
      <c r="H1553" s="29" t="s">
        <v>1062</v>
      </c>
      <c r="I1553" s="120">
        <v>45744</v>
      </c>
      <c r="J1553" s="120">
        <f>WORKDAY(I1553, 3)</f>
        <v>45749</v>
      </c>
      <c r="K1553" s="120">
        <v>45748</v>
      </c>
      <c r="L1553" s="120"/>
      <c r="M1553" s="120"/>
      <c r="N1553" s="29"/>
      <c r="O1553" s="119" t="s">
        <v>1060</v>
      </c>
      <c r="P1553" s="29"/>
      <c r="Q1553" s="81"/>
    </row>
    <row r="1554" spans="1:17" hidden="1">
      <c r="A1554" s="134" t="s">
        <v>1063</v>
      </c>
      <c r="C1554" s="29">
        <v>87504939</v>
      </c>
      <c r="D1554" s="29"/>
      <c r="F1554" s="29" t="s">
        <v>199</v>
      </c>
      <c r="G1554" s="29" t="s">
        <v>744</v>
      </c>
      <c r="H1554" s="29" t="s">
        <v>1062</v>
      </c>
      <c r="I1554" s="120">
        <v>45744</v>
      </c>
      <c r="J1554" s="120">
        <f>WORKDAY(I1554, 3)</f>
        <v>45749</v>
      </c>
      <c r="K1554" s="120">
        <v>45748</v>
      </c>
      <c r="L1554" s="120"/>
      <c r="M1554" s="120"/>
      <c r="N1554" s="29"/>
      <c r="O1554" s="119" t="s">
        <v>1060</v>
      </c>
      <c r="P1554" s="29"/>
      <c r="Q1554" s="81"/>
    </row>
    <row r="1555" spans="1:17" hidden="1">
      <c r="A1555" s="134" t="s">
        <v>1063</v>
      </c>
      <c r="C1555" s="29">
        <v>87505022</v>
      </c>
      <c r="D1555" s="29"/>
      <c r="F1555" s="29" t="s">
        <v>199</v>
      </c>
      <c r="G1555" s="29" t="s">
        <v>744</v>
      </c>
      <c r="H1555" s="29" t="s">
        <v>1062</v>
      </c>
      <c r="I1555" s="120">
        <v>45744</v>
      </c>
      <c r="J1555" s="120">
        <f>WORKDAY(I1555, 3)</f>
        <v>45749</v>
      </c>
      <c r="K1555" s="120">
        <v>45748</v>
      </c>
      <c r="L1555" s="120"/>
      <c r="M1555" s="120"/>
      <c r="N1555" s="29"/>
      <c r="O1555" s="119" t="s">
        <v>1060</v>
      </c>
      <c r="P1555" s="29"/>
      <c r="Q1555" s="81"/>
    </row>
    <row r="1556" spans="1:17" hidden="1">
      <c r="A1556" s="134" t="s">
        <v>1063</v>
      </c>
      <c r="C1556" s="29">
        <v>87505104</v>
      </c>
      <c r="D1556" s="29"/>
      <c r="F1556" s="29" t="s">
        <v>199</v>
      </c>
      <c r="G1556" s="29" t="s">
        <v>744</v>
      </c>
      <c r="H1556" s="29" t="s">
        <v>1062</v>
      </c>
      <c r="I1556" s="120">
        <v>45744</v>
      </c>
      <c r="J1556" s="120">
        <f>WORKDAY(I1556, 3)</f>
        <v>45749</v>
      </c>
      <c r="K1556" s="120">
        <v>45748</v>
      </c>
      <c r="L1556" s="120"/>
      <c r="M1556" s="120"/>
      <c r="N1556" s="29"/>
      <c r="O1556" s="119" t="s">
        <v>1060</v>
      </c>
      <c r="P1556" s="29"/>
      <c r="Q1556" s="81"/>
    </row>
    <row r="1557" spans="1:17" hidden="1">
      <c r="A1557" s="134" t="s">
        <v>1063</v>
      </c>
      <c r="C1557" s="29">
        <v>87505161</v>
      </c>
      <c r="D1557" s="29"/>
      <c r="F1557" s="29" t="s">
        <v>199</v>
      </c>
      <c r="G1557" s="29" t="s">
        <v>744</v>
      </c>
      <c r="H1557" s="29" t="s">
        <v>1062</v>
      </c>
      <c r="I1557" s="120">
        <v>45744</v>
      </c>
      <c r="J1557" s="120">
        <f>WORKDAY(I1557, 3)</f>
        <v>45749</v>
      </c>
      <c r="K1557" s="120">
        <v>45748</v>
      </c>
      <c r="L1557" s="120"/>
      <c r="M1557" s="120"/>
      <c r="N1557" s="29"/>
      <c r="O1557" s="119" t="s">
        <v>1060</v>
      </c>
      <c r="P1557" s="29"/>
      <c r="Q1557" s="81"/>
    </row>
    <row r="1558" spans="1:17" hidden="1">
      <c r="A1558" s="134" t="s">
        <v>1063</v>
      </c>
      <c r="C1558" s="29">
        <v>87505202</v>
      </c>
      <c r="D1558" s="29"/>
      <c r="F1558" s="29" t="s">
        <v>199</v>
      </c>
      <c r="G1558" s="29" t="s">
        <v>744</v>
      </c>
      <c r="H1558" s="29" t="s">
        <v>1062</v>
      </c>
      <c r="I1558" s="120">
        <v>45744</v>
      </c>
      <c r="J1558" s="120">
        <f>WORKDAY(I1558, 3)</f>
        <v>45749</v>
      </c>
      <c r="K1558" s="120">
        <v>45748</v>
      </c>
      <c r="L1558" s="120"/>
      <c r="M1558" s="120"/>
      <c r="N1558" s="29"/>
      <c r="O1558" s="119" t="s">
        <v>1060</v>
      </c>
      <c r="P1558" s="29"/>
      <c r="Q1558" s="81"/>
    </row>
    <row r="1559" spans="1:17" hidden="1">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hidden="1">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hidden="1">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hidden="1">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hidden="1">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hidden="1">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hidden="1">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hidden="1">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hidden="1">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hidden="1">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hidden="1">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hidden="1">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hidden="1">
      <c r="A1571" s="134" t="s">
        <v>1065</v>
      </c>
      <c r="C1571" s="29">
        <v>91503998</v>
      </c>
      <c r="D1571" s="29"/>
      <c r="F1571" s="29" t="s">
        <v>97</v>
      </c>
      <c r="G1571" s="29" t="s">
        <v>744</v>
      </c>
      <c r="H1571" s="29" t="s">
        <v>38</v>
      </c>
      <c r="I1571" s="120">
        <v>45748</v>
      </c>
      <c r="J1571" s="120">
        <f>WORKDAY(I1571, 3)</f>
        <v>45751</v>
      </c>
      <c r="K1571" s="29"/>
      <c r="L1571" s="29"/>
      <c r="M1571" s="29"/>
      <c r="N1571" s="29"/>
      <c r="O1571" s="119" t="s">
        <v>860</v>
      </c>
      <c r="P1571" s="29"/>
      <c r="Q1571" s="81"/>
      <c r="R1571" s="134" t="s">
        <v>1057</v>
      </c>
    </row>
    <row r="1572" spans="1:18" hidden="1">
      <c r="A1572" s="134" t="s">
        <v>1065</v>
      </c>
      <c r="C1572" s="29">
        <v>91504092</v>
      </c>
      <c r="D1572" s="29"/>
      <c r="F1572" s="29" t="s">
        <v>97</v>
      </c>
      <c r="G1572" s="29" t="s">
        <v>744</v>
      </c>
      <c r="H1572" s="29" t="s">
        <v>38</v>
      </c>
      <c r="I1572" s="120">
        <v>45748</v>
      </c>
      <c r="J1572" s="120">
        <f>WORKDAY(I1572, 3)</f>
        <v>45751</v>
      </c>
      <c r="K1572" s="29"/>
      <c r="L1572" s="29"/>
      <c r="M1572" s="29"/>
      <c r="N1572" s="29"/>
      <c r="O1572" s="119" t="s">
        <v>860</v>
      </c>
      <c r="P1572" s="29"/>
      <c r="Q1572" s="81"/>
      <c r="R1572" s="134" t="s">
        <v>1057</v>
      </c>
    </row>
    <row r="1573" spans="1:18" hidden="1">
      <c r="A1573" s="134" t="s">
        <v>1065</v>
      </c>
      <c r="C1573" s="29">
        <v>91504312</v>
      </c>
      <c r="D1573" s="29"/>
      <c r="F1573" s="29" t="s">
        <v>97</v>
      </c>
      <c r="G1573" s="29" t="s">
        <v>744</v>
      </c>
      <c r="H1573" s="29" t="s">
        <v>38</v>
      </c>
      <c r="I1573" s="120">
        <v>45748</v>
      </c>
      <c r="J1573" s="120">
        <f>WORKDAY(I1573, 3)</f>
        <v>45751</v>
      </c>
      <c r="K1573" s="29"/>
      <c r="L1573" s="29"/>
      <c r="M1573" s="29"/>
      <c r="N1573" s="29"/>
      <c r="O1573" s="119" t="s">
        <v>860</v>
      </c>
      <c r="P1573" s="29"/>
      <c r="Q1573" s="81"/>
      <c r="R1573" s="134" t="s">
        <v>1057</v>
      </c>
    </row>
    <row r="1574" spans="1:18" hidden="1">
      <c r="A1574" s="134" t="s">
        <v>1065</v>
      </c>
      <c r="C1574" s="29">
        <v>91504430</v>
      </c>
      <c r="D1574" s="29"/>
      <c r="F1574" s="29" t="s">
        <v>97</v>
      </c>
      <c r="G1574" s="29" t="s">
        <v>744</v>
      </c>
      <c r="H1574" s="29" t="s">
        <v>38</v>
      </c>
      <c r="I1574" s="120">
        <v>45748</v>
      </c>
      <c r="J1574" s="120">
        <f>WORKDAY(I1574, 3)</f>
        <v>45751</v>
      </c>
      <c r="K1574" s="29"/>
      <c r="L1574" s="29"/>
      <c r="M1574" s="29"/>
      <c r="N1574" s="29"/>
      <c r="O1574" s="119" t="s">
        <v>860</v>
      </c>
      <c r="P1574" s="29"/>
      <c r="Q1574" s="81"/>
      <c r="R1574" s="134" t="s">
        <v>1057</v>
      </c>
    </row>
    <row r="1575" spans="1:18" hidden="1">
      <c r="A1575" s="134" t="s">
        <v>1065</v>
      </c>
      <c r="C1575" s="29">
        <v>91504828</v>
      </c>
      <c r="D1575" s="29"/>
      <c r="F1575" s="29" t="s">
        <v>97</v>
      </c>
      <c r="G1575" s="29" t="s">
        <v>744</v>
      </c>
      <c r="H1575" s="29" t="s">
        <v>38</v>
      </c>
      <c r="I1575" s="120">
        <v>45748</v>
      </c>
      <c r="J1575" s="120">
        <f>WORKDAY(I1575, 3)</f>
        <v>45751</v>
      </c>
      <c r="K1575" s="29"/>
      <c r="L1575" s="29"/>
      <c r="M1575" s="29"/>
      <c r="N1575" s="29"/>
      <c r="O1575" s="119" t="s">
        <v>860</v>
      </c>
      <c r="P1575" s="29"/>
      <c r="Q1575" s="81"/>
      <c r="R1575" s="134" t="s">
        <v>1057</v>
      </c>
    </row>
    <row r="1576" spans="1:18" hidden="1">
      <c r="A1576" s="134" t="s">
        <v>1065</v>
      </c>
      <c r="C1576" s="29">
        <v>91505107</v>
      </c>
      <c r="D1576" s="29"/>
      <c r="F1576" s="29" t="s">
        <v>97</v>
      </c>
      <c r="G1576" s="29" t="s">
        <v>744</v>
      </c>
      <c r="H1576" s="29" t="s">
        <v>38</v>
      </c>
      <c r="I1576" s="120">
        <v>45748</v>
      </c>
      <c r="J1576" s="120">
        <f>WORKDAY(I1576, 3)</f>
        <v>45751</v>
      </c>
      <c r="K1576" s="29"/>
      <c r="L1576" s="29"/>
      <c r="M1576" s="29"/>
      <c r="N1576" s="29"/>
      <c r="O1576" s="119" t="s">
        <v>860</v>
      </c>
      <c r="P1576" s="29"/>
      <c r="Q1576" s="81"/>
      <c r="R1576" s="134" t="s">
        <v>1057</v>
      </c>
    </row>
    <row r="1577" spans="1:18" hidden="1">
      <c r="A1577" s="134" t="s">
        <v>1065</v>
      </c>
      <c r="C1577" s="29">
        <v>91505163</v>
      </c>
      <c r="D1577" s="29"/>
      <c r="F1577" s="29" t="s">
        <v>97</v>
      </c>
      <c r="G1577" s="29" t="s">
        <v>744</v>
      </c>
      <c r="H1577" s="29" t="s">
        <v>38</v>
      </c>
      <c r="I1577" s="120">
        <v>45748</v>
      </c>
      <c r="J1577" s="120">
        <f>WORKDAY(I1577, 3)</f>
        <v>45751</v>
      </c>
      <c r="K1577" s="29"/>
      <c r="L1577" s="29"/>
      <c r="M1577" s="29"/>
      <c r="N1577" s="29"/>
      <c r="O1577" s="119" t="s">
        <v>860</v>
      </c>
      <c r="P1577" s="29"/>
      <c r="Q1577" s="81"/>
      <c r="R1577" s="134" t="s">
        <v>1057</v>
      </c>
    </row>
    <row r="1578" spans="1:18" hidden="1">
      <c r="A1578" s="134" t="s">
        <v>1065</v>
      </c>
      <c r="C1578" s="29">
        <v>91505221</v>
      </c>
      <c r="D1578" s="29"/>
      <c r="F1578" s="29" t="s">
        <v>97</v>
      </c>
      <c r="G1578" s="29" t="s">
        <v>744</v>
      </c>
      <c r="H1578" s="29" t="s">
        <v>38</v>
      </c>
      <c r="I1578" s="120">
        <v>45748</v>
      </c>
      <c r="J1578" s="120">
        <f>WORKDAY(I1578, 3)</f>
        <v>45751</v>
      </c>
      <c r="K1578" s="29"/>
      <c r="L1578" s="29"/>
      <c r="M1578" s="29"/>
      <c r="N1578" s="29"/>
      <c r="O1578" s="119" t="s">
        <v>860</v>
      </c>
      <c r="P1578" s="29"/>
      <c r="Q1578" s="81"/>
      <c r="R1578" s="134" t="s">
        <v>1057</v>
      </c>
    </row>
    <row r="1579" spans="1:18" hidden="1">
      <c r="A1579" s="134" t="s">
        <v>1065</v>
      </c>
      <c r="C1579" s="29">
        <v>91505372</v>
      </c>
      <c r="D1579" s="29"/>
      <c r="F1579" s="29" t="s">
        <v>97</v>
      </c>
      <c r="G1579" s="29" t="s">
        <v>744</v>
      </c>
      <c r="H1579" s="29" t="s">
        <v>38</v>
      </c>
      <c r="I1579" s="120">
        <v>45748</v>
      </c>
      <c r="J1579" s="120">
        <f>WORKDAY(I1579, 3)</f>
        <v>45751</v>
      </c>
      <c r="K1579" s="29"/>
      <c r="L1579" s="29"/>
      <c r="M1579" s="29"/>
      <c r="N1579" s="29"/>
      <c r="O1579" s="119" t="s">
        <v>860</v>
      </c>
      <c r="P1579" s="29"/>
      <c r="Q1579" s="81"/>
      <c r="R1579" s="134" t="s">
        <v>1057</v>
      </c>
    </row>
    <row r="1580" spans="1:18" hidden="1">
      <c r="A1580" s="134" t="s">
        <v>1065</v>
      </c>
      <c r="C1580" s="29">
        <v>91505527</v>
      </c>
      <c r="D1580" s="29"/>
      <c r="F1580" s="29" t="s">
        <v>97</v>
      </c>
      <c r="G1580" s="29" t="s">
        <v>744</v>
      </c>
      <c r="H1580" s="29" t="s">
        <v>38</v>
      </c>
      <c r="I1580" s="120">
        <v>45748</v>
      </c>
      <c r="J1580" s="120">
        <f>WORKDAY(I1580, 3)</f>
        <v>45751</v>
      </c>
      <c r="K1580" s="29"/>
      <c r="L1580" s="29"/>
      <c r="M1580" s="29"/>
      <c r="N1580" s="29"/>
      <c r="O1580" s="119" t="s">
        <v>860</v>
      </c>
      <c r="P1580" s="29"/>
      <c r="Q1580" s="81"/>
      <c r="R1580" s="134" t="s">
        <v>1057</v>
      </c>
    </row>
    <row r="1581" spans="1:18" hidden="1">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hidden="1">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hidden="1">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hidden="1">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hidden="1">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hidden="1">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hidden="1">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hidden="1">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hidden="1">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hidden="1">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hidden="1">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hidden="1">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hidden="1">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hidden="1">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hidden="1">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hidden="1">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hidden="1">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hidden="1">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hidden="1">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hidden="1">
      <c r="A1600" s="134" t="s">
        <v>1059</v>
      </c>
      <c r="C1600" s="29">
        <v>92500131</v>
      </c>
      <c r="D1600" s="29"/>
      <c r="F1600" s="29" t="s">
        <v>97</v>
      </c>
      <c r="G1600" s="29" t="s">
        <v>744</v>
      </c>
      <c r="H1600" s="29" t="s">
        <v>38</v>
      </c>
      <c r="I1600" s="120">
        <v>45749</v>
      </c>
      <c r="J1600" s="120">
        <f>WORKDAY(I1600, 3)</f>
        <v>45754</v>
      </c>
      <c r="K1600" s="120"/>
      <c r="L1600" s="120"/>
      <c r="M1600" s="120"/>
      <c r="N1600" s="29"/>
      <c r="O1600" s="119" t="s">
        <v>1060</v>
      </c>
      <c r="P1600" s="29"/>
      <c r="Q1600" s="81">
        <v>91</v>
      </c>
      <c r="R1600" s="134" t="s">
        <v>1057</v>
      </c>
    </row>
    <row r="1601" spans="1:18" hidden="1">
      <c r="A1601" s="134" t="s">
        <v>1059</v>
      </c>
      <c r="C1601" s="29">
        <v>92500138</v>
      </c>
      <c r="D1601" s="29"/>
      <c r="F1601" s="29" t="s">
        <v>97</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hidden="1">
      <c r="A1602" s="134" t="s">
        <v>1059</v>
      </c>
      <c r="C1602" s="29">
        <v>92500157</v>
      </c>
      <c r="D1602" s="29"/>
      <c r="F1602" s="29" t="s">
        <v>97</v>
      </c>
      <c r="G1602" s="29" t="s">
        <v>744</v>
      </c>
      <c r="H1602" s="29" t="s">
        <v>38</v>
      </c>
      <c r="I1602" s="120">
        <v>45749</v>
      </c>
      <c r="J1602" s="120">
        <f>WORKDAY(I1602, 3)</f>
        <v>45754</v>
      </c>
      <c r="K1602" s="120"/>
      <c r="L1602" s="120"/>
      <c r="M1602" s="120"/>
      <c r="N1602" s="29"/>
      <c r="O1602" s="119" t="s">
        <v>901</v>
      </c>
      <c r="P1602" s="29"/>
      <c r="Q1602" s="81">
        <v>600</v>
      </c>
      <c r="R1602" s="134" t="s">
        <v>1057</v>
      </c>
    </row>
    <row r="1603" spans="1:18" hidden="1">
      <c r="A1603" s="134" t="s">
        <v>1059</v>
      </c>
      <c r="C1603" s="29">
        <v>92500608</v>
      </c>
      <c r="D1603" s="29"/>
      <c r="F1603" s="29" t="s">
        <v>97</v>
      </c>
      <c r="G1603" s="29" t="s">
        <v>744</v>
      </c>
      <c r="H1603" s="29" t="s">
        <v>38</v>
      </c>
      <c r="I1603" s="120">
        <v>45749</v>
      </c>
      <c r="J1603" s="120">
        <f>WORKDAY(I1603, 3)</f>
        <v>45754</v>
      </c>
      <c r="K1603" s="120"/>
      <c r="L1603" s="120"/>
      <c r="M1603" s="120"/>
      <c r="N1603" s="29"/>
      <c r="O1603" s="119" t="s">
        <v>901</v>
      </c>
      <c r="P1603" s="29"/>
      <c r="Q1603" s="81">
        <v>600</v>
      </c>
      <c r="R1603" s="134" t="s">
        <v>1057</v>
      </c>
    </row>
    <row r="1604" spans="1:18" hidden="1">
      <c r="A1604" s="134" t="s">
        <v>1059</v>
      </c>
      <c r="C1604" s="29">
        <v>92500632</v>
      </c>
      <c r="D1604" s="29"/>
      <c r="F1604" s="29" t="s">
        <v>97</v>
      </c>
      <c r="G1604" s="29" t="s">
        <v>744</v>
      </c>
      <c r="H1604" s="29" t="s">
        <v>38</v>
      </c>
      <c r="I1604" s="120">
        <v>45749</v>
      </c>
      <c r="J1604" s="120">
        <f>WORKDAY(I1604, 3)</f>
        <v>45754</v>
      </c>
      <c r="K1604" s="120"/>
      <c r="L1604" s="120"/>
      <c r="M1604" s="120"/>
      <c r="N1604" s="29"/>
      <c r="O1604" s="119" t="s">
        <v>901</v>
      </c>
      <c r="P1604" s="29"/>
      <c r="Q1604" s="81">
        <v>700</v>
      </c>
      <c r="R1604" s="134" t="s">
        <v>1057</v>
      </c>
    </row>
    <row r="1605" spans="1:18" hidden="1">
      <c r="A1605" s="134" t="s">
        <v>210</v>
      </c>
      <c r="C1605" s="29">
        <v>105505465</v>
      </c>
      <c r="D1605" s="29"/>
      <c r="F1605" s="29" t="s">
        <v>97</v>
      </c>
      <c r="G1605" s="29" t="s">
        <v>744</v>
      </c>
      <c r="H1605" s="29" t="s">
        <v>38</v>
      </c>
      <c r="I1605" s="120">
        <v>45763</v>
      </c>
      <c r="J1605" s="120">
        <f>WORKDAY(I1605, 3)</f>
        <v>45768</v>
      </c>
      <c r="K1605" s="29"/>
      <c r="L1605" s="29"/>
      <c r="M1605" s="29"/>
      <c r="N1605" s="29"/>
      <c r="O1605" s="119" t="s">
        <v>982</v>
      </c>
      <c r="P1605" s="29"/>
      <c r="Q1605" s="81">
        <v>80</v>
      </c>
      <c r="R1605" s="134" t="s">
        <v>1070</v>
      </c>
    </row>
    <row r="1606" spans="1:18" hidden="1">
      <c r="A1606" s="134" t="s">
        <v>210</v>
      </c>
      <c r="C1606" s="29">
        <v>106500966</v>
      </c>
      <c r="D1606" s="29"/>
      <c r="F1606" s="29" t="s">
        <v>97</v>
      </c>
      <c r="G1606" s="29" t="s">
        <v>744</v>
      </c>
      <c r="H1606" s="29" t="s">
        <v>38</v>
      </c>
      <c r="I1606" s="120">
        <v>45763</v>
      </c>
      <c r="J1606" s="120">
        <f>WORKDAY(I1606, 3)</f>
        <v>45768</v>
      </c>
      <c r="K1606" s="29"/>
      <c r="L1606" s="29"/>
      <c r="M1606" s="29"/>
      <c r="N1606" s="29"/>
      <c r="O1606" s="119" t="s">
        <v>982</v>
      </c>
      <c r="P1606" s="29"/>
      <c r="Q1606" s="81">
        <v>230</v>
      </c>
      <c r="R1606" s="134" t="s">
        <v>1070</v>
      </c>
    </row>
    <row r="1607" spans="1:18" hidden="1">
      <c r="A1607" s="134" t="s">
        <v>980</v>
      </c>
      <c r="C1607" s="29">
        <v>94500105</v>
      </c>
      <c r="D1607" s="29"/>
      <c r="F1607" s="29" t="s">
        <v>97</v>
      </c>
      <c r="G1607" s="29" t="s">
        <v>744</v>
      </c>
      <c r="H1607" s="29" t="s">
        <v>38</v>
      </c>
      <c r="I1607" s="120">
        <v>45751</v>
      </c>
      <c r="J1607" s="120">
        <f>WORKDAY(I1607, 3)</f>
        <v>45756</v>
      </c>
      <c r="K1607" s="29"/>
      <c r="L1607" s="29"/>
      <c r="M1607" s="29"/>
      <c r="N1607" s="29"/>
      <c r="O1607" s="119" t="s">
        <v>901</v>
      </c>
      <c r="P1607" s="29"/>
      <c r="Q1607" s="81">
        <v>820</v>
      </c>
      <c r="R1607" s="134" t="s">
        <v>1057</v>
      </c>
    </row>
    <row r="1608" spans="1:18" hidden="1">
      <c r="A1608" s="134" t="s">
        <v>980</v>
      </c>
      <c r="C1608" s="29">
        <v>94500112</v>
      </c>
      <c r="D1608" s="29"/>
      <c r="F1608" s="29" t="s">
        <v>97</v>
      </c>
      <c r="G1608" s="29" t="s">
        <v>744</v>
      </c>
      <c r="H1608" s="29" t="s">
        <v>38</v>
      </c>
      <c r="I1608" s="120">
        <v>45751</v>
      </c>
      <c r="J1608" s="120">
        <f>WORKDAY(I1608, 3)</f>
        <v>45756</v>
      </c>
      <c r="K1608" s="29"/>
      <c r="L1608" s="29"/>
      <c r="M1608" s="29"/>
      <c r="N1608" s="29"/>
      <c r="O1608" s="119" t="s">
        <v>901</v>
      </c>
      <c r="P1608" s="29"/>
      <c r="Q1608" s="81">
        <v>75</v>
      </c>
      <c r="R1608" s="134" t="s">
        <v>1057</v>
      </c>
    </row>
    <row r="1609" spans="1:18" hidden="1">
      <c r="A1609" s="134" t="s">
        <v>980</v>
      </c>
      <c r="C1609" s="29">
        <v>94500121</v>
      </c>
      <c r="D1609" s="29"/>
      <c r="F1609" s="29" t="s">
        <v>97</v>
      </c>
      <c r="G1609" s="29" t="s">
        <v>744</v>
      </c>
      <c r="H1609" s="29" t="s">
        <v>38</v>
      </c>
      <c r="I1609" s="120">
        <v>45751</v>
      </c>
      <c r="J1609" s="120">
        <f>WORKDAY(I1609, 3)</f>
        <v>45756</v>
      </c>
      <c r="K1609" s="29"/>
      <c r="L1609" s="29"/>
      <c r="M1609" s="29"/>
      <c r="N1609" s="29"/>
      <c r="O1609" s="119" t="s">
        <v>901</v>
      </c>
      <c r="P1609" s="29"/>
      <c r="Q1609" s="81">
        <v>75</v>
      </c>
      <c r="R1609" s="134" t="s">
        <v>1057</v>
      </c>
    </row>
    <row r="1610" spans="1:18" hidden="1">
      <c r="A1610" s="134" t="s">
        <v>980</v>
      </c>
      <c r="C1610" s="29">
        <v>94500971</v>
      </c>
      <c r="D1610" s="29"/>
      <c r="F1610" s="29" t="s">
        <v>97</v>
      </c>
      <c r="G1610" s="29" t="s">
        <v>744</v>
      </c>
      <c r="H1610" s="29" t="s">
        <v>38</v>
      </c>
      <c r="I1610" s="120">
        <v>45751</v>
      </c>
      <c r="J1610" s="120">
        <f>WORKDAY(I1610, 3)</f>
        <v>45756</v>
      </c>
      <c r="K1610" s="29"/>
      <c r="L1610" s="29"/>
      <c r="M1610" s="29"/>
      <c r="N1610" s="29"/>
      <c r="O1610" s="119" t="s">
        <v>901</v>
      </c>
      <c r="P1610" s="29"/>
      <c r="Q1610" s="81">
        <v>600</v>
      </c>
      <c r="R1610" s="134" t="s">
        <v>1057</v>
      </c>
    </row>
    <row r="1611" spans="1:18" hidden="1">
      <c r="A1611" s="134" t="s">
        <v>980</v>
      </c>
      <c r="C1611" s="29">
        <v>94501038</v>
      </c>
      <c r="D1611" s="29"/>
      <c r="F1611" s="29" t="s">
        <v>97</v>
      </c>
      <c r="G1611" s="29" t="s">
        <v>744</v>
      </c>
      <c r="H1611" s="29" t="s">
        <v>38</v>
      </c>
      <c r="I1611" s="120">
        <v>45751</v>
      </c>
      <c r="J1611" s="120">
        <f>WORKDAY(I1611, 3)</f>
        <v>45756</v>
      </c>
      <c r="K1611" s="29"/>
      <c r="L1611" s="29"/>
      <c r="M1611" s="29"/>
      <c r="N1611" s="29"/>
      <c r="O1611" s="119" t="s">
        <v>982</v>
      </c>
      <c r="P1611" s="29"/>
      <c r="Q1611" s="81">
        <v>610</v>
      </c>
      <c r="R1611" s="134" t="s">
        <v>1057</v>
      </c>
    </row>
    <row r="1612" spans="1:18" hidden="1">
      <c r="A1612" s="134" t="s">
        <v>1071</v>
      </c>
      <c r="C1612" s="29">
        <v>100501013</v>
      </c>
      <c r="D1612" s="29"/>
      <c r="F1612" s="29" t="s">
        <v>97</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1071</v>
      </c>
      <c r="C1613" s="29">
        <v>100501147</v>
      </c>
      <c r="D1613" s="29"/>
      <c r="F1613" s="29" t="s">
        <v>97</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980</v>
      </c>
      <c r="C1614" s="29">
        <v>93502135</v>
      </c>
      <c r="D1614" s="29"/>
      <c r="F1614" s="29" t="s">
        <v>97</v>
      </c>
      <c r="G1614" s="29" t="s">
        <v>744</v>
      </c>
      <c r="H1614" s="29" t="s">
        <v>38</v>
      </c>
      <c r="I1614" s="120">
        <v>45750</v>
      </c>
      <c r="J1614" s="120">
        <f>WORKDAY(I1614, 3)</f>
        <v>45755</v>
      </c>
      <c r="K1614" s="29"/>
      <c r="L1614" s="29"/>
      <c r="M1614" s="29"/>
      <c r="N1614" s="29"/>
      <c r="O1614" s="119" t="s">
        <v>901</v>
      </c>
      <c r="P1614" s="29"/>
      <c r="Q1614" s="81">
        <v>350</v>
      </c>
      <c r="R1614" s="134" t="s">
        <v>1057</v>
      </c>
    </row>
    <row r="1615" spans="1:18" hidden="1">
      <c r="A1615" s="134" t="s">
        <v>980</v>
      </c>
      <c r="C1615" s="29">
        <v>93503265</v>
      </c>
      <c r="D1615" s="29"/>
      <c r="F1615" s="29" t="s">
        <v>97</v>
      </c>
      <c r="G1615" s="29" t="s">
        <v>744</v>
      </c>
      <c r="H1615" s="29" t="s">
        <v>38</v>
      </c>
      <c r="I1615" s="120">
        <v>45750</v>
      </c>
      <c r="J1615" s="120">
        <f>WORKDAY(I1615, 3)</f>
        <v>45755</v>
      </c>
      <c r="K1615" s="29"/>
      <c r="L1615" s="29"/>
      <c r="M1615" s="29"/>
      <c r="N1615" s="29"/>
      <c r="O1615" s="119" t="s">
        <v>1060</v>
      </c>
      <c r="P1615" s="29"/>
      <c r="Q1615" s="81">
        <v>600</v>
      </c>
      <c r="R1615" s="134" t="s">
        <v>1057</v>
      </c>
    </row>
    <row r="1616" spans="1:18" hidden="1">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hidden="1">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hidden="1">
      <c r="A1618" s="134" t="s">
        <v>1073</v>
      </c>
      <c r="C1618" s="29">
        <v>91501382</v>
      </c>
      <c r="D1618" s="29"/>
      <c r="F1618" s="29" t="s">
        <v>97</v>
      </c>
      <c r="G1618" s="29" t="s">
        <v>16</v>
      </c>
      <c r="H1618" s="29" t="s">
        <v>38</v>
      </c>
      <c r="I1618" s="120">
        <v>45748</v>
      </c>
      <c r="J1618" s="120">
        <f>WORKDAY(I1618, 3)</f>
        <v>45751</v>
      </c>
      <c r="K1618" s="29"/>
      <c r="L1618" s="29"/>
      <c r="M1618" s="29"/>
      <c r="N1618" s="29"/>
      <c r="O1618" s="119" t="s">
        <v>860</v>
      </c>
      <c r="P1618" s="29"/>
      <c r="Q1618" s="81">
        <v>280</v>
      </c>
      <c r="W1618" s="124" t="s">
        <v>1074</v>
      </c>
    </row>
    <row r="1619" spans="1:23" hidden="1">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hidden="1">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hidden="1">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hidden="1">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199</v>
      </c>
      <c r="G1624" s="29" t="s">
        <v>744</v>
      </c>
      <c r="H1624" s="29" t="s">
        <v>1062</v>
      </c>
      <c r="I1624" s="120">
        <v>45743</v>
      </c>
      <c r="J1624" s="120">
        <f>WORKDAY(I1624, 3)</f>
        <v>45748</v>
      </c>
      <c r="K1624" s="29" t="s">
        <v>1078</v>
      </c>
      <c r="L1624" s="29"/>
      <c r="M1624" s="29"/>
      <c r="N1624" s="29"/>
      <c r="O1624" s="119" t="s">
        <v>901</v>
      </c>
      <c r="P1624" s="29"/>
      <c r="Q1624" s="81"/>
    </row>
    <row r="1625" spans="1:23" hidden="1">
      <c r="A1625" s="134" t="s">
        <v>1077</v>
      </c>
      <c r="C1625" s="29">
        <v>86505671</v>
      </c>
      <c r="D1625" s="29"/>
      <c r="F1625" s="29" t="s">
        <v>199</v>
      </c>
      <c r="G1625" s="29" t="s">
        <v>744</v>
      </c>
      <c r="H1625" s="29" t="s">
        <v>1062</v>
      </c>
      <c r="I1625" s="120">
        <v>45743</v>
      </c>
      <c r="J1625" s="120">
        <f>WORKDAY(I1625, 3)</f>
        <v>45748</v>
      </c>
      <c r="K1625" s="29" t="s">
        <v>1078</v>
      </c>
      <c r="L1625" s="29"/>
      <c r="M1625" s="29"/>
      <c r="N1625" s="29"/>
      <c r="O1625" s="119" t="s">
        <v>901</v>
      </c>
      <c r="P1625" s="29"/>
      <c r="Q1625" s="81"/>
    </row>
    <row r="1626" spans="1:23" hidden="1">
      <c r="A1626" s="134" t="s">
        <v>1077</v>
      </c>
      <c r="C1626" s="29">
        <v>86505989</v>
      </c>
      <c r="D1626" s="29"/>
      <c r="F1626" s="29" t="s">
        <v>199</v>
      </c>
      <c r="G1626" s="29" t="s">
        <v>744</v>
      </c>
      <c r="H1626" s="29" t="s">
        <v>1062</v>
      </c>
      <c r="I1626" s="120">
        <v>45743</v>
      </c>
      <c r="J1626" s="120">
        <f>WORKDAY(I1626, 3)</f>
        <v>45748</v>
      </c>
      <c r="K1626" s="29" t="s">
        <v>1078</v>
      </c>
      <c r="L1626" s="29"/>
      <c r="M1626" s="29"/>
      <c r="N1626" s="29"/>
      <c r="O1626" s="119" t="s">
        <v>901</v>
      </c>
      <c r="P1626" s="29"/>
      <c r="Q1626" s="81"/>
    </row>
    <row r="1627" spans="1:23" hidden="1">
      <c r="A1627" s="134" t="s">
        <v>1077</v>
      </c>
      <c r="C1627" s="29">
        <v>86508156</v>
      </c>
      <c r="D1627" s="29"/>
      <c r="F1627" s="29" t="s">
        <v>199</v>
      </c>
      <c r="G1627" s="29" t="s">
        <v>744</v>
      </c>
      <c r="H1627" s="29" t="s">
        <v>1062</v>
      </c>
      <c r="I1627" s="120">
        <v>45743</v>
      </c>
      <c r="J1627" s="120">
        <f>WORKDAY(I1627, 3)</f>
        <v>45748</v>
      </c>
      <c r="K1627" s="29" t="s">
        <v>1078</v>
      </c>
      <c r="L1627" s="29"/>
      <c r="M1627" s="29"/>
      <c r="N1627" s="29"/>
      <c r="O1627" s="119" t="s">
        <v>901</v>
      </c>
      <c r="P1627" s="29"/>
      <c r="Q1627" s="81"/>
    </row>
    <row r="1628" spans="1:23" hidden="1">
      <c r="A1628" s="134" t="s">
        <v>1077</v>
      </c>
      <c r="C1628" s="29">
        <v>86508338</v>
      </c>
      <c r="D1628" s="29"/>
      <c r="F1628" s="29" t="s">
        <v>199</v>
      </c>
      <c r="G1628" s="29" t="s">
        <v>744</v>
      </c>
      <c r="H1628" s="29" t="s">
        <v>1062</v>
      </c>
      <c r="I1628" s="120">
        <v>45743</v>
      </c>
      <c r="J1628" s="120">
        <f>WORKDAY(I1628, 3)</f>
        <v>45748</v>
      </c>
      <c r="K1628" s="29" t="s">
        <v>1078</v>
      </c>
      <c r="L1628" s="29"/>
      <c r="M1628" s="29"/>
      <c r="N1628" s="29"/>
      <c r="O1628" s="119" t="s">
        <v>901</v>
      </c>
      <c r="P1628" s="29"/>
      <c r="Q1628" s="81"/>
    </row>
    <row r="1629" spans="1:23" hidden="1">
      <c r="A1629" s="134" t="s">
        <v>1077</v>
      </c>
      <c r="C1629" s="29">
        <v>86508420</v>
      </c>
      <c r="D1629" s="29"/>
      <c r="F1629" s="29" t="s">
        <v>199</v>
      </c>
      <c r="G1629" s="29" t="s">
        <v>744</v>
      </c>
      <c r="H1629" s="29" t="s">
        <v>1062</v>
      </c>
      <c r="I1629" s="120">
        <v>45743</v>
      </c>
      <c r="J1629" s="120">
        <f>WORKDAY(I1629, 3)</f>
        <v>45748</v>
      </c>
      <c r="K1629" s="29" t="s">
        <v>1078</v>
      </c>
      <c r="L1629" s="29"/>
      <c r="M1629" s="29"/>
      <c r="N1629" s="120">
        <v>45752</v>
      </c>
      <c r="O1629" s="119" t="s">
        <v>884</v>
      </c>
      <c r="P1629" s="29"/>
      <c r="Q1629" s="81"/>
    </row>
    <row r="1630" spans="1:23" hidden="1">
      <c r="A1630" s="134" t="s">
        <v>1077</v>
      </c>
      <c r="C1630" s="29">
        <v>86508380</v>
      </c>
      <c r="D1630" s="29"/>
      <c r="F1630" s="29" t="s">
        <v>199</v>
      </c>
      <c r="G1630" s="29" t="s">
        <v>744</v>
      </c>
      <c r="H1630" s="29" t="s">
        <v>1062</v>
      </c>
      <c r="I1630" s="120">
        <v>45743</v>
      </c>
      <c r="J1630" s="120">
        <f>WORKDAY(I1630, 3)</f>
        <v>45748</v>
      </c>
      <c r="K1630" s="29" t="s">
        <v>1078</v>
      </c>
      <c r="L1630" s="29"/>
      <c r="M1630" s="29"/>
      <c r="N1630" s="29"/>
      <c r="O1630" s="119" t="s">
        <v>901</v>
      </c>
      <c r="P1630" s="29"/>
      <c r="Q1630" s="81"/>
    </row>
    <row r="1631" spans="1:23" hidden="1">
      <c r="A1631" s="134" t="s">
        <v>1077</v>
      </c>
      <c r="C1631" s="29">
        <v>86508535</v>
      </c>
      <c r="D1631" s="29"/>
      <c r="F1631" s="29" t="s">
        <v>199</v>
      </c>
      <c r="G1631" s="29" t="s">
        <v>744</v>
      </c>
      <c r="H1631" s="29" t="s">
        <v>1062</v>
      </c>
      <c r="I1631" s="120">
        <v>45743</v>
      </c>
      <c r="J1631" s="120">
        <f>WORKDAY(I1631, 3)</f>
        <v>45748</v>
      </c>
      <c r="K1631" s="29" t="s">
        <v>1078</v>
      </c>
      <c r="L1631" s="29"/>
      <c r="M1631" s="29"/>
      <c r="N1631" s="29"/>
      <c r="O1631" s="119" t="s">
        <v>901</v>
      </c>
      <c r="P1631" s="29"/>
      <c r="Q1631" s="81"/>
    </row>
    <row r="1632" spans="1:23" hidden="1">
      <c r="A1632" s="134" t="s">
        <v>1077</v>
      </c>
      <c r="C1632" s="29">
        <v>86508522</v>
      </c>
      <c r="D1632" s="29"/>
      <c r="F1632" s="29" t="s">
        <v>199</v>
      </c>
      <c r="G1632" s="29" t="s">
        <v>744</v>
      </c>
      <c r="H1632" s="29" t="s">
        <v>1062</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199</v>
      </c>
      <c r="G1633" s="29" t="s">
        <v>744</v>
      </c>
      <c r="H1633" s="29" t="s">
        <v>1062</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199</v>
      </c>
      <c r="G1634" s="29" t="s">
        <v>744</v>
      </c>
      <c r="H1634" s="29" t="s">
        <v>1062</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199</v>
      </c>
      <c r="G1635" s="29" t="s">
        <v>744</v>
      </c>
      <c r="H1635" s="29" t="s">
        <v>1062</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hidden="1">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hidden="1">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hidden="1">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hidden="1">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hidden="1">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hidden="1">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hidden="1">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hidden="1">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hidden="1">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hidden="1">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hidden="1">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hidden="1">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hidden="1">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hidden="1">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hidden="1">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hidden="1">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hidden="1">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hidden="1">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97</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hidden="1">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hidden="1">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hidden="1">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hidden="1">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hidden="1">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hidden="1">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hidden="1">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hidden="1">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hidden="1">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hidden="1">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hidden="1">
      <c r="A1685" s="134" t="s">
        <v>210</v>
      </c>
      <c r="C1685" s="29">
        <v>106500513</v>
      </c>
      <c r="D1685" s="29"/>
      <c r="F1685" s="29" t="s">
        <v>97</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hidden="1">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hidden="1">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hidden="1">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hidden="1">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hidden="1">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hidden="1">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hidden="1">
      <c r="A1693" s="134" t="s">
        <v>1077</v>
      </c>
      <c r="C1693" s="29">
        <v>86505457</v>
      </c>
      <c r="D1693" s="29"/>
      <c r="F1693" s="29" t="s">
        <v>199</v>
      </c>
      <c r="G1693" s="29" t="s">
        <v>744</v>
      </c>
      <c r="H1693" s="29" t="s">
        <v>1062</v>
      </c>
      <c r="I1693" s="120">
        <v>45743</v>
      </c>
      <c r="J1693" s="120">
        <f>WORKDAY(I1693, 3)</f>
        <v>45748</v>
      </c>
      <c r="K1693" s="120">
        <v>45748</v>
      </c>
      <c r="L1693" s="120"/>
      <c r="M1693" s="120"/>
      <c r="N1693" s="120">
        <v>45755</v>
      </c>
      <c r="O1693" s="119" t="s">
        <v>901</v>
      </c>
      <c r="P1693" s="29"/>
      <c r="Q1693" s="81">
        <v>170</v>
      </c>
    </row>
    <row r="1694" spans="1:18" hidden="1">
      <c r="A1694" s="134" t="s">
        <v>1077</v>
      </c>
      <c r="C1694" s="29">
        <v>86508188</v>
      </c>
      <c r="D1694" s="29"/>
      <c r="F1694" s="29" t="s">
        <v>199</v>
      </c>
      <c r="G1694" s="29" t="s">
        <v>744</v>
      </c>
      <c r="H1694" s="29" t="s">
        <v>1062</v>
      </c>
      <c r="I1694" s="120">
        <v>45743</v>
      </c>
      <c r="J1694" s="120">
        <f>WORKDAY(I1694, 3)</f>
        <v>45748</v>
      </c>
      <c r="K1694" s="120">
        <v>45748</v>
      </c>
      <c r="L1694" s="120"/>
      <c r="M1694" s="120"/>
      <c r="N1694" s="120">
        <v>45756</v>
      </c>
      <c r="O1694" s="119" t="s">
        <v>901</v>
      </c>
      <c r="P1694" s="29"/>
      <c r="Q1694" s="81"/>
    </row>
    <row r="1695" spans="1:18" hidden="1">
      <c r="A1695" s="134" t="s">
        <v>1077</v>
      </c>
      <c r="C1695" s="29">
        <v>86507992</v>
      </c>
      <c r="D1695" s="29"/>
      <c r="F1695" s="29" t="s">
        <v>199</v>
      </c>
      <c r="G1695" s="29" t="s">
        <v>744</v>
      </c>
      <c r="H1695" s="29" t="s">
        <v>1062</v>
      </c>
      <c r="I1695" s="120">
        <v>45743</v>
      </c>
      <c r="J1695" s="120">
        <f>WORKDAY(I1695, 3)</f>
        <v>45748</v>
      </c>
      <c r="K1695" s="120">
        <v>45748</v>
      </c>
      <c r="L1695" s="120"/>
      <c r="M1695" s="120"/>
      <c r="N1695" s="120">
        <v>45756</v>
      </c>
      <c r="O1695" s="119" t="s">
        <v>901</v>
      </c>
      <c r="P1695" s="29"/>
      <c r="Q1695" s="81"/>
    </row>
    <row r="1696" spans="1:18" hidden="1">
      <c r="A1696" s="134" t="s">
        <v>1077</v>
      </c>
      <c r="C1696" s="29">
        <v>86508250</v>
      </c>
      <c r="D1696" s="29"/>
      <c r="F1696" s="29" t="s">
        <v>199</v>
      </c>
      <c r="G1696" s="29" t="s">
        <v>744</v>
      </c>
      <c r="H1696" s="29" t="s">
        <v>1062</v>
      </c>
      <c r="I1696" s="120">
        <v>45743</v>
      </c>
      <c r="J1696" s="120">
        <f>WORKDAY(I1696, 3)</f>
        <v>45748</v>
      </c>
      <c r="K1696" s="120">
        <v>45748</v>
      </c>
      <c r="L1696" s="120"/>
      <c r="M1696" s="120"/>
      <c r="N1696" s="120">
        <v>45756</v>
      </c>
      <c r="O1696" s="119" t="s">
        <v>901</v>
      </c>
      <c r="P1696" s="29"/>
      <c r="Q1696" s="81"/>
    </row>
    <row r="1697" spans="1:19" hidden="1">
      <c r="A1697" s="134" t="s">
        <v>1077</v>
      </c>
      <c r="C1697" s="29">
        <v>86506614</v>
      </c>
      <c r="D1697" s="29"/>
      <c r="F1697" s="29" t="s">
        <v>199</v>
      </c>
      <c r="G1697" s="29" t="s">
        <v>744</v>
      </c>
      <c r="H1697" s="29" t="s">
        <v>1062</v>
      </c>
      <c r="I1697" s="120">
        <v>45743</v>
      </c>
      <c r="J1697" s="120">
        <f>WORKDAY(I1697, 3)</f>
        <v>45748</v>
      </c>
      <c r="K1697" s="120">
        <v>45748</v>
      </c>
      <c r="L1697" s="120"/>
      <c r="M1697" s="120"/>
      <c r="N1697" s="120">
        <v>45756</v>
      </c>
      <c r="O1697" s="119" t="s">
        <v>901</v>
      </c>
      <c r="P1697" s="29"/>
      <c r="Q1697" s="81"/>
    </row>
    <row r="1698" spans="1:19" hidden="1">
      <c r="A1698" s="134" t="s">
        <v>1077</v>
      </c>
      <c r="C1698" s="29">
        <v>86508468</v>
      </c>
      <c r="D1698" s="29"/>
      <c r="F1698" s="29" t="s">
        <v>199</v>
      </c>
      <c r="G1698" s="29" t="s">
        <v>744</v>
      </c>
      <c r="H1698" s="29" t="s">
        <v>1062</v>
      </c>
      <c r="I1698" s="120">
        <v>45743</v>
      </c>
      <c r="J1698" s="120">
        <f>WORKDAY(I1698, 3)</f>
        <v>45748</v>
      </c>
      <c r="K1698" s="120">
        <v>45748</v>
      </c>
      <c r="L1698" s="120"/>
      <c r="M1698" s="120"/>
      <c r="N1698" s="120">
        <v>45756</v>
      </c>
      <c r="O1698" s="119" t="s">
        <v>901</v>
      </c>
      <c r="P1698" s="29"/>
      <c r="Q1698" s="81"/>
    </row>
    <row r="1699" spans="1:19" hidden="1">
      <c r="A1699" s="134" t="s">
        <v>1077</v>
      </c>
      <c r="C1699" s="29">
        <v>86508488</v>
      </c>
      <c r="D1699" s="29"/>
      <c r="F1699" s="29" t="s">
        <v>199</v>
      </c>
      <c r="G1699" s="29" t="s">
        <v>744</v>
      </c>
      <c r="H1699" s="29" t="s">
        <v>1062</v>
      </c>
      <c r="I1699" s="120">
        <v>45743</v>
      </c>
      <c r="J1699" s="120">
        <f>WORKDAY(I1699, 3)</f>
        <v>45748</v>
      </c>
      <c r="K1699" s="120">
        <v>45748</v>
      </c>
      <c r="L1699" s="120"/>
      <c r="M1699" s="120"/>
      <c r="N1699" s="120">
        <v>45754</v>
      </c>
      <c r="O1699" s="119" t="s">
        <v>901</v>
      </c>
      <c r="P1699" s="29"/>
      <c r="Q1699" s="81"/>
    </row>
    <row r="1700" spans="1:19" hidden="1">
      <c r="A1700" s="134" t="s">
        <v>210</v>
      </c>
      <c r="C1700" s="29">
        <v>113506868</v>
      </c>
      <c r="D1700" s="29"/>
      <c r="F1700" s="29" t="s">
        <v>97</v>
      </c>
      <c r="G1700" s="29" t="s">
        <v>744</v>
      </c>
      <c r="H1700" s="29" t="s">
        <v>38</v>
      </c>
      <c r="I1700" s="120">
        <v>45770</v>
      </c>
      <c r="J1700" s="120">
        <f>WORKDAY(I1700, 3)</f>
        <v>45775</v>
      </c>
      <c r="K1700" s="29"/>
      <c r="L1700" s="29"/>
      <c r="M1700" s="29"/>
      <c r="N1700" s="29"/>
      <c r="O1700" s="119" t="s">
        <v>982</v>
      </c>
      <c r="P1700" s="29"/>
      <c r="Q1700" s="81">
        <v>50</v>
      </c>
      <c r="R1700" s="134" t="s">
        <v>1092</v>
      </c>
    </row>
    <row r="1701" spans="1:19" hidden="1">
      <c r="A1701" s="134" t="s">
        <v>210</v>
      </c>
      <c r="C1701" s="29">
        <v>113506906</v>
      </c>
      <c r="D1701" s="29"/>
      <c r="F1701" s="29" t="s">
        <v>97</v>
      </c>
      <c r="G1701" s="29" t="s">
        <v>744</v>
      </c>
      <c r="H1701" s="29" t="s">
        <v>38</v>
      </c>
      <c r="I1701" s="120">
        <v>45770</v>
      </c>
      <c r="J1701" s="120">
        <f>WORKDAY(I1701, 3)</f>
        <v>45775</v>
      </c>
      <c r="K1701" s="29"/>
      <c r="L1701" s="29"/>
      <c r="M1701" s="29"/>
      <c r="N1701" s="29"/>
      <c r="O1701" s="119" t="s">
        <v>982</v>
      </c>
      <c r="P1701" s="29"/>
      <c r="Q1701" s="81">
        <v>50</v>
      </c>
      <c r="R1701" s="134" t="s">
        <v>1093</v>
      </c>
    </row>
    <row r="1702" spans="1:19" hidden="1">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hidden="1">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hidden="1">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hidden="1">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hidden="1">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hidden="1">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hidden="1">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hidden="1">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hidden="1">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hidden="1">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hidden="1">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hidden="1">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hidden="1">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hidden="1">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hidden="1">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hidden="1">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hidden="1">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hidden="1">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hidden="1">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hidden="1">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hidden="1">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hidden="1">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hidden="1">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hidden="1">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hidden="1">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hidden="1">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hidden="1">
      <c r="A1728" s="134" t="s">
        <v>210</v>
      </c>
      <c r="C1728" s="29">
        <v>78501166</v>
      </c>
      <c r="D1728" s="29"/>
      <c r="F1728" s="29" t="s">
        <v>97</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hidden="1">
      <c r="A1729" s="134" t="s">
        <v>1107</v>
      </c>
      <c r="C1729" s="29">
        <v>92504513</v>
      </c>
      <c r="D1729" s="29"/>
      <c r="F1729" s="29" t="s">
        <v>97</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hidden="1">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hidden="1">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hidden="1">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hidden="1">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hidden="1">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hidden="1">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hidden="1">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hidden="1">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hidden="1">
      <c r="A1738" s="134" t="s">
        <v>1107</v>
      </c>
      <c r="C1738" s="29">
        <v>92503959</v>
      </c>
      <c r="D1738" s="29"/>
      <c r="F1738" s="29" t="s">
        <v>97</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hidden="1">
      <c r="A1739" s="134" t="s">
        <v>1107</v>
      </c>
      <c r="C1739" s="29">
        <v>92504115</v>
      </c>
      <c r="D1739" s="29"/>
      <c r="F1739" s="29" t="s">
        <v>97</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hidden="1">
      <c r="A1740" s="134" t="s">
        <v>1107</v>
      </c>
      <c r="C1740" s="29">
        <v>92504167</v>
      </c>
      <c r="D1740" s="29"/>
      <c r="F1740" s="29" t="s">
        <v>97</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hidden="1">
      <c r="A1741" s="134" t="s">
        <v>1110</v>
      </c>
      <c r="C1741" s="29">
        <v>122501975</v>
      </c>
      <c r="D1741" s="29"/>
      <c r="F1741" s="29" t="s">
        <v>97</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1110</v>
      </c>
      <c r="C1742" s="29">
        <v>122501985</v>
      </c>
      <c r="D1742" s="29"/>
      <c r="F1742" s="29" t="s">
        <v>97</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97</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97</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97</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97</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hidden="1">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hidden="1">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hidden="1">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hidden="1">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1112</v>
      </c>
      <c r="C1753" s="29">
        <v>100502580</v>
      </c>
      <c r="D1753" s="29"/>
      <c r="F1753" s="29" t="s">
        <v>97</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1112</v>
      </c>
      <c r="C1754" s="29">
        <v>100502641</v>
      </c>
      <c r="D1754" s="29"/>
      <c r="F1754" s="29" t="s">
        <v>97</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hidden="1">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hidden="1">
      <c r="A1757" s="134" t="s">
        <v>1071</v>
      </c>
      <c r="C1757" s="29">
        <v>101500571</v>
      </c>
      <c r="D1757" s="29"/>
      <c r="F1757" s="29" t="s">
        <v>97</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hidden="1">
      <c r="A1758" s="134" t="s">
        <v>1112</v>
      </c>
      <c r="C1758" s="29">
        <v>101501845</v>
      </c>
      <c r="D1758" s="29"/>
      <c r="F1758" s="29" t="s">
        <v>97</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1112</v>
      </c>
      <c r="C1759" s="29">
        <v>101501919</v>
      </c>
      <c r="D1759" s="29"/>
      <c r="F1759" s="29" t="s">
        <v>97</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1112</v>
      </c>
      <c r="C1760" s="29">
        <v>101501982</v>
      </c>
      <c r="D1760" s="29"/>
      <c r="F1760" s="29" t="s">
        <v>97</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1112</v>
      </c>
      <c r="C1761" s="29">
        <v>101502031</v>
      </c>
      <c r="D1761" s="29"/>
      <c r="F1761" s="29" t="s">
        <v>97</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1112</v>
      </c>
      <c r="C1762" s="29">
        <v>104501592</v>
      </c>
      <c r="D1762" s="29"/>
      <c r="F1762" s="29" t="s">
        <v>97</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1112</v>
      </c>
      <c r="C1763" s="29">
        <v>104501629</v>
      </c>
      <c r="D1763" s="29"/>
      <c r="F1763" s="29" t="s">
        <v>97</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1112</v>
      </c>
      <c r="C1764" s="29">
        <v>104501773</v>
      </c>
      <c r="D1764" s="29"/>
      <c r="F1764" s="29" t="s">
        <v>97</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1112</v>
      </c>
      <c r="C1765" s="29">
        <v>104501853</v>
      </c>
      <c r="D1765" s="29"/>
      <c r="F1765" s="29" t="s">
        <v>97</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1112</v>
      </c>
      <c r="C1766" s="29">
        <v>104502002</v>
      </c>
      <c r="D1766" s="29"/>
      <c r="F1766" s="29" t="s">
        <v>97</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hidden="1">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hidden="1">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hidden="1">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hidden="1">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hidden="1">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hidden="1">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hidden="1">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hidden="1">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hidden="1">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hidden="1">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hidden="1">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hidden="1">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hidden="1">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hidden="1">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hidden="1">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hidden="1">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hidden="1">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hidden="1">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hidden="1">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hidden="1">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hidden="1">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hidden="1">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hidden="1">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hidden="1">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hidden="1">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hidden="1">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hidden="1">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hidden="1">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hidden="1">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hidden="1">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hidden="1">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hidden="1">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hidden="1">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hidden="1">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hidden="1">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hidden="1">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hidden="1">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hidden="1">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hidden="1">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hidden="1">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hidden="1">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hidden="1">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hidden="1">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hidden="1">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hidden="1">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hidden="1">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hidden="1">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hidden="1">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hidden="1">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hidden="1">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hidden="1">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hidden="1">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hidden="1">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hidden="1">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hidden="1">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hidden="1">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hidden="1">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hidden="1">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hidden="1">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hidden="1">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hidden="1">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hidden="1">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hidden="1">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hidden="1">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hidden="1">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hidden="1">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hidden="1">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hidden="1">
      <c r="A1843" s="134" t="s">
        <v>417</v>
      </c>
      <c r="C1843" s="29">
        <v>92501215</v>
      </c>
      <c r="D1843" s="29"/>
      <c r="F1843" s="29" t="s">
        <v>97</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hidden="1">
      <c r="A1844" s="134" t="s">
        <v>1140</v>
      </c>
      <c r="C1844" s="29">
        <v>92501826</v>
      </c>
      <c r="D1844" s="29"/>
      <c r="F1844" s="29" t="s">
        <v>97</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1140</v>
      </c>
      <c r="C1845" s="29">
        <v>92502043</v>
      </c>
      <c r="D1845" s="29"/>
      <c r="F1845" s="29" t="s">
        <v>97</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1140</v>
      </c>
      <c r="C1846" s="29">
        <v>92502098</v>
      </c>
      <c r="D1846" s="29"/>
      <c r="F1846" s="29" t="s">
        <v>97</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1140</v>
      </c>
      <c r="C1847" s="29">
        <v>92502178</v>
      </c>
      <c r="D1847" s="29"/>
      <c r="F1847" s="29" t="s">
        <v>97</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1140</v>
      </c>
      <c r="C1848" s="29">
        <v>92502299</v>
      </c>
      <c r="D1848" s="29"/>
      <c r="F1848" s="29" t="s">
        <v>97</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1140</v>
      </c>
      <c r="C1849" s="29">
        <v>92502551</v>
      </c>
      <c r="D1849" s="29"/>
      <c r="F1849" s="29" t="s">
        <v>97</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1140</v>
      </c>
      <c r="C1850" s="29">
        <v>92502638</v>
      </c>
      <c r="D1850" s="29"/>
      <c r="F1850" s="29" t="s">
        <v>97</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1140</v>
      </c>
      <c r="C1851" s="29">
        <v>92502659</v>
      </c>
      <c r="D1851" s="29"/>
      <c r="F1851" s="29" t="s">
        <v>97</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1140</v>
      </c>
      <c r="C1852" s="29">
        <v>92502820</v>
      </c>
      <c r="D1852" s="29"/>
      <c r="F1852" s="29" t="s">
        <v>97</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1140</v>
      </c>
      <c r="C1853" s="29">
        <v>92502886</v>
      </c>
      <c r="D1853" s="29"/>
      <c r="F1853" s="29" t="s">
        <v>97</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1140</v>
      </c>
      <c r="C1854" s="29">
        <v>92503066</v>
      </c>
      <c r="D1854" s="29"/>
      <c r="F1854" s="29" t="s">
        <v>97</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1140</v>
      </c>
      <c r="C1855" s="29">
        <v>92503156</v>
      </c>
      <c r="D1855" s="29"/>
      <c r="F1855" s="29" t="s">
        <v>97</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1140</v>
      </c>
      <c r="C1856" s="29">
        <v>92503216</v>
      </c>
      <c r="D1856" s="29"/>
      <c r="F1856" s="29" t="s">
        <v>97</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1140</v>
      </c>
      <c r="C1857" s="29">
        <v>92503249</v>
      </c>
      <c r="D1857" s="29"/>
      <c r="F1857" s="29" t="s">
        <v>97</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1140</v>
      </c>
      <c r="C1858" s="29">
        <v>92503322</v>
      </c>
      <c r="D1858" s="29"/>
      <c r="F1858" s="29" t="s">
        <v>97</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1140</v>
      </c>
      <c r="C1859" s="29">
        <v>92503354</v>
      </c>
      <c r="D1859" s="29"/>
      <c r="F1859" s="29" t="s">
        <v>97</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1140</v>
      </c>
      <c r="C1860" s="29">
        <v>92503481</v>
      </c>
      <c r="D1860" s="29"/>
      <c r="F1860" s="29" t="s">
        <v>97</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1140</v>
      </c>
      <c r="C1861" s="29">
        <v>92503513</v>
      </c>
      <c r="D1861" s="29"/>
      <c r="F1861" s="29" t="s">
        <v>97</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1140</v>
      </c>
      <c r="C1862" s="29">
        <v>92503550</v>
      </c>
      <c r="D1862" s="29"/>
      <c r="F1862" s="29" t="s">
        <v>97</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1107</v>
      </c>
      <c r="C1863" s="29">
        <v>92504231</v>
      </c>
      <c r="D1863" s="29"/>
      <c r="F1863" s="29" t="s">
        <v>97</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1107</v>
      </c>
      <c r="C1864" s="29">
        <v>92504293</v>
      </c>
      <c r="D1864" s="29"/>
      <c r="F1864" s="29" t="s">
        <v>97</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1107</v>
      </c>
      <c r="C1865" s="29">
        <v>92504342</v>
      </c>
      <c r="D1865" s="29"/>
      <c r="F1865" s="29" t="s">
        <v>97</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1107</v>
      </c>
      <c r="C1866" s="29">
        <v>92504376</v>
      </c>
      <c r="D1866" s="29"/>
      <c r="F1866" s="29" t="s">
        <v>97</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1107</v>
      </c>
      <c r="C1867" s="29">
        <v>92504430</v>
      </c>
      <c r="D1867" s="29"/>
      <c r="F1867" s="29" t="s">
        <v>97</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1107</v>
      </c>
      <c r="C1868" s="29">
        <v>92504450</v>
      </c>
      <c r="D1868" s="29"/>
      <c r="F1868" s="29" t="s">
        <v>97</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1107</v>
      </c>
      <c r="C1869" s="29">
        <v>92504488</v>
      </c>
      <c r="D1869" s="29"/>
      <c r="F1869" s="29" t="s">
        <v>97</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1107</v>
      </c>
      <c r="C1870" s="29">
        <v>92504501</v>
      </c>
      <c r="D1870" s="29"/>
      <c r="F1870" s="29" t="s">
        <v>97</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hidden="1">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hidden="1">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hidden="1">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hidden="1">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hidden="1">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hidden="1">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hidden="1">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hidden="1">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hidden="1">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hidden="1">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hidden="1">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hidden="1">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hidden="1">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hidden="1">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hidden="1">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hidden="1">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hidden="1">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hidden="1">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hidden="1">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hidden="1">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hidden="1">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hidden="1">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hidden="1">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hidden="1">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hidden="1">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hidden="1">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hidden="1">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hidden="1">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hidden="1">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hidden="1">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hidden="1">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hidden="1">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hidden="1">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hidden="1">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hidden="1">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hidden="1">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hidden="1">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hidden="1">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hidden="1">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hidden="1">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hidden="1">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hidden="1">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hidden="1">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hidden="1">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hidden="1">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hidden="1">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hidden="1">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hidden="1">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hidden="1">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hidden="1">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hidden="1">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hidden="1">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hidden="1">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hidden="1">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hidden="1">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hidden="1">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hidden="1">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hidden="1">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hidden="1">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hidden="1">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hidden="1">
      <c r="A1936" s="134" t="s">
        <v>1211</v>
      </c>
      <c r="C1936" s="29">
        <v>78508080</v>
      </c>
      <c r="D1936" s="29"/>
      <c r="F1936" s="29" t="s">
        <v>76</v>
      </c>
      <c r="G1936" s="29" t="s">
        <v>169</v>
      </c>
      <c r="H1936" s="29" t="s">
        <v>77</v>
      </c>
      <c r="I1936" s="42">
        <v>45735</v>
      </c>
      <c r="J1936" s="120">
        <f>WORKDAY(I1936, 3)</f>
        <v>45740</v>
      </c>
      <c r="K1936" s="120"/>
      <c r="L1936" s="120"/>
      <c r="M1936" s="120"/>
      <c r="N1936" s="120">
        <v>45742</v>
      </c>
      <c r="O1936" s="29" t="s">
        <v>884</v>
      </c>
      <c r="P1936" s="120"/>
      <c r="Q1936" s="81"/>
      <c r="R1936" s="29"/>
    </row>
    <row r="1937" spans="1:19" hidden="1">
      <c r="A1937" s="134" t="s">
        <v>1211</v>
      </c>
      <c r="C1937" s="29">
        <v>78508106</v>
      </c>
      <c r="D1937" s="29"/>
      <c r="F1937" s="29" t="s">
        <v>76</v>
      </c>
      <c r="G1937" s="29" t="s">
        <v>169</v>
      </c>
      <c r="H1937" s="29" t="s">
        <v>77</v>
      </c>
      <c r="I1937" s="42">
        <v>45735</v>
      </c>
      <c r="J1937" s="120">
        <f>WORKDAY(I1937, 3)</f>
        <v>45740</v>
      </c>
      <c r="K1937" s="120"/>
      <c r="L1937" s="120"/>
      <c r="M1937" s="120"/>
      <c r="N1937" s="120">
        <v>45742</v>
      </c>
      <c r="O1937" s="29" t="s">
        <v>884</v>
      </c>
      <c r="P1937" s="120"/>
      <c r="Q1937" s="81"/>
      <c r="R1937" s="29"/>
    </row>
    <row r="1938" spans="1:19" hidden="1">
      <c r="A1938" s="134" t="s">
        <v>1211</v>
      </c>
      <c r="C1938" s="29">
        <v>78508127</v>
      </c>
      <c r="D1938" s="29"/>
      <c r="F1938" s="29" t="s">
        <v>76</v>
      </c>
      <c r="G1938" s="29" t="s">
        <v>169</v>
      </c>
      <c r="H1938" s="29" t="s">
        <v>77</v>
      </c>
      <c r="I1938" s="42">
        <v>45735</v>
      </c>
      <c r="J1938" s="120">
        <f>WORKDAY(I1938, 3)</f>
        <v>45740</v>
      </c>
      <c r="K1938" s="120"/>
      <c r="L1938" s="120"/>
      <c r="M1938" s="120"/>
      <c r="N1938" s="120">
        <v>45742</v>
      </c>
      <c r="O1938" s="29" t="s">
        <v>884</v>
      </c>
      <c r="P1938" s="120"/>
      <c r="Q1938" s="81"/>
      <c r="R1938" s="29"/>
    </row>
    <row r="1939" spans="1:19" hidden="1">
      <c r="A1939" s="134" t="s">
        <v>1211</v>
      </c>
      <c r="C1939" s="29">
        <v>78508175</v>
      </c>
      <c r="D1939" s="29"/>
      <c r="F1939" s="29" t="s">
        <v>76</v>
      </c>
      <c r="G1939" s="29" t="s">
        <v>169</v>
      </c>
      <c r="H1939" s="29" t="s">
        <v>77</v>
      </c>
      <c r="I1939" s="42">
        <v>45735</v>
      </c>
      <c r="J1939" s="120">
        <f>WORKDAY(I1939, 3)</f>
        <v>45740</v>
      </c>
      <c r="K1939" s="120"/>
      <c r="L1939" s="120"/>
      <c r="M1939" s="120"/>
      <c r="N1939" s="120">
        <v>45742</v>
      </c>
      <c r="O1939" s="29" t="s">
        <v>884</v>
      </c>
      <c r="P1939" s="120"/>
      <c r="Q1939" s="81"/>
      <c r="R1939" s="29"/>
    </row>
    <row r="1940" spans="1:19" hidden="1">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hidden="1">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hidden="1">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hidden="1">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hidden="1">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hidden="1">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hidden="1">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hidden="1">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hidden="1">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hidden="1">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hidden="1">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hidden="1">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hidden="1">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hidden="1">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hidden="1">
      <c r="A1958" s="134" t="s">
        <v>980</v>
      </c>
      <c r="C1958" s="29">
        <v>105505134</v>
      </c>
      <c r="D1958" s="29"/>
      <c r="F1958" s="29" t="s">
        <v>97</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1056</v>
      </c>
      <c r="C1959" s="29">
        <v>105505191</v>
      </c>
      <c r="D1959" s="29"/>
      <c r="F1959" s="29" t="s">
        <v>97</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hidden="1">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hidden="1">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hidden="1">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hidden="1">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hidden="1">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hidden="1">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hidden="1">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hidden="1">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hidden="1">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hidden="1">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hidden="1">
      <c r="A1987" s="134" t="s">
        <v>1115</v>
      </c>
      <c r="C1987" s="29">
        <v>90503907</v>
      </c>
      <c r="D1987" s="29"/>
      <c r="F1987" s="29" t="s">
        <v>97</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hidden="1">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hidden="1">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hidden="1">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hidden="1">
      <c r="A1992" s="134" t="s">
        <v>1225</v>
      </c>
      <c r="C1992" s="29">
        <v>94501427</v>
      </c>
      <c r="D1992" s="29"/>
      <c r="F1992" s="29" t="s">
        <v>97</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hidden="1">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hidden="1">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hidden="1">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hidden="1">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hidden="1">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hidden="1">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hidden="1">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hidden="1">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hidden="1">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hidden="1">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hidden="1">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hidden="1">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hidden="1">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hidden="1">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hidden="1">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hidden="1">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hidden="1">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hidden="1">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hidden="1">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hidden="1">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hidden="1">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hidden="1">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hidden="1">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hidden="1">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hidden="1">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hidden="1">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hidden="1">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hidden="1">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hidden="1">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hidden="1">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hidden="1">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hidden="1">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hidden="1">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hidden="1">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hidden="1">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hidden="1">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hidden="1">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hidden="1">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hidden="1">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hidden="1">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hidden="1">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hidden="1">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hidden="1">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hidden="1">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hidden="1">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hidden="1">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hidden="1">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hidden="1">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hidden="1">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hidden="1">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hidden="1">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hidden="1">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hidden="1">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hidden="1">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hidden="1">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hidden="1">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hidden="1">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hidden="1">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hidden="1">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hidden="1">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hidden="1">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hidden="1">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hidden="1">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hidden="1">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hidden="1">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hidden="1">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hidden="1">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hidden="1">
      <c r="A2061" s="134" t="s">
        <v>210</v>
      </c>
      <c r="C2061" s="29">
        <v>106500474</v>
      </c>
      <c r="D2061" s="29"/>
      <c r="F2061" s="29" t="s">
        <v>97</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hidden="1">
      <c r="A2062" s="134" t="s">
        <v>210</v>
      </c>
      <c r="C2062" s="29">
        <v>93500953</v>
      </c>
      <c r="D2062" s="29"/>
      <c r="F2062" s="29" t="s">
        <v>97</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hidden="1">
      <c r="A2063" s="134" t="s">
        <v>210</v>
      </c>
      <c r="C2063" s="29">
        <v>98505401</v>
      </c>
      <c r="D2063" s="29"/>
      <c r="F2063" s="29" t="s">
        <v>97</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hidden="1">
      <c r="A2064" s="134" t="s">
        <v>210</v>
      </c>
      <c r="C2064" s="29">
        <v>98505823</v>
      </c>
      <c r="D2064" s="29"/>
      <c r="F2064" s="29" t="s">
        <v>97</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210</v>
      </c>
      <c r="C2065" s="29">
        <v>99501174</v>
      </c>
      <c r="D2065" s="29"/>
      <c r="F2065" s="29" t="s">
        <v>97</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hidden="1">
      <c r="A2066" s="134" t="s">
        <v>210</v>
      </c>
      <c r="C2066" s="29">
        <v>101502482</v>
      </c>
      <c r="D2066" s="29"/>
      <c r="F2066" s="29" t="s">
        <v>97</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hidden="1">
      <c r="A2067" s="134" t="s">
        <v>210</v>
      </c>
      <c r="C2067" s="29">
        <v>101503453</v>
      </c>
      <c r="D2067" s="29"/>
      <c r="F2067" s="29" t="s">
        <v>97</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hidden="1">
      <c r="A2068" s="134" t="s">
        <v>210</v>
      </c>
      <c r="C2068" s="29">
        <v>101503999</v>
      </c>
      <c r="D2068" s="29"/>
      <c r="F2068" s="29" t="s">
        <v>97</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hidden="1">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hidden="1">
      <c r="A2070" s="134" t="s">
        <v>210</v>
      </c>
      <c r="C2070" s="29">
        <v>107501877</v>
      </c>
      <c r="D2070" s="29"/>
      <c r="F2070" s="29" t="s">
        <v>97</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hidden="1">
      <c r="A2071" s="134" t="s">
        <v>210</v>
      </c>
      <c r="C2071" s="29">
        <v>107502240</v>
      </c>
      <c r="D2071" s="29"/>
      <c r="F2071" s="29" t="s">
        <v>97</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hidden="1">
      <c r="A2072" s="134" t="s">
        <v>210</v>
      </c>
      <c r="C2072" s="29">
        <v>111500938</v>
      </c>
      <c r="D2072" s="29"/>
      <c r="F2072" s="29" t="s">
        <v>97</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hidden="1">
      <c r="A2073" s="134" t="s">
        <v>210</v>
      </c>
      <c r="C2073" s="29">
        <v>111506803</v>
      </c>
      <c r="D2073" s="29"/>
      <c r="F2073" s="29" t="s">
        <v>97</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hidden="1">
      <c r="A2074" s="134" t="s">
        <v>210</v>
      </c>
      <c r="C2074" s="29">
        <v>111506867</v>
      </c>
      <c r="D2074" s="29"/>
      <c r="F2074" s="29" t="s">
        <v>97</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hidden="1">
      <c r="A2075" s="134" t="s">
        <v>210</v>
      </c>
      <c r="C2075" s="29">
        <v>111506944</v>
      </c>
      <c r="D2075" s="29"/>
      <c r="F2075" s="29" t="s">
        <v>97</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hidden="1">
      <c r="A2076" s="134" t="s">
        <v>210</v>
      </c>
      <c r="C2076" s="29">
        <v>118500711</v>
      </c>
      <c r="D2076" s="29"/>
      <c r="F2076" s="29" t="s">
        <v>97</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210</v>
      </c>
      <c r="C2077" s="29">
        <v>118500746</v>
      </c>
      <c r="D2077" s="29"/>
      <c r="F2077" s="29" t="s">
        <v>97</v>
      </c>
      <c r="G2077" s="29" t="s">
        <v>744</v>
      </c>
      <c r="H2077" s="29" t="s">
        <v>38</v>
      </c>
      <c r="I2077" s="120">
        <v>45772</v>
      </c>
      <c r="J2077" s="120">
        <f>WORKDAY(I2077, 3)</f>
        <v>45777</v>
      </c>
      <c r="K2077" s="120"/>
      <c r="L2077" s="120"/>
      <c r="M2077" s="120"/>
      <c r="N2077" s="29"/>
      <c r="O2077" s="29" t="s">
        <v>1256</v>
      </c>
      <c r="P2077" s="29"/>
      <c r="Q2077" s="81"/>
      <c r="R2077" s="150">
        <v>100</v>
      </c>
    </row>
    <row r="2078" spans="1:19" hidden="1">
      <c r="A2078" s="134" t="s">
        <v>1280</v>
      </c>
      <c r="C2078" s="29">
        <v>104503569</v>
      </c>
      <c r="D2078" s="29"/>
      <c r="F2078" s="29" t="s">
        <v>97</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1280</v>
      </c>
      <c r="C2079" s="29">
        <v>104503608</v>
      </c>
      <c r="D2079" s="29"/>
      <c r="F2079" s="29" t="s">
        <v>97</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1280</v>
      </c>
      <c r="C2080" s="29">
        <v>104503640</v>
      </c>
      <c r="D2080" s="29"/>
      <c r="F2080" s="29" t="s">
        <v>97</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1280</v>
      </c>
      <c r="C2081" s="29">
        <v>104503706</v>
      </c>
      <c r="D2081" s="29"/>
      <c r="F2081" s="29" t="s">
        <v>97</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1280</v>
      </c>
      <c r="C2082" s="29">
        <v>104503745</v>
      </c>
      <c r="D2082" s="29"/>
      <c r="F2082" s="29" t="s">
        <v>97</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1280</v>
      </c>
      <c r="C2083" s="29">
        <v>104503779</v>
      </c>
      <c r="D2083" s="29"/>
      <c r="F2083" s="29" t="s">
        <v>97</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1084</v>
      </c>
      <c r="C2084" s="29">
        <v>104503876</v>
      </c>
      <c r="D2084" s="29"/>
      <c r="F2084" s="29" t="s">
        <v>97</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1084</v>
      </c>
      <c r="C2085" s="29">
        <v>104503914</v>
      </c>
      <c r="D2085" s="29"/>
      <c r="F2085" s="29" t="s">
        <v>97</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1084</v>
      </c>
      <c r="C2086" s="29">
        <v>104503956</v>
      </c>
      <c r="D2086" s="29"/>
      <c r="F2086" s="29" t="s">
        <v>97</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1071</v>
      </c>
      <c r="C2087" s="29">
        <v>101500441</v>
      </c>
      <c r="D2087" s="29"/>
      <c r="F2087" s="29" t="s">
        <v>97</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1071</v>
      </c>
      <c r="C2088" s="29">
        <v>101500516</v>
      </c>
      <c r="D2088" s="29"/>
      <c r="F2088" s="29" t="s">
        <v>97</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1071</v>
      </c>
      <c r="C2089" s="29">
        <v>101500590</v>
      </c>
      <c r="D2089" s="29"/>
      <c r="F2089" s="29" t="s">
        <v>97</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1071</v>
      </c>
      <c r="C2090" s="29">
        <v>101500702</v>
      </c>
      <c r="D2090" s="29"/>
      <c r="F2090" s="29" t="s">
        <v>97</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1071</v>
      </c>
      <c r="C2091" s="29">
        <v>101500797</v>
      </c>
      <c r="D2091" s="29"/>
      <c r="F2091" s="29" t="s">
        <v>97</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1071</v>
      </c>
      <c r="C2092" s="29">
        <v>101500817</v>
      </c>
      <c r="D2092" s="29"/>
      <c r="F2092" s="29" t="s">
        <v>97</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1071</v>
      </c>
      <c r="C2093" s="29">
        <v>101500843</v>
      </c>
      <c r="D2093" s="29"/>
      <c r="F2093" s="29" t="s">
        <v>97</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1281</v>
      </c>
      <c r="C2094" s="29">
        <v>101500957</v>
      </c>
      <c r="D2094" s="29"/>
      <c r="F2094" s="29" t="s">
        <v>97</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1281</v>
      </c>
      <c r="C2095" s="29">
        <v>101500993</v>
      </c>
      <c r="D2095" s="29"/>
      <c r="F2095" s="29" t="s">
        <v>97</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1281</v>
      </c>
      <c r="C2096" s="29">
        <v>101501073</v>
      </c>
      <c r="D2096" s="29"/>
      <c r="F2096" s="29" t="s">
        <v>97</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1281</v>
      </c>
      <c r="C2097" s="29">
        <v>101501151</v>
      </c>
      <c r="D2097" s="29"/>
      <c r="F2097" s="29" t="s">
        <v>97</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1282</v>
      </c>
      <c r="C2098" s="29">
        <v>101501379</v>
      </c>
      <c r="D2098" s="29"/>
      <c r="F2098" s="29" t="s">
        <v>97</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1282</v>
      </c>
      <c r="C2099" s="29">
        <v>101501412</v>
      </c>
      <c r="D2099" s="29"/>
      <c r="F2099" s="29" t="s">
        <v>97</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1282</v>
      </c>
      <c r="C2100" s="29">
        <v>101501442</v>
      </c>
      <c r="D2100" s="29"/>
      <c r="F2100" s="29" t="s">
        <v>97</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1084</v>
      </c>
      <c r="C2101" s="29">
        <v>101501584</v>
      </c>
      <c r="D2101" s="29"/>
      <c r="F2101" s="29" t="s">
        <v>97</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1084</v>
      </c>
      <c r="C2102" s="29">
        <v>101501645</v>
      </c>
      <c r="D2102" s="29"/>
      <c r="F2102" s="29" t="s">
        <v>97</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1084</v>
      </c>
      <c r="C2103" s="29">
        <v>101501722</v>
      </c>
      <c r="D2103" s="29"/>
      <c r="F2103" s="29" t="s">
        <v>97</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1280</v>
      </c>
      <c r="C2104" s="29">
        <v>101502229</v>
      </c>
      <c r="D2104" s="29"/>
      <c r="F2104" s="29" t="s">
        <v>97</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1280</v>
      </c>
      <c r="C2105" s="29">
        <v>101502274</v>
      </c>
      <c r="D2105" s="29"/>
      <c r="F2105" s="29" t="s">
        <v>97</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1280</v>
      </c>
      <c r="C2106" s="29">
        <v>101502409</v>
      </c>
      <c r="D2106" s="29"/>
      <c r="F2106" s="29" t="s">
        <v>97</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1280</v>
      </c>
      <c r="C2107" s="29">
        <v>101502330</v>
      </c>
      <c r="D2107" s="29"/>
      <c r="F2107" s="29" t="s">
        <v>97</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1280</v>
      </c>
      <c r="C2108" s="29">
        <v>101502377</v>
      </c>
      <c r="D2108" s="29"/>
      <c r="F2108" s="29" t="s">
        <v>97</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1071</v>
      </c>
      <c r="C2109" s="29">
        <v>100500804</v>
      </c>
      <c r="D2109" s="29"/>
      <c r="F2109" s="29" t="s">
        <v>97</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1071</v>
      </c>
      <c r="C2110" s="29">
        <v>100501121</v>
      </c>
      <c r="D2110" s="29"/>
      <c r="F2110" s="29" t="s">
        <v>97</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1071</v>
      </c>
      <c r="C2111" s="29">
        <v>100501178</v>
      </c>
      <c r="D2111" s="29"/>
      <c r="F2111" s="29" t="s">
        <v>97</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1281</v>
      </c>
      <c r="C2112" s="29">
        <v>100501414</v>
      </c>
      <c r="D2112" s="29"/>
      <c r="F2112" s="29" t="s">
        <v>97</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1281</v>
      </c>
      <c r="C2113" s="29">
        <v>100501475</v>
      </c>
      <c r="D2113" s="29"/>
      <c r="F2113" s="29" t="s">
        <v>97</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1281</v>
      </c>
      <c r="C2114" s="29">
        <v>100501543</v>
      </c>
      <c r="D2114" s="29"/>
      <c r="F2114" s="29" t="s">
        <v>97</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1282</v>
      </c>
      <c r="C2115" s="29">
        <v>100501862</v>
      </c>
      <c r="D2115" s="29"/>
      <c r="F2115" s="29" t="s">
        <v>97</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1282</v>
      </c>
      <c r="C2116" s="29">
        <v>100502020</v>
      </c>
      <c r="D2116" s="29"/>
      <c r="F2116" s="29" t="s">
        <v>97</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1282</v>
      </c>
      <c r="C2117" s="29">
        <v>100502117</v>
      </c>
      <c r="D2117" s="29"/>
      <c r="F2117" s="29" t="s">
        <v>97</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1282</v>
      </c>
      <c r="C2118" s="29">
        <v>100502162</v>
      </c>
      <c r="D2118" s="29"/>
      <c r="F2118" s="29" t="s">
        <v>97</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1281</v>
      </c>
      <c r="C2119" s="29">
        <v>101501046</v>
      </c>
      <c r="D2119" s="29"/>
      <c r="F2119" s="29" t="s">
        <v>97</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1112</v>
      </c>
      <c r="C2120" s="29">
        <v>100502549</v>
      </c>
      <c r="D2120" s="29"/>
      <c r="F2120" s="29" t="s">
        <v>97</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1280</v>
      </c>
      <c r="C2121" s="29">
        <v>100502739</v>
      </c>
      <c r="D2121" s="29"/>
      <c r="F2121" s="29" t="s">
        <v>97</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1280</v>
      </c>
      <c r="C2122" s="29">
        <v>100502761</v>
      </c>
      <c r="D2122" s="29"/>
      <c r="F2122" s="29" t="s">
        <v>97</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1084</v>
      </c>
      <c r="C2123" s="29">
        <v>100502338</v>
      </c>
      <c r="D2123" s="29"/>
      <c r="F2123" s="29" t="s">
        <v>97</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1084</v>
      </c>
      <c r="C2124" s="29">
        <v>100502409</v>
      </c>
      <c r="D2124" s="29"/>
      <c r="F2124" s="29" t="s">
        <v>97</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980</v>
      </c>
      <c r="C2125" s="29">
        <v>105505153</v>
      </c>
      <c r="D2125" s="29"/>
      <c r="F2125" s="29" t="s">
        <v>97</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hidden="1">
      <c r="A2126" s="134" t="s">
        <v>980</v>
      </c>
      <c r="C2126" s="29">
        <v>105505162</v>
      </c>
      <c r="D2126" s="29"/>
      <c r="F2126" s="29" t="s">
        <v>97</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hidden="1">
      <c r="A2127" s="134" t="s">
        <v>1056</v>
      </c>
      <c r="C2127" s="29">
        <v>105505201</v>
      </c>
      <c r="D2127" s="29"/>
      <c r="F2127" s="29" t="s">
        <v>97</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hidden="1">
      <c r="A2128" s="134" t="s">
        <v>980</v>
      </c>
      <c r="C2128" s="29">
        <v>106504608</v>
      </c>
      <c r="D2128" s="29"/>
      <c r="F2128" s="29" t="s">
        <v>97</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hidden="1">
      <c r="A2129" s="134" t="s">
        <v>980</v>
      </c>
      <c r="C2129" s="29">
        <v>106504623</v>
      </c>
      <c r="D2129" s="29"/>
      <c r="F2129" s="29" t="s">
        <v>97</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hidden="1">
      <c r="A2130" s="134" t="s">
        <v>980</v>
      </c>
      <c r="C2130" s="29">
        <v>106504636</v>
      </c>
      <c r="D2130" s="29"/>
      <c r="F2130" s="29" t="s">
        <v>97</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hidden="1">
      <c r="A2131" s="134" t="s">
        <v>1059</v>
      </c>
      <c r="C2131" s="29">
        <v>106504699</v>
      </c>
      <c r="D2131" s="29"/>
      <c r="F2131" s="29" t="s">
        <v>97</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hidden="1">
      <c r="A2132" s="134" t="s">
        <v>1059</v>
      </c>
      <c r="C2132" s="29">
        <v>106504705</v>
      </c>
      <c r="D2132" s="29"/>
      <c r="F2132" s="29" t="s">
        <v>97</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hidden="1">
      <c r="A2133" s="134" t="s">
        <v>1059</v>
      </c>
      <c r="C2133" s="29">
        <v>106504716</v>
      </c>
      <c r="D2133" s="29"/>
      <c r="F2133" s="29" t="s">
        <v>97</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hidden="1">
      <c r="A2134" s="134" t="s">
        <v>1056</v>
      </c>
      <c r="C2134" s="29">
        <v>106504816</v>
      </c>
      <c r="D2134" s="29"/>
      <c r="F2134" s="29" t="s">
        <v>97</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hidden="1">
      <c r="A2135" s="134" t="s">
        <v>1056</v>
      </c>
      <c r="C2135" s="29">
        <v>106504829</v>
      </c>
      <c r="D2135" s="29"/>
      <c r="F2135" s="29" t="s">
        <v>97</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hidden="1">
      <c r="A2136" s="134" t="s">
        <v>1072</v>
      </c>
      <c r="C2136" s="29">
        <v>106505281</v>
      </c>
      <c r="D2136" s="29"/>
      <c r="F2136" s="29" t="s">
        <v>97</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hidden="1">
      <c r="A2137" s="134" t="s">
        <v>1072</v>
      </c>
      <c r="C2137" s="29">
        <v>106505300</v>
      </c>
      <c r="D2137" s="29"/>
      <c r="F2137" s="29" t="s">
        <v>97</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hidden="1">
      <c r="A2138" s="134" t="s">
        <v>1072</v>
      </c>
      <c r="C2138" s="29">
        <v>106505300</v>
      </c>
      <c r="D2138" s="29"/>
      <c r="F2138" s="29" t="s">
        <v>97</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hidden="1">
      <c r="A2139" s="134" t="s">
        <v>210</v>
      </c>
      <c r="C2139" s="29">
        <v>111500902</v>
      </c>
      <c r="D2139" s="29"/>
      <c r="F2139" s="29" t="s">
        <v>97</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hidden="1">
      <c r="A2140" s="134" t="s">
        <v>1072</v>
      </c>
      <c r="C2140" s="29">
        <v>106505356</v>
      </c>
      <c r="D2140" s="29"/>
      <c r="F2140" s="29" t="s">
        <v>97</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hidden="1">
      <c r="A2141" s="134" t="s">
        <v>1058</v>
      </c>
      <c r="C2141" s="29">
        <v>105504879</v>
      </c>
      <c r="D2141" s="29"/>
      <c r="F2141" s="29" t="s">
        <v>97</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hidden="1">
      <c r="A2142" s="134" t="s">
        <v>980</v>
      </c>
      <c r="C2142" s="29">
        <v>107504089</v>
      </c>
      <c r="D2142" s="29"/>
      <c r="F2142" s="29" t="s">
        <v>97</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hidden="1">
      <c r="A2143" s="134" t="s">
        <v>1058</v>
      </c>
      <c r="C2143" s="29">
        <v>105504920</v>
      </c>
      <c r="D2143" s="29"/>
      <c r="F2143" s="29" t="s">
        <v>97</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hidden="1">
      <c r="A2144" s="134" t="s">
        <v>1080</v>
      </c>
      <c r="C2144" s="29">
        <v>106504670</v>
      </c>
      <c r="D2144" s="29"/>
      <c r="F2144" s="29" t="s">
        <v>97</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hidden="1">
      <c r="A2145" s="134" t="s">
        <v>1080</v>
      </c>
      <c r="C2145" s="29">
        <v>106504680</v>
      </c>
      <c r="D2145" s="29"/>
      <c r="F2145" s="29" t="s">
        <v>97</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hidden="1">
      <c r="A2146" s="134" t="s">
        <v>980</v>
      </c>
      <c r="C2146" s="29">
        <v>107504098</v>
      </c>
      <c r="D2146" s="29"/>
      <c r="F2146" s="29" t="s">
        <v>97</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hidden="1">
      <c r="A2147" s="134" t="s">
        <v>1080</v>
      </c>
      <c r="C2147" s="29">
        <v>107504120</v>
      </c>
      <c r="D2147" s="29"/>
      <c r="F2147" s="29" t="s">
        <v>97</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hidden="1">
      <c r="A2148" s="134" t="s">
        <v>1080</v>
      </c>
      <c r="C2148" s="29">
        <v>107504136</v>
      </c>
      <c r="D2148" s="29"/>
      <c r="F2148" s="29" t="s">
        <v>97</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hidden="1">
      <c r="A2149" s="128" t="s">
        <v>1280</v>
      </c>
      <c r="B2149" s="128"/>
      <c r="C2149" s="29">
        <v>113500095</v>
      </c>
      <c r="D2149" s="29"/>
      <c r="F2149" s="29" t="s">
        <v>97</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hidden="1">
      <c r="A2150" s="128" t="s">
        <v>1280</v>
      </c>
      <c r="B2150" s="128"/>
      <c r="C2150" s="29">
        <v>113500103</v>
      </c>
      <c r="D2150" s="29"/>
      <c r="F2150" s="29" t="s">
        <v>97</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hidden="1">
      <c r="A2151" s="134" t="s">
        <v>1059</v>
      </c>
      <c r="C2151" s="29">
        <v>107504157</v>
      </c>
      <c r="D2151" s="29"/>
      <c r="F2151" s="29" t="s">
        <v>97</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hidden="1">
      <c r="A2152" s="134" t="s">
        <v>1059</v>
      </c>
      <c r="C2152" s="29">
        <v>107504183</v>
      </c>
      <c r="D2152" s="29"/>
      <c r="F2152" s="29" t="s">
        <v>97</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hidden="1">
      <c r="A2153" s="134" t="s">
        <v>1059</v>
      </c>
      <c r="C2153" s="29">
        <v>107504197</v>
      </c>
      <c r="D2153" s="29"/>
      <c r="F2153" s="29" t="s">
        <v>97</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hidden="1">
      <c r="A2154" s="134" t="s">
        <v>1059</v>
      </c>
      <c r="C2154" s="29">
        <v>107504206</v>
      </c>
      <c r="D2154" s="29"/>
      <c r="F2154" s="29" t="s">
        <v>97</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hidden="1">
      <c r="A2155" s="134" t="s">
        <v>1059</v>
      </c>
      <c r="C2155" s="29">
        <v>107504212</v>
      </c>
      <c r="D2155" s="29"/>
      <c r="F2155" s="29" t="s">
        <v>97</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hidden="1">
      <c r="A2156" s="134" t="s">
        <v>1056</v>
      </c>
      <c r="C2156" s="29">
        <v>107504220</v>
      </c>
      <c r="D2156" s="29"/>
      <c r="F2156" s="29" t="s">
        <v>97</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hidden="1">
      <c r="A2157" s="134" t="s">
        <v>1059</v>
      </c>
      <c r="C2157" s="29">
        <v>108500080</v>
      </c>
      <c r="D2157" s="29"/>
      <c r="F2157" s="29" t="s">
        <v>97</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hidden="1">
      <c r="A2158" s="134" t="s">
        <v>1059</v>
      </c>
      <c r="C2158" s="29">
        <v>108500081</v>
      </c>
      <c r="D2158" s="29"/>
      <c r="F2158" s="29" t="s">
        <v>97</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hidden="1">
      <c r="A2159" s="134" t="s">
        <v>1063</v>
      </c>
      <c r="C2159" s="29">
        <v>111500541</v>
      </c>
      <c r="D2159" s="29"/>
      <c r="F2159" s="29" t="s">
        <v>97</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hidden="1">
      <c r="A2160" s="134" t="s">
        <v>1077</v>
      </c>
      <c r="C2160" s="29">
        <v>111500638</v>
      </c>
      <c r="D2160" s="29"/>
      <c r="F2160" s="29" t="s">
        <v>97</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hidden="1">
      <c r="A2161" s="134" t="s">
        <v>1077</v>
      </c>
      <c r="C2161" s="29">
        <v>111500645</v>
      </c>
      <c r="D2161" s="29"/>
      <c r="F2161" s="29" t="s">
        <v>97</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hidden="1">
      <c r="A2162" s="134" t="s">
        <v>1077</v>
      </c>
      <c r="C2162" s="29">
        <v>111500655</v>
      </c>
      <c r="D2162" s="29"/>
      <c r="F2162" s="29" t="s">
        <v>97</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hidden="1">
      <c r="A2163" s="134" t="s">
        <v>1061</v>
      </c>
      <c r="C2163" s="29">
        <v>111501440</v>
      </c>
      <c r="D2163" s="29"/>
      <c r="F2163" s="29" t="s">
        <v>97</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hidden="1">
      <c r="A2164" s="134" t="s">
        <v>1061</v>
      </c>
      <c r="C2164" s="29">
        <v>111501450</v>
      </c>
      <c r="D2164" s="29"/>
      <c r="F2164" s="29" t="s">
        <v>97</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hidden="1">
      <c r="A2165" s="134" t="s">
        <v>1061</v>
      </c>
      <c r="C2165" s="29">
        <v>111501473</v>
      </c>
      <c r="D2165" s="29"/>
      <c r="F2165" s="29" t="s">
        <v>97</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hidden="1">
      <c r="A2166" s="134" t="s">
        <v>1061</v>
      </c>
      <c r="C2166" s="29">
        <v>111501487</v>
      </c>
      <c r="D2166" s="29"/>
      <c r="F2166" s="29" t="s">
        <v>97</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hidden="1">
      <c r="A2167" s="134" t="s">
        <v>1061</v>
      </c>
      <c r="C2167" s="29">
        <v>111501511</v>
      </c>
      <c r="D2167" s="29"/>
      <c r="F2167" s="29" t="s">
        <v>97</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hidden="1">
      <c r="A2168" s="134" t="s">
        <v>1061</v>
      </c>
      <c r="C2168" s="29">
        <v>111501530</v>
      </c>
      <c r="D2168" s="29"/>
      <c r="F2168" s="29" t="s">
        <v>97</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hidden="1">
      <c r="A2169" s="134" t="s">
        <v>1061</v>
      </c>
      <c r="C2169" s="29">
        <v>111500541</v>
      </c>
      <c r="D2169" s="29"/>
      <c r="F2169" s="29" t="s">
        <v>97</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hidden="1">
      <c r="A2170" s="134" t="s">
        <v>1061</v>
      </c>
      <c r="C2170" s="29">
        <v>111501624</v>
      </c>
      <c r="D2170" s="29"/>
      <c r="F2170" s="29" t="s">
        <v>97</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hidden="1">
      <c r="A2171" s="134" t="s">
        <v>1061</v>
      </c>
      <c r="C2171" s="29">
        <v>111501673</v>
      </c>
      <c r="D2171" s="29"/>
      <c r="F2171" s="29" t="s">
        <v>97</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hidden="1">
      <c r="A2172" s="134" t="s">
        <v>210</v>
      </c>
      <c r="C2172" s="29">
        <v>107502870</v>
      </c>
      <c r="D2172" s="29"/>
      <c r="F2172" s="29" t="s">
        <v>97</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hidden="1">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1058</v>
      </c>
      <c r="C2174" s="29">
        <v>125500256</v>
      </c>
      <c r="D2174" s="29"/>
      <c r="F2174" s="29" t="s">
        <v>97</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hidden="1">
      <c r="A2175" s="134" t="s">
        <v>1059</v>
      </c>
      <c r="C2175" s="29">
        <v>108500082</v>
      </c>
      <c r="D2175" s="29"/>
      <c r="F2175" s="29" t="s">
        <v>97</v>
      </c>
      <c r="G2175" s="29" t="s">
        <v>744</v>
      </c>
      <c r="H2175" s="29" t="s">
        <v>38</v>
      </c>
      <c r="I2175" s="120">
        <v>45765</v>
      </c>
      <c r="J2175" s="120">
        <f>WORKDAY(I2175, 3)</f>
        <v>45770</v>
      </c>
      <c r="K2175" s="120"/>
      <c r="L2175" s="120"/>
      <c r="M2175" s="120"/>
      <c r="N2175" s="29"/>
      <c r="O2175" s="29" t="s">
        <v>884</v>
      </c>
      <c r="P2175" s="120"/>
      <c r="Q2175" s="81" t="s">
        <v>1254</v>
      </c>
      <c r="R2175" s="29">
        <v>230</v>
      </c>
    </row>
    <row r="2176" spans="1:19" hidden="1">
      <c r="A2176" s="134" t="s">
        <v>1080</v>
      </c>
      <c r="C2176" s="29">
        <v>107504125</v>
      </c>
      <c r="D2176" s="29"/>
      <c r="F2176" s="29" t="s">
        <v>97</v>
      </c>
      <c r="G2176" s="29" t="s">
        <v>744</v>
      </c>
      <c r="H2176" s="29" t="s">
        <v>38</v>
      </c>
      <c r="I2176" s="120">
        <v>45764</v>
      </c>
      <c r="J2176" s="120">
        <f>WORKDAY(I2176, 3)</f>
        <v>45769</v>
      </c>
      <c r="K2176" s="120"/>
      <c r="L2176" s="120"/>
      <c r="M2176" s="120"/>
      <c r="N2176" s="29"/>
      <c r="O2176" s="29" t="s">
        <v>884</v>
      </c>
      <c r="P2176" s="120"/>
      <c r="Q2176" s="81" t="s">
        <v>1254</v>
      </c>
      <c r="R2176" s="29">
        <v>375</v>
      </c>
    </row>
    <row r="2177" spans="1:18" hidden="1">
      <c r="A2177" s="134" t="s">
        <v>1080</v>
      </c>
      <c r="C2177" s="29">
        <v>107504130</v>
      </c>
      <c r="D2177" s="29"/>
      <c r="F2177" s="29" t="s">
        <v>97</v>
      </c>
      <c r="G2177" s="29" t="s">
        <v>744</v>
      </c>
      <c r="H2177" s="29" t="s">
        <v>38</v>
      </c>
      <c r="I2177" s="120">
        <v>45764</v>
      </c>
      <c r="J2177" s="120">
        <f>WORKDAY(I2177, 3)</f>
        <v>45769</v>
      </c>
      <c r="K2177" s="120"/>
      <c r="L2177" s="120"/>
      <c r="M2177" s="120"/>
      <c r="N2177" s="29"/>
      <c r="O2177" s="29" t="s">
        <v>884</v>
      </c>
      <c r="P2177" s="120"/>
      <c r="Q2177" s="81" t="s">
        <v>1254</v>
      </c>
      <c r="R2177" s="29">
        <v>165</v>
      </c>
    </row>
    <row r="2178" spans="1:18" hidden="1">
      <c r="A2178" s="134" t="s">
        <v>1056</v>
      </c>
      <c r="C2178" s="29">
        <v>105505210</v>
      </c>
      <c r="D2178" s="29"/>
      <c r="F2178" s="29" t="s">
        <v>97</v>
      </c>
      <c r="G2178" s="29" t="s">
        <v>744</v>
      </c>
      <c r="H2178" s="29" t="s">
        <v>38</v>
      </c>
      <c r="I2178" s="120">
        <v>45762</v>
      </c>
      <c r="J2178" s="120">
        <f>WORKDAY(I2178, 3)</f>
        <v>45765</v>
      </c>
      <c r="K2178" s="120"/>
      <c r="L2178" s="120"/>
      <c r="M2178" s="120"/>
      <c r="N2178" s="29"/>
      <c r="O2178" s="29" t="s">
        <v>884</v>
      </c>
      <c r="P2178" s="120"/>
      <c r="Q2178" s="81" t="s">
        <v>1254</v>
      </c>
      <c r="R2178" s="29">
        <v>700</v>
      </c>
    </row>
    <row r="2179" spans="1:18" hidden="1">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hidden="1">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hidden="1">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hidden="1">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hidden="1">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hidden="1">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hidden="1">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hidden="1">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hidden="1">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hidden="1">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hidden="1">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hidden="1">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hidden="1">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hidden="1">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hidden="1">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hidden="1">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hidden="1">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hidden="1">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hidden="1">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hidden="1">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hidden="1">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hidden="1">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hidden="1">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hidden="1">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hidden="1">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hidden="1">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hidden="1">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hidden="1">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hidden="1">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hidden="1">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hidden="1">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hidden="1">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hidden="1">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hidden="1">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hidden="1">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hidden="1">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hidden="1">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hidden="1">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hidden="1">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hidden="1">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hidden="1">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hidden="1">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hidden="1">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hidden="1">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hidden="1">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hidden="1">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hidden="1">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hidden="1">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hidden="1">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hidden="1">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hidden="1">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hidden="1">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hidden="1">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hidden="1">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hidden="1">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hidden="1">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hidden="1">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hidden="1">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hidden="1">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hidden="1">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hidden="1">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hidden="1">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hidden="1">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hidden="1">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hidden="1">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hidden="1">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hidden="1">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hidden="1">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hidden="1">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hidden="1">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hidden="1">
      <c r="A2249" s="134" t="s">
        <v>1071</v>
      </c>
      <c r="C2249" s="29">
        <v>106501312</v>
      </c>
      <c r="D2249" s="29"/>
      <c r="F2249" s="29" t="s">
        <v>97</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1071</v>
      </c>
      <c r="C2250" s="29">
        <v>104500095</v>
      </c>
      <c r="D2250" s="29"/>
      <c r="F2250" s="29" t="s">
        <v>97</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1281</v>
      </c>
      <c r="C2251" s="29">
        <v>104500101</v>
      </c>
      <c r="D2251" s="29"/>
      <c r="F2251" s="29" t="s">
        <v>97</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1282</v>
      </c>
      <c r="C2252" s="29">
        <v>104500132</v>
      </c>
      <c r="D2252" s="29"/>
      <c r="F2252" s="29" t="s">
        <v>97</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1282</v>
      </c>
      <c r="C2253" s="29">
        <v>104500146</v>
      </c>
      <c r="D2253" s="29"/>
      <c r="F2253" s="29" t="s">
        <v>97</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1282</v>
      </c>
      <c r="C2254" s="29">
        <v>104500189</v>
      </c>
      <c r="D2254" s="29"/>
      <c r="F2254" s="29" t="s">
        <v>97</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1282</v>
      </c>
      <c r="C2255" s="29">
        <v>104500259</v>
      </c>
      <c r="D2255" s="29"/>
      <c r="F2255" s="29" t="s">
        <v>97</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1282</v>
      </c>
      <c r="C2256" s="29">
        <v>104500318</v>
      </c>
      <c r="D2256" s="29"/>
      <c r="F2256" s="29" t="s">
        <v>97</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1112</v>
      </c>
      <c r="C2257" s="29">
        <v>104501676</v>
      </c>
      <c r="D2257" s="29"/>
      <c r="F2257" s="29" t="s">
        <v>97</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353</v>
      </c>
      <c r="C2258" s="29">
        <v>104502093</v>
      </c>
      <c r="D2258" s="29"/>
      <c r="F2258" s="29" t="s">
        <v>97</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1084</v>
      </c>
      <c r="C2259" s="29">
        <v>104503075</v>
      </c>
      <c r="D2259" s="29"/>
      <c r="F2259" s="29" t="s">
        <v>97</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1084</v>
      </c>
      <c r="C2260" s="29">
        <v>104503122</v>
      </c>
      <c r="D2260" s="29"/>
      <c r="F2260" s="29" t="s">
        <v>97</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1084</v>
      </c>
      <c r="C2261" s="29">
        <v>104503156</v>
      </c>
      <c r="D2261" s="29"/>
      <c r="F2261" s="29" t="s">
        <v>97</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1084</v>
      </c>
      <c r="C2262" s="29">
        <v>104503184</v>
      </c>
      <c r="D2262" s="29"/>
      <c r="F2262" s="29" t="s">
        <v>97</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1084</v>
      </c>
      <c r="C2263" s="29">
        <v>104503230</v>
      </c>
      <c r="D2263" s="29"/>
      <c r="F2263" s="29" t="s">
        <v>97</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1084</v>
      </c>
      <c r="C2264" s="29">
        <v>104503264</v>
      </c>
      <c r="D2264" s="29"/>
      <c r="F2264" s="29" t="s">
        <v>97</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1084</v>
      </c>
      <c r="C2265" s="29">
        <v>104503296</v>
      </c>
      <c r="D2265" s="29"/>
      <c r="F2265" s="29" t="s">
        <v>97</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1084</v>
      </c>
      <c r="C2266" s="29">
        <v>104503362</v>
      </c>
      <c r="D2266" s="29"/>
      <c r="F2266" s="29" t="s">
        <v>97</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1280</v>
      </c>
      <c r="C2267" s="29">
        <v>104503533</v>
      </c>
      <c r="D2267" s="29"/>
      <c r="F2267" s="29" t="s">
        <v>97</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1306</v>
      </c>
      <c r="P2268" s="29"/>
      <c r="Q2268" s="156">
        <v>1200</v>
      </c>
    </row>
    <row r="2269" spans="1:18" hidden="1">
      <c r="A2269" s="134" t="s">
        <v>981</v>
      </c>
      <c r="C2269" s="29">
        <v>129500091</v>
      </c>
      <c r="D2269" s="29"/>
      <c r="E2269" s="29"/>
      <c r="F2269" s="29" t="s">
        <v>97</v>
      </c>
      <c r="G2269" s="29" t="s">
        <v>744</v>
      </c>
      <c r="H2269" s="29" t="s">
        <v>38</v>
      </c>
      <c r="I2269" s="120">
        <v>45779</v>
      </c>
      <c r="J2269" s="120">
        <f>WORKDAY(I2269, 3)</f>
        <v>45784</v>
      </c>
      <c r="K2269" s="120">
        <v>45810</v>
      </c>
      <c r="L2269" s="120"/>
      <c r="M2269" s="120"/>
      <c r="N2269" s="29"/>
      <c r="O2269" s="29" t="s">
        <v>1307</v>
      </c>
      <c r="P2269" s="120"/>
      <c r="Q2269" s="156">
        <v>300</v>
      </c>
    </row>
    <row r="2270" spans="1:18" hidden="1">
      <c r="A2270" s="134" t="s">
        <v>1111</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1094</v>
      </c>
      <c r="P2270" s="29"/>
      <c r="Q2270" s="156">
        <v>500</v>
      </c>
    </row>
    <row r="2271" spans="1:18" hidden="1">
      <c r="A2271" s="134" t="s">
        <v>1111</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1094</v>
      </c>
      <c r="P2271" s="29"/>
      <c r="Q2271" s="156">
        <v>850</v>
      </c>
    </row>
    <row r="2272" spans="1:18" hidden="1">
      <c r="A2272" s="134" t="s">
        <v>989</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1094</v>
      </c>
      <c r="P2272" s="29"/>
      <c r="Q2272" s="156">
        <v>1300</v>
      </c>
    </row>
    <row r="2273" spans="1:18" hidden="1">
      <c r="A2273" s="134" t="s">
        <v>989</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1094</v>
      </c>
      <c r="P2273" s="29"/>
      <c r="Q2273" s="156">
        <v>1000</v>
      </c>
    </row>
    <row r="2274" spans="1:18" hidden="1">
      <c r="A2274" s="134" t="s">
        <v>989</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1094</v>
      </c>
      <c r="P2274" s="29"/>
      <c r="Q2274" s="156">
        <v>265</v>
      </c>
    </row>
    <row r="2275" spans="1:18" hidden="1">
      <c r="A2275" s="134" t="s">
        <v>1111</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1094</v>
      </c>
      <c r="P2275" s="120"/>
      <c r="Q2275" s="156">
        <v>1100</v>
      </c>
    </row>
    <row r="2276" spans="1:18" hidden="1">
      <c r="A2276" s="119" t="s">
        <v>905</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1094</v>
      </c>
      <c r="P2276" s="29"/>
      <c r="Q2276" s="156">
        <v>250</v>
      </c>
    </row>
    <row r="2277" spans="1:18" hidden="1">
      <c r="A2277" s="119" t="s">
        <v>905</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1094</v>
      </c>
      <c r="P2277" s="29"/>
      <c r="Q2277" s="156">
        <v>570</v>
      </c>
    </row>
    <row r="2278" spans="1:18" hidden="1">
      <c r="A2278" s="119" t="s">
        <v>905</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1094</v>
      </c>
      <c r="P2278" s="29"/>
      <c r="Q2278" s="156">
        <v>350</v>
      </c>
    </row>
    <row r="2279" spans="1:18" hidden="1">
      <c r="A2279" s="119" t="s">
        <v>905</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1094</v>
      </c>
      <c r="P2279" s="29"/>
      <c r="Q2279" s="156">
        <v>220</v>
      </c>
    </row>
    <row r="2280" spans="1:18" hidden="1">
      <c r="A2280" s="119" t="s">
        <v>905</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1094</v>
      </c>
      <c r="P2280" s="29"/>
      <c r="Q2280" s="156">
        <v>600</v>
      </c>
    </row>
    <row r="2281" spans="1:18" hidden="1">
      <c r="A2281" s="119" t="s">
        <v>905</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1094</v>
      </c>
      <c r="P2281" s="29"/>
      <c r="Q2281" s="156">
        <v>550</v>
      </c>
    </row>
    <row r="2282" spans="1:18" hidden="1">
      <c r="A2282" s="134" t="s">
        <v>967</v>
      </c>
      <c r="C2282" s="29">
        <v>126501048</v>
      </c>
      <c r="D2282" s="29"/>
      <c r="E2282" s="29"/>
      <c r="F2282" s="29" t="s">
        <v>97</v>
      </c>
      <c r="G2282" s="29" t="s">
        <v>16</v>
      </c>
      <c r="H2282" s="29" t="s">
        <v>38</v>
      </c>
      <c r="I2282" s="120">
        <v>45783</v>
      </c>
      <c r="J2282" s="120">
        <f>WORKDAY(I2282, 3)</f>
        <v>45786</v>
      </c>
      <c r="K2282" s="120">
        <v>45814</v>
      </c>
      <c r="L2282" s="120"/>
      <c r="M2282" s="120"/>
      <c r="N2282" s="29"/>
      <c r="O2282" s="29" t="s">
        <v>1308</v>
      </c>
      <c r="P2282" s="120"/>
      <c r="Q2282" s="156">
        <v>1000</v>
      </c>
    </row>
    <row r="2283" spans="1:18" hidden="1">
      <c r="A2283" s="134" t="s">
        <v>967</v>
      </c>
      <c r="C2283" s="29">
        <v>126501063</v>
      </c>
      <c r="D2283" s="29"/>
      <c r="E2283" s="29"/>
      <c r="F2283" s="29" t="s">
        <v>97</v>
      </c>
      <c r="G2283" s="29" t="s">
        <v>16</v>
      </c>
      <c r="H2283" s="29" t="s">
        <v>38</v>
      </c>
      <c r="I2283" s="120">
        <v>45783</v>
      </c>
      <c r="J2283" s="120">
        <f>WORKDAY(I2283, 3)</f>
        <v>45786</v>
      </c>
      <c r="K2283" s="120">
        <v>45814</v>
      </c>
      <c r="L2283" s="120"/>
      <c r="M2283" s="120"/>
      <c r="N2283" s="29"/>
      <c r="O2283" s="29" t="s">
        <v>1308</v>
      </c>
      <c r="P2283" s="120"/>
      <c r="Q2283" s="156">
        <v>500</v>
      </c>
    </row>
    <row r="2284" spans="1:18" hidden="1">
      <c r="A2284" s="134" t="s">
        <v>967</v>
      </c>
      <c r="C2284" s="29">
        <v>126501072</v>
      </c>
      <c r="D2284" s="29"/>
      <c r="E2284" s="29"/>
      <c r="F2284" s="29" t="s">
        <v>97</v>
      </c>
      <c r="G2284" s="29" t="s">
        <v>16</v>
      </c>
      <c r="H2284" s="29" t="s">
        <v>38</v>
      </c>
      <c r="I2284" s="120">
        <v>45783</v>
      </c>
      <c r="J2284" s="120">
        <f>WORKDAY(I2284, 3)</f>
        <v>45786</v>
      </c>
      <c r="K2284" s="120">
        <v>45814</v>
      </c>
      <c r="L2284" s="120"/>
      <c r="M2284" s="120"/>
      <c r="N2284" s="29"/>
      <c r="O2284" s="29" t="s">
        <v>1308</v>
      </c>
      <c r="P2284" s="120"/>
      <c r="Q2284" s="156">
        <v>1000</v>
      </c>
    </row>
    <row r="2285" spans="1:18" hidden="1">
      <c r="A2285" s="134" t="s">
        <v>1063</v>
      </c>
      <c r="C2285" s="29">
        <v>107504331</v>
      </c>
      <c r="D2285" s="29"/>
      <c r="E2285" s="29"/>
      <c r="F2285" s="29" t="s">
        <v>97</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hidden="1">
      <c r="A2286" s="134" t="s">
        <v>1063</v>
      </c>
      <c r="C2286" s="29">
        <v>107504347</v>
      </c>
      <c r="D2286" s="29">
        <v>147502188</v>
      </c>
      <c r="E2286" s="29"/>
      <c r="F2286" s="29" t="s">
        <v>97</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hidden="1">
      <c r="A2287" s="134" t="s">
        <v>1063</v>
      </c>
      <c r="C2287" s="29">
        <v>107504370</v>
      </c>
      <c r="D2287" s="29">
        <v>136500101</v>
      </c>
      <c r="E2287" s="29"/>
      <c r="F2287" s="29" t="s">
        <v>97</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hidden="1">
      <c r="A2288" s="134" t="s">
        <v>1077</v>
      </c>
      <c r="C2288" s="29">
        <v>111500581</v>
      </c>
      <c r="D2288" s="29">
        <v>148500220</v>
      </c>
      <c r="E2288" s="29"/>
      <c r="F2288" s="29" t="s">
        <v>97</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hidden="1">
      <c r="A2289" s="134" t="s">
        <v>1077</v>
      </c>
      <c r="C2289" s="29">
        <v>111500609</v>
      </c>
      <c r="D2289" s="29"/>
      <c r="E2289" s="29"/>
      <c r="F2289" s="29" t="s">
        <v>97</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1077</v>
      </c>
      <c r="C2290" s="29">
        <v>111500626</v>
      </c>
      <c r="D2290" s="29"/>
      <c r="E2290" s="29"/>
      <c r="F2290" s="29" t="s">
        <v>97</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1077</v>
      </c>
      <c r="C2291" s="29">
        <v>111500677</v>
      </c>
      <c r="D2291" s="29"/>
      <c r="E2291" s="29"/>
      <c r="F2291" s="29" t="s">
        <v>97</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1061</v>
      </c>
      <c r="C2292" s="29">
        <v>111501708</v>
      </c>
      <c r="D2292" s="29">
        <v>136500095</v>
      </c>
      <c r="E2292" s="29"/>
      <c r="F2292" s="29" t="s">
        <v>97</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hidden="1">
      <c r="A2293" s="134" t="s">
        <v>1063</v>
      </c>
      <c r="C2293" s="29">
        <v>111500478</v>
      </c>
      <c r="D2293" s="29">
        <v>147502149</v>
      </c>
      <c r="E2293" s="29"/>
      <c r="F2293" s="29" t="s">
        <v>97</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hidden="1">
      <c r="A2294" s="134" t="s">
        <v>1063</v>
      </c>
      <c r="C2294" s="29">
        <v>111500523</v>
      </c>
      <c r="D2294" s="29">
        <v>147502165</v>
      </c>
      <c r="E2294" s="29"/>
      <c r="F2294" s="29" t="s">
        <v>97</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hidden="1">
      <c r="A2295" s="134" t="s">
        <v>358</v>
      </c>
      <c r="C2295" s="29">
        <v>111506703</v>
      </c>
      <c r="D2295" s="29">
        <v>141500347</v>
      </c>
      <c r="E2295" s="29"/>
      <c r="F2295" s="29" t="s">
        <v>97</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hidden="1">
      <c r="A2296" s="134" t="s">
        <v>358</v>
      </c>
      <c r="C2296" s="29">
        <v>113500840</v>
      </c>
      <c r="D2296" s="29"/>
      <c r="E2296" s="29"/>
      <c r="F2296" s="29" t="s">
        <v>97</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1072</v>
      </c>
      <c r="C2297" s="29">
        <v>114500855</v>
      </c>
      <c r="D2297" s="29">
        <v>147502068</v>
      </c>
      <c r="E2297" s="29"/>
      <c r="F2297" s="29" t="s">
        <v>97</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hidden="1">
      <c r="A2298" s="134" t="s">
        <v>1072</v>
      </c>
      <c r="C2298" s="29">
        <v>114500883</v>
      </c>
      <c r="D2298" s="29">
        <v>147502082</v>
      </c>
      <c r="E2298" s="29"/>
      <c r="F2298" s="29" t="s">
        <v>97</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hidden="1">
      <c r="A2299" s="134" t="s">
        <v>1072</v>
      </c>
      <c r="C2299" s="29">
        <v>114500780</v>
      </c>
      <c r="D2299" s="29">
        <v>147502092</v>
      </c>
      <c r="E2299" s="29"/>
      <c r="F2299" s="29" t="s">
        <v>97</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hidden="1">
      <c r="A2300" s="134" t="s">
        <v>1077</v>
      </c>
      <c r="C2300" s="29">
        <v>119500237</v>
      </c>
      <c r="D2300" s="29"/>
      <c r="E2300" s="29"/>
      <c r="F2300" s="29" t="s">
        <v>97</v>
      </c>
      <c r="G2300" s="29" t="s">
        <v>744</v>
      </c>
      <c r="H2300" s="29" t="s">
        <v>38</v>
      </c>
      <c r="I2300" s="120">
        <v>45775</v>
      </c>
      <c r="J2300" s="120">
        <f>WORKDAY(I2300, 3)</f>
        <v>45778</v>
      </c>
      <c r="K2300" s="120">
        <v>45805</v>
      </c>
      <c r="L2300" s="120"/>
      <c r="M2300" s="120"/>
      <c r="O2300" s="29" t="s">
        <v>1299</v>
      </c>
      <c r="P2300" s="120"/>
      <c r="Q2300" s="81">
        <v>170</v>
      </c>
      <c r="R2300" s="134" t="s">
        <v>1299</v>
      </c>
    </row>
    <row r="2301" spans="1:18" hidden="1">
      <c r="A2301" s="134" t="s">
        <v>1077</v>
      </c>
      <c r="C2301" s="29">
        <v>119500240</v>
      </c>
      <c r="D2301" s="29"/>
      <c r="E2301" s="29"/>
      <c r="F2301" s="29" t="s">
        <v>97</v>
      </c>
      <c r="G2301" s="29" t="s">
        <v>744</v>
      </c>
      <c r="H2301" s="29" t="s">
        <v>38</v>
      </c>
      <c r="I2301" s="120">
        <v>45775</v>
      </c>
      <c r="J2301" s="120">
        <f>WORKDAY(I2301, 3)</f>
        <v>45778</v>
      </c>
      <c r="K2301" s="120">
        <v>45805</v>
      </c>
      <c r="L2301" s="120"/>
      <c r="M2301" s="120"/>
      <c r="O2301" s="29" t="s">
        <v>1299</v>
      </c>
      <c r="P2301" s="120"/>
      <c r="Q2301" s="81">
        <v>550</v>
      </c>
      <c r="R2301" s="134" t="s">
        <v>1299</v>
      </c>
    </row>
    <row r="2302" spans="1:18" hidden="1">
      <c r="A2302" s="134" t="s">
        <v>1077</v>
      </c>
      <c r="C2302" s="29">
        <v>119500242</v>
      </c>
      <c r="D2302" s="29"/>
      <c r="E2302" s="29"/>
      <c r="F2302" s="29" t="s">
        <v>97</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1077</v>
      </c>
      <c r="C2303" s="29">
        <v>119500244</v>
      </c>
      <c r="D2303" s="29"/>
      <c r="E2303" s="29"/>
      <c r="F2303" s="29" t="s">
        <v>97</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1077</v>
      </c>
      <c r="C2304" s="29">
        <v>119500251</v>
      </c>
      <c r="D2304" s="29"/>
      <c r="E2304" s="29"/>
      <c r="F2304" s="29" t="s">
        <v>97</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1077</v>
      </c>
      <c r="C2305" s="29">
        <v>119500257</v>
      </c>
      <c r="D2305" s="29">
        <v>147501882</v>
      </c>
      <c r="E2305" s="29"/>
      <c r="F2305" s="29" t="s">
        <v>97</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hidden="1">
      <c r="A2306" s="134" t="s">
        <v>1077</v>
      </c>
      <c r="C2306" s="29">
        <v>119500261</v>
      </c>
      <c r="D2306" s="29">
        <v>147501897</v>
      </c>
      <c r="E2306" s="29"/>
      <c r="F2306" s="29" t="s">
        <v>97</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hidden="1">
      <c r="A2307" s="134" t="s">
        <v>1309</v>
      </c>
      <c r="C2307" s="29">
        <v>127505217</v>
      </c>
      <c r="D2307" s="29"/>
      <c r="E2307" s="29"/>
      <c r="F2307" s="29" t="s">
        <v>97</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959</v>
      </c>
      <c r="C2308" s="29">
        <v>127504535</v>
      </c>
      <c r="D2308" s="29"/>
      <c r="E2308" s="29"/>
      <c r="F2308" s="29" t="s">
        <v>97</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959</v>
      </c>
      <c r="C2309" s="29">
        <v>127504570</v>
      </c>
      <c r="D2309" s="29"/>
      <c r="E2309" s="29"/>
      <c r="F2309" s="29" t="s">
        <v>97</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959</v>
      </c>
      <c r="C2310" s="29">
        <v>127504593</v>
      </c>
      <c r="D2310" s="29"/>
      <c r="E2310" s="29"/>
      <c r="F2310" s="29" t="s">
        <v>97</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1112</v>
      </c>
      <c r="C2311" s="29">
        <v>128501134</v>
      </c>
      <c r="D2311" s="29"/>
      <c r="E2311" s="29"/>
      <c r="F2311" s="29" t="s">
        <v>97</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1112</v>
      </c>
      <c r="C2312" s="29">
        <v>128501084</v>
      </c>
      <c r="D2312" s="29"/>
      <c r="E2312" s="29"/>
      <c r="F2312" s="29" t="s">
        <v>97</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1112</v>
      </c>
      <c r="C2313" s="29">
        <v>128501092</v>
      </c>
      <c r="D2313" s="29"/>
      <c r="E2313" s="29"/>
      <c r="F2313" s="29" t="s">
        <v>97</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1112</v>
      </c>
      <c r="C2314" s="29">
        <v>128501118</v>
      </c>
      <c r="D2314" s="29"/>
      <c r="E2314" s="29"/>
      <c r="F2314" s="29" t="s">
        <v>97</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1112</v>
      </c>
      <c r="C2315" s="29">
        <v>128501125</v>
      </c>
      <c r="D2315" s="29"/>
      <c r="E2315" s="29"/>
      <c r="F2315" s="29" t="s">
        <v>97</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1112</v>
      </c>
      <c r="C2316" s="29">
        <v>128501144</v>
      </c>
      <c r="D2316" s="29"/>
      <c r="E2316" s="29"/>
      <c r="F2316" s="29" t="s">
        <v>97</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1112</v>
      </c>
      <c r="C2317" s="29">
        <v>128501153</v>
      </c>
      <c r="D2317" s="29"/>
      <c r="E2317" s="29"/>
      <c r="F2317" s="29" t="s">
        <v>97</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1112</v>
      </c>
      <c r="C2318" s="29">
        <v>128501161</v>
      </c>
      <c r="D2318" s="29"/>
      <c r="E2318" s="29"/>
      <c r="F2318" s="29" t="s">
        <v>97</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1112</v>
      </c>
      <c r="C2319" s="29">
        <v>128501171</v>
      </c>
      <c r="D2319" s="29"/>
      <c r="E2319" s="29"/>
      <c r="F2319" s="29" t="s">
        <v>97</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1112</v>
      </c>
      <c r="C2320" s="29">
        <v>128501177</v>
      </c>
      <c r="D2320" s="29"/>
      <c r="E2320" s="29"/>
      <c r="F2320" s="29" t="s">
        <v>97</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1112</v>
      </c>
      <c r="C2321" s="29">
        <v>128501188</v>
      </c>
      <c r="D2321" s="29"/>
      <c r="E2321" s="29"/>
      <c r="F2321" s="29" t="s">
        <v>97</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717</v>
      </c>
      <c r="C2322" s="29">
        <v>128501583</v>
      </c>
      <c r="D2322" s="29"/>
      <c r="E2322" s="29"/>
      <c r="F2322" s="29" t="s">
        <v>97</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717</v>
      </c>
      <c r="C2323" s="29">
        <v>128501601</v>
      </c>
      <c r="D2323" s="29"/>
      <c r="E2323" s="29"/>
      <c r="F2323" s="29" t="s">
        <v>97</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717</v>
      </c>
      <c r="C2324" s="29">
        <v>128501615</v>
      </c>
      <c r="D2324" s="29"/>
      <c r="E2324" s="29"/>
      <c r="F2324" s="29" t="s">
        <v>97</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717</v>
      </c>
      <c r="C2325" s="29">
        <v>128501627</v>
      </c>
      <c r="D2325" s="29"/>
      <c r="E2325" s="29"/>
      <c r="F2325" s="29" t="s">
        <v>97</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717</v>
      </c>
      <c r="C2326" s="29">
        <v>128501652</v>
      </c>
      <c r="D2326" s="29"/>
      <c r="E2326" s="29"/>
      <c r="F2326" s="29" t="s">
        <v>97</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717</v>
      </c>
      <c r="C2327" s="29">
        <v>128501685</v>
      </c>
      <c r="D2327" s="29"/>
      <c r="E2327" s="29"/>
      <c r="F2327" s="29" t="s">
        <v>97</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717</v>
      </c>
      <c r="C2328" s="29">
        <v>128501712</v>
      </c>
      <c r="D2328" s="29"/>
      <c r="E2328" s="29"/>
      <c r="F2328" s="29" t="s">
        <v>97</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717</v>
      </c>
      <c r="C2329" s="29">
        <v>128501743</v>
      </c>
      <c r="D2329" s="29"/>
      <c r="E2329" s="29"/>
      <c r="F2329" s="29" t="s">
        <v>97</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hidden="1">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hidden="1">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hidden="1">
      <c r="A2333" s="134" t="s">
        <v>717</v>
      </c>
      <c r="C2333" s="29">
        <v>129500101</v>
      </c>
      <c r="D2333" s="29"/>
      <c r="E2333" s="29"/>
      <c r="F2333" s="29" t="s">
        <v>97</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717</v>
      </c>
      <c r="C2334" s="29">
        <v>129500104</v>
      </c>
      <c r="D2334" s="29"/>
      <c r="E2334" s="29"/>
      <c r="F2334" s="29" t="s">
        <v>97</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717</v>
      </c>
      <c r="C2335" s="29">
        <v>129500114</v>
      </c>
      <c r="D2335" s="29"/>
      <c r="E2335" s="29"/>
      <c r="F2335" s="29" t="s">
        <v>97</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1069</v>
      </c>
      <c r="B2336" s="126"/>
      <c r="C2336" s="29">
        <v>119505499</v>
      </c>
      <c r="D2336" s="29">
        <v>147501832</v>
      </c>
      <c r="E2336" s="29"/>
      <c r="F2336" s="29" t="s">
        <v>97</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hidden="1">
      <c r="A2337" s="126" t="s">
        <v>1069</v>
      </c>
      <c r="B2337" s="126"/>
      <c r="C2337" s="29">
        <v>119505532</v>
      </c>
      <c r="D2337" s="29">
        <v>147501845</v>
      </c>
      <c r="E2337" s="29"/>
      <c r="F2337" s="29" t="s">
        <v>97</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hidden="1">
      <c r="A2338" s="126" t="s">
        <v>1069</v>
      </c>
      <c r="B2338" s="126"/>
      <c r="C2338" s="29">
        <v>119505549</v>
      </c>
      <c r="D2338" s="29">
        <v>147501854</v>
      </c>
      <c r="E2338" s="29"/>
      <c r="F2338" s="29" t="s">
        <v>97</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hidden="1">
      <c r="A2339" s="126" t="s">
        <v>1069</v>
      </c>
      <c r="B2339" s="126"/>
      <c r="C2339" s="29">
        <v>119505577</v>
      </c>
      <c r="D2339" s="29">
        <v>147501858</v>
      </c>
      <c r="E2339" s="29"/>
      <c r="F2339" s="29" t="s">
        <v>97</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hidden="1">
      <c r="A2340" s="126" t="s">
        <v>1069</v>
      </c>
      <c r="B2340" s="126"/>
      <c r="C2340" s="29">
        <v>119505596</v>
      </c>
      <c r="D2340" s="29">
        <v>147501867</v>
      </c>
      <c r="E2340" s="29"/>
      <c r="F2340" s="29" t="s">
        <v>97</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hidden="1">
      <c r="A2341" s="126" t="s">
        <v>1069</v>
      </c>
      <c r="B2341" s="126"/>
      <c r="C2341" s="29">
        <v>119505601</v>
      </c>
      <c r="D2341" s="29">
        <v>147500136</v>
      </c>
      <c r="E2341" s="29"/>
      <c r="F2341" s="29" t="s">
        <v>97</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hidden="1">
      <c r="A2342" s="134" t="s">
        <v>1311</v>
      </c>
      <c r="C2342" s="29">
        <v>122501336</v>
      </c>
      <c r="D2342" s="29"/>
      <c r="E2342" s="29"/>
      <c r="F2342" s="29" t="s">
        <v>97</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1312</v>
      </c>
      <c r="C2343" s="29">
        <v>122501284</v>
      </c>
      <c r="D2343" s="29"/>
      <c r="E2343" s="29"/>
      <c r="F2343" s="29" t="s">
        <v>97</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1311</v>
      </c>
      <c r="C2344" s="29">
        <v>122501374</v>
      </c>
      <c r="D2344" s="29"/>
      <c r="E2344" s="29"/>
      <c r="F2344" s="29" t="s">
        <v>97</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981</v>
      </c>
      <c r="C2345" s="29">
        <v>129500087</v>
      </c>
      <c r="D2345" s="29">
        <v>148501570</v>
      </c>
      <c r="E2345" s="29"/>
      <c r="F2345" s="29" t="s">
        <v>97</v>
      </c>
      <c r="G2345" s="29" t="s">
        <v>744</v>
      </c>
      <c r="H2345" s="29" t="s">
        <v>38</v>
      </c>
      <c r="I2345" s="120">
        <v>45779</v>
      </c>
      <c r="J2345" s="120">
        <f>WORKDAY(I2345, 3)</f>
        <v>45784</v>
      </c>
      <c r="K2345" s="120">
        <v>45810</v>
      </c>
      <c r="L2345" s="120"/>
      <c r="M2345" s="120"/>
      <c r="N2345" s="29"/>
      <c r="O2345" s="29" t="s">
        <v>1094</v>
      </c>
      <c r="P2345" s="120"/>
      <c r="Q2345" s="156">
        <v>300</v>
      </c>
    </row>
    <row r="2346" spans="1:18" hidden="1">
      <c r="A2346" s="134" t="s">
        <v>941</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hidden="1">
      <c r="A2347" s="134" t="s">
        <v>941</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hidden="1">
      <c r="A2348" s="134" t="s">
        <v>941</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hidden="1">
      <c r="A2349" s="134" t="s">
        <v>967</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hidden="1">
      <c r="A2350" s="134" t="s">
        <v>967</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hidden="1">
      <c r="A2351" s="134" t="s">
        <v>897</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1254</v>
      </c>
      <c r="P2351" s="29"/>
      <c r="Q2351" s="156">
        <v>100</v>
      </c>
    </row>
    <row r="2352" spans="1:18" hidden="1">
      <c r="A2352" s="134" t="s">
        <v>981</v>
      </c>
      <c r="C2352" s="29">
        <v>128502845</v>
      </c>
      <c r="D2352" s="29">
        <v>148501617</v>
      </c>
      <c r="E2352" s="29"/>
      <c r="F2352" s="29" t="s">
        <v>97</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hidden="1">
      <c r="A2353" s="134" t="s">
        <v>981</v>
      </c>
      <c r="C2353" s="29">
        <v>128502892</v>
      </c>
      <c r="D2353" s="29">
        <v>148501633</v>
      </c>
      <c r="E2353" s="29"/>
      <c r="F2353" s="29" t="s">
        <v>97</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hidden="1">
      <c r="A2354" s="134" t="s">
        <v>981</v>
      </c>
      <c r="C2354" s="29">
        <v>128502922</v>
      </c>
      <c r="D2354" s="29">
        <v>148501665</v>
      </c>
      <c r="E2354" s="29"/>
      <c r="F2354" s="29" t="s">
        <v>97</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hidden="1">
      <c r="A2355" s="134" t="s">
        <v>981</v>
      </c>
      <c r="C2355" s="29">
        <v>128502965</v>
      </c>
      <c r="D2355" s="29">
        <v>148501680</v>
      </c>
      <c r="E2355" s="29"/>
      <c r="F2355" s="29" t="s">
        <v>97</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hidden="1">
      <c r="A2356" s="134" t="s">
        <v>981</v>
      </c>
      <c r="C2356" s="29">
        <v>128503021</v>
      </c>
      <c r="D2356" s="29">
        <v>148501690</v>
      </c>
      <c r="E2356" s="29"/>
      <c r="F2356" s="29" t="s">
        <v>97</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hidden="1">
      <c r="A2357" s="134" t="s">
        <v>981</v>
      </c>
      <c r="C2357" s="29">
        <v>128503239</v>
      </c>
      <c r="D2357" s="29">
        <v>150500061</v>
      </c>
      <c r="E2357" s="29"/>
      <c r="F2357" s="29" t="s">
        <v>97</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hidden="1">
      <c r="A2358" s="134" t="s">
        <v>981</v>
      </c>
      <c r="C2358" s="29">
        <v>128503276</v>
      </c>
      <c r="D2358" s="29">
        <v>150500063</v>
      </c>
      <c r="E2358" s="29"/>
      <c r="F2358" s="29" t="s">
        <v>97</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hidden="1">
      <c r="A2359" s="134" t="s">
        <v>981</v>
      </c>
      <c r="C2359" s="29">
        <v>129500085</v>
      </c>
      <c r="D2359" s="29">
        <v>150500064</v>
      </c>
      <c r="E2359" s="29"/>
      <c r="F2359" s="29" t="s">
        <v>97</v>
      </c>
      <c r="G2359" s="29" t="s">
        <v>744</v>
      </c>
      <c r="H2359" s="29" t="s">
        <v>38</v>
      </c>
      <c r="I2359" s="120">
        <v>45779</v>
      </c>
      <c r="J2359" s="120">
        <f>WORKDAY(I2359, 3)</f>
        <v>45784</v>
      </c>
      <c r="K2359" s="120">
        <v>45810</v>
      </c>
      <c r="L2359" s="120"/>
      <c r="M2359" s="120"/>
      <c r="N2359" s="29"/>
      <c r="O2359" s="29" t="s">
        <v>1094</v>
      </c>
      <c r="P2359" s="120"/>
      <c r="Q2359" s="156">
        <v>560</v>
      </c>
    </row>
    <row r="2360" spans="1:18" hidden="1">
      <c r="A2360" s="134" t="s">
        <v>981</v>
      </c>
      <c r="C2360" s="29">
        <v>129500096</v>
      </c>
      <c r="D2360" s="29">
        <v>150500066</v>
      </c>
      <c r="E2360" s="29"/>
      <c r="F2360" s="29" t="s">
        <v>97</v>
      </c>
      <c r="G2360" s="29" t="s">
        <v>744</v>
      </c>
      <c r="H2360" s="29" t="s">
        <v>38</v>
      </c>
      <c r="I2360" s="120">
        <v>45779</v>
      </c>
      <c r="J2360" s="120">
        <f>WORKDAY(I2360, 3)</f>
        <v>45784</v>
      </c>
      <c r="K2360" s="120">
        <v>45810</v>
      </c>
      <c r="L2360" s="120"/>
      <c r="M2360" s="120"/>
      <c r="N2360" s="29"/>
      <c r="O2360" s="29" t="s">
        <v>1094</v>
      </c>
      <c r="P2360" s="120"/>
      <c r="Q2360" s="156">
        <v>400</v>
      </c>
    </row>
    <row r="2361" spans="1:18" hidden="1">
      <c r="A2361" s="134" t="s">
        <v>1073</v>
      </c>
      <c r="C2361" s="29">
        <v>125502775</v>
      </c>
      <c r="D2361" s="29"/>
      <c r="E2361" s="29"/>
      <c r="F2361" s="29" t="s">
        <v>97</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1073</v>
      </c>
      <c r="C2362" s="29">
        <v>125502808</v>
      </c>
      <c r="D2362" s="29"/>
      <c r="E2362" s="29"/>
      <c r="F2362" s="29" t="s">
        <v>97</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967</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hidden="1">
      <c r="A2364" s="134" t="s">
        <v>967</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hidden="1">
      <c r="A2365" s="134" t="s">
        <v>1313</v>
      </c>
      <c r="C2365" s="29">
        <v>127500110</v>
      </c>
      <c r="D2365" s="29"/>
      <c r="E2365" s="29"/>
      <c r="F2365" s="29" t="s">
        <v>97</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1313</v>
      </c>
      <c r="C2366" s="29">
        <v>127500104</v>
      </c>
      <c r="D2366" s="29"/>
      <c r="E2366" s="29"/>
      <c r="F2366" s="29" t="s">
        <v>97</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1313</v>
      </c>
      <c r="C2367" s="29">
        <v>127500108</v>
      </c>
      <c r="D2367" s="29"/>
      <c r="E2367" s="29"/>
      <c r="F2367" s="29" t="s">
        <v>97</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1313</v>
      </c>
      <c r="C2368" s="29">
        <v>127500099</v>
      </c>
      <c r="D2368" s="29"/>
      <c r="E2368" s="29"/>
      <c r="F2368" s="29" t="s">
        <v>97</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1313</v>
      </c>
      <c r="C2369" s="29" t="s">
        <v>1313</v>
      </c>
      <c r="D2369" s="29"/>
      <c r="E2369" s="29"/>
      <c r="F2369" s="29" t="s">
        <v>97</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1313</v>
      </c>
      <c r="C2370" s="29" t="s">
        <v>1313</v>
      </c>
      <c r="D2370" s="29"/>
      <c r="E2370" s="29"/>
      <c r="F2370" s="29" t="s">
        <v>97</v>
      </c>
      <c r="G2370" s="29" t="s">
        <v>744</v>
      </c>
      <c r="H2370" s="29" t="s">
        <v>38</v>
      </c>
      <c r="I2370" s="120">
        <v>45783</v>
      </c>
      <c r="J2370" s="120">
        <f>WORKDAY(I2370, 3)</f>
        <v>45786</v>
      </c>
      <c r="K2370" s="120">
        <v>45814</v>
      </c>
      <c r="L2370" s="120"/>
      <c r="M2370" s="120"/>
      <c r="O2370" s="29" t="s">
        <v>884</v>
      </c>
      <c r="P2370" s="120"/>
      <c r="Q2370" s="156">
        <v>125</v>
      </c>
    </row>
    <row r="2371" spans="1:18" hidden="1">
      <c r="A2371" s="134" t="s">
        <v>967</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hidden="1">
      <c r="A2372" s="134" t="s">
        <v>959</v>
      </c>
      <c r="C2372" s="29">
        <v>127504620</v>
      </c>
      <c r="D2372" s="29"/>
      <c r="E2372" s="29"/>
      <c r="F2372" s="29" t="s">
        <v>97</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959</v>
      </c>
      <c r="C2373" s="29">
        <v>127504664</v>
      </c>
      <c r="D2373" s="29"/>
      <c r="E2373" s="29"/>
      <c r="F2373" s="29" t="s">
        <v>97</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959</v>
      </c>
      <c r="C2374" s="29">
        <v>127504715</v>
      </c>
      <c r="D2374" s="29"/>
      <c r="E2374" s="29"/>
      <c r="F2374" s="29" t="s">
        <v>97</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1314</v>
      </c>
      <c r="B2375" s="160"/>
      <c r="C2375" s="29">
        <v>143500248</v>
      </c>
      <c r="D2375" s="29"/>
      <c r="E2375" s="29"/>
      <c r="F2375" s="29" t="s">
        <v>97</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1225</v>
      </c>
      <c r="C2376" s="29">
        <v>134500501</v>
      </c>
      <c r="D2376" s="29"/>
      <c r="E2376" s="29"/>
      <c r="F2376" s="29" t="s">
        <v>97</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1312</v>
      </c>
      <c r="C2377" s="29">
        <v>133503131</v>
      </c>
      <c r="D2377" s="29"/>
      <c r="E2377" s="29"/>
      <c r="F2377" s="29" t="s">
        <v>97</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hidden="1">
      <c r="A2379" s="134" t="s">
        <v>1281</v>
      </c>
      <c r="C2379" s="29">
        <v>134500389</v>
      </c>
      <c r="D2379" s="29"/>
      <c r="E2379" s="29"/>
      <c r="F2379" s="29" t="s">
        <v>97</v>
      </c>
      <c r="G2379" s="29" t="s">
        <v>744</v>
      </c>
      <c r="H2379" s="29" t="s">
        <v>38</v>
      </c>
      <c r="I2379" s="120">
        <v>45791</v>
      </c>
      <c r="J2379" s="120">
        <f>WORKDAY(I2379, 3)</f>
        <v>45796</v>
      </c>
      <c r="K2379" s="120">
        <v>45822</v>
      </c>
      <c r="L2379" s="120"/>
      <c r="M2379" s="120"/>
      <c r="O2379" s="29" t="s">
        <v>884</v>
      </c>
      <c r="P2379" s="120"/>
      <c r="Q2379" s="156">
        <v>1000</v>
      </c>
    </row>
    <row r="2380" spans="1:18" hidden="1">
      <c r="A2380" s="134" t="s">
        <v>959</v>
      </c>
      <c r="C2380" s="29">
        <v>134500868</v>
      </c>
      <c r="D2380" s="29"/>
      <c r="E2380" s="29"/>
      <c r="F2380" s="29" t="s">
        <v>97</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hidden="1">
      <c r="A2381" s="134" t="s">
        <v>959</v>
      </c>
      <c r="C2381" s="29">
        <v>134500898</v>
      </c>
      <c r="D2381" s="29"/>
      <c r="E2381" s="29"/>
      <c r="F2381" s="29" t="s">
        <v>97</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hidden="1">
      <c r="A2382" s="134" t="s">
        <v>959</v>
      </c>
      <c r="C2382" s="29">
        <v>134500942</v>
      </c>
      <c r="D2382" s="29"/>
      <c r="E2382" s="29"/>
      <c r="F2382" s="29" t="s">
        <v>97</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hidden="1">
      <c r="A2383" s="134" t="s">
        <v>959</v>
      </c>
      <c r="C2383" s="29">
        <v>134500966</v>
      </c>
      <c r="D2383" s="29"/>
      <c r="E2383" s="29"/>
      <c r="F2383" s="29" t="s">
        <v>97</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hidden="1">
      <c r="A2384" s="134" t="s">
        <v>959</v>
      </c>
      <c r="C2384" s="29">
        <v>134500991</v>
      </c>
      <c r="D2384" s="29"/>
      <c r="E2384" s="29"/>
      <c r="F2384" s="29" t="s">
        <v>97</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hidden="1">
      <c r="A2385" s="134" t="s">
        <v>967</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hidden="1">
      <c r="A2386" s="134" t="s">
        <v>1280</v>
      </c>
      <c r="C2386" s="29">
        <v>135501145</v>
      </c>
      <c r="D2386" s="29"/>
      <c r="E2386" s="29"/>
      <c r="F2386" s="29" t="s">
        <v>97</v>
      </c>
      <c r="G2386" s="29" t="s">
        <v>744</v>
      </c>
      <c r="H2386" s="29" t="s">
        <v>38</v>
      </c>
      <c r="I2386" s="120">
        <v>45792</v>
      </c>
      <c r="J2386" s="120">
        <f>WORKDAY(I2386, 3)</f>
        <v>45797</v>
      </c>
      <c r="K2386" s="120">
        <v>45823</v>
      </c>
      <c r="L2386" s="120"/>
      <c r="M2386" s="120"/>
      <c r="N2386" s="120">
        <v>45797</v>
      </c>
      <c r="O2386" s="29" t="s">
        <v>1256</v>
      </c>
      <c r="P2386" s="29"/>
      <c r="Q2386" s="156">
        <v>300</v>
      </c>
    </row>
    <row r="2387" spans="1:18" hidden="1">
      <c r="A2387" s="134" t="s">
        <v>1077</v>
      </c>
      <c r="C2387" s="29">
        <v>132500119</v>
      </c>
      <c r="D2387" s="29"/>
      <c r="E2387" s="29"/>
      <c r="F2387" s="29" t="s">
        <v>97</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hidden="1">
      <c r="A2388" s="134" t="s">
        <v>1077</v>
      </c>
      <c r="C2388" s="29">
        <v>132500128</v>
      </c>
      <c r="D2388" s="29"/>
      <c r="E2388" s="29"/>
      <c r="F2388" s="29" t="s">
        <v>97</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hidden="1">
      <c r="A2389" s="134" t="s">
        <v>1077</v>
      </c>
      <c r="C2389" s="29">
        <v>132500140</v>
      </c>
      <c r="D2389" s="29"/>
      <c r="E2389" s="29"/>
      <c r="F2389" s="29" t="s">
        <v>97</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hidden="1">
      <c r="A2390" s="134" t="s">
        <v>1077</v>
      </c>
      <c r="C2390" s="29">
        <v>132500147</v>
      </c>
      <c r="D2390" s="29"/>
      <c r="E2390" s="29"/>
      <c r="F2390" s="29" t="s">
        <v>97</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hidden="1">
      <c r="A2391" s="134" t="s">
        <v>1077</v>
      </c>
      <c r="C2391" s="29">
        <v>132500149</v>
      </c>
      <c r="D2391" s="29"/>
      <c r="E2391" s="29"/>
      <c r="F2391" s="29" t="s">
        <v>97</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hidden="1">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hidden="1">
      <c r="A2393" s="134" t="s">
        <v>967</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hidden="1">
      <c r="A2394" s="134" t="s">
        <v>967</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hidden="1">
      <c r="A2395" s="134" t="s">
        <v>967</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hidden="1">
      <c r="A2396" s="134" t="s">
        <v>967</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hidden="1">
      <c r="A2397" s="134" t="s">
        <v>967</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hidden="1">
      <c r="A2398" s="134" t="s">
        <v>967</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hidden="1">
      <c r="A2399" s="134" t="s">
        <v>1317</v>
      </c>
      <c r="C2399" s="29">
        <v>134501889</v>
      </c>
      <c r="D2399" s="29">
        <v>162500157</v>
      </c>
      <c r="E2399" s="29"/>
      <c r="F2399" s="29" t="s">
        <v>97</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hidden="1">
      <c r="A2400" s="134" t="s">
        <v>1072</v>
      </c>
      <c r="C2400" s="29">
        <v>160500824</v>
      </c>
      <c r="D2400" s="29"/>
      <c r="E2400" s="29"/>
      <c r="F2400" s="29" t="s">
        <v>97</v>
      </c>
      <c r="G2400" s="29" t="s">
        <v>744</v>
      </c>
      <c r="H2400" s="29" t="s">
        <v>38</v>
      </c>
      <c r="I2400" s="120">
        <v>45817</v>
      </c>
      <c r="J2400" s="120">
        <f>WORKDAY(I2400, 3)</f>
        <v>45820</v>
      </c>
      <c r="K2400" s="120">
        <v>45847</v>
      </c>
      <c r="L2400" s="120"/>
      <c r="M2400" s="120"/>
      <c r="N2400" s="29"/>
      <c r="O2400" s="29" t="s">
        <v>1256</v>
      </c>
      <c r="P2400" s="29"/>
      <c r="Q2400" s="156">
        <v>200</v>
      </c>
    </row>
    <row r="2401" spans="1:18" hidden="1">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hidden="1">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hidden="1">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hidden="1">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hidden="1">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hidden="1">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hidden="1">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hidden="1">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hidden="1">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hidden="1">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hidden="1">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hidden="1">
      <c r="A2412" s="134" t="s">
        <v>1072</v>
      </c>
      <c r="C2412" s="29">
        <v>134501926</v>
      </c>
      <c r="D2412" s="29"/>
      <c r="E2412" s="29"/>
      <c r="F2412" s="29" t="s">
        <v>97</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1072</v>
      </c>
      <c r="C2413" s="29">
        <v>134502005</v>
      </c>
      <c r="D2413" s="29"/>
      <c r="E2413" s="29"/>
      <c r="F2413" s="29" t="s">
        <v>97</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1072</v>
      </c>
      <c r="C2414" s="29">
        <v>134502258</v>
      </c>
      <c r="D2414" s="29"/>
      <c r="E2414" s="29"/>
      <c r="F2414" s="29" t="s">
        <v>97</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hidden="1">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hidden="1">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hidden="1">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hidden="1">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hidden="1">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hidden="1">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hidden="1">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hidden="1">
      <c r="A2423" s="134" t="s">
        <v>1063</v>
      </c>
      <c r="C2423" s="29">
        <v>136500101</v>
      </c>
      <c r="D2423" s="29"/>
      <c r="E2423" s="29"/>
      <c r="F2423" s="29" t="s">
        <v>97</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hidden="1">
      <c r="A2424" s="134" t="s">
        <v>1063</v>
      </c>
      <c r="C2424" s="29">
        <v>136500133</v>
      </c>
      <c r="D2424" s="29"/>
      <c r="E2424" s="29"/>
      <c r="F2424" s="29" t="s">
        <v>97</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hidden="1">
      <c r="A2425" s="134" t="s">
        <v>1061</v>
      </c>
      <c r="C2425" s="29">
        <v>136500095</v>
      </c>
      <c r="D2425" s="29"/>
      <c r="E2425" s="29"/>
      <c r="F2425" s="29" t="s">
        <v>97</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hidden="1">
      <c r="A2426" s="134" t="s">
        <v>1061</v>
      </c>
      <c r="C2426" s="29">
        <v>136500141</v>
      </c>
      <c r="D2426" s="29"/>
      <c r="E2426" s="29"/>
      <c r="F2426" s="29" t="s">
        <v>97</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hidden="1">
      <c r="A2427" s="134" t="s">
        <v>1061</v>
      </c>
      <c r="C2427" s="29">
        <v>136500142</v>
      </c>
      <c r="D2427" s="29"/>
      <c r="E2427" s="29"/>
      <c r="F2427" s="29" t="s">
        <v>97</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hidden="1">
      <c r="A2428" s="134" t="s">
        <v>1061</v>
      </c>
      <c r="C2428" s="29">
        <v>136500153</v>
      </c>
      <c r="D2428" s="29"/>
      <c r="E2428" s="29"/>
      <c r="F2428" s="29" t="s">
        <v>97</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hidden="1">
      <c r="A2429" s="134" t="s">
        <v>1061</v>
      </c>
      <c r="C2429" s="29">
        <v>136500155</v>
      </c>
      <c r="D2429" s="29"/>
      <c r="E2429" s="29"/>
      <c r="F2429" s="29" t="s">
        <v>97</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hidden="1">
      <c r="A2430" s="134" t="s">
        <v>1061</v>
      </c>
      <c r="C2430" s="29">
        <v>136500156</v>
      </c>
      <c r="D2430" s="29"/>
      <c r="E2430" s="29"/>
      <c r="F2430" s="29" t="s">
        <v>97</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hidden="1">
      <c r="A2431" s="134" t="s">
        <v>1061</v>
      </c>
      <c r="C2431" s="29">
        <v>136500159</v>
      </c>
      <c r="D2431" s="29"/>
      <c r="E2431" s="29"/>
      <c r="F2431" s="29" t="s">
        <v>97</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hidden="1">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1321</v>
      </c>
      <c r="C2433" s="29">
        <v>160503596</v>
      </c>
      <c r="D2433" s="29"/>
      <c r="E2433" s="29"/>
      <c r="F2433" s="29" t="s">
        <v>97</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1321</v>
      </c>
      <c r="C2434" s="29">
        <v>160503427</v>
      </c>
      <c r="D2434" s="29"/>
      <c r="E2434" s="29"/>
      <c r="F2434" s="29" t="s">
        <v>97</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1321</v>
      </c>
      <c r="C2435" s="29">
        <v>160503513</v>
      </c>
      <c r="D2435" s="29"/>
      <c r="E2435" s="29"/>
      <c r="F2435" s="29" t="s">
        <v>97</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1321</v>
      </c>
      <c r="C2436" s="29">
        <v>160503625</v>
      </c>
      <c r="D2436" s="29"/>
      <c r="E2436" s="29"/>
      <c r="F2436" s="29" t="s">
        <v>97</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1321</v>
      </c>
      <c r="C2437" s="29">
        <v>160503705</v>
      </c>
      <c r="D2437" s="29"/>
      <c r="E2437" s="29"/>
      <c r="F2437" s="29" t="s">
        <v>97</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1321</v>
      </c>
      <c r="C2438" s="29">
        <v>160503793</v>
      </c>
      <c r="D2438" s="29"/>
      <c r="E2438" s="29"/>
      <c r="F2438" s="29" t="s">
        <v>97</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1321</v>
      </c>
      <c r="C2439" s="29">
        <v>160503894</v>
      </c>
      <c r="D2439" s="29"/>
      <c r="E2439" s="29"/>
      <c r="F2439" s="29" t="s">
        <v>97</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1321</v>
      </c>
      <c r="C2440" s="29">
        <v>160504211</v>
      </c>
      <c r="D2440" s="29"/>
      <c r="E2440" s="29"/>
      <c r="F2440" s="29" t="s">
        <v>97</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1321</v>
      </c>
      <c r="C2441" s="29">
        <v>160504235</v>
      </c>
      <c r="D2441" s="29"/>
      <c r="E2441" s="29"/>
      <c r="F2441" s="29" t="s">
        <v>97</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1321</v>
      </c>
      <c r="C2442" s="29">
        <v>160504281</v>
      </c>
      <c r="D2442" s="29"/>
      <c r="E2442" s="29"/>
      <c r="F2442" s="29" t="s">
        <v>97</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1322</v>
      </c>
      <c r="C2443" s="29">
        <v>161503640</v>
      </c>
      <c r="D2443" s="29"/>
      <c r="E2443" s="29"/>
      <c r="F2443" s="29" t="s">
        <v>97</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1080</v>
      </c>
      <c r="C2444" s="29">
        <v>134501393</v>
      </c>
      <c r="D2444" s="29"/>
      <c r="E2444" s="29"/>
      <c r="F2444" s="29" t="s">
        <v>97</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hidden="1">
      <c r="A2445" s="134" t="s">
        <v>1080</v>
      </c>
      <c r="C2445" s="29">
        <v>134502372</v>
      </c>
      <c r="D2445" s="29"/>
      <c r="E2445" s="29"/>
      <c r="F2445" s="29" t="s">
        <v>97</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hidden="1">
      <c r="A2446" s="134" t="s">
        <v>1080</v>
      </c>
      <c r="C2446" s="29">
        <v>134502391</v>
      </c>
      <c r="D2446" s="29"/>
      <c r="E2446" s="29"/>
      <c r="F2446" s="29" t="s">
        <v>97</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980</v>
      </c>
      <c r="C2447" s="29">
        <v>134501374</v>
      </c>
      <c r="D2447" s="29"/>
      <c r="E2447" s="29"/>
      <c r="F2447" s="29" t="s">
        <v>97</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hidden="1">
      <c r="A2448" s="134" t="s">
        <v>980</v>
      </c>
      <c r="C2448" s="29">
        <v>134501433</v>
      </c>
      <c r="D2448" s="29"/>
      <c r="E2448" s="29"/>
      <c r="F2448" s="29" t="s">
        <v>97</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hidden="1">
      <c r="A2449" s="134" t="s">
        <v>980</v>
      </c>
      <c r="C2449" s="29">
        <v>134501442</v>
      </c>
      <c r="D2449" s="29"/>
      <c r="E2449" s="29"/>
      <c r="F2449" s="29" t="s">
        <v>97</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hidden="1">
      <c r="A2450" s="134" t="s">
        <v>980</v>
      </c>
      <c r="C2450" s="29">
        <v>134501489</v>
      </c>
      <c r="D2450" s="29"/>
      <c r="E2450" s="29"/>
      <c r="F2450" s="29" t="s">
        <v>97</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hidden="1">
      <c r="A2451" s="134" t="s">
        <v>980</v>
      </c>
      <c r="C2451" s="29">
        <v>134502403</v>
      </c>
      <c r="D2451" s="29"/>
      <c r="E2451" s="29"/>
      <c r="F2451" s="29" t="s">
        <v>97</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hidden="1">
      <c r="A2452" s="134" t="s">
        <v>1059</v>
      </c>
      <c r="C2452" s="29">
        <v>134501629</v>
      </c>
      <c r="D2452" s="29"/>
      <c r="E2452" s="29"/>
      <c r="F2452" s="29" t="s">
        <v>97</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hidden="1">
      <c r="A2453" s="134" t="s">
        <v>1059</v>
      </c>
      <c r="C2453" s="29">
        <v>134501815</v>
      </c>
      <c r="D2453" s="29"/>
      <c r="E2453" s="29"/>
      <c r="F2453" s="29" t="s">
        <v>97</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1056</v>
      </c>
      <c r="C2454" s="29">
        <v>134501911</v>
      </c>
      <c r="D2454" s="29"/>
      <c r="E2454" s="29"/>
      <c r="F2454" s="29" t="s">
        <v>97</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hidden="1">
      <c r="A2455" s="134" t="s">
        <v>1056</v>
      </c>
      <c r="C2455" s="29">
        <v>134501456</v>
      </c>
      <c r="D2455" s="29"/>
      <c r="E2455" s="29"/>
      <c r="F2455" s="29" t="s">
        <v>97</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1058</v>
      </c>
      <c r="C2456" s="29">
        <v>134502311</v>
      </c>
      <c r="D2456" s="29"/>
      <c r="E2456" s="29"/>
      <c r="F2456" s="29" t="s">
        <v>97</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hidden="1">
      <c r="A2457" s="134" t="s">
        <v>1058</v>
      </c>
      <c r="C2457" s="29">
        <v>134502355</v>
      </c>
      <c r="D2457" s="29"/>
      <c r="E2457" s="29"/>
      <c r="F2457" s="29" t="s">
        <v>97</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1080</v>
      </c>
      <c r="C2458" s="29">
        <v>135500110</v>
      </c>
      <c r="D2458" s="29"/>
      <c r="E2458" s="29"/>
      <c r="F2458" s="29" t="s">
        <v>97</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hidden="1">
      <c r="A2459" s="134" t="s">
        <v>1080</v>
      </c>
      <c r="C2459" s="29">
        <v>135501053</v>
      </c>
      <c r="D2459" s="29"/>
      <c r="E2459" s="29"/>
      <c r="F2459" s="29" t="s">
        <v>97</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hidden="1">
      <c r="A2460" s="134" t="s">
        <v>1080</v>
      </c>
      <c r="C2460" s="29">
        <v>135501062</v>
      </c>
      <c r="D2460" s="29"/>
      <c r="E2460" s="29"/>
      <c r="F2460" s="29" t="s">
        <v>97</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hidden="1">
      <c r="A2461" s="134" t="s">
        <v>980</v>
      </c>
      <c r="C2461" s="29">
        <v>135500109</v>
      </c>
      <c r="D2461" s="29"/>
      <c r="E2461" s="29"/>
      <c r="F2461" s="29" t="s">
        <v>97</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hidden="1">
      <c r="A2462" s="134" t="s">
        <v>1059</v>
      </c>
      <c r="C2462" s="29">
        <v>135500113</v>
      </c>
      <c r="D2462" s="29"/>
      <c r="E2462" s="29"/>
      <c r="F2462" s="29" t="s">
        <v>97</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hidden="1">
      <c r="A2463" s="134" t="s">
        <v>1059</v>
      </c>
      <c r="C2463" s="29">
        <v>135500114</v>
      </c>
      <c r="D2463" s="29"/>
      <c r="E2463" s="29"/>
      <c r="F2463" s="29" t="s">
        <v>97</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hidden="1">
      <c r="A2464" s="134" t="s">
        <v>1059</v>
      </c>
      <c r="C2464" s="29">
        <v>135500115</v>
      </c>
      <c r="D2464" s="29"/>
      <c r="E2464" s="29"/>
      <c r="F2464" s="29" t="s">
        <v>97</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hidden="1">
      <c r="A2465" s="134" t="s">
        <v>1059</v>
      </c>
      <c r="C2465" s="29">
        <v>135500117</v>
      </c>
      <c r="D2465" s="29"/>
      <c r="E2465" s="29"/>
      <c r="F2465" s="29" t="s">
        <v>97</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hidden="1">
      <c r="A2466" s="134" t="s">
        <v>1059</v>
      </c>
      <c r="C2466" s="29">
        <v>135501075</v>
      </c>
      <c r="D2466" s="29"/>
      <c r="E2466" s="29"/>
      <c r="F2466" s="29" t="s">
        <v>97</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1056</v>
      </c>
      <c r="C2467" s="29">
        <v>135501040</v>
      </c>
      <c r="D2467" s="29"/>
      <c r="E2467" s="29"/>
      <c r="F2467" s="29" t="s">
        <v>97</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hidden="1">
      <c r="A2468" s="134" t="s">
        <v>1065</v>
      </c>
      <c r="C2468" s="29">
        <v>135500168</v>
      </c>
      <c r="D2468" s="29"/>
      <c r="E2468" s="29"/>
      <c r="F2468" s="29" t="s">
        <v>97</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hidden="1">
      <c r="A2469" s="134" t="s">
        <v>1065</v>
      </c>
      <c r="C2469" s="29">
        <v>135500194</v>
      </c>
      <c r="D2469" s="29"/>
      <c r="E2469" s="29"/>
      <c r="F2469" s="29" t="s">
        <v>97</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hidden="1">
      <c r="A2470" s="134" t="s">
        <v>1065</v>
      </c>
      <c r="C2470" s="29">
        <v>135500222</v>
      </c>
      <c r="D2470" s="29"/>
      <c r="E2470" s="29"/>
      <c r="F2470" s="29" t="s">
        <v>97</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hidden="1">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hidden="1">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hidden="1">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hidden="1">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hidden="1">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hidden="1">
      <c r="A2476" s="134" t="s">
        <v>1059</v>
      </c>
      <c r="C2476" s="29">
        <v>136500127</v>
      </c>
      <c r="D2476" s="29"/>
      <c r="E2476" s="29"/>
      <c r="F2476" s="29" t="s">
        <v>97</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hidden="1">
      <c r="A2477" s="134" t="s">
        <v>1059</v>
      </c>
      <c r="C2477" s="29">
        <v>136500128</v>
      </c>
      <c r="D2477" s="29"/>
      <c r="E2477" s="29"/>
      <c r="F2477" s="29" t="s">
        <v>97</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hidden="1">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hidden="1">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hidden="1">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hidden="1">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hidden="1">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hidden="1">
      <c r="A2483" s="134" t="s">
        <v>1058</v>
      </c>
      <c r="C2483" s="29">
        <v>143500081</v>
      </c>
      <c r="D2483" s="29"/>
      <c r="E2483" s="29"/>
      <c r="F2483" s="29" t="s">
        <v>97</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hidden="1">
      <c r="A2484" s="126" t="s">
        <v>1069</v>
      </c>
      <c r="B2484" s="126"/>
      <c r="C2484" s="29">
        <v>147501854</v>
      </c>
      <c r="D2484" s="29"/>
      <c r="E2484" s="29"/>
      <c r="F2484" s="29" t="s">
        <v>97</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hidden="1">
      <c r="A2485" s="126" t="s">
        <v>1069</v>
      </c>
      <c r="B2485" s="126"/>
      <c r="C2485" s="29">
        <v>147501858</v>
      </c>
      <c r="D2485" s="29"/>
      <c r="E2485" s="29"/>
      <c r="F2485" s="29" t="s">
        <v>97</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hidden="1">
      <c r="A2486" s="126" t="s">
        <v>1069</v>
      </c>
      <c r="B2486" s="126"/>
      <c r="C2486" s="29">
        <v>147500136</v>
      </c>
      <c r="D2486" s="29"/>
      <c r="E2486" s="29"/>
      <c r="F2486" s="29" t="s">
        <v>97</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hidden="1">
      <c r="A2487" s="126" t="s">
        <v>1069</v>
      </c>
      <c r="B2487" s="126"/>
      <c r="C2487" s="29">
        <v>147501832</v>
      </c>
      <c r="D2487" s="29"/>
      <c r="E2487" s="29"/>
      <c r="F2487" s="29" t="s">
        <v>97</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hidden="1">
      <c r="A2488" s="126" t="s">
        <v>1069</v>
      </c>
      <c r="B2488" s="126"/>
      <c r="C2488" s="29">
        <v>147501845</v>
      </c>
      <c r="D2488" s="29"/>
      <c r="E2488" s="29"/>
      <c r="F2488" s="29" t="s">
        <v>97</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hidden="1">
      <c r="A2489" s="126" t="s">
        <v>1069</v>
      </c>
      <c r="B2489" s="126"/>
      <c r="C2489" s="29">
        <v>147501867</v>
      </c>
      <c r="D2489" s="29"/>
      <c r="E2489" s="29"/>
      <c r="F2489" s="29" t="s">
        <v>97</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hidden="1">
      <c r="A2490" s="134" t="s">
        <v>1072</v>
      </c>
      <c r="C2490" s="29">
        <v>147502068</v>
      </c>
      <c r="D2490" s="29">
        <v>114500855</v>
      </c>
      <c r="E2490" s="29"/>
      <c r="F2490" s="29" t="s">
        <v>97</v>
      </c>
      <c r="G2490" s="29" t="s">
        <v>744</v>
      </c>
      <c r="H2490" s="29" t="s">
        <v>1076</v>
      </c>
      <c r="I2490" s="120">
        <v>45804</v>
      </c>
      <c r="J2490" s="120">
        <f>WORKDAY(I2490, 3)</f>
        <v>45807</v>
      </c>
      <c r="K2490" s="120">
        <v>45835</v>
      </c>
      <c r="L2490" s="120"/>
      <c r="M2490" s="120"/>
      <c r="N2490" s="120">
        <v>45805</v>
      </c>
      <c r="O2490" s="29" t="s">
        <v>884</v>
      </c>
      <c r="P2490" s="120"/>
      <c r="Q2490" s="156">
        <v>1000</v>
      </c>
    </row>
    <row r="2491" spans="1:18" hidden="1">
      <c r="A2491" s="134" t="s">
        <v>1072</v>
      </c>
      <c r="C2491" s="29">
        <v>147502082</v>
      </c>
      <c r="D2491" s="29">
        <v>114500883</v>
      </c>
      <c r="E2491" s="29"/>
      <c r="F2491" s="29" t="s">
        <v>97</v>
      </c>
      <c r="G2491" s="29" t="s">
        <v>744</v>
      </c>
      <c r="H2491" s="29" t="s">
        <v>1076</v>
      </c>
      <c r="I2491" s="120">
        <v>45804</v>
      </c>
      <c r="J2491" s="120">
        <f>WORKDAY(I2491, 3)</f>
        <v>45807</v>
      </c>
      <c r="K2491" s="120">
        <v>45835</v>
      </c>
      <c r="L2491" s="120"/>
      <c r="M2491" s="120"/>
      <c r="N2491" s="120">
        <v>45805</v>
      </c>
      <c r="O2491" s="29" t="s">
        <v>884</v>
      </c>
      <c r="P2491" s="120"/>
      <c r="Q2491" s="156">
        <v>300</v>
      </c>
    </row>
    <row r="2492" spans="1:18" hidden="1">
      <c r="A2492" s="134" t="s">
        <v>1072</v>
      </c>
      <c r="C2492" s="29">
        <v>147502092</v>
      </c>
      <c r="D2492" s="29">
        <v>114500780</v>
      </c>
      <c r="E2492" s="29"/>
      <c r="F2492" s="29" t="s">
        <v>97</v>
      </c>
      <c r="G2492" s="29" t="s">
        <v>744</v>
      </c>
      <c r="H2492" s="29" t="s">
        <v>1076</v>
      </c>
      <c r="I2492" s="120">
        <v>45804</v>
      </c>
      <c r="J2492" s="120">
        <f>WORKDAY(I2492, 3)</f>
        <v>45807</v>
      </c>
      <c r="K2492" s="120">
        <v>45835</v>
      </c>
      <c r="L2492" s="120"/>
      <c r="M2492" s="120"/>
      <c r="N2492" s="120">
        <v>45805</v>
      </c>
      <c r="O2492" s="29" t="s">
        <v>884</v>
      </c>
      <c r="P2492" s="120"/>
      <c r="Q2492" s="156">
        <v>1200</v>
      </c>
    </row>
    <row r="2493" spans="1:18" hidden="1">
      <c r="A2493" s="134" t="s">
        <v>1077</v>
      </c>
      <c r="C2493" s="29">
        <v>147501882</v>
      </c>
      <c r="D2493" s="29"/>
      <c r="E2493" s="29"/>
      <c r="F2493" s="29" t="s">
        <v>97</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hidden="1">
      <c r="A2494" s="134" t="s">
        <v>1077</v>
      </c>
      <c r="C2494" s="29">
        <v>147501897</v>
      </c>
      <c r="D2494" s="29"/>
      <c r="E2494" s="29"/>
      <c r="F2494" s="29" t="s">
        <v>97</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hidden="1">
      <c r="A2495" s="134" t="s">
        <v>1063</v>
      </c>
      <c r="C2495" s="29">
        <v>147502149</v>
      </c>
      <c r="D2495" s="29"/>
      <c r="E2495" s="29"/>
      <c r="F2495" s="29" t="s">
        <v>97</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hidden="1">
      <c r="A2496" s="134" t="s">
        <v>1063</v>
      </c>
      <c r="C2496" s="29">
        <v>147502165</v>
      </c>
      <c r="D2496" s="29"/>
      <c r="E2496" s="29"/>
      <c r="F2496" s="29" t="s">
        <v>97</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hidden="1">
      <c r="A2497" s="134" t="s">
        <v>1063</v>
      </c>
      <c r="C2497" s="29">
        <v>147502188</v>
      </c>
      <c r="D2497" s="29"/>
      <c r="E2497" s="29"/>
      <c r="F2497" s="29" t="s">
        <v>97</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hidden="1">
      <c r="A2498" s="134" t="s">
        <v>967</v>
      </c>
      <c r="C2498" s="29">
        <v>148504926</v>
      </c>
      <c r="D2498" s="29"/>
      <c r="E2498" s="29"/>
      <c r="F2498" s="29" t="s">
        <v>97</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967</v>
      </c>
      <c r="C2499" s="29">
        <v>148504943</v>
      </c>
      <c r="D2499" s="29"/>
      <c r="E2499" s="29"/>
      <c r="F2499" s="29" t="s">
        <v>97</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967</v>
      </c>
      <c r="C2500" s="29">
        <v>148504966</v>
      </c>
      <c r="D2500" s="29"/>
      <c r="E2500" s="29"/>
      <c r="F2500" s="29" t="s">
        <v>97</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967</v>
      </c>
      <c r="C2501" s="29">
        <v>148504989</v>
      </c>
      <c r="D2501" s="29"/>
      <c r="E2501" s="29"/>
      <c r="F2501" s="29" t="s">
        <v>97</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967</v>
      </c>
      <c r="C2502" s="29">
        <v>148505006</v>
      </c>
      <c r="D2502" s="29"/>
      <c r="E2502" s="29"/>
      <c r="F2502" s="29" t="s">
        <v>97</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967</v>
      </c>
      <c r="C2503" s="29">
        <v>148505029</v>
      </c>
      <c r="D2503" s="29"/>
      <c r="E2503" s="29"/>
      <c r="F2503" s="29" t="s">
        <v>97</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941</v>
      </c>
      <c r="C2504" s="29">
        <v>148502763</v>
      </c>
      <c r="D2504" s="29">
        <v>122501846</v>
      </c>
      <c r="E2504" s="29"/>
      <c r="F2504" s="29" t="s">
        <v>97</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941</v>
      </c>
      <c r="C2505" s="29">
        <v>148502778</v>
      </c>
      <c r="D2505" s="29">
        <v>122501868</v>
      </c>
      <c r="E2505" s="29"/>
      <c r="F2505" s="29" t="s">
        <v>97</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941</v>
      </c>
      <c r="C2506" s="29">
        <v>148502788</v>
      </c>
      <c r="D2506" s="29">
        <v>122501878</v>
      </c>
      <c r="E2506" s="29"/>
      <c r="F2506" s="29" t="s">
        <v>97</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981</v>
      </c>
      <c r="C2507" s="29">
        <v>148501570</v>
      </c>
      <c r="D2507" s="29"/>
      <c r="E2507" s="29"/>
      <c r="F2507" s="29" t="s">
        <v>97</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981</v>
      </c>
      <c r="C2508" s="29">
        <v>148501617</v>
      </c>
      <c r="D2508" s="29"/>
      <c r="E2508" s="29"/>
      <c r="F2508" s="29" t="s">
        <v>97</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981</v>
      </c>
      <c r="C2509" s="29">
        <v>148501633</v>
      </c>
      <c r="D2509" s="29"/>
      <c r="E2509" s="29"/>
      <c r="F2509" s="29" t="s">
        <v>97</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981</v>
      </c>
      <c r="C2510" s="29">
        <v>148501665</v>
      </c>
      <c r="D2510" s="29"/>
      <c r="E2510" s="29"/>
      <c r="F2510" s="29" t="s">
        <v>97</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981</v>
      </c>
      <c r="C2511" s="29">
        <v>148501680</v>
      </c>
      <c r="D2511" s="29"/>
      <c r="E2511" s="29"/>
      <c r="F2511" s="29" t="s">
        <v>97</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981</v>
      </c>
      <c r="C2512" s="29">
        <v>148501690</v>
      </c>
      <c r="D2512" s="29"/>
      <c r="E2512" s="29"/>
      <c r="F2512" s="29" t="s">
        <v>97</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1077</v>
      </c>
      <c r="C2513" s="29">
        <v>148500220</v>
      </c>
      <c r="D2513" s="29"/>
      <c r="E2513" s="29"/>
      <c r="F2513" s="29" t="s">
        <v>97</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981</v>
      </c>
      <c r="C2514" s="29">
        <v>150500061</v>
      </c>
      <c r="D2514" s="29">
        <v>128503239</v>
      </c>
      <c r="E2514" s="29"/>
      <c r="F2514" s="29" t="s">
        <v>97</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981</v>
      </c>
      <c r="C2515" s="29">
        <v>150500063</v>
      </c>
      <c r="D2515" s="29">
        <v>128503276</v>
      </c>
      <c r="E2515" s="29"/>
      <c r="F2515" s="29" t="s">
        <v>97</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981</v>
      </c>
      <c r="C2516" s="29">
        <v>150500064</v>
      </c>
      <c r="D2516" s="29">
        <v>129500085</v>
      </c>
      <c r="E2516" s="29"/>
      <c r="F2516" s="29" t="s">
        <v>97</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981</v>
      </c>
      <c r="C2517" s="29">
        <v>150500066</v>
      </c>
      <c r="D2517" s="29">
        <v>129500096</v>
      </c>
      <c r="E2517" s="29"/>
      <c r="F2517" s="29" t="s">
        <v>97</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905</v>
      </c>
      <c r="B2520" s="119"/>
      <c r="C2520" s="29">
        <v>154501496</v>
      </c>
      <c r="D2520" s="29">
        <v>122501912</v>
      </c>
      <c r="E2520" s="29"/>
      <c r="F2520" s="29" t="s">
        <v>97</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905</v>
      </c>
      <c r="B2521" s="119"/>
      <c r="C2521" s="29">
        <v>154501500</v>
      </c>
      <c r="D2521" s="29">
        <v>122501917</v>
      </c>
      <c r="E2521" s="29"/>
      <c r="F2521" s="29" t="s">
        <v>97</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905</v>
      </c>
      <c r="B2522" s="119"/>
      <c r="C2522" s="29">
        <v>154501505</v>
      </c>
      <c r="D2522" s="29">
        <v>122501923</v>
      </c>
      <c r="E2522" s="29"/>
      <c r="F2522" s="29" t="s">
        <v>97</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905</v>
      </c>
      <c r="B2523" s="119"/>
      <c r="C2523" s="29">
        <v>154501514</v>
      </c>
      <c r="D2523" s="29">
        <v>122501932</v>
      </c>
      <c r="E2523" s="29"/>
      <c r="F2523" s="29" t="s">
        <v>97</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905</v>
      </c>
      <c r="B2524" s="119"/>
      <c r="C2524" s="29">
        <v>154501525</v>
      </c>
      <c r="D2524" s="29">
        <v>122501943</v>
      </c>
      <c r="E2524" s="29"/>
      <c r="F2524" s="29" t="s">
        <v>97</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905</v>
      </c>
      <c r="B2525" s="119"/>
      <c r="C2525" s="29">
        <v>154501532</v>
      </c>
      <c r="D2525" s="29">
        <v>122501951</v>
      </c>
      <c r="E2525" s="29"/>
      <c r="F2525" s="29" t="s">
        <v>97</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1111</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1111</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1111</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967</v>
      </c>
      <c r="C2530" s="29">
        <v>162500139</v>
      </c>
      <c r="D2530" s="29"/>
      <c r="E2530" s="29"/>
      <c r="F2530" s="29" t="s">
        <v>97</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hidden="1">
      <c r="A2531" s="134" t="s">
        <v>967</v>
      </c>
      <c r="C2531" s="29">
        <v>162500145</v>
      </c>
      <c r="D2531" s="29"/>
      <c r="E2531" s="29"/>
      <c r="F2531" s="29" t="s">
        <v>97</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hidden="1">
      <c r="A2532" s="134" t="s">
        <v>967</v>
      </c>
      <c r="C2532" s="29">
        <v>162500147</v>
      </c>
      <c r="D2532" s="29"/>
      <c r="E2532" s="29"/>
      <c r="F2532" s="29" t="s">
        <v>97</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hidden="1">
      <c r="A2533" s="134" t="s">
        <v>967</v>
      </c>
      <c r="C2533" s="29">
        <v>162500149</v>
      </c>
      <c r="D2533" s="29"/>
      <c r="E2533" s="29"/>
      <c r="F2533" s="29" t="s">
        <v>97</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hidden="1">
      <c r="A2534" s="134" t="s">
        <v>967</v>
      </c>
      <c r="C2534" s="29">
        <v>162500153</v>
      </c>
      <c r="D2534" s="29"/>
      <c r="E2534" s="29"/>
      <c r="F2534" s="29" t="s">
        <v>97</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hidden="1">
      <c r="A2535" s="134" t="s">
        <v>967</v>
      </c>
      <c r="C2535" s="29">
        <v>162500155</v>
      </c>
      <c r="D2535" s="29"/>
      <c r="E2535" s="29"/>
      <c r="F2535" s="29" t="s">
        <v>97</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hidden="1">
      <c r="A2536" s="134" t="s">
        <v>1056</v>
      </c>
      <c r="C2536" s="29">
        <v>162500135</v>
      </c>
      <c r="D2536" s="29"/>
      <c r="E2536" s="29"/>
      <c r="F2536" s="29" t="s">
        <v>97</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hidden="1">
      <c r="A2537" s="134" t="s">
        <v>1072</v>
      </c>
      <c r="C2537" s="29" t="s">
        <v>1329</v>
      </c>
      <c r="D2537" s="29"/>
      <c r="E2537" s="29"/>
      <c r="F2537" s="29" t="s">
        <v>97</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1317</v>
      </c>
      <c r="C2538" s="29">
        <v>162500157</v>
      </c>
      <c r="D2538" s="29"/>
      <c r="E2538" s="29"/>
      <c r="F2538" s="29" t="s">
        <v>97</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hidden="1">
      <c r="A2539" s="134" t="s">
        <v>1061</v>
      </c>
      <c r="C2539" s="29">
        <v>164500087</v>
      </c>
      <c r="D2539" s="29">
        <v>136500095</v>
      </c>
      <c r="E2539" s="29"/>
      <c r="F2539" s="29" t="s">
        <v>97</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hidden="1">
      <c r="A2540" s="134" t="s">
        <v>1061</v>
      </c>
      <c r="C2540" s="29">
        <v>164500089</v>
      </c>
      <c r="D2540" s="29">
        <v>136500141</v>
      </c>
      <c r="E2540" s="29"/>
      <c r="F2540" s="29" t="s">
        <v>97</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hidden="1">
      <c r="A2541" s="134" t="s">
        <v>1061</v>
      </c>
      <c r="C2541" s="29">
        <v>164500092</v>
      </c>
      <c r="D2541" s="29">
        <v>136500142</v>
      </c>
      <c r="E2541" s="29"/>
      <c r="F2541" s="29" t="s">
        <v>97</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hidden="1">
      <c r="A2542" s="134" t="s">
        <v>1061</v>
      </c>
      <c r="C2542" s="29">
        <v>164500093</v>
      </c>
      <c r="D2542" s="29">
        <v>136500153</v>
      </c>
      <c r="E2542" s="29"/>
      <c r="F2542" s="29" t="s">
        <v>97</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hidden="1">
      <c r="A2543" s="134" t="s">
        <v>1061</v>
      </c>
      <c r="C2543" s="29">
        <v>164500095</v>
      </c>
      <c r="D2543" s="29">
        <v>136500155</v>
      </c>
      <c r="E2543" s="29"/>
      <c r="F2543" s="29" t="s">
        <v>97</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hidden="1">
      <c r="A2544" s="134" t="s">
        <v>1061</v>
      </c>
      <c r="C2544" s="29">
        <v>164500096</v>
      </c>
      <c r="D2544" s="29">
        <v>136500156</v>
      </c>
      <c r="E2544" s="29"/>
      <c r="F2544" s="29" t="s">
        <v>97</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hidden="1">
      <c r="A2545" s="134" t="s">
        <v>1061</v>
      </c>
      <c r="C2545" s="29">
        <v>164500097</v>
      </c>
      <c r="D2545" s="29">
        <v>136500159</v>
      </c>
      <c r="E2545" s="29"/>
      <c r="F2545" s="29" t="s">
        <v>97</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hidden="1">
      <c r="A2546" s="134" t="s">
        <v>1077</v>
      </c>
      <c r="C2546" s="29">
        <v>164500103</v>
      </c>
      <c r="D2546" s="29">
        <v>132500119</v>
      </c>
      <c r="E2546" s="29"/>
      <c r="F2546" s="29" t="s">
        <v>97</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hidden="1">
      <c r="A2547" s="134" t="s">
        <v>1077</v>
      </c>
      <c r="C2547" s="29">
        <v>164500115</v>
      </c>
      <c r="D2547" s="29">
        <v>132500128</v>
      </c>
      <c r="E2547" s="29"/>
      <c r="F2547" s="29" t="s">
        <v>97</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hidden="1">
      <c r="A2548" s="134" t="s">
        <v>1077</v>
      </c>
      <c r="C2548" s="29">
        <v>164500118</v>
      </c>
      <c r="D2548" s="29">
        <v>132500140</v>
      </c>
      <c r="E2548" s="29"/>
      <c r="F2548" s="29" t="s">
        <v>97</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hidden="1">
      <c r="A2549" s="134" t="s">
        <v>1077</v>
      </c>
      <c r="C2549" s="29">
        <v>164500124</v>
      </c>
      <c r="D2549" s="29">
        <v>132500147</v>
      </c>
      <c r="E2549" s="29"/>
      <c r="F2549" s="29" t="s">
        <v>97</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hidden="1">
      <c r="A2550" s="134" t="s">
        <v>1077</v>
      </c>
      <c r="C2550" s="29">
        <v>164500125</v>
      </c>
      <c r="D2550" s="29">
        <v>132500149</v>
      </c>
      <c r="E2550" s="29"/>
      <c r="F2550" s="29" t="s">
        <v>97</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hidden="1">
      <c r="A2551" s="134" t="s">
        <v>1063</v>
      </c>
      <c r="C2551" s="29">
        <v>164500099</v>
      </c>
      <c r="D2551" s="29">
        <v>136500101</v>
      </c>
      <c r="E2551" s="29"/>
      <c r="F2551" s="29" t="s">
        <v>97</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hidden="1">
      <c r="A2552" s="134" t="s">
        <v>1063</v>
      </c>
      <c r="C2552" s="29">
        <v>164500101</v>
      </c>
      <c r="D2552" s="29">
        <v>136500133</v>
      </c>
      <c r="E2552" s="29"/>
      <c r="F2552" s="29" t="s">
        <v>97</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hidden="1">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hidden="1">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hidden="1">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hidden="1">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hidden="1">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hidden="1">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hidden="1">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hidden="1">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hidden="1">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hidden="1">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hidden="1">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hidden="1">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hidden="1">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hidden="1">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hidden="1">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hidden="1">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hidden="1">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hidden="1">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hidden="1">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hidden="1">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hidden="1">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hidden="1">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hidden="1">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hidden="1">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hidden="1">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hidden="1">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hidden="1">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hidden="1">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hidden="1">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hidden="1">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hidden="1">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hidden="1">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hidden="1">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hidden="1">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hidden="1">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hidden="1">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hidden="1">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hidden="1">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hidden="1">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hidden="1">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hidden="1">
      <c r="A2595" s="119" t="s">
        <v>1255</v>
      </c>
      <c r="B2595" s="119"/>
      <c r="C2595" s="29">
        <v>171503657</v>
      </c>
      <c r="D2595" s="29">
        <v>140508816</v>
      </c>
      <c r="E2595" s="29"/>
      <c r="F2595" s="29" t="s">
        <v>97</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1255</v>
      </c>
      <c r="B2596" s="119"/>
      <c r="C2596" s="29">
        <v>171503668</v>
      </c>
      <c r="D2596" s="29">
        <v>140508838</v>
      </c>
      <c r="E2596" s="29"/>
      <c r="F2596" s="29" t="s">
        <v>97</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1255</v>
      </c>
      <c r="B2597" s="119"/>
      <c r="C2597" s="29">
        <v>171503705</v>
      </c>
      <c r="D2597" s="29">
        <v>140508817</v>
      </c>
      <c r="E2597" s="29"/>
      <c r="F2597" s="29" t="s">
        <v>97</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1255</v>
      </c>
      <c r="B2598" s="119"/>
      <c r="C2598" s="29">
        <v>171503712</v>
      </c>
      <c r="D2598" s="29">
        <v>140508818</v>
      </c>
      <c r="E2598" s="29"/>
      <c r="F2598" s="29" t="s">
        <v>97</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1255</v>
      </c>
      <c r="B2599" s="119"/>
      <c r="C2599" s="29">
        <v>171503722</v>
      </c>
      <c r="D2599" s="29">
        <v>140508821</v>
      </c>
      <c r="E2599" s="29"/>
      <c r="F2599" s="29" t="s">
        <v>97</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1255</v>
      </c>
      <c r="B2600" s="119"/>
      <c r="C2600" s="29">
        <v>171503732</v>
      </c>
      <c r="D2600" s="29">
        <v>140508819</v>
      </c>
      <c r="E2600" s="29"/>
      <c r="F2600" s="29" t="s">
        <v>97</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1255</v>
      </c>
      <c r="B2601" s="119"/>
      <c r="C2601" s="29">
        <v>171503742</v>
      </c>
      <c r="D2601" s="29">
        <v>140508822</v>
      </c>
      <c r="E2601" s="29"/>
      <c r="F2601" s="29" t="s">
        <v>97</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1255</v>
      </c>
      <c r="B2602" s="119"/>
      <c r="C2602" s="29">
        <v>171503746</v>
      </c>
      <c r="D2602" s="29">
        <v>140508823</v>
      </c>
      <c r="E2602" s="29"/>
      <c r="F2602" s="29" t="s">
        <v>97</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509</v>
      </c>
      <c r="C2603" s="29">
        <v>174500570</v>
      </c>
      <c r="D2603" s="29">
        <v>143506623</v>
      </c>
      <c r="E2603" s="29"/>
      <c r="F2603" s="29" t="s">
        <v>97</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509</v>
      </c>
      <c r="C2604" s="29">
        <v>174500619</v>
      </c>
      <c r="D2604" s="29">
        <v>143506624</v>
      </c>
      <c r="E2604" s="29"/>
      <c r="F2604" s="29" t="s">
        <v>97</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509</v>
      </c>
      <c r="C2605" s="29">
        <v>174500645</v>
      </c>
      <c r="D2605" s="29">
        <v>143506625</v>
      </c>
      <c r="E2605" s="29"/>
      <c r="F2605" s="29" t="s">
        <v>97</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509</v>
      </c>
      <c r="C2606" s="29">
        <v>174500653</v>
      </c>
      <c r="D2606" s="29">
        <v>143506626</v>
      </c>
      <c r="E2606" s="29"/>
      <c r="F2606" s="29" t="s">
        <v>97</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986</v>
      </c>
      <c r="C2607" s="29">
        <v>175501176</v>
      </c>
      <c r="D2607" s="29">
        <v>134509053</v>
      </c>
      <c r="E2607" s="29"/>
      <c r="F2607" s="29" t="s">
        <v>97</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986</v>
      </c>
      <c r="C2608" s="29">
        <v>175501182</v>
      </c>
      <c r="D2608" s="29">
        <v>134509054</v>
      </c>
      <c r="E2608" s="29"/>
      <c r="F2608" s="29" t="s">
        <v>97</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986</v>
      </c>
      <c r="C2609" s="29">
        <v>175501186</v>
      </c>
      <c r="D2609" s="29">
        <v>134509055</v>
      </c>
      <c r="E2609" s="29"/>
      <c r="F2609" s="29" t="s">
        <v>97</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986</v>
      </c>
      <c r="C2610" s="29">
        <v>175501191</v>
      </c>
      <c r="D2610" s="29">
        <v>134509056</v>
      </c>
      <c r="E2610" s="29"/>
      <c r="F2610" s="29" t="s">
        <v>97</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986</v>
      </c>
      <c r="C2611" s="29">
        <v>175501201</v>
      </c>
      <c r="D2611" s="29">
        <v>134509057</v>
      </c>
      <c r="E2611" s="29"/>
      <c r="F2611" s="29" t="s">
        <v>97</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986</v>
      </c>
      <c r="C2612" s="29">
        <v>175501205</v>
      </c>
      <c r="D2612" s="29">
        <v>134509058</v>
      </c>
      <c r="E2612" s="29"/>
      <c r="F2612" s="29" t="s">
        <v>97</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986</v>
      </c>
      <c r="C2613" s="29">
        <v>175501214</v>
      </c>
      <c r="D2613" s="29">
        <v>134509059</v>
      </c>
      <c r="E2613" s="29"/>
      <c r="F2613" s="29" t="s">
        <v>97</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986</v>
      </c>
      <c r="C2614" s="29">
        <v>175501219</v>
      </c>
      <c r="D2614" s="29">
        <v>134509060</v>
      </c>
      <c r="E2614" s="29"/>
      <c r="F2614" s="29" t="s">
        <v>97</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986</v>
      </c>
      <c r="C2615" s="29">
        <v>175501223</v>
      </c>
      <c r="D2615" s="29">
        <v>134509061</v>
      </c>
      <c r="E2615" s="29"/>
      <c r="F2615" s="29" t="s">
        <v>97</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986</v>
      </c>
      <c r="C2616" s="29">
        <v>175501232</v>
      </c>
      <c r="D2616" s="29">
        <v>134509062</v>
      </c>
      <c r="E2616" s="29"/>
      <c r="F2616" s="29" t="s">
        <v>97</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986</v>
      </c>
      <c r="C2617" s="29">
        <v>175501239</v>
      </c>
      <c r="D2617" s="29">
        <v>134509063</v>
      </c>
      <c r="E2617" s="29"/>
      <c r="F2617" s="29" t="s">
        <v>97</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941</v>
      </c>
      <c r="C2618" s="29">
        <v>174500436</v>
      </c>
      <c r="D2618" s="29">
        <v>148502763</v>
      </c>
      <c r="E2618" s="29"/>
      <c r="F2618" s="29" t="s">
        <v>97</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941</v>
      </c>
      <c r="C2619" s="29">
        <v>174500449</v>
      </c>
      <c r="D2619" s="29">
        <v>148502778</v>
      </c>
      <c r="E2619" s="29"/>
      <c r="F2619" s="29" t="s">
        <v>97</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941</v>
      </c>
      <c r="C2620" s="29">
        <v>174500453</v>
      </c>
      <c r="D2620" s="29">
        <v>148502788</v>
      </c>
      <c r="E2620" s="29"/>
      <c r="F2620" s="29" t="s">
        <v>97</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1064</v>
      </c>
      <c r="B2621" s="119"/>
      <c r="C2621" s="29">
        <v>175501083</v>
      </c>
      <c r="D2621" s="29">
        <v>135507443</v>
      </c>
      <c r="E2621" s="29"/>
      <c r="F2621" s="29" t="s">
        <v>97</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1064</v>
      </c>
      <c r="B2622" s="119"/>
      <c r="C2622" s="29">
        <v>175501090</v>
      </c>
      <c r="D2622" s="29">
        <v>129506652</v>
      </c>
      <c r="E2622" s="29"/>
      <c r="F2622" s="29" t="s">
        <v>97</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1064</v>
      </c>
      <c r="B2623" s="119"/>
      <c r="C2623" s="29">
        <v>175501102</v>
      </c>
      <c r="D2623" s="29">
        <v>135507444</v>
      </c>
      <c r="E2623" s="29"/>
      <c r="F2623" s="29" t="s">
        <v>97</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1064</v>
      </c>
      <c r="B2624" s="119"/>
      <c r="C2624" s="29">
        <v>175501107</v>
      </c>
      <c r="D2624" s="29">
        <v>135507446</v>
      </c>
      <c r="E2624" s="29"/>
      <c r="F2624" s="29" t="s">
        <v>97</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1064</v>
      </c>
      <c r="B2625" s="119"/>
      <c r="C2625" s="29">
        <v>175501115</v>
      </c>
      <c r="D2625" s="29">
        <v>129506655</v>
      </c>
      <c r="E2625" s="29"/>
      <c r="F2625" s="29" t="s">
        <v>97</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1064</v>
      </c>
      <c r="B2626" s="119"/>
      <c r="C2626" s="29">
        <v>175501119</v>
      </c>
      <c r="D2626" s="29">
        <v>135507447</v>
      </c>
      <c r="E2626" s="29"/>
      <c r="F2626" s="29" t="s">
        <v>97</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1064</v>
      </c>
      <c r="B2627" s="119"/>
      <c r="C2627" s="29">
        <v>175501122</v>
      </c>
      <c r="D2627" s="29">
        <v>135507449</v>
      </c>
      <c r="E2627" s="29"/>
      <c r="F2627" s="29" t="s">
        <v>97</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1064</v>
      </c>
      <c r="B2628" s="119"/>
      <c r="C2628" s="29">
        <v>175501136</v>
      </c>
      <c r="D2628" s="29">
        <v>135507448</v>
      </c>
      <c r="E2628" s="29"/>
      <c r="F2628" s="29" t="s">
        <v>97</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1064</v>
      </c>
      <c r="B2629" s="119"/>
      <c r="C2629" s="29">
        <v>175501159</v>
      </c>
      <c r="D2629" s="29">
        <v>135507451</v>
      </c>
      <c r="E2629" s="29"/>
      <c r="F2629" s="29" t="s">
        <v>97</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1064</v>
      </c>
      <c r="B2630" s="119"/>
      <c r="C2630" s="29">
        <v>175501166</v>
      </c>
      <c r="D2630" s="29">
        <v>129500811</v>
      </c>
      <c r="E2630" s="29"/>
      <c r="F2630" s="29" t="s">
        <v>97</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989</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989</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989</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989</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989</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989</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941</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941</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941</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905</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1256</v>
      </c>
      <c r="P2640" s="29"/>
      <c r="Q2640" s="156">
        <v>730</v>
      </c>
    </row>
    <row r="2641" spans="1:18" hidden="1">
      <c r="A2641" s="134" t="s">
        <v>905</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1256</v>
      </c>
      <c r="P2641" s="29"/>
      <c r="Q2641" s="156">
        <v>460</v>
      </c>
    </row>
    <row r="2642" spans="1:18" hidden="1">
      <c r="A2642" s="134" t="s">
        <v>1330</v>
      </c>
      <c r="C2642" s="29">
        <v>196500188</v>
      </c>
      <c r="D2642" s="29"/>
      <c r="E2642" s="29"/>
      <c r="F2642" s="29" t="s">
        <v>97</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1072</v>
      </c>
      <c r="C2643" s="29">
        <v>195504943</v>
      </c>
      <c r="D2643" s="29">
        <v>160500824</v>
      </c>
      <c r="E2643" s="29"/>
      <c r="F2643" s="29" t="s">
        <v>97</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hidden="1">
      <c r="A2644" s="134" t="s">
        <v>981</v>
      </c>
      <c r="C2644" s="29">
        <v>176503372</v>
      </c>
      <c r="D2644" s="29">
        <v>148501617</v>
      </c>
      <c r="E2644" s="29"/>
      <c r="F2644" s="29" t="s">
        <v>97</v>
      </c>
      <c r="G2644" s="29" t="s">
        <v>744</v>
      </c>
      <c r="H2644" s="29" t="s">
        <v>38</v>
      </c>
      <c r="I2644" s="120">
        <v>45833</v>
      </c>
      <c r="J2644" s="120">
        <f>WORKDAY(I2644, 3)</f>
        <v>45838</v>
      </c>
      <c r="K2644" s="120">
        <v>45863</v>
      </c>
      <c r="L2644" s="120"/>
      <c r="M2644" s="120"/>
      <c r="N2644" s="29"/>
      <c r="O2644" s="29" t="s">
        <v>1256</v>
      </c>
      <c r="P2644" s="29"/>
      <c r="Q2644" s="156">
        <v>900</v>
      </c>
    </row>
    <row r="2645" spans="1:18" hidden="1">
      <c r="A2645" s="134" t="s">
        <v>981</v>
      </c>
      <c r="C2645" s="29">
        <v>181502133</v>
      </c>
      <c r="D2645" s="29">
        <v>150500064</v>
      </c>
      <c r="E2645" s="29"/>
      <c r="F2645" s="29" t="s">
        <v>97</v>
      </c>
      <c r="G2645" s="29" t="s">
        <v>744</v>
      </c>
      <c r="H2645" s="29" t="s">
        <v>38</v>
      </c>
      <c r="I2645" s="120">
        <v>45838</v>
      </c>
      <c r="J2645" s="120">
        <f>WORKDAY(I2645, 3)</f>
        <v>45841</v>
      </c>
      <c r="K2645" s="120">
        <v>45868</v>
      </c>
      <c r="L2645" s="120"/>
      <c r="M2645" s="120"/>
      <c r="N2645" s="29"/>
      <c r="O2645" s="29" t="s">
        <v>1256</v>
      </c>
      <c r="P2645" s="29"/>
      <c r="Q2645" s="156">
        <v>560</v>
      </c>
    </row>
    <row r="2646" spans="1:18" hidden="1">
      <c r="A2646" s="134" t="s">
        <v>981</v>
      </c>
      <c r="C2646" s="29">
        <v>181502172</v>
      </c>
      <c r="D2646" s="29">
        <v>148501570</v>
      </c>
      <c r="E2646" s="29"/>
      <c r="F2646" s="29" t="s">
        <v>97</v>
      </c>
      <c r="G2646" s="29" t="s">
        <v>744</v>
      </c>
      <c r="H2646" s="29" t="s">
        <v>38</v>
      </c>
      <c r="I2646" s="120">
        <v>45838</v>
      </c>
      <c r="J2646" s="120">
        <f>WORKDAY(I2646, 3)</f>
        <v>45841</v>
      </c>
      <c r="K2646" s="120">
        <v>45868</v>
      </c>
      <c r="L2646" s="120"/>
      <c r="M2646" s="120"/>
      <c r="N2646" s="29"/>
      <c r="O2646" s="29" t="s">
        <v>1256</v>
      </c>
      <c r="P2646" s="29"/>
      <c r="Q2646" s="156">
        <v>300</v>
      </c>
    </row>
    <row r="2647" spans="1:18" hidden="1">
      <c r="A2647" s="134" t="s">
        <v>981</v>
      </c>
      <c r="C2647" s="29">
        <v>181502210</v>
      </c>
      <c r="D2647" s="29">
        <v>145501680</v>
      </c>
      <c r="E2647" s="29"/>
      <c r="F2647" s="29" t="s">
        <v>97</v>
      </c>
      <c r="G2647" s="29" t="s">
        <v>744</v>
      </c>
      <c r="H2647" s="29" t="s">
        <v>38</v>
      </c>
      <c r="I2647" s="120">
        <v>45838</v>
      </c>
      <c r="J2647" s="120">
        <f>WORKDAY(I2647, 3)</f>
        <v>45841</v>
      </c>
      <c r="K2647" s="120">
        <v>45868</v>
      </c>
      <c r="L2647" s="120"/>
      <c r="M2647" s="120"/>
      <c r="N2647" s="29"/>
      <c r="O2647" s="29" t="s">
        <v>1256</v>
      </c>
      <c r="P2647" s="29"/>
      <c r="Q2647" s="156">
        <v>700</v>
      </c>
    </row>
    <row r="2648" spans="1:18" hidden="1">
      <c r="A2648" s="134" t="s">
        <v>981</v>
      </c>
      <c r="C2648" s="29">
        <v>181502219</v>
      </c>
      <c r="D2648" s="29">
        <v>150500061</v>
      </c>
      <c r="E2648" s="29"/>
      <c r="F2648" s="29" t="s">
        <v>97</v>
      </c>
      <c r="G2648" s="29" t="s">
        <v>744</v>
      </c>
      <c r="H2648" s="29" t="s">
        <v>38</v>
      </c>
      <c r="I2648" s="120">
        <v>45838</v>
      </c>
      <c r="J2648" s="120">
        <f>WORKDAY(I2648, 3)</f>
        <v>45841</v>
      </c>
      <c r="K2648" s="120">
        <v>45868</v>
      </c>
      <c r="L2648" s="120"/>
      <c r="M2648" s="120"/>
      <c r="N2648" s="29"/>
      <c r="O2648" s="29" t="s">
        <v>1256</v>
      </c>
      <c r="P2648" s="29"/>
      <c r="Q2648" s="156">
        <v>400</v>
      </c>
    </row>
    <row r="2649" spans="1:18" hidden="1">
      <c r="A2649" s="134" t="s">
        <v>981</v>
      </c>
      <c r="C2649" s="29">
        <v>181502290</v>
      </c>
      <c r="D2649" s="29">
        <v>148501665</v>
      </c>
      <c r="E2649" s="29"/>
      <c r="F2649" s="29" t="s">
        <v>97</v>
      </c>
      <c r="G2649" s="29" t="s">
        <v>744</v>
      </c>
      <c r="H2649" s="29" t="s">
        <v>38</v>
      </c>
      <c r="I2649" s="120">
        <v>45838</v>
      </c>
      <c r="J2649" s="120">
        <f>WORKDAY(I2649, 3)</f>
        <v>45841</v>
      </c>
      <c r="K2649" s="120">
        <v>45868</v>
      </c>
      <c r="L2649" s="120"/>
      <c r="M2649" s="120"/>
      <c r="N2649" s="29"/>
      <c r="O2649" s="29" t="s">
        <v>1256</v>
      </c>
      <c r="P2649" s="29"/>
      <c r="Q2649" s="156">
        <v>320</v>
      </c>
    </row>
    <row r="2650" spans="1:18" hidden="1">
      <c r="A2650" s="134" t="s">
        <v>1058</v>
      </c>
      <c r="C2650" s="29">
        <v>182505805</v>
      </c>
      <c r="D2650" s="29"/>
      <c r="E2650" s="29"/>
      <c r="F2650" s="29" t="s">
        <v>97</v>
      </c>
      <c r="G2650" s="29" t="s">
        <v>744</v>
      </c>
      <c r="H2650" s="29" t="s">
        <v>38</v>
      </c>
      <c r="I2650" s="120">
        <v>45839</v>
      </c>
      <c r="J2650" s="120">
        <f>WORKDAY(I2650, 3)</f>
        <v>45842</v>
      </c>
      <c r="K2650" s="120">
        <v>45870</v>
      </c>
      <c r="L2650" s="120"/>
      <c r="M2650" s="120"/>
      <c r="N2650" s="29"/>
      <c r="O2650" s="29" t="s">
        <v>1256</v>
      </c>
      <c r="P2650" s="29"/>
      <c r="Q2650" s="156">
        <v>280</v>
      </c>
    </row>
    <row r="2651" spans="1:18" hidden="1">
      <c r="A2651" s="134" t="s">
        <v>1058</v>
      </c>
      <c r="C2651" s="29">
        <v>182505854</v>
      </c>
      <c r="D2651" s="29"/>
      <c r="E2651" s="29"/>
      <c r="F2651" s="29" t="s">
        <v>97</v>
      </c>
      <c r="G2651" s="29" t="s">
        <v>744</v>
      </c>
      <c r="H2651" s="29" t="s">
        <v>38</v>
      </c>
      <c r="I2651" s="120">
        <v>45839</v>
      </c>
      <c r="J2651" s="120">
        <f>WORKDAY(I2651, 3)</f>
        <v>45842</v>
      </c>
      <c r="K2651" s="120">
        <v>45870</v>
      </c>
      <c r="L2651" s="120"/>
      <c r="M2651" s="120"/>
      <c r="N2651" s="29"/>
      <c r="O2651" s="29" t="s">
        <v>1256</v>
      </c>
      <c r="P2651" s="29"/>
      <c r="Q2651" s="156">
        <v>220</v>
      </c>
    </row>
    <row r="2652" spans="1:18" hidden="1">
      <c r="A2652" s="134" t="s">
        <v>1058</v>
      </c>
      <c r="C2652" s="29">
        <v>182505887</v>
      </c>
      <c r="D2652" s="29"/>
      <c r="E2652" s="29"/>
      <c r="F2652" s="29" t="s">
        <v>97</v>
      </c>
      <c r="G2652" s="29" t="s">
        <v>744</v>
      </c>
      <c r="H2652" s="29" t="s">
        <v>38</v>
      </c>
      <c r="I2652" s="120">
        <v>45839</v>
      </c>
      <c r="J2652" s="120">
        <f>WORKDAY(I2652, 3)</f>
        <v>45842</v>
      </c>
      <c r="K2652" s="120">
        <v>45870</v>
      </c>
      <c r="L2652" s="120"/>
      <c r="M2652" s="120"/>
      <c r="N2652" s="29"/>
      <c r="O2652" s="29" t="s">
        <v>1256</v>
      </c>
      <c r="P2652" s="29"/>
      <c r="Q2652" s="156">
        <v>180</v>
      </c>
    </row>
    <row r="2653" spans="1:18" hidden="1">
      <c r="A2653" s="134" t="s">
        <v>1058</v>
      </c>
      <c r="C2653" s="29">
        <v>182505900</v>
      </c>
      <c r="D2653" s="29"/>
      <c r="E2653" s="29"/>
      <c r="F2653" s="29" t="s">
        <v>97</v>
      </c>
      <c r="G2653" s="29" t="s">
        <v>744</v>
      </c>
      <c r="H2653" s="29" t="s">
        <v>38</v>
      </c>
      <c r="I2653" s="120">
        <v>45839</v>
      </c>
      <c r="J2653" s="120">
        <f>WORKDAY(I2653, 3)</f>
        <v>45842</v>
      </c>
      <c r="K2653" s="120">
        <v>45870</v>
      </c>
      <c r="L2653" s="120"/>
      <c r="M2653" s="120"/>
      <c r="N2653" s="29"/>
      <c r="O2653" s="29" t="s">
        <v>1256</v>
      </c>
      <c r="P2653" s="29"/>
      <c r="Q2653" s="156">
        <v>170</v>
      </c>
    </row>
    <row r="2654" spans="1:18" hidden="1">
      <c r="A2654" s="134" t="s">
        <v>1058</v>
      </c>
      <c r="C2654" s="29">
        <v>182505946</v>
      </c>
      <c r="D2654" s="29"/>
      <c r="E2654" s="29"/>
      <c r="F2654" s="29" t="s">
        <v>97</v>
      </c>
      <c r="G2654" s="29" t="s">
        <v>744</v>
      </c>
      <c r="H2654" s="29" t="s">
        <v>38</v>
      </c>
      <c r="I2654" s="120">
        <v>45839</v>
      </c>
      <c r="J2654" s="120">
        <f>WORKDAY(I2654, 3)</f>
        <v>45842</v>
      </c>
      <c r="K2654" s="120">
        <v>45870</v>
      </c>
      <c r="L2654" s="120"/>
      <c r="M2654" s="120"/>
      <c r="N2654" s="29"/>
      <c r="O2654" s="29" t="s">
        <v>1256</v>
      </c>
      <c r="P2654" s="29"/>
      <c r="Q2654" s="156">
        <v>90</v>
      </c>
    </row>
    <row r="2655" spans="1:18" hidden="1">
      <c r="A2655" s="134" t="s">
        <v>1058</v>
      </c>
      <c r="C2655" s="29">
        <v>182505965</v>
      </c>
      <c r="D2655" s="29"/>
      <c r="E2655" s="29"/>
      <c r="F2655" s="29" t="s">
        <v>97</v>
      </c>
      <c r="G2655" s="29" t="s">
        <v>744</v>
      </c>
      <c r="H2655" s="29" t="s">
        <v>38</v>
      </c>
      <c r="I2655" s="120">
        <v>45839</v>
      </c>
      <c r="J2655" s="120">
        <f>WORKDAY(I2655, 3)</f>
        <v>45842</v>
      </c>
      <c r="K2655" s="120">
        <v>45870</v>
      </c>
      <c r="L2655" s="120"/>
      <c r="M2655" s="120"/>
      <c r="N2655" s="29"/>
      <c r="O2655" s="29" t="s">
        <v>1256</v>
      </c>
      <c r="P2655" s="29"/>
      <c r="Q2655" s="156">
        <v>350</v>
      </c>
    </row>
    <row r="2656" spans="1:18" hidden="1">
      <c r="A2656" s="134" t="s">
        <v>989</v>
      </c>
      <c r="C2656" s="29">
        <v>196500162</v>
      </c>
      <c r="D2656" s="29"/>
      <c r="E2656" s="29"/>
      <c r="F2656" s="29" t="s">
        <v>97</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1331</v>
      </c>
      <c r="C2657" s="29">
        <v>196501055</v>
      </c>
      <c r="D2657" s="29"/>
      <c r="E2657" s="29"/>
      <c r="F2657" s="29" t="s">
        <v>97</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1331</v>
      </c>
      <c r="C2658" s="29">
        <v>196501124</v>
      </c>
      <c r="D2658" s="29"/>
      <c r="E2658" s="29"/>
      <c r="F2658" s="29" t="s">
        <v>97</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1332</v>
      </c>
      <c r="C2659" s="29">
        <v>218501895</v>
      </c>
      <c r="D2659" s="29"/>
      <c r="E2659" s="29"/>
      <c r="F2659" s="29" t="s">
        <v>97</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1331</v>
      </c>
      <c r="C2660" s="29">
        <v>196501190</v>
      </c>
      <c r="D2660" s="29"/>
      <c r="E2660" s="29"/>
      <c r="F2660" s="29" t="s">
        <v>97</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1331</v>
      </c>
      <c r="C2661" s="29">
        <v>196501268</v>
      </c>
      <c r="D2661" s="29"/>
      <c r="E2661" s="29"/>
      <c r="F2661" s="29" t="s">
        <v>97</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312</v>
      </c>
      <c r="C2662" s="29">
        <v>198501371</v>
      </c>
      <c r="D2662" s="29"/>
      <c r="E2662" s="29"/>
      <c r="F2662" s="29" t="s">
        <v>97</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905</v>
      </c>
      <c r="B2663" s="119"/>
      <c r="C2663" s="29">
        <v>203504455</v>
      </c>
      <c r="D2663" s="29">
        <v>154501500</v>
      </c>
      <c r="E2663" s="29"/>
      <c r="F2663" s="29" t="s">
        <v>97</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hidden="1">
      <c r="A2664" s="119" t="s">
        <v>905</v>
      </c>
      <c r="B2664" s="119"/>
      <c r="C2664" s="29">
        <v>203504461</v>
      </c>
      <c r="D2664" s="29">
        <v>154501505</v>
      </c>
      <c r="E2664" s="29"/>
      <c r="F2664" s="29" t="s">
        <v>97</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hidden="1">
      <c r="A2665" s="119" t="s">
        <v>905</v>
      </c>
      <c r="B2665" s="119"/>
      <c r="C2665" s="29">
        <v>203504488</v>
      </c>
      <c r="D2665" s="29">
        <v>188501985</v>
      </c>
      <c r="E2665" s="29"/>
      <c r="F2665" s="29" t="s">
        <v>97</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509</v>
      </c>
      <c r="C2666" s="29">
        <v>203501474</v>
      </c>
      <c r="D2666" s="29">
        <v>174500570</v>
      </c>
      <c r="E2666" s="29"/>
      <c r="F2666" s="29" t="s">
        <v>97</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509</v>
      </c>
      <c r="C2667" s="29">
        <v>203501482</v>
      </c>
      <c r="D2667" s="29">
        <v>174500619</v>
      </c>
      <c r="E2667" s="29"/>
      <c r="F2667" s="29" t="s">
        <v>97</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509</v>
      </c>
      <c r="C2668" s="29">
        <v>203501493</v>
      </c>
      <c r="D2668" s="29">
        <v>174500645</v>
      </c>
      <c r="E2668" s="29"/>
      <c r="F2668" s="29" t="s">
        <v>97</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1255</v>
      </c>
      <c r="C2669" s="29">
        <v>203501511</v>
      </c>
      <c r="D2669" s="29">
        <v>171503657</v>
      </c>
      <c r="E2669" s="29"/>
      <c r="F2669" s="29" t="s">
        <v>97</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509</v>
      </c>
      <c r="C2670" s="29">
        <v>203501518</v>
      </c>
      <c r="D2670" s="29">
        <v>174500653</v>
      </c>
      <c r="E2670" s="29"/>
      <c r="F2670" s="29" t="s">
        <v>97</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1255</v>
      </c>
      <c r="C2671" s="29">
        <v>203501533</v>
      </c>
      <c r="D2671" s="29">
        <v>171503712</v>
      </c>
      <c r="E2671" s="29"/>
      <c r="F2671" s="29" t="s">
        <v>97</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1255</v>
      </c>
      <c r="C2672" s="29">
        <v>203501547</v>
      </c>
      <c r="D2672" s="29">
        <v>171503742</v>
      </c>
      <c r="E2672" s="29"/>
      <c r="F2672" s="29" t="s">
        <v>97</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1255</v>
      </c>
      <c r="C2673" s="29">
        <v>203501567</v>
      </c>
      <c r="D2673" s="29">
        <v>171503746</v>
      </c>
      <c r="E2673" s="29"/>
      <c r="F2673" s="29" t="s">
        <v>97</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1255</v>
      </c>
      <c r="C2674" s="29">
        <v>203501580</v>
      </c>
      <c r="D2674" s="29">
        <v>171503668</v>
      </c>
      <c r="E2674" s="29"/>
      <c r="F2674" s="29" t="s">
        <v>97</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1255</v>
      </c>
      <c r="C2675" s="29">
        <v>203501594</v>
      </c>
      <c r="D2675" s="29">
        <v>171503705</v>
      </c>
      <c r="E2675" s="29"/>
      <c r="F2675" s="29" t="s">
        <v>97</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1255</v>
      </c>
      <c r="C2676" s="29">
        <v>203501605</v>
      </c>
      <c r="D2676" s="29">
        <v>171503722</v>
      </c>
      <c r="E2676" s="29"/>
      <c r="F2676" s="29" t="s">
        <v>97</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1255</v>
      </c>
      <c r="C2677" s="29">
        <v>203501611</v>
      </c>
      <c r="D2677" s="29">
        <v>171503732</v>
      </c>
      <c r="E2677" s="29"/>
      <c r="F2677" s="29" t="s">
        <v>97</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986</v>
      </c>
      <c r="C2678" s="29">
        <v>203501618</v>
      </c>
      <c r="D2678" s="29">
        <v>175501223</v>
      </c>
      <c r="E2678" s="29"/>
      <c r="F2678" s="29" t="s">
        <v>97</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hidden="1">
      <c r="A2679" s="134" t="s">
        <v>986</v>
      </c>
      <c r="C2679" s="29">
        <v>203501631</v>
      </c>
      <c r="D2679" s="29">
        <v>175501191</v>
      </c>
      <c r="E2679" s="29"/>
      <c r="F2679" s="29" t="s">
        <v>97</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hidden="1">
      <c r="A2680" s="134" t="s">
        <v>986</v>
      </c>
      <c r="C2680" s="29">
        <v>203501638</v>
      </c>
      <c r="D2680" s="29">
        <v>175501201</v>
      </c>
      <c r="E2680" s="29"/>
      <c r="F2680" s="29" t="s">
        <v>97</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986</v>
      </c>
      <c r="C2681" s="29">
        <v>203501647</v>
      </c>
      <c r="D2681" s="29">
        <v>175501205</v>
      </c>
      <c r="E2681" s="29"/>
      <c r="F2681" s="29" t="s">
        <v>97</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hidden="1">
      <c r="A2682" s="134" t="s">
        <v>986</v>
      </c>
      <c r="C2682" s="29">
        <v>203501654</v>
      </c>
      <c r="D2682" s="29">
        <v>175501214</v>
      </c>
      <c r="E2682" s="29"/>
      <c r="F2682" s="29" t="s">
        <v>97</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hidden="1">
      <c r="A2683" s="134" t="s">
        <v>986</v>
      </c>
      <c r="C2683" s="29">
        <v>203501663</v>
      </c>
      <c r="D2683" s="29">
        <v>175501219</v>
      </c>
      <c r="E2683" s="29"/>
      <c r="F2683" s="29" t="s">
        <v>97</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hidden="1">
      <c r="A2684" s="134" t="s">
        <v>986</v>
      </c>
      <c r="C2684" s="29">
        <v>203501669</v>
      </c>
      <c r="D2684" s="29">
        <v>175501239</v>
      </c>
      <c r="E2684" s="29"/>
      <c r="F2684" s="29" t="s">
        <v>97</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hidden="1">
      <c r="A2685" s="134" t="s">
        <v>986</v>
      </c>
      <c r="C2685" s="29">
        <v>203501676</v>
      </c>
      <c r="D2685" s="29">
        <v>175501232</v>
      </c>
      <c r="E2685" s="29"/>
      <c r="F2685" s="29" t="s">
        <v>97</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1064</v>
      </c>
      <c r="B2686" s="119"/>
      <c r="C2686" s="29">
        <v>203502086</v>
      </c>
      <c r="D2686" s="29">
        <v>175501102</v>
      </c>
      <c r="E2686" s="29"/>
      <c r="F2686" s="29" t="s">
        <v>97</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1064</v>
      </c>
      <c r="B2687" s="119"/>
      <c r="C2687" s="29">
        <v>203502100</v>
      </c>
      <c r="D2687" s="29">
        <v>175501107</v>
      </c>
      <c r="E2687" s="29"/>
      <c r="F2687" s="29" t="s">
        <v>97</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1064</v>
      </c>
      <c r="B2688" s="119"/>
      <c r="C2688" s="29">
        <v>203502164</v>
      </c>
      <c r="D2688" s="29">
        <v>175501115</v>
      </c>
      <c r="E2688" s="29"/>
      <c r="F2688" s="29" t="s">
        <v>97</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1064</v>
      </c>
      <c r="B2689" s="119"/>
      <c r="C2689" s="29">
        <v>203502213</v>
      </c>
      <c r="D2689" s="29">
        <v>175501119</v>
      </c>
      <c r="E2689" s="29"/>
      <c r="F2689" s="29" t="s">
        <v>97</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1064</v>
      </c>
      <c r="B2690" s="119"/>
      <c r="C2690" s="29">
        <v>203502222</v>
      </c>
      <c r="D2690" s="29">
        <v>175501159</v>
      </c>
      <c r="E2690" s="29"/>
      <c r="F2690" s="29" t="s">
        <v>97</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1064</v>
      </c>
      <c r="B2691" s="119"/>
      <c r="C2691" s="29">
        <v>203502224</v>
      </c>
      <c r="D2691" s="29">
        <v>175501166</v>
      </c>
      <c r="E2691" s="29"/>
      <c r="F2691" s="29" t="s">
        <v>97</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941</v>
      </c>
      <c r="B2692" s="119"/>
      <c r="C2692" s="29">
        <v>205504490</v>
      </c>
      <c r="D2692" s="29"/>
      <c r="E2692" s="29"/>
      <c r="F2692" s="29" t="s">
        <v>97</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941</v>
      </c>
      <c r="B2693" s="119"/>
      <c r="C2693" s="29">
        <v>205504501</v>
      </c>
      <c r="D2693" s="29"/>
      <c r="E2693" s="29"/>
      <c r="F2693" s="29" t="s">
        <v>97</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941</v>
      </c>
      <c r="B2694" s="119"/>
      <c r="C2694" s="29">
        <v>205504506</v>
      </c>
      <c r="D2694" s="29"/>
      <c r="E2694" s="29"/>
      <c r="F2694" s="29" t="s">
        <v>97</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286</v>
      </c>
      <c r="C2695" s="29">
        <v>206503010</v>
      </c>
      <c r="D2695" s="29"/>
      <c r="E2695" s="29"/>
      <c r="F2695" s="29" t="s">
        <v>97</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1072</v>
      </c>
      <c r="C2696" s="29">
        <v>209506587</v>
      </c>
      <c r="D2696" s="29">
        <v>182501798</v>
      </c>
      <c r="E2696" s="29"/>
      <c r="F2696" s="29" t="s">
        <v>97</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1072</v>
      </c>
      <c r="C2697" s="29">
        <v>209506596</v>
      </c>
      <c r="D2697" s="29">
        <v>182501814</v>
      </c>
      <c r="E2697" s="29"/>
      <c r="F2697" s="29" t="s">
        <v>97</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1335</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1335</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1335</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1335</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1335</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1335</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1335</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1335</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1335</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hidden="1">
      <c r="A2707" s="134" t="s">
        <v>1335</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1335</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1335</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1337</v>
      </c>
      <c r="C2710" s="29">
        <v>247500357</v>
      </c>
      <c r="D2710" s="29"/>
      <c r="E2710" s="29"/>
      <c r="F2710" s="29" t="s">
        <v>97</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1338</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1338</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1338</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1338</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1338</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1338</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1338</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1338</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1338</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1338</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1338</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1338</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1338</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hidden="1">
      <c r="A2724" s="134" t="s">
        <v>1340</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1340</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1340</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1340</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1340</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1340</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1340</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1340</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1340</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1340</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1340</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1340</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1340</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1340</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1340</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1340</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1340</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1340</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1340</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1340</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358</v>
      </c>
      <c r="C2744" s="29">
        <v>220501746</v>
      </c>
      <c r="D2744" s="29"/>
      <c r="E2744" s="29"/>
      <c r="F2744" s="29" t="s">
        <v>97</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1341</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905</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905</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905</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1072</v>
      </c>
      <c r="C2749" s="29">
        <v>227501683</v>
      </c>
      <c r="D2749" s="29">
        <v>195504943</v>
      </c>
      <c r="E2749" s="29"/>
      <c r="F2749" s="29" t="s">
        <v>97</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1064</v>
      </c>
      <c r="B2750" s="119"/>
      <c r="C2750" s="29">
        <v>231500207</v>
      </c>
      <c r="D2750" s="29"/>
      <c r="E2750" s="29"/>
      <c r="F2750" s="29" t="s">
        <v>97</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1064</v>
      </c>
      <c r="B2751" s="119"/>
      <c r="C2751" s="29">
        <v>231500211</v>
      </c>
      <c r="D2751" s="29"/>
      <c r="E2751" s="29"/>
      <c r="F2751" s="29" t="s">
        <v>97</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1064</v>
      </c>
      <c r="B2752" s="119"/>
      <c r="C2752" s="29">
        <v>231500213</v>
      </c>
      <c r="D2752" s="29"/>
      <c r="E2752" s="29"/>
      <c r="F2752" s="29" t="s">
        <v>97</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981</v>
      </c>
      <c r="B2753" s="119"/>
      <c r="C2753" s="29">
        <v>231500216</v>
      </c>
      <c r="D2753" s="29"/>
      <c r="E2753" s="29"/>
      <c r="F2753" s="29" t="s">
        <v>97</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981</v>
      </c>
      <c r="B2754" s="119"/>
      <c r="C2754" s="29">
        <v>231500217</v>
      </c>
      <c r="D2754" s="29"/>
      <c r="E2754" s="29"/>
      <c r="F2754" s="29" t="s">
        <v>97</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981</v>
      </c>
      <c r="B2755" s="119"/>
      <c r="C2755" s="29">
        <v>233500103</v>
      </c>
      <c r="D2755" s="29"/>
      <c r="E2755" s="29"/>
      <c r="F2755" s="29" t="s">
        <v>97</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981</v>
      </c>
      <c r="B2756" s="119"/>
      <c r="C2756" s="29">
        <v>233500110</v>
      </c>
      <c r="D2756" s="29"/>
      <c r="E2756" s="29"/>
      <c r="F2756" s="29" t="s">
        <v>97</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981</v>
      </c>
      <c r="B2757" s="119"/>
      <c r="C2757" s="29">
        <v>233500115</v>
      </c>
      <c r="D2757" s="29"/>
      <c r="E2757" s="29"/>
      <c r="F2757" s="29" t="s">
        <v>97</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1342</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hidden="1">
      <c r="A2759" s="134" t="s">
        <v>1344</v>
      </c>
      <c r="C2759" s="29">
        <v>259500665</v>
      </c>
      <c r="D2759" s="29"/>
      <c r="E2759" s="29"/>
      <c r="F2759" s="29" t="s">
        <v>97</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1072</v>
      </c>
      <c r="C2760" s="29">
        <v>239500135</v>
      </c>
      <c r="D2760" s="29">
        <v>209506587</v>
      </c>
      <c r="E2760" s="29"/>
      <c r="F2760" s="29" t="s">
        <v>97</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1072</v>
      </c>
      <c r="C2761" s="29">
        <v>239500141</v>
      </c>
      <c r="D2761" s="29">
        <v>209506596</v>
      </c>
      <c r="E2761" s="29"/>
      <c r="F2761" s="29" t="s">
        <v>97</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hidden="1">
      <c r="A2763" s="134" t="s">
        <v>1338</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1338</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1338</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1338</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1338</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1338</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1347</v>
      </c>
      <c r="C2769" s="29">
        <v>241503946</v>
      </c>
      <c r="D2769" s="29"/>
      <c r="E2769" s="29"/>
      <c r="F2769" s="29" t="s">
        <v>97</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1347</v>
      </c>
      <c r="C2770" s="29">
        <v>251505878</v>
      </c>
      <c r="D2770" s="29"/>
      <c r="E2770" s="29"/>
      <c r="F2770" s="29" t="s">
        <v>97</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1347</v>
      </c>
      <c r="C2771" s="29">
        <v>251505869</v>
      </c>
      <c r="D2771" s="29"/>
      <c r="E2771" s="29"/>
      <c r="F2771" s="29" t="s">
        <v>97</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1347</v>
      </c>
      <c r="C2772" s="29">
        <v>251505886</v>
      </c>
      <c r="D2772" s="29"/>
      <c r="E2772" s="29"/>
      <c r="F2772" s="29" t="s">
        <v>97</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1347</v>
      </c>
      <c r="C2773" s="29">
        <v>247500241</v>
      </c>
      <c r="D2773" s="29"/>
      <c r="E2773" s="29"/>
      <c r="F2773" s="29" t="s">
        <v>97</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hidden="1">
      <c r="A2774" s="134" t="s">
        <v>1347</v>
      </c>
      <c r="C2774" s="29">
        <v>246500125</v>
      </c>
      <c r="D2774" s="29"/>
      <c r="E2774" s="29"/>
      <c r="F2774" s="29" t="s">
        <v>97</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1347</v>
      </c>
      <c r="C2775" s="29">
        <v>246500132</v>
      </c>
      <c r="D2775" s="29"/>
      <c r="E2775" s="29"/>
      <c r="F2775" s="29" t="s">
        <v>97</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1347</v>
      </c>
      <c r="C2776" s="29">
        <v>246500140</v>
      </c>
      <c r="D2776" s="29"/>
      <c r="E2776" s="29"/>
      <c r="F2776" s="29" t="s">
        <v>97</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1347</v>
      </c>
      <c r="C2777" s="29">
        <v>246500146</v>
      </c>
      <c r="D2777" s="29"/>
      <c r="E2777" s="29"/>
      <c r="F2777" s="29" t="s">
        <v>97</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1347</v>
      </c>
      <c r="C2778" s="29">
        <v>247500244</v>
      </c>
      <c r="D2778" s="29"/>
      <c r="E2778" s="29"/>
      <c r="F2778" s="29" t="s">
        <v>97</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1347</v>
      </c>
      <c r="C2779" s="29">
        <v>247500249</v>
      </c>
      <c r="D2779" s="29"/>
      <c r="E2779" s="29"/>
      <c r="F2779" s="29" t="s">
        <v>97</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1347</v>
      </c>
      <c r="C2780" s="29">
        <v>247500251</v>
      </c>
      <c r="D2780" s="29"/>
      <c r="E2780" s="29"/>
      <c r="F2780" s="29" t="s">
        <v>97</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1347</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1347</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1347</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1347</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1347</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1065</v>
      </c>
      <c r="C2786" s="29">
        <v>253501864</v>
      </c>
      <c r="D2786" s="29"/>
      <c r="E2786" s="29"/>
      <c r="F2786" s="29" t="s">
        <v>97</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hidden="1">
      <c r="A2787" s="119" t="s">
        <v>1349</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1349</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1059</v>
      </c>
      <c r="C2789" s="29">
        <v>255503021</v>
      </c>
      <c r="D2789" s="29"/>
      <c r="E2789" s="29"/>
      <c r="F2789" s="29" t="s">
        <v>97</v>
      </c>
      <c r="G2789" s="29" t="s">
        <v>744</v>
      </c>
      <c r="H2789" s="29" t="s">
        <v>38</v>
      </c>
      <c r="I2789" s="120">
        <v>45912</v>
      </c>
      <c r="J2789" s="120">
        <f>WORKDAY(I2789, 3)</f>
        <v>45917</v>
      </c>
      <c r="K2789" s="120">
        <v>45942</v>
      </c>
      <c r="L2789" s="120"/>
      <c r="M2789" s="120"/>
      <c r="N2789" s="29"/>
      <c r="O2789" s="29" t="s">
        <v>1350</v>
      </c>
      <c r="P2789" s="120"/>
      <c r="Q2789" s="156">
        <v>150</v>
      </c>
    </row>
    <row r="2790" spans="1:18" hidden="1">
      <c r="A2790" s="119" t="s">
        <v>1059</v>
      </c>
      <c r="B2790" s="119"/>
      <c r="C2790" s="29">
        <v>265500731</v>
      </c>
      <c r="D2790" s="29"/>
      <c r="E2790" s="29"/>
      <c r="F2790" s="29" t="s">
        <v>97</v>
      </c>
      <c r="G2790" s="29" t="s">
        <v>744</v>
      </c>
      <c r="H2790" s="29" t="s">
        <v>38</v>
      </c>
      <c r="I2790" s="120">
        <v>45922</v>
      </c>
      <c r="J2790" s="120">
        <f>WORKDAY(I2790, 3)</f>
        <v>45925</v>
      </c>
      <c r="K2790" s="120">
        <v>45952</v>
      </c>
      <c r="L2790" s="120"/>
      <c r="M2790" s="120"/>
      <c r="N2790" s="29"/>
      <c r="O2790" s="29" t="s">
        <v>1350</v>
      </c>
      <c r="P2790" s="120"/>
      <c r="Q2790" s="156">
        <v>200</v>
      </c>
    </row>
    <row r="2791" spans="1:18" hidden="1">
      <c r="A2791" s="134" t="s">
        <v>1065</v>
      </c>
      <c r="C2791" s="29">
        <v>253501751</v>
      </c>
      <c r="D2791" s="29"/>
      <c r="E2791" s="29"/>
      <c r="F2791" s="29" t="s">
        <v>97</v>
      </c>
      <c r="G2791" s="29" t="s">
        <v>744</v>
      </c>
      <c r="H2791" s="29" t="s">
        <v>38</v>
      </c>
      <c r="I2791" s="120">
        <v>45910</v>
      </c>
      <c r="J2791" s="120">
        <f>WORKDAY(I2791, 3)</f>
        <v>45915</v>
      </c>
      <c r="K2791" s="120">
        <v>45940</v>
      </c>
      <c r="L2791" s="120"/>
      <c r="M2791" s="120"/>
      <c r="N2791" s="29"/>
      <c r="O2791" s="29" t="s">
        <v>1350</v>
      </c>
      <c r="P2791" s="120"/>
      <c r="Q2791" s="156">
        <v>225</v>
      </c>
    </row>
    <row r="2792" spans="1:18" hidden="1">
      <c r="A2792" s="134" t="s">
        <v>1065</v>
      </c>
      <c r="C2792" s="29">
        <v>253501610</v>
      </c>
      <c r="D2792" s="29"/>
      <c r="E2792" s="29"/>
      <c r="F2792" s="29" t="s">
        <v>97</v>
      </c>
      <c r="G2792" s="29" t="s">
        <v>744</v>
      </c>
      <c r="H2792" s="29" t="s">
        <v>38</v>
      </c>
      <c r="I2792" s="120">
        <v>45910</v>
      </c>
      <c r="J2792" s="120">
        <f>WORKDAY(I2792, 3)</f>
        <v>45915</v>
      </c>
      <c r="K2792" s="120">
        <v>45940</v>
      </c>
      <c r="L2792" s="120"/>
      <c r="M2792" s="120"/>
      <c r="N2792" s="29"/>
      <c r="O2792" s="29" t="s">
        <v>1350</v>
      </c>
      <c r="P2792" s="120"/>
      <c r="Q2792" s="156">
        <v>300</v>
      </c>
    </row>
    <row r="2793" spans="1:18" hidden="1">
      <c r="A2793" s="134" t="s">
        <v>1058</v>
      </c>
      <c r="C2793" s="29">
        <v>253501982</v>
      </c>
      <c r="D2793" s="29"/>
      <c r="E2793" s="29"/>
      <c r="F2793" s="29" t="s">
        <v>97</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hidden="1">
      <c r="A2794" s="134" t="s">
        <v>1347</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hidden="1">
      <c r="A2795" s="134" t="s">
        <v>1347</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hidden="1">
      <c r="A2796" s="134" t="s">
        <v>1059</v>
      </c>
      <c r="C2796" s="29">
        <v>281500419</v>
      </c>
      <c r="F2796" s="29" t="s">
        <v>97</v>
      </c>
      <c r="G2796" s="29" t="s">
        <v>961</v>
      </c>
      <c r="H2796" s="29" t="s">
        <v>38</v>
      </c>
      <c r="I2796" s="120">
        <v>45938</v>
      </c>
      <c r="J2796" s="120">
        <f>WORKDAY(I2796, 3)</f>
        <v>45943</v>
      </c>
      <c r="K2796" s="120">
        <v>45969</v>
      </c>
      <c r="L2796" s="120"/>
      <c r="M2796" s="120"/>
      <c r="O2796" s="29" t="s">
        <v>1350</v>
      </c>
      <c r="P2796" s="120"/>
      <c r="Q2796" s="81">
        <v>200</v>
      </c>
    </row>
    <row r="2797" spans="1:18" hidden="1">
      <c r="A2797" s="134" t="s">
        <v>1058</v>
      </c>
      <c r="C2797" s="29">
        <v>275500416</v>
      </c>
      <c r="D2797" s="29"/>
      <c r="E2797" s="29"/>
      <c r="F2797" s="29" t="s">
        <v>97</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hidden="1">
      <c r="A2798" s="134" t="s">
        <v>1059</v>
      </c>
      <c r="C2798" s="29">
        <v>272502556</v>
      </c>
      <c r="D2798" s="29"/>
      <c r="E2798" s="29"/>
      <c r="F2798" s="29" t="s">
        <v>97</v>
      </c>
      <c r="G2798" s="29" t="s">
        <v>961</v>
      </c>
      <c r="H2798" s="29" t="s">
        <v>38</v>
      </c>
      <c r="I2798" s="120">
        <v>45929</v>
      </c>
      <c r="J2798" s="120">
        <f>WORKDAY(I2798, 3)</f>
        <v>45932</v>
      </c>
      <c r="K2798" s="120">
        <v>45960</v>
      </c>
      <c r="L2798" s="120"/>
      <c r="M2798" s="120"/>
      <c r="N2798" s="29"/>
      <c r="O2798" s="29" t="s">
        <v>1350</v>
      </c>
      <c r="P2798" s="120"/>
      <c r="Q2798" s="156">
        <v>70</v>
      </c>
    </row>
    <row r="2799" spans="1:18" hidden="1">
      <c r="A2799" s="134" t="s">
        <v>1353</v>
      </c>
      <c r="C2799" s="29">
        <v>260505820</v>
      </c>
      <c r="D2799" s="29"/>
      <c r="E2799" s="29"/>
      <c r="F2799" s="29" t="s">
        <v>97</v>
      </c>
      <c r="G2799" s="29" t="s">
        <v>744</v>
      </c>
      <c r="H2799" s="29" t="s">
        <v>38</v>
      </c>
      <c r="I2799" s="120">
        <v>45917</v>
      </c>
      <c r="J2799" s="120">
        <f>WORKDAY(I2799, 3)</f>
        <v>45922</v>
      </c>
      <c r="K2799" s="120">
        <v>45947</v>
      </c>
      <c r="L2799" s="120"/>
      <c r="M2799" s="120"/>
      <c r="N2799" s="29"/>
      <c r="O2799" s="29" t="s">
        <v>884</v>
      </c>
      <c r="P2799" s="29"/>
      <c r="Q2799" s="156">
        <v>150</v>
      </c>
    </row>
    <row r="2800" spans="1:18" hidden="1">
      <c r="A2800" s="134" t="s">
        <v>1353</v>
      </c>
      <c r="C2800" s="29">
        <v>260505920</v>
      </c>
      <c r="D2800" s="29"/>
      <c r="E2800" s="29"/>
      <c r="F2800" s="29" t="s">
        <v>97</v>
      </c>
      <c r="G2800" s="29" t="s">
        <v>744</v>
      </c>
      <c r="H2800" s="29" t="s">
        <v>38</v>
      </c>
      <c r="I2800" s="120">
        <v>45917</v>
      </c>
      <c r="J2800" s="120">
        <f>WORKDAY(I2800, 3)</f>
        <v>45922</v>
      </c>
      <c r="K2800" s="120">
        <v>45947</v>
      </c>
      <c r="L2800" s="120"/>
      <c r="M2800" s="120"/>
      <c r="N2800" s="29"/>
      <c r="O2800" s="29" t="s">
        <v>884</v>
      </c>
      <c r="P2800" s="29"/>
      <c r="Q2800" s="156">
        <v>400</v>
      </c>
    </row>
    <row r="2801" spans="1:18" hidden="1">
      <c r="A2801" s="134" t="s">
        <v>1353</v>
      </c>
      <c r="C2801" s="29">
        <v>260505975</v>
      </c>
      <c r="D2801" s="29"/>
      <c r="E2801" s="29"/>
      <c r="F2801" s="29" t="s">
        <v>97</v>
      </c>
      <c r="G2801" s="29" t="s">
        <v>744</v>
      </c>
      <c r="H2801" s="29" t="s">
        <v>38</v>
      </c>
      <c r="I2801" s="120">
        <v>45917</v>
      </c>
      <c r="J2801" s="120">
        <f>WORKDAY(I2801, 3)</f>
        <v>45922</v>
      </c>
      <c r="K2801" s="120">
        <v>45947</v>
      </c>
      <c r="L2801" s="120"/>
      <c r="M2801" s="120"/>
      <c r="N2801" s="29"/>
      <c r="O2801" s="29" t="s">
        <v>884</v>
      </c>
      <c r="P2801" s="29"/>
      <c r="Q2801" s="156">
        <v>75</v>
      </c>
    </row>
    <row r="2802" spans="1:18" hidden="1">
      <c r="A2802" s="134" t="s">
        <v>1353</v>
      </c>
      <c r="C2802" s="29">
        <v>260506029</v>
      </c>
      <c r="D2802" s="29"/>
      <c r="E2802" s="29"/>
      <c r="F2802" s="29" t="s">
        <v>97</v>
      </c>
      <c r="G2802" s="29" t="s">
        <v>744</v>
      </c>
      <c r="H2802" s="29" t="s">
        <v>38</v>
      </c>
      <c r="I2802" s="120">
        <v>45917</v>
      </c>
      <c r="J2802" s="120">
        <f>WORKDAY(I2802, 3)</f>
        <v>45922</v>
      </c>
      <c r="K2802" s="120">
        <v>45947</v>
      </c>
      <c r="L2802" s="120"/>
      <c r="M2802" s="120"/>
      <c r="N2802" s="29"/>
      <c r="O2802" s="29" t="s">
        <v>884</v>
      </c>
      <c r="P2802" s="29"/>
      <c r="Q2802" s="156">
        <v>460</v>
      </c>
    </row>
    <row r="2803" spans="1:18" hidden="1">
      <c r="A2803" s="134" t="s">
        <v>1353</v>
      </c>
      <c r="C2803" s="29">
        <v>260506075</v>
      </c>
      <c r="D2803" s="29"/>
      <c r="E2803" s="29"/>
      <c r="F2803" s="29" t="s">
        <v>97</v>
      </c>
      <c r="G2803" s="29" t="s">
        <v>744</v>
      </c>
      <c r="H2803" s="29" t="s">
        <v>38</v>
      </c>
      <c r="I2803" s="120">
        <v>45917</v>
      </c>
      <c r="J2803" s="120">
        <f>WORKDAY(I2803, 3)</f>
        <v>45922</v>
      </c>
      <c r="K2803" s="120">
        <v>45947</v>
      </c>
      <c r="L2803" s="120"/>
      <c r="M2803" s="120"/>
      <c r="N2803" s="29"/>
      <c r="O2803" s="29" t="s">
        <v>884</v>
      </c>
      <c r="P2803" s="29"/>
      <c r="Q2803" s="156">
        <v>60</v>
      </c>
    </row>
    <row r="2804" spans="1:18" hidden="1">
      <c r="A2804" s="134" t="s">
        <v>1353</v>
      </c>
      <c r="C2804" s="29">
        <v>260506162</v>
      </c>
      <c r="D2804" s="29"/>
      <c r="E2804" s="29"/>
      <c r="F2804" s="29" t="s">
        <v>97</v>
      </c>
      <c r="G2804" s="29" t="s">
        <v>744</v>
      </c>
      <c r="H2804" s="29" t="s">
        <v>38</v>
      </c>
      <c r="I2804" s="120">
        <v>45917</v>
      </c>
      <c r="J2804" s="120">
        <f>WORKDAY(I2804, 3)</f>
        <v>45922</v>
      </c>
      <c r="K2804" s="120">
        <v>45947</v>
      </c>
      <c r="L2804" s="120"/>
      <c r="M2804" s="120"/>
      <c r="N2804" s="29"/>
      <c r="O2804" s="29" t="s">
        <v>884</v>
      </c>
      <c r="P2804" s="29"/>
      <c r="Q2804" s="156">
        <v>440</v>
      </c>
    </row>
    <row r="2805" spans="1:18" hidden="1">
      <c r="A2805" s="134" t="s">
        <v>1353</v>
      </c>
      <c r="C2805" s="29">
        <v>261500148</v>
      </c>
      <c r="D2805" s="29"/>
      <c r="E2805" s="29"/>
      <c r="F2805" s="29" t="s">
        <v>97</v>
      </c>
      <c r="G2805" s="29" t="s">
        <v>744</v>
      </c>
      <c r="H2805" s="29" t="s">
        <v>38</v>
      </c>
      <c r="I2805" s="120">
        <v>45918</v>
      </c>
      <c r="J2805" s="120">
        <f>WORKDAY(I2805, 3)</f>
        <v>45923</v>
      </c>
      <c r="K2805" s="120">
        <v>45948</v>
      </c>
      <c r="L2805" s="120"/>
      <c r="M2805" s="120"/>
      <c r="N2805" s="29"/>
      <c r="O2805" s="29" t="s">
        <v>884</v>
      </c>
      <c r="P2805" s="29"/>
      <c r="Q2805" s="156">
        <v>75</v>
      </c>
    </row>
    <row r="2806" spans="1:18" hidden="1">
      <c r="A2806" s="134" t="s">
        <v>1353</v>
      </c>
      <c r="C2806" s="29">
        <v>261500153</v>
      </c>
      <c r="D2806" s="29"/>
      <c r="E2806" s="29"/>
      <c r="F2806" s="29" t="s">
        <v>97</v>
      </c>
      <c r="G2806" s="29" t="s">
        <v>744</v>
      </c>
      <c r="H2806" s="29" t="s">
        <v>38</v>
      </c>
      <c r="I2806" s="120">
        <v>45918</v>
      </c>
      <c r="J2806" s="120">
        <f>WORKDAY(I2806, 3)</f>
        <v>45923</v>
      </c>
      <c r="K2806" s="120">
        <v>45948</v>
      </c>
      <c r="L2806" s="120"/>
      <c r="M2806" s="120"/>
      <c r="N2806" s="29"/>
      <c r="O2806" s="29" t="s">
        <v>884</v>
      </c>
      <c r="P2806" s="29"/>
      <c r="Q2806" s="156">
        <v>95</v>
      </c>
    </row>
    <row r="2807" spans="1:18" hidden="1">
      <c r="A2807" s="134" t="s">
        <v>1353</v>
      </c>
      <c r="C2807" s="29">
        <v>261500157</v>
      </c>
      <c r="D2807" s="29"/>
      <c r="E2807" s="29"/>
      <c r="F2807" s="29" t="s">
        <v>97</v>
      </c>
      <c r="G2807" s="29" t="s">
        <v>744</v>
      </c>
      <c r="H2807" s="29" t="s">
        <v>38</v>
      </c>
      <c r="I2807" s="120">
        <v>45918</v>
      </c>
      <c r="J2807" s="120">
        <f>WORKDAY(I2807, 3)</f>
        <v>45923</v>
      </c>
      <c r="K2807" s="120">
        <v>45948</v>
      </c>
      <c r="L2807" s="120"/>
      <c r="M2807" s="120"/>
      <c r="N2807" s="29"/>
      <c r="O2807" s="29" t="s">
        <v>884</v>
      </c>
      <c r="P2807" s="29"/>
      <c r="Q2807" s="156" t="s">
        <v>1354</v>
      </c>
    </row>
    <row r="2808" spans="1:18" hidden="1">
      <c r="A2808" s="134" t="s">
        <v>1353</v>
      </c>
      <c r="C2808" s="29">
        <v>261500166</v>
      </c>
      <c r="D2808" s="29"/>
      <c r="E2808" s="29"/>
      <c r="F2808" s="29" t="s">
        <v>97</v>
      </c>
      <c r="G2808" s="29" t="s">
        <v>744</v>
      </c>
      <c r="H2808" s="29" t="s">
        <v>38</v>
      </c>
      <c r="I2808" s="120">
        <v>45918</v>
      </c>
      <c r="J2808" s="120">
        <f>WORKDAY(I2808, 3)</f>
        <v>45923</v>
      </c>
      <c r="K2808" s="120">
        <v>45948</v>
      </c>
      <c r="L2808" s="120"/>
      <c r="M2808" s="120"/>
      <c r="N2808" s="29"/>
      <c r="O2808" s="29" t="s">
        <v>884</v>
      </c>
      <c r="P2808" s="29"/>
      <c r="Q2808" s="156">
        <v>100</v>
      </c>
    </row>
    <row r="2809" spans="1:18" hidden="1">
      <c r="A2809" s="134" t="s">
        <v>1353</v>
      </c>
      <c r="C2809" s="29">
        <v>264500172</v>
      </c>
      <c r="D2809" s="29"/>
      <c r="E2809" s="29"/>
      <c r="F2809" s="29" t="s">
        <v>97</v>
      </c>
      <c r="G2809" s="29" t="s">
        <v>744</v>
      </c>
      <c r="H2809" s="29" t="s">
        <v>38</v>
      </c>
      <c r="I2809" s="120">
        <v>45918</v>
      </c>
      <c r="J2809" s="120">
        <f>WORKDAY(I2809, 3)</f>
        <v>45923</v>
      </c>
      <c r="K2809" s="120">
        <v>45948</v>
      </c>
      <c r="L2809" s="120"/>
      <c r="M2809" s="120"/>
      <c r="N2809" s="29"/>
      <c r="O2809" s="29" t="s">
        <v>884</v>
      </c>
      <c r="P2809" s="29"/>
      <c r="Q2809" s="156">
        <v>200</v>
      </c>
    </row>
    <row r="2810" spans="1:18" hidden="1">
      <c r="A2810" s="134" t="s">
        <v>1353</v>
      </c>
      <c r="C2810" s="29">
        <v>261500181</v>
      </c>
      <c r="D2810" s="29"/>
      <c r="E2810" s="29"/>
      <c r="F2810" s="29" t="s">
        <v>97</v>
      </c>
      <c r="G2810" s="29" t="s">
        <v>744</v>
      </c>
      <c r="H2810" s="29" t="s">
        <v>38</v>
      </c>
      <c r="I2810" s="120">
        <v>45918</v>
      </c>
      <c r="J2810" s="120">
        <f>WORKDAY(I2810, 3)</f>
        <v>45923</v>
      </c>
      <c r="K2810" s="120">
        <v>45948</v>
      </c>
      <c r="L2810" s="120"/>
      <c r="M2810" s="120"/>
      <c r="N2810" s="29"/>
      <c r="O2810" s="29" t="s">
        <v>884</v>
      </c>
      <c r="P2810" s="29"/>
      <c r="Q2810" s="156">
        <v>350</v>
      </c>
    </row>
    <row r="2811" spans="1:18" hidden="1">
      <c r="A2811" s="134" t="s">
        <v>1353</v>
      </c>
      <c r="C2811" s="29">
        <v>261500186</v>
      </c>
      <c r="D2811" s="29"/>
      <c r="E2811" s="29"/>
      <c r="F2811" s="29" t="s">
        <v>97</v>
      </c>
      <c r="G2811" s="29" t="s">
        <v>744</v>
      </c>
      <c r="H2811" s="29" t="s">
        <v>38</v>
      </c>
      <c r="I2811" s="120">
        <v>45918</v>
      </c>
      <c r="J2811" s="120">
        <f>WORKDAY(I2811, 3)</f>
        <v>45923</v>
      </c>
      <c r="K2811" s="120">
        <v>45948</v>
      </c>
      <c r="L2811" s="120"/>
      <c r="M2811" s="120"/>
      <c r="N2811" s="29"/>
      <c r="O2811" s="29" t="s">
        <v>884</v>
      </c>
      <c r="P2811" s="29"/>
      <c r="Q2811" s="156">
        <v>165</v>
      </c>
    </row>
    <row r="2812" spans="1:18" hidden="1">
      <c r="A2812" s="134" t="s">
        <v>1353</v>
      </c>
      <c r="C2812" s="29">
        <v>261500195</v>
      </c>
      <c r="D2812" s="29"/>
      <c r="E2812" s="29"/>
      <c r="F2812" s="29" t="s">
        <v>97</v>
      </c>
      <c r="G2812" s="29" t="s">
        <v>744</v>
      </c>
      <c r="H2812" s="29" t="s">
        <v>38</v>
      </c>
      <c r="I2812" s="120">
        <v>45918</v>
      </c>
      <c r="J2812" s="120">
        <f>WORKDAY(I2812, 3)</f>
        <v>45923</v>
      </c>
      <c r="K2812" s="120">
        <v>45948</v>
      </c>
      <c r="L2812" s="120"/>
      <c r="M2812" s="120"/>
      <c r="N2812" s="29"/>
      <c r="O2812" s="29" t="s">
        <v>884</v>
      </c>
      <c r="P2812" s="29"/>
      <c r="Q2812" s="156">
        <v>300</v>
      </c>
    </row>
    <row r="2813" spans="1:18" hidden="1">
      <c r="A2813" s="134" t="s">
        <v>1065</v>
      </c>
      <c r="C2813" s="29">
        <v>273505320</v>
      </c>
      <c r="D2813" s="29"/>
      <c r="E2813" s="29"/>
      <c r="F2813" s="29" t="s">
        <v>97</v>
      </c>
      <c r="G2813" s="29" t="s">
        <v>961</v>
      </c>
      <c r="H2813" s="29" t="s">
        <v>38</v>
      </c>
      <c r="I2813" s="120">
        <v>45930</v>
      </c>
      <c r="J2813" s="120">
        <f>WORKDAY(I2813, 3)</f>
        <v>45933</v>
      </c>
      <c r="K2813" s="120">
        <v>45960</v>
      </c>
      <c r="L2813" s="120"/>
      <c r="M2813" s="120"/>
      <c r="N2813" s="29"/>
      <c r="O2813" s="29" t="s">
        <v>1094</v>
      </c>
      <c r="P2813" s="120"/>
      <c r="Q2813" s="156">
        <v>400</v>
      </c>
    </row>
    <row r="2814" spans="1:18" hidden="1">
      <c r="A2814" s="134" t="s">
        <v>1058</v>
      </c>
      <c r="C2814" s="29">
        <v>259502173</v>
      </c>
      <c r="D2814" s="29"/>
      <c r="E2814" s="29"/>
      <c r="F2814" s="29" t="s">
        <v>97</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hidden="1">
      <c r="A2815" s="134" t="s">
        <v>1065</v>
      </c>
      <c r="C2815" s="29">
        <v>253501656</v>
      </c>
      <c r="D2815" s="29"/>
      <c r="E2815" s="29"/>
      <c r="F2815" s="29" t="s">
        <v>97</v>
      </c>
      <c r="G2815" s="29" t="s">
        <v>744</v>
      </c>
      <c r="H2815" s="29" t="s">
        <v>38</v>
      </c>
      <c r="I2815" s="120">
        <v>45910</v>
      </c>
      <c r="J2815" s="120">
        <f>WORKDAY(I2815, 3)</f>
        <v>45915</v>
      </c>
      <c r="K2815" s="120">
        <v>45940</v>
      </c>
      <c r="L2815" s="120"/>
      <c r="M2815" s="120"/>
      <c r="N2815" s="29"/>
      <c r="O2815" s="29" t="s">
        <v>1094</v>
      </c>
      <c r="P2815" s="120"/>
      <c r="Q2815" s="156">
        <v>300</v>
      </c>
    </row>
    <row r="2816" spans="1:18" hidden="1">
      <c r="A2816" s="134" t="s">
        <v>1065</v>
      </c>
      <c r="C2816" s="29">
        <v>253501725</v>
      </c>
      <c r="D2816" s="29"/>
      <c r="E2816" s="29"/>
      <c r="F2816" s="29" t="s">
        <v>97</v>
      </c>
      <c r="G2816" s="29" t="s">
        <v>744</v>
      </c>
      <c r="H2816" s="29" t="s">
        <v>38</v>
      </c>
      <c r="I2816" s="120">
        <v>45910</v>
      </c>
      <c r="J2816" s="120">
        <f>WORKDAY(I2816, 3)</f>
        <v>45915</v>
      </c>
      <c r="K2816" s="120">
        <v>45940</v>
      </c>
      <c r="L2816" s="120"/>
      <c r="M2816" s="120"/>
      <c r="N2816" s="29"/>
      <c r="O2816" s="29" t="s">
        <v>1094</v>
      </c>
      <c r="P2816" s="120"/>
      <c r="Q2816" s="156">
        <v>50</v>
      </c>
    </row>
    <row r="2817" spans="1:18" hidden="1">
      <c r="A2817" s="134" t="s">
        <v>1065</v>
      </c>
      <c r="C2817" s="29">
        <v>253501777</v>
      </c>
      <c r="D2817" s="29"/>
      <c r="E2817" s="29"/>
      <c r="F2817" s="29" t="s">
        <v>97</v>
      </c>
      <c r="G2817" s="29" t="s">
        <v>744</v>
      </c>
      <c r="H2817" s="29" t="s">
        <v>38</v>
      </c>
      <c r="I2817" s="120">
        <v>45910</v>
      </c>
      <c r="J2817" s="120">
        <f>WORKDAY(I2817, 3)</f>
        <v>45915</v>
      </c>
      <c r="K2817" s="120">
        <v>45940</v>
      </c>
      <c r="L2817" s="120"/>
      <c r="M2817" s="120"/>
      <c r="N2817" s="29"/>
      <c r="O2817" s="29" t="s">
        <v>1094</v>
      </c>
      <c r="P2817" s="120"/>
      <c r="Q2817" s="156">
        <v>200</v>
      </c>
    </row>
    <row r="2818" spans="1:18" hidden="1">
      <c r="A2818" s="134" t="s">
        <v>1065</v>
      </c>
      <c r="C2818" s="29">
        <v>253501818</v>
      </c>
      <c r="D2818" s="29"/>
      <c r="E2818" s="29"/>
      <c r="F2818" s="29" t="s">
        <v>97</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hidden="1">
      <c r="A2819" s="134" t="s">
        <v>1058</v>
      </c>
      <c r="C2819" s="29">
        <v>253502011</v>
      </c>
      <c r="D2819" s="29"/>
      <c r="E2819" s="29"/>
      <c r="F2819" s="29" t="s">
        <v>97</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1058</v>
      </c>
      <c r="C2820" s="29">
        <v>253501948</v>
      </c>
      <c r="D2820" s="29"/>
      <c r="E2820" s="29"/>
      <c r="F2820" s="29" t="s">
        <v>97</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hidden="1">
      <c r="A2821" s="134" t="s">
        <v>1058</v>
      </c>
      <c r="C2821" s="29">
        <v>253502155</v>
      </c>
      <c r="D2821" s="29"/>
      <c r="E2821" s="29"/>
      <c r="F2821" s="29" t="s">
        <v>97</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hidden="1">
      <c r="A2822" s="134" t="s">
        <v>1058</v>
      </c>
      <c r="C2822" s="29">
        <v>253502207</v>
      </c>
      <c r="D2822" s="29"/>
      <c r="E2822" s="29"/>
      <c r="F2822" s="29" t="s">
        <v>97</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hidden="1">
      <c r="A2823" s="134" t="s">
        <v>1077</v>
      </c>
      <c r="C2823" s="29">
        <v>302502897</v>
      </c>
      <c r="D2823" s="29"/>
      <c r="E2823" s="29"/>
      <c r="F2823" s="29" t="s">
        <v>97</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hidden="1">
      <c r="A2824" s="134" t="s">
        <v>1077</v>
      </c>
      <c r="C2824" s="29">
        <v>302503060</v>
      </c>
      <c r="D2824" s="29"/>
      <c r="E2824" s="29"/>
      <c r="F2824" s="29" t="s">
        <v>97</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hidden="1">
      <c r="A2825" s="134" t="s">
        <v>1077</v>
      </c>
      <c r="C2825" s="29">
        <v>302503097</v>
      </c>
      <c r="D2825" s="29"/>
      <c r="E2825" s="29"/>
      <c r="F2825" s="29" t="s">
        <v>97</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hidden="1">
      <c r="A2826" s="134" t="s">
        <v>1077</v>
      </c>
      <c r="C2826" s="29">
        <v>302503164</v>
      </c>
      <c r="D2826" s="29"/>
      <c r="E2826" s="29"/>
      <c r="F2826" s="29" t="s">
        <v>97</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hidden="1">
      <c r="A2827" s="134" t="s">
        <v>1077</v>
      </c>
      <c r="C2827" s="29">
        <v>302503187</v>
      </c>
      <c r="D2827" s="29"/>
      <c r="E2827" s="29"/>
      <c r="F2827" s="29" t="s">
        <v>97</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hidden="1">
      <c r="A2828" s="134" t="s">
        <v>1063</v>
      </c>
      <c r="C2828" s="29">
        <v>276500061</v>
      </c>
      <c r="D2828" s="29"/>
      <c r="E2828" s="29"/>
      <c r="F2828" s="29" t="s">
        <v>97</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hidden="1">
      <c r="A2829" s="134" t="s">
        <v>1063</v>
      </c>
      <c r="C2829" s="29">
        <v>276500063</v>
      </c>
      <c r="D2829" s="29"/>
      <c r="E2829" s="29"/>
      <c r="F2829" s="29" t="s">
        <v>97</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hidden="1">
      <c r="A2830" s="134" t="s">
        <v>1063</v>
      </c>
      <c r="C2830" s="29">
        <v>276500065</v>
      </c>
      <c r="D2830" s="29"/>
      <c r="E2830" s="29"/>
      <c r="F2830" s="29" t="s">
        <v>97</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hidden="1">
      <c r="A2831" s="134" t="s">
        <v>1063</v>
      </c>
      <c r="C2831" s="29">
        <v>276500068</v>
      </c>
      <c r="D2831" s="29"/>
      <c r="E2831" s="29"/>
      <c r="F2831" s="29" t="s">
        <v>97</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hidden="1">
      <c r="A2832" s="134" t="s">
        <v>1063</v>
      </c>
      <c r="C2832" s="29">
        <v>275500103</v>
      </c>
      <c r="D2832" s="29"/>
      <c r="E2832" s="29"/>
      <c r="F2832" s="29" t="s">
        <v>97</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hidden="1">
      <c r="A2833" s="134" t="s">
        <v>1063</v>
      </c>
      <c r="C2833" s="29">
        <v>275500114</v>
      </c>
      <c r="D2833" s="29"/>
      <c r="E2833" s="29"/>
      <c r="F2833" s="29" t="s">
        <v>97</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hidden="1">
      <c r="A2834" s="134" t="s">
        <v>1063</v>
      </c>
      <c r="C2834" s="29">
        <v>275500118</v>
      </c>
      <c r="D2834" s="29"/>
      <c r="E2834" s="29"/>
      <c r="F2834" s="29" t="s">
        <v>97</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hidden="1">
      <c r="A2835" s="134" t="s">
        <v>1063</v>
      </c>
      <c r="C2835" s="29">
        <v>275500126</v>
      </c>
      <c r="D2835" s="29"/>
      <c r="E2835" s="29"/>
      <c r="F2835" s="29" t="s">
        <v>97</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hidden="1">
      <c r="A2836" s="134" t="s">
        <v>1063</v>
      </c>
      <c r="C2836" s="29">
        <v>275500138</v>
      </c>
      <c r="D2836" s="29"/>
      <c r="E2836" s="29"/>
      <c r="F2836" s="29" t="s">
        <v>97</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hidden="1">
      <c r="A2837" s="134" t="s">
        <v>1063</v>
      </c>
      <c r="C2837" s="29">
        <v>274502929</v>
      </c>
      <c r="D2837" s="29"/>
      <c r="E2837" s="29"/>
      <c r="F2837" s="29" t="s">
        <v>97</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hidden="1">
      <c r="A2838" s="134" t="s">
        <v>1063</v>
      </c>
      <c r="C2838" s="29">
        <v>274502951</v>
      </c>
      <c r="D2838" s="29"/>
      <c r="E2838" s="29"/>
      <c r="F2838" s="29" t="s">
        <v>97</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hidden="1">
      <c r="A2839" s="134" t="s">
        <v>1063</v>
      </c>
      <c r="C2839" s="29">
        <v>274502989</v>
      </c>
      <c r="D2839" s="29"/>
      <c r="E2839" s="29"/>
      <c r="F2839" s="29" t="s">
        <v>97</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hidden="1">
      <c r="A2840" s="134" t="s">
        <v>1063</v>
      </c>
      <c r="C2840" s="29">
        <v>274503046</v>
      </c>
      <c r="D2840" s="29"/>
      <c r="E2840" s="29"/>
      <c r="F2840" s="29" t="s">
        <v>97</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hidden="1">
      <c r="A2841" s="134" t="s">
        <v>1063</v>
      </c>
      <c r="C2841" s="29">
        <v>274503083</v>
      </c>
      <c r="D2841" s="29"/>
      <c r="E2841" s="29"/>
      <c r="F2841" s="29" t="s">
        <v>97</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hidden="1">
      <c r="A2842" s="134" t="s">
        <v>1063</v>
      </c>
      <c r="C2842" s="29">
        <v>274503166</v>
      </c>
      <c r="D2842" s="29"/>
      <c r="E2842" s="29"/>
      <c r="F2842" s="29" t="s">
        <v>97</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hidden="1">
      <c r="A2843" s="134" t="s">
        <v>981</v>
      </c>
      <c r="C2843" s="29">
        <v>272502446</v>
      </c>
      <c r="D2843" s="29"/>
      <c r="E2843" s="29"/>
      <c r="F2843" s="29" t="s">
        <v>97</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hidden="1">
      <c r="A2844" s="134" t="s">
        <v>1059</v>
      </c>
      <c r="C2844" s="29">
        <v>281500450</v>
      </c>
      <c r="D2844" s="29"/>
      <c r="E2844" s="29"/>
      <c r="F2844" s="29" t="s">
        <v>97</v>
      </c>
      <c r="G2844" s="29" t="s">
        <v>961</v>
      </c>
      <c r="H2844" s="29" t="s">
        <v>38</v>
      </c>
      <c r="I2844" s="120">
        <v>45938</v>
      </c>
      <c r="J2844" s="120">
        <f>WORKDAY(I2844, 3)</f>
        <v>45943</v>
      </c>
      <c r="K2844" s="120">
        <v>45969</v>
      </c>
      <c r="L2844" s="120"/>
      <c r="M2844" s="120"/>
      <c r="O2844" s="29" t="s">
        <v>884</v>
      </c>
      <c r="P2844" s="120"/>
      <c r="Q2844" s="156">
        <v>600</v>
      </c>
      <c r="R2844" s="134" t="s">
        <v>1358</v>
      </c>
    </row>
    <row r="2845" spans="1:18" hidden="1">
      <c r="A2845" s="134" t="s">
        <v>1065</v>
      </c>
      <c r="C2845" s="29">
        <v>286505216</v>
      </c>
      <c r="D2845" s="29"/>
      <c r="E2845" s="29"/>
      <c r="F2845" s="29" t="s">
        <v>97</v>
      </c>
      <c r="G2845" s="29" t="s">
        <v>961</v>
      </c>
      <c r="H2845" s="29" t="s">
        <v>38</v>
      </c>
      <c r="I2845" s="120">
        <v>45943</v>
      </c>
      <c r="J2845" s="120">
        <f>WORKDAY(I2845, 3)</f>
        <v>45946</v>
      </c>
      <c r="K2845" s="29"/>
      <c r="L2845" s="29"/>
      <c r="M2845" s="29"/>
      <c r="N2845" s="29"/>
      <c r="O2845" s="29" t="s">
        <v>884</v>
      </c>
      <c r="P2845" s="120"/>
      <c r="Q2845" s="156"/>
      <c r="R2845" s="134" t="s">
        <v>1358</v>
      </c>
    </row>
    <row r="2846" spans="1:18" hidden="1">
      <c r="A2846" s="134" t="s">
        <v>1065</v>
      </c>
      <c r="C2846" s="29">
        <v>286505225</v>
      </c>
      <c r="D2846" s="29"/>
      <c r="E2846" s="29"/>
      <c r="F2846" s="29" t="s">
        <v>97</v>
      </c>
      <c r="G2846" s="29" t="s">
        <v>961</v>
      </c>
      <c r="H2846" s="29" t="s">
        <v>38</v>
      </c>
      <c r="I2846" s="120">
        <v>45943</v>
      </c>
      <c r="J2846" s="120">
        <f>WORKDAY(I2846, 3)</f>
        <v>45946</v>
      </c>
      <c r="K2846" s="29"/>
      <c r="L2846" s="29"/>
      <c r="M2846" s="29"/>
      <c r="N2846" s="29"/>
      <c r="O2846" s="29" t="s">
        <v>884</v>
      </c>
      <c r="P2846" s="120"/>
      <c r="Q2846" s="156"/>
      <c r="R2846" s="134" t="s">
        <v>1358</v>
      </c>
    </row>
    <row r="2847" spans="1:18" hidden="1">
      <c r="A2847" s="134" t="s">
        <v>1065</v>
      </c>
      <c r="C2847" s="29">
        <v>286505248</v>
      </c>
      <c r="D2847" s="29"/>
      <c r="E2847" s="29"/>
      <c r="F2847" s="29" t="s">
        <v>97</v>
      </c>
      <c r="G2847" s="29" t="s">
        <v>961</v>
      </c>
      <c r="H2847" s="29" t="s">
        <v>38</v>
      </c>
      <c r="I2847" s="120">
        <v>45943</v>
      </c>
      <c r="J2847" s="120">
        <f>WORKDAY(I2847, 3)</f>
        <v>45946</v>
      </c>
      <c r="K2847" s="29"/>
      <c r="L2847" s="29"/>
      <c r="M2847" s="29"/>
      <c r="N2847" s="29"/>
      <c r="O2847" s="29" t="s">
        <v>884</v>
      </c>
      <c r="P2847" s="120"/>
      <c r="Q2847" s="156"/>
      <c r="R2847" s="134" t="s">
        <v>1358</v>
      </c>
    </row>
    <row r="2848" spans="1:18" hidden="1">
      <c r="A2848" s="134" t="s">
        <v>1058</v>
      </c>
      <c r="C2848" s="29">
        <v>286505198</v>
      </c>
      <c r="D2848" s="29"/>
      <c r="E2848" s="29"/>
      <c r="F2848" s="29" t="s">
        <v>97</v>
      </c>
      <c r="G2848" s="29" t="s">
        <v>961</v>
      </c>
      <c r="H2848" s="29" t="s">
        <v>38</v>
      </c>
      <c r="I2848" s="120">
        <v>45943</v>
      </c>
      <c r="J2848" s="120">
        <f>WORKDAY(I2848, 3)</f>
        <v>45946</v>
      </c>
      <c r="K2848" s="29"/>
      <c r="L2848" s="29"/>
      <c r="M2848" s="29"/>
      <c r="N2848" s="29"/>
      <c r="O2848" s="29" t="s">
        <v>884</v>
      </c>
      <c r="P2848" s="120"/>
      <c r="Q2848" s="156"/>
      <c r="R2848" s="134" t="s">
        <v>1358</v>
      </c>
    </row>
    <row r="2849" spans="1:18" hidden="1">
      <c r="A2849" s="134" t="s">
        <v>1359</v>
      </c>
      <c r="C2849" s="29">
        <v>282501403</v>
      </c>
      <c r="D2849" s="29"/>
      <c r="E2849" s="29"/>
      <c r="F2849" s="29" t="s">
        <v>97</v>
      </c>
      <c r="G2849" s="29" t="s">
        <v>961</v>
      </c>
      <c r="H2849" s="29" t="s">
        <v>38</v>
      </c>
      <c r="I2849" s="120">
        <v>45939</v>
      </c>
      <c r="J2849" s="120">
        <f>WORKDAY(I2849, 3)</f>
        <v>45944</v>
      </c>
      <c r="K2849" s="120">
        <v>45970</v>
      </c>
      <c r="L2849" s="120"/>
      <c r="M2849" s="120"/>
      <c r="N2849" s="29"/>
      <c r="O2849" s="29" t="s">
        <v>884</v>
      </c>
      <c r="P2849" s="120"/>
      <c r="Q2849" s="156"/>
      <c r="R2849" s="162"/>
    </row>
    <row r="2850" spans="1:18" hidden="1">
      <c r="A2850" s="134" t="s">
        <v>1359</v>
      </c>
      <c r="C2850" s="29">
        <v>282501411</v>
      </c>
      <c r="D2850" s="29"/>
      <c r="E2850" s="29"/>
      <c r="F2850" s="29" t="s">
        <v>97</v>
      </c>
      <c r="G2850" s="29" t="s">
        <v>961</v>
      </c>
      <c r="H2850" s="29" t="s">
        <v>38</v>
      </c>
      <c r="I2850" s="120">
        <v>45939</v>
      </c>
      <c r="J2850" s="120">
        <f>WORKDAY(I2850, 3)</f>
        <v>45944</v>
      </c>
      <c r="K2850" s="120">
        <v>45970</v>
      </c>
      <c r="L2850" s="120"/>
      <c r="M2850" s="120"/>
      <c r="N2850" s="29"/>
      <c r="O2850" s="29" t="s">
        <v>884</v>
      </c>
      <c r="P2850" s="120"/>
      <c r="Q2850" s="156"/>
      <c r="R2850" s="162"/>
    </row>
    <row r="2851" spans="1:18" hidden="1">
      <c r="A2851" s="134" t="s">
        <v>1359</v>
      </c>
      <c r="C2851" s="29">
        <v>282501422</v>
      </c>
      <c r="D2851" s="29"/>
      <c r="E2851" s="29"/>
      <c r="F2851" s="29" t="s">
        <v>97</v>
      </c>
      <c r="G2851" s="29" t="s">
        <v>961</v>
      </c>
      <c r="H2851" s="29" t="s">
        <v>38</v>
      </c>
      <c r="I2851" s="120">
        <v>45939</v>
      </c>
      <c r="J2851" s="120">
        <f>WORKDAY(I2851, 3)</f>
        <v>45944</v>
      </c>
      <c r="K2851" s="120">
        <v>45970</v>
      </c>
      <c r="L2851" s="120"/>
      <c r="M2851" s="120"/>
      <c r="N2851" s="29"/>
      <c r="O2851" s="29" t="s">
        <v>884</v>
      </c>
      <c r="P2851" s="120"/>
      <c r="Q2851" s="156"/>
      <c r="R2851" s="162"/>
    </row>
    <row r="2852" spans="1:18" hidden="1">
      <c r="A2852" s="134" t="s">
        <v>1359</v>
      </c>
      <c r="C2852" s="29">
        <v>282501433</v>
      </c>
      <c r="D2852" s="29"/>
      <c r="E2852" s="29"/>
      <c r="F2852" s="29" t="s">
        <v>97</v>
      </c>
      <c r="G2852" s="29" t="s">
        <v>961</v>
      </c>
      <c r="H2852" s="29" t="s">
        <v>38</v>
      </c>
      <c r="I2852" s="120">
        <v>45939</v>
      </c>
      <c r="J2852" s="120">
        <f>WORKDAY(I2852, 3)</f>
        <v>45944</v>
      </c>
      <c r="K2852" s="120">
        <v>45970</v>
      </c>
      <c r="L2852" s="120"/>
      <c r="M2852" s="120"/>
      <c r="N2852" s="29"/>
      <c r="O2852" s="29" t="s">
        <v>884</v>
      </c>
      <c r="P2852" s="120"/>
      <c r="Q2852" s="156"/>
      <c r="R2852" s="162"/>
    </row>
    <row r="2853" spans="1:18" hidden="1">
      <c r="A2853" s="134" t="s">
        <v>1359</v>
      </c>
      <c r="C2853" s="29">
        <v>282501441</v>
      </c>
      <c r="D2853" s="29"/>
      <c r="E2853" s="29"/>
      <c r="F2853" s="29" t="s">
        <v>97</v>
      </c>
      <c r="G2853" s="29" t="s">
        <v>961</v>
      </c>
      <c r="H2853" s="29" t="s">
        <v>38</v>
      </c>
      <c r="I2853" s="120">
        <v>45939</v>
      </c>
      <c r="J2853" s="120">
        <f>WORKDAY(I2853, 3)</f>
        <v>45944</v>
      </c>
      <c r="K2853" s="120">
        <v>45970</v>
      </c>
      <c r="L2853" s="120"/>
      <c r="M2853" s="120"/>
      <c r="N2853" s="29"/>
      <c r="O2853" s="29" t="s">
        <v>884</v>
      </c>
      <c r="P2853" s="120"/>
      <c r="Q2853" s="156"/>
      <c r="R2853" s="162"/>
    </row>
    <row r="2854" spans="1:18" hidden="1">
      <c r="A2854" s="134" t="s">
        <v>1359</v>
      </c>
      <c r="C2854" s="29">
        <v>282501458</v>
      </c>
      <c r="D2854" s="29"/>
      <c r="E2854" s="29"/>
      <c r="F2854" s="29" t="s">
        <v>97</v>
      </c>
      <c r="G2854" s="29" t="s">
        <v>961</v>
      </c>
      <c r="H2854" s="29" t="s">
        <v>38</v>
      </c>
      <c r="I2854" s="120">
        <v>45939</v>
      </c>
      <c r="J2854" s="120">
        <f>WORKDAY(I2854, 3)</f>
        <v>45944</v>
      </c>
      <c r="K2854" s="120">
        <v>45970</v>
      </c>
      <c r="L2854" s="120"/>
      <c r="M2854" s="120"/>
      <c r="N2854" s="29"/>
      <c r="O2854" s="29" t="s">
        <v>884</v>
      </c>
      <c r="P2854" s="120"/>
      <c r="Q2854" s="156"/>
      <c r="R2854" s="162"/>
    </row>
    <row r="2855" spans="1:18" hidden="1">
      <c r="A2855" s="134" t="s">
        <v>1359</v>
      </c>
      <c r="C2855" s="29">
        <v>282501464</v>
      </c>
      <c r="D2855" s="29"/>
      <c r="E2855" s="29"/>
      <c r="F2855" s="29" t="s">
        <v>97</v>
      </c>
      <c r="G2855" s="29" t="s">
        <v>961</v>
      </c>
      <c r="H2855" s="29" t="s">
        <v>38</v>
      </c>
      <c r="I2855" s="120">
        <v>45939</v>
      </c>
      <c r="J2855" s="120">
        <f>WORKDAY(I2855, 3)</f>
        <v>45944</v>
      </c>
      <c r="K2855" s="120">
        <v>45970</v>
      </c>
      <c r="L2855" s="120"/>
      <c r="M2855" s="120"/>
      <c r="N2855" s="29"/>
      <c r="O2855" s="29" t="s">
        <v>884</v>
      </c>
      <c r="P2855" s="120"/>
      <c r="Q2855" s="156"/>
      <c r="R2855" s="162"/>
    </row>
    <row r="2856" spans="1:18" hidden="1">
      <c r="A2856" s="134" t="s">
        <v>1359</v>
      </c>
      <c r="C2856" s="29">
        <v>282501473</v>
      </c>
      <c r="D2856" s="29"/>
      <c r="E2856" s="29"/>
      <c r="F2856" s="29" t="s">
        <v>97</v>
      </c>
      <c r="G2856" s="29" t="s">
        <v>961</v>
      </c>
      <c r="H2856" s="29" t="s">
        <v>38</v>
      </c>
      <c r="I2856" s="120">
        <v>45939</v>
      </c>
      <c r="J2856" s="120">
        <f>WORKDAY(I2856, 3)</f>
        <v>45944</v>
      </c>
      <c r="K2856" s="120">
        <v>45970</v>
      </c>
      <c r="L2856" s="120"/>
      <c r="M2856" s="120"/>
      <c r="N2856" s="29"/>
      <c r="O2856" s="29" t="s">
        <v>884</v>
      </c>
      <c r="P2856" s="120"/>
      <c r="Q2856" s="156"/>
      <c r="R2856" s="162"/>
    </row>
    <row r="2857" spans="1:18" hidden="1">
      <c r="A2857" s="134" t="s">
        <v>1359</v>
      </c>
      <c r="C2857" s="29">
        <v>282501491</v>
      </c>
      <c r="D2857" s="29"/>
      <c r="E2857" s="29"/>
      <c r="F2857" s="29" t="s">
        <v>97</v>
      </c>
      <c r="G2857" s="29" t="s">
        <v>961</v>
      </c>
      <c r="H2857" s="29" t="s">
        <v>38</v>
      </c>
      <c r="I2857" s="120">
        <v>45939</v>
      </c>
      <c r="J2857" s="120">
        <f>WORKDAY(I2857, 3)</f>
        <v>45944</v>
      </c>
      <c r="K2857" s="120">
        <v>45970</v>
      </c>
      <c r="L2857" s="120"/>
      <c r="M2857" s="120"/>
      <c r="N2857" s="29"/>
      <c r="O2857" s="29" t="s">
        <v>884</v>
      </c>
      <c r="P2857" s="120"/>
      <c r="Q2857" s="156"/>
      <c r="R2857" s="162"/>
    </row>
    <row r="2858" spans="1:18" hidden="1">
      <c r="A2858" s="134" t="s">
        <v>1359</v>
      </c>
      <c r="C2858" s="29">
        <v>282501499</v>
      </c>
      <c r="D2858" s="29"/>
      <c r="E2858" s="29"/>
      <c r="F2858" s="29" t="s">
        <v>97</v>
      </c>
      <c r="G2858" s="29" t="s">
        <v>961</v>
      </c>
      <c r="H2858" s="29" t="s">
        <v>38</v>
      </c>
      <c r="I2858" s="120">
        <v>45939</v>
      </c>
      <c r="J2858" s="120">
        <f>WORKDAY(I2858, 3)</f>
        <v>45944</v>
      </c>
      <c r="K2858" s="120">
        <v>45970</v>
      </c>
      <c r="L2858" s="120"/>
      <c r="M2858" s="120"/>
      <c r="N2858" s="29"/>
      <c r="O2858" s="29" t="s">
        <v>884</v>
      </c>
      <c r="P2858" s="120"/>
      <c r="Q2858" s="156"/>
      <c r="R2858" s="162"/>
    </row>
    <row r="2859" spans="1:18" hidden="1">
      <c r="A2859" s="134" t="s">
        <v>1359</v>
      </c>
      <c r="C2859" s="29">
        <v>282501507</v>
      </c>
      <c r="D2859" s="29"/>
      <c r="E2859" s="29"/>
      <c r="F2859" s="29" t="s">
        <v>97</v>
      </c>
      <c r="G2859" s="29" t="s">
        <v>961</v>
      </c>
      <c r="H2859" s="29" t="s">
        <v>38</v>
      </c>
      <c r="I2859" s="120">
        <v>45939</v>
      </c>
      <c r="J2859" s="120">
        <f>WORKDAY(I2859, 3)</f>
        <v>45944</v>
      </c>
      <c r="K2859" s="120">
        <v>45970</v>
      </c>
      <c r="L2859" s="120"/>
      <c r="M2859" s="120"/>
      <c r="N2859" s="29"/>
      <c r="O2859" s="29" t="s">
        <v>884</v>
      </c>
      <c r="P2859" s="120"/>
      <c r="Q2859" s="156"/>
      <c r="R2859" s="162"/>
    </row>
    <row r="2860" spans="1:18" hidden="1">
      <c r="A2860" s="134" t="s">
        <v>1359</v>
      </c>
      <c r="C2860" s="29">
        <v>282501513</v>
      </c>
      <c r="D2860" s="29"/>
      <c r="E2860" s="29"/>
      <c r="F2860" s="29" t="s">
        <v>97</v>
      </c>
      <c r="G2860" s="29" t="s">
        <v>961</v>
      </c>
      <c r="H2860" s="29" t="s">
        <v>38</v>
      </c>
      <c r="I2860" s="120">
        <v>45939</v>
      </c>
      <c r="J2860" s="120">
        <f>WORKDAY(I2860, 3)</f>
        <v>45944</v>
      </c>
      <c r="K2860" s="120">
        <v>45970</v>
      </c>
      <c r="L2860" s="120"/>
      <c r="M2860" s="120"/>
      <c r="N2860" s="29"/>
      <c r="O2860" s="29" t="s">
        <v>884</v>
      </c>
      <c r="P2860" s="120"/>
      <c r="Q2860" s="156"/>
      <c r="R2860" s="162"/>
    </row>
    <row r="2861" spans="1:18" hidden="1">
      <c r="A2861" s="134" t="s">
        <v>1359</v>
      </c>
      <c r="C2861" s="29">
        <v>282501523</v>
      </c>
      <c r="D2861" s="29"/>
      <c r="E2861" s="29"/>
      <c r="F2861" s="29" t="s">
        <v>97</v>
      </c>
      <c r="G2861" s="29" t="s">
        <v>961</v>
      </c>
      <c r="H2861" s="29" t="s">
        <v>38</v>
      </c>
      <c r="I2861" s="120">
        <v>45939</v>
      </c>
      <c r="J2861" s="120">
        <f>WORKDAY(I2861, 3)</f>
        <v>45944</v>
      </c>
      <c r="K2861" s="120">
        <v>45970</v>
      </c>
      <c r="L2861" s="120"/>
      <c r="M2861" s="120"/>
      <c r="N2861" s="29"/>
      <c r="O2861" s="29" t="s">
        <v>884</v>
      </c>
      <c r="P2861" s="120"/>
      <c r="Q2861" s="156"/>
      <c r="R2861" s="162"/>
    </row>
    <row r="2862" spans="1:18" hidden="1">
      <c r="A2862" s="134" t="s">
        <v>1359</v>
      </c>
      <c r="C2862" s="29">
        <v>282501528</v>
      </c>
      <c r="D2862" s="29"/>
      <c r="E2862" s="29"/>
      <c r="F2862" s="29" t="s">
        <v>97</v>
      </c>
      <c r="G2862" s="29" t="s">
        <v>961</v>
      </c>
      <c r="H2862" s="29" t="s">
        <v>38</v>
      </c>
      <c r="I2862" s="120">
        <v>45939</v>
      </c>
      <c r="J2862" s="120">
        <f>WORKDAY(I2862, 3)</f>
        <v>45944</v>
      </c>
      <c r="K2862" s="120">
        <v>45970</v>
      </c>
      <c r="L2862" s="120"/>
      <c r="M2862" s="120"/>
      <c r="N2862" s="29"/>
      <c r="O2862" s="29" t="s">
        <v>884</v>
      </c>
      <c r="P2862" s="120"/>
      <c r="Q2862" s="156"/>
      <c r="R2862" s="162"/>
    </row>
    <row r="2863" spans="1:18" hidden="1">
      <c r="A2863" s="134" t="s">
        <v>1359</v>
      </c>
      <c r="C2863" s="29">
        <v>282501567</v>
      </c>
      <c r="D2863" s="29"/>
      <c r="E2863" s="29"/>
      <c r="F2863" s="29" t="s">
        <v>97</v>
      </c>
      <c r="G2863" s="29" t="s">
        <v>961</v>
      </c>
      <c r="H2863" s="29" t="s">
        <v>38</v>
      </c>
      <c r="I2863" s="120">
        <v>45939</v>
      </c>
      <c r="J2863" s="120">
        <f>WORKDAY(I2863, 3)</f>
        <v>45944</v>
      </c>
      <c r="K2863" s="120">
        <v>45970</v>
      </c>
      <c r="L2863" s="120"/>
      <c r="M2863" s="120"/>
      <c r="N2863" s="29"/>
      <c r="O2863" s="29" t="s">
        <v>884</v>
      </c>
      <c r="P2863" s="120"/>
      <c r="Q2863" s="156"/>
      <c r="R2863" s="162"/>
    </row>
    <row r="2864" spans="1:18" hidden="1">
      <c r="A2864" s="134" t="s">
        <v>1359</v>
      </c>
      <c r="C2864" s="29">
        <v>282501558</v>
      </c>
      <c r="D2864" s="29"/>
      <c r="E2864" s="29"/>
      <c r="F2864" s="29" t="s">
        <v>97</v>
      </c>
      <c r="G2864" s="29" t="s">
        <v>961</v>
      </c>
      <c r="H2864" s="29" t="s">
        <v>38</v>
      </c>
      <c r="I2864" s="120">
        <v>45939</v>
      </c>
      <c r="J2864" s="120">
        <f>WORKDAY(I2864, 3)</f>
        <v>45944</v>
      </c>
      <c r="K2864" s="120">
        <v>45970</v>
      </c>
      <c r="L2864" s="120"/>
      <c r="M2864" s="120"/>
      <c r="N2864" s="29"/>
      <c r="O2864" s="29" t="s">
        <v>884</v>
      </c>
      <c r="P2864" s="120"/>
      <c r="Q2864" s="156"/>
      <c r="R2864" s="162"/>
    </row>
    <row r="2865" spans="1:18" hidden="1">
      <c r="A2865" s="134" t="s">
        <v>1359</v>
      </c>
      <c r="C2865" s="29">
        <v>282501582</v>
      </c>
      <c r="D2865" s="29"/>
      <c r="E2865" s="29"/>
      <c r="F2865" s="29" t="s">
        <v>97</v>
      </c>
      <c r="G2865" s="29" t="s">
        <v>961</v>
      </c>
      <c r="H2865" s="29" t="s">
        <v>38</v>
      </c>
      <c r="I2865" s="120">
        <v>45939</v>
      </c>
      <c r="J2865" s="120">
        <f>WORKDAY(I2865, 3)</f>
        <v>45944</v>
      </c>
      <c r="K2865" s="120">
        <v>45970</v>
      </c>
      <c r="L2865" s="120"/>
      <c r="M2865" s="120"/>
      <c r="N2865" s="29"/>
      <c r="O2865" s="29" t="s">
        <v>884</v>
      </c>
      <c r="P2865" s="120"/>
      <c r="Q2865" s="156"/>
      <c r="R2865" s="162"/>
    </row>
    <row r="2866" spans="1:18" hidden="1">
      <c r="A2866" s="134" t="s">
        <v>1359</v>
      </c>
      <c r="C2866" s="29">
        <v>282501594</v>
      </c>
      <c r="D2866" s="29"/>
      <c r="E2866" s="29"/>
      <c r="F2866" s="29" t="s">
        <v>97</v>
      </c>
      <c r="G2866" s="29" t="s">
        <v>961</v>
      </c>
      <c r="H2866" s="29" t="s">
        <v>38</v>
      </c>
      <c r="I2866" s="120">
        <v>45939</v>
      </c>
      <c r="J2866" s="120">
        <f>WORKDAY(I2866, 3)</f>
        <v>45944</v>
      </c>
      <c r="K2866" s="120">
        <v>45970</v>
      </c>
      <c r="L2866" s="120"/>
      <c r="M2866" s="120"/>
      <c r="N2866" s="29"/>
      <c r="O2866" s="29" t="s">
        <v>884</v>
      </c>
      <c r="P2866" s="120"/>
      <c r="Q2866" s="156"/>
      <c r="R2866" s="162"/>
    </row>
    <row r="2867" spans="1:18" hidden="1">
      <c r="A2867" s="134" t="s">
        <v>1359</v>
      </c>
      <c r="C2867" s="29">
        <v>282501610</v>
      </c>
      <c r="D2867" s="29"/>
      <c r="E2867" s="29"/>
      <c r="F2867" s="29" t="s">
        <v>97</v>
      </c>
      <c r="G2867" s="29" t="s">
        <v>961</v>
      </c>
      <c r="H2867" s="29" t="s">
        <v>38</v>
      </c>
      <c r="I2867" s="120">
        <v>45939</v>
      </c>
      <c r="J2867" s="120">
        <f>WORKDAY(I2867, 3)</f>
        <v>45944</v>
      </c>
      <c r="K2867" s="120">
        <v>45970</v>
      </c>
      <c r="L2867" s="120"/>
      <c r="M2867" s="120"/>
      <c r="N2867" s="29"/>
      <c r="O2867" s="29" t="s">
        <v>884</v>
      </c>
      <c r="P2867" s="120"/>
      <c r="Q2867" s="156"/>
      <c r="R2867" s="162"/>
    </row>
    <row r="2868" spans="1:18" hidden="1">
      <c r="A2868" s="134" t="s">
        <v>1359</v>
      </c>
      <c r="C2868" s="29">
        <v>282501615</v>
      </c>
      <c r="D2868" s="29"/>
      <c r="E2868" s="29"/>
      <c r="F2868" s="29" t="s">
        <v>97</v>
      </c>
      <c r="G2868" s="29" t="s">
        <v>961</v>
      </c>
      <c r="H2868" s="29" t="s">
        <v>38</v>
      </c>
      <c r="I2868" s="120">
        <v>45939</v>
      </c>
      <c r="J2868" s="120">
        <f>WORKDAY(I2868, 3)</f>
        <v>45944</v>
      </c>
      <c r="K2868" s="120">
        <v>45970</v>
      </c>
      <c r="L2868" s="120"/>
      <c r="M2868" s="120"/>
      <c r="N2868" s="29"/>
      <c r="O2868" s="29" t="s">
        <v>884</v>
      </c>
      <c r="P2868" s="120"/>
      <c r="Q2868" s="156"/>
      <c r="R2868" s="162"/>
    </row>
    <row r="2869" spans="1:18" hidden="1">
      <c r="A2869" s="134" t="s">
        <v>1359</v>
      </c>
      <c r="C2869" s="29">
        <v>282501642</v>
      </c>
      <c r="D2869" s="29"/>
      <c r="E2869" s="29"/>
      <c r="F2869" s="29" t="s">
        <v>97</v>
      </c>
      <c r="G2869" s="29" t="s">
        <v>961</v>
      </c>
      <c r="H2869" s="29" t="s">
        <v>38</v>
      </c>
      <c r="I2869" s="120">
        <v>45939</v>
      </c>
      <c r="J2869" s="120">
        <f>WORKDAY(I2869, 3)</f>
        <v>45944</v>
      </c>
      <c r="K2869" s="120">
        <v>45970</v>
      </c>
      <c r="L2869" s="120"/>
      <c r="M2869" s="120"/>
      <c r="N2869" s="29"/>
      <c r="O2869" s="29" t="s">
        <v>884</v>
      </c>
      <c r="P2869" s="120"/>
      <c r="Q2869" s="156"/>
      <c r="R2869" s="162"/>
    </row>
    <row r="2870" spans="1:18" hidden="1">
      <c r="A2870" s="134" t="s">
        <v>1359</v>
      </c>
      <c r="C2870" s="29">
        <v>282501648</v>
      </c>
      <c r="D2870" s="29"/>
      <c r="E2870" s="29"/>
      <c r="F2870" s="29" t="s">
        <v>97</v>
      </c>
      <c r="G2870" s="29" t="s">
        <v>961</v>
      </c>
      <c r="H2870" s="29" t="s">
        <v>38</v>
      </c>
      <c r="I2870" s="120">
        <v>45939</v>
      </c>
      <c r="J2870" s="120">
        <f>WORKDAY(I2870, 3)</f>
        <v>45944</v>
      </c>
      <c r="K2870" s="120">
        <v>45970</v>
      </c>
      <c r="L2870" s="120"/>
      <c r="M2870" s="120"/>
      <c r="N2870" s="29"/>
      <c r="O2870" s="29" t="s">
        <v>884</v>
      </c>
      <c r="P2870" s="120"/>
      <c r="Q2870" s="156"/>
      <c r="R2870" s="162"/>
    </row>
    <row r="2871" spans="1:18" hidden="1">
      <c r="A2871" s="134" t="s">
        <v>1359</v>
      </c>
      <c r="C2871" s="29">
        <v>282501662</v>
      </c>
      <c r="D2871" s="29"/>
      <c r="E2871" s="29"/>
      <c r="F2871" s="29" t="s">
        <v>97</v>
      </c>
      <c r="G2871" s="29" t="s">
        <v>961</v>
      </c>
      <c r="H2871" s="29" t="s">
        <v>38</v>
      </c>
      <c r="I2871" s="120">
        <v>45939</v>
      </c>
      <c r="J2871" s="120">
        <f>WORKDAY(I2871, 3)</f>
        <v>45944</v>
      </c>
      <c r="K2871" s="120">
        <v>45970</v>
      </c>
      <c r="L2871" s="120"/>
      <c r="M2871" s="120"/>
      <c r="N2871" s="29"/>
      <c r="O2871" s="29" t="s">
        <v>884</v>
      </c>
      <c r="P2871" s="120"/>
      <c r="Q2871" s="156"/>
      <c r="R2871" s="162"/>
    </row>
    <row r="2872" spans="1:18" hidden="1">
      <c r="A2872" s="134" t="s">
        <v>1359</v>
      </c>
      <c r="C2872" s="29">
        <v>282501673</v>
      </c>
      <c r="D2872" s="29"/>
      <c r="E2872" s="29"/>
      <c r="F2872" s="29" t="s">
        <v>97</v>
      </c>
      <c r="G2872" s="29" t="s">
        <v>961</v>
      </c>
      <c r="H2872" s="29" t="s">
        <v>38</v>
      </c>
      <c r="I2872" s="120">
        <v>45939</v>
      </c>
      <c r="J2872" s="120">
        <f>WORKDAY(I2872, 3)</f>
        <v>45944</v>
      </c>
      <c r="K2872" s="120">
        <v>45970</v>
      </c>
      <c r="L2872" s="120"/>
      <c r="M2872" s="120"/>
      <c r="N2872" s="29"/>
      <c r="O2872" s="29" t="s">
        <v>884</v>
      </c>
      <c r="P2872" s="120"/>
      <c r="Q2872" s="156"/>
      <c r="R2872" s="162"/>
    </row>
    <row r="2873" spans="1:18" hidden="1">
      <c r="A2873" s="134" t="s">
        <v>1359</v>
      </c>
      <c r="C2873" s="29">
        <v>282501693</v>
      </c>
      <c r="D2873" s="29"/>
      <c r="E2873" s="29"/>
      <c r="F2873" s="29" t="s">
        <v>97</v>
      </c>
      <c r="G2873" s="29" t="s">
        <v>961</v>
      </c>
      <c r="H2873" s="29" t="s">
        <v>38</v>
      </c>
      <c r="I2873" s="120">
        <v>45939</v>
      </c>
      <c r="J2873" s="120">
        <f>WORKDAY(I2873, 3)</f>
        <v>45944</v>
      </c>
      <c r="K2873" s="120">
        <v>45970</v>
      </c>
      <c r="L2873" s="120"/>
      <c r="M2873" s="120"/>
      <c r="N2873" s="29"/>
      <c r="O2873" s="29" t="s">
        <v>884</v>
      </c>
      <c r="P2873" s="120"/>
      <c r="Q2873" s="156"/>
      <c r="R2873" s="162"/>
    </row>
    <row r="2874" spans="1:18" hidden="1">
      <c r="A2874" s="134" t="s">
        <v>1359</v>
      </c>
      <c r="C2874" s="29">
        <v>282501708</v>
      </c>
      <c r="D2874" s="29"/>
      <c r="E2874" s="29"/>
      <c r="F2874" s="29" t="s">
        <v>97</v>
      </c>
      <c r="G2874" s="29" t="s">
        <v>961</v>
      </c>
      <c r="H2874" s="29" t="s">
        <v>38</v>
      </c>
      <c r="I2874" s="120">
        <v>45939</v>
      </c>
      <c r="J2874" s="120">
        <f>WORKDAY(I2874, 3)</f>
        <v>45944</v>
      </c>
      <c r="K2874" s="120">
        <v>45970</v>
      </c>
      <c r="L2874" s="120"/>
      <c r="M2874" s="120"/>
      <c r="N2874" s="29"/>
      <c r="O2874" s="29" t="s">
        <v>884</v>
      </c>
      <c r="P2874" s="120"/>
      <c r="Q2874" s="156"/>
      <c r="R2874" s="162"/>
    </row>
    <row r="2875" spans="1:18" hidden="1">
      <c r="A2875" s="134" t="s">
        <v>1360</v>
      </c>
      <c r="C2875" s="29">
        <v>281502912</v>
      </c>
      <c r="D2875" s="29"/>
      <c r="E2875" s="29"/>
      <c r="F2875" s="29" t="s">
        <v>97</v>
      </c>
      <c r="G2875" s="29" t="s">
        <v>961</v>
      </c>
      <c r="H2875" s="29" t="s">
        <v>38</v>
      </c>
      <c r="I2875" s="120">
        <v>45938</v>
      </c>
      <c r="J2875" s="120">
        <f>WORKDAY(I2875, 3)</f>
        <v>45943</v>
      </c>
      <c r="K2875" s="120">
        <v>45969</v>
      </c>
      <c r="L2875" s="120"/>
      <c r="M2875" s="120"/>
      <c r="N2875" s="29"/>
      <c r="O2875" s="29" t="s">
        <v>884</v>
      </c>
      <c r="P2875" s="120"/>
      <c r="Q2875" s="156"/>
      <c r="R2875" s="162"/>
    </row>
    <row r="2876" spans="1:18" hidden="1">
      <c r="A2876" s="134" t="s">
        <v>1360</v>
      </c>
      <c r="C2876" s="29">
        <v>281504002</v>
      </c>
      <c r="D2876" s="29"/>
      <c r="E2876" s="29"/>
      <c r="F2876" s="29" t="s">
        <v>97</v>
      </c>
      <c r="G2876" s="29" t="s">
        <v>961</v>
      </c>
      <c r="H2876" s="29" t="s">
        <v>38</v>
      </c>
      <c r="I2876" s="120">
        <v>45938</v>
      </c>
      <c r="J2876" s="120">
        <f>WORKDAY(I2876, 3)</f>
        <v>45943</v>
      </c>
      <c r="K2876" s="120">
        <v>45969</v>
      </c>
      <c r="L2876" s="120"/>
      <c r="M2876" s="120"/>
      <c r="N2876" s="29"/>
      <c r="O2876" s="29" t="s">
        <v>884</v>
      </c>
      <c r="P2876" s="120"/>
      <c r="Q2876" s="156"/>
      <c r="R2876" s="162"/>
    </row>
    <row r="2877" spans="1:18" hidden="1">
      <c r="A2877" s="134" t="s">
        <v>1360</v>
      </c>
      <c r="C2877" s="29">
        <v>281503991</v>
      </c>
      <c r="D2877" s="29"/>
      <c r="E2877" s="29"/>
      <c r="F2877" s="29" t="s">
        <v>97</v>
      </c>
      <c r="G2877" s="29" t="s">
        <v>961</v>
      </c>
      <c r="H2877" s="29" t="s">
        <v>38</v>
      </c>
      <c r="I2877" s="120">
        <v>45938</v>
      </c>
      <c r="J2877" s="120">
        <f>WORKDAY(I2877, 3)</f>
        <v>45943</v>
      </c>
      <c r="K2877" s="120">
        <v>45969</v>
      </c>
      <c r="L2877" s="120"/>
      <c r="M2877" s="120"/>
      <c r="N2877" s="29"/>
      <c r="O2877" s="29" t="s">
        <v>884</v>
      </c>
      <c r="P2877" s="120"/>
      <c r="Q2877" s="156"/>
      <c r="R2877" s="162"/>
    </row>
    <row r="2878" spans="1:18" hidden="1">
      <c r="A2878" s="134" t="s">
        <v>1360</v>
      </c>
      <c r="C2878" s="29">
        <v>281503976</v>
      </c>
      <c r="D2878" s="29"/>
      <c r="E2878" s="29"/>
      <c r="F2878" s="29" t="s">
        <v>97</v>
      </c>
      <c r="G2878" s="29" t="s">
        <v>961</v>
      </c>
      <c r="H2878" s="29" t="s">
        <v>38</v>
      </c>
      <c r="I2878" s="120">
        <v>45938</v>
      </c>
      <c r="J2878" s="120">
        <f>WORKDAY(I2878, 3)</f>
        <v>45943</v>
      </c>
      <c r="K2878" s="120">
        <v>45969</v>
      </c>
      <c r="L2878" s="120"/>
      <c r="M2878" s="120"/>
      <c r="N2878" s="29"/>
      <c r="O2878" s="29" t="s">
        <v>884</v>
      </c>
      <c r="P2878" s="120"/>
      <c r="Q2878" s="156"/>
      <c r="R2878" s="162"/>
    </row>
    <row r="2879" spans="1:18" hidden="1">
      <c r="A2879" s="134" t="s">
        <v>1360</v>
      </c>
      <c r="C2879" s="29">
        <v>281503840</v>
      </c>
      <c r="D2879" s="29"/>
      <c r="E2879" s="29"/>
      <c r="F2879" s="29" t="s">
        <v>97</v>
      </c>
      <c r="G2879" s="29" t="s">
        <v>961</v>
      </c>
      <c r="H2879" s="29" t="s">
        <v>38</v>
      </c>
      <c r="I2879" s="120">
        <v>45938</v>
      </c>
      <c r="J2879" s="120">
        <f>WORKDAY(I2879, 3)</f>
        <v>45943</v>
      </c>
      <c r="K2879" s="120">
        <v>45969</v>
      </c>
      <c r="L2879" s="120"/>
      <c r="M2879" s="120"/>
      <c r="N2879" s="29"/>
      <c r="O2879" s="29" t="s">
        <v>884</v>
      </c>
      <c r="P2879" s="120"/>
      <c r="Q2879" s="156"/>
      <c r="R2879" s="162"/>
    </row>
    <row r="2880" spans="1:18" hidden="1">
      <c r="A2880" s="134" t="s">
        <v>1360</v>
      </c>
      <c r="C2880" s="29">
        <v>281503852</v>
      </c>
      <c r="D2880" s="29"/>
      <c r="E2880" s="29"/>
      <c r="F2880" s="29" t="s">
        <v>97</v>
      </c>
      <c r="G2880" s="29" t="s">
        <v>961</v>
      </c>
      <c r="H2880" s="29" t="s">
        <v>38</v>
      </c>
      <c r="I2880" s="120">
        <v>45938</v>
      </c>
      <c r="J2880" s="120">
        <f>WORKDAY(I2880, 3)</f>
        <v>45943</v>
      </c>
      <c r="K2880" s="120">
        <v>45969</v>
      </c>
      <c r="L2880" s="120"/>
      <c r="M2880" s="120"/>
      <c r="N2880" s="29"/>
      <c r="O2880" s="29" t="s">
        <v>884</v>
      </c>
      <c r="P2880" s="120"/>
      <c r="Q2880" s="156"/>
      <c r="R2880" s="162"/>
    </row>
    <row r="2881" spans="1:18" hidden="1">
      <c r="A2881" s="134" t="s">
        <v>1360</v>
      </c>
      <c r="C2881" s="29">
        <v>281503855</v>
      </c>
      <c r="D2881" s="29"/>
      <c r="E2881" s="29"/>
      <c r="F2881" s="29" t="s">
        <v>97</v>
      </c>
      <c r="G2881" s="29" t="s">
        <v>961</v>
      </c>
      <c r="H2881" s="29" t="s">
        <v>38</v>
      </c>
      <c r="I2881" s="120">
        <v>45938</v>
      </c>
      <c r="J2881" s="120">
        <f>WORKDAY(I2881, 3)</f>
        <v>45943</v>
      </c>
      <c r="K2881" s="120">
        <v>45969</v>
      </c>
      <c r="L2881" s="120"/>
      <c r="M2881" s="120"/>
      <c r="N2881" s="29"/>
      <c r="O2881" s="29" t="s">
        <v>884</v>
      </c>
      <c r="P2881" s="120"/>
      <c r="Q2881" s="156"/>
      <c r="R2881" s="162"/>
    </row>
    <row r="2882" spans="1:18" hidden="1">
      <c r="A2882" s="134" t="s">
        <v>1360</v>
      </c>
      <c r="C2882" s="29">
        <v>281503879</v>
      </c>
      <c r="D2882" s="29"/>
      <c r="E2882" s="29"/>
      <c r="F2882" s="29" t="s">
        <v>97</v>
      </c>
      <c r="G2882" s="29" t="s">
        <v>961</v>
      </c>
      <c r="H2882" s="29" t="s">
        <v>38</v>
      </c>
      <c r="I2882" s="120">
        <v>45938</v>
      </c>
      <c r="J2882" s="120">
        <f>WORKDAY(I2882, 3)</f>
        <v>45943</v>
      </c>
      <c r="K2882" s="120">
        <v>45969</v>
      </c>
      <c r="L2882" s="120"/>
      <c r="M2882" s="120"/>
      <c r="N2882" s="29"/>
      <c r="O2882" s="29" t="s">
        <v>884</v>
      </c>
      <c r="P2882" s="120"/>
      <c r="Q2882" s="156"/>
      <c r="R2882" s="162"/>
    </row>
    <row r="2883" spans="1:18" hidden="1">
      <c r="A2883" s="134" t="s">
        <v>1360</v>
      </c>
      <c r="C2883" s="29">
        <v>281503891</v>
      </c>
      <c r="D2883" s="29"/>
      <c r="E2883" s="29"/>
      <c r="F2883" s="29" t="s">
        <v>97</v>
      </c>
      <c r="G2883" s="29" t="s">
        <v>961</v>
      </c>
      <c r="H2883" s="29" t="s">
        <v>38</v>
      </c>
      <c r="I2883" s="120">
        <v>45938</v>
      </c>
      <c r="J2883" s="120">
        <f>WORKDAY(I2883, 3)</f>
        <v>45943</v>
      </c>
      <c r="K2883" s="120">
        <v>45969</v>
      </c>
      <c r="L2883" s="120"/>
      <c r="M2883" s="120"/>
      <c r="N2883" s="29"/>
      <c r="O2883" s="29" t="s">
        <v>884</v>
      </c>
      <c r="P2883" s="120"/>
      <c r="Q2883" s="156"/>
      <c r="R2883" s="162"/>
    </row>
    <row r="2884" spans="1:18" hidden="1">
      <c r="A2884" s="134" t="s">
        <v>1360</v>
      </c>
      <c r="C2884" s="29">
        <v>281503907</v>
      </c>
      <c r="D2884" s="29"/>
      <c r="E2884" s="29"/>
      <c r="F2884" s="29" t="s">
        <v>97</v>
      </c>
      <c r="G2884" s="29" t="s">
        <v>961</v>
      </c>
      <c r="H2884" s="29" t="s">
        <v>38</v>
      </c>
      <c r="I2884" s="120">
        <v>45938</v>
      </c>
      <c r="J2884" s="120">
        <f>WORKDAY(I2884, 3)</f>
        <v>45943</v>
      </c>
      <c r="K2884" s="120">
        <v>45969</v>
      </c>
      <c r="L2884" s="120"/>
      <c r="M2884" s="120"/>
      <c r="N2884" s="29"/>
      <c r="O2884" s="29" t="s">
        <v>884</v>
      </c>
      <c r="P2884" s="120"/>
      <c r="Q2884" s="156"/>
      <c r="R2884" s="162"/>
    </row>
    <row r="2885" spans="1:18" hidden="1">
      <c r="A2885" s="134" t="s">
        <v>1360</v>
      </c>
      <c r="C2885" s="29">
        <v>281503924</v>
      </c>
      <c r="D2885" s="29"/>
      <c r="E2885" s="29"/>
      <c r="F2885" s="29" t="s">
        <v>97</v>
      </c>
      <c r="G2885" s="29" t="s">
        <v>961</v>
      </c>
      <c r="H2885" s="29" t="s">
        <v>38</v>
      </c>
      <c r="I2885" s="120">
        <v>45938</v>
      </c>
      <c r="J2885" s="120">
        <f>WORKDAY(I2885, 3)</f>
        <v>45943</v>
      </c>
      <c r="K2885" s="120">
        <v>45969</v>
      </c>
      <c r="L2885" s="120"/>
      <c r="M2885" s="120"/>
      <c r="N2885" s="29"/>
      <c r="O2885" s="29" t="s">
        <v>884</v>
      </c>
      <c r="P2885" s="120"/>
      <c r="Q2885" s="156"/>
      <c r="R2885" s="162"/>
    </row>
    <row r="2886" spans="1:18" hidden="1">
      <c r="A2886" s="134" t="s">
        <v>1360</v>
      </c>
      <c r="C2886" s="29">
        <v>281503941</v>
      </c>
      <c r="D2886" s="29"/>
      <c r="E2886" s="29"/>
      <c r="F2886" s="29" t="s">
        <v>97</v>
      </c>
      <c r="G2886" s="29" t="s">
        <v>961</v>
      </c>
      <c r="H2886" s="29" t="s">
        <v>38</v>
      </c>
      <c r="I2886" s="120">
        <v>45938</v>
      </c>
      <c r="J2886" s="120">
        <f>WORKDAY(I2886, 3)</f>
        <v>45943</v>
      </c>
      <c r="K2886" s="120">
        <v>45969</v>
      </c>
      <c r="L2886" s="120"/>
      <c r="M2886" s="120"/>
      <c r="N2886" s="29"/>
      <c r="O2886" s="29" t="s">
        <v>884</v>
      </c>
      <c r="P2886" s="120"/>
      <c r="Q2886" s="156"/>
      <c r="R2886" s="162"/>
    </row>
    <row r="2887" spans="1:18" hidden="1">
      <c r="A2887" s="134" t="s">
        <v>1360</v>
      </c>
      <c r="C2887" s="29">
        <v>281503954</v>
      </c>
      <c r="D2887" s="29"/>
      <c r="E2887" s="29"/>
      <c r="F2887" s="29" t="s">
        <v>97</v>
      </c>
      <c r="G2887" s="29" t="s">
        <v>961</v>
      </c>
      <c r="H2887" s="29" t="s">
        <v>38</v>
      </c>
      <c r="I2887" s="120">
        <v>45938</v>
      </c>
      <c r="J2887" s="120">
        <f>WORKDAY(I2887, 3)</f>
        <v>45943</v>
      </c>
      <c r="K2887" s="120">
        <v>45969</v>
      </c>
      <c r="L2887" s="120"/>
      <c r="M2887" s="120"/>
      <c r="N2887" s="29"/>
      <c r="O2887" s="29" t="s">
        <v>884</v>
      </c>
      <c r="P2887" s="120"/>
      <c r="Q2887" s="156"/>
      <c r="R2887" s="162"/>
    </row>
    <row r="2888" spans="1:18" hidden="1">
      <c r="A2888" s="134" t="s">
        <v>1360</v>
      </c>
      <c r="C2888" s="29">
        <v>281503964</v>
      </c>
      <c r="D2888" s="29"/>
      <c r="E2888" s="29"/>
      <c r="F2888" s="29" t="s">
        <v>97</v>
      </c>
      <c r="G2888" s="29" t="s">
        <v>961</v>
      </c>
      <c r="H2888" s="29" t="s">
        <v>38</v>
      </c>
      <c r="I2888" s="120">
        <v>45938</v>
      </c>
      <c r="J2888" s="120">
        <f>WORKDAY(I2888, 3)</f>
        <v>45943</v>
      </c>
      <c r="K2888" s="120">
        <v>45969</v>
      </c>
      <c r="L2888" s="120"/>
      <c r="M2888" s="120"/>
      <c r="N2888" s="29"/>
      <c r="O2888" s="29" t="s">
        <v>884</v>
      </c>
      <c r="P2888" s="120"/>
      <c r="Q2888" s="156"/>
      <c r="R2888" s="162"/>
    </row>
    <row r="2889" spans="1:18" hidden="1">
      <c r="A2889" s="134" t="s">
        <v>1360</v>
      </c>
      <c r="C2889" s="29">
        <v>281503372</v>
      </c>
      <c r="D2889" s="29"/>
      <c r="E2889" s="29"/>
      <c r="F2889" s="29" t="s">
        <v>97</v>
      </c>
      <c r="G2889" s="29" t="s">
        <v>961</v>
      </c>
      <c r="H2889" s="29" t="s">
        <v>38</v>
      </c>
      <c r="I2889" s="120">
        <v>45938</v>
      </c>
      <c r="J2889" s="120">
        <f>WORKDAY(I2889, 3)</f>
        <v>45943</v>
      </c>
      <c r="K2889" s="120">
        <v>45969</v>
      </c>
      <c r="L2889" s="120"/>
      <c r="M2889" s="120"/>
      <c r="N2889" s="29"/>
      <c r="O2889" s="29" t="s">
        <v>884</v>
      </c>
      <c r="P2889" s="120"/>
      <c r="Q2889" s="156"/>
      <c r="R2889" s="162"/>
    </row>
    <row r="2890" spans="1:18" hidden="1">
      <c r="A2890" s="134" t="s">
        <v>1360</v>
      </c>
      <c r="C2890" s="29">
        <v>281503396</v>
      </c>
      <c r="D2890" s="29"/>
      <c r="E2890" s="29"/>
      <c r="F2890" s="29" t="s">
        <v>97</v>
      </c>
      <c r="G2890" s="29" t="s">
        <v>961</v>
      </c>
      <c r="H2890" s="29" t="s">
        <v>38</v>
      </c>
      <c r="I2890" s="120">
        <v>45938</v>
      </c>
      <c r="J2890" s="120">
        <f>WORKDAY(I2890, 3)</f>
        <v>45943</v>
      </c>
      <c r="K2890" s="120">
        <v>45969</v>
      </c>
      <c r="L2890" s="120"/>
      <c r="M2890" s="120"/>
      <c r="N2890" s="29"/>
      <c r="O2890" s="29" t="s">
        <v>884</v>
      </c>
      <c r="P2890" s="120"/>
      <c r="Q2890" s="156"/>
      <c r="R2890" s="162"/>
    </row>
    <row r="2891" spans="1:18" hidden="1">
      <c r="A2891" s="134" t="s">
        <v>1360</v>
      </c>
      <c r="C2891" s="29">
        <v>281503422</v>
      </c>
      <c r="D2891" s="29"/>
      <c r="E2891" s="29"/>
      <c r="F2891" s="29" t="s">
        <v>97</v>
      </c>
      <c r="G2891" s="29" t="s">
        <v>961</v>
      </c>
      <c r="H2891" s="29" t="s">
        <v>38</v>
      </c>
      <c r="I2891" s="120">
        <v>45938</v>
      </c>
      <c r="J2891" s="120">
        <f>WORKDAY(I2891, 3)</f>
        <v>45943</v>
      </c>
      <c r="K2891" s="120">
        <v>45969</v>
      </c>
      <c r="L2891" s="120"/>
      <c r="M2891" s="120"/>
      <c r="N2891" s="29"/>
      <c r="O2891" s="29" t="s">
        <v>884</v>
      </c>
      <c r="P2891" s="120"/>
      <c r="Q2891" s="156"/>
      <c r="R2891" s="162"/>
    </row>
    <row r="2892" spans="1:18" hidden="1">
      <c r="A2892" s="134" t="s">
        <v>1360</v>
      </c>
      <c r="C2892" s="29">
        <v>281503471</v>
      </c>
      <c r="D2892" s="29"/>
      <c r="E2892" s="29"/>
      <c r="F2892" s="29" t="s">
        <v>97</v>
      </c>
      <c r="G2892" s="29" t="s">
        <v>961</v>
      </c>
      <c r="H2892" s="29" t="s">
        <v>38</v>
      </c>
      <c r="I2892" s="120">
        <v>45938</v>
      </c>
      <c r="J2892" s="120">
        <f>WORKDAY(I2892, 3)</f>
        <v>45943</v>
      </c>
      <c r="K2892" s="120">
        <v>45969</v>
      </c>
      <c r="L2892" s="120"/>
      <c r="M2892" s="120"/>
      <c r="N2892" s="29"/>
      <c r="O2892" s="29" t="s">
        <v>884</v>
      </c>
      <c r="P2892" s="120"/>
      <c r="Q2892" s="156"/>
      <c r="R2892" s="162"/>
    </row>
    <row r="2893" spans="1:18" hidden="1">
      <c r="A2893" s="134" t="s">
        <v>1360</v>
      </c>
      <c r="C2893" s="29">
        <v>281503500</v>
      </c>
      <c r="D2893" s="29"/>
      <c r="E2893" s="29"/>
      <c r="F2893" s="29" t="s">
        <v>97</v>
      </c>
      <c r="G2893" s="29" t="s">
        <v>961</v>
      </c>
      <c r="H2893" s="29" t="s">
        <v>38</v>
      </c>
      <c r="I2893" s="120">
        <v>45938</v>
      </c>
      <c r="J2893" s="120">
        <f>WORKDAY(I2893, 3)</f>
        <v>45943</v>
      </c>
      <c r="K2893" s="120">
        <v>45969</v>
      </c>
      <c r="L2893" s="120"/>
      <c r="M2893" s="120"/>
      <c r="N2893" s="29"/>
      <c r="O2893" s="29" t="s">
        <v>884</v>
      </c>
      <c r="P2893" s="120"/>
      <c r="Q2893" s="156"/>
      <c r="R2893" s="162"/>
    </row>
    <row r="2894" spans="1:18" hidden="1">
      <c r="A2894" s="134" t="s">
        <v>1360</v>
      </c>
      <c r="C2894" s="29">
        <v>281503513</v>
      </c>
      <c r="D2894" s="29"/>
      <c r="E2894" s="29"/>
      <c r="F2894" s="29" t="s">
        <v>97</v>
      </c>
      <c r="G2894" s="29" t="s">
        <v>961</v>
      </c>
      <c r="H2894" s="29" t="s">
        <v>38</v>
      </c>
      <c r="I2894" s="120">
        <v>45938</v>
      </c>
      <c r="J2894" s="120">
        <f>WORKDAY(I2894, 3)</f>
        <v>45943</v>
      </c>
      <c r="K2894" s="120">
        <v>45969</v>
      </c>
      <c r="L2894" s="120"/>
      <c r="M2894" s="120"/>
      <c r="N2894" s="29"/>
      <c r="O2894" s="29" t="s">
        <v>884</v>
      </c>
      <c r="P2894" s="120"/>
      <c r="Q2894" s="156"/>
      <c r="R2894" s="162"/>
    </row>
    <row r="2895" spans="1:18" hidden="1">
      <c r="A2895" s="134" t="s">
        <v>1360</v>
      </c>
      <c r="C2895" s="29">
        <v>281503519</v>
      </c>
      <c r="D2895" s="29"/>
      <c r="E2895" s="29"/>
      <c r="F2895" s="29" t="s">
        <v>97</v>
      </c>
      <c r="G2895" s="29" t="s">
        <v>961</v>
      </c>
      <c r="H2895" s="29" t="s">
        <v>38</v>
      </c>
      <c r="I2895" s="120">
        <v>45938</v>
      </c>
      <c r="J2895" s="120">
        <f>WORKDAY(I2895, 3)</f>
        <v>45943</v>
      </c>
      <c r="K2895" s="120">
        <v>45969</v>
      </c>
      <c r="L2895" s="120"/>
      <c r="M2895" s="120"/>
      <c r="N2895" s="29"/>
      <c r="O2895" s="29" t="s">
        <v>884</v>
      </c>
      <c r="P2895" s="120"/>
      <c r="Q2895" s="156"/>
      <c r="R2895" s="162"/>
    </row>
    <row r="2896" spans="1:18" hidden="1">
      <c r="A2896" s="134" t="s">
        <v>1360</v>
      </c>
      <c r="C2896" s="29">
        <v>281503810</v>
      </c>
      <c r="D2896" s="29"/>
      <c r="E2896" s="29"/>
      <c r="F2896" s="29" t="s">
        <v>97</v>
      </c>
      <c r="G2896" s="29" t="s">
        <v>961</v>
      </c>
      <c r="H2896" s="29" t="s">
        <v>38</v>
      </c>
      <c r="I2896" s="120">
        <v>45938</v>
      </c>
      <c r="J2896" s="120">
        <f>WORKDAY(I2896, 3)</f>
        <v>45943</v>
      </c>
      <c r="K2896" s="120">
        <v>45969</v>
      </c>
      <c r="L2896" s="120"/>
      <c r="M2896" s="120"/>
      <c r="N2896" s="29"/>
      <c r="O2896" s="29" t="s">
        <v>884</v>
      </c>
      <c r="P2896" s="120"/>
      <c r="Q2896" s="156"/>
      <c r="R2896" s="162"/>
    </row>
    <row r="2897" spans="1:18" hidden="1">
      <c r="A2897" s="134" t="s">
        <v>1360</v>
      </c>
      <c r="C2897" s="29">
        <v>281503826</v>
      </c>
      <c r="D2897" s="29"/>
      <c r="E2897" s="29"/>
      <c r="F2897" s="29" t="s">
        <v>97</v>
      </c>
      <c r="G2897" s="29" t="s">
        <v>961</v>
      </c>
      <c r="H2897" s="29" t="s">
        <v>38</v>
      </c>
      <c r="I2897" s="120">
        <v>45938</v>
      </c>
      <c r="J2897" s="120">
        <f>WORKDAY(I2897, 3)</f>
        <v>45943</v>
      </c>
      <c r="K2897" s="120">
        <v>45969</v>
      </c>
      <c r="L2897" s="120"/>
      <c r="M2897" s="120"/>
      <c r="N2897" s="29"/>
      <c r="O2897" s="29" t="s">
        <v>884</v>
      </c>
      <c r="P2897" s="120"/>
      <c r="Q2897" s="156"/>
      <c r="R2897" s="162"/>
    </row>
    <row r="2898" spans="1:18" hidden="1">
      <c r="A2898" s="134" t="s">
        <v>1360</v>
      </c>
      <c r="C2898" s="29">
        <v>281503061</v>
      </c>
      <c r="D2898" s="29"/>
      <c r="E2898" s="29"/>
      <c r="F2898" s="29" t="s">
        <v>97</v>
      </c>
      <c r="G2898" s="29" t="s">
        <v>961</v>
      </c>
      <c r="H2898" s="29" t="s">
        <v>38</v>
      </c>
      <c r="I2898" s="120">
        <v>45938</v>
      </c>
      <c r="J2898" s="120">
        <f>WORKDAY(I2898, 3)</f>
        <v>45943</v>
      </c>
      <c r="K2898" s="120">
        <v>45969</v>
      </c>
      <c r="L2898" s="120"/>
      <c r="M2898" s="120"/>
      <c r="N2898" s="29"/>
      <c r="O2898" s="29" t="s">
        <v>884</v>
      </c>
      <c r="P2898" s="120"/>
      <c r="Q2898" s="156"/>
      <c r="R2898" s="162"/>
    </row>
    <row r="2899" spans="1:18" hidden="1">
      <c r="A2899" s="134" t="s">
        <v>1360</v>
      </c>
      <c r="C2899" s="29">
        <v>281503070</v>
      </c>
      <c r="D2899" s="29"/>
      <c r="E2899" s="29"/>
      <c r="F2899" s="29" t="s">
        <v>97</v>
      </c>
      <c r="G2899" s="29" t="s">
        <v>961</v>
      </c>
      <c r="H2899" s="29" t="s">
        <v>38</v>
      </c>
      <c r="I2899" s="120">
        <v>45938</v>
      </c>
      <c r="J2899" s="120">
        <f>WORKDAY(I2899, 3)</f>
        <v>45943</v>
      </c>
      <c r="K2899" s="120">
        <v>45969</v>
      </c>
      <c r="L2899" s="120"/>
      <c r="M2899" s="120"/>
      <c r="N2899" s="29"/>
      <c r="O2899" s="29" t="s">
        <v>884</v>
      </c>
      <c r="P2899" s="120"/>
      <c r="Q2899" s="156"/>
      <c r="R2899" s="162"/>
    </row>
    <row r="2900" spans="1:18" hidden="1">
      <c r="A2900" s="134" t="s">
        <v>1360</v>
      </c>
      <c r="C2900" s="29">
        <v>281503079</v>
      </c>
      <c r="D2900" s="29"/>
      <c r="E2900" s="29"/>
      <c r="F2900" s="29" t="s">
        <v>97</v>
      </c>
      <c r="G2900" s="29" t="s">
        <v>961</v>
      </c>
      <c r="H2900" s="29" t="s">
        <v>38</v>
      </c>
      <c r="I2900" s="120">
        <v>45938</v>
      </c>
      <c r="J2900" s="120">
        <f>WORKDAY(I2900, 3)</f>
        <v>45943</v>
      </c>
      <c r="K2900" s="120">
        <v>45969</v>
      </c>
      <c r="L2900" s="120"/>
      <c r="M2900" s="120"/>
      <c r="N2900" s="29"/>
      <c r="O2900" s="29" t="s">
        <v>884</v>
      </c>
      <c r="P2900" s="120"/>
      <c r="Q2900" s="156"/>
      <c r="R2900" s="162"/>
    </row>
    <row r="2901" spans="1:18" hidden="1">
      <c r="A2901" s="134" t="s">
        <v>1360</v>
      </c>
      <c r="C2901" s="29">
        <v>281503095</v>
      </c>
      <c r="D2901" s="29"/>
      <c r="E2901" s="29"/>
      <c r="F2901" s="29" t="s">
        <v>97</v>
      </c>
      <c r="G2901" s="29" t="s">
        <v>961</v>
      </c>
      <c r="H2901" s="29" t="s">
        <v>38</v>
      </c>
      <c r="I2901" s="120">
        <v>45938</v>
      </c>
      <c r="J2901" s="120">
        <f>WORKDAY(I2901, 3)</f>
        <v>45943</v>
      </c>
      <c r="K2901" s="120">
        <v>45969</v>
      </c>
      <c r="L2901" s="120"/>
      <c r="M2901" s="120"/>
      <c r="N2901" s="29"/>
      <c r="O2901" s="29" t="s">
        <v>884</v>
      </c>
      <c r="P2901" s="120"/>
      <c r="Q2901" s="156"/>
      <c r="R2901" s="162"/>
    </row>
    <row r="2902" spans="1:18" hidden="1">
      <c r="A2902" s="134" t="s">
        <v>1360</v>
      </c>
      <c r="C2902" s="29">
        <v>281503103</v>
      </c>
      <c r="D2902" s="29"/>
      <c r="E2902" s="29"/>
      <c r="F2902" s="29" t="s">
        <v>97</v>
      </c>
      <c r="G2902" s="29" t="s">
        <v>961</v>
      </c>
      <c r="H2902" s="29" t="s">
        <v>38</v>
      </c>
      <c r="I2902" s="120">
        <v>45938</v>
      </c>
      <c r="J2902" s="120">
        <f>WORKDAY(I2902, 3)</f>
        <v>45943</v>
      </c>
      <c r="K2902" s="120">
        <v>45969</v>
      </c>
      <c r="L2902" s="120"/>
      <c r="M2902" s="120"/>
      <c r="N2902" s="29"/>
      <c r="O2902" s="29" t="s">
        <v>884</v>
      </c>
      <c r="P2902" s="120"/>
      <c r="Q2902" s="156"/>
      <c r="R2902" s="162"/>
    </row>
    <row r="2903" spans="1:18" hidden="1">
      <c r="A2903" s="134" t="s">
        <v>1360</v>
      </c>
      <c r="C2903" s="29">
        <v>281503114</v>
      </c>
      <c r="D2903" s="29"/>
      <c r="E2903" s="29"/>
      <c r="F2903" s="29" t="s">
        <v>97</v>
      </c>
      <c r="G2903" s="29" t="s">
        <v>961</v>
      </c>
      <c r="H2903" s="29" t="s">
        <v>38</v>
      </c>
      <c r="I2903" s="120">
        <v>45938</v>
      </c>
      <c r="J2903" s="120">
        <f>WORKDAY(I2903, 3)</f>
        <v>45943</v>
      </c>
      <c r="K2903" s="120">
        <v>45969</v>
      </c>
      <c r="L2903" s="120"/>
      <c r="M2903" s="120"/>
      <c r="N2903" s="29"/>
      <c r="O2903" s="29" t="s">
        <v>884</v>
      </c>
      <c r="P2903" s="120"/>
      <c r="Q2903" s="156"/>
      <c r="R2903" s="162"/>
    </row>
    <row r="2904" spans="1:18" hidden="1">
      <c r="A2904" s="134" t="s">
        <v>1360</v>
      </c>
      <c r="C2904" s="29">
        <v>281503221</v>
      </c>
      <c r="D2904" s="29"/>
      <c r="E2904" s="29"/>
      <c r="F2904" s="29" t="s">
        <v>97</v>
      </c>
      <c r="G2904" s="29" t="s">
        <v>961</v>
      </c>
      <c r="H2904" s="29" t="s">
        <v>38</v>
      </c>
      <c r="I2904" s="120">
        <v>45938</v>
      </c>
      <c r="J2904" s="120">
        <f>WORKDAY(I2904, 3)</f>
        <v>45943</v>
      </c>
      <c r="K2904" s="120">
        <v>45969</v>
      </c>
      <c r="L2904" s="120"/>
      <c r="M2904" s="120"/>
      <c r="N2904" s="29"/>
      <c r="O2904" s="29" t="s">
        <v>884</v>
      </c>
      <c r="P2904" s="120"/>
      <c r="Q2904" s="156"/>
      <c r="R2904" s="162"/>
    </row>
    <row r="2905" spans="1:18" hidden="1">
      <c r="A2905" s="134" t="s">
        <v>1360</v>
      </c>
      <c r="C2905" s="29">
        <v>281503241</v>
      </c>
      <c r="D2905" s="29"/>
      <c r="E2905" s="29"/>
      <c r="F2905" s="29" t="s">
        <v>97</v>
      </c>
      <c r="G2905" s="29" t="s">
        <v>961</v>
      </c>
      <c r="H2905" s="29" t="s">
        <v>38</v>
      </c>
      <c r="I2905" s="120">
        <v>45938</v>
      </c>
      <c r="J2905" s="120">
        <f>WORKDAY(I2905, 3)</f>
        <v>45943</v>
      </c>
      <c r="K2905" s="120">
        <v>45969</v>
      </c>
      <c r="L2905" s="120"/>
      <c r="M2905" s="120"/>
      <c r="N2905" s="29"/>
      <c r="O2905" s="29" t="s">
        <v>884</v>
      </c>
      <c r="P2905" s="120"/>
      <c r="Q2905" s="156"/>
      <c r="R2905" s="162"/>
    </row>
    <row r="2906" spans="1:18" hidden="1">
      <c r="A2906" s="134" t="s">
        <v>1360</v>
      </c>
      <c r="C2906" s="29">
        <v>281503265</v>
      </c>
      <c r="D2906" s="29"/>
      <c r="E2906" s="29"/>
      <c r="F2906" s="29" t="s">
        <v>97</v>
      </c>
      <c r="G2906" s="29" t="s">
        <v>961</v>
      </c>
      <c r="H2906" s="29" t="s">
        <v>38</v>
      </c>
      <c r="I2906" s="120">
        <v>45938</v>
      </c>
      <c r="J2906" s="120">
        <f>WORKDAY(I2906, 3)</f>
        <v>45943</v>
      </c>
      <c r="K2906" s="120">
        <v>45969</v>
      </c>
      <c r="L2906" s="120"/>
      <c r="M2906" s="120"/>
      <c r="N2906" s="29"/>
      <c r="O2906" s="29" t="s">
        <v>884</v>
      </c>
      <c r="P2906" s="120"/>
      <c r="Q2906" s="156"/>
      <c r="R2906" s="162"/>
    </row>
    <row r="2907" spans="1:18" hidden="1">
      <c r="A2907" s="134" t="s">
        <v>1360</v>
      </c>
      <c r="C2907" s="29">
        <v>281503331</v>
      </c>
      <c r="D2907" s="29"/>
      <c r="E2907" s="29"/>
      <c r="F2907" s="29" t="s">
        <v>97</v>
      </c>
      <c r="G2907" s="29" t="s">
        <v>961</v>
      </c>
      <c r="H2907" s="29" t="s">
        <v>38</v>
      </c>
      <c r="I2907" s="120">
        <v>45938</v>
      </c>
      <c r="J2907" s="120">
        <f>WORKDAY(I2907, 3)</f>
        <v>45943</v>
      </c>
      <c r="K2907" s="120">
        <v>45969</v>
      </c>
      <c r="L2907" s="120"/>
      <c r="M2907" s="120"/>
      <c r="N2907" s="29"/>
      <c r="O2907" s="29" t="s">
        <v>884</v>
      </c>
      <c r="P2907" s="120"/>
      <c r="Q2907" s="156"/>
      <c r="R2907" s="162"/>
    </row>
    <row r="2908" spans="1:18" hidden="1">
      <c r="A2908" s="134" t="s">
        <v>1360</v>
      </c>
      <c r="C2908" s="29">
        <v>281503345</v>
      </c>
      <c r="D2908" s="29"/>
      <c r="E2908" s="29"/>
      <c r="F2908" s="29" t="s">
        <v>97</v>
      </c>
      <c r="G2908" s="29" t="s">
        <v>961</v>
      </c>
      <c r="H2908" s="29" t="s">
        <v>38</v>
      </c>
      <c r="I2908" s="120">
        <v>45938</v>
      </c>
      <c r="J2908" s="120">
        <f>WORKDAY(I2908, 3)</f>
        <v>45943</v>
      </c>
      <c r="K2908" s="120">
        <v>45969</v>
      </c>
      <c r="L2908" s="120"/>
      <c r="M2908" s="120"/>
      <c r="N2908" s="29"/>
      <c r="O2908" s="29" t="s">
        <v>884</v>
      </c>
      <c r="P2908" s="120"/>
      <c r="Q2908" s="156"/>
      <c r="R2908" s="162"/>
    </row>
    <row r="2909" spans="1:18" hidden="1">
      <c r="A2909" s="134" t="s">
        <v>1360</v>
      </c>
      <c r="C2909" s="29">
        <v>281503036</v>
      </c>
      <c r="D2909" s="29"/>
      <c r="E2909" s="29"/>
      <c r="F2909" s="29" t="s">
        <v>97</v>
      </c>
      <c r="G2909" s="29" t="s">
        <v>961</v>
      </c>
      <c r="H2909" s="29" t="s">
        <v>38</v>
      </c>
      <c r="I2909" s="120">
        <v>45938</v>
      </c>
      <c r="J2909" s="120">
        <f>WORKDAY(I2909, 3)</f>
        <v>45943</v>
      </c>
      <c r="K2909" s="120">
        <v>45969</v>
      </c>
      <c r="L2909" s="120"/>
      <c r="M2909" s="120"/>
      <c r="N2909" s="29"/>
      <c r="O2909" s="29" t="s">
        <v>884</v>
      </c>
      <c r="P2909" s="120"/>
      <c r="Q2909" s="156"/>
      <c r="R2909" s="162"/>
    </row>
    <row r="2910" spans="1:18" hidden="1">
      <c r="A2910" s="134" t="s">
        <v>1360</v>
      </c>
      <c r="C2910" s="29">
        <v>281503047</v>
      </c>
      <c r="D2910" s="29"/>
      <c r="E2910" s="29"/>
      <c r="F2910" s="29" t="s">
        <v>97</v>
      </c>
      <c r="G2910" s="29" t="s">
        <v>961</v>
      </c>
      <c r="H2910" s="29" t="s">
        <v>38</v>
      </c>
      <c r="I2910" s="120">
        <v>45938</v>
      </c>
      <c r="J2910" s="120">
        <f>WORKDAY(I2910, 3)</f>
        <v>45943</v>
      </c>
      <c r="K2910" s="120">
        <v>45969</v>
      </c>
      <c r="L2910" s="120"/>
      <c r="M2910" s="120"/>
      <c r="N2910" s="29"/>
      <c r="O2910" s="29" t="s">
        <v>884</v>
      </c>
      <c r="P2910" s="120"/>
      <c r="Q2910" s="156"/>
      <c r="R2910" s="162"/>
    </row>
    <row r="2911" spans="1:18" hidden="1">
      <c r="A2911" s="134" t="s">
        <v>1360</v>
      </c>
      <c r="C2911" s="29">
        <v>281502994</v>
      </c>
      <c r="D2911" s="29"/>
      <c r="E2911" s="29"/>
      <c r="F2911" s="29" t="s">
        <v>97</v>
      </c>
      <c r="G2911" s="29" t="s">
        <v>961</v>
      </c>
      <c r="H2911" s="29" t="s">
        <v>38</v>
      </c>
      <c r="I2911" s="120">
        <v>45938</v>
      </c>
      <c r="J2911" s="120">
        <f>WORKDAY(I2911, 3)</f>
        <v>45943</v>
      </c>
      <c r="K2911" s="120">
        <v>45969</v>
      </c>
      <c r="L2911" s="120"/>
      <c r="M2911" s="120"/>
      <c r="N2911" s="29"/>
      <c r="O2911" s="29" t="s">
        <v>884</v>
      </c>
      <c r="P2911" s="120"/>
      <c r="Q2911" s="156"/>
      <c r="R2911" s="162"/>
    </row>
    <row r="2912" spans="1:18" hidden="1">
      <c r="A2912" s="134" t="s">
        <v>1360</v>
      </c>
      <c r="C2912" s="29">
        <v>281503006</v>
      </c>
      <c r="D2912" s="29"/>
      <c r="E2912" s="29"/>
      <c r="F2912" s="29" t="s">
        <v>97</v>
      </c>
      <c r="G2912" s="29" t="s">
        <v>961</v>
      </c>
      <c r="H2912" s="29" t="s">
        <v>38</v>
      </c>
      <c r="I2912" s="120">
        <v>45938</v>
      </c>
      <c r="J2912" s="120">
        <f>WORKDAY(I2912, 3)</f>
        <v>45943</v>
      </c>
      <c r="K2912" s="120">
        <v>45969</v>
      </c>
      <c r="L2912" s="120"/>
      <c r="M2912" s="120"/>
      <c r="N2912" s="29"/>
      <c r="O2912" s="29" t="s">
        <v>884</v>
      </c>
      <c r="P2912" s="120"/>
      <c r="Q2912" s="156"/>
      <c r="R2912" s="162"/>
    </row>
    <row r="2913" spans="1:18" hidden="1">
      <c r="A2913" s="134" t="s">
        <v>1360</v>
      </c>
      <c r="C2913" s="29">
        <v>281502963</v>
      </c>
      <c r="D2913" s="29"/>
      <c r="E2913" s="29"/>
      <c r="F2913" s="29" t="s">
        <v>97</v>
      </c>
      <c r="G2913" s="29" t="s">
        <v>961</v>
      </c>
      <c r="H2913" s="29" t="s">
        <v>38</v>
      </c>
      <c r="I2913" s="120">
        <v>45938</v>
      </c>
      <c r="J2913" s="120">
        <f>WORKDAY(I2913, 3)</f>
        <v>45943</v>
      </c>
      <c r="K2913" s="120">
        <v>45969</v>
      </c>
      <c r="L2913" s="120"/>
      <c r="M2913" s="120"/>
      <c r="N2913" s="29"/>
      <c r="O2913" s="29" t="s">
        <v>884</v>
      </c>
      <c r="P2913" s="120"/>
      <c r="Q2913" s="156"/>
      <c r="R2913" s="162"/>
    </row>
    <row r="2914" spans="1:18" hidden="1">
      <c r="A2914" s="134" t="s">
        <v>1360</v>
      </c>
      <c r="C2914" s="29">
        <v>281502982</v>
      </c>
      <c r="D2914" s="29"/>
      <c r="E2914" s="29"/>
      <c r="F2914" s="29" t="s">
        <v>97</v>
      </c>
      <c r="G2914" s="29" t="s">
        <v>961</v>
      </c>
      <c r="H2914" s="29" t="s">
        <v>38</v>
      </c>
      <c r="I2914" s="120">
        <v>45938</v>
      </c>
      <c r="J2914" s="120">
        <f>WORKDAY(I2914, 3)</f>
        <v>45943</v>
      </c>
      <c r="K2914" s="120">
        <v>45969</v>
      </c>
      <c r="L2914" s="120"/>
      <c r="M2914" s="120"/>
      <c r="N2914" s="29"/>
      <c r="O2914" s="29" t="s">
        <v>884</v>
      </c>
      <c r="P2914" s="120"/>
      <c r="Q2914" s="156"/>
      <c r="R2914" s="162"/>
    </row>
    <row r="2915" spans="1:18" hidden="1">
      <c r="A2915" s="134" t="s">
        <v>1360</v>
      </c>
      <c r="C2915" s="29">
        <v>281502950</v>
      </c>
      <c r="D2915" s="29"/>
      <c r="E2915" s="29"/>
      <c r="F2915" s="29" t="s">
        <v>97</v>
      </c>
      <c r="G2915" s="29" t="s">
        <v>961</v>
      </c>
      <c r="H2915" s="29" t="s">
        <v>38</v>
      </c>
      <c r="I2915" s="120">
        <v>45938</v>
      </c>
      <c r="J2915" s="120">
        <f>WORKDAY(I2915, 3)</f>
        <v>45943</v>
      </c>
      <c r="K2915" s="120">
        <v>45969</v>
      </c>
      <c r="L2915" s="120"/>
      <c r="M2915" s="120"/>
      <c r="N2915" s="29"/>
      <c r="O2915" s="29" t="s">
        <v>884</v>
      </c>
      <c r="P2915" s="120"/>
      <c r="Q2915" s="156"/>
      <c r="R2915" s="162"/>
    </row>
    <row r="2916" spans="1:18" hidden="1">
      <c r="A2916" s="134" t="s">
        <v>1360</v>
      </c>
      <c r="C2916" s="29">
        <v>281502943</v>
      </c>
      <c r="D2916" s="29"/>
      <c r="E2916" s="29"/>
      <c r="F2916" s="29" t="s">
        <v>97</v>
      </c>
      <c r="G2916" s="29" t="s">
        <v>961</v>
      </c>
      <c r="H2916" s="29" t="s">
        <v>38</v>
      </c>
      <c r="I2916" s="120">
        <v>45938</v>
      </c>
      <c r="J2916" s="120">
        <f>WORKDAY(I2916, 3)</f>
        <v>45943</v>
      </c>
      <c r="K2916" s="120">
        <v>45969</v>
      </c>
      <c r="L2916" s="120"/>
      <c r="M2916" s="120"/>
      <c r="N2916" s="29"/>
      <c r="O2916" s="29" t="s">
        <v>884</v>
      </c>
      <c r="P2916" s="120"/>
      <c r="Q2916" s="156"/>
      <c r="R2916" s="162"/>
    </row>
    <row r="2917" spans="1:18" hidden="1">
      <c r="A2917" s="134" t="s">
        <v>1361</v>
      </c>
      <c r="C2917" s="29">
        <v>295505166</v>
      </c>
      <c r="D2917" s="29"/>
      <c r="E2917" s="29"/>
      <c r="F2917" s="29" t="s">
        <v>97</v>
      </c>
      <c r="G2917" s="29" t="s">
        <v>961</v>
      </c>
      <c r="H2917" s="29" t="s">
        <v>38</v>
      </c>
      <c r="I2917" s="120">
        <v>45952</v>
      </c>
      <c r="J2917" s="120">
        <f>WORKDAY(I2917, 3)</f>
        <v>45957</v>
      </c>
      <c r="K2917" s="120">
        <v>45983</v>
      </c>
      <c r="L2917" s="120"/>
      <c r="M2917" s="120"/>
      <c r="N2917" s="29"/>
      <c r="O2917" s="29" t="s">
        <v>1256</v>
      </c>
      <c r="P2917" s="29"/>
      <c r="Q2917" s="156"/>
    </row>
    <row r="2918" spans="1:18" hidden="1">
      <c r="A2918" s="134" t="s">
        <v>1361</v>
      </c>
      <c r="C2918" s="29">
        <v>295505181</v>
      </c>
      <c r="D2918" s="29"/>
      <c r="E2918" s="29"/>
      <c r="F2918" s="29" t="s">
        <v>97</v>
      </c>
      <c r="G2918" s="29" t="s">
        <v>961</v>
      </c>
      <c r="H2918" s="29" t="s">
        <v>38</v>
      </c>
      <c r="I2918" s="120">
        <v>45952</v>
      </c>
      <c r="J2918" s="120">
        <f>WORKDAY(I2918, 3)</f>
        <v>45957</v>
      </c>
      <c r="K2918" s="120">
        <v>45983</v>
      </c>
      <c r="L2918" s="120"/>
      <c r="M2918" s="120"/>
      <c r="N2918" s="29"/>
      <c r="O2918" s="29" t="s">
        <v>1256</v>
      </c>
      <c r="P2918" s="29"/>
      <c r="Q2918" s="156"/>
    </row>
    <row r="2919" spans="1:18" hidden="1">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hidden="1">
      <c r="A2920" s="134" t="s">
        <v>1338</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884</v>
      </c>
      <c r="P2920" s="120"/>
      <c r="Q2920" s="156">
        <v>300</v>
      </c>
    </row>
    <row r="2921" spans="1:18" hidden="1">
      <c r="A2921" s="134" t="s">
        <v>1338</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884</v>
      </c>
      <c r="P2921" s="120"/>
      <c r="Q2921" s="156">
        <v>350</v>
      </c>
    </row>
    <row r="2922" spans="1:18" hidden="1">
      <c r="A2922" s="134" t="s">
        <v>1338</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884</v>
      </c>
      <c r="P2922" s="120"/>
      <c r="Q2922" s="156">
        <v>120</v>
      </c>
    </row>
    <row r="2923" spans="1:18" hidden="1">
      <c r="A2923" s="134" t="s">
        <v>1338</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884</v>
      </c>
      <c r="P2923" s="120"/>
      <c r="Q2923" s="156">
        <v>330</v>
      </c>
    </row>
    <row r="2924" spans="1:18" hidden="1">
      <c r="A2924" s="134" t="s">
        <v>1338</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884</v>
      </c>
      <c r="P2924" s="120"/>
      <c r="Q2924" s="156">
        <v>340</v>
      </c>
    </row>
    <row r="2925" spans="1:18" hidden="1">
      <c r="A2925" s="134" t="s">
        <v>1338</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884</v>
      </c>
      <c r="P2925" s="120"/>
      <c r="Q2925" s="156">
        <v>280</v>
      </c>
    </row>
    <row r="2926" spans="1:18" hidden="1">
      <c r="A2926" s="134" t="s">
        <v>1338</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884</v>
      </c>
      <c r="P2926" s="120"/>
      <c r="Q2926" s="156">
        <v>300</v>
      </c>
    </row>
    <row r="2927" spans="1:18" hidden="1">
      <c r="A2927" s="134" t="s">
        <v>1340</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884</v>
      </c>
      <c r="P2927" s="120"/>
      <c r="Q2927" s="156">
        <v>850</v>
      </c>
    </row>
    <row r="2928" spans="1:18" hidden="1">
      <c r="A2928" s="134" t="s">
        <v>1340</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884</v>
      </c>
      <c r="P2928" s="120"/>
      <c r="Q2928" s="156">
        <v>270</v>
      </c>
    </row>
    <row r="2929" spans="1:17" hidden="1">
      <c r="A2929" s="134" t="s">
        <v>1340</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884</v>
      </c>
      <c r="P2929" s="120"/>
      <c r="Q2929" s="156">
        <v>250</v>
      </c>
    </row>
    <row r="2930" spans="1:17" hidden="1">
      <c r="A2930" s="134" t="s">
        <v>1340</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884</v>
      </c>
      <c r="P2930" s="120"/>
      <c r="Q2930" s="156">
        <v>250</v>
      </c>
    </row>
    <row r="2931" spans="1:17" hidden="1">
      <c r="A2931" s="134" t="s">
        <v>1340</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1256</v>
      </c>
      <c r="P2931" s="120"/>
      <c r="Q2931" s="156">
        <v>230</v>
      </c>
    </row>
    <row r="2932" spans="1:17" hidden="1">
      <c r="A2932" s="134" t="s">
        <v>1340</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1256</v>
      </c>
      <c r="P2932" s="120"/>
      <c r="Q2932" s="156">
        <v>280</v>
      </c>
    </row>
    <row r="2933" spans="1:17" hidden="1">
      <c r="A2933" s="134" t="s">
        <v>1340</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1256</v>
      </c>
      <c r="P2933" s="120"/>
      <c r="Q2933" s="156">
        <v>50</v>
      </c>
    </row>
    <row r="2934" spans="1:17" hidden="1">
      <c r="A2934" s="134" t="s">
        <v>1340</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1256</v>
      </c>
      <c r="P2934" s="120"/>
      <c r="Q2934" s="156">
        <v>50</v>
      </c>
    </row>
    <row r="2935" spans="1:17" hidden="1">
      <c r="A2935" s="134" t="s">
        <v>1340</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1256</v>
      </c>
      <c r="P2935" s="120"/>
      <c r="Q2935" s="156">
        <v>350</v>
      </c>
    </row>
    <row r="2936" spans="1:17" hidden="1">
      <c r="A2936" s="134" t="s">
        <v>1340</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1256</v>
      </c>
      <c r="P2936" s="120"/>
      <c r="Q2936" s="156">
        <v>330</v>
      </c>
    </row>
    <row r="2937" spans="1:17" hidden="1">
      <c r="A2937" s="134" t="s">
        <v>1340</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1256</v>
      </c>
      <c r="P2937" s="120"/>
      <c r="Q2937" s="156">
        <v>330</v>
      </c>
    </row>
    <row r="2938" spans="1:17" hidden="1">
      <c r="A2938" s="134" t="s">
        <v>1340</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884</v>
      </c>
      <c r="P2938" s="120"/>
      <c r="Q2938" s="156">
        <v>350</v>
      </c>
    </row>
    <row r="2939" spans="1:17" hidden="1">
      <c r="A2939" s="134" t="s">
        <v>1340</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884</v>
      </c>
      <c r="P2939" s="120"/>
      <c r="Q2939" s="156">
        <v>200</v>
      </c>
    </row>
    <row r="2940" spans="1:17" hidden="1">
      <c r="A2940" s="134" t="s">
        <v>1340</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884</v>
      </c>
      <c r="P2940" s="120"/>
      <c r="Q2940" s="156">
        <v>150</v>
      </c>
    </row>
    <row r="2941" spans="1:17" hidden="1">
      <c r="A2941" s="134" t="s">
        <v>1340</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884</v>
      </c>
      <c r="P2941" s="120"/>
      <c r="Q2941" s="156">
        <v>330</v>
      </c>
    </row>
    <row r="2942" spans="1:17" hidden="1">
      <c r="A2942" s="134" t="s">
        <v>1340</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884</v>
      </c>
      <c r="P2942" s="120"/>
      <c r="Q2942" s="156">
        <v>330</v>
      </c>
    </row>
    <row r="2943" spans="1:17" hidden="1">
      <c r="A2943" s="134" t="s">
        <v>1340</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884</v>
      </c>
      <c r="P2943" s="120"/>
      <c r="Q2943" s="156">
        <v>270</v>
      </c>
    </row>
    <row r="2944" spans="1:17" hidden="1">
      <c r="A2944" s="134" t="s">
        <v>1340</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884</v>
      </c>
      <c r="P2944" s="120"/>
      <c r="Q2944" s="156">
        <v>270</v>
      </c>
    </row>
    <row r="2945" spans="1:18" hidden="1">
      <c r="A2945" s="134" t="s">
        <v>1340</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884</v>
      </c>
      <c r="P2945" s="120"/>
      <c r="Q2945" s="156">
        <v>200</v>
      </c>
      <c r="R2945" s="119"/>
    </row>
    <row r="2946" spans="1:18" hidden="1">
      <c r="A2946" s="134" t="s">
        <v>1340</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884</v>
      </c>
      <c r="P2946" s="120"/>
      <c r="Q2946" s="156">
        <v>370</v>
      </c>
    </row>
    <row r="2947" spans="1:18" hidden="1">
      <c r="A2947" s="134" t="s">
        <v>1362</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1362</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1362</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hidden="1">
      <c r="A2950" s="134" t="s">
        <v>1362</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hidden="1">
      <c r="A2951" s="134" t="s">
        <v>1362</v>
      </c>
      <c r="C2951" s="29">
        <v>301500171</v>
      </c>
      <c r="D2951" s="29"/>
      <c r="E2951" s="29"/>
      <c r="F2951" s="29" t="s">
        <v>97</v>
      </c>
      <c r="G2951" s="29" t="s">
        <v>16</v>
      </c>
      <c r="H2951" s="29" t="s">
        <v>38</v>
      </c>
      <c r="I2951" s="120">
        <v>45958</v>
      </c>
      <c r="J2951" s="120">
        <f>WORKDAY(I2951, 3)</f>
        <v>45961</v>
      </c>
      <c r="K2951" s="120">
        <v>45989</v>
      </c>
      <c r="L2951" s="120"/>
      <c r="M2951" s="120"/>
      <c r="N2951" s="29"/>
      <c r="O2951" s="29" t="s">
        <v>1256</v>
      </c>
      <c r="P2951" s="29"/>
      <c r="Q2951" s="156">
        <v>565</v>
      </c>
    </row>
    <row r="2952" spans="1:18" hidden="1">
      <c r="A2952" s="134" t="s">
        <v>1362</v>
      </c>
      <c r="C2952" s="29">
        <v>301500176</v>
      </c>
      <c r="D2952" s="29"/>
      <c r="E2952" s="29"/>
      <c r="F2952" s="29" t="s">
        <v>97</v>
      </c>
      <c r="G2952" s="29" t="s">
        <v>16</v>
      </c>
      <c r="H2952" s="29" t="s">
        <v>38</v>
      </c>
      <c r="I2952" s="120">
        <v>45958</v>
      </c>
      <c r="J2952" s="120">
        <f>WORKDAY(I2952, 3)</f>
        <v>45961</v>
      </c>
      <c r="K2952" s="120">
        <v>45989</v>
      </c>
      <c r="L2952" s="120"/>
      <c r="M2952" s="120"/>
      <c r="N2952" s="29"/>
      <c r="O2952" s="29" t="s">
        <v>1256</v>
      </c>
      <c r="P2952" s="29"/>
      <c r="Q2952" s="156">
        <v>1100</v>
      </c>
    </row>
    <row r="2953" spans="1:18" hidden="1">
      <c r="A2953" s="134" t="s">
        <v>1335</v>
      </c>
      <c r="C2953" s="29">
        <v>304500355</v>
      </c>
      <c r="D2953" s="29"/>
      <c r="E2953" s="29"/>
      <c r="F2953" s="29" t="s">
        <v>97</v>
      </c>
      <c r="G2953" s="29" t="s">
        <v>16</v>
      </c>
      <c r="H2953" s="29" t="s">
        <v>38</v>
      </c>
      <c r="I2953" s="120">
        <v>45961</v>
      </c>
      <c r="J2953" s="120">
        <f>WORKDAY(I2953, 3)</f>
        <v>45966</v>
      </c>
      <c r="K2953" s="120">
        <v>45992</v>
      </c>
      <c r="L2953" s="120"/>
      <c r="M2953" s="120"/>
      <c r="N2953" s="29"/>
      <c r="O2953" s="29" t="s">
        <v>884</v>
      </c>
      <c r="P2953" s="120"/>
      <c r="Q2953" s="156"/>
    </row>
    <row r="2954" spans="1:18" hidden="1">
      <c r="A2954" s="134" t="s">
        <v>1365</v>
      </c>
      <c r="C2954" s="29">
        <v>275501749</v>
      </c>
      <c r="D2954" s="29"/>
      <c r="E2954" s="29"/>
      <c r="F2954" s="29" t="s">
        <v>97</v>
      </c>
      <c r="G2954" s="29" t="s">
        <v>16</v>
      </c>
      <c r="H2954" s="29" t="s">
        <v>38</v>
      </c>
      <c r="I2954" s="120">
        <v>45932</v>
      </c>
      <c r="J2954" s="120">
        <f>WORKDAY(I2954, 3)</f>
        <v>45937</v>
      </c>
      <c r="K2954" s="120">
        <v>45963</v>
      </c>
      <c r="L2954" s="120"/>
      <c r="M2954" s="120"/>
      <c r="N2954" s="29"/>
      <c r="O2954" s="29" t="s">
        <v>884</v>
      </c>
      <c r="P2954" s="120"/>
      <c r="Q2954" s="156">
        <v>170</v>
      </c>
    </row>
    <row r="2955" spans="1:18" hidden="1">
      <c r="A2955" s="134" t="s">
        <v>1366</v>
      </c>
      <c r="C2955" s="29">
        <v>308504653</v>
      </c>
      <c r="D2955" s="29"/>
      <c r="E2955" s="29"/>
      <c r="F2955" s="29" t="s">
        <v>97</v>
      </c>
      <c r="G2955" s="29" t="s">
        <v>961</v>
      </c>
      <c r="H2955" s="29" t="s">
        <v>38</v>
      </c>
      <c r="I2955" s="120">
        <v>45965</v>
      </c>
      <c r="J2955" s="120">
        <v>45969</v>
      </c>
      <c r="K2955" s="120">
        <v>45995</v>
      </c>
      <c r="L2955" s="120"/>
      <c r="M2955" s="120"/>
      <c r="N2955" s="29"/>
      <c r="O2955" s="29" t="s">
        <v>1256</v>
      </c>
      <c r="P2955" s="29"/>
      <c r="Q2955" s="156"/>
    </row>
    <row r="2956" spans="1:18" hidden="1">
      <c r="A2956" s="134" t="s">
        <v>1366</v>
      </c>
      <c r="C2956" s="29">
        <v>308504706</v>
      </c>
      <c r="D2956" s="29"/>
      <c r="E2956" s="29"/>
      <c r="F2956" s="29" t="s">
        <v>97</v>
      </c>
      <c r="G2956" s="29" t="s">
        <v>961</v>
      </c>
      <c r="H2956" s="29" t="s">
        <v>38</v>
      </c>
      <c r="I2956" s="120">
        <v>45965</v>
      </c>
      <c r="J2956" s="120">
        <v>45969</v>
      </c>
      <c r="K2956" s="120">
        <v>45995</v>
      </c>
      <c r="L2956" s="120"/>
      <c r="M2956" s="120"/>
      <c r="N2956" s="29"/>
      <c r="O2956" s="29" t="s">
        <v>1256</v>
      </c>
      <c r="P2956" s="29"/>
      <c r="Q2956" s="156"/>
    </row>
    <row r="2957" spans="1:18" hidden="1">
      <c r="A2957" s="134" t="s">
        <v>1366</v>
      </c>
      <c r="C2957" s="29">
        <v>308504716</v>
      </c>
      <c r="D2957" s="29"/>
      <c r="E2957" s="29"/>
      <c r="F2957" s="29" t="s">
        <v>97</v>
      </c>
      <c r="G2957" s="29" t="s">
        <v>961</v>
      </c>
      <c r="H2957" s="29" t="s">
        <v>38</v>
      </c>
      <c r="I2957" s="120">
        <v>45965</v>
      </c>
      <c r="J2957" s="120">
        <v>45969</v>
      </c>
      <c r="K2957" s="120">
        <v>45995</v>
      </c>
      <c r="L2957" s="120"/>
      <c r="M2957" s="120"/>
      <c r="N2957" s="29"/>
      <c r="O2957" s="29" t="s">
        <v>1256</v>
      </c>
      <c r="P2957" s="29"/>
      <c r="Q2957" s="156"/>
    </row>
    <row r="2958" spans="1:18" hidden="1">
      <c r="A2958" s="134" t="s">
        <v>1366</v>
      </c>
      <c r="C2958" s="29">
        <v>308504735</v>
      </c>
      <c r="D2958" s="29"/>
      <c r="E2958" s="29"/>
      <c r="F2958" s="29" t="s">
        <v>97</v>
      </c>
      <c r="G2958" s="29" t="s">
        <v>961</v>
      </c>
      <c r="H2958" s="29" t="s">
        <v>38</v>
      </c>
      <c r="I2958" s="120">
        <v>45965</v>
      </c>
      <c r="J2958" s="120">
        <v>45969</v>
      </c>
      <c r="K2958" s="120">
        <v>45995</v>
      </c>
      <c r="L2958" s="120"/>
      <c r="M2958" s="120"/>
      <c r="N2958" s="29"/>
      <c r="O2958" s="29" t="s">
        <v>1256</v>
      </c>
      <c r="P2958" s="29"/>
      <c r="Q2958" s="156"/>
    </row>
    <row r="2959" spans="1:18" hidden="1">
      <c r="A2959" s="119" t="s">
        <v>1349</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884</v>
      </c>
      <c r="P2959" s="120"/>
      <c r="Q2959" s="156">
        <v>600</v>
      </c>
    </row>
    <row r="2960" spans="1:18" hidden="1">
      <c r="A2960" s="119" t="s">
        <v>1349</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884</v>
      </c>
      <c r="P2960" s="120"/>
      <c r="Q2960" s="156">
        <v>1000</v>
      </c>
    </row>
    <row r="2961" spans="1:18" hidden="1">
      <c r="A2961" s="119" t="s">
        <v>1349</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884</v>
      </c>
      <c r="P2961" s="120"/>
      <c r="Q2961" s="156">
        <v>500</v>
      </c>
    </row>
    <row r="2962" spans="1:18" hidden="1">
      <c r="A2962" s="119" t="s">
        <v>1349</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884</v>
      </c>
      <c r="P2962" s="120"/>
      <c r="Q2962" s="156">
        <v>1500</v>
      </c>
    </row>
    <row r="2963" spans="1:18" hidden="1">
      <c r="A2963" s="119" t="s">
        <v>1349</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884</v>
      </c>
      <c r="P2963" s="120"/>
      <c r="Q2963" s="156">
        <v>1600</v>
      </c>
    </row>
    <row r="2964" spans="1:18" hidden="1">
      <c r="A2964" s="119" t="s">
        <v>1349</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884</v>
      </c>
      <c r="P2964" s="120"/>
      <c r="Q2964" s="156">
        <v>1000</v>
      </c>
    </row>
    <row r="2965" spans="1:18" hidden="1">
      <c r="A2965" s="134" t="s">
        <v>1367</v>
      </c>
      <c r="C2965" s="29">
        <v>251505986</v>
      </c>
      <c r="D2965" s="29"/>
      <c r="E2965" s="29"/>
      <c r="F2965" s="29" t="s">
        <v>97</v>
      </c>
      <c r="G2965" s="29" t="s">
        <v>16</v>
      </c>
      <c r="H2965" s="29" t="s">
        <v>38</v>
      </c>
      <c r="I2965" s="120">
        <v>45908</v>
      </c>
      <c r="J2965" s="120">
        <f>WORKDAY(I2965, 3)</f>
        <v>45911</v>
      </c>
      <c r="K2965" s="120">
        <v>45938</v>
      </c>
      <c r="L2965" s="120"/>
      <c r="M2965" s="120"/>
      <c r="N2965" s="29"/>
      <c r="O2965" s="29" t="s">
        <v>884</v>
      </c>
      <c r="P2965" s="120"/>
      <c r="Q2965" s="156">
        <v>1700</v>
      </c>
    </row>
    <row r="2966" spans="1:18" hidden="1">
      <c r="A2966" s="134" t="s">
        <v>1367</v>
      </c>
      <c r="C2966" s="29">
        <v>252500166</v>
      </c>
      <c r="D2966" s="29"/>
      <c r="E2966" s="29"/>
      <c r="F2966" s="29" t="s">
        <v>97</v>
      </c>
      <c r="G2966" s="29" t="s">
        <v>16</v>
      </c>
      <c r="H2966" s="29" t="s">
        <v>38</v>
      </c>
      <c r="I2966" s="120">
        <v>45909</v>
      </c>
      <c r="J2966" s="120">
        <f>WORKDAY(I2966, 3)</f>
        <v>45912</v>
      </c>
      <c r="K2966" s="120">
        <v>45939</v>
      </c>
      <c r="L2966" s="120"/>
      <c r="M2966" s="120"/>
      <c r="N2966" s="29"/>
      <c r="O2966" s="29" t="s">
        <v>884</v>
      </c>
      <c r="P2966" s="120"/>
      <c r="Q2966" s="156">
        <v>1400</v>
      </c>
    </row>
    <row r="2967" spans="1:18" hidden="1">
      <c r="A2967" s="134" t="s">
        <v>1367</v>
      </c>
      <c r="C2967" s="29">
        <v>253500129</v>
      </c>
      <c r="D2967" s="29"/>
      <c r="E2967" s="29"/>
      <c r="F2967" s="29" t="s">
        <v>97</v>
      </c>
      <c r="G2967" s="29" t="s">
        <v>16</v>
      </c>
      <c r="H2967" s="29" t="s">
        <v>38</v>
      </c>
      <c r="I2967" s="120">
        <v>45910</v>
      </c>
      <c r="J2967" s="120">
        <f>WORKDAY(I2967, 3)</f>
        <v>45915</v>
      </c>
      <c r="K2967" s="120">
        <v>45940</v>
      </c>
      <c r="L2967" s="120"/>
      <c r="M2967" s="120"/>
      <c r="N2967" s="29"/>
      <c r="O2967" s="29" t="s">
        <v>884</v>
      </c>
      <c r="P2967" s="120"/>
      <c r="Q2967" s="156">
        <v>1400</v>
      </c>
    </row>
    <row r="2968" spans="1:18" hidden="1">
      <c r="A2968" s="134" t="s">
        <v>1367</v>
      </c>
      <c r="C2968" s="29">
        <v>255500084</v>
      </c>
      <c r="D2968" s="29"/>
      <c r="E2968" s="29"/>
      <c r="F2968" s="29" t="s">
        <v>97</v>
      </c>
      <c r="G2968" s="29" t="s">
        <v>16</v>
      </c>
      <c r="H2968" s="29" t="s">
        <v>38</v>
      </c>
      <c r="I2968" s="120">
        <v>45912</v>
      </c>
      <c r="J2968" s="120">
        <f>WORKDAY(I2968, 3)</f>
        <v>45917</v>
      </c>
      <c r="K2968" s="120">
        <v>45942</v>
      </c>
      <c r="L2968" s="120"/>
      <c r="M2968" s="120"/>
      <c r="N2968" s="29"/>
      <c r="O2968" s="29" t="s">
        <v>884</v>
      </c>
      <c r="P2968" s="120"/>
      <c r="Q2968" s="156">
        <v>1200</v>
      </c>
      <c r="R2968" s="119"/>
    </row>
    <row r="2969" spans="1:18" hidden="1">
      <c r="A2969" s="134" t="s">
        <v>1367</v>
      </c>
      <c r="C2969" s="29">
        <v>258504076</v>
      </c>
      <c r="D2969" s="29"/>
      <c r="E2969" s="29"/>
      <c r="F2969" s="29" t="s">
        <v>97</v>
      </c>
      <c r="G2969" s="29" t="s">
        <v>16</v>
      </c>
      <c r="H2969" s="29" t="s">
        <v>38</v>
      </c>
      <c r="I2969" s="120">
        <v>45915</v>
      </c>
      <c r="J2969" s="120">
        <f>WORKDAY(I2969, 3)</f>
        <v>45918</v>
      </c>
      <c r="K2969" s="120">
        <v>45945</v>
      </c>
      <c r="L2969" s="120"/>
      <c r="M2969" s="120"/>
      <c r="N2969" s="29"/>
      <c r="O2969" s="29" t="s">
        <v>884</v>
      </c>
      <c r="P2969" s="120"/>
      <c r="Q2969" s="156">
        <v>1400</v>
      </c>
      <c r="R2969" s="119"/>
    </row>
    <row r="2970" spans="1:18" hidden="1">
      <c r="A2970" s="134" t="s">
        <v>989</v>
      </c>
      <c r="C2970" s="29">
        <v>234500683</v>
      </c>
      <c r="D2970" s="29"/>
      <c r="E2970" s="29"/>
      <c r="F2970" s="29" t="s">
        <v>97</v>
      </c>
      <c r="G2970" s="29" t="s">
        <v>16</v>
      </c>
      <c r="H2970" s="29" t="s">
        <v>38</v>
      </c>
      <c r="I2970" s="120">
        <v>45891</v>
      </c>
      <c r="J2970" s="120">
        <f>WORKDAY(I2970, 3)</f>
        <v>45896</v>
      </c>
      <c r="K2970" s="120">
        <v>45922</v>
      </c>
      <c r="L2970" s="120"/>
      <c r="M2970" s="120"/>
      <c r="N2970" s="29"/>
      <c r="O2970" s="29" t="s">
        <v>884</v>
      </c>
      <c r="P2970" s="120"/>
      <c r="Q2970" s="156">
        <v>730</v>
      </c>
    </row>
    <row r="2971" spans="1:18" hidden="1">
      <c r="A2971" s="134" t="s">
        <v>1368</v>
      </c>
      <c r="C2971" s="29">
        <v>309505225</v>
      </c>
      <c r="D2971" s="29"/>
      <c r="E2971" s="29"/>
      <c r="F2971" s="29" t="s">
        <v>97</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hidden="1">
      <c r="A2972" s="134" t="s">
        <v>1368</v>
      </c>
      <c r="C2972" s="29">
        <v>309505253</v>
      </c>
      <c r="D2972" s="29"/>
      <c r="E2972" s="29"/>
      <c r="F2972" s="29" t="s">
        <v>97</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hidden="1">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hidden="1">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hidden="1">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hidden="1">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hidden="1">
      <c r="A2977" s="134" t="s">
        <v>1342</v>
      </c>
      <c r="C2977" s="29">
        <v>301503050</v>
      </c>
      <c r="D2977" s="29"/>
      <c r="E2977" s="29"/>
      <c r="F2977" s="29" t="s">
        <v>97</v>
      </c>
      <c r="G2977" s="29" t="s">
        <v>16</v>
      </c>
      <c r="H2977" s="29" t="s">
        <v>38</v>
      </c>
      <c r="I2977" s="120">
        <v>45958</v>
      </c>
      <c r="J2977" s="120">
        <f>WORKDAY(I2977, 3)</f>
        <v>45961</v>
      </c>
      <c r="K2977" s="120">
        <v>45989</v>
      </c>
      <c r="L2977" s="120"/>
      <c r="M2977" s="120"/>
      <c r="N2977" s="29"/>
      <c r="O2977" s="29" t="s">
        <v>1369</v>
      </c>
      <c r="P2977" s="29"/>
      <c r="Q2977" s="156">
        <v>400</v>
      </c>
    </row>
    <row r="2978" spans="1:18" hidden="1">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hidden="1">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hidden="1">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hidden="1">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hidden="1">
      <c r="A2982" s="160" t="s">
        <v>1373</v>
      </c>
      <c r="B2982" s="160"/>
      <c r="C2982" s="88">
        <v>280500474</v>
      </c>
      <c r="D2982" s="29">
        <v>310500075</v>
      </c>
      <c r="E2982" s="29" t="s">
        <v>1375</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1373</v>
      </c>
      <c r="B2983" s="160"/>
      <c r="C2983" s="88">
        <v>280500491</v>
      </c>
      <c r="D2983" s="29">
        <v>310500077</v>
      </c>
      <c r="E2983" s="29" t="s">
        <v>1375</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1376</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hidden="1">
      <c r="A2986" s="160" t="s">
        <v>1378</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884</v>
      </c>
      <c r="P2986" s="120"/>
      <c r="Q2986" s="156"/>
    </row>
    <row r="2987" spans="1:18" hidden="1">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hidden="1">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hidden="1">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hidden="1">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hidden="1">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hidden="1">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hidden="1">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hidden="1">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hidden="1">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hidden="1">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hidden="1">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hidden="1">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hidden="1">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hidden="1">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hidden="1">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hidden="1">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hidden="1">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hidden="1">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hidden="1">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hidden="1">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hidden="1">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hidden="1">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hidden="1">
      <c r="A3009" s="160" t="s">
        <v>1380</v>
      </c>
      <c r="B3009" s="160"/>
      <c r="C3009" s="88">
        <v>303507285</v>
      </c>
      <c r="D3009" s="29"/>
      <c r="E3009" s="29"/>
      <c r="F3009" s="29" t="s">
        <v>144</v>
      </c>
      <c r="G3009" s="29" t="s">
        <v>16</v>
      </c>
      <c r="H3009" s="29" t="s">
        <v>1381</v>
      </c>
      <c r="I3009" s="120">
        <v>45961</v>
      </c>
      <c r="J3009" s="120">
        <f>WORKDAY(I3009, 3)</f>
        <v>45966</v>
      </c>
      <c r="K3009" s="120">
        <v>45992</v>
      </c>
      <c r="L3009" s="120"/>
      <c r="M3009" s="120"/>
      <c r="N3009" s="29"/>
      <c r="O3009" s="29" t="s">
        <v>1256</v>
      </c>
      <c r="P3009" s="29"/>
      <c r="Q3009" s="156"/>
    </row>
    <row r="3010" spans="1:17" hidden="1">
      <c r="A3010" s="160" t="s">
        <v>1380</v>
      </c>
      <c r="B3010" s="160"/>
      <c r="C3010" s="88">
        <v>303507264</v>
      </c>
      <c r="D3010" s="29"/>
      <c r="E3010" s="29"/>
      <c r="F3010" s="29" t="s">
        <v>144</v>
      </c>
      <c r="G3010" s="29" t="s">
        <v>16</v>
      </c>
      <c r="H3010" s="29" t="s">
        <v>1381</v>
      </c>
      <c r="I3010" s="120">
        <v>45961</v>
      </c>
      <c r="J3010" s="120">
        <f>WORKDAY(I3010, 3)</f>
        <v>45966</v>
      </c>
      <c r="K3010" s="120">
        <v>45992</v>
      </c>
      <c r="L3010" s="120"/>
      <c r="M3010" s="120"/>
      <c r="N3010" s="29"/>
      <c r="O3010" s="29" t="s">
        <v>1256</v>
      </c>
      <c r="P3010" s="29"/>
      <c r="Q3010" s="156"/>
    </row>
    <row r="3011" spans="1:17" hidden="1">
      <c r="A3011" s="160" t="s">
        <v>1380</v>
      </c>
      <c r="B3011" s="160"/>
      <c r="C3011" s="88">
        <v>303507237</v>
      </c>
      <c r="D3011" s="29"/>
      <c r="E3011" s="29"/>
      <c r="F3011" s="29" t="s">
        <v>144</v>
      </c>
      <c r="G3011" s="29" t="s">
        <v>16</v>
      </c>
      <c r="H3011" s="29" t="s">
        <v>1381</v>
      </c>
      <c r="I3011" s="120">
        <v>45961</v>
      </c>
      <c r="J3011" s="120">
        <f>WORKDAY(I3011, 3)</f>
        <v>45966</v>
      </c>
      <c r="K3011" s="120">
        <v>45992</v>
      </c>
      <c r="L3011" s="120"/>
      <c r="M3011" s="120"/>
      <c r="N3011" s="29"/>
      <c r="O3011" s="29" t="s">
        <v>1256</v>
      </c>
      <c r="P3011" s="29"/>
      <c r="Q3011" s="156"/>
    </row>
    <row r="3012" spans="1:17" hidden="1">
      <c r="A3012" s="160" t="s">
        <v>1380</v>
      </c>
      <c r="B3012" s="160"/>
      <c r="C3012" s="88">
        <v>303507222</v>
      </c>
      <c r="D3012" s="29"/>
      <c r="E3012" s="29"/>
      <c r="F3012" s="29" t="s">
        <v>144</v>
      </c>
      <c r="G3012" s="29" t="s">
        <v>16</v>
      </c>
      <c r="H3012" s="29" t="s">
        <v>1381</v>
      </c>
      <c r="I3012" s="120">
        <v>45961</v>
      </c>
      <c r="J3012" s="120">
        <f>WORKDAY(I3012, 3)</f>
        <v>45966</v>
      </c>
      <c r="K3012" s="120">
        <v>45992</v>
      </c>
      <c r="L3012" s="120"/>
      <c r="M3012" s="120"/>
      <c r="N3012" s="29"/>
      <c r="O3012" s="29" t="s">
        <v>1256</v>
      </c>
      <c r="P3012" s="29"/>
      <c r="Q3012" s="156"/>
    </row>
    <row r="3013" spans="1:17" hidden="1">
      <c r="A3013" s="160" t="s">
        <v>1380</v>
      </c>
      <c r="B3013" s="160"/>
      <c r="C3013" s="88">
        <v>303507206</v>
      </c>
      <c r="D3013" s="29"/>
      <c r="E3013" s="29"/>
      <c r="F3013" s="29" t="s">
        <v>144</v>
      </c>
      <c r="G3013" s="29" t="s">
        <v>16</v>
      </c>
      <c r="H3013" s="29" t="s">
        <v>1381</v>
      </c>
      <c r="I3013" s="120">
        <v>45961</v>
      </c>
      <c r="J3013" s="120">
        <f>WORKDAY(I3013, 3)</f>
        <v>45966</v>
      </c>
      <c r="K3013" s="120">
        <v>45992</v>
      </c>
      <c r="L3013" s="120"/>
      <c r="M3013" s="120"/>
      <c r="N3013" s="29"/>
      <c r="O3013" s="29" t="s">
        <v>1256</v>
      </c>
      <c r="P3013" s="29"/>
      <c r="Q3013" s="156"/>
    </row>
    <row r="3014" spans="1:17" hidden="1">
      <c r="A3014" s="160" t="s">
        <v>1380</v>
      </c>
      <c r="B3014" s="160"/>
      <c r="C3014" s="88">
        <v>303507187</v>
      </c>
      <c r="D3014" s="29"/>
      <c r="E3014" s="29"/>
      <c r="F3014" s="29" t="s">
        <v>144</v>
      </c>
      <c r="G3014" s="29" t="s">
        <v>16</v>
      </c>
      <c r="H3014" s="29" t="s">
        <v>1381</v>
      </c>
      <c r="I3014" s="120">
        <v>45961</v>
      </c>
      <c r="J3014" s="120">
        <f>WORKDAY(I3014, 3)</f>
        <v>45966</v>
      </c>
      <c r="K3014" s="120">
        <v>45992</v>
      </c>
      <c r="L3014" s="120"/>
      <c r="M3014" s="120"/>
      <c r="N3014" s="29"/>
      <c r="O3014" s="29" t="s">
        <v>1256</v>
      </c>
      <c r="P3014" s="29"/>
      <c r="Q3014" s="156"/>
    </row>
    <row r="3015" spans="1:17" hidden="1">
      <c r="A3015" s="160" t="s">
        <v>1380</v>
      </c>
      <c r="B3015" s="160"/>
      <c r="C3015" s="88">
        <v>303507168</v>
      </c>
      <c r="D3015" s="29"/>
      <c r="E3015" s="29"/>
      <c r="F3015" s="29" t="s">
        <v>144</v>
      </c>
      <c r="G3015" s="29" t="s">
        <v>16</v>
      </c>
      <c r="H3015" s="29" t="s">
        <v>1381</v>
      </c>
      <c r="I3015" s="120">
        <v>45961</v>
      </c>
      <c r="J3015" s="120">
        <f>WORKDAY(I3015, 3)</f>
        <v>45966</v>
      </c>
      <c r="K3015" s="120">
        <v>45992</v>
      </c>
      <c r="L3015" s="120"/>
      <c r="M3015" s="120"/>
      <c r="N3015" s="29"/>
      <c r="O3015" s="29" t="s">
        <v>1256</v>
      </c>
      <c r="P3015" s="29"/>
      <c r="Q3015" s="156"/>
    </row>
    <row r="3016" spans="1:17" hidden="1">
      <c r="A3016" s="160" t="s">
        <v>1382</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1358</v>
      </c>
      <c r="P3016" s="29"/>
      <c r="Q3016" s="156">
        <v>300</v>
      </c>
    </row>
    <row r="3017" spans="1:17" hidden="1">
      <c r="A3017" s="160" t="s">
        <v>1382</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1358</v>
      </c>
      <c r="P3017" s="29"/>
      <c r="Q3017" s="156">
        <v>300</v>
      </c>
    </row>
    <row r="3018" spans="1:17" hidden="1">
      <c r="A3018" s="160" t="s">
        <v>1382</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1358</v>
      </c>
      <c r="P3018" s="29"/>
      <c r="Q3018" s="156">
        <v>300</v>
      </c>
    </row>
    <row r="3019" spans="1:17" hidden="1">
      <c r="A3019" s="160" t="s">
        <v>1382</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1358</v>
      </c>
      <c r="P3019" s="29"/>
      <c r="Q3019" s="156">
        <v>200</v>
      </c>
    </row>
    <row r="3020" spans="1:17" hidden="1">
      <c r="A3020" s="160" t="s">
        <v>1382</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1358</v>
      </c>
      <c r="P3020" s="29"/>
      <c r="Q3020" s="156">
        <v>230</v>
      </c>
    </row>
    <row r="3021" spans="1:17" hidden="1">
      <c r="A3021" s="160" t="s">
        <v>1382</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1358</v>
      </c>
      <c r="P3021" s="29"/>
      <c r="Q3021" s="156">
        <v>200</v>
      </c>
    </row>
    <row r="3022" spans="1:17" hidden="1">
      <c r="A3022" s="160" t="s">
        <v>1382</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1374</v>
      </c>
      <c r="P3022" s="29"/>
      <c r="Q3022" s="156">
        <v>200</v>
      </c>
    </row>
    <row r="3023" spans="1:17" hidden="1">
      <c r="A3023" s="160" t="s">
        <v>1382</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1374</v>
      </c>
      <c r="P3023" s="29"/>
      <c r="Q3023" s="156">
        <v>250</v>
      </c>
    </row>
    <row r="3024" spans="1:17" hidden="1">
      <c r="A3024" s="160" t="s">
        <v>1382</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1358</v>
      </c>
      <c r="P3024" s="29"/>
      <c r="Q3024" s="156">
        <v>320</v>
      </c>
    </row>
    <row r="3025" spans="1:17" hidden="1">
      <c r="A3025" s="160" t="s">
        <v>1382</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1358</v>
      </c>
      <c r="P3025" s="29"/>
      <c r="Q3025" s="156">
        <v>300</v>
      </c>
    </row>
    <row r="3026" spans="1:17" hidden="1">
      <c r="A3026" s="160" t="s">
        <v>1382</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1358</v>
      </c>
      <c r="P3026" s="29"/>
      <c r="Q3026" s="156">
        <v>350</v>
      </c>
    </row>
    <row r="3027" spans="1:17" hidden="1">
      <c r="A3027" s="160" t="s">
        <v>1382</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1358</v>
      </c>
      <c r="P3027" s="29"/>
      <c r="Q3027" s="156">
        <v>300</v>
      </c>
    </row>
    <row r="3028" spans="1:17" hidden="1">
      <c r="A3028" s="160" t="s">
        <v>1382</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1358</v>
      </c>
      <c r="P3028" s="29"/>
      <c r="Q3028" s="156">
        <v>250</v>
      </c>
    </row>
    <row r="3029" spans="1:17" hidden="1">
      <c r="A3029" s="160" t="s">
        <v>1382</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1358</v>
      </c>
      <c r="P3029" s="29"/>
      <c r="Q3029" s="156">
        <v>300</v>
      </c>
    </row>
    <row r="3030" spans="1:17" hidden="1">
      <c r="A3030" s="160" t="s">
        <v>1382</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1358</v>
      </c>
      <c r="P3030" s="29"/>
      <c r="Q3030" s="156">
        <v>200</v>
      </c>
    </row>
    <row r="3031" spans="1:17" hidden="1">
      <c r="A3031" s="160" t="s">
        <v>1383</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1256</v>
      </c>
      <c r="P3031" s="29"/>
      <c r="Q3031" s="156">
        <v>250</v>
      </c>
    </row>
    <row r="3032" spans="1:17" hidden="1">
      <c r="A3032" s="160" t="s">
        <v>1383</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1256</v>
      </c>
      <c r="P3032" s="29"/>
      <c r="Q3032" s="156">
        <v>200</v>
      </c>
    </row>
    <row r="3033" spans="1:17" hidden="1">
      <c r="A3033" s="160" t="s">
        <v>1383</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1256</v>
      </c>
      <c r="P3033" s="29"/>
      <c r="Q3033" s="156">
        <v>260</v>
      </c>
    </row>
    <row r="3034" spans="1:17" hidden="1">
      <c r="A3034" s="160" t="s">
        <v>1383</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1256</v>
      </c>
      <c r="P3034" s="29"/>
      <c r="Q3034" s="156">
        <v>250</v>
      </c>
    </row>
    <row r="3035" spans="1:17" hidden="1">
      <c r="A3035" s="160" t="s">
        <v>1383</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1256</v>
      </c>
      <c r="P3035" s="29"/>
      <c r="Q3035" s="156">
        <v>250</v>
      </c>
    </row>
    <row r="3036" spans="1:17" hidden="1">
      <c r="A3036" s="160" t="s">
        <v>1383</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1256</v>
      </c>
      <c r="P3036" s="29"/>
      <c r="Q3036" s="156">
        <v>250</v>
      </c>
    </row>
    <row r="3037" spans="1:17" hidden="1">
      <c r="A3037" s="160" t="s">
        <v>1383</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1256</v>
      </c>
      <c r="P3037" s="29"/>
      <c r="Q3037" s="156">
        <v>250</v>
      </c>
    </row>
    <row r="3038" spans="1:17" hidden="1">
      <c r="A3038" s="160" t="s">
        <v>1383</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1256</v>
      </c>
      <c r="P3038" s="29"/>
      <c r="Q3038" s="156">
        <v>250</v>
      </c>
    </row>
    <row r="3039" spans="1:17" hidden="1">
      <c r="A3039" s="160" t="s">
        <v>1383</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1256</v>
      </c>
      <c r="P3039" s="29"/>
      <c r="Q3039" s="156">
        <v>200</v>
      </c>
    </row>
    <row r="3040" spans="1:17" hidden="1">
      <c r="A3040" s="160" t="s">
        <v>1383</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1256</v>
      </c>
      <c r="P3040" s="29"/>
      <c r="Q3040" s="156">
        <v>300</v>
      </c>
    </row>
    <row r="3041" spans="1:18" hidden="1">
      <c r="A3041" s="160" t="s">
        <v>1383</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1256</v>
      </c>
      <c r="P3041" s="29"/>
      <c r="Q3041" s="156">
        <v>300</v>
      </c>
    </row>
    <row r="3042" spans="1:18" hidden="1">
      <c r="A3042" s="160" t="s">
        <v>1383</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1256</v>
      </c>
      <c r="P3042" s="29"/>
      <c r="Q3042" s="156">
        <v>75</v>
      </c>
    </row>
    <row r="3043" spans="1:18" hidden="1">
      <c r="A3043" s="160" t="s">
        <v>1383</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hidden="1">
      <c r="A3044" s="160" t="s">
        <v>1383</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hidden="1">
      <c r="A3045" s="160" t="s">
        <v>1383</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hidden="1">
      <c r="A3046" s="160" t="s">
        <v>1383</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hidden="1">
      <c r="A3047" s="160" t="s">
        <v>1347</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1256</v>
      </c>
      <c r="P3047" s="29"/>
      <c r="Q3047" s="156">
        <v>150</v>
      </c>
    </row>
    <row r="3048" spans="1:18" hidden="1">
      <c r="A3048" s="160" t="s">
        <v>1347</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1256</v>
      </c>
      <c r="P3048" s="29"/>
      <c r="Q3048" s="156">
        <v>240</v>
      </c>
    </row>
    <row r="3049" spans="1:18" hidden="1">
      <c r="A3049" s="160" t="s">
        <v>1347</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1256</v>
      </c>
      <c r="P3049" s="29"/>
      <c r="Q3049" s="156">
        <v>400</v>
      </c>
    </row>
    <row r="3050" spans="1:18" hidden="1">
      <c r="A3050" s="160" t="s">
        <v>1347</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1256</v>
      </c>
      <c r="P3050" s="29"/>
      <c r="Q3050" s="156">
        <v>400</v>
      </c>
    </row>
    <row r="3051" spans="1:18" hidden="1">
      <c r="A3051" s="160" t="s">
        <v>1347</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1256</v>
      </c>
      <c r="P3051" s="29"/>
      <c r="Q3051" s="156">
        <v>400</v>
      </c>
    </row>
    <row r="3052" spans="1:18" hidden="1">
      <c r="A3052" s="160" t="s">
        <v>1347</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1256</v>
      </c>
      <c r="P3052" s="29"/>
      <c r="Q3052" s="156">
        <v>320</v>
      </c>
    </row>
    <row r="3053" spans="1:18" hidden="1">
      <c r="A3053" s="160" t="s">
        <v>1347</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1256</v>
      </c>
      <c r="P3053" s="29"/>
      <c r="Q3053" s="156">
        <v>475</v>
      </c>
    </row>
    <row r="3054" spans="1:18" hidden="1">
      <c r="A3054" s="160" t="s">
        <v>1347</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1256</v>
      </c>
      <c r="P3054" s="29"/>
      <c r="Q3054" s="156">
        <v>350</v>
      </c>
    </row>
    <row r="3055" spans="1:18" hidden="1">
      <c r="A3055" s="160" t="s">
        <v>1347</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1256</v>
      </c>
      <c r="P3055" s="29"/>
      <c r="Q3055" s="156">
        <v>320</v>
      </c>
    </row>
    <row r="3056" spans="1:18" hidden="1">
      <c r="A3056" s="160" t="s">
        <v>1347</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hidden="1">
      <c r="A3057" s="160" t="s">
        <v>1347</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hidden="1">
      <c r="A3058" s="160" t="s">
        <v>1347</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hidden="1">
      <c r="A3059" s="160" t="s">
        <v>1347</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hidden="1">
      <c r="A3060" s="160" t="s">
        <v>1347</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hidden="1">
      <c r="A3061" s="160" t="s">
        <v>1347</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hidden="1">
      <c r="A3062" s="160" t="s">
        <v>1347</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hidden="1">
      <c r="A3063" s="160" t="s">
        <v>1384</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1256</v>
      </c>
      <c r="P3063" s="29"/>
      <c r="Q3063" s="156">
        <v>250</v>
      </c>
    </row>
    <row r="3064" spans="1:18" hidden="1">
      <c r="A3064" s="160" t="s">
        <v>1384</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1256</v>
      </c>
      <c r="P3064" s="29"/>
      <c r="Q3064" s="156">
        <v>250</v>
      </c>
    </row>
    <row r="3065" spans="1:18" hidden="1">
      <c r="A3065" s="160" t="s">
        <v>1384</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1256</v>
      </c>
      <c r="P3065" s="29"/>
      <c r="Q3065" s="156">
        <v>300</v>
      </c>
    </row>
    <row r="3066" spans="1:18" hidden="1">
      <c r="A3066" s="160" t="s">
        <v>1384</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1256</v>
      </c>
      <c r="P3066" s="29"/>
      <c r="Q3066" s="156">
        <v>40</v>
      </c>
    </row>
    <row r="3067" spans="1:18" hidden="1">
      <c r="A3067" s="160" t="s">
        <v>1384</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1256</v>
      </c>
      <c r="P3067" s="29"/>
      <c r="Q3067" s="156">
        <v>40</v>
      </c>
    </row>
    <row r="3068" spans="1:18" hidden="1">
      <c r="A3068" s="160" t="s">
        <v>1384</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1256</v>
      </c>
      <c r="P3068" s="29"/>
      <c r="Q3068" s="156">
        <v>250</v>
      </c>
    </row>
    <row r="3069" spans="1:18" hidden="1">
      <c r="A3069" s="160" t="s">
        <v>1384</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1256</v>
      </c>
      <c r="P3069" s="29"/>
      <c r="Q3069" s="156">
        <v>250</v>
      </c>
    </row>
    <row r="3070" spans="1:18" hidden="1">
      <c r="A3070" s="160" t="s">
        <v>1384</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1256</v>
      </c>
      <c r="P3070" s="29"/>
      <c r="Q3070" s="156">
        <v>300</v>
      </c>
    </row>
    <row r="3071" spans="1:18" hidden="1">
      <c r="A3071" s="160" t="s">
        <v>1384</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1256</v>
      </c>
      <c r="P3071" s="29"/>
      <c r="Q3071" s="156">
        <v>200</v>
      </c>
    </row>
    <row r="3072" spans="1:18" hidden="1">
      <c r="A3072" s="160" t="s">
        <v>1384</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1256</v>
      </c>
      <c r="P3072" s="29"/>
      <c r="Q3072" s="156">
        <v>300</v>
      </c>
    </row>
    <row r="3073" spans="1:18" hidden="1">
      <c r="A3073" s="160" t="s">
        <v>1384</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1256</v>
      </c>
      <c r="P3073" s="29"/>
      <c r="Q3073" s="156">
        <v>50</v>
      </c>
    </row>
    <row r="3074" spans="1:18" hidden="1">
      <c r="A3074" s="160" t="s">
        <v>1384</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1256</v>
      </c>
      <c r="P3074" s="29"/>
      <c r="Q3074" s="156">
        <v>300</v>
      </c>
    </row>
    <row r="3075" spans="1:18" hidden="1">
      <c r="A3075" s="160" t="s">
        <v>1384</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1256</v>
      </c>
      <c r="P3075" s="29"/>
      <c r="Q3075" s="156">
        <v>300</v>
      </c>
    </row>
    <row r="3076" spans="1:18" hidden="1">
      <c r="A3076" s="160" t="s">
        <v>1384</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hidden="1">
      <c r="A3077" s="160" t="s">
        <v>1384</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hidden="1">
      <c r="A3078" s="160" t="s">
        <v>1384</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hidden="1">
      <c r="A3079" s="160" t="s">
        <v>1384</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hidden="1">
      <c r="A3080" s="160" t="s">
        <v>1384</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hidden="1">
      <c r="A3081" s="160" t="s">
        <v>1384</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hidden="1">
      <c r="A3082" s="160" t="s">
        <v>1385</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1256</v>
      </c>
      <c r="P3082" s="120"/>
      <c r="Q3082" s="156">
        <v>500</v>
      </c>
    </row>
    <row r="3083" spans="1:18" hidden="1">
      <c r="A3083" s="160" t="s">
        <v>1385</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1256</v>
      </c>
      <c r="P3083" s="29"/>
      <c r="Q3083" s="156">
        <v>550</v>
      </c>
    </row>
    <row r="3084" spans="1:18" hidden="1">
      <c r="A3084" s="160" t="s">
        <v>1385</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1256</v>
      </c>
      <c r="P3084" s="29"/>
      <c r="Q3084" s="156">
        <v>550</v>
      </c>
    </row>
    <row r="3085" spans="1:18" hidden="1">
      <c r="A3085" s="160" t="s">
        <v>1385</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1256</v>
      </c>
      <c r="P3085" s="29"/>
      <c r="Q3085" s="156">
        <v>550</v>
      </c>
    </row>
    <row r="3086" spans="1:18" hidden="1">
      <c r="A3086" s="160" t="s">
        <v>1385</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1256</v>
      </c>
      <c r="P3086" s="29"/>
      <c r="Q3086" s="156">
        <v>230</v>
      </c>
    </row>
    <row r="3087" spans="1:18" hidden="1">
      <c r="A3087" s="160" t="s">
        <v>1385</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1256</v>
      </c>
      <c r="P3087" s="29"/>
      <c r="Q3087" s="156">
        <v>300</v>
      </c>
    </row>
    <row r="3088" spans="1:18" hidden="1">
      <c r="A3088" s="160" t="s">
        <v>1385</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1256</v>
      </c>
      <c r="P3088" s="29"/>
      <c r="Q3088" s="156">
        <v>450</v>
      </c>
    </row>
    <row r="3089" spans="1:18" hidden="1">
      <c r="A3089" s="160" t="s">
        <v>1385</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1256</v>
      </c>
      <c r="P3089" s="29"/>
      <c r="Q3089" s="156">
        <v>420</v>
      </c>
    </row>
    <row r="3090" spans="1:18" hidden="1">
      <c r="A3090" s="160" t="s">
        <v>1385</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1256</v>
      </c>
      <c r="P3090" s="29"/>
      <c r="Q3090" s="156">
        <v>300</v>
      </c>
    </row>
    <row r="3091" spans="1:18" hidden="1">
      <c r="A3091" s="160" t="s">
        <v>1385</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1256</v>
      </c>
      <c r="P3091" s="29"/>
      <c r="Q3091" s="156">
        <v>550</v>
      </c>
    </row>
    <row r="3092" spans="1:18" hidden="1">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hidden="1">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hidden="1">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hidden="1">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hidden="1">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hidden="1">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hidden="1">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hidden="1">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hidden="1">
      <c r="A3100" s="160" t="s">
        <v>1395</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hidden="1">
      <c r="A3101" s="160" t="s">
        <v>1395</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hidden="1">
      <c r="A3102" s="160" t="s">
        <v>1395</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hidden="1">
      <c r="A3103" s="160" t="s">
        <v>1395</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hidden="1">
      <c r="A3104" s="160" t="s">
        <v>1395</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1256</v>
      </c>
      <c r="P3104" s="29"/>
      <c r="Q3104" s="156">
        <v>300</v>
      </c>
    </row>
    <row r="3105" spans="1:18" hidden="1">
      <c r="A3105" s="160" t="s">
        <v>1395</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1256</v>
      </c>
      <c r="P3105" s="29"/>
      <c r="Q3105" s="156">
        <v>175</v>
      </c>
    </row>
    <row r="3106" spans="1:18" hidden="1">
      <c r="A3106" s="160" t="s">
        <v>1395</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1256</v>
      </c>
      <c r="P3106" s="29"/>
      <c r="Q3106" s="156">
        <v>300</v>
      </c>
    </row>
    <row r="3107" spans="1:18" hidden="1">
      <c r="A3107" s="160" t="s">
        <v>1395</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1256</v>
      </c>
      <c r="P3107" s="29"/>
      <c r="Q3107" s="156">
        <v>300</v>
      </c>
    </row>
    <row r="3108" spans="1:18" hidden="1">
      <c r="A3108" s="160" t="s">
        <v>1395</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1256</v>
      </c>
      <c r="P3108" s="29"/>
      <c r="Q3108" s="156">
        <v>200</v>
      </c>
    </row>
    <row r="3109" spans="1:18" hidden="1">
      <c r="A3109" s="160" t="s">
        <v>1395</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1256</v>
      </c>
      <c r="P3109" s="29"/>
      <c r="Q3109" s="156">
        <v>270</v>
      </c>
    </row>
    <row r="3110" spans="1:18" hidden="1">
      <c r="A3110" s="160" t="s">
        <v>1395</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1256</v>
      </c>
      <c r="P3110" s="29"/>
      <c r="Q3110" s="156">
        <v>160</v>
      </c>
    </row>
    <row r="3111" spans="1:18" hidden="1">
      <c r="A3111" s="160" t="s">
        <v>1063</v>
      </c>
      <c r="B3111" s="160"/>
      <c r="C3111" s="88">
        <v>308503277</v>
      </c>
      <c r="D3111" s="29"/>
      <c r="E3111" s="29"/>
      <c r="F3111" s="29" t="s">
        <v>97</v>
      </c>
      <c r="G3111" s="29" t="s">
        <v>961</v>
      </c>
      <c r="H3111" s="29" t="s">
        <v>38</v>
      </c>
      <c r="I3111" s="120">
        <v>45965</v>
      </c>
      <c r="J3111" s="120">
        <f>WORKDAY(I3111, 3)</f>
        <v>45968</v>
      </c>
      <c r="K3111" s="120">
        <v>45995</v>
      </c>
      <c r="L3111" s="120"/>
      <c r="M3111" s="120"/>
      <c r="N3111" s="29"/>
      <c r="O3111" s="29" t="s">
        <v>1094</v>
      </c>
      <c r="P3111" s="29"/>
      <c r="Q3111" s="156"/>
    </row>
    <row r="3112" spans="1:18" hidden="1">
      <c r="A3112" s="160" t="s">
        <v>1063</v>
      </c>
      <c r="B3112" s="160"/>
      <c r="C3112" s="88">
        <v>308504866</v>
      </c>
      <c r="D3112" s="29"/>
      <c r="E3112" s="29"/>
      <c r="F3112" s="29" t="s">
        <v>97</v>
      </c>
      <c r="G3112" s="29" t="s">
        <v>961</v>
      </c>
      <c r="H3112" s="29" t="s">
        <v>38</v>
      </c>
      <c r="I3112" s="120">
        <v>45965</v>
      </c>
      <c r="J3112" s="120">
        <v>45969</v>
      </c>
      <c r="K3112" s="120">
        <v>45995</v>
      </c>
      <c r="L3112" s="120"/>
      <c r="M3112" s="120"/>
      <c r="N3112" s="29"/>
      <c r="O3112" s="29" t="s">
        <v>1094</v>
      </c>
      <c r="P3112" s="29"/>
      <c r="Q3112" s="156"/>
    </row>
    <row r="3113" spans="1:18" hidden="1">
      <c r="A3113" s="160" t="s">
        <v>1063</v>
      </c>
      <c r="B3113" s="160"/>
      <c r="C3113" s="88">
        <v>308504920</v>
      </c>
      <c r="D3113" s="29"/>
      <c r="E3113" s="29"/>
      <c r="F3113" s="29" t="s">
        <v>97</v>
      </c>
      <c r="G3113" s="29" t="s">
        <v>961</v>
      </c>
      <c r="H3113" s="29" t="s">
        <v>38</v>
      </c>
      <c r="I3113" s="120">
        <v>45965</v>
      </c>
      <c r="J3113" s="120">
        <v>45969</v>
      </c>
      <c r="K3113" s="120">
        <v>45995</v>
      </c>
      <c r="L3113" s="120"/>
      <c r="M3113" s="120"/>
      <c r="N3113" s="29"/>
      <c r="O3113" s="29" t="s">
        <v>1094</v>
      </c>
      <c r="P3113" s="29"/>
      <c r="Q3113" s="156"/>
    </row>
    <row r="3114" spans="1:18" hidden="1">
      <c r="A3114" s="160" t="s">
        <v>1063</v>
      </c>
      <c r="B3114" s="160"/>
      <c r="C3114" s="88">
        <v>280500374</v>
      </c>
      <c r="D3114" s="29"/>
      <c r="E3114" s="29"/>
      <c r="F3114" s="29" t="s">
        <v>97</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hidden="1">
      <c r="A3115" s="160" t="s">
        <v>1063</v>
      </c>
      <c r="B3115" s="160"/>
      <c r="C3115" s="88">
        <v>280500384</v>
      </c>
      <c r="D3115" s="29"/>
      <c r="E3115" s="29"/>
      <c r="F3115" s="29" t="s">
        <v>97</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hidden="1">
      <c r="A3116" s="160" t="s">
        <v>1063</v>
      </c>
      <c r="B3116" s="160"/>
      <c r="C3116" s="88">
        <v>280500406</v>
      </c>
      <c r="D3116" s="29"/>
      <c r="E3116" s="29"/>
      <c r="F3116" s="29" t="s">
        <v>97</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hidden="1">
      <c r="A3117" s="160" t="s">
        <v>1397</v>
      </c>
      <c r="B3117" s="160"/>
      <c r="C3117" s="88">
        <v>301501776</v>
      </c>
      <c r="D3117" s="29"/>
      <c r="E3117" s="29"/>
      <c r="F3117" s="29" t="s">
        <v>97</v>
      </c>
      <c r="G3117" s="29" t="s">
        <v>961</v>
      </c>
      <c r="H3117" s="29" t="s">
        <v>38</v>
      </c>
      <c r="I3117" s="120">
        <v>45958</v>
      </c>
      <c r="J3117" s="120">
        <f>WORKDAY(I3117, 3)</f>
        <v>45961</v>
      </c>
      <c r="K3117" s="120">
        <v>45989</v>
      </c>
      <c r="L3117" s="120"/>
      <c r="M3117" s="120"/>
      <c r="N3117" s="29"/>
      <c r="O3117" s="29" t="s">
        <v>1094</v>
      </c>
      <c r="P3117" s="29"/>
      <c r="Q3117" s="156"/>
    </row>
    <row r="3118" spans="1:18" hidden="1">
      <c r="A3118" s="160" t="s">
        <v>1397</v>
      </c>
      <c r="B3118" s="160"/>
      <c r="C3118" s="88">
        <v>301501818</v>
      </c>
      <c r="D3118" s="29"/>
      <c r="E3118" s="29"/>
      <c r="F3118" s="29" t="s">
        <v>97</v>
      </c>
      <c r="G3118" s="29" t="s">
        <v>961</v>
      </c>
      <c r="H3118" s="29" t="s">
        <v>38</v>
      </c>
      <c r="I3118" s="120">
        <v>45958</v>
      </c>
      <c r="J3118" s="120">
        <f>WORKDAY(I3118, 3)</f>
        <v>45961</v>
      </c>
      <c r="K3118" s="120">
        <v>45989</v>
      </c>
      <c r="L3118" s="120"/>
      <c r="M3118" s="120"/>
      <c r="N3118" s="29"/>
      <c r="O3118" s="29" t="s">
        <v>1094</v>
      </c>
      <c r="P3118" s="29"/>
      <c r="Q3118" s="156"/>
    </row>
    <row r="3119" spans="1:18" hidden="1">
      <c r="A3119" s="160" t="s">
        <v>1397</v>
      </c>
      <c r="B3119" s="160"/>
      <c r="C3119" s="88">
        <v>301502019</v>
      </c>
      <c r="D3119" s="29"/>
      <c r="E3119" s="29"/>
      <c r="F3119" s="29" t="s">
        <v>97</v>
      </c>
      <c r="G3119" s="29" t="s">
        <v>961</v>
      </c>
      <c r="H3119" s="29" t="s">
        <v>38</v>
      </c>
      <c r="I3119" s="120">
        <v>45958</v>
      </c>
      <c r="J3119" s="120">
        <f>WORKDAY(I3119, 3)</f>
        <v>45961</v>
      </c>
      <c r="K3119" s="120">
        <v>45989</v>
      </c>
      <c r="L3119" s="120"/>
      <c r="M3119" s="120"/>
      <c r="N3119" s="29"/>
      <c r="O3119" s="29" t="s">
        <v>1094</v>
      </c>
      <c r="P3119" s="29"/>
      <c r="Q3119" s="156"/>
    </row>
    <row r="3120" spans="1:18" hidden="1">
      <c r="A3120" s="160" t="s">
        <v>1397</v>
      </c>
      <c r="B3120" s="160"/>
      <c r="C3120" s="88">
        <v>301502037</v>
      </c>
      <c r="D3120" s="29"/>
      <c r="E3120" s="29"/>
      <c r="F3120" s="29" t="s">
        <v>97</v>
      </c>
      <c r="G3120" s="29" t="s">
        <v>961</v>
      </c>
      <c r="H3120" s="29" t="s">
        <v>38</v>
      </c>
      <c r="I3120" s="120">
        <v>45958</v>
      </c>
      <c r="J3120" s="120">
        <f>WORKDAY(I3120, 3)</f>
        <v>45961</v>
      </c>
      <c r="K3120" s="120">
        <v>45989</v>
      </c>
      <c r="L3120" s="120"/>
      <c r="M3120" s="120"/>
      <c r="N3120" s="29"/>
      <c r="O3120" s="29" t="s">
        <v>1094</v>
      </c>
      <c r="P3120" s="29"/>
      <c r="Q3120" s="156"/>
    </row>
    <row r="3121" spans="1:18" hidden="1">
      <c r="A3121" s="160" t="s">
        <v>1397</v>
      </c>
      <c r="B3121" s="160"/>
      <c r="C3121" s="88">
        <v>301502057</v>
      </c>
      <c r="D3121" s="29"/>
      <c r="E3121" s="29"/>
      <c r="F3121" s="29" t="s">
        <v>97</v>
      </c>
      <c r="G3121" s="29" t="s">
        <v>961</v>
      </c>
      <c r="H3121" s="29" t="s">
        <v>38</v>
      </c>
      <c r="I3121" s="120">
        <v>45958</v>
      </c>
      <c r="J3121" s="120">
        <f>WORKDAY(I3121, 3)</f>
        <v>45961</v>
      </c>
      <c r="K3121" s="120">
        <v>45989</v>
      </c>
      <c r="L3121" s="120"/>
      <c r="M3121" s="120"/>
      <c r="N3121" s="29"/>
      <c r="O3121" s="29" t="s">
        <v>1094</v>
      </c>
      <c r="P3121" s="29"/>
      <c r="Q3121" s="156"/>
    </row>
    <row r="3122" spans="1:18" hidden="1">
      <c r="A3122" s="160" t="s">
        <v>1397</v>
      </c>
      <c r="B3122" s="160"/>
      <c r="C3122" s="88">
        <v>301502101</v>
      </c>
      <c r="D3122" s="29"/>
      <c r="E3122" s="29"/>
      <c r="F3122" s="29" t="s">
        <v>97</v>
      </c>
      <c r="G3122" s="29" t="s">
        <v>961</v>
      </c>
      <c r="H3122" s="29" t="s">
        <v>38</v>
      </c>
      <c r="I3122" s="120">
        <v>45958</v>
      </c>
      <c r="J3122" s="120">
        <f>WORKDAY(I3122, 3)</f>
        <v>45961</v>
      </c>
      <c r="K3122" s="120">
        <v>45989</v>
      </c>
      <c r="L3122" s="120"/>
      <c r="M3122" s="120"/>
      <c r="N3122" s="29"/>
      <c r="O3122" s="29" t="s">
        <v>1094</v>
      </c>
      <c r="P3122" s="120"/>
      <c r="Q3122" s="156"/>
    </row>
    <row r="3123" spans="1:18" hidden="1">
      <c r="A3123" s="160" t="s">
        <v>1397</v>
      </c>
      <c r="B3123" s="160"/>
      <c r="C3123" s="88">
        <v>301502195</v>
      </c>
      <c r="D3123" s="29"/>
      <c r="E3123" s="29"/>
      <c r="F3123" s="29" t="s">
        <v>97</v>
      </c>
      <c r="G3123" s="29" t="s">
        <v>961</v>
      </c>
      <c r="H3123" s="29" t="s">
        <v>38</v>
      </c>
      <c r="I3123" s="120">
        <v>45958</v>
      </c>
      <c r="J3123" s="120">
        <f>WORKDAY(I3123, 3)</f>
        <v>45961</v>
      </c>
      <c r="K3123" s="120">
        <v>45989</v>
      </c>
      <c r="L3123" s="120"/>
      <c r="M3123" s="120"/>
      <c r="N3123" s="29"/>
      <c r="O3123" s="29" t="s">
        <v>1094</v>
      </c>
      <c r="P3123" s="120"/>
      <c r="Q3123" s="156"/>
    </row>
    <row r="3124" spans="1:18" hidden="1">
      <c r="A3124" s="160" t="s">
        <v>1397</v>
      </c>
      <c r="B3124" s="160"/>
      <c r="C3124" s="88">
        <v>301502255</v>
      </c>
      <c r="D3124" s="29"/>
      <c r="E3124" s="29"/>
      <c r="F3124" s="29" t="s">
        <v>97</v>
      </c>
      <c r="G3124" s="29" t="s">
        <v>961</v>
      </c>
      <c r="H3124" s="29" t="s">
        <v>38</v>
      </c>
      <c r="I3124" s="120">
        <v>45958</v>
      </c>
      <c r="J3124" s="120">
        <f>WORKDAY(I3124, 3)</f>
        <v>45961</v>
      </c>
      <c r="K3124" s="120">
        <v>45989</v>
      </c>
      <c r="L3124" s="120"/>
      <c r="M3124" s="120"/>
      <c r="N3124" s="29"/>
      <c r="O3124" s="29" t="s">
        <v>1094</v>
      </c>
      <c r="P3124" s="29"/>
      <c r="Q3124" s="156"/>
    </row>
    <row r="3125" spans="1:18" hidden="1">
      <c r="A3125" s="160" t="s">
        <v>1397</v>
      </c>
      <c r="B3125" s="160"/>
      <c r="C3125" s="88">
        <v>301502282</v>
      </c>
      <c r="D3125" s="29"/>
      <c r="E3125" s="29"/>
      <c r="F3125" s="29" t="s">
        <v>97</v>
      </c>
      <c r="G3125" s="29" t="s">
        <v>961</v>
      </c>
      <c r="H3125" s="29" t="s">
        <v>38</v>
      </c>
      <c r="I3125" s="120">
        <v>45958</v>
      </c>
      <c r="J3125" s="120">
        <f>WORKDAY(I3125, 3)</f>
        <v>45961</v>
      </c>
      <c r="K3125" s="120">
        <v>45989</v>
      </c>
      <c r="L3125" s="120"/>
      <c r="M3125" s="120"/>
      <c r="N3125" s="29"/>
      <c r="O3125" s="29" t="s">
        <v>1094</v>
      </c>
      <c r="P3125" s="29"/>
      <c r="Q3125" s="156"/>
    </row>
    <row r="3126" spans="1:18" hidden="1">
      <c r="A3126" s="160" t="s">
        <v>1397</v>
      </c>
      <c r="B3126" s="160"/>
      <c r="C3126" s="88">
        <v>301502345</v>
      </c>
      <c r="D3126" s="29"/>
      <c r="E3126" s="29"/>
      <c r="F3126" s="29" t="s">
        <v>97</v>
      </c>
      <c r="G3126" s="29" t="s">
        <v>961</v>
      </c>
      <c r="H3126" s="29" t="s">
        <v>38</v>
      </c>
      <c r="I3126" s="120">
        <v>45958</v>
      </c>
      <c r="J3126" s="120">
        <f>WORKDAY(I3126, 3)</f>
        <v>45961</v>
      </c>
      <c r="K3126" s="120">
        <v>45989</v>
      </c>
      <c r="L3126" s="120"/>
      <c r="M3126" s="120"/>
      <c r="N3126" s="29"/>
      <c r="O3126" s="29" t="s">
        <v>1094</v>
      </c>
      <c r="P3126" s="29"/>
      <c r="Q3126" s="156"/>
    </row>
    <row r="3127" spans="1:18" hidden="1">
      <c r="A3127" s="160" t="s">
        <v>1397</v>
      </c>
      <c r="B3127" s="160"/>
      <c r="C3127" s="88">
        <v>301502384</v>
      </c>
      <c r="D3127" s="29"/>
      <c r="E3127" s="29"/>
      <c r="F3127" s="29" t="s">
        <v>97</v>
      </c>
      <c r="G3127" s="29" t="s">
        <v>961</v>
      </c>
      <c r="H3127" s="29" t="s">
        <v>38</v>
      </c>
      <c r="I3127" s="120">
        <v>45958</v>
      </c>
      <c r="J3127" s="120">
        <f>WORKDAY(I3127, 3)</f>
        <v>45961</v>
      </c>
      <c r="K3127" s="120">
        <v>45989</v>
      </c>
      <c r="L3127" s="120"/>
      <c r="M3127" s="120"/>
      <c r="N3127" s="29"/>
      <c r="O3127" s="29" t="s">
        <v>1094</v>
      </c>
      <c r="P3127" s="29"/>
      <c r="Q3127" s="156"/>
    </row>
    <row r="3128" spans="1:18" hidden="1">
      <c r="A3128" s="160" t="s">
        <v>1397</v>
      </c>
      <c r="B3128" s="160"/>
      <c r="C3128" s="88">
        <v>302501396</v>
      </c>
      <c r="D3128" s="29"/>
      <c r="E3128" s="29"/>
      <c r="F3128" s="29" t="s">
        <v>97</v>
      </c>
      <c r="G3128" s="29" t="s">
        <v>961</v>
      </c>
      <c r="H3128" s="29" t="s">
        <v>38</v>
      </c>
      <c r="I3128" s="120">
        <v>45959</v>
      </c>
      <c r="J3128" s="120">
        <f>WORKDAY(I3128, 3)</f>
        <v>45964</v>
      </c>
      <c r="K3128" s="120">
        <v>45970</v>
      </c>
      <c r="L3128" s="120"/>
      <c r="M3128" s="120"/>
      <c r="N3128" s="29"/>
      <c r="O3128" s="29" t="s">
        <v>1094</v>
      </c>
      <c r="P3128" s="120"/>
      <c r="Q3128" s="156"/>
    </row>
    <row r="3129" spans="1:18" hidden="1">
      <c r="A3129" s="160" t="s">
        <v>1397</v>
      </c>
      <c r="B3129" s="160"/>
      <c r="C3129" s="88">
        <v>302501449</v>
      </c>
      <c r="D3129" s="29"/>
      <c r="E3129" s="29"/>
      <c r="F3129" s="29" t="s">
        <v>97</v>
      </c>
      <c r="G3129" s="29" t="s">
        <v>961</v>
      </c>
      <c r="H3129" s="29" t="s">
        <v>38</v>
      </c>
      <c r="I3129" s="120">
        <v>45959</v>
      </c>
      <c r="J3129" s="120">
        <f>WORKDAY(I3129, 3)</f>
        <v>45964</v>
      </c>
      <c r="K3129" s="120">
        <v>45970</v>
      </c>
      <c r="L3129" s="120"/>
      <c r="M3129" s="120"/>
      <c r="N3129" s="29"/>
      <c r="O3129" s="29" t="s">
        <v>1094</v>
      </c>
      <c r="P3129" s="120"/>
      <c r="Q3129" s="156"/>
    </row>
    <row r="3130" spans="1:18" hidden="1">
      <c r="A3130" s="160" t="s">
        <v>1397</v>
      </c>
      <c r="B3130" s="160"/>
      <c r="C3130" s="88">
        <v>302501489</v>
      </c>
      <c r="D3130" s="29"/>
      <c r="E3130" s="29"/>
      <c r="F3130" s="29" t="s">
        <v>97</v>
      </c>
      <c r="G3130" s="29" t="s">
        <v>961</v>
      </c>
      <c r="H3130" s="29" t="s">
        <v>38</v>
      </c>
      <c r="I3130" s="120">
        <v>45959</v>
      </c>
      <c r="J3130" s="120">
        <f>WORKDAY(I3130, 3)</f>
        <v>45964</v>
      </c>
      <c r="K3130" s="120">
        <v>45970</v>
      </c>
      <c r="L3130" s="120"/>
      <c r="M3130" s="120"/>
      <c r="N3130" s="29"/>
      <c r="O3130" s="29" t="s">
        <v>1094</v>
      </c>
      <c r="P3130" s="29"/>
      <c r="Q3130" s="156"/>
    </row>
    <row r="3131" spans="1:18" hidden="1">
      <c r="A3131" s="160" t="s">
        <v>1397</v>
      </c>
      <c r="B3131" s="160"/>
      <c r="C3131" s="88">
        <v>302501519</v>
      </c>
      <c r="D3131" s="29"/>
      <c r="E3131" s="29"/>
      <c r="F3131" s="29" t="s">
        <v>97</v>
      </c>
      <c r="G3131" s="29" t="s">
        <v>961</v>
      </c>
      <c r="H3131" s="29" t="s">
        <v>38</v>
      </c>
      <c r="I3131" s="120">
        <v>45959</v>
      </c>
      <c r="J3131" s="120">
        <f>WORKDAY(I3131, 3)</f>
        <v>45964</v>
      </c>
      <c r="K3131" s="120">
        <v>45970</v>
      </c>
      <c r="L3131" s="120"/>
      <c r="M3131" s="120"/>
      <c r="N3131" s="29"/>
      <c r="O3131" s="29" t="s">
        <v>1094</v>
      </c>
      <c r="P3131" s="29"/>
      <c r="Q3131" s="156"/>
    </row>
    <row r="3132" spans="1:18" hidden="1">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hidden="1">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hidden="1">
      <c r="A3134" s="160" t="s">
        <v>1342</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hidden="1">
      <c r="A3135" s="160" t="s">
        <v>1398</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884</v>
      </c>
      <c r="P3135" s="120"/>
      <c r="Q3135" s="156">
        <v>1350</v>
      </c>
      <c r="R3135" s="162"/>
    </row>
    <row r="3136" spans="1:18" hidden="1">
      <c r="A3136" s="160" t="s">
        <v>1398</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884</v>
      </c>
      <c r="P3136" s="120"/>
      <c r="Q3136" s="156">
        <v>1300</v>
      </c>
    </row>
    <row r="3137" spans="1:18" hidden="1">
      <c r="A3137" s="160" t="s">
        <v>1398</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884</v>
      </c>
      <c r="P3137" s="120"/>
      <c r="Q3137" s="156">
        <v>1300</v>
      </c>
    </row>
    <row r="3138" spans="1:18" hidden="1">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hidden="1">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hidden="1">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hidden="1">
      <c r="A3141" s="160" t="s">
        <v>1399</v>
      </c>
      <c r="B3141" s="160"/>
      <c r="C3141" s="88">
        <v>289502098</v>
      </c>
      <c r="D3141" s="29"/>
      <c r="E3141" s="29"/>
      <c r="F3141" s="29" t="s">
        <v>97</v>
      </c>
      <c r="G3141" s="29" t="s">
        <v>961</v>
      </c>
      <c r="H3141" s="29" t="s">
        <v>38</v>
      </c>
      <c r="I3141" s="120">
        <v>45946</v>
      </c>
      <c r="J3141" s="120">
        <f>WORKDAY(I3141, 3)</f>
        <v>45951</v>
      </c>
      <c r="K3141" s="29"/>
      <c r="L3141" s="29"/>
      <c r="M3141" s="29"/>
      <c r="N3141" s="29"/>
      <c r="O3141" s="29" t="s">
        <v>1094</v>
      </c>
      <c r="P3141" s="120"/>
      <c r="Q3141" s="156"/>
      <c r="R3141" s="162"/>
    </row>
    <row r="3142" spans="1:18" hidden="1">
      <c r="A3142" s="160" t="s">
        <v>1399</v>
      </c>
      <c r="B3142" s="160"/>
      <c r="C3142" s="88">
        <v>289502114</v>
      </c>
      <c r="D3142" s="29"/>
      <c r="E3142" s="29"/>
      <c r="F3142" s="29" t="s">
        <v>97</v>
      </c>
      <c r="G3142" s="29" t="s">
        <v>961</v>
      </c>
      <c r="H3142" s="29" t="s">
        <v>38</v>
      </c>
      <c r="I3142" s="120">
        <v>45946</v>
      </c>
      <c r="J3142" s="120">
        <f>WORKDAY(I3142, 3)</f>
        <v>45951</v>
      </c>
      <c r="K3142" s="29"/>
      <c r="L3142" s="29"/>
      <c r="M3142" s="29"/>
      <c r="N3142" s="29"/>
      <c r="O3142" s="29" t="s">
        <v>1094</v>
      </c>
      <c r="P3142" s="120"/>
      <c r="Q3142" s="156"/>
      <c r="R3142" s="162"/>
    </row>
    <row r="3143" spans="1:18" hidden="1">
      <c r="A3143" s="160" t="s">
        <v>1399</v>
      </c>
      <c r="B3143" s="160"/>
      <c r="C3143" s="88">
        <v>289502161</v>
      </c>
      <c r="D3143" s="29"/>
      <c r="E3143" s="29"/>
      <c r="F3143" s="29" t="s">
        <v>97</v>
      </c>
      <c r="G3143" s="29" t="s">
        <v>961</v>
      </c>
      <c r="H3143" s="29" t="s">
        <v>38</v>
      </c>
      <c r="I3143" s="120">
        <v>45946</v>
      </c>
      <c r="J3143" s="120">
        <f>WORKDAY(I3143, 3)</f>
        <v>45951</v>
      </c>
      <c r="K3143" s="29"/>
      <c r="L3143" s="29"/>
      <c r="M3143" s="29"/>
      <c r="N3143" s="29"/>
      <c r="O3143" s="29" t="s">
        <v>1094</v>
      </c>
      <c r="P3143" s="29"/>
      <c r="Q3143" s="156"/>
      <c r="R3143" s="162"/>
    </row>
    <row r="3144" spans="1:18" hidden="1">
      <c r="A3144" s="160" t="s">
        <v>1399</v>
      </c>
      <c r="B3144" s="160"/>
      <c r="C3144" s="88">
        <v>289502170</v>
      </c>
      <c r="D3144" s="29"/>
      <c r="E3144" s="29"/>
      <c r="F3144" s="29" t="s">
        <v>97</v>
      </c>
      <c r="G3144" s="29" t="s">
        <v>961</v>
      </c>
      <c r="H3144" s="29" t="s">
        <v>38</v>
      </c>
      <c r="I3144" s="120">
        <v>45946</v>
      </c>
      <c r="J3144" s="120">
        <f>WORKDAY(I3144, 3)</f>
        <v>45951</v>
      </c>
      <c r="K3144" s="29"/>
      <c r="L3144" s="29"/>
      <c r="M3144" s="29"/>
      <c r="N3144" s="29"/>
      <c r="O3144" s="29" t="s">
        <v>1094</v>
      </c>
      <c r="P3144" s="29"/>
      <c r="Q3144" s="156"/>
    </row>
    <row r="3145" spans="1:18" hidden="1">
      <c r="A3145" s="160" t="s">
        <v>1399</v>
      </c>
      <c r="B3145" s="160"/>
      <c r="C3145" s="88">
        <v>289502198</v>
      </c>
      <c r="D3145" s="29"/>
      <c r="E3145" s="29"/>
      <c r="F3145" s="29" t="s">
        <v>97</v>
      </c>
      <c r="G3145" s="29" t="s">
        <v>961</v>
      </c>
      <c r="H3145" s="29" t="s">
        <v>38</v>
      </c>
      <c r="I3145" s="120">
        <v>45946</v>
      </c>
      <c r="J3145" s="120">
        <f>WORKDAY(I3145, 3)</f>
        <v>45951</v>
      </c>
      <c r="K3145" s="29"/>
      <c r="L3145" s="29"/>
      <c r="M3145" s="29"/>
      <c r="N3145" s="29"/>
      <c r="O3145" s="29" t="s">
        <v>1094</v>
      </c>
      <c r="P3145" s="120"/>
      <c r="Q3145" s="156"/>
    </row>
    <row r="3146" spans="1:18" hidden="1">
      <c r="A3146" s="160" t="s">
        <v>1399</v>
      </c>
      <c r="B3146" s="160"/>
      <c r="C3146" s="88">
        <v>289502258</v>
      </c>
      <c r="D3146" s="29"/>
      <c r="E3146" s="29"/>
      <c r="F3146" s="29" t="s">
        <v>97</v>
      </c>
      <c r="G3146" s="29" t="s">
        <v>961</v>
      </c>
      <c r="H3146" s="29" t="s">
        <v>38</v>
      </c>
      <c r="I3146" s="120">
        <v>45946</v>
      </c>
      <c r="J3146" s="120">
        <f>WORKDAY(I3146, 3)</f>
        <v>45951</v>
      </c>
      <c r="K3146" s="29"/>
      <c r="L3146" s="29"/>
      <c r="M3146" s="29"/>
      <c r="N3146" s="29"/>
      <c r="O3146" s="29" t="s">
        <v>1094</v>
      </c>
      <c r="P3146" s="120"/>
      <c r="Q3146" s="156"/>
    </row>
    <row r="3147" spans="1:18" hidden="1">
      <c r="A3147" s="160" t="s">
        <v>1399</v>
      </c>
      <c r="B3147" s="160"/>
      <c r="C3147" s="88">
        <v>289502278</v>
      </c>
      <c r="D3147" s="29"/>
      <c r="E3147" s="29"/>
      <c r="F3147" s="29" t="s">
        <v>97</v>
      </c>
      <c r="G3147" s="29" t="s">
        <v>961</v>
      </c>
      <c r="H3147" s="29" t="s">
        <v>38</v>
      </c>
      <c r="I3147" s="120">
        <v>45946</v>
      </c>
      <c r="J3147" s="120">
        <f>WORKDAY(I3147, 3)</f>
        <v>45951</v>
      </c>
      <c r="K3147" s="29"/>
      <c r="L3147" s="29"/>
      <c r="M3147" s="29"/>
      <c r="N3147" s="29"/>
      <c r="O3147" s="29" t="s">
        <v>1094</v>
      </c>
      <c r="P3147" s="120"/>
      <c r="Q3147" s="156"/>
    </row>
    <row r="3148" spans="1:18" hidden="1">
      <c r="A3148" s="160" t="s">
        <v>1399</v>
      </c>
      <c r="B3148" s="160"/>
      <c r="C3148" s="88">
        <v>289502380</v>
      </c>
      <c r="D3148" s="29"/>
      <c r="E3148" s="29"/>
      <c r="F3148" s="29" t="s">
        <v>97</v>
      </c>
      <c r="G3148" s="29" t="s">
        <v>961</v>
      </c>
      <c r="H3148" s="29" t="s">
        <v>38</v>
      </c>
      <c r="I3148" s="120">
        <v>45946</v>
      </c>
      <c r="J3148" s="120">
        <f>WORKDAY(I3148, 3)</f>
        <v>45951</v>
      </c>
      <c r="K3148" s="29"/>
      <c r="L3148" s="29"/>
      <c r="M3148" s="29"/>
      <c r="N3148" s="29"/>
      <c r="O3148" s="29" t="s">
        <v>1094</v>
      </c>
      <c r="P3148" s="120"/>
      <c r="Q3148" s="156"/>
    </row>
    <row r="3149" spans="1:18" hidden="1">
      <c r="A3149" s="160" t="s">
        <v>1399</v>
      </c>
      <c r="B3149" s="160"/>
      <c r="C3149" s="88">
        <v>289502393</v>
      </c>
      <c r="D3149" s="29"/>
      <c r="E3149" s="29"/>
      <c r="F3149" s="29" t="s">
        <v>97</v>
      </c>
      <c r="G3149" s="29" t="s">
        <v>961</v>
      </c>
      <c r="H3149" s="29" t="s">
        <v>38</v>
      </c>
      <c r="I3149" s="120">
        <v>45946</v>
      </c>
      <c r="J3149" s="120">
        <f>WORKDAY(I3149, 3)</f>
        <v>45951</v>
      </c>
      <c r="K3149" s="29"/>
      <c r="L3149" s="29"/>
      <c r="M3149" s="29"/>
      <c r="N3149" s="29"/>
      <c r="O3149" s="29" t="s">
        <v>1094</v>
      </c>
      <c r="P3149" s="120"/>
      <c r="Q3149" s="156"/>
    </row>
    <row r="3150" spans="1:18" hidden="1">
      <c r="A3150" s="160" t="s">
        <v>1399</v>
      </c>
      <c r="B3150" s="160"/>
      <c r="C3150" s="88">
        <v>289502420</v>
      </c>
      <c r="D3150" s="29"/>
      <c r="E3150" s="29"/>
      <c r="F3150" s="29" t="s">
        <v>97</v>
      </c>
      <c r="G3150" s="29" t="s">
        <v>961</v>
      </c>
      <c r="H3150" s="29" t="s">
        <v>38</v>
      </c>
      <c r="I3150" s="120">
        <v>45946</v>
      </c>
      <c r="J3150" s="120">
        <f>WORKDAY(I3150, 3)</f>
        <v>45951</v>
      </c>
      <c r="K3150" s="29"/>
      <c r="L3150" s="29"/>
      <c r="M3150" s="29"/>
      <c r="N3150" s="29"/>
      <c r="O3150" s="29" t="s">
        <v>1094</v>
      </c>
      <c r="P3150" s="120"/>
      <c r="Q3150" s="156"/>
    </row>
    <row r="3151" spans="1:18" hidden="1">
      <c r="A3151" s="160" t="s">
        <v>1399</v>
      </c>
      <c r="B3151" s="160"/>
      <c r="C3151" s="88">
        <v>289502408</v>
      </c>
      <c r="D3151" s="29"/>
      <c r="E3151" s="29"/>
      <c r="F3151" s="29" t="s">
        <v>97</v>
      </c>
      <c r="G3151" s="29" t="s">
        <v>961</v>
      </c>
      <c r="H3151" s="29" t="s">
        <v>38</v>
      </c>
      <c r="I3151" s="120">
        <v>45946</v>
      </c>
      <c r="J3151" s="120">
        <f>WORKDAY(I3151, 3)</f>
        <v>45951</v>
      </c>
      <c r="K3151" s="29"/>
      <c r="L3151" s="29"/>
      <c r="M3151" s="29"/>
      <c r="N3151" s="29"/>
      <c r="O3151" s="29" t="s">
        <v>1094</v>
      </c>
      <c r="P3151" s="120"/>
      <c r="Q3151" s="156"/>
    </row>
    <row r="3152" spans="1:18" hidden="1">
      <c r="A3152" s="160" t="s">
        <v>1399</v>
      </c>
      <c r="B3152" s="160"/>
      <c r="C3152" s="88">
        <v>289502433</v>
      </c>
      <c r="D3152" s="29"/>
      <c r="E3152" s="29"/>
      <c r="F3152" s="29" t="s">
        <v>97</v>
      </c>
      <c r="G3152" s="29" t="s">
        <v>961</v>
      </c>
      <c r="H3152" s="29" t="s">
        <v>38</v>
      </c>
      <c r="I3152" s="120">
        <v>45946</v>
      </c>
      <c r="J3152" s="120">
        <f>WORKDAY(I3152, 3)</f>
        <v>45951</v>
      </c>
      <c r="K3152" s="29"/>
      <c r="L3152" s="29"/>
      <c r="M3152" s="29"/>
      <c r="N3152" s="29"/>
      <c r="O3152" s="29" t="s">
        <v>1094</v>
      </c>
      <c r="P3152" s="120"/>
      <c r="Q3152" s="156"/>
    </row>
    <row r="3153" spans="1:18" hidden="1">
      <c r="A3153" s="160" t="s">
        <v>1399</v>
      </c>
      <c r="B3153" s="160"/>
      <c r="C3153" s="88">
        <v>289502450</v>
      </c>
      <c r="D3153" s="29"/>
      <c r="E3153" s="29"/>
      <c r="F3153" s="29" t="s">
        <v>97</v>
      </c>
      <c r="G3153" s="29" t="s">
        <v>961</v>
      </c>
      <c r="H3153" s="29" t="s">
        <v>38</v>
      </c>
      <c r="I3153" s="120">
        <v>45946</v>
      </c>
      <c r="J3153" s="120">
        <f>WORKDAY(I3153, 3)</f>
        <v>45951</v>
      </c>
      <c r="K3153" s="29"/>
      <c r="L3153" s="29"/>
      <c r="M3153" s="29"/>
      <c r="N3153" s="29"/>
      <c r="O3153" s="29" t="s">
        <v>1094</v>
      </c>
      <c r="P3153" s="120"/>
      <c r="Q3153" s="156"/>
    </row>
    <row r="3154" spans="1:18" hidden="1">
      <c r="A3154" s="160" t="s">
        <v>1399</v>
      </c>
      <c r="B3154" s="160"/>
      <c r="C3154" s="88">
        <v>289502461</v>
      </c>
      <c r="D3154" s="29"/>
      <c r="E3154" s="29"/>
      <c r="F3154" s="29" t="s">
        <v>97</v>
      </c>
      <c r="G3154" s="29" t="s">
        <v>961</v>
      </c>
      <c r="H3154" s="29" t="s">
        <v>38</v>
      </c>
      <c r="I3154" s="120">
        <v>45946</v>
      </c>
      <c r="J3154" s="120">
        <f>WORKDAY(I3154, 3)</f>
        <v>45951</v>
      </c>
      <c r="K3154" s="29"/>
      <c r="L3154" s="29"/>
      <c r="M3154" s="29"/>
      <c r="N3154" s="29"/>
      <c r="O3154" s="29" t="s">
        <v>1094</v>
      </c>
      <c r="P3154" s="120"/>
      <c r="Q3154" s="156"/>
    </row>
    <row r="3155" spans="1:18" hidden="1">
      <c r="A3155" s="160" t="s">
        <v>1399</v>
      </c>
      <c r="B3155" s="160"/>
      <c r="C3155" s="88">
        <v>289502469</v>
      </c>
      <c r="D3155" s="29"/>
      <c r="E3155" s="29"/>
      <c r="F3155" s="29" t="s">
        <v>97</v>
      </c>
      <c r="G3155" s="29" t="s">
        <v>961</v>
      </c>
      <c r="H3155" s="29" t="s">
        <v>38</v>
      </c>
      <c r="I3155" s="120">
        <v>45946</v>
      </c>
      <c r="J3155" s="120">
        <f>WORKDAY(I3155, 3)</f>
        <v>45951</v>
      </c>
      <c r="K3155" s="29"/>
      <c r="L3155" s="29"/>
      <c r="M3155" s="29"/>
      <c r="N3155" s="29"/>
      <c r="O3155" s="29" t="s">
        <v>1094</v>
      </c>
      <c r="P3155" s="120"/>
      <c r="Q3155" s="156"/>
    </row>
    <row r="3156" spans="1:18" hidden="1">
      <c r="A3156" s="160" t="s">
        <v>1399</v>
      </c>
      <c r="B3156" s="160"/>
      <c r="C3156" s="88">
        <v>289502480</v>
      </c>
      <c r="D3156" s="29"/>
      <c r="E3156" s="29"/>
      <c r="F3156" s="29" t="s">
        <v>97</v>
      </c>
      <c r="G3156" s="29" t="s">
        <v>961</v>
      </c>
      <c r="H3156" s="29" t="s">
        <v>38</v>
      </c>
      <c r="I3156" s="120">
        <v>45946</v>
      </c>
      <c r="J3156" s="120">
        <f>WORKDAY(I3156, 3)</f>
        <v>45951</v>
      </c>
      <c r="K3156" s="29"/>
      <c r="L3156" s="29"/>
      <c r="M3156" s="29"/>
      <c r="N3156" s="29"/>
      <c r="O3156" s="29" t="s">
        <v>1094</v>
      </c>
      <c r="P3156" s="120"/>
      <c r="Q3156" s="156"/>
    </row>
    <row r="3157" spans="1:18" hidden="1">
      <c r="A3157" s="160" t="s">
        <v>1399</v>
      </c>
      <c r="B3157" s="160"/>
      <c r="C3157" s="88">
        <v>289502751</v>
      </c>
      <c r="D3157" s="29"/>
      <c r="E3157" s="29"/>
      <c r="F3157" s="29" t="s">
        <v>97</v>
      </c>
      <c r="G3157" s="29" t="s">
        <v>961</v>
      </c>
      <c r="H3157" s="29" t="s">
        <v>38</v>
      </c>
      <c r="I3157" s="120">
        <v>45946</v>
      </c>
      <c r="J3157" s="120">
        <f>WORKDAY(I3157, 3)</f>
        <v>45951</v>
      </c>
      <c r="K3157" s="29"/>
      <c r="L3157" s="29"/>
      <c r="M3157" s="29"/>
      <c r="N3157" s="29"/>
      <c r="O3157" s="29" t="s">
        <v>1094</v>
      </c>
      <c r="P3157" s="120"/>
      <c r="Q3157" s="156"/>
    </row>
    <row r="3158" spans="1:18" hidden="1">
      <c r="A3158" s="160" t="s">
        <v>1399</v>
      </c>
      <c r="B3158" s="160"/>
      <c r="C3158" s="88">
        <v>289502759</v>
      </c>
      <c r="D3158" s="29"/>
      <c r="E3158" s="29"/>
      <c r="F3158" s="29" t="s">
        <v>97</v>
      </c>
      <c r="G3158" s="29" t="s">
        <v>961</v>
      </c>
      <c r="H3158" s="29" t="s">
        <v>38</v>
      </c>
      <c r="I3158" s="120">
        <v>45946</v>
      </c>
      <c r="J3158" s="120">
        <f>WORKDAY(I3158, 3)</f>
        <v>45951</v>
      </c>
      <c r="K3158" s="29"/>
      <c r="L3158" s="29"/>
      <c r="M3158" s="29"/>
      <c r="N3158" s="29"/>
      <c r="O3158" s="29" t="s">
        <v>1094</v>
      </c>
      <c r="P3158" s="120"/>
      <c r="Q3158" s="156"/>
    </row>
    <row r="3159" spans="1:18" hidden="1">
      <c r="A3159" s="160" t="s">
        <v>1399</v>
      </c>
      <c r="B3159" s="160"/>
      <c r="C3159" s="88">
        <v>289502813</v>
      </c>
      <c r="D3159" s="29"/>
      <c r="E3159" s="29"/>
      <c r="F3159" s="29" t="s">
        <v>97</v>
      </c>
      <c r="G3159" s="29" t="s">
        <v>961</v>
      </c>
      <c r="H3159" s="29" t="s">
        <v>38</v>
      </c>
      <c r="I3159" s="120">
        <v>45946</v>
      </c>
      <c r="J3159" s="120">
        <f>WORKDAY(I3159, 3)</f>
        <v>45951</v>
      </c>
      <c r="K3159" s="29"/>
      <c r="L3159" s="29"/>
      <c r="M3159" s="29"/>
      <c r="N3159" s="29"/>
      <c r="O3159" s="29" t="s">
        <v>1094</v>
      </c>
      <c r="P3159" s="120"/>
      <c r="Q3159" s="156"/>
    </row>
    <row r="3160" spans="1:18" hidden="1">
      <c r="A3160" s="160" t="s">
        <v>1399</v>
      </c>
      <c r="B3160" s="160"/>
      <c r="C3160" s="88">
        <v>289502872</v>
      </c>
      <c r="D3160" s="29"/>
      <c r="E3160" s="29"/>
      <c r="F3160" s="29" t="s">
        <v>97</v>
      </c>
      <c r="G3160" s="29" t="s">
        <v>961</v>
      </c>
      <c r="H3160" s="29" t="s">
        <v>38</v>
      </c>
      <c r="I3160" s="120">
        <v>45946</v>
      </c>
      <c r="J3160" s="120">
        <f>WORKDAY(I3160, 3)</f>
        <v>45951</v>
      </c>
      <c r="K3160" s="29"/>
      <c r="L3160" s="29"/>
      <c r="M3160" s="29"/>
      <c r="N3160" s="29"/>
      <c r="O3160" s="29" t="s">
        <v>1094</v>
      </c>
      <c r="P3160" s="120"/>
      <c r="Q3160" s="156"/>
    </row>
    <row r="3161" spans="1:18" hidden="1">
      <c r="A3161" s="160" t="s">
        <v>1399</v>
      </c>
      <c r="B3161" s="160"/>
      <c r="C3161" s="88">
        <v>289502884</v>
      </c>
      <c r="D3161" s="29"/>
      <c r="E3161" s="29"/>
      <c r="F3161" s="29" t="s">
        <v>97</v>
      </c>
      <c r="G3161" s="29" t="s">
        <v>961</v>
      </c>
      <c r="H3161" s="29" t="s">
        <v>38</v>
      </c>
      <c r="I3161" s="120">
        <v>45946</v>
      </c>
      <c r="J3161" s="120">
        <f>WORKDAY(I3161, 3)</f>
        <v>45951</v>
      </c>
      <c r="K3161" s="29"/>
      <c r="L3161" s="29"/>
      <c r="M3161" s="29"/>
      <c r="N3161" s="29"/>
      <c r="O3161" s="29" t="s">
        <v>1094</v>
      </c>
      <c r="P3161" s="29"/>
      <c r="Q3161" s="156"/>
    </row>
    <row r="3162" spans="1:18" hidden="1">
      <c r="A3162" s="160" t="s">
        <v>1399</v>
      </c>
      <c r="B3162" s="160"/>
      <c r="C3162" s="88">
        <v>289502901</v>
      </c>
      <c r="D3162" s="29"/>
      <c r="E3162" s="29"/>
      <c r="F3162" s="29" t="s">
        <v>97</v>
      </c>
      <c r="G3162" s="29" t="s">
        <v>961</v>
      </c>
      <c r="H3162" s="29" t="s">
        <v>38</v>
      </c>
      <c r="I3162" s="120">
        <v>45946</v>
      </c>
      <c r="J3162" s="120">
        <f>WORKDAY(I3162, 3)</f>
        <v>45951</v>
      </c>
      <c r="K3162" s="29"/>
      <c r="L3162" s="29"/>
      <c r="M3162" s="29"/>
      <c r="N3162" s="29"/>
      <c r="O3162" s="29" t="s">
        <v>1094</v>
      </c>
      <c r="P3162" s="120"/>
      <c r="Q3162" s="156"/>
    </row>
    <row r="3163" spans="1:18" hidden="1">
      <c r="A3163" s="160" t="s">
        <v>1399</v>
      </c>
      <c r="B3163" s="160"/>
      <c r="C3163" s="88">
        <v>289502915</v>
      </c>
      <c r="D3163" s="29"/>
      <c r="E3163" s="29"/>
      <c r="F3163" s="29" t="s">
        <v>97</v>
      </c>
      <c r="G3163" s="29" t="s">
        <v>961</v>
      </c>
      <c r="H3163" s="29" t="s">
        <v>38</v>
      </c>
      <c r="I3163" s="120">
        <v>45946</v>
      </c>
      <c r="J3163" s="120">
        <f>WORKDAY(I3163, 3)</f>
        <v>45951</v>
      </c>
      <c r="K3163" s="29"/>
      <c r="L3163" s="29"/>
      <c r="M3163" s="29"/>
      <c r="N3163" s="29"/>
      <c r="O3163" s="29" t="s">
        <v>1094</v>
      </c>
      <c r="P3163" s="120"/>
      <c r="Q3163" s="156"/>
    </row>
    <row r="3164" spans="1:18" hidden="1">
      <c r="A3164" s="160" t="s">
        <v>1399</v>
      </c>
      <c r="B3164" s="160"/>
      <c r="C3164" s="88">
        <v>289502941</v>
      </c>
      <c r="D3164" s="29"/>
      <c r="E3164" s="29"/>
      <c r="F3164" s="29" t="s">
        <v>97</v>
      </c>
      <c r="G3164" s="29" t="s">
        <v>961</v>
      </c>
      <c r="H3164" s="29" t="s">
        <v>38</v>
      </c>
      <c r="I3164" s="120">
        <v>45946</v>
      </c>
      <c r="J3164" s="120">
        <f>WORKDAY(I3164, 3)</f>
        <v>45951</v>
      </c>
      <c r="K3164" s="29"/>
      <c r="L3164" s="29"/>
      <c r="M3164" s="29"/>
      <c r="N3164" s="29"/>
      <c r="O3164" s="29" t="s">
        <v>1094</v>
      </c>
      <c r="P3164" s="120"/>
      <c r="Q3164" s="156"/>
    </row>
    <row r="3165" spans="1:18" hidden="1">
      <c r="A3165" s="160" t="s">
        <v>1399</v>
      </c>
      <c r="B3165" s="160"/>
      <c r="C3165" s="88">
        <v>289502951</v>
      </c>
      <c r="D3165" s="29"/>
      <c r="E3165" s="29"/>
      <c r="F3165" s="29" t="s">
        <v>97</v>
      </c>
      <c r="G3165" s="29" t="s">
        <v>961</v>
      </c>
      <c r="H3165" s="29" t="s">
        <v>38</v>
      </c>
      <c r="I3165" s="120">
        <v>45946</v>
      </c>
      <c r="J3165" s="120">
        <f>WORKDAY(I3165, 3)</f>
        <v>45951</v>
      </c>
      <c r="K3165" s="29"/>
      <c r="L3165" s="29"/>
      <c r="M3165" s="29"/>
      <c r="N3165" s="29"/>
      <c r="O3165" s="29" t="s">
        <v>1094</v>
      </c>
      <c r="P3165" s="120"/>
      <c r="Q3165" s="156"/>
    </row>
    <row r="3166" spans="1:18" hidden="1">
      <c r="A3166" s="160" t="s">
        <v>1399</v>
      </c>
      <c r="B3166" s="160"/>
      <c r="C3166" s="88">
        <v>289501747</v>
      </c>
      <c r="D3166" s="29"/>
      <c r="E3166" s="29"/>
      <c r="F3166" s="29" t="s">
        <v>97</v>
      </c>
      <c r="G3166" s="29" t="s">
        <v>961</v>
      </c>
      <c r="H3166" s="29" t="s">
        <v>38</v>
      </c>
      <c r="I3166" s="120">
        <v>45946</v>
      </c>
      <c r="J3166" s="120">
        <f>WORKDAY(I3166, 3)</f>
        <v>45951</v>
      </c>
      <c r="K3166" s="29"/>
      <c r="L3166" s="29"/>
      <c r="M3166" s="29"/>
      <c r="N3166" s="29"/>
      <c r="O3166" s="29" t="s">
        <v>1094</v>
      </c>
      <c r="P3166" s="120"/>
      <c r="Q3166" s="156"/>
      <c r="R3166" s="162"/>
    </row>
    <row r="3167" spans="1:18" hidden="1">
      <c r="A3167" s="160" t="s">
        <v>1399</v>
      </c>
      <c r="B3167" s="160"/>
      <c r="C3167" s="88">
        <v>289501754</v>
      </c>
      <c r="D3167" s="29"/>
      <c r="E3167" s="29"/>
      <c r="F3167" s="29" t="s">
        <v>97</v>
      </c>
      <c r="G3167" s="29" t="s">
        <v>961</v>
      </c>
      <c r="H3167" s="29" t="s">
        <v>38</v>
      </c>
      <c r="I3167" s="120">
        <v>45946</v>
      </c>
      <c r="J3167" s="120">
        <f>WORKDAY(I3167, 3)</f>
        <v>45951</v>
      </c>
      <c r="K3167" s="29"/>
      <c r="L3167" s="29"/>
      <c r="M3167" s="29"/>
      <c r="N3167" s="29"/>
      <c r="O3167" s="29" t="s">
        <v>1094</v>
      </c>
      <c r="P3167" s="120"/>
      <c r="Q3167" s="156"/>
      <c r="R3167" s="162"/>
    </row>
    <row r="3168" spans="1:18" hidden="1">
      <c r="A3168" s="160" t="s">
        <v>1399</v>
      </c>
      <c r="B3168" s="160"/>
      <c r="C3168" s="88">
        <v>289501759</v>
      </c>
      <c r="D3168" s="29"/>
      <c r="E3168" s="29"/>
      <c r="F3168" s="29" t="s">
        <v>97</v>
      </c>
      <c r="G3168" s="29" t="s">
        <v>961</v>
      </c>
      <c r="H3168" s="29" t="s">
        <v>38</v>
      </c>
      <c r="I3168" s="120">
        <v>45946</v>
      </c>
      <c r="J3168" s="120">
        <f>WORKDAY(I3168, 3)</f>
        <v>45951</v>
      </c>
      <c r="K3168" s="29"/>
      <c r="L3168" s="29"/>
      <c r="M3168" s="29"/>
      <c r="N3168" s="29"/>
      <c r="O3168" s="29" t="s">
        <v>1094</v>
      </c>
      <c r="P3168" s="29"/>
      <c r="Q3168" s="156"/>
      <c r="R3168" s="162"/>
    </row>
    <row r="3169" spans="1:18" hidden="1">
      <c r="A3169" s="160" t="s">
        <v>1399</v>
      </c>
      <c r="B3169" s="160"/>
      <c r="C3169" s="88">
        <v>289501777</v>
      </c>
      <c r="D3169" s="29"/>
      <c r="E3169" s="29"/>
      <c r="F3169" s="29" t="s">
        <v>97</v>
      </c>
      <c r="G3169" s="29" t="s">
        <v>961</v>
      </c>
      <c r="H3169" s="29" t="s">
        <v>38</v>
      </c>
      <c r="I3169" s="120">
        <v>45946</v>
      </c>
      <c r="J3169" s="120">
        <f>WORKDAY(I3169, 3)</f>
        <v>45951</v>
      </c>
      <c r="K3169" s="29"/>
      <c r="L3169" s="29"/>
      <c r="M3169" s="29"/>
      <c r="N3169" s="29"/>
      <c r="O3169" s="29" t="s">
        <v>1094</v>
      </c>
      <c r="P3169" s="29"/>
      <c r="Q3169" s="156"/>
      <c r="R3169" s="162"/>
    </row>
    <row r="3170" spans="1:18" hidden="1">
      <c r="A3170" s="160" t="s">
        <v>1399</v>
      </c>
      <c r="B3170" s="160"/>
      <c r="C3170" s="88">
        <v>289501814</v>
      </c>
      <c r="D3170" s="29"/>
      <c r="E3170" s="29"/>
      <c r="F3170" s="29" t="s">
        <v>97</v>
      </c>
      <c r="G3170" s="29" t="s">
        <v>961</v>
      </c>
      <c r="H3170" s="29" t="s">
        <v>38</v>
      </c>
      <c r="I3170" s="120">
        <v>45946</v>
      </c>
      <c r="J3170" s="120">
        <f>WORKDAY(I3170, 3)</f>
        <v>45951</v>
      </c>
      <c r="K3170" s="29"/>
      <c r="L3170" s="29"/>
      <c r="M3170" s="29"/>
      <c r="N3170" s="29"/>
      <c r="O3170" s="29" t="s">
        <v>1094</v>
      </c>
      <c r="P3170" s="29"/>
      <c r="Q3170" s="156"/>
      <c r="R3170" s="162"/>
    </row>
    <row r="3171" spans="1:18" hidden="1">
      <c r="A3171" s="160" t="s">
        <v>1399</v>
      </c>
      <c r="B3171" s="160"/>
      <c r="C3171" s="88">
        <v>289501836</v>
      </c>
      <c r="D3171" s="29"/>
      <c r="E3171" s="29"/>
      <c r="F3171" s="29" t="s">
        <v>97</v>
      </c>
      <c r="G3171" s="29" t="s">
        <v>961</v>
      </c>
      <c r="H3171" s="29" t="s">
        <v>38</v>
      </c>
      <c r="I3171" s="120">
        <v>45946</v>
      </c>
      <c r="J3171" s="120">
        <f>WORKDAY(I3171, 3)</f>
        <v>45951</v>
      </c>
      <c r="K3171" s="29"/>
      <c r="L3171" s="29"/>
      <c r="M3171" s="29"/>
      <c r="N3171" s="29"/>
      <c r="O3171" s="29" t="s">
        <v>1094</v>
      </c>
      <c r="P3171" s="29"/>
      <c r="Q3171" s="156"/>
      <c r="R3171" s="162"/>
    </row>
    <row r="3172" spans="1:18" hidden="1">
      <c r="A3172" s="160" t="s">
        <v>1399</v>
      </c>
      <c r="B3172" s="160"/>
      <c r="C3172" s="88">
        <v>289501868</v>
      </c>
      <c r="D3172" s="29"/>
      <c r="E3172" s="29"/>
      <c r="F3172" s="29" t="s">
        <v>97</v>
      </c>
      <c r="G3172" s="29" t="s">
        <v>961</v>
      </c>
      <c r="H3172" s="29" t="s">
        <v>38</v>
      </c>
      <c r="I3172" s="120">
        <v>45946</v>
      </c>
      <c r="J3172" s="120">
        <f>WORKDAY(I3172, 3)</f>
        <v>45951</v>
      </c>
      <c r="K3172" s="29"/>
      <c r="L3172" s="29"/>
      <c r="M3172" s="29"/>
      <c r="N3172" s="29"/>
      <c r="O3172" s="29" t="s">
        <v>1094</v>
      </c>
      <c r="P3172" s="29"/>
      <c r="Q3172" s="156"/>
      <c r="R3172" s="162"/>
    </row>
    <row r="3173" spans="1:18" hidden="1">
      <c r="A3173" s="160" t="s">
        <v>1399</v>
      </c>
      <c r="B3173" s="160"/>
      <c r="C3173" s="88">
        <v>289501878</v>
      </c>
      <c r="D3173" s="29"/>
      <c r="E3173" s="29"/>
      <c r="F3173" s="29" t="s">
        <v>97</v>
      </c>
      <c r="G3173" s="29" t="s">
        <v>961</v>
      </c>
      <c r="H3173" s="29" t="s">
        <v>38</v>
      </c>
      <c r="I3173" s="120">
        <v>45946</v>
      </c>
      <c r="J3173" s="120">
        <f>WORKDAY(I3173, 3)</f>
        <v>45951</v>
      </c>
      <c r="K3173" s="29"/>
      <c r="L3173" s="29"/>
      <c r="M3173" s="29"/>
      <c r="N3173" s="29"/>
      <c r="O3173" s="29" t="s">
        <v>1094</v>
      </c>
      <c r="P3173" s="29"/>
      <c r="Q3173" s="156"/>
      <c r="R3173" s="162"/>
    </row>
    <row r="3174" spans="1:18" hidden="1">
      <c r="A3174" s="160" t="s">
        <v>1399</v>
      </c>
      <c r="B3174" s="160"/>
      <c r="C3174" s="88">
        <v>289501909</v>
      </c>
      <c r="D3174" s="29"/>
      <c r="E3174" s="29"/>
      <c r="F3174" s="29" t="s">
        <v>97</v>
      </c>
      <c r="G3174" s="29" t="s">
        <v>961</v>
      </c>
      <c r="H3174" s="29" t="s">
        <v>38</v>
      </c>
      <c r="I3174" s="120">
        <v>45946</v>
      </c>
      <c r="J3174" s="120">
        <f>WORKDAY(I3174, 3)</f>
        <v>45951</v>
      </c>
      <c r="K3174" s="29"/>
      <c r="L3174" s="29"/>
      <c r="M3174" s="29"/>
      <c r="N3174" s="29"/>
      <c r="O3174" s="29" t="s">
        <v>1094</v>
      </c>
      <c r="P3174" s="29"/>
      <c r="Q3174" s="156"/>
      <c r="R3174" s="162"/>
    </row>
    <row r="3175" spans="1:18" hidden="1">
      <c r="A3175" s="160" t="s">
        <v>1399</v>
      </c>
      <c r="B3175" s="160"/>
      <c r="C3175" s="88">
        <v>289501917</v>
      </c>
      <c r="D3175" s="29"/>
      <c r="E3175" s="29"/>
      <c r="F3175" s="29" t="s">
        <v>97</v>
      </c>
      <c r="G3175" s="29" t="s">
        <v>961</v>
      </c>
      <c r="H3175" s="29" t="s">
        <v>38</v>
      </c>
      <c r="I3175" s="120">
        <v>45946</v>
      </c>
      <c r="J3175" s="120">
        <f>WORKDAY(I3175, 3)</f>
        <v>45951</v>
      </c>
      <c r="K3175" s="29"/>
      <c r="L3175" s="29"/>
      <c r="M3175" s="29"/>
      <c r="N3175" s="29"/>
      <c r="O3175" s="29" t="s">
        <v>1094</v>
      </c>
      <c r="P3175" s="29"/>
      <c r="Q3175" s="156"/>
      <c r="R3175" s="162"/>
    </row>
    <row r="3176" spans="1:18" hidden="1">
      <c r="A3176" s="160" t="s">
        <v>1399</v>
      </c>
      <c r="B3176" s="160"/>
      <c r="C3176" s="88">
        <v>289501960</v>
      </c>
      <c r="D3176" s="29"/>
      <c r="E3176" s="29"/>
      <c r="F3176" s="29" t="s">
        <v>97</v>
      </c>
      <c r="G3176" s="29" t="s">
        <v>961</v>
      </c>
      <c r="H3176" s="29" t="s">
        <v>38</v>
      </c>
      <c r="I3176" s="120">
        <v>45946</v>
      </c>
      <c r="J3176" s="120">
        <f>WORKDAY(I3176, 3)</f>
        <v>45951</v>
      </c>
      <c r="K3176" s="29"/>
      <c r="L3176" s="29"/>
      <c r="M3176" s="29"/>
      <c r="N3176" s="29"/>
      <c r="O3176" s="29" t="s">
        <v>1094</v>
      </c>
      <c r="P3176" s="120"/>
      <c r="Q3176" s="156"/>
      <c r="R3176" s="162"/>
    </row>
    <row r="3177" spans="1:18" hidden="1">
      <c r="A3177" s="160" t="s">
        <v>1399</v>
      </c>
      <c r="B3177" s="160"/>
      <c r="C3177" s="88">
        <v>289501973</v>
      </c>
      <c r="D3177" s="29"/>
      <c r="E3177" s="29"/>
      <c r="F3177" s="29" t="s">
        <v>97</v>
      </c>
      <c r="G3177" s="29" t="s">
        <v>961</v>
      </c>
      <c r="H3177" s="29" t="s">
        <v>38</v>
      </c>
      <c r="I3177" s="120">
        <v>45946</v>
      </c>
      <c r="J3177" s="120">
        <f>WORKDAY(I3177, 3)</f>
        <v>45951</v>
      </c>
      <c r="K3177" s="29"/>
      <c r="L3177" s="29"/>
      <c r="M3177" s="29"/>
      <c r="N3177" s="29"/>
      <c r="O3177" s="29" t="s">
        <v>1094</v>
      </c>
      <c r="P3177" s="120"/>
      <c r="Q3177" s="156"/>
      <c r="R3177" s="162"/>
    </row>
    <row r="3178" spans="1:18" hidden="1">
      <c r="A3178" s="160" t="s">
        <v>1399</v>
      </c>
      <c r="B3178" s="160"/>
      <c r="C3178" s="88">
        <v>289501984</v>
      </c>
      <c r="D3178" s="29"/>
      <c r="E3178" s="29"/>
      <c r="F3178" s="29" t="s">
        <v>97</v>
      </c>
      <c r="G3178" s="29" t="s">
        <v>961</v>
      </c>
      <c r="H3178" s="29" t="s">
        <v>38</v>
      </c>
      <c r="I3178" s="120">
        <v>45946</v>
      </c>
      <c r="J3178" s="120">
        <f>WORKDAY(I3178, 3)</f>
        <v>45951</v>
      </c>
      <c r="K3178" s="29"/>
      <c r="L3178" s="29"/>
      <c r="M3178" s="29"/>
      <c r="N3178" s="29"/>
      <c r="O3178" s="29" t="s">
        <v>1094</v>
      </c>
      <c r="P3178" s="120"/>
      <c r="Q3178" s="156"/>
      <c r="R3178" s="162"/>
    </row>
    <row r="3179" spans="1:18" hidden="1">
      <c r="A3179" s="160" t="s">
        <v>1399</v>
      </c>
      <c r="B3179" s="160"/>
      <c r="C3179" s="88">
        <v>289502006</v>
      </c>
      <c r="D3179" s="29"/>
      <c r="E3179" s="29"/>
      <c r="F3179" s="29" t="s">
        <v>97</v>
      </c>
      <c r="G3179" s="29" t="s">
        <v>961</v>
      </c>
      <c r="H3179" s="29" t="s">
        <v>38</v>
      </c>
      <c r="I3179" s="120">
        <v>45946</v>
      </c>
      <c r="J3179" s="120">
        <f>WORKDAY(I3179, 3)</f>
        <v>45951</v>
      </c>
      <c r="K3179" s="29"/>
      <c r="L3179" s="29"/>
      <c r="M3179" s="29"/>
      <c r="N3179" s="29"/>
      <c r="O3179" s="29" t="s">
        <v>1094</v>
      </c>
      <c r="P3179" s="120"/>
      <c r="Q3179" s="156"/>
      <c r="R3179" s="162"/>
    </row>
    <row r="3180" spans="1:18" hidden="1">
      <c r="A3180" s="160" t="s">
        <v>1399</v>
      </c>
      <c r="B3180" s="160"/>
      <c r="C3180" s="88">
        <v>289502016</v>
      </c>
      <c r="D3180" s="29"/>
      <c r="E3180" s="29"/>
      <c r="F3180" s="29" t="s">
        <v>97</v>
      </c>
      <c r="G3180" s="29" t="s">
        <v>961</v>
      </c>
      <c r="H3180" s="29" t="s">
        <v>38</v>
      </c>
      <c r="I3180" s="120">
        <v>45946</v>
      </c>
      <c r="J3180" s="120">
        <f>WORKDAY(I3180, 3)</f>
        <v>45951</v>
      </c>
      <c r="K3180" s="29"/>
      <c r="L3180" s="29"/>
      <c r="M3180" s="29"/>
      <c r="N3180" s="29"/>
      <c r="O3180" s="29" t="s">
        <v>1094</v>
      </c>
      <c r="P3180" s="120"/>
      <c r="Q3180" s="156"/>
      <c r="R3180" s="162"/>
    </row>
    <row r="3181" spans="1:18" hidden="1">
      <c r="A3181" s="160" t="s">
        <v>1399</v>
      </c>
      <c r="B3181" s="160"/>
      <c r="C3181" s="88">
        <v>289502036</v>
      </c>
      <c r="D3181" s="29"/>
      <c r="E3181" s="29"/>
      <c r="F3181" s="29" t="s">
        <v>97</v>
      </c>
      <c r="G3181" s="29" t="s">
        <v>961</v>
      </c>
      <c r="H3181" s="29" t="s">
        <v>38</v>
      </c>
      <c r="I3181" s="120">
        <v>45946</v>
      </c>
      <c r="J3181" s="120">
        <f>WORKDAY(I3181, 3)</f>
        <v>45951</v>
      </c>
      <c r="K3181" s="29"/>
      <c r="L3181" s="29"/>
      <c r="M3181" s="29"/>
      <c r="N3181" s="29"/>
      <c r="O3181" s="29" t="s">
        <v>1094</v>
      </c>
      <c r="P3181" s="120"/>
      <c r="Q3181" s="156"/>
      <c r="R3181" s="162"/>
    </row>
    <row r="3182" spans="1:18" hidden="1">
      <c r="A3182" s="160" t="s">
        <v>1399</v>
      </c>
      <c r="B3182" s="160"/>
      <c r="C3182" s="88">
        <v>289502080</v>
      </c>
      <c r="D3182" s="29"/>
      <c r="E3182" s="29"/>
      <c r="F3182" s="29" t="s">
        <v>97</v>
      </c>
      <c r="G3182" s="29" t="s">
        <v>961</v>
      </c>
      <c r="H3182" s="29" t="s">
        <v>38</v>
      </c>
      <c r="I3182" s="120">
        <v>45946</v>
      </c>
      <c r="J3182" s="120">
        <f>WORKDAY(I3182, 3)</f>
        <v>45951</v>
      </c>
      <c r="K3182" s="29"/>
      <c r="L3182" s="29"/>
      <c r="M3182" s="29"/>
      <c r="N3182" s="29"/>
      <c r="O3182" s="29" t="s">
        <v>1094</v>
      </c>
      <c r="P3182" s="120"/>
      <c r="Q3182" s="156"/>
      <c r="R3182" s="162"/>
    </row>
    <row r="3183" spans="1:18" hidden="1">
      <c r="A3183" s="160" t="s">
        <v>1399</v>
      </c>
      <c r="B3183" s="160"/>
      <c r="C3183" s="88">
        <v>304500633</v>
      </c>
      <c r="D3183" s="29"/>
      <c r="E3183" s="29"/>
      <c r="F3183" s="29" t="s">
        <v>97</v>
      </c>
      <c r="G3183" s="29" t="s">
        <v>961</v>
      </c>
      <c r="H3183" s="29" t="s">
        <v>38</v>
      </c>
      <c r="I3183" s="120">
        <v>45961</v>
      </c>
      <c r="J3183" s="120">
        <f>WORKDAY(I3183, 3)</f>
        <v>45966</v>
      </c>
      <c r="K3183" s="120">
        <v>45992</v>
      </c>
      <c r="L3183" s="120"/>
      <c r="M3183" s="120"/>
      <c r="N3183" s="29"/>
      <c r="O3183" s="29" t="s">
        <v>1094</v>
      </c>
      <c r="P3183" s="29"/>
      <c r="Q3183" s="156"/>
    </row>
    <row r="3184" spans="1:18" hidden="1">
      <c r="A3184" s="160" t="s">
        <v>1399</v>
      </c>
      <c r="B3184" s="160"/>
      <c r="C3184" s="88">
        <v>304500638</v>
      </c>
      <c r="D3184" s="29"/>
      <c r="E3184" s="29"/>
      <c r="F3184" s="29" t="s">
        <v>97</v>
      </c>
      <c r="G3184" s="29" t="s">
        <v>961</v>
      </c>
      <c r="H3184" s="29" t="s">
        <v>38</v>
      </c>
      <c r="I3184" s="120">
        <v>45961</v>
      </c>
      <c r="J3184" s="120">
        <f>WORKDAY(I3184, 3)</f>
        <v>45966</v>
      </c>
      <c r="K3184" s="120">
        <v>45992</v>
      </c>
      <c r="L3184" s="120"/>
      <c r="M3184" s="120"/>
      <c r="N3184" s="29"/>
      <c r="O3184" s="29" t="s">
        <v>1094</v>
      </c>
      <c r="P3184" s="29"/>
      <c r="Q3184" s="156"/>
    </row>
    <row r="3185" spans="1:17" hidden="1">
      <c r="A3185" s="160" t="s">
        <v>1399</v>
      </c>
      <c r="B3185" s="160"/>
      <c r="C3185" s="88">
        <v>304500648</v>
      </c>
      <c r="D3185" s="29"/>
      <c r="E3185" s="29"/>
      <c r="F3185" s="29" t="s">
        <v>97</v>
      </c>
      <c r="G3185" s="29" t="s">
        <v>961</v>
      </c>
      <c r="H3185" s="29" t="s">
        <v>38</v>
      </c>
      <c r="I3185" s="120">
        <v>45961</v>
      </c>
      <c r="J3185" s="120">
        <f>WORKDAY(I3185, 3)</f>
        <v>45966</v>
      </c>
      <c r="K3185" s="120">
        <v>45992</v>
      </c>
      <c r="L3185" s="120"/>
      <c r="M3185" s="120"/>
      <c r="N3185" s="29"/>
      <c r="O3185" s="29" t="s">
        <v>1094</v>
      </c>
      <c r="P3185" s="29"/>
      <c r="Q3185" s="156"/>
    </row>
    <row r="3186" spans="1:17" hidden="1">
      <c r="A3186" s="160" t="s">
        <v>1399</v>
      </c>
      <c r="B3186" s="160"/>
      <c r="C3186" s="88">
        <v>304500654</v>
      </c>
      <c r="D3186" s="29"/>
      <c r="E3186" s="29"/>
      <c r="F3186" s="29" t="s">
        <v>97</v>
      </c>
      <c r="G3186" s="29" t="s">
        <v>961</v>
      </c>
      <c r="H3186" s="29" t="s">
        <v>38</v>
      </c>
      <c r="I3186" s="120">
        <v>45961</v>
      </c>
      <c r="J3186" s="120">
        <f>WORKDAY(I3186, 3)</f>
        <v>45966</v>
      </c>
      <c r="K3186" s="120">
        <v>45992</v>
      </c>
      <c r="L3186" s="120"/>
      <c r="M3186" s="120"/>
      <c r="N3186" s="29"/>
      <c r="O3186" s="29" t="s">
        <v>1094</v>
      </c>
      <c r="P3186" s="29"/>
      <c r="Q3186" s="156"/>
    </row>
    <row r="3187" spans="1:17" hidden="1">
      <c r="A3187" s="160" t="s">
        <v>1399</v>
      </c>
      <c r="B3187" s="160"/>
      <c r="C3187" s="88">
        <v>304500658</v>
      </c>
      <c r="D3187" s="29"/>
      <c r="E3187" s="29"/>
      <c r="F3187" s="29" t="s">
        <v>97</v>
      </c>
      <c r="G3187" s="29" t="s">
        <v>961</v>
      </c>
      <c r="H3187" s="29" t="s">
        <v>38</v>
      </c>
      <c r="I3187" s="120">
        <v>45961</v>
      </c>
      <c r="J3187" s="120">
        <f>WORKDAY(I3187, 3)</f>
        <v>45966</v>
      </c>
      <c r="K3187" s="120">
        <v>45992</v>
      </c>
      <c r="L3187" s="120"/>
      <c r="M3187" s="120"/>
      <c r="N3187" s="29"/>
      <c r="O3187" s="29" t="s">
        <v>1094</v>
      </c>
      <c r="P3187" s="29"/>
      <c r="Q3187" s="156"/>
    </row>
    <row r="3188" spans="1:17" hidden="1">
      <c r="A3188" s="160" t="s">
        <v>1399</v>
      </c>
      <c r="B3188" s="160"/>
      <c r="C3188" s="88">
        <v>304500483</v>
      </c>
      <c r="D3188" s="29"/>
      <c r="E3188" s="29"/>
      <c r="F3188" s="29" t="s">
        <v>97</v>
      </c>
      <c r="G3188" s="29" t="s">
        <v>961</v>
      </c>
      <c r="H3188" s="29" t="s">
        <v>38</v>
      </c>
      <c r="I3188" s="120">
        <v>45961</v>
      </c>
      <c r="J3188" s="120">
        <f>WORKDAY(I3188, 3)</f>
        <v>45966</v>
      </c>
      <c r="K3188" s="120">
        <v>45992</v>
      </c>
      <c r="L3188" s="120"/>
      <c r="M3188" s="120"/>
      <c r="N3188" s="29"/>
      <c r="O3188" s="29" t="s">
        <v>1094</v>
      </c>
      <c r="P3188" s="29"/>
      <c r="Q3188" s="156"/>
    </row>
    <row r="3189" spans="1:17" hidden="1">
      <c r="A3189" s="160" t="s">
        <v>1399</v>
      </c>
      <c r="B3189" s="160"/>
      <c r="C3189" s="88">
        <v>304500493</v>
      </c>
      <c r="D3189" s="29"/>
      <c r="E3189" s="29"/>
      <c r="F3189" s="29" t="s">
        <v>97</v>
      </c>
      <c r="G3189" s="29" t="s">
        <v>961</v>
      </c>
      <c r="H3189" s="29" t="s">
        <v>38</v>
      </c>
      <c r="I3189" s="120">
        <v>45961</v>
      </c>
      <c r="J3189" s="120">
        <f>WORKDAY(I3189, 3)</f>
        <v>45966</v>
      </c>
      <c r="K3189" s="120">
        <v>45992</v>
      </c>
      <c r="L3189" s="120"/>
      <c r="M3189" s="120"/>
      <c r="N3189" s="29"/>
      <c r="O3189" s="29" t="s">
        <v>1094</v>
      </c>
      <c r="P3189" s="29"/>
      <c r="Q3189" s="156"/>
    </row>
    <row r="3190" spans="1:17" hidden="1">
      <c r="A3190" s="160" t="s">
        <v>1399</v>
      </c>
      <c r="B3190" s="160"/>
      <c r="C3190" s="88">
        <v>304500503</v>
      </c>
      <c r="D3190" s="29"/>
      <c r="E3190" s="29"/>
      <c r="F3190" s="29" t="s">
        <v>97</v>
      </c>
      <c r="G3190" s="29" t="s">
        <v>961</v>
      </c>
      <c r="H3190" s="29" t="s">
        <v>38</v>
      </c>
      <c r="I3190" s="120">
        <v>45961</v>
      </c>
      <c r="J3190" s="120">
        <f>WORKDAY(I3190, 3)</f>
        <v>45966</v>
      </c>
      <c r="K3190" s="120">
        <v>45992</v>
      </c>
      <c r="L3190" s="120"/>
      <c r="M3190" s="120"/>
      <c r="N3190" s="29"/>
      <c r="O3190" s="29" t="s">
        <v>1094</v>
      </c>
      <c r="P3190" s="29"/>
      <c r="Q3190" s="156"/>
    </row>
    <row r="3191" spans="1:17" hidden="1">
      <c r="A3191" s="160" t="s">
        <v>1399</v>
      </c>
      <c r="B3191" s="160"/>
      <c r="C3191" s="88">
        <v>304500510</v>
      </c>
      <c r="D3191" s="29"/>
      <c r="E3191" s="29"/>
      <c r="F3191" s="29" t="s">
        <v>97</v>
      </c>
      <c r="G3191" s="29" t="s">
        <v>961</v>
      </c>
      <c r="H3191" s="29" t="s">
        <v>38</v>
      </c>
      <c r="I3191" s="120">
        <v>45961</v>
      </c>
      <c r="J3191" s="120">
        <f>WORKDAY(I3191, 3)</f>
        <v>45966</v>
      </c>
      <c r="K3191" s="120">
        <v>45992</v>
      </c>
      <c r="L3191" s="120"/>
      <c r="M3191" s="120"/>
      <c r="N3191" s="29"/>
      <c r="O3191" s="29" t="s">
        <v>1094</v>
      </c>
      <c r="P3191" s="29"/>
      <c r="Q3191" s="156"/>
    </row>
    <row r="3192" spans="1:17" hidden="1">
      <c r="A3192" s="160" t="s">
        <v>1399</v>
      </c>
      <c r="B3192" s="160"/>
      <c r="C3192" s="88">
        <v>304500519</v>
      </c>
      <c r="D3192" s="29"/>
      <c r="E3192" s="29"/>
      <c r="F3192" s="29" t="s">
        <v>97</v>
      </c>
      <c r="G3192" s="29" t="s">
        <v>961</v>
      </c>
      <c r="H3192" s="29" t="s">
        <v>38</v>
      </c>
      <c r="I3192" s="120">
        <v>45961</v>
      </c>
      <c r="J3192" s="120">
        <f>WORKDAY(I3192, 3)</f>
        <v>45966</v>
      </c>
      <c r="K3192" s="120">
        <v>45992</v>
      </c>
      <c r="L3192" s="120"/>
      <c r="M3192" s="120"/>
      <c r="N3192" s="29"/>
      <c r="O3192" s="29" t="s">
        <v>1094</v>
      </c>
      <c r="P3192" s="29"/>
      <c r="Q3192" s="156"/>
    </row>
    <row r="3193" spans="1:17" hidden="1">
      <c r="A3193" s="160" t="s">
        <v>1399</v>
      </c>
      <c r="B3193" s="160"/>
      <c r="C3193" s="88">
        <v>304500526</v>
      </c>
      <c r="D3193" s="29"/>
      <c r="E3193" s="29"/>
      <c r="F3193" s="29" t="s">
        <v>97</v>
      </c>
      <c r="G3193" s="29" t="s">
        <v>961</v>
      </c>
      <c r="H3193" s="29" t="s">
        <v>38</v>
      </c>
      <c r="I3193" s="120">
        <v>45961</v>
      </c>
      <c r="J3193" s="120">
        <f>WORKDAY(I3193, 3)</f>
        <v>45966</v>
      </c>
      <c r="K3193" s="120">
        <v>45992</v>
      </c>
      <c r="L3193" s="120"/>
      <c r="M3193" s="120"/>
      <c r="N3193" s="29"/>
      <c r="O3193" s="29" t="s">
        <v>1094</v>
      </c>
      <c r="P3193" s="29"/>
      <c r="Q3193" s="156"/>
    </row>
    <row r="3194" spans="1:17" hidden="1">
      <c r="A3194" s="160" t="s">
        <v>1399</v>
      </c>
      <c r="B3194" s="160"/>
      <c r="C3194" s="88">
        <v>304500534</v>
      </c>
      <c r="D3194" s="29"/>
      <c r="E3194" s="29"/>
      <c r="F3194" s="29" t="s">
        <v>97</v>
      </c>
      <c r="G3194" s="29" t="s">
        <v>961</v>
      </c>
      <c r="H3194" s="29" t="s">
        <v>38</v>
      </c>
      <c r="I3194" s="120">
        <v>45961</v>
      </c>
      <c r="J3194" s="120">
        <f>WORKDAY(I3194, 3)</f>
        <v>45966</v>
      </c>
      <c r="K3194" s="120">
        <v>45992</v>
      </c>
      <c r="L3194" s="120"/>
      <c r="M3194" s="120"/>
      <c r="N3194" s="29"/>
      <c r="O3194" s="29" t="s">
        <v>1094</v>
      </c>
      <c r="P3194" s="29"/>
      <c r="Q3194" s="156"/>
    </row>
    <row r="3195" spans="1:17" hidden="1">
      <c r="A3195" s="160" t="s">
        <v>1399</v>
      </c>
      <c r="B3195" s="160"/>
      <c r="C3195" s="88">
        <v>304500538</v>
      </c>
      <c r="D3195" s="29"/>
      <c r="E3195" s="29"/>
      <c r="F3195" s="29" t="s">
        <v>97</v>
      </c>
      <c r="G3195" s="29" t="s">
        <v>961</v>
      </c>
      <c r="H3195" s="29" t="s">
        <v>38</v>
      </c>
      <c r="I3195" s="120">
        <v>45961</v>
      </c>
      <c r="J3195" s="120">
        <f>WORKDAY(I3195, 3)</f>
        <v>45966</v>
      </c>
      <c r="K3195" s="120">
        <v>45992</v>
      </c>
      <c r="L3195" s="120"/>
      <c r="M3195" s="120"/>
      <c r="N3195" s="29"/>
      <c r="O3195" s="29" t="s">
        <v>1094</v>
      </c>
      <c r="P3195" s="29"/>
      <c r="Q3195" s="156"/>
    </row>
    <row r="3196" spans="1:17" hidden="1">
      <c r="A3196" s="160" t="s">
        <v>1399</v>
      </c>
      <c r="B3196" s="160"/>
      <c r="C3196" s="88">
        <v>304500544</v>
      </c>
      <c r="D3196" s="29"/>
      <c r="E3196" s="29"/>
      <c r="F3196" s="29" t="s">
        <v>97</v>
      </c>
      <c r="G3196" s="29" t="s">
        <v>961</v>
      </c>
      <c r="H3196" s="29" t="s">
        <v>38</v>
      </c>
      <c r="I3196" s="120">
        <v>45961</v>
      </c>
      <c r="J3196" s="120">
        <f>WORKDAY(I3196, 3)</f>
        <v>45966</v>
      </c>
      <c r="K3196" s="120">
        <v>45992</v>
      </c>
      <c r="L3196" s="120"/>
      <c r="M3196" s="120"/>
      <c r="N3196" s="29"/>
      <c r="O3196" s="29" t="s">
        <v>1094</v>
      </c>
      <c r="P3196" s="29"/>
      <c r="Q3196" s="156"/>
    </row>
    <row r="3197" spans="1:17" hidden="1">
      <c r="A3197" s="160" t="s">
        <v>1399</v>
      </c>
      <c r="B3197" s="160"/>
      <c r="C3197" s="88">
        <v>304500555</v>
      </c>
      <c r="D3197" s="29"/>
      <c r="E3197" s="29"/>
      <c r="F3197" s="29" t="s">
        <v>97</v>
      </c>
      <c r="G3197" s="29" t="s">
        <v>961</v>
      </c>
      <c r="H3197" s="29" t="s">
        <v>38</v>
      </c>
      <c r="I3197" s="120">
        <v>45961</v>
      </c>
      <c r="J3197" s="120">
        <f>WORKDAY(I3197, 3)</f>
        <v>45966</v>
      </c>
      <c r="K3197" s="120">
        <v>45992</v>
      </c>
      <c r="L3197" s="120"/>
      <c r="M3197" s="120"/>
      <c r="N3197" s="29"/>
      <c r="O3197" s="29" t="s">
        <v>1094</v>
      </c>
      <c r="P3197" s="29"/>
      <c r="Q3197" s="156"/>
    </row>
    <row r="3198" spans="1:17" hidden="1">
      <c r="A3198" s="160" t="s">
        <v>1399</v>
      </c>
      <c r="B3198" s="160"/>
      <c r="C3198" s="88">
        <v>304500560</v>
      </c>
      <c r="D3198" s="29"/>
      <c r="E3198" s="29"/>
      <c r="F3198" s="29" t="s">
        <v>97</v>
      </c>
      <c r="G3198" s="29" t="s">
        <v>961</v>
      </c>
      <c r="H3198" s="29" t="s">
        <v>38</v>
      </c>
      <c r="I3198" s="120">
        <v>45961</v>
      </c>
      <c r="J3198" s="120">
        <f>WORKDAY(I3198, 3)</f>
        <v>45966</v>
      </c>
      <c r="K3198" s="120">
        <v>45992</v>
      </c>
      <c r="L3198" s="120"/>
      <c r="M3198" s="120"/>
      <c r="N3198" s="29"/>
      <c r="O3198" s="29" t="s">
        <v>1094</v>
      </c>
      <c r="P3198" s="29"/>
      <c r="Q3198" s="156"/>
    </row>
    <row r="3199" spans="1:17" hidden="1">
      <c r="A3199" s="160" t="s">
        <v>1399</v>
      </c>
      <c r="B3199" s="160"/>
      <c r="C3199" s="88">
        <v>304500565</v>
      </c>
      <c r="D3199" s="29"/>
      <c r="E3199" s="29"/>
      <c r="F3199" s="29" t="s">
        <v>97</v>
      </c>
      <c r="G3199" s="29" t="s">
        <v>961</v>
      </c>
      <c r="H3199" s="29" t="s">
        <v>38</v>
      </c>
      <c r="I3199" s="120">
        <v>45961</v>
      </c>
      <c r="J3199" s="120">
        <f>WORKDAY(I3199, 3)</f>
        <v>45966</v>
      </c>
      <c r="K3199" s="120">
        <v>45992</v>
      </c>
      <c r="L3199" s="120"/>
      <c r="M3199" s="120"/>
      <c r="N3199" s="29"/>
      <c r="O3199" s="29" t="s">
        <v>1094</v>
      </c>
      <c r="P3199" s="29"/>
      <c r="Q3199" s="156"/>
    </row>
    <row r="3200" spans="1:17" hidden="1">
      <c r="A3200" s="160" t="s">
        <v>1399</v>
      </c>
      <c r="B3200" s="160"/>
      <c r="C3200" s="88">
        <v>304500575</v>
      </c>
      <c r="D3200" s="29"/>
      <c r="E3200" s="29"/>
      <c r="F3200" s="29" t="s">
        <v>97</v>
      </c>
      <c r="G3200" s="29" t="s">
        <v>961</v>
      </c>
      <c r="H3200" s="29" t="s">
        <v>38</v>
      </c>
      <c r="I3200" s="120">
        <v>45961</v>
      </c>
      <c r="J3200" s="120">
        <f>WORKDAY(I3200, 3)</f>
        <v>45966</v>
      </c>
      <c r="K3200" s="120">
        <v>45992</v>
      </c>
      <c r="L3200" s="120"/>
      <c r="M3200" s="120"/>
      <c r="N3200" s="29"/>
      <c r="O3200" s="29" t="s">
        <v>1094</v>
      </c>
      <c r="P3200" s="29"/>
      <c r="Q3200" s="156"/>
    </row>
    <row r="3201" spans="1:17" hidden="1">
      <c r="A3201" s="160" t="s">
        <v>1399</v>
      </c>
      <c r="B3201" s="160"/>
      <c r="C3201" s="88">
        <v>304500582</v>
      </c>
      <c r="D3201" s="29"/>
      <c r="E3201" s="29"/>
      <c r="F3201" s="29" t="s">
        <v>97</v>
      </c>
      <c r="G3201" s="29" t="s">
        <v>961</v>
      </c>
      <c r="H3201" s="29" t="s">
        <v>38</v>
      </c>
      <c r="I3201" s="120">
        <v>45961</v>
      </c>
      <c r="J3201" s="120">
        <f>WORKDAY(I3201, 3)</f>
        <v>45966</v>
      </c>
      <c r="K3201" s="120">
        <v>45992</v>
      </c>
      <c r="L3201" s="120"/>
      <c r="M3201" s="120"/>
      <c r="N3201" s="29"/>
      <c r="O3201" s="29" t="s">
        <v>1094</v>
      </c>
      <c r="P3201" s="29"/>
      <c r="Q3201" s="156"/>
    </row>
    <row r="3202" spans="1:17" hidden="1">
      <c r="A3202" s="160" t="s">
        <v>1399</v>
      </c>
      <c r="B3202" s="160"/>
      <c r="C3202" s="88">
        <v>304500590</v>
      </c>
      <c r="D3202" s="29"/>
      <c r="E3202" s="29"/>
      <c r="F3202" s="29" t="s">
        <v>97</v>
      </c>
      <c r="G3202" s="29" t="s">
        <v>961</v>
      </c>
      <c r="H3202" s="29" t="s">
        <v>38</v>
      </c>
      <c r="I3202" s="120">
        <v>45961</v>
      </c>
      <c r="J3202" s="120">
        <f>WORKDAY(I3202, 3)</f>
        <v>45966</v>
      </c>
      <c r="K3202" s="120">
        <v>45992</v>
      </c>
      <c r="L3202" s="120"/>
      <c r="M3202" s="120"/>
      <c r="N3202" s="29"/>
      <c r="O3202" s="29" t="s">
        <v>1094</v>
      </c>
      <c r="P3202" s="29"/>
      <c r="Q3202" s="156"/>
    </row>
    <row r="3203" spans="1:17" hidden="1">
      <c r="A3203" s="160" t="s">
        <v>1399</v>
      </c>
      <c r="B3203" s="160"/>
      <c r="C3203" s="88">
        <v>309501953</v>
      </c>
      <c r="D3203" s="29"/>
      <c r="E3203" s="29"/>
      <c r="F3203" s="29" t="s">
        <v>97</v>
      </c>
      <c r="G3203" s="29" t="s">
        <v>961</v>
      </c>
      <c r="H3203" s="29" t="s">
        <v>38</v>
      </c>
      <c r="I3203" s="120">
        <v>45966</v>
      </c>
      <c r="J3203" s="120">
        <v>45969</v>
      </c>
      <c r="K3203" s="120">
        <v>45996</v>
      </c>
      <c r="L3203" s="120"/>
      <c r="M3203" s="120"/>
      <c r="N3203" s="29"/>
      <c r="O3203" s="29" t="s">
        <v>1094</v>
      </c>
      <c r="P3203" s="29"/>
      <c r="Q3203" s="156"/>
    </row>
    <row r="3204" spans="1:17" hidden="1">
      <c r="A3204" s="160" t="s">
        <v>1399</v>
      </c>
      <c r="B3204" s="160"/>
      <c r="C3204" s="88">
        <v>304500624</v>
      </c>
      <c r="D3204" s="29"/>
      <c r="E3204" s="29"/>
      <c r="F3204" s="29" t="s">
        <v>97</v>
      </c>
      <c r="G3204" s="29" t="s">
        <v>961</v>
      </c>
      <c r="H3204" s="29" t="s">
        <v>38</v>
      </c>
      <c r="I3204" s="120">
        <v>45961</v>
      </c>
      <c r="J3204" s="120">
        <f>WORKDAY(I3204, 3)</f>
        <v>45966</v>
      </c>
      <c r="K3204" s="120">
        <v>45992</v>
      </c>
      <c r="L3204" s="120"/>
      <c r="M3204" s="120"/>
      <c r="N3204" s="29"/>
      <c r="O3204" s="29" t="s">
        <v>1094</v>
      </c>
      <c r="P3204" s="29"/>
      <c r="Q3204" s="156"/>
    </row>
    <row r="3205" spans="1:17" hidden="1">
      <c r="A3205" s="160" t="s">
        <v>1400</v>
      </c>
      <c r="B3205" s="160"/>
      <c r="C3205" s="88">
        <v>308506314</v>
      </c>
      <c r="D3205" s="29"/>
      <c r="E3205" s="29"/>
      <c r="F3205" s="29" t="s">
        <v>1401</v>
      </c>
      <c r="G3205" s="29" t="s">
        <v>116</v>
      </c>
      <c r="H3205" s="29" t="s">
        <v>29</v>
      </c>
      <c r="I3205" s="120">
        <v>45965</v>
      </c>
      <c r="J3205" s="120">
        <f>WORKDAY(I3205, 3)</f>
        <v>45968</v>
      </c>
      <c r="K3205" s="120">
        <v>45995</v>
      </c>
      <c r="L3205" s="120"/>
      <c r="M3205" s="120"/>
      <c r="N3205" s="29"/>
      <c r="O3205" s="29" t="s">
        <v>1256</v>
      </c>
      <c r="P3205" s="29"/>
      <c r="Q3205" s="156"/>
    </row>
    <row r="3206" spans="1:17" hidden="1">
      <c r="A3206" s="160" t="s">
        <v>1400</v>
      </c>
      <c r="B3206" s="160"/>
      <c r="C3206" s="88">
        <v>308506538</v>
      </c>
      <c r="D3206" s="29"/>
      <c r="E3206" s="29"/>
      <c r="F3206" s="29" t="s">
        <v>1401</v>
      </c>
      <c r="G3206" s="29" t="s">
        <v>116</v>
      </c>
      <c r="H3206" s="29" t="s">
        <v>29</v>
      </c>
      <c r="I3206" s="120">
        <v>45965</v>
      </c>
      <c r="J3206" s="120">
        <f>WORKDAY(I3206, 3)</f>
        <v>45968</v>
      </c>
      <c r="K3206" s="120">
        <v>45995</v>
      </c>
      <c r="L3206" s="120"/>
      <c r="M3206" s="120"/>
      <c r="N3206" s="29"/>
      <c r="O3206" s="29" t="s">
        <v>1256</v>
      </c>
      <c r="P3206" s="29"/>
      <c r="Q3206" s="156"/>
    </row>
    <row r="3207" spans="1:17" hidden="1">
      <c r="A3207" s="160" t="s">
        <v>1400</v>
      </c>
      <c r="B3207" s="160"/>
      <c r="C3207" s="88">
        <v>308506652</v>
      </c>
      <c r="D3207" s="29"/>
      <c r="E3207" s="29"/>
      <c r="F3207" s="29" t="s">
        <v>1401</v>
      </c>
      <c r="G3207" s="29" t="s">
        <v>116</v>
      </c>
      <c r="H3207" s="29" t="s">
        <v>29</v>
      </c>
      <c r="I3207" s="120">
        <v>45965</v>
      </c>
      <c r="J3207" s="120">
        <f>WORKDAY(I3207, 3)</f>
        <v>45968</v>
      </c>
      <c r="K3207" s="120">
        <v>45995</v>
      </c>
      <c r="L3207" s="120"/>
      <c r="M3207" s="120"/>
      <c r="N3207" s="29"/>
      <c r="O3207" s="29" t="s">
        <v>1256</v>
      </c>
      <c r="P3207" s="29"/>
      <c r="Q3207" s="156"/>
    </row>
    <row r="3208" spans="1:17" hidden="1">
      <c r="A3208" s="160" t="s">
        <v>1400</v>
      </c>
      <c r="B3208" s="160"/>
      <c r="C3208" s="88">
        <v>308506705</v>
      </c>
      <c r="D3208" s="29"/>
      <c r="E3208" s="29"/>
      <c r="F3208" s="29" t="s">
        <v>1401</v>
      </c>
      <c r="G3208" s="29" t="s">
        <v>116</v>
      </c>
      <c r="H3208" s="29" t="s">
        <v>29</v>
      </c>
      <c r="I3208" s="120">
        <v>45965</v>
      </c>
      <c r="J3208" s="120">
        <f>WORKDAY(I3208, 3)</f>
        <v>45968</v>
      </c>
      <c r="K3208" s="120">
        <v>45995</v>
      </c>
      <c r="L3208" s="120"/>
      <c r="M3208" s="120"/>
      <c r="N3208" s="29"/>
      <c r="O3208" s="29" t="s">
        <v>1256</v>
      </c>
      <c r="P3208" s="29"/>
      <c r="Q3208" s="156"/>
    </row>
    <row r="3209" spans="1:17" hidden="1">
      <c r="A3209" s="160" t="s">
        <v>1400</v>
      </c>
      <c r="B3209" s="160"/>
      <c r="C3209" s="88">
        <v>308506754</v>
      </c>
      <c r="D3209" s="29"/>
      <c r="E3209" s="29"/>
      <c r="F3209" s="29" t="s">
        <v>1401</v>
      </c>
      <c r="G3209" s="29" t="s">
        <v>116</v>
      </c>
      <c r="H3209" s="29" t="s">
        <v>29</v>
      </c>
      <c r="I3209" s="120">
        <v>45965</v>
      </c>
      <c r="J3209" s="120">
        <f>WORKDAY(I3209, 3)</f>
        <v>45968</v>
      </c>
      <c r="K3209" s="120">
        <v>45995</v>
      </c>
      <c r="L3209" s="120"/>
      <c r="M3209" s="120"/>
      <c r="N3209" s="29"/>
      <c r="O3209" s="29" t="s">
        <v>1256</v>
      </c>
      <c r="P3209" s="29"/>
      <c r="Q3209" s="156"/>
    </row>
    <row r="3210" spans="1:17" hidden="1">
      <c r="A3210" s="160" t="s">
        <v>1400</v>
      </c>
      <c r="B3210" s="160"/>
      <c r="C3210" s="88">
        <v>308506833</v>
      </c>
      <c r="D3210" s="29"/>
      <c r="E3210" s="29"/>
      <c r="F3210" s="29" t="s">
        <v>1401</v>
      </c>
      <c r="G3210" s="29" t="s">
        <v>116</v>
      </c>
      <c r="H3210" s="29" t="s">
        <v>29</v>
      </c>
      <c r="I3210" s="120">
        <v>45965</v>
      </c>
      <c r="J3210" s="120">
        <f>WORKDAY(I3210, 3)</f>
        <v>45968</v>
      </c>
      <c r="K3210" s="120">
        <v>45995</v>
      </c>
      <c r="L3210" s="120"/>
      <c r="M3210" s="120"/>
      <c r="N3210" s="29"/>
      <c r="O3210" s="29" t="s">
        <v>1256</v>
      </c>
      <c r="P3210" s="29"/>
      <c r="Q3210" s="156"/>
    </row>
    <row r="3211" spans="1:17" hidden="1">
      <c r="A3211" s="160" t="s">
        <v>1400</v>
      </c>
      <c r="B3211" s="160"/>
      <c r="C3211" s="88">
        <v>308506891</v>
      </c>
      <c r="D3211" s="29"/>
      <c r="E3211" s="29"/>
      <c r="F3211" s="29" t="s">
        <v>1401</v>
      </c>
      <c r="G3211" s="29" t="s">
        <v>116</v>
      </c>
      <c r="H3211" s="29" t="s">
        <v>29</v>
      </c>
      <c r="I3211" s="120">
        <v>45965</v>
      </c>
      <c r="J3211" s="120">
        <f>WORKDAY(I3211, 3)</f>
        <v>45968</v>
      </c>
      <c r="K3211" s="120">
        <v>45995</v>
      </c>
      <c r="L3211" s="120"/>
      <c r="M3211" s="120"/>
      <c r="N3211" s="29"/>
      <c r="O3211" s="29" t="s">
        <v>1256</v>
      </c>
      <c r="P3211" s="29"/>
      <c r="Q3211" s="156"/>
    </row>
    <row r="3212" spans="1:17" hidden="1">
      <c r="A3212" s="160" t="s">
        <v>1400</v>
      </c>
      <c r="B3212" s="160"/>
      <c r="C3212" s="88">
        <v>308506968</v>
      </c>
      <c r="D3212" s="29"/>
      <c r="E3212" s="29"/>
      <c r="F3212" s="29" t="s">
        <v>1401</v>
      </c>
      <c r="G3212" s="29" t="s">
        <v>116</v>
      </c>
      <c r="H3212" s="29" t="s">
        <v>29</v>
      </c>
      <c r="I3212" s="120">
        <v>45965</v>
      </c>
      <c r="J3212" s="120">
        <f>WORKDAY(I3212, 3)</f>
        <v>45968</v>
      </c>
      <c r="K3212" s="120">
        <v>45995</v>
      </c>
      <c r="L3212" s="120"/>
      <c r="M3212" s="120"/>
      <c r="N3212" s="29"/>
      <c r="O3212" s="29" t="s">
        <v>1256</v>
      </c>
      <c r="P3212" s="29"/>
      <c r="Q3212" s="156"/>
    </row>
    <row r="3213" spans="1:17" hidden="1">
      <c r="A3213" s="160" t="s">
        <v>1400</v>
      </c>
      <c r="B3213" s="160"/>
      <c r="C3213" s="88">
        <v>308507040</v>
      </c>
      <c r="D3213" s="29"/>
      <c r="E3213" s="29"/>
      <c r="F3213" s="29" t="s">
        <v>1401</v>
      </c>
      <c r="G3213" s="29" t="s">
        <v>116</v>
      </c>
      <c r="H3213" s="29" t="s">
        <v>29</v>
      </c>
      <c r="I3213" s="120">
        <v>45965</v>
      </c>
      <c r="J3213" s="120">
        <f>WORKDAY(I3213, 3)</f>
        <v>45968</v>
      </c>
      <c r="K3213" s="120">
        <v>45995</v>
      </c>
      <c r="L3213" s="120"/>
      <c r="M3213" s="120"/>
      <c r="N3213" s="29"/>
      <c r="O3213" s="29" t="s">
        <v>1256</v>
      </c>
      <c r="P3213" s="29"/>
      <c r="Q3213" s="156"/>
    </row>
    <row r="3214" spans="1:17" hidden="1">
      <c r="A3214" s="160" t="s">
        <v>1400</v>
      </c>
      <c r="B3214" s="160"/>
      <c r="C3214" s="88">
        <v>308507148</v>
      </c>
      <c r="D3214" s="29"/>
      <c r="E3214" s="29"/>
      <c r="F3214" s="29" t="s">
        <v>1401</v>
      </c>
      <c r="G3214" s="29" t="s">
        <v>116</v>
      </c>
      <c r="H3214" s="29" t="s">
        <v>29</v>
      </c>
      <c r="I3214" s="120">
        <v>45965</v>
      </c>
      <c r="J3214" s="120">
        <f>WORKDAY(I3214, 3)</f>
        <v>45968</v>
      </c>
      <c r="K3214" s="120">
        <v>45995</v>
      </c>
      <c r="L3214" s="120"/>
      <c r="M3214" s="120"/>
      <c r="N3214" s="29"/>
      <c r="O3214" s="29" t="s">
        <v>1256</v>
      </c>
      <c r="P3214" s="29"/>
      <c r="Q3214" s="156"/>
    </row>
    <row r="3215" spans="1:17" hidden="1">
      <c r="A3215" s="160" t="s">
        <v>1400</v>
      </c>
      <c r="B3215" s="160"/>
      <c r="C3215" s="88">
        <v>308507283</v>
      </c>
      <c r="D3215" s="29"/>
      <c r="E3215" s="29"/>
      <c r="F3215" s="29" t="s">
        <v>1401</v>
      </c>
      <c r="G3215" s="29" t="s">
        <v>116</v>
      </c>
      <c r="H3215" s="29" t="s">
        <v>29</v>
      </c>
      <c r="I3215" s="120">
        <v>45965</v>
      </c>
      <c r="J3215" s="120">
        <f>WORKDAY(I3215, 3)</f>
        <v>45968</v>
      </c>
      <c r="K3215" s="120">
        <v>45995</v>
      </c>
      <c r="L3215" s="120"/>
      <c r="M3215" s="120"/>
      <c r="N3215" s="29"/>
      <c r="O3215" s="29" t="s">
        <v>1256</v>
      </c>
      <c r="P3215" s="29"/>
      <c r="Q3215" s="156"/>
    </row>
    <row r="3216" spans="1:17" hidden="1">
      <c r="A3216" s="160" t="s">
        <v>1400</v>
      </c>
      <c r="B3216" s="160"/>
      <c r="C3216" s="88">
        <v>308507377</v>
      </c>
      <c r="D3216" s="29"/>
      <c r="E3216" s="29"/>
      <c r="F3216" s="29" t="s">
        <v>1401</v>
      </c>
      <c r="G3216" s="29" t="s">
        <v>116</v>
      </c>
      <c r="H3216" s="29" t="s">
        <v>29</v>
      </c>
      <c r="I3216" s="120">
        <v>45965</v>
      </c>
      <c r="J3216" s="120">
        <f>WORKDAY(I3216, 3)</f>
        <v>45968</v>
      </c>
      <c r="K3216" s="120">
        <v>45995</v>
      </c>
      <c r="L3216" s="120"/>
      <c r="M3216" s="120"/>
      <c r="N3216" s="29"/>
      <c r="O3216" s="29" t="s">
        <v>1256</v>
      </c>
      <c r="P3216" s="29"/>
      <c r="Q3216" s="156"/>
    </row>
    <row r="3217" spans="1:17" hidden="1">
      <c r="A3217" s="160" t="s">
        <v>1400</v>
      </c>
      <c r="B3217" s="160"/>
      <c r="C3217" s="88">
        <v>308507442</v>
      </c>
      <c r="D3217" s="29"/>
      <c r="E3217" s="29"/>
      <c r="F3217" s="29" t="s">
        <v>1401</v>
      </c>
      <c r="G3217" s="29" t="s">
        <v>116</v>
      </c>
      <c r="H3217" s="29" t="s">
        <v>29</v>
      </c>
      <c r="I3217" s="120">
        <v>45965</v>
      </c>
      <c r="J3217" s="120">
        <f>WORKDAY(I3217, 3)</f>
        <v>45968</v>
      </c>
      <c r="K3217" s="120">
        <v>45995</v>
      </c>
      <c r="L3217" s="120"/>
      <c r="M3217" s="120"/>
      <c r="N3217" s="29"/>
      <c r="O3217" s="29" t="s">
        <v>1256</v>
      </c>
      <c r="P3217" s="29"/>
      <c r="Q3217" s="156"/>
    </row>
    <row r="3218" spans="1:17" hidden="1">
      <c r="A3218" s="160" t="s">
        <v>1400</v>
      </c>
      <c r="B3218" s="160"/>
      <c r="C3218" s="88">
        <v>308507505</v>
      </c>
      <c r="D3218" s="29"/>
      <c r="E3218" s="29"/>
      <c r="F3218" s="29" t="s">
        <v>1401</v>
      </c>
      <c r="G3218" s="29" t="s">
        <v>116</v>
      </c>
      <c r="H3218" s="29" t="s">
        <v>29</v>
      </c>
      <c r="I3218" s="120">
        <v>45965</v>
      </c>
      <c r="J3218" s="120">
        <f>WORKDAY(I3218, 3)</f>
        <v>45968</v>
      </c>
      <c r="K3218" s="120">
        <v>45995</v>
      </c>
      <c r="L3218" s="120"/>
      <c r="M3218" s="120"/>
      <c r="N3218" s="29"/>
      <c r="O3218" s="29" t="s">
        <v>1256</v>
      </c>
      <c r="P3218" s="29"/>
      <c r="Q3218" s="156"/>
    </row>
    <row r="3219" spans="1:17" hidden="1">
      <c r="A3219" s="160" t="s">
        <v>1400</v>
      </c>
      <c r="B3219" s="160"/>
      <c r="C3219" s="88">
        <v>308507540</v>
      </c>
      <c r="D3219" s="29"/>
      <c r="E3219" s="29"/>
      <c r="F3219" s="29" t="s">
        <v>1401</v>
      </c>
      <c r="G3219" s="29" t="s">
        <v>116</v>
      </c>
      <c r="H3219" s="29" t="s">
        <v>29</v>
      </c>
      <c r="I3219" s="120">
        <v>45965</v>
      </c>
      <c r="J3219" s="120">
        <f>WORKDAY(I3219, 3)</f>
        <v>45968</v>
      </c>
      <c r="K3219" s="120">
        <v>45995</v>
      </c>
      <c r="L3219" s="120"/>
      <c r="M3219" s="120"/>
      <c r="N3219" s="29"/>
      <c r="O3219" s="29" t="s">
        <v>1256</v>
      </c>
      <c r="P3219" s="29"/>
      <c r="Q3219" s="156"/>
    </row>
    <row r="3220" spans="1:17" hidden="1">
      <c r="A3220" s="160" t="s">
        <v>1400</v>
      </c>
      <c r="B3220" s="160"/>
      <c r="C3220" s="88">
        <v>308507591</v>
      </c>
      <c r="D3220" s="29"/>
      <c r="E3220" s="29"/>
      <c r="F3220" s="29" t="s">
        <v>1401</v>
      </c>
      <c r="G3220" s="29" t="s">
        <v>116</v>
      </c>
      <c r="H3220" s="29" t="s">
        <v>29</v>
      </c>
      <c r="I3220" s="120">
        <v>45965</v>
      </c>
      <c r="J3220" s="120">
        <f>WORKDAY(I3220, 3)</f>
        <v>45968</v>
      </c>
      <c r="K3220" s="120">
        <v>45995</v>
      </c>
      <c r="L3220" s="120"/>
      <c r="M3220" s="120"/>
      <c r="N3220" s="29"/>
      <c r="O3220" s="29" t="s">
        <v>1256</v>
      </c>
      <c r="P3220" s="29"/>
      <c r="Q3220" s="156"/>
    </row>
    <row r="3221" spans="1:17" hidden="1">
      <c r="A3221" s="160" t="s">
        <v>1400</v>
      </c>
      <c r="B3221" s="160"/>
      <c r="C3221" s="88">
        <v>308507651</v>
      </c>
      <c r="D3221" s="29"/>
      <c r="E3221" s="29"/>
      <c r="F3221" s="29" t="s">
        <v>1401</v>
      </c>
      <c r="G3221" s="29" t="s">
        <v>116</v>
      </c>
      <c r="H3221" s="29" t="s">
        <v>29</v>
      </c>
      <c r="I3221" s="120">
        <v>45965</v>
      </c>
      <c r="J3221" s="120">
        <f>WORKDAY(I3221, 3)</f>
        <v>45968</v>
      </c>
      <c r="K3221" s="120">
        <v>45995</v>
      </c>
      <c r="L3221" s="120"/>
      <c r="M3221" s="120"/>
      <c r="N3221" s="29"/>
      <c r="O3221" s="29" t="s">
        <v>1256</v>
      </c>
      <c r="P3221" s="29"/>
      <c r="Q3221" s="156"/>
    </row>
    <row r="3222" spans="1:17" hidden="1">
      <c r="A3222" s="160" t="s">
        <v>1400</v>
      </c>
      <c r="B3222" s="160"/>
      <c r="C3222" s="88">
        <v>308507711</v>
      </c>
      <c r="D3222" s="29"/>
      <c r="E3222" s="29"/>
      <c r="F3222" s="29" t="s">
        <v>1401</v>
      </c>
      <c r="G3222" s="29" t="s">
        <v>116</v>
      </c>
      <c r="H3222" s="29" t="s">
        <v>29</v>
      </c>
      <c r="I3222" s="120">
        <v>45965</v>
      </c>
      <c r="J3222" s="120">
        <f>WORKDAY(I3222, 3)</f>
        <v>45968</v>
      </c>
      <c r="K3222" s="120">
        <v>45995</v>
      </c>
      <c r="L3222" s="120"/>
      <c r="M3222" s="120"/>
      <c r="N3222" s="29"/>
      <c r="O3222" s="29" t="s">
        <v>1256</v>
      </c>
      <c r="P3222" s="29"/>
      <c r="Q3222" s="156"/>
    </row>
    <row r="3223" spans="1:17" hidden="1">
      <c r="A3223" s="160" t="s">
        <v>1400</v>
      </c>
      <c r="B3223" s="160"/>
      <c r="C3223" s="88">
        <v>308507737</v>
      </c>
      <c r="D3223" s="29"/>
      <c r="E3223" s="29"/>
      <c r="F3223" s="29" t="s">
        <v>1401</v>
      </c>
      <c r="G3223" s="29" t="s">
        <v>116</v>
      </c>
      <c r="H3223" s="29" t="s">
        <v>29</v>
      </c>
      <c r="I3223" s="120">
        <v>45965</v>
      </c>
      <c r="J3223" s="120">
        <f>WORKDAY(I3223, 3)</f>
        <v>45968</v>
      </c>
      <c r="K3223" s="120">
        <v>45995</v>
      </c>
      <c r="L3223" s="120"/>
      <c r="M3223" s="120"/>
      <c r="N3223" s="29"/>
      <c r="O3223" s="29" t="s">
        <v>1256</v>
      </c>
      <c r="P3223" s="29"/>
      <c r="Q3223" s="156"/>
    </row>
    <row r="3224" spans="1:17" hidden="1">
      <c r="A3224" s="160" t="s">
        <v>1400</v>
      </c>
      <c r="B3224" s="160"/>
      <c r="C3224" s="88">
        <v>308507770</v>
      </c>
      <c r="D3224" s="29"/>
      <c r="E3224" s="29"/>
      <c r="F3224" s="29" t="s">
        <v>1401</v>
      </c>
      <c r="G3224" s="29" t="s">
        <v>116</v>
      </c>
      <c r="H3224" s="29" t="s">
        <v>29</v>
      </c>
      <c r="I3224" s="120">
        <v>45965</v>
      </c>
      <c r="J3224" s="120">
        <f>WORKDAY(I3224, 3)</f>
        <v>45968</v>
      </c>
      <c r="K3224" s="120">
        <v>45995</v>
      </c>
      <c r="L3224" s="120"/>
      <c r="M3224" s="120"/>
      <c r="N3224" s="29"/>
      <c r="O3224" s="29" t="s">
        <v>1256</v>
      </c>
      <c r="P3224" s="29"/>
      <c r="Q3224" s="156"/>
    </row>
    <row r="3225" spans="1:17" hidden="1">
      <c r="A3225" s="160" t="s">
        <v>1400</v>
      </c>
      <c r="B3225" s="160"/>
      <c r="C3225" s="88">
        <v>308507804</v>
      </c>
      <c r="D3225" s="29"/>
      <c r="E3225" s="29"/>
      <c r="F3225" s="29" t="s">
        <v>1401</v>
      </c>
      <c r="G3225" s="29" t="s">
        <v>116</v>
      </c>
      <c r="H3225" s="29" t="s">
        <v>29</v>
      </c>
      <c r="I3225" s="120">
        <v>45965</v>
      </c>
      <c r="J3225" s="120">
        <f>WORKDAY(I3225, 3)</f>
        <v>45968</v>
      </c>
      <c r="K3225" s="120">
        <v>45995</v>
      </c>
      <c r="L3225" s="120"/>
      <c r="M3225" s="120"/>
      <c r="N3225" s="29"/>
      <c r="O3225" s="29" t="s">
        <v>1256</v>
      </c>
      <c r="P3225" s="29"/>
      <c r="Q3225" s="156"/>
    </row>
    <row r="3226" spans="1:17" hidden="1">
      <c r="A3226" s="160" t="s">
        <v>1400</v>
      </c>
      <c r="B3226" s="160"/>
      <c r="C3226" s="88">
        <v>308509380</v>
      </c>
      <c r="D3226" s="29"/>
      <c r="E3226" s="29"/>
      <c r="F3226" s="29" t="s">
        <v>1401</v>
      </c>
      <c r="G3226" s="29" t="s">
        <v>116</v>
      </c>
      <c r="H3226" s="29" t="s">
        <v>29</v>
      </c>
      <c r="I3226" s="120">
        <v>45965</v>
      </c>
      <c r="J3226" s="120">
        <f>WORKDAY(I3226, 3)</f>
        <v>45968</v>
      </c>
      <c r="K3226" s="120">
        <v>45995</v>
      </c>
      <c r="L3226" s="120"/>
      <c r="M3226" s="120"/>
      <c r="N3226" s="29"/>
      <c r="O3226" s="29" t="s">
        <v>1256</v>
      </c>
      <c r="P3226" s="29"/>
      <c r="Q3226" s="156"/>
    </row>
    <row r="3227" spans="1:17" hidden="1">
      <c r="A3227" s="160" t="s">
        <v>1400</v>
      </c>
      <c r="B3227" s="160"/>
      <c r="C3227" s="88">
        <v>308509386</v>
      </c>
      <c r="D3227" s="29"/>
      <c r="E3227" s="29"/>
      <c r="F3227" s="29" t="s">
        <v>1401</v>
      </c>
      <c r="G3227" s="29" t="s">
        <v>116</v>
      </c>
      <c r="H3227" s="29" t="s">
        <v>29</v>
      </c>
      <c r="I3227" s="120">
        <v>45965</v>
      </c>
      <c r="J3227" s="120">
        <f>WORKDAY(I3227, 3)</f>
        <v>45968</v>
      </c>
      <c r="K3227" s="120">
        <v>45995</v>
      </c>
      <c r="L3227" s="120"/>
      <c r="M3227" s="120"/>
      <c r="N3227" s="29"/>
      <c r="O3227" s="29" t="s">
        <v>1256</v>
      </c>
      <c r="P3227" s="29"/>
      <c r="Q3227" s="156"/>
    </row>
    <row r="3228" spans="1:17" hidden="1">
      <c r="A3228" s="160" t="s">
        <v>1400</v>
      </c>
      <c r="B3228" s="160"/>
      <c r="C3228" s="88">
        <v>308509396</v>
      </c>
      <c r="D3228" s="29"/>
      <c r="E3228" s="29"/>
      <c r="F3228" s="29" t="s">
        <v>1401</v>
      </c>
      <c r="G3228" s="29" t="s">
        <v>116</v>
      </c>
      <c r="H3228" s="29" t="s">
        <v>29</v>
      </c>
      <c r="I3228" s="120">
        <v>45965</v>
      </c>
      <c r="J3228" s="120">
        <f>WORKDAY(I3228, 3)</f>
        <v>45968</v>
      </c>
      <c r="K3228" s="120">
        <v>45995</v>
      </c>
      <c r="L3228" s="120"/>
      <c r="M3228" s="120"/>
      <c r="N3228" s="29"/>
      <c r="O3228" s="29" t="s">
        <v>1256</v>
      </c>
      <c r="P3228" s="29"/>
      <c r="Q3228" s="156"/>
    </row>
    <row r="3229" spans="1:17" hidden="1">
      <c r="A3229" s="160" t="s">
        <v>1400</v>
      </c>
      <c r="B3229" s="160"/>
      <c r="C3229" s="88">
        <v>308509415</v>
      </c>
      <c r="D3229" s="29"/>
      <c r="E3229" s="29"/>
      <c r="F3229" s="29" t="s">
        <v>1401</v>
      </c>
      <c r="G3229" s="29" t="s">
        <v>116</v>
      </c>
      <c r="H3229" s="29" t="s">
        <v>29</v>
      </c>
      <c r="I3229" s="120">
        <v>45965</v>
      </c>
      <c r="J3229" s="120">
        <f>WORKDAY(I3229, 3)</f>
        <v>45968</v>
      </c>
      <c r="K3229" s="120">
        <v>45995</v>
      </c>
      <c r="L3229" s="120"/>
      <c r="M3229" s="120"/>
      <c r="N3229" s="29"/>
      <c r="O3229" s="29" t="s">
        <v>1256</v>
      </c>
      <c r="P3229" s="29"/>
      <c r="Q3229" s="156"/>
    </row>
    <row r="3230" spans="1:17" hidden="1">
      <c r="A3230" s="160" t="s">
        <v>1402</v>
      </c>
      <c r="B3230" s="160"/>
      <c r="C3230" s="88">
        <v>310500142</v>
      </c>
      <c r="D3230" s="29"/>
      <c r="E3230" s="29"/>
      <c r="F3230" s="29" t="s">
        <v>97</v>
      </c>
      <c r="G3230" s="29" t="s">
        <v>116</v>
      </c>
      <c r="H3230" s="29" t="s">
        <v>38</v>
      </c>
      <c r="I3230" s="120">
        <v>45967</v>
      </c>
      <c r="J3230" s="120">
        <f>WORKDAY(I3230, 3)</f>
        <v>45972</v>
      </c>
      <c r="K3230" s="120">
        <v>45997</v>
      </c>
      <c r="L3230" s="120"/>
      <c r="M3230" s="120"/>
      <c r="N3230" s="29"/>
      <c r="O3230" s="29" t="s">
        <v>1256</v>
      </c>
      <c r="P3230" s="29"/>
      <c r="Q3230" s="156">
        <v>510</v>
      </c>
    </row>
    <row r="3231" spans="1:17" hidden="1">
      <c r="A3231" s="160" t="s">
        <v>1402</v>
      </c>
      <c r="B3231" s="160"/>
      <c r="C3231" s="88">
        <v>310500146</v>
      </c>
      <c r="D3231" s="29"/>
      <c r="E3231" s="29"/>
      <c r="F3231" s="29" t="s">
        <v>97</v>
      </c>
      <c r="G3231" s="29" t="s">
        <v>116</v>
      </c>
      <c r="H3231" s="29" t="s">
        <v>38</v>
      </c>
      <c r="I3231" s="120">
        <v>45967</v>
      </c>
      <c r="J3231" s="120">
        <f>WORKDAY(I3231, 3)</f>
        <v>45972</v>
      </c>
      <c r="K3231" s="120">
        <v>45997</v>
      </c>
      <c r="L3231" s="120"/>
      <c r="M3231" s="120"/>
      <c r="N3231" s="29"/>
      <c r="O3231" s="29" t="s">
        <v>1256</v>
      </c>
      <c r="P3231" s="29"/>
      <c r="Q3231" s="156">
        <v>215</v>
      </c>
    </row>
    <row r="3232" spans="1:17" hidden="1">
      <c r="A3232" s="160" t="s">
        <v>1402</v>
      </c>
      <c r="B3232" s="160"/>
      <c r="C3232" s="88">
        <v>310500156</v>
      </c>
      <c r="D3232" s="29"/>
      <c r="E3232" s="29"/>
      <c r="F3232" s="29" t="s">
        <v>97</v>
      </c>
      <c r="G3232" s="29" t="s">
        <v>116</v>
      </c>
      <c r="H3232" s="29" t="s">
        <v>38</v>
      </c>
      <c r="I3232" s="120">
        <v>45967</v>
      </c>
      <c r="J3232" s="120">
        <f>WORKDAY(I3232, 3)</f>
        <v>45972</v>
      </c>
      <c r="K3232" s="120">
        <v>45997</v>
      </c>
      <c r="L3232" s="120"/>
      <c r="M3232" s="120"/>
      <c r="N3232" s="29"/>
      <c r="O3232" s="29" t="s">
        <v>1256</v>
      </c>
      <c r="P3232" s="29"/>
      <c r="Q3232" s="156">
        <v>275</v>
      </c>
    </row>
    <row r="3233" spans="1:17" hidden="1">
      <c r="A3233" s="160" t="s">
        <v>1402</v>
      </c>
      <c r="B3233" s="160"/>
      <c r="C3233" s="88">
        <v>310500159</v>
      </c>
      <c r="D3233" s="29"/>
      <c r="E3233" s="29"/>
      <c r="F3233" s="29" t="s">
        <v>97</v>
      </c>
      <c r="G3233" s="29" t="s">
        <v>116</v>
      </c>
      <c r="H3233" s="29" t="s">
        <v>38</v>
      </c>
      <c r="I3233" s="120">
        <v>45967</v>
      </c>
      <c r="J3233" s="120">
        <f>WORKDAY(I3233, 3)</f>
        <v>45972</v>
      </c>
      <c r="K3233" s="120">
        <v>45997</v>
      </c>
      <c r="L3233" s="120"/>
      <c r="M3233" s="120"/>
      <c r="N3233" s="29"/>
      <c r="O3233" s="29" t="s">
        <v>1256</v>
      </c>
      <c r="P3233" s="29"/>
      <c r="Q3233" s="156">
        <v>120</v>
      </c>
    </row>
    <row r="3234" spans="1:17" hidden="1">
      <c r="A3234" s="160" t="s">
        <v>1402</v>
      </c>
      <c r="B3234" s="160"/>
      <c r="C3234" s="88">
        <v>310500178</v>
      </c>
      <c r="D3234" s="29"/>
      <c r="E3234" s="29"/>
      <c r="F3234" s="29" t="s">
        <v>97</v>
      </c>
      <c r="G3234" s="29" t="s">
        <v>116</v>
      </c>
      <c r="H3234" s="29" t="s">
        <v>38</v>
      </c>
      <c r="I3234" s="120">
        <v>45967</v>
      </c>
      <c r="J3234" s="120">
        <f>WORKDAY(I3234, 3)</f>
        <v>45972</v>
      </c>
      <c r="K3234" s="120">
        <v>45997</v>
      </c>
      <c r="L3234" s="120"/>
      <c r="M3234" s="120"/>
      <c r="N3234" s="29"/>
      <c r="O3234" s="29" t="s">
        <v>1256</v>
      </c>
      <c r="P3234" s="29"/>
      <c r="Q3234" s="156">
        <v>650</v>
      </c>
    </row>
    <row r="3235" spans="1:17" hidden="1">
      <c r="A3235" s="160" t="s">
        <v>1402</v>
      </c>
      <c r="B3235" s="160"/>
      <c r="C3235" s="88">
        <v>310500186</v>
      </c>
      <c r="D3235" s="29"/>
      <c r="E3235" s="29"/>
      <c r="F3235" s="29" t="s">
        <v>97</v>
      </c>
      <c r="G3235" s="29" t="s">
        <v>116</v>
      </c>
      <c r="H3235" s="29" t="s">
        <v>38</v>
      </c>
      <c r="I3235" s="120">
        <v>45967</v>
      </c>
      <c r="J3235" s="120">
        <f>WORKDAY(I3235, 3)</f>
        <v>45972</v>
      </c>
      <c r="K3235" s="120">
        <v>45997</v>
      </c>
      <c r="L3235" s="120"/>
      <c r="M3235" s="120"/>
      <c r="N3235" s="29"/>
      <c r="O3235" s="29" t="s">
        <v>1256</v>
      </c>
      <c r="P3235" s="29"/>
      <c r="Q3235" s="156">
        <v>75</v>
      </c>
    </row>
    <row r="3236" spans="1:17" hidden="1">
      <c r="A3236" s="160" t="s">
        <v>1402</v>
      </c>
      <c r="B3236" s="160"/>
      <c r="C3236" s="88">
        <v>310500198</v>
      </c>
      <c r="D3236" s="29"/>
      <c r="E3236" s="29"/>
      <c r="F3236" s="29" t="s">
        <v>97</v>
      </c>
      <c r="G3236" s="29" t="s">
        <v>116</v>
      </c>
      <c r="H3236" s="29" t="s">
        <v>38</v>
      </c>
      <c r="I3236" s="120">
        <v>45967</v>
      </c>
      <c r="J3236" s="120">
        <f>WORKDAY(I3236, 3)</f>
        <v>45972</v>
      </c>
      <c r="K3236" s="120">
        <v>45997</v>
      </c>
      <c r="L3236" s="120"/>
      <c r="M3236" s="120"/>
      <c r="N3236" s="29"/>
      <c r="O3236" s="29" t="s">
        <v>1256</v>
      </c>
      <c r="P3236" s="29"/>
      <c r="Q3236" s="156">
        <v>650</v>
      </c>
    </row>
    <row r="3237" spans="1:17" hidden="1">
      <c r="A3237" s="160" t="s">
        <v>1402</v>
      </c>
      <c r="B3237" s="160"/>
      <c r="C3237" s="88">
        <v>310500207</v>
      </c>
      <c r="D3237" s="29"/>
      <c r="E3237" s="29"/>
      <c r="F3237" s="29" t="s">
        <v>97</v>
      </c>
      <c r="G3237" s="29" t="s">
        <v>116</v>
      </c>
      <c r="H3237" s="29" t="s">
        <v>38</v>
      </c>
      <c r="I3237" s="120">
        <v>45967</v>
      </c>
      <c r="J3237" s="120">
        <f>WORKDAY(I3237, 3)</f>
        <v>45972</v>
      </c>
      <c r="K3237" s="120">
        <v>45997</v>
      </c>
      <c r="L3237" s="120"/>
      <c r="M3237" s="120"/>
      <c r="N3237" s="29"/>
      <c r="O3237" s="29" t="s">
        <v>1256</v>
      </c>
      <c r="P3237" s="29"/>
      <c r="Q3237" s="156">
        <v>300</v>
      </c>
    </row>
    <row r="3238" spans="1:17" hidden="1">
      <c r="A3238" s="160" t="s">
        <v>1402</v>
      </c>
      <c r="B3238" s="160"/>
      <c r="C3238" s="88">
        <v>310500222</v>
      </c>
      <c r="D3238" s="29"/>
      <c r="E3238" s="29"/>
      <c r="F3238" s="29" t="s">
        <v>97</v>
      </c>
      <c r="G3238" s="29" t="s">
        <v>116</v>
      </c>
      <c r="H3238" s="29" t="s">
        <v>38</v>
      </c>
      <c r="I3238" s="120">
        <v>45967</v>
      </c>
      <c r="J3238" s="120">
        <f>WORKDAY(I3238, 3)</f>
        <v>45972</v>
      </c>
      <c r="K3238" s="120">
        <v>45997</v>
      </c>
      <c r="L3238" s="120"/>
      <c r="M3238" s="120"/>
      <c r="N3238" s="29"/>
      <c r="O3238" s="29" t="s">
        <v>1256</v>
      </c>
      <c r="P3238" s="29"/>
      <c r="Q3238" s="156">
        <v>400</v>
      </c>
    </row>
    <row r="3239" spans="1:17" hidden="1">
      <c r="A3239" s="160" t="s">
        <v>1402</v>
      </c>
      <c r="B3239" s="160"/>
      <c r="C3239" s="88">
        <v>310500227</v>
      </c>
      <c r="D3239" s="29"/>
      <c r="E3239" s="29"/>
      <c r="F3239" s="29" t="s">
        <v>97</v>
      </c>
      <c r="G3239" s="29" t="s">
        <v>116</v>
      </c>
      <c r="H3239" s="29" t="s">
        <v>38</v>
      </c>
      <c r="I3239" s="120">
        <v>45967</v>
      </c>
      <c r="J3239" s="120">
        <f>WORKDAY(I3239, 3)</f>
        <v>45972</v>
      </c>
      <c r="K3239" s="120">
        <v>45997</v>
      </c>
      <c r="L3239" s="120"/>
      <c r="M3239" s="120"/>
      <c r="N3239" s="29"/>
      <c r="O3239" s="29" t="s">
        <v>1256</v>
      </c>
      <c r="P3239" s="29"/>
      <c r="Q3239" s="156">
        <v>250</v>
      </c>
    </row>
    <row r="3240" spans="1:17" hidden="1">
      <c r="A3240" s="160" t="s">
        <v>1402</v>
      </c>
      <c r="B3240" s="160"/>
      <c r="C3240" s="88">
        <v>310500239</v>
      </c>
      <c r="D3240" s="29"/>
      <c r="E3240" s="29"/>
      <c r="F3240" s="29" t="s">
        <v>97</v>
      </c>
      <c r="G3240" s="29" t="s">
        <v>116</v>
      </c>
      <c r="H3240" s="29" t="s">
        <v>38</v>
      </c>
      <c r="I3240" s="120">
        <v>45967</v>
      </c>
      <c r="J3240" s="120">
        <f>WORKDAY(I3240, 3)</f>
        <v>45972</v>
      </c>
      <c r="K3240" s="120">
        <v>45997</v>
      </c>
      <c r="L3240" s="120"/>
      <c r="M3240" s="120"/>
      <c r="N3240" s="29"/>
      <c r="O3240" s="29" t="s">
        <v>1256</v>
      </c>
      <c r="P3240" s="29"/>
      <c r="Q3240" s="156">
        <v>50</v>
      </c>
    </row>
    <row r="3241" spans="1:17" hidden="1">
      <c r="A3241" s="160" t="s">
        <v>1402</v>
      </c>
      <c r="B3241" s="160"/>
      <c r="C3241" s="88">
        <v>310500302</v>
      </c>
      <c r="D3241" s="29"/>
      <c r="E3241" s="29"/>
      <c r="F3241" s="29" t="s">
        <v>97</v>
      </c>
      <c r="G3241" s="29" t="s">
        <v>116</v>
      </c>
      <c r="H3241" s="29" t="s">
        <v>38</v>
      </c>
      <c r="I3241" s="120">
        <v>45967</v>
      </c>
      <c r="J3241" s="120">
        <f>WORKDAY(I3241, 3)</f>
        <v>45972</v>
      </c>
      <c r="K3241" s="120">
        <v>45997</v>
      </c>
      <c r="L3241" s="120"/>
      <c r="M3241" s="120"/>
      <c r="N3241" s="29"/>
      <c r="O3241" s="29" t="s">
        <v>1256</v>
      </c>
      <c r="P3241" s="29"/>
      <c r="Q3241" s="156">
        <v>550</v>
      </c>
    </row>
    <row r="3242" spans="1:17" hidden="1">
      <c r="A3242" s="160" t="s">
        <v>1402</v>
      </c>
      <c r="B3242" s="160"/>
      <c r="C3242" s="88">
        <v>310500312</v>
      </c>
      <c r="D3242" s="29"/>
      <c r="E3242" s="29"/>
      <c r="F3242" s="29" t="s">
        <v>97</v>
      </c>
      <c r="G3242" s="29" t="s">
        <v>116</v>
      </c>
      <c r="H3242" s="29" t="s">
        <v>38</v>
      </c>
      <c r="I3242" s="120">
        <v>45967</v>
      </c>
      <c r="J3242" s="120">
        <f>WORKDAY(I3242, 3)</f>
        <v>45972</v>
      </c>
      <c r="K3242" s="120">
        <v>45997</v>
      </c>
      <c r="L3242" s="120"/>
      <c r="M3242" s="120"/>
      <c r="N3242" s="29"/>
      <c r="O3242" s="29" t="s">
        <v>1256</v>
      </c>
      <c r="P3242" s="29"/>
      <c r="Q3242" s="156">
        <v>220</v>
      </c>
    </row>
    <row r="3243" spans="1:17" hidden="1">
      <c r="A3243" s="160" t="s">
        <v>1402</v>
      </c>
      <c r="B3243" s="160"/>
      <c r="C3243" s="88">
        <v>310500392</v>
      </c>
      <c r="D3243" s="29"/>
      <c r="E3243" s="29"/>
      <c r="F3243" s="29" t="s">
        <v>97</v>
      </c>
      <c r="G3243" s="29" t="s">
        <v>116</v>
      </c>
      <c r="H3243" s="29" t="s">
        <v>38</v>
      </c>
      <c r="I3243" s="120">
        <v>45967</v>
      </c>
      <c r="J3243" s="120">
        <f>WORKDAY(I3243, 3)</f>
        <v>45972</v>
      </c>
      <c r="K3243" s="120">
        <v>45997</v>
      </c>
      <c r="L3243" s="120"/>
      <c r="M3243" s="120"/>
      <c r="N3243" s="29"/>
      <c r="O3243" s="29" t="s">
        <v>1256</v>
      </c>
      <c r="P3243" s="29"/>
      <c r="Q3243" s="156">
        <v>330</v>
      </c>
    </row>
    <row r="3244" spans="1:17" hidden="1">
      <c r="A3244" s="160" t="s">
        <v>1402</v>
      </c>
      <c r="B3244" s="160"/>
      <c r="C3244" s="88">
        <v>310500411</v>
      </c>
      <c r="D3244" s="29"/>
      <c r="E3244" s="29"/>
      <c r="F3244" s="29" t="s">
        <v>97</v>
      </c>
      <c r="G3244" s="29" t="s">
        <v>116</v>
      </c>
      <c r="H3244" s="29" t="s">
        <v>38</v>
      </c>
      <c r="I3244" s="120">
        <v>45967</v>
      </c>
      <c r="J3244" s="120">
        <f>WORKDAY(I3244, 3)</f>
        <v>45972</v>
      </c>
      <c r="K3244" s="120">
        <v>45997</v>
      </c>
      <c r="L3244" s="120"/>
      <c r="M3244" s="120"/>
      <c r="N3244" s="29"/>
      <c r="O3244" s="29" t="s">
        <v>1256</v>
      </c>
      <c r="P3244" s="29"/>
      <c r="Q3244" s="156">
        <v>750</v>
      </c>
    </row>
    <row r="3245" spans="1:17" hidden="1">
      <c r="A3245" s="160" t="s">
        <v>1402</v>
      </c>
      <c r="B3245" s="160"/>
      <c r="C3245" s="88">
        <v>310500420</v>
      </c>
      <c r="D3245" s="29"/>
      <c r="E3245" s="29"/>
      <c r="F3245" s="29" t="s">
        <v>97</v>
      </c>
      <c r="G3245" s="29" t="s">
        <v>116</v>
      </c>
      <c r="H3245" s="29" t="s">
        <v>38</v>
      </c>
      <c r="I3245" s="120">
        <v>45967</v>
      </c>
      <c r="J3245" s="120">
        <f>WORKDAY(I3245, 3)</f>
        <v>45972</v>
      </c>
      <c r="K3245" s="120">
        <v>45997</v>
      </c>
      <c r="L3245" s="120"/>
      <c r="M3245" s="120"/>
      <c r="N3245" s="29"/>
      <c r="O3245" s="29" t="s">
        <v>1256</v>
      </c>
      <c r="P3245" s="29"/>
      <c r="Q3245" s="156">
        <v>450</v>
      </c>
    </row>
    <row r="3246" spans="1:17" hidden="1">
      <c r="A3246" s="160" t="s">
        <v>1402</v>
      </c>
      <c r="B3246" s="160"/>
      <c r="C3246" s="88">
        <v>310500455</v>
      </c>
      <c r="D3246" s="29"/>
      <c r="E3246" s="29"/>
      <c r="F3246" s="29" t="s">
        <v>97</v>
      </c>
      <c r="G3246" s="29" t="s">
        <v>116</v>
      </c>
      <c r="H3246" s="29" t="s">
        <v>38</v>
      </c>
      <c r="I3246" s="120">
        <v>45967</v>
      </c>
      <c r="J3246" s="120">
        <f>WORKDAY(I3246, 3)</f>
        <v>45972</v>
      </c>
      <c r="K3246" s="120">
        <v>45997</v>
      </c>
      <c r="L3246" s="120"/>
      <c r="M3246" s="120"/>
      <c r="N3246" s="29"/>
      <c r="O3246" s="29" t="s">
        <v>1256</v>
      </c>
      <c r="P3246" s="29"/>
      <c r="Q3246" s="156">
        <v>250</v>
      </c>
    </row>
    <row r="3247" spans="1:17" hidden="1">
      <c r="A3247" s="160" t="s">
        <v>1402</v>
      </c>
      <c r="B3247" s="160"/>
      <c r="C3247" s="88">
        <v>310500467</v>
      </c>
      <c r="D3247" s="29"/>
      <c r="E3247" s="29"/>
      <c r="F3247" s="29" t="s">
        <v>97</v>
      </c>
      <c r="G3247" s="29" t="s">
        <v>116</v>
      </c>
      <c r="H3247" s="29" t="s">
        <v>38</v>
      </c>
      <c r="I3247" s="120">
        <v>45967</v>
      </c>
      <c r="J3247" s="120">
        <f>WORKDAY(I3247, 3)</f>
        <v>45972</v>
      </c>
      <c r="K3247" s="120">
        <v>45997</v>
      </c>
      <c r="L3247" s="120"/>
      <c r="M3247" s="120"/>
      <c r="N3247" s="29"/>
      <c r="O3247" s="29" t="s">
        <v>1256</v>
      </c>
      <c r="P3247" s="29"/>
      <c r="Q3247" s="156">
        <v>450</v>
      </c>
    </row>
    <row r="3248" spans="1:17" hidden="1">
      <c r="A3248" s="160" t="s">
        <v>1402</v>
      </c>
      <c r="B3248" s="160"/>
      <c r="C3248" s="88">
        <v>310500479</v>
      </c>
      <c r="D3248" s="29"/>
      <c r="E3248" s="29"/>
      <c r="F3248" s="29" t="s">
        <v>97</v>
      </c>
      <c r="G3248" s="29" t="s">
        <v>116</v>
      </c>
      <c r="H3248" s="29" t="s">
        <v>38</v>
      </c>
      <c r="I3248" s="120">
        <v>45967</v>
      </c>
      <c r="J3248" s="120">
        <f>WORKDAY(I3248, 3)</f>
        <v>45972</v>
      </c>
      <c r="K3248" s="120">
        <v>45997</v>
      </c>
      <c r="L3248" s="120"/>
      <c r="M3248" s="120"/>
      <c r="N3248" s="29"/>
      <c r="O3248" s="29" t="s">
        <v>1256</v>
      </c>
      <c r="P3248" s="29"/>
      <c r="Q3248" s="156">
        <v>450</v>
      </c>
    </row>
    <row r="3249" spans="1:17" hidden="1">
      <c r="A3249" s="160" t="s">
        <v>1402</v>
      </c>
      <c r="B3249" s="160"/>
      <c r="C3249" s="88">
        <v>310500493</v>
      </c>
      <c r="D3249" s="29"/>
      <c r="E3249" s="29"/>
      <c r="F3249" s="29" t="s">
        <v>97</v>
      </c>
      <c r="G3249" s="29" t="s">
        <v>116</v>
      </c>
      <c r="H3249" s="29" t="s">
        <v>38</v>
      </c>
      <c r="I3249" s="120">
        <v>45967</v>
      </c>
      <c r="J3249" s="120">
        <f>WORKDAY(I3249, 3)</f>
        <v>45972</v>
      </c>
      <c r="K3249" s="120">
        <v>45997</v>
      </c>
      <c r="L3249" s="120"/>
      <c r="M3249" s="120"/>
      <c r="N3249" s="29"/>
      <c r="O3249" s="29" t="s">
        <v>1256</v>
      </c>
      <c r="P3249" s="29"/>
      <c r="Q3249" s="156">
        <v>450</v>
      </c>
    </row>
    <row r="3250" spans="1:17" hidden="1">
      <c r="A3250" s="160" t="s">
        <v>1403</v>
      </c>
      <c r="B3250" s="160"/>
      <c r="C3250" s="88">
        <v>310500638</v>
      </c>
      <c r="D3250" s="29"/>
      <c r="E3250" s="29"/>
      <c r="F3250" s="29" t="s">
        <v>97</v>
      </c>
      <c r="G3250" s="29" t="s">
        <v>116</v>
      </c>
      <c r="H3250" s="29" t="s">
        <v>38</v>
      </c>
      <c r="I3250" s="120">
        <v>45967</v>
      </c>
      <c r="J3250" s="120">
        <f>WORKDAY(I3250, 3)</f>
        <v>45972</v>
      </c>
      <c r="K3250" s="120">
        <v>45997</v>
      </c>
      <c r="L3250" s="120"/>
      <c r="M3250" s="120"/>
      <c r="N3250" s="29"/>
      <c r="O3250" s="29" t="s">
        <v>1256</v>
      </c>
      <c r="P3250" s="29"/>
      <c r="Q3250" s="156">
        <v>530</v>
      </c>
    </row>
    <row r="3251" spans="1:17" hidden="1">
      <c r="A3251" s="160" t="s">
        <v>1403</v>
      </c>
      <c r="B3251" s="160"/>
      <c r="C3251" s="88">
        <v>310500656</v>
      </c>
      <c r="D3251" s="29"/>
      <c r="E3251" s="29"/>
      <c r="F3251" s="29" t="s">
        <v>97</v>
      </c>
      <c r="G3251" s="29" t="s">
        <v>116</v>
      </c>
      <c r="H3251" s="29" t="s">
        <v>38</v>
      </c>
      <c r="I3251" s="120">
        <v>45967</v>
      </c>
      <c r="J3251" s="120">
        <f>WORKDAY(I3251, 3)</f>
        <v>45972</v>
      </c>
      <c r="K3251" s="120">
        <v>45997</v>
      </c>
      <c r="L3251" s="120"/>
      <c r="M3251" s="120"/>
      <c r="N3251" s="29"/>
      <c r="O3251" s="29" t="s">
        <v>1256</v>
      </c>
      <c r="P3251" s="29"/>
      <c r="Q3251" s="156">
        <v>500</v>
      </c>
    </row>
    <row r="3252" spans="1:17" hidden="1">
      <c r="A3252" s="160" t="s">
        <v>1403</v>
      </c>
      <c r="B3252" s="160"/>
      <c r="C3252" s="88">
        <v>310500686</v>
      </c>
      <c r="D3252" s="29"/>
      <c r="E3252" s="29"/>
      <c r="F3252" s="29" t="s">
        <v>97</v>
      </c>
      <c r="G3252" s="29" t="s">
        <v>116</v>
      </c>
      <c r="H3252" s="29" t="s">
        <v>38</v>
      </c>
      <c r="I3252" s="120">
        <v>45967</v>
      </c>
      <c r="J3252" s="120">
        <f>WORKDAY(I3252, 3)</f>
        <v>45972</v>
      </c>
      <c r="K3252" s="120">
        <v>45997</v>
      </c>
      <c r="L3252" s="120"/>
      <c r="M3252" s="120"/>
      <c r="N3252" s="29"/>
      <c r="O3252" s="29" t="s">
        <v>1256</v>
      </c>
      <c r="P3252" s="29"/>
      <c r="Q3252" s="156">
        <v>500</v>
      </c>
    </row>
    <row r="3253" spans="1:17" hidden="1">
      <c r="A3253" s="160" t="s">
        <v>1403</v>
      </c>
      <c r="B3253" s="160"/>
      <c r="C3253" s="88">
        <v>310500705</v>
      </c>
      <c r="D3253" s="29"/>
      <c r="E3253" s="29"/>
      <c r="F3253" s="29" t="s">
        <v>97</v>
      </c>
      <c r="G3253" s="29" t="s">
        <v>116</v>
      </c>
      <c r="H3253" s="29" t="s">
        <v>38</v>
      </c>
      <c r="I3253" s="120">
        <v>45967</v>
      </c>
      <c r="J3253" s="120">
        <f>WORKDAY(I3253, 3)</f>
        <v>45972</v>
      </c>
      <c r="K3253" s="120">
        <v>45997</v>
      </c>
      <c r="L3253" s="120"/>
      <c r="M3253" s="120"/>
      <c r="N3253" s="29"/>
      <c r="O3253" s="29" t="s">
        <v>1256</v>
      </c>
      <c r="P3253" s="29"/>
      <c r="Q3253" s="156">
        <v>300</v>
      </c>
    </row>
    <row r="3254" spans="1:17" hidden="1">
      <c r="A3254" s="160" t="s">
        <v>1403</v>
      </c>
      <c r="B3254" s="160"/>
      <c r="C3254" s="88">
        <v>310500827</v>
      </c>
      <c r="D3254" s="29"/>
      <c r="E3254" s="29"/>
      <c r="F3254" s="29" t="s">
        <v>97</v>
      </c>
      <c r="G3254" s="29" t="s">
        <v>116</v>
      </c>
      <c r="H3254" s="29" t="s">
        <v>38</v>
      </c>
      <c r="I3254" s="120">
        <v>45967</v>
      </c>
      <c r="J3254" s="120">
        <f>WORKDAY(I3254, 3)</f>
        <v>45972</v>
      </c>
      <c r="K3254" s="120">
        <v>45997</v>
      </c>
      <c r="L3254" s="120"/>
      <c r="M3254" s="120"/>
      <c r="N3254" s="29"/>
      <c r="O3254" s="29" t="s">
        <v>1256</v>
      </c>
      <c r="P3254" s="29"/>
      <c r="Q3254" s="156">
        <v>50</v>
      </c>
    </row>
    <row r="3255" spans="1:17" hidden="1">
      <c r="A3255" s="160" t="s">
        <v>1403</v>
      </c>
      <c r="B3255" s="160"/>
      <c r="C3255" s="88">
        <v>310500891</v>
      </c>
      <c r="D3255" s="29"/>
      <c r="E3255" s="29"/>
      <c r="F3255" s="29" t="s">
        <v>97</v>
      </c>
      <c r="G3255" s="29" t="s">
        <v>116</v>
      </c>
      <c r="H3255" s="29" t="s">
        <v>38</v>
      </c>
      <c r="I3255" s="120">
        <v>45967</v>
      </c>
      <c r="J3255" s="120">
        <f>WORKDAY(I3255, 3)</f>
        <v>45972</v>
      </c>
      <c r="K3255" s="120">
        <v>45997</v>
      </c>
      <c r="L3255" s="120"/>
      <c r="M3255" s="120"/>
      <c r="N3255" s="29"/>
      <c r="O3255" s="29" t="s">
        <v>1256</v>
      </c>
      <c r="P3255" s="29"/>
      <c r="Q3255" s="156">
        <v>500</v>
      </c>
    </row>
    <row r="3256" spans="1:17" hidden="1">
      <c r="A3256" s="160" t="s">
        <v>1403</v>
      </c>
      <c r="B3256" s="160"/>
      <c r="C3256" s="88">
        <v>310500902</v>
      </c>
      <c r="D3256" s="29"/>
      <c r="E3256" s="29"/>
      <c r="F3256" s="29" t="s">
        <v>97</v>
      </c>
      <c r="G3256" s="29" t="s">
        <v>116</v>
      </c>
      <c r="H3256" s="29" t="s">
        <v>38</v>
      </c>
      <c r="I3256" s="120">
        <v>45967</v>
      </c>
      <c r="J3256" s="120">
        <f>WORKDAY(I3256, 3)</f>
        <v>45972</v>
      </c>
      <c r="K3256" s="120">
        <v>45997</v>
      </c>
      <c r="L3256" s="120"/>
      <c r="M3256" s="120"/>
      <c r="N3256" s="29"/>
      <c r="O3256" s="29" t="s">
        <v>1256</v>
      </c>
      <c r="P3256" s="29"/>
      <c r="Q3256" s="156">
        <v>400</v>
      </c>
    </row>
    <row r="3257" spans="1:17" hidden="1">
      <c r="A3257" s="160" t="s">
        <v>1403</v>
      </c>
      <c r="B3257" s="160"/>
      <c r="C3257" s="88">
        <v>310500953</v>
      </c>
      <c r="D3257" s="29"/>
      <c r="E3257" s="29"/>
      <c r="F3257" s="29" t="s">
        <v>97</v>
      </c>
      <c r="G3257" s="29" t="s">
        <v>116</v>
      </c>
      <c r="H3257" s="29" t="s">
        <v>38</v>
      </c>
      <c r="I3257" s="120">
        <v>45967</v>
      </c>
      <c r="J3257" s="120">
        <f>WORKDAY(I3257, 3)</f>
        <v>45972</v>
      </c>
      <c r="K3257" s="120">
        <v>45997</v>
      </c>
      <c r="L3257" s="120"/>
      <c r="M3257" s="120"/>
      <c r="N3257" s="29"/>
      <c r="O3257" s="29" t="s">
        <v>1256</v>
      </c>
      <c r="P3257" s="29"/>
      <c r="Q3257" s="156">
        <v>500</v>
      </c>
    </row>
    <row r="3258" spans="1:17" hidden="1">
      <c r="A3258" s="160" t="s">
        <v>1403</v>
      </c>
      <c r="B3258" s="160"/>
      <c r="C3258" s="88">
        <v>310501011</v>
      </c>
      <c r="D3258" s="29"/>
      <c r="E3258" s="29"/>
      <c r="F3258" s="29" t="s">
        <v>97</v>
      </c>
      <c r="G3258" s="29" t="s">
        <v>116</v>
      </c>
      <c r="H3258" s="29" t="s">
        <v>38</v>
      </c>
      <c r="I3258" s="120">
        <v>45967</v>
      </c>
      <c r="J3258" s="120">
        <f>WORKDAY(I3258, 3)</f>
        <v>45972</v>
      </c>
      <c r="K3258" s="120">
        <v>45997</v>
      </c>
      <c r="L3258" s="120"/>
      <c r="M3258" s="120"/>
      <c r="N3258" s="29"/>
      <c r="O3258" s="29" t="s">
        <v>1256</v>
      </c>
      <c r="P3258" s="29"/>
      <c r="Q3258" s="156">
        <v>150</v>
      </c>
    </row>
    <row r="3259" spans="1:17" hidden="1">
      <c r="A3259" s="160" t="s">
        <v>1403</v>
      </c>
      <c r="B3259" s="160"/>
      <c r="C3259" s="88">
        <v>310501031</v>
      </c>
      <c r="D3259" s="29"/>
      <c r="E3259" s="29"/>
      <c r="F3259" s="29" t="s">
        <v>97</v>
      </c>
      <c r="G3259" s="29" t="s">
        <v>116</v>
      </c>
      <c r="H3259" s="29" t="s">
        <v>38</v>
      </c>
      <c r="I3259" s="120">
        <v>45967</v>
      </c>
      <c r="J3259" s="120">
        <f>WORKDAY(I3259, 3)</f>
        <v>45972</v>
      </c>
      <c r="K3259" s="120">
        <v>45997</v>
      </c>
      <c r="L3259" s="120"/>
      <c r="M3259" s="120"/>
      <c r="N3259" s="29"/>
      <c r="O3259" s="29" t="s">
        <v>1256</v>
      </c>
      <c r="P3259" s="29"/>
      <c r="Q3259" s="156">
        <v>150</v>
      </c>
    </row>
    <row r="3260" spans="1:17" hidden="1">
      <c r="A3260" s="160" t="s">
        <v>1403</v>
      </c>
      <c r="B3260" s="160"/>
      <c r="C3260" s="88">
        <v>310501073</v>
      </c>
      <c r="D3260" s="29"/>
      <c r="E3260" s="29"/>
      <c r="F3260" s="29" t="s">
        <v>97</v>
      </c>
      <c r="G3260" s="29" t="s">
        <v>116</v>
      </c>
      <c r="H3260" s="29" t="s">
        <v>38</v>
      </c>
      <c r="I3260" s="120">
        <v>45967</v>
      </c>
      <c r="J3260" s="120">
        <f>WORKDAY(I3260, 3)</f>
        <v>45972</v>
      </c>
      <c r="K3260" s="120">
        <v>45997</v>
      </c>
      <c r="L3260" s="120"/>
      <c r="M3260" s="120"/>
      <c r="N3260" s="29"/>
      <c r="O3260" s="29" t="s">
        <v>1256</v>
      </c>
      <c r="P3260" s="29"/>
      <c r="Q3260" s="156">
        <v>850</v>
      </c>
    </row>
    <row r="3261" spans="1:17" hidden="1">
      <c r="A3261" s="160" t="s">
        <v>1403</v>
      </c>
      <c r="B3261" s="160"/>
      <c r="C3261" s="88">
        <v>310501107</v>
      </c>
      <c r="D3261" s="29"/>
      <c r="E3261" s="29"/>
      <c r="F3261" s="29" t="s">
        <v>97</v>
      </c>
      <c r="G3261" s="29" t="s">
        <v>116</v>
      </c>
      <c r="H3261" s="29" t="s">
        <v>38</v>
      </c>
      <c r="I3261" s="120">
        <v>45967</v>
      </c>
      <c r="J3261" s="120">
        <f>WORKDAY(I3261, 3)</f>
        <v>45972</v>
      </c>
      <c r="K3261" s="120">
        <v>45997</v>
      </c>
      <c r="L3261" s="120"/>
      <c r="M3261" s="120"/>
      <c r="N3261" s="29"/>
      <c r="O3261" s="29" t="s">
        <v>1256</v>
      </c>
      <c r="P3261" s="29"/>
      <c r="Q3261" s="156">
        <v>400</v>
      </c>
    </row>
    <row r="3262" spans="1:17" hidden="1">
      <c r="A3262" s="160" t="s">
        <v>1403</v>
      </c>
      <c r="B3262" s="160"/>
      <c r="C3262" s="88">
        <v>310501135</v>
      </c>
      <c r="D3262" s="29"/>
      <c r="E3262" s="29"/>
      <c r="F3262" s="29" t="s">
        <v>97</v>
      </c>
      <c r="G3262" s="29" t="s">
        <v>116</v>
      </c>
      <c r="H3262" s="29" t="s">
        <v>38</v>
      </c>
      <c r="I3262" s="120">
        <v>45967</v>
      </c>
      <c r="J3262" s="120">
        <f>WORKDAY(I3262, 3)</f>
        <v>45972</v>
      </c>
      <c r="K3262" s="120">
        <v>45997</v>
      </c>
      <c r="L3262" s="120"/>
      <c r="M3262" s="120"/>
      <c r="N3262" s="29"/>
      <c r="O3262" s="29" t="s">
        <v>1256</v>
      </c>
      <c r="P3262" s="29"/>
      <c r="Q3262" s="156">
        <v>400</v>
      </c>
    </row>
    <row r="3263" spans="1:17" hidden="1">
      <c r="A3263" s="160" t="s">
        <v>1403</v>
      </c>
      <c r="B3263" s="160"/>
      <c r="C3263" s="88">
        <v>310501154</v>
      </c>
      <c r="D3263" s="29"/>
      <c r="E3263" s="29"/>
      <c r="F3263" s="29" t="s">
        <v>97</v>
      </c>
      <c r="G3263" s="29" t="s">
        <v>116</v>
      </c>
      <c r="H3263" s="29" t="s">
        <v>38</v>
      </c>
      <c r="I3263" s="120">
        <v>45967</v>
      </c>
      <c r="J3263" s="120">
        <f>WORKDAY(I3263, 3)</f>
        <v>45972</v>
      </c>
      <c r="K3263" s="120">
        <v>45997</v>
      </c>
      <c r="L3263" s="120"/>
      <c r="M3263" s="120"/>
      <c r="N3263" s="29"/>
      <c r="O3263" s="29" t="s">
        <v>1256</v>
      </c>
      <c r="P3263" s="29"/>
      <c r="Q3263" s="156">
        <v>400</v>
      </c>
    </row>
    <row r="3264" spans="1:17" hidden="1">
      <c r="A3264" s="160" t="s">
        <v>1403</v>
      </c>
      <c r="B3264" s="160"/>
      <c r="C3264" s="88">
        <v>310501187</v>
      </c>
      <c r="D3264" s="29"/>
      <c r="E3264" s="29"/>
      <c r="F3264" s="29" t="s">
        <v>97</v>
      </c>
      <c r="G3264" s="29" t="s">
        <v>116</v>
      </c>
      <c r="H3264" s="29" t="s">
        <v>38</v>
      </c>
      <c r="I3264" s="120">
        <v>45967</v>
      </c>
      <c r="J3264" s="120">
        <f>WORKDAY(I3264, 3)</f>
        <v>45972</v>
      </c>
      <c r="K3264" s="120">
        <v>45997</v>
      </c>
      <c r="L3264" s="120"/>
      <c r="M3264" s="120"/>
      <c r="N3264" s="29"/>
      <c r="O3264" s="29" t="s">
        <v>1256</v>
      </c>
      <c r="P3264" s="29"/>
      <c r="Q3264" s="156">
        <v>400</v>
      </c>
    </row>
    <row r="3265" spans="1:18" hidden="1">
      <c r="A3265" s="160" t="s">
        <v>1403</v>
      </c>
      <c r="B3265" s="160"/>
      <c r="C3265" s="88">
        <v>310501226</v>
      </c>
      <c r="D3265" s="29"/>
      <c r="E3265" s="29"/>
      <c r="F3265" s="29" t="s">
        <v>97</v>
      </c>
      <c r="G3265" s="29" t="s">
        <v>116</v>
      </c>
      <c r="H3265" s="29" t="s">
        <v>38</v>
      </c>
      <c r="I3265" s="120">
        <v>45967</v>
      </c>
      <c r="J3265" s="120">
        <f>WORKDAY(I3265, 3)</f>
        <v>45972</v>
      </c>
      <c r="K3265" s="120">
        <v>45997</v>
      </c>
      <c r="L3265" s="120"/>
      <c r="M3265" s="120"/>
      <c r="N3265" s="29"/>
      <c r="O3265" s="29" t="s">
        <v>1256</v>
      </c>
      <c r="P3265" s="29"/>
      <c r="Q3265" s="156">
        <v>300</v>
      </c>
    </row>
    <row r="3266" spans="1:18" hidden="1">
      <c r="A3266" s="160" t="s">
        <v>1403</v>
      </c>
      <c r="B3266" s="160"/>
      <c r="C3266" s="88">
        <v>310501238</v>
      </c>
      <c r="D3266" s="29"/>
      <c r="E3266" s="29"/>
      <c r="F3266" s="29" t="s">
        <v>97</v>
      </c>
      <c r="G3266" s="29" t="s">
        <v>116</v>
      </c>
      <c r="H3266" s="29" t="s">
        <v>38</v>
      </c>
      <c r="I3266" s="120">
        <v>45967</v>
      </c>
      <c r="J3266" s="120">
        <f>WORKDAY(I3266, 3)</f>
        <v>45972</v>
      </c>
      <c r="K3266" s="120">
        <v>45997</v>
      </c>
      <c r="L3266" s="120"/>
      <c r="M3266" s="120"/>
      <c r="N3266" s="29"/>
      <c r="O3266" s="29" t="s">
        <v>1256</v>
      </c>
      <c r="P3266" s="29"/>
      <c r="Q3266" s="156">
        <v>200</v>
      </c>
    </row>
    <row r="3267" spans="1:18" hidden="1">
      <c r="A3267" s="160" t="s">
        <v>1404</v>
      </c>
      <c r="B3267" s="160"/>
      <c r="C3267" s="88">
        <v>310501705</v>
      </c>
      <c r="D3267" s="29"/>
      <c r="E3267" s="29"/>
      <c r="F3267" s="29" t="s">
        <v>97</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hidden="1">
      <c r="A3268" s="160" t="s">
        <v>1404</v>
      </c>
      <c r="B3268" s="160"/>
      <c r="C3268" s="88">
        <v>310501711</v>
      </c>
      <c r="D3268" s="29"/>
      <c r="E3268" s="29"/>
      <c r="F3268" s="29" t="s">
        <v>97</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hidden="1">
      <c r="A3269" s="160" t="s">
        <v>1404</v>
      </c>
      <c r="B3269" s="160"/>
      <c r="C3269" s="88">
        <v>310501718</v>
      </c>
      <c r="D3269" s="29"/>
      <c r="E3269" s="29"/>
      <c r="F3269" s="29" t="s">
        <v>97</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hidden="1">
      <c r="A3270" s="160" t="s">
        <v>1404</v>
      </c>
      <c r="B3270" s="160"/>
      <c r="C3270" s="88">
        <v>310501724</v>
      </c>
      <c r="D3270" s="29"/>
      <c r="E3270" s="29"/>
      <c r="F3270" s="29" t="s">
        <v>97</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hidden="1">
      <c r="A3271" s="160" t="s">
        <v>1404</v>
      </c>
      <c r="B3271" s="160"/>
      <c r="C3271" s="88">
        <v>310501734</v>
      </c>
      <c r="D3271" s="29"/>
      <c r="E3271" s="29"/>
      <c r="F3271" s="29" t="s">
        <v>97</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hidden="1">
      <c r="A3272" s="160" t="s">
        <v>1404</v>
      </c>
      <c r="B3272" s="160"/>
      <c r="C3272" s="88">
        <v>310501738</v>
      </c>
      <c r="D3272" s="29"/>
      <c r="E3272" s="29"/>
      <c r="F3272" s="29" t="s">
        <v>97</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hidden="1">
      <c r="A3273" s="160" t="s">
        <v>1404</v>
      </c>
      <c r="B3273" s="160"/>
      <c r="C3273" s="88">
        <v>310501747</v>
      </c>
      <c r="D3273" s="29"/>
      <c r="E3273" s="29"/>
      <c r="F3273" s="29" t="s">
        <v>97</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hidden="1">
      <c r="A3274" s="160" t="s">
        <v>1404</v>
      </c>
      <c r="B3274" s="160"/>
      <c r="C3274" s="88">
        <v>310501757</v>
      </c>
      <c r="D3274" s="29"/>
      <c r="E3274" s="29"/>
      <c r="F3274" s="29" t="s">
        <v>97</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hidden="1">
      <c r="A3275" s="160" t="s">
        <v>1404</v>
      </c>
      <c r="B3275" s="160"/>
      <c r="C3275" s="88">
        <v>310501762</v>
      </c>
      <c r="D3275" s="29"/>
      <c r="E3275" s="29"/>
      <c r="F3275" s="29" t="s">
        <v>97</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hidden="1">
      <c r="A3276" s="160" t="s">
        <v>1404</v>
      </c>
      <c r="B3276" s="160"/>
      <c r="C3276" s="88">
        <v>310501768</v>
      </c>
      <c r="D3276" s="29"/>
      <c r="E3276" s="29"/>
      <c r="F3276" s="29" t="s">
        <v>97</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hidden="1">
      <c r="A3277" s="160" t="s">
        <v>1404</v>
      </c>
      <c r="B3277" s="160"/>
      <c r="C3277" s="88">
        <v>310501773</v>
      </c>
      <c r="D3277" s="29"/>
      <c r="E3277" s="29"/>
      <c r="F3277" s="29" t="s">
        <v>97</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hidden="1">
      <c r="A3278" s="160" t="s">
        <v>1404</v>
      </c>
      <c r="B3278" s="160"/>
      <c r="C3278" s="88">
        <v>310501779</v>
      </c>
      <c r="D3278" s="29"/>
      <c r="E3278" s="29"/>
      <c r="F3278" s="29" t="s">
        <v>97</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hidden="1">
      <c r="A3279" s="160" t="s">
        <v>1404</v>
      </c>
      <c r="B3279" s="160"/>
      <c r="C3279" s="88">
        <v>318501467</v>
      </c>
      <c r="D3279" s="29"/>
      <c r="E3279" s="29"/>
      <c r="F3279" s="29" t="s">
        <v>97</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hidden="1">
      <c r="A3280" s="160" t="s">
        <v>1406</v>
      </c>
      <c r="B3280" s="160"/>
      <c r="C3280" s="88">
        <v>310502331</v>
      </c>
      <c r="D3280" s="29"/>
      <c r="E3280" s="29"/>
      <c r="F3280" s="29" t="s">
        <v>97</v>
      </c>
      <c r="G3280" s="29" t="s">
        <v>744</v>
      </c>
      <c r="H3280" s="29" t="s">
        <v>38</v>
      </c>
      <c r="I3280" s="120">
        <v>45967</v>
      </c>
      <c r="J3280" s="120">
        <f>WORKDAY(I3280, 3)</f>
        <v>45972</v>
      </c>
      <c r="K3280" s="120">
        <v>45997</v>
      </c>
      <c r="L3280" s="120"/>
      <c r="M3280" s="120"/>
      <c r="N3280" s="29"/>
      <c r="O3280" s="29" t="s">
        <v>1094</v>
      </c>
      <c r="P3280" s="29"/>
      <c r="Q3280" s="156"/>
    </row>
    <row r="3281" spans="1:17" hidden="1">
      <c r="A3281" s="160" t="s">
        <v>1406</v>
      </c>
      <c r="B3281" s="160"/>
      <c r="C3281" s="88">
        <v>310502336</v>
      </c>
      <c r="D3281" s="29"/>
      <c r="E3281" s="29"/>
      <c r="F3281" s="29" t="s">
        <v>97</v>
      </c>
      <c r="G3281" s="29" t="s">
        <v>744</v>
      </c>
      <c r="H3281" s="29" t="s">
        <v>38</v>
      </c>
      <c r="I3281" s="120">
        <v>45967</v>
      </c>
      <c r="J3281" s="120">
        <f>WORKDAY(I3281, 3)</f>
        <v>45972</v>
      </c>
      <c r="K3281" s="120">
        <v>45997</v>
      </c>
      <c r="L3281" s="120"/>
      <c r="M3281" s="120"/>
      <c r="N3281" s="29"/>
      <c r="O3281" s="29" t="s">
        <v>1094</v>
      </c>
      <c r="P3281" s="29"/>
      <c r="Q3281" s="156"/>
    </row>
    <row r="3282" spans="1:17" hidden="1">
      <c r="A3282" s="160" t="s">
        <v>1406</v>
      </c>
      <c r="B3282" s="160"/>
      <c r="C3282" s="88">
        <v>310502340</v>
      </c>
      <c r="D3282" s="29"/>
      <c r="E3282" s="29"/>
      <c r="F3282" s="29" t="s">
        <v>97</v>
      </c>
      <c r="G3282" s="29" t="s">
        <v>744</v>
      </c>
      <c r="H3282" s="29" t="s">
        <v>38</v>
      </c>
      <c r="I3282" s="120">
        <v>45967</v>
      </c>
      <c r="J3282" s="120">
        <f>WORKDAY(I3282, 3)</f>
        <v>45972</v>
      </c>
      <c r="K3282" s="120">
        <v>45997</v>
      </c>
      <c r="L3282" s="120"/>
      <c r="M3282" s="120"/>
      <c r="N3282" s="29"/>
      <c r="O3282" s="29" t="s">
        <v>1094</v>
      </c>
      <c r="P3282" s="29"/>
      <c r="Q3282" s="156"/>
    </row>
    <row r="3283" spans="1:17" hidden="1">
      <c r="A3283" s="160" t="s">
        <v>1406</v>
      </c>
      <c r="B3283" s="160"/>
      <c r="C3283" s="88">
        <v>310502345</v>
      </c>
      <c r="D3283" s="29"/>
      <c r="E3283" s="29"/>
      <c r="F3283" s="29" t="s">
        <v>97</v>
      </c>
      <c r="G3283" s="29" t="s">
        <v>744</v>
      </c>
      <c r="H3283" s="29" t="s">
        <v>38</v>
      </c>
      <c r="I3283" s="120">
        <v>45967</v>
      </c>
      <c r="J3283" s="120">
        <f>WORKDAY(I3283, 3)</f>
        <v>45972</v>
      </c>
      <c r="K3283" s="120">
        <v>45997</v>
      </c>
      <c r="L3283" s="120"/>
      <c r="M3283" s="120"/>
      <c r="N3283" s="29"/>
      <c r="O3283" s="29" t="s">
        <v>1094</v>
      </c>
      <c r="P3283" s="29"/>
      <c r="Q3283" s="156"/>
    </row>
    <row r="3284" spans="1:17" hidden="1">
      <c r="A3284" s="160" t="s">
        <v>1406</v>
      </c>
      <c r="B3284" s="160"/>
      <c r="C3284" s="88">
        <v>310502353</v>
      </c>
      <c r="D3284" s="29"/>
      <c r="E3284" s="29"/>
      <c r="F3284" s="29" t="s">
        <v>97</v>
      </c>
      <c r="G3284" s="29" t="s">
        <v>744</v>
      </c>
      <c r="H3284" s="29" t="s">
        <v>38</v>
      </c>
      <c r="I3284" s="120">
        <v>45967</v>
      </c>
      <c r="J3284" s="120">
        <f>WORKDAY(I3284, 3)</f>
        <v>45972</v>
      </c>
      <c r="K3284" s="120">
        <v>45997</v>
      </c>
      <c r="L3284" s="120"/>
      <c r="M3284" s="120"/>
      <c r="N3284" s="29"/>
      <c r="O3284" s="29" t="s">
        <v>1094</v>
      </c>
      <c r="P3284" s="29"/>
      <c r="Q3284" s="156"/>
    </row>
    <row r="3285" spans="1:17" hidden="1">
      <c r="A3285" s="160" t="s">
        <v>1406</v>
      </c>
      <c r="B3285" s="160"/>
      <c r="C3285" s="88">
        <v>310502357</v>
      </c>
      <c r="D3285" s="29"/>
      <c r="E3285" s="29"/>
      <c r="F3285" s="29" t="s">
        <v>97</v>
      </c>
      <c r="G3285" s="29" t="s">
        <v>744</v>
      </c>
      <c r="H3285" s="29" t="s">
        <v>38</v>
      </c>
      <c r="I3285" s="120">
        <v>45967</v>
      </c>
      <c r="J3285" s="120">
        <f>WORKDAY(I3285, 3)</f>
        <v>45972</v>
      </c>
      <c r="K3285" s="120">
        <v>45997</v>
      </c>
      <c r="L3285" s="120"/>
      <c r="M3285" s="120"/>
      <c r="N3285" s="29"/>
      <c r="O3285" s="29" t="s">
        <v>1094</v>
      </c>
      <c r="P3285" s="29"/>
      <c r="Q3285" s="156"/>
    </row>
    <row r="3286" spans="1:17" hidden="1">
      <c r="A3286" s="160" t="s">
        <v>1406</v>
      </c>
      <c r="B3286" s="160"/>
      <c r="C3286" s="88">
        <v>310502365</v>
      </c>
      <c r="D3286" s="29"/>
      <c r="E3286" s="29"/>
      <c r="F3286" s="29" t="s">
        <v>97</v>
      </c>
      <c r="G3286" s="29" t="s">
        <v>744</v>
      </c>
      <c r="H3286" s="29" t="s">
        <v>38</v>
      </c>
      <c r="I3286" s="120">
        <v>45967</v>
      </c>
      <c r="J3286" s="120">
        <f>WORKDAY(I3286, 3)</f>
        <v>45972</v>
      </c>
      <c r="K3286" s="120">
        <v>45997</v>
      </c>
      <c r="L3286" s="120"/>
      <c r="M3286" s="120"/>
      <c r="N3286" s="29"/>
      <c r="O3286" s="29" t="s">
        <v>1094</v>
      </c>
      <c r="P3286" s="29"/>
      <c r="Q3286" s="156"/>
    </row>
    <row r="3287" spans="1:17" hidden="1">
      <c r="A3287" s="160" t="s">
        <v>1406</v>
      </c>
      <c r="B3287" s="160"/>
      <c r="C3287" s="88">
        <v>310502375</v>
      </c>
      <c r="D3287" s="29"/>
      <c r="E3287" s="29"/>
      <c r="F3287" s="29" t="s">
        <v>97</v>
      </c>
      <c r="G3287" s="29" t="s">
        <v>744</v>
      </c>
      <c r="H3287" s="29" t="s">
        <v>38</v>
      </c>
      <c r="I3287" s="120">
        <v>45967</v>
      </c>
      <c r="J3287" s="120">
        <f>WORKDAY(I3287, 3)</f>
        <v>45972</v>
      </c>
      <c r="K3287" s="120">
        <v>45997</v>
      </c>
      <c r="L3287" s="120"/>
      <c r="M3287" s="120"/>
      <c r="N3287" s="29"/>
      <c r="O3287" s="29" t="s">
        <v>1094</v>
      </c>
      <c r="P3287" s="29"/>
      <c r="Q3287" s="156"/>
    </row>
    <row r="3288" spans="1:17" hidden="1">
      <c r="A3288" s="160" t="s">
        <v>1406</v>
      </c>
      <c r="B3288" s="160"/>
      <c r="C3288" s="88">
        <v>310502383</v>
      </c>
      <c r="D3288" s="29"/>
      <c r="E3288" s="29"/>
      <c r="F3288" s="29" t="s">
        <v>97</v>
      </c>
      <c r="G3288" s="29" t="s">
        <v>744</v>
      </c>
      <c r="H3288" s="29" t="s">
        <v>38</v>
      </c>
      <c r="I3288" s="120">
        <v>45967</v>
      </c>
      <c r="J3288" s="120">
        <f>WORKDAY(I3288, 3)</f>
        <v>45972</v>
      </c>
      <c r="K3288" s="120">
        <v>45997</v>
      </c>
      <c r="L3288" s="120"/>
      <c r="M3288" s="120"/>
      <c r="N3288" s="29"/>
      <c r="O3288" s="29" t="s">
        <v>1094</v>
      </c>
      <c r="P3288" s="29"/>
      <c r="Q3288" s="156"/>
    </row>
    <row r="3289" spans="1:17" hidden="1">
      <c r="A3289" s="160" t="s">
        <v>1406</v>
      </c>
      <c r="B3289" s="160"/>
      <c r="C3289" s="88">
        <v>310502391</v>
      </c>
      <c r="D3289" s="29"/>
      <c r="E3289" s="29"/>
      <c r="F3289" s="29" t="s">
        <v>97</v>
      </c>
      <c r="G3289" s="29" t="s">
        <v>744</v>
      </c>
      <c r="H3289" s="29" t="s">
        <v>38</v>
      </c>
      <c r="I3289" s="120">
        <v>45967</v>
      </c>
      <c r="J3289" s="120">
        <f>WORKDAY(I3289, 3)</f>
        <v>45972</v>
      </c>
      <c r="K3289" s="120">
        <v>45997</v>
      </c>
      <c r="L3289" s="120"/>
      <c r="M3289" s="120"/>
      <c r="N3289" s="29"/>
      <c r="O3289" s="29" t="s">
        <v>1094</v>
      </c>
      <c r="P3289" s="29"/>
      <c r="Q3289" s="156"/>
    </row>
    <row r="3290" spans="1:17" hidden="1">
      <c r="A3290" s="160" t="s">
        <v>1406</v>
      </c>
      <c r="B3290" s="160"/>
      <c r="C3290" s="88">
        <v>310502394</v>
      </c>
      <c r="D3290" s="29"/>
      <c r="E3290" s="29"/>
      <c r="F3290" s="29" t="s">
        <v>97</v>
      </c>
      <c r="G3290" s="29" t="s">
        <v>744</v>
      </c>
      <c r="H3290" s="29" t="s">
        <v>38</v>
      </c>
      <c r="I3290" s="120">
        <v>45967</v>
      </c>
      <c r="J3290" s="120">
        <f>WORKDAY(I3290, 3)</f>
        <v>45972</v>
      </c>
      <c r="K3290" s="120">
        <v>45997</v>
      </c>
      <c r="L3290" s="120"/>
      <c r="M3290" s="120"/>
      <c r="N3290" s="29"/>
      <c r="O3290" s="29" t="s">
        <v>1094</v>
      </c>
      <c r="P3290" s="29"/>
      <c r="Q3290" s="156"/>
    </row>
    <row r="3291" spans="1:17" hidden="1">
      <c r="A3291" s="160" t="s">
        <v>1406</v>
      </c>
      <c r="B3291" s="160"/>
      <c r="C3291" s="88">
        <v>310502400</v>
      </c>
      <c r="D3291" s="29"/>
      <c r="E3291" s="29"/>
      <c r="F3291" s="29" t="s">
        <v>97</v>
      </c>
      <c r="G3291" s="29" t="s">
        <v>744</v>
      </c>
      <c r="H3291" s="29" t="s">
        <v>38</v>
      </c>
      <c r="I3291" s="120">
        <v>45967</v>
      </c>
      <c r="J3291" s="120">
        <f>WORKDAY(I3291, 3)</f>
        <v>45972</v>
      </c>
      <c r="K3291" s="120">
        <v>45997</v>
      </c>
      <c r="L3291" s="120"/>
      <c r="M3291" s="120"/>
      <c r="N3291" s="29"/>
      <c r="O3291" s="29" t="s">
        <v>1094</v>
      </c>
      <c r="P3291" s="29"/>
      <c r="Q3291" s="156"/>
    </row>
    <row r="3292" spans="1:17" hidden="1">
      <c r="A3292" s="160" t="s">
        <v>1407</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1256</v>
      </c>
      <c r="P3292" s="29"/>
      <c r="Q3292" s="156"/>
    </row>
    <row r="3293" spans="1:17" hidden="1">
      <c r="A3293" s="160" t="s">
        <v>1408</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1256</v>
      </c>
      <c r="P3293" s="29"/>
      <c r="Q3293" s="156"/>
    </row>
    <row r="3294" spans="1:17" hidden="1">
      <c r="A3294" s="160" t="s">
        <v>1409</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1256</v>
      </c>
      <c r="P3294" s="29"/>
      <c r="Q3294" s="156"/>
    </row>
    <row r="3295" spans="1:17" hidden="1">
      <c r="A3295" s="160" t="s">
        <v>1409</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1256</v>
      </c>
      <c r="P3295" s="29"/>
      <c r="Q3295" s="156"/>
    </row>
    <row r="3296" spans="1:17" hidden="1">
      <c r="A3296" s="160" t="s">
        <v>1409</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1256</v>
      </c>
      <c r="P3296" s="29"/>
      <c r="Q3296" s="156"/>
    </row>
    <row r="3297" spans="1:17" hidden="1">
      <c r="A3297" s="160" t="s">
        <v>1410</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1256</v>
      </c>
      <c r="P3297" s="29"/>
      <c r="Q3297" s="156"/>
    </row>
    <row r="3298" spans="1:17" ht="15.75" hidden="1">
      <c r="A3298" s="163" t="s">
        <v>1411</v>
      </c>
      <c r="B3298" s="163"/>
      <c r="C3298" s="88">
        <v>322505213</v>
      </c>
      <c r="D3298" s="29"/>
      <c r="E3298" s="29"/>
      <c r="F3298" s="29" t="s">
        <v>1401</v>
      </c>
      <c r="G3298" s="29" t="s">
        <v>116</v>
      </c>
      <c r="H3298" s="29" t="s">
        <v>29</v>
      </c>
      <c r="I3298" s="120">
        <v>45979</v>
      </c>
      <c r="J3298" s="120">
        <f>WORKDAY(I3298, 3)</f>
        <v>45982</v>
      </c>
      <c r="K3298" s="120">
        <v>46009</v>
      </c>
      <c r="L3298" s="120"/>
      <c r="M3298" s="120"/>
      <c r="N3298" s="29"/>
      <c r="O3298" s="29" t="s">
        <v>10</v>
      </c>
      <c r="P3298" s="29"/>
      <c r="Q3298" s="156"/>
    </row>
    <row r="3299" spans="1:17" ht="15.75" hidden="1">
      <c r="A3299" s="163" t="s">
        <v>1411</v>
      </c>
      <c r="B3299" s="163"/>
      <c r="C3299" s="88">
        <v>322505515</v>
      </c>
      <c r="D3299" s="29"/>
      <c r="E3299" s="29"/>
      <c r="F3299" s="29" t="s">
        <v>1401</v>
      </c>
      <c r="G3299" s="29" t="s">
        <v>116</v>
      </c>
      <c r="H3299" s="29" t="s">
        <v>29</v>
      </c>
      <c r="I3299" s="120">
        <v>45979</v>
      </c>
      <c r="J3299" s="120">
        <f>WORKDAY(I3299, 3)</f>
        <v>45982</v>
      </c>
      <c r="K3299" s="120">
        <v>46009</v>
      </c>
      <c r="L3299" s="120"/>
      <c r="M3299" s="120"/>
      <c r="N3299" s="29"/>
      <c r="O3299" s="29" t="s">
        <v>10</v>
      </c>
      <c r="P3299" s="29"/>
      <c r="Q3299" s="156"/>
    </row>
    <row r="3300" spans="1:17" ht="15.75" hidden="1">
      <c r="A3300" s="163" t="s">
        <v>1411</v>
      </c>
      <c r="B3300" s="163"/>
      <c r="C3300" s="88">
        <v>322505684</v>
      </c>
      <c r="D3300" s="29"/>
      <c r="E3300" s="29"/>
      <c r="F3300" s="29" t="s">
        <v>1401</v>
      </c>
      <c r="G3300" s="29" t="s">
        <v>116</v>
      </c>
      <c r="H3300" s="29" t="s">
        <v>29</v>
      </c>
      <c r="I3300" s="120">
        <v>45979</v>
      </c>
      <c r="J3300" s="120">
        <f>WORKDAY(I3300, 3)</f>
        <v>45982</v>
      </c>
      <c r="K3300" s="120">
        <v>46009</v>
      </c>
      <c r="L3300" s="120"/>
      <c r="M3300" s="120"/>
      <c r="N3300" s="29"/>
      <c r="O3300" s="29" t="s">
        <v>10</v>
      </c>
      <c r="P3300" s="29"/>
      <c r="Q3300" s="156"/>
    </row>
    <row r="3301" spans="1:17" ht="15.75" hidden="1">
      <c r="A3301" s="163" t="s">
        <v>1411</v>
      </c>
      <c r="B3301" s="163"/>
      <c r="C3301" s="88">
        <v>322505757</v>
      </c>
      <c r="D3301" s="29"/>
      <c r="E3301" s="29"/>
      <c r="F3301" s="29" t="s">
        <v>1401</v>
      </c>
      <c r="G3301" s="29" t="s">
        <v>116</v>
      </c>
      <c r="H3301" s="29" t="s">
        <v>29</v>
      </c>
      <c r="I3301" s="120">
        <v>45979</v>
      </c>
      <c r="J3301" s="120">
        <f>WORKDAY(I3301, 3)</f>
        <v>45982</v>
      </c>
      <c r="K3301" s="120">
        <v>46009</v>
      </c>
      <c r="L3301" s="120"/>
      <c r="M3301" s="120"/>
      <c r="N3301" s="29"/>
      <c r="O3301" s="29" t="s">
        <v>10</v>
      </c>
      <c r="P3301" s="29"/>
      <c r="Q3301" s="156"/>
    </row>
    <row r="3302" spans="1:17" ht="15.75" hidden="1">
      <c r="A3302" s="163" t="s">
        <v>1411</v>
      </c>
      <c r="B3302" s="163"/>
      <c r="C3302" s="88">
        <v>322505832</v>
      </c>
      <c r="D3302" s="29"/>
      <c r="E3302" s="29"/>
      <c r="F3302" s="29" t="s">
        <v>1401</v>
      </c>
      <c r="G3302" s="29" t="s">
        <v>116</v>
      </c>
      <c r="H3302" s="29" t="s">
        <v>29</v>
      </c>
      <c r="I3302" s="120">
        <v>45979</v>
      </c>
      <c r="J3302" s="120">
        <f>WORKDAY(I3302, 3)</f>
        <v>45982</v>
      </c>
      <c r="K3302" s="120">
        <v>46009</v>
      </c>
      <c r="L3302" s="120"/>
      <c r="M3302" s="120"/>
      <c r="N3302" s="29"/>
      <c r="O3302" s="29" t="s">
        <v>10</v>
      </c>
      <c r="P3302" s="29"/>
      <c r="Q3302" s="156"/>
    </row>
    <row r="3303" spans="1:17" ht="15.75" hidden="1">
      <c r="A3303" s="163" t="s">
        <v>1411</v>
      </c>
      <c r="B3303" s="163"/>
      <c r="C3303" s="88">
        <v>322505887</v>
      </c>
      <c r="D3303" s="29"/>
      <c r="E3303" s="29"/>
      <c r="F3303" s="29" t="s">
        <v>1401</v>
      </c>
      <c r="G3303" s="29" t="s">
        <v>116</v>
      </c>
      <c r="H3303" s="29" t="s">
        <v>29</v>
      </c>
      <c r="I3303" s="120">
        <v>45979</v>
      </c>
      <c r="J3303" s="120">
        <f>WORKDAY(I3303, 3)</f>
        <v>45982</v>
      </c>
      <c r="K3303" s="120">
        <v>46009</v>
      </c>
      <c r="L3303" s="120"/>
      <c r="M3303" s="120"/>
      <c r="N3303" s="29"/>
      <c r="O3303" s="29" t="s">
        <v>10</v>
      </c>
      <c r="P3303" s="29"/>
      <c r="Q3303" s="156"/>
    </row>
    <row r="3304" spans="1:17" ht="15.75" hidden="1">
      <c r="A3304" s="163" t="s">
        <v>1411</v>
      </c>
      <c r="B3304" s="163"/>
      <c r="C3304" s="88">
        <v>322505937</v>
      </c>
      <c r="D3304" s="29"/>
      <c r="E3304" s="29"/>
      <c r="F3304" s="29" t="s">
        <v>1401</v>
      </c>
      <c r="G3304" s="29" t="s">
        <v>116</v>
      </c>
      <c r="H3304" s="29" t="s">
        <v>29</v>
      </c>
      <c r="I3304" s="120">
        <v>45979</v>
      </c>
      <c r="J3304" s="120">
        <f>WORKDAY(I3304, 3)</f>
        <v>45982</v>
      </c>
      <c r="K3304" s="120">
        <v>46009</v>
      </c>
      <c r="L3304" s="120"/>
      <c r="M3304" s="120"/>
      <c r="N3304" s="29"/>
      <c r="O3304" s="29" t="s">
        <v>10</v>
      </c>
      <c r="P3304" s="29"/>
      <c r="Q3304" s="156"/>
    </row>
    <row r="3305" spans="1:17" ht="15.75" hidden="1">
      <c r="A3305" s="163" t="s">
        <v>1411</v>
      </c>
      <c r="B3305" s="163"/>
      <c r="C3305" s="88">
        <v>322506059</v>
      </c>
      <c r="D3305" s="29"/>
      <c r="E3305" s="29"/>
      <c r="F3305" s="29" t="s">
        <v>1401</v>
      </c>
      <c r="G3305" s="29" t="s">
        <v>116</v>
      </c>
      <c r="H3305" s="29" t="s">
        <v>29</v>
      </c>
      <c r="I3305" s="120">
        <v>45979</v>
      </c>
      <c r="J3305" s="120">
        <f>WORKDAY(I3305, 3)</f>
        <v>45982</v>
      </c>
      <c r="K3305" s="120">
        <v>46009</v>
      </c>
      <c r="L3305" s="120"/>
      <c r="M3305" s="120"/>
      <c r="N3305" s="29"/>
      <c r="O3305" s="29" t="s">
        <v>10</v>
      </c>
      <c r="P3305" s="29"/>
      <c r="Q3305" s="156"/>
    </row>
    <row r="3306" spans="1:17" ht="15.75" hidden="1">
      <c r="A3306" s="163" t="s">
        <v>1411</v>
      </c>
      <c r="B3306" s="163"/>
      <c r="C3306" s="88">
        <v>322506236</v>
      </c>
      <c r="D3306" s="29"/>
      <c r="E3306" s="29"/>
      <c r="F3306" s="29" t="s">
        <v>1401</v>
      </c>
      <c r="G3306" s="29" t="s">
        <v>116</v>
      </c>
      <c r="H3306" s="29" t="s">
        <v>29</v>
      </c>
      <c r="I3306" s="120">
        <v>45979</v>
      </c>
      <c r="J3306" s="120">
        <f>WORKDAY(I3306, 3)</f>
        <v>45982</v>
      </c>
      <c r="K3306" s="120">
        <v>46009</v>
      </c>
      <c r="L3306" s="120"/>
      <c r="M3306" s="120"/>
      <c r="N3306" s="29"/>
      <c r="O3306" s="29" t="s">
        <v>10</v>
      </c>
      <c r="P3306" s="29"/>
      <c r="Q3306" s="156"/>
    </row>
    <row r="3307" spans="1:17" ht="15.75" hidden="1">
      <c r="A3307" s="163" t="s">
        <v>1411</v>
      </c>
      <c r="B3307" s="163"/>
      <c r="C3307" s="88">
        <v>322506358</v>
      </c>
      <c r="D3307" s="29"/>
      <c r="E3307" s="29"/>
      <c r="F3307" s="29" t="s">
        <v>1401</v>
      </c>
      <c r="G3307" s="29" t="s">
        <v>116</v>
      </c>
      <c r="H3307" s="29" t="s">
        <v>29</v>
      </c>
      <c r="I3307" s="120">
        <v>45979</v>
      </c>
      <c r="J3307" s="120">
        <f>WORKDAY(I3307, 3)</f>
        <v>45982</v>
      </c>
      <c r="K3307" s="120">
        <v>46009</v>
      </c>
      <c r="L3307" s="120"/>
      <c r="M3307" s="120"/>
      <c r="N3307" s="29"/>
      <c r="O3307" s="29" t="s">
        <v>10</v>
      </c>
      <c r="P3307" s="29"/>
      <c r="Q3307" s="156"/>
    </row>
    <row r="3308" spans="1:17" ht="15.75" hidden="1">
      <c r="A3308" s="163" t="s">
        <v>1411</v>
      </c>
      <c r="B3308" s="163"/>
      <c r="C3308" s="88">
        <v>322506422</v>
      </c>
      <c r="D3308" s="29"/>
      <c r="E3308" s="29"/>
      <c r="F3308" s="29" t="s">
        <v>1401</v>
      </c>
      <c r="G3308" s="29" t="s">
        <v>116</v>
      </c>
      <c r="H3308" s="29" t="s">
        <v>29</v>
      </c>
      <c r="I3308" s="120">
        <v>45979</v>
      </c>
      <c r="J3308" s="120">
        <f>WORKDAY(I3308, 3)</f>
        <v>45982</v>
      </c>
      <c r="K3308" s="120">
        <v>46009</v>
      </c>
      <c r="L3308" s="120"/>
      <c r="M3308" s="120"/>
      <c r="N3308" s="29"/>
      <c r="O3308" s="29" t="s">
        <v>10</v>
      </c>
      <c r="P3308" s="29"/>
      <c r="Q3308" s="156"/>
    </row>
    <row r="3309" spans="1:17" ht="15.75" hidden="1">
      <c r="A3309" s="163" t="s">
        <v>1411</v>
      </c>
      <c r="B3309" s="163"/>
      <c r="C3309" s="88">
        <v>322506515</v>
      </c>
      <c r="D3309" s="29"/>
      <c r="E3309" s="29"/>
      <c r="F3309" s="29" t="s">
        <v>1401</v>
      </c>
      <c r="G3309" s="29" t="s">
        <v>116</v>
      </c>
      <c r="H3309" s="29" t="s">
        <v>29</v>
      </c>
      <c r="I3309" s="120">
        <v>45979</v>
      </c>
      <c r="J3309" s="120">
        <f>WORKDAY(I3309, 3)</f>
        <v>45982</v>
      </c>
      <c r="K3309" s="120">
        <v>46009</v>
      </c>
      <c r="L3309" s="120"/>
      <c r="M3309" s="120"/>
      <c r="N3309" s="29"/>
      <c r="O3309" s="29" t="s">
        <v>10</v>
      </c>
      <c r="P3309" s="29"/>
      <c r="Q3309" s="156"/>
    </row>
    <row r="3310" spans="1:17" ht="15.75" hidden="1">
      <c r="A3310" s="163" t="s">
        <v>1411</v>
      </c>
      <c r="B3310" s="163"/>
      <c r="C3310" s="88">
        <v>322506557</v>
      </c>
      <c r="D3310" s="29"/>
      <c r="E3310" s="29"/>
      <c r="F3310" s="29" t="s">
        <v>1401</v>
      </c>
      <c r="G3310" s="29" t="s">
        <v>116</v>
      </c>
      <c r="H3310" s="29" t="s">
        <v>29</v>
      </c>
      <c r="I3310" s="120">
        <v>45979</v>
      </c>
      <c r="J3310" s="120">
        <f>WORKDAY(I3310, 3)</f>
        <v>45982</v>
      </c>
      <c r="K3310" s="120">
        <v>46009</v>
      </c>
      <c r="L3310" s="120"/>
      <c r="M3310" s="120"/>
      <c r="N3310" s="29"/>
      <c r="O3310" s="29" t="s">
        <v>10</v>
      </c>
      <c r="P3310" s="29"/>
      <c r="Q3310" s="156"/>
    </row>
    <row r="3311" spans="1:17" ht="15.75" hidden="1">
      <c r="A3311" s="163" t="s">
        <v>1411</v>
      </c>
      <c r="B3311" s="163"/>
      <c r="C3311" s="88">
        <v>322506648</v>
      </c>
      <c r="D3311" s="29"/>
      <c r="E3311" s="29"/>
      <c r="F3311" s="29" t="s">
        <v>1401</v>
      </c>
      <c r="G3311" s="29" t="s">
        <v>116</v>
      </c>
      <c r="H3311" s="29" t="s">
        <v>29</v>
      </c>
      <c r="I3311" s="120">
        <v>45979</v>
      </c>
      <c r="J3311" s="120">
        <f>WORKDAY(I3311, 3)</f>
        <v>45982</v>
      </c>
      <c r="K3311" s="120">
        <v>46009</v>
      </c>
      <c r="L3311" s="120"/>
      <c r="M3311" s="120"/>
      <c r="N3311" s="29"/>
      <c r="O3311" s="29" t="s">
        <v>10</v>
      </c>
      <c r="P3311" s="29"/>
      <c r="Q3311" s="156"/>
    </row>
    <row r="3312" spans="1:17" ht="15.75" hidden="1">
      <c r="A3312" s="163" t="s">
        <v>1411</v>
      </c>
      <c r="B3312" s="163"/>
      <c r="C3312" s="88">
        <v>322506689</v>
      </c>
      <c r="D3312" s="29"/>
      <c r="E3312" s="29"/>
      <c r="F3312" s="29" t="s">
        <v>1401</v>
      </c>
      <c r="G3312" s="29" t="s">
        <v>116</v>
      </c>
      <c r="H3312" s="29" t="s">
        <v>29</v>
      </c>
      <c r="I3312" s="120">
        <v>45979</v>
      </c>
      <c r="J3312" s="120">
        <f>WORKDAY(I3312, 3)</f>
        <v>45982</v>
      </c>
      <c r="K3312" s="120">
        <v>46009</v>
      </c>
      <c r="L3312" s="120"/>
      <c r="M3312" s="120"/>
      <c r="N3312" s="29"/>
      <c r="O3312" s="29" t="s">
        <v>10</v>
      </c>
      <c r="P3312" s="29"/>
      <c r="Q3312" s="156"/>
    </row>
    <row r="3313" spans="1:17" ht="15.75" hidden="1">
      <c r="A3313" s="163" t="s">
        <v>1411</v>
      </c>
      <c r="B3313" s="163"/>
      <c r="C3313" s="88">
        <v>322506742</v>
      </c>
      <c r="D3313" s="29"/>
      <c r="E3313" s="29"/>
      <c r="F3313" s="29" t="s">
        <v>1401</v>
      </c>
      <c r="G3313" s="29" t="s">
        <v>116</v>
      </c>
      <c r="H3313" s="29" t="s">
        <v>29</v>
      </c>
      <c r="I3313" s="120">
        <v>45979</v>
      </c>
      <c r="J3313" s="120">
        <f>WORKDAY(I3313, 3)</f>
        <v>45982</v>
      </c>
      <c r="K3313" s="120">
        <v>46009</v>
      </c>
      <c r="L3313" s="120"/>
      <c r="M3313" s="120"/>
      <c r="N3313" s="29"/>
      <c r="O3313" s="29" t="s">
        <v>10</v>
      </c>
      <c r="P3313" s="29"/>
      <c r="Q3313" s="156"/>
    </row>
    <row r="3314" spans="1:17" ht="15.75" hidden="1">
      <c r="A3314" s="163" t="s">
        <v>1411</v>
      </c>
      <c r="B3314" s="163"/>
      <c r="C3314" s="88">
        <v>322506775</v>
      </c>
      <c r="D3314" s="29"/>
      <c r="E3314" s="29"/>
      <c r="F3314" s="29" t="s">
        <v>1401</v>
      </c>
      <c r="G3314" s="29" t="s">
        <v>116</v>
      </c>
      <c r="H3314" s="29" t="s">
        <v>29</v>
      </c>
      <c r="I3314" s="120">
        <v>45979</v>
      </c>
      <c r="J3314" s="120">
        <f>WORKDAY(I3314, 3)</f>
        <v>45982</v>
      </c>
      <c r="K3314" s="120">
        <v>46009</v>
      </c>
      <c r="L3314" s="120"/>
      <c r="M3314" s="120"/>
      <c r="N3314" s="29"/>
      <c r="O3314" s="29" t="s">
        <v>10</v>
      </c>
      <c r="P3314" s="29"/>
      <c r="Q3314" s="156"/>
    </row>
    <row r="3315" spans="1:17" ht="15.75" hidden="1">
      <c r="A3315" s="163" t="s">
        <v>1411</v>
      </c>
      <c r="B3315" s="163"/>
      <c r="C3315" s="88">
        <v>322506836</v>
      </c>
      <c r="D3315" s="29"/>
      <c r="E3315" s="29"/>
      <c r="F3315" s="29" t="s">
        <v>1401</v>
      </c>
      <c r="G3315" s="29" t="s">
        <v>116</v>
      </c>
      <c r="H3315" s="29" t="s">
        <v>29</v>
      </c>
      <c r="I3315" s="120">
        <v>45979</v>
      </c>
      <c r="J3315" s="120">
        <f>WORKDAY(I3315, 3)</f>
        <v>45982</v>
      </c>
      <c r="K3315" s="120">
        <v>46009</v>
      </c>
      <c r="L3315" s="120"/>
      <c r="M3315" s="120"/>
      <c r="N3315" s="29"/>
      <c r="O3315" s="29" t="s">
        <v>10</v>
      </c>
      <c r="P3315" s="29"/>
      <c r="Q3315" s="156"/>
    </row>
    <row r="3316" spans="1:17" ht="15.75" hidden="1">
      <c r="A3316" s="163" t="s">
        <v>1411</v>
      </c>
      <c r="B3316" s="163"/>
      <c r="C3316" s="88">
        <v>322506906</v>
      </c>
      <c r="D3316" s="29"/>
      <c r="E3316" s="29"/>
      <c r="F3316" s="29" t="s">
        <v>1401</v>
      </c>
      <c r="G3316" s="29" t="s">
        <v>116</v>
      </c>
      <c r="H3316" s="29" t="s">
        <v>29</v>
      </c>
      <c r="I3316" s="120">
        <v>45979</v>
      </c>
      <c r="J3316" s="120">
        <f>WORKDAY(I3316, 3)</f>
        <v>45982</v>
      </c>
      <c r="K3316" s="120">
        <v>46009</v>
      </c>
      <c r="L3316" s="120"/>
      <c r="M3316" s="120"/>
      <c r="N3316" s="29"/>
      <c r="O3316" s="29" t="s">
        <v>10</v>
      </c>
      <c r="P3316" s="29"/>
      <c r="Q3316" s="156"/>
    </row>
    <row r="3317" spans="1:17" ht="15.75" hidden="1">
      <c r="A3317" s="163" t="s">
        <v>1411</v>
      </c>
      <c r="B3317" s="163"/>
      <c r="C3317" s="88">
        <v>322506950</v>
      </c>
      <c r="D3317" s="29"/>
      <c r="E3317" s="29"/>
      <c r="F3317" s="29" t="s">
        <v>1401</v>
      </c>
      <c r="G3317" s="29" t="s">
        <v>116</v>
      </c>
      <c r="H3317" s="29" t="s">
        <v>29</v>
      </c>
      <c r="I3317" s="120">
        <v>45979</v>
      </c>
      <c r="J3317" s="120">
        <f>WORKDAY(I3317, 3)</f>
        <v>45982</v>
      </c>
      <c r="K3317" s="120">
        <v>46009</v>
      </c>
      <c r="L3317" s="120"/>
      <c r="M3317" s="120"/>
      <c r="N3317" s="29"/>
      <c r="O3317" s="29" t="s">
        <v>10</v>
      </c>
      <c r="P3317" s="29"/>
      <c r="Q3317" s="156"/>
    </row>
    <row r="3318" spans="1:17" ht="15.75" hidden="1">
      <c r="A3318" s="163" t="s">
        <v>1411</v>
      </c>
      <c r="B3318" s="163"/>
      <c r="C3318" s="88">
        <v>322507091</v>
      </c>
      <c r="D3318" s="29"/>
      <c r="E3318" s="29"/>
      <c r="F3318" s="29" t="s">
        <v>1401</v>
      </c>
      <c r="G3318" s="29" t="s">
        <v>116</v>
      </c>
      <c r="H3318" s="29" t="s">
        <v>29</v>
      </c>
      <c r="I3318" s="120">
        <v>45979</v>
      </c>
      <c r="J3318" s="120">
        <f>WORKDAY(I3318, 3)</f>
        <v>45982</v>
      </c>
      <c r="K3318" s="120">
        <v>46009</v>
      </c>
      <c r="L3318" s="120"/>
      <c r="M3318" s="120"/>
      <c r="N3318" s="29"/>
      <c r="O3318" s="29" t="s">
        <v>10</v>
      </c>
      <c r="P3318" s="29"/>
      <c r="Q3318" s="156"/>
    </row>
    <row r="3319" spans="1:17" ht="15.75" hidden="1">
      <c r="A3319" s="163" t="s">
        <v>1411</v>
      </c>
      <c r="B3319" s="163"/>
      <c r="C3319" s="88">
        <v>322507167</v>
      </c>
      <c r="D3319" s="29"/>
      <c r="E3319" s="29"/>
      <c r="F3319" s="29" t="s">
        <v>1401</v>
      </c>
      <c r="G3319" s="29" t="s">
        <v>116</v>
      </c>
      <c r="H3319" s="29" t="s">
        <v>29</v>
      </c>
      <c r="I3319" s="120">
        <v>45979</v>
      </c>
      <c r="J3319" s="120">
        <f>WORKDAY(I3319, 3)</f>
        <v>45982</v>
      </c>
      <c r="K3319" s="120">
        <v>46009</v>
      </c>
      <c r="L3319" s="120"/>
      <c r="M3319" s="120"/>
      <c r="N3319" s="29"/>
      <c r="O3319" s="29" t="s">
        <v>10</v>
      </c>
      <c r="P3319" s="29"/>
      <c r="Q3319" s="156"/>
    </row>
    <row r="3320" spans="1:17" ht="15.75" hidden="1">
      <c r="A3320" s="163" t="s">
        <v>1411</v>
      </c>
      <c r="B3320" s="163"/>
      <c r="C3320" s="88">
        <v>322507207</v>
      </c>
      <c r="D3320" s="29"/>
      <c r="E3320" s="29"/>
      <c r="F3320" s="29" t="s">
        <v>1401</v>
      </c>
      <c r="G3320" s="29" t="s">
        <v>116</v>
      </c>
      <c r="H3320" s="29" t="s">
        <v>29</v>
      </c>
      <c r="I3320" s="120">
        <v>45979</v>
      </c>
      <c r="J3320" s="120">
        <f>WORKDAY(I3320, 3)</f>
        <v>45982</v>
      </c>
      <c r="K3320" s="120">
        <v>46009</v>
      </c>
      <c r="L3320" s="120"/>
      <c r="M3320" s="120"/>
      <c r="N3320" s="29"/>
      <c r="O3320" s="29" t="s">
        <v>10</v>
      </c>
      <c r="P3320" s="29"/>
      <c r="Q3320" s="156"/>
    </row>
    <row r="3321" spans="1:17" ht="15.75" hidden="1">
      <c r="A3321" s="163" t="s">
        <v>1411</v>
      </c>
      <c r="B3321" s="163"/>
      <c r="C3321" s="88">
        <v>322507232</v>
      </c>
      <c r="D3321" s="29"/>
      <c r="E3321" s="29"/>
      <c r="F3321" s="29" t="s">
        <v>1401</v>
      </c>
      <c r="G3321" s="29" t="s">
        <v>116</v>
      </c>
      <c r="H3321" s="29" t="s">
        <v>29</v>
      </c>
      <c r="I3321" s="120">
        <v>45979</v>
      </c>
      <c r="J3321" s="120">
        <f>WORKDAY(I3321, 3)</f>
        <v>45982</v>
      </c>
      <c r="K3321" s="120">
        <v>46009</v>
      </c>
      <c r="L3321" s="120"/>
      <c r="M3321" s="120"/>
      <c r="N3321" s="29"/>
      <c r="O3321" s="29" t="s">
        <v>10</v>
      </c>
      <c r="P3321" s="29"/>
      <c r="Q3321" s="156"/>
    </row>
    <row r="3322" spans="1:17" ht="15.75" hidden="1">
      <c r="A3322" s="163" t="s">
        <v>1411</v>
      </c>
      <c r="B3322" s="163"/>
      <c r="C3322" s="88">
        <v>322507269</v>
      </c>
      <c r="D3322" s="29"/>
      <c r="E3322" s="29"/>
      <c r="F3322" s="29" t="s">
        <v>1401</v>
      </c>
      <c r="G3322" s="29" t="s">
        <v>116</v>
      </c>
      <c r="H3322" s="29" t="s">
        <v>29</v>
      </c>
      <c r="I3322" s="120">
        <v>45979</v>
      </c>
      <c r="J3322" s="120">
        <f>WORKDAY(I3322, 3)</f>
        <v>45982</v>
      </c>
      <c r="K3322" s="120">
        <v>46009</v>
      </c>
      <c r="L3322" s="120"/>
      <c r="M3322" s="120"/>
      <c r="N3322" s="29"/>
      <c r="O3322" s="29" t="s">
        <v>10</v>
      </c>
      <c r="P3322" s="29"/>
      <c r="Q3322" s="156"/>
    </row>
    <row r="3323" spans="1:17" ht="15.75" hidden="1">
      <c r="A3323" s="163" t="s">
        <v>1411</v>
      </c>
      <c r="B3323" s="163"/>
      <c r="C3323" s="88">
        <v>322507301</v>
      </c>
      <c r="D3323" s="29"/>
      <c r="E3323" s="29"/>
      <c r="F3323" s="29" t="s">
        <v>1401</v>
      </c>
      <c r="G3323" s="29" t="s">
        <v>116</v>
      </c>
      <c r="H3323" s="29" t="s">
        <v>29</v>
      </c>
      <c r="I3323" s="120">
        <v>45979</v>
      </c>
      <c r="J3323" s="120">
        <f>WORKDAY(I3323, 3)</f>
        <v>45982</v>
      </c>
      <c r="K3323" s="120">
        <v>46009</v>
      </c>
      <c r="L3323" s="120"/>
      <c r="M3323" s="120"/>
      <c r="N3323" s="29"/>
      <c r="O3323" s="29" t="s">
        <v>10</v>
      </c>
      <c r="P3323" s="29"/>
      <c r="Q3323" s="156"/>
    </row>
    <row r="3324" spans="1:17" ht="15.75" hidden="1">
      <c r="A3324" s="163" t="s">
        <v>1411</v>
      </c>
      <c r="B3324" s="163"/>
      <c r="C3324" s="88">
        <v>322507329</v>
      </c>
      <c r="D3324" s="29"/>
      <c r="E3324" s="29"/>
      <c r="F3324" s="29" t="s">
        <v>1401</v>
      </c>
      <c r="G3324" s="29" t="s">
        <v>116</v>
      </c>
      <c r="H3324" s="29" t="s">
        <v>29</v>
      </c>
      <c r="I3324" s="120">
        <v>45979</v>
      </c>
      <c r="J3324" s="120">
        <f>WORKDAY(I3324, 3)</f>
        <v>45982</v>
      </c>
      <c r="K3324" s="120">
        <v>46009</v>
      </c>
      <c r="L3324" s="120"/>
      <c r="M3324" s="120"/>
      <c r="N3324" s="29"/>
      <c r="O3324" s="29" t="s">
        <v>10</v>
      </c>
      <c r="P3324" s="29"/>
      <c r="Q3324" s="156"/>
    </row>
    <row r="3325" spans="1:17" hidden="1">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hidden="1">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hidden="1">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hidden="1">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hidden="1">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hidden="1">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hidden="1">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hidden="1">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1417</v>
      </c>
      <c r="B3342" s="160"/>
      <c r="C3342" s="88">
        <v>324501377</v>
      </c>
      <c r="D3342" s="29"/>
      <c r="E3342" s="29"/>
      <c r="F3342" s="29" t="s">
        <v>144</v>
      </c>
      <c r="G3342" s="29" t="s">
        <v>16</v>
      </c>
      <c r="H3342" s="29" t="s">
        <v>22</v>
      </c>
      <c r="I3342" s="120">
        <v>45981</v>
      </c>
      <c r="J3342" s="120">
        <v>45983</v>
      </c>
      <c r="K3342" s="120">
        <v>46013</v>
      </c>
      <c r="L3342" s="120"/>
      <c r="M3342" s="120"/>
      <c r="N3342" s="29"/>
      <c r="O3342" s="29" t="s">
        <v>10</v>
      </c>
      <c r="P3342" s="120"/>
      <c r="Q3342" s="156"/>
    </row>
    <row r="3343" spans="1:17" hidden="1">
      <c r="A3343" s="129" t="s">
        <v>1417</v>
      </c>
      <c r="B3343" s="129"/>
      <c r="C3343" s="88">
        <v>324501458</v>
      </c>
      <c r="D3343" s="29"/>
      <c r="E3343" s="29"/>
      <c r="F3343" s="29" t="s">
        <v>144</v>
      </c>
      <c r="G3343" s="29" t="s">
        <v>16</v>
      </c>
      <c r="H3343" s="29" t="s">
        <v>22</v>
      </c>
      <c r="I3343" s="120">
        <v>45981</v>
      </c>
      <c r="J3343" s="120">
        <v>45983</v>
      </c>
      <c r="K3343" s="120">
        <v>46013</v>
      </c>
      <c r="L3343" s="120"/>
      <c r="M3343" s="120"/>
      <c r="N3343" s="29"/>
      <c r="O3343" s="29" t="s">
        <v>10</v>
      </c>
      <c r="P3343" s="120"/>
      <c r="Q3343" s="156"/>
    </row>
    <row r="3344" spans="1:17" hidden="1">
      <c r="A3344" s="129" t="s">
        <v>1417</v>
      </c>
      <c r="B3344" s="129"/>
      <c r="C3344" s="88">
        <v>324501533</v>
      </c>
      <c r="D3344" s="29"/>
      <c r="E3344" s="29"/>
      <c r="F3344" s="29" t="s">
        <v>144</v>
      </c>
      <c r="G3344" s="29" t="s">
        <v>16</v>
      </c>
      <c r="H3344" s="29" t="s">
        <v>22</v>
      </c>
      <c r="I3344" s="120">
        <v>45981</v>
      </c>
      <c r="J3344" s="120">
        <v>45983</v>
      </c>
      <c r="K3344" s="120">
        <v>46013</v>
      </c>
      <c r="L3344" s="120"/>
      <c r="M3344" s="120"/>
      <c r="N3344" s="29"/>
      <c r="O3344" s="29" t="s">
        <v>10</v>
      </c>
      <c r="P3344" s="120"/>
      <c r="Q3344" s="156"/>
    </row>
    <row r="3345" spans="1:18" hidden="1">
      <c r="A3345" s="129" t="s">
        <v>1417</v>
      </c>
      <c r="B3345" s="129"/>
      <c r="C3345" s="88">
        <v>324501584</v>
      </c>
      <c r="D3345" s="29"/>
      <c r="E3345" s="29"/>
      <c r="F3345" s="29" t="s">
        <v>144</v>
      </c>
      <c r="G3345" s="29" t="s">
        <v>16</v>
      </c>
      <c r="H3345" s="29" t="s">
        <v>22</v>
      </c>
      <c r="I3345" s="120">
        <v>45981</v>
      </c>
      <c r="J3345" s="120">
        <v>45983</v>
      </c>
      <c r="K3345" s="120">
        <v>46013</v>
      </c>
      <c r="L3345" s="120"/>
      <c r="M3345" s="120"/>
      <c r="N3345" s="29"/>
      <c r="O3345" s="29" t="s">
        <v>10</v>
      </c>
      <c r="P3345" s="120"/>
      <c r="Q3345" s="156"/>
    </row>
    <row r="3346" spans="1:18" hidden="1">
      <c r="A3346" s="129" t="s">
        <v>1417</v>
      </c>
      <c r="B3346" s="129"/>
      <c r="C3346" s="88">
        <v>324501618</v>
      </c>
      <c r="D3346" s="29"/>
      <c r="E3346" s="29"/>
      <c r="F3346" s="29" t="s">
        <v>144</v>
      </c>
      <c r="G3346" s="29" t="s">
        <v>16</v>
      </c>
      <c r="H3346" s="29" t="s">
        <v>22</v>
      </c>
      <c r="I3346" s="120">
        <v>45981</v>
      </c>
      <c r="J3346" s="120">
        <v>45983</v>
      </c>
      <c r="K3346" s="120">
        <v>46013</v>
      </c>
      <c r="L3346" s="120"/>
      <c r="M3346" s="120"/>
      <c r="N3346" s="29"/>
      <c r="O3346" s="29" t="s">
        <v>10</v>
      </c>
      <c r="P3346" s="120"/>
      <c r="Q3346" s="156"/>
    </row>
    <row r="3347" spans="1:18" hidden="1">
      <c r="A3347" s="129" t="s">
        <v>1417</v>
      </c>
      <c r="B3347" s="129"/>
      <c r="C3347" s="88">
        <v>324501676</v>
      </c>
      <c r="D3347" s="29"/>
      <c r="E3347" s="29"/>
      <c r="F3347" s="29" t="s">
        <v>144</v>
      </c>
      <c r="G3347" s="29" t="s">
        <v>16</v>
      </c>
      <c r="H3347" s="29" t="s">
        <v>22</v>
      </c>
      <c r="I3347" s="120">
        <v>45981</v>
      </c>
      <c r="J3347" s="120">
        <v>45983</v>
      </c>
      <c r="K3347" s="120">
        <v>46013</v>
      </c>
      <c r="L3347" s="120"/>
      <c r="M3347" s="120"/>
      <c r="N3347" s="29"/>
      <c r="O3347" s="29" t="s">
        <v>9</v>
      </c>
      <c r="P3347" s="120"/>
      <c r="Q3347" s="156"/>
      <c r="R3347" s="134" t="s">
        <v>1418</v>
      </c>
    </row>
    <row r="3348" spans="1:18" hidden="1">
      <c r="A3348" s="129" t="s">
        <v>1417</v>
      </c>
      <c r="B3348" s="129"/>
      <c r="C3348" s="88">
        <v>324501724</v>
      </c>
      <c r="D3348" s="29"/>
      <c r="E3348" s="29"/>
      <c r="F3348" s="29" t="s">
        <v>144</v>
      </c>
      <c r="G3348" s="29" t="s">
        <v>16</v>
      </c>
      <c r="H3348" s="29" t="s">
        <v>22</v>
      </c>
      <c r="I3348" s="120">
        <v>45981</v>
      </c>
      <c r="J3348" s="120">
        <v>45983</v>
      </c>
      <c r="K3348" s="120">
        <v>46013</v>
      </c>
      <c r="L3348" s="120"/>
      <c r="M3348" s="120"/>
      <c r="N3348" s="29"/>
      <c r="O3348" s="29" t="s">
        <v>10</v>
      </c>
      <c r="P3348" s="120"/>
      <c r="Q3348" s="156"/>
    </row>
    <row r="3349" spans="1:18" hidden="1">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hidden="1">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hidden="1">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hidden="1">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hidden="1">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hidden="1">
      <c r="A3354" s="160" t="s">
        <v>1424</v>
      </c>
      <c r="B3354" s="160"/>
      <c r="C3354" s="88">
        <v>338503318</v>
      </c>
      <c r="D3354" s="29"/>
      <c r="E3354" s="29"/>
      <c r="F3354" s="29" t="s">
        <v>1416</v>
      </c>
      <c r="G3354" s="29" t="s">
        <v>116</v>
      </c>
      <c r="H3354" s="29" t="s">
        <v>38</v>
      </c>
      <c r="I3354" s="120">
        <v>45995</v>
      </c>
      <c r="J3354" s="120">
        <v>45999</v>
      </c>
      <c r="K3354" s="120">
        <v>46026</v>
      </c>
      <c r="L3354" s="120"/>
      <c r="M3354" s="120"/>
      <c r="N3354" s="29"/>
      <c r="O3354" s="29" t="s">
        <v>10</v>
      </c>
      <c r="P3354" s="29"/>
      <c r="Q3354" s="156">
        <v>1200</v>
      </c>
      <c r="R3354" s="134" t="s">
        <v>1425</v>
      </c>
    </row>
    <row r="3355" spans="1:18" hidden="1">
      <c r="A3355" s="160" t="s">
        <v>1424</v>
      </c>
      <c r="B3355" s="160"/>
      <c r="C3355" s="88">
        <v>338503699</v>
      </c>
      <c r="D3355" s="29"/>
      <c r="E3355" s="29"/>
      <c r="F3355" s="29" t="s">
        <v>1416</v>
      </c>
      <c r="G3355" s="29" t="s">
        <v>116</v>
      </c>
      <c r="H3355" s="29" t="s">
        <v>38</v>
      </c>
      <c r="I3355" s="120">
        <v>45995</v>
      </c>
      <c r="J3355" s="120">
        <v>45999</v>
      </c>
      <c r="K3355" s="120">
        <v>46026</v>
      </c>
      <c r="L3355" s="120"/>
      <c r="M3355" s="120"/>
      <c r="N3355" s="29"/>
      <c r="O3355" s="29" t="s">
        <v>1256</v>
      </c>
      <c r="P3355" s="29"/>
      <c r="Q3355" s="156"/>
      <c r="R3355" s="134" t="s">
        <v>1426</v>
      </c>
    </row>
    <row r="3356" spans="1:18" hidden="1">
      <c r="A3356" s="160" t="s">
        <v>1424</v>
      </c>
      <c r="B3356" s="160"/>
      <c r="C3356" s="88">
        <v>338504632</v>
      </c>
      <c r="D3356" s="29"/>
      <c r="E3356" s="29"/>
      <c r="F3356" s="29" t="s">
        <v>1416</v>
      </c>
      <c r="G3356" s="29" t="s">
        <v>116</v>
      </c>
      <c r="H3356" s="29" t="s">
        <v>38</v>
      </c>
      <c r="I3356" s="120">
        <v>45995</v>
      </c>
      <c r="J3356" s="120">
        <v>45999</v>
      </c>
      <c r="K3356" s="120">
        <v>46026</v>
      </c>
      <c r="L3356" s="120"/>
      <c r="M3356" s="120"/>
      <c r="N3356" s="29"/>
      <c r="O3356" s="29" t="s">
        <v>1256</v>
      </c>
      <c r="P3356" s="29"/>
      <c r="Q3356" s="156"/>
      <c r="R3356" s="134" t="s">
        <v>1426</v>
      </c>
    </row>
    <row r="3357" spans="1:18" hidden="1">
      <c r="A3357" s="160" t="s">
        <v>1424</v>
      </c>
      <c r="B3357" s="160"/>
      <c r="C3357" s="29">
        <v>338504667</v>
      </c>
      <c r="D3357" s="29"/>
      <c r="E3357" s="29"/>
      <c r="F3357" s="29" t="s">
        <v>1416</v>
      </c>
      <c r="G3357" s="29" t="s">
        <v>116</v>
      </c>
      <c r="H3357" s="29" t="s">
        <v>38</v>
      </c>
      <c r="I3357" s="120">
        <v>45995</v>
      </c>
      <c r="J3357" s="120">
        <v>45999</v>
      </c>
      <c r="K3357" s="120">
        <v>46026</v>
      </c>
      <c r="L3357" s="120"/>
      <c r="M3357" s="120"/>
      <c r="N3357" s="29"/>
      <c r="O3357" s="29" t="s">
        <v>1256</v>
      </c>
      <c r="P3357" s="29"/>
      <c r="Q3357" s="156"/>
      <c r="R3357" s="134" t="s">
        <v>1426</v>
      </c>
    </row>
    <row r="3358" spans="1:18" hidden="1">
      <c r="A3358" s="160" t="s">
        <v>1424</v>
      </c>
      <c r="B3358" s="160"/>
      <c r="C3358" s="88">
        <v>338504100</v>
      </c>
      <c r="D3358" s="29"/>
      <c r="E3358" s="29"/>
      <c r="F3358" s="29" t="s">
        <v>1416</v>
      </c>
      <c r="G3358" s="29" t="s">
        <v>116</v>
      </c>
      <c r="H3358" s="29" t="s">
        <v>38</v>
      </c>
      <c r="I3358" s="120">
        <v>45995</v>
      </c>
      <c r="J3358" s="120">
        <v>45999</v>
      </c>
      <c r="K3358" s="120">
        <v>46026</v>
      </c>
      <c r="L3358" s="120"/>
      <c r="M3358" s="120"/>
      <c r="N3358" s="29"/>
      <c r="O3358" s="29" t="s">
        <v>1256</v>
      </c>
      <c r="P3358" s="29"/>
      <c r="Q3358" s="156"/>
      <c r="R3358" s="134" t="s">
        <v>1426</v>
      </c>
    </row>
    <row r="3359" spans="1:18" hidden="1">
      <c r="A3359" s="160" t="s">
        <v>1424</v>
      </c>
      <c r="B3359" s="160"/>
      <c r="C3359" s="29">
        <v>338504693</v>
      </c>
      <c r="D3359" s="29"/>
      <c r="E3359" s="29"/>
      <c r="F3359" s="29" t="s">
        <v>1416</v>
      </c>
      <c r="G3359" s="29" t="s">
        <v>116</v>
      </c>
      <c r="H3359" s="29" t="s">
        <v>38</v>
      </c>
      <c r="I3359" s="120">
        <v>45995</v>
      </c>
      <c r="J3359" s="120">
        <v>45999</v>
      </c>
      <c r="K3359" s="120">
        <v>46026</v>
      </c>
      <c r="L3359" s="120"/>
      <c r="M3359" s="120"/>
      <c r="N3359" s="29"/>
      <c r="O3359" s="29" t="s">
        <v>1256</v>
      </c>
      <c r="P3359" s="29"/>
      <c r="Q3359" s="156"/>
      <c r="R3359" s="134" t="s">
        <v>1426</v>
      </c>
    </row>
    <row r="3360" spans="1:18" hidden="1">
      <c r="A3360" s="160" t="s">
        <v>1424</v>
      </c>
      <c r="B3360" s="160"/>
      <c r="C3360" s="29">
        <v>338504719</v>
      </c>
      <c r="D3360" s="29"/>
      <c r="E3360" s="29"/>
      <c r="F3360" s="29" t="s">
        <v>1416</v>
      </c>
      <c r="G3360" s="29" t="s">
        <v>116</v>
      </c>
      <c r="H3360" s="29" t="s">
        <v>38</v>
      </c>
      <c r="I3360" s="120">
        <v>45995</v>
      </c>
      <c r="J3360" s="120">
        <v>45999</v>
      </c>
      <c r="K3360" s="120">
        <v>46026</v>
      </c>
      <c r="L3360" s="120"/>
      <c r="M3360" s="120"/>
      <c r="N3360" s="29"/>
      <c r="O3360" s="29" t="s">
        <v>1256</v>
      </c>
      <c r="P3360" s="29"/>
      <c r="Q3360" s="156" t="s">
        <v>100</v>
      </c>
      <c r="R3360" s="134" t="s">
        <v>1426</v>
      </c>
    </row>
    <row r="3361" spans="1:18" hidden="1">
      <c r="A3361" s="160" t="s">
        <v>1424</v>
      </c>
      <c r="B3361" s="160"/>
      <c r="C3361" s="29">
        <v>338504719</v>
      </c>
      <c r="D3361" s="29"/>
      <c r="E3361" s="29"/>
      <c r="F3361" s="29" t="s">
        <v>1416</v>
      </c>
      <c r="G3361" s="29" t="s">
        <v>116</v>
      </c>
      <c r="H3361" s="29" t="s">
        <v>38</v>
      </c>
      <c r="I3361" s="120">
        <v>45995</v>
      </c>
      <c r="J3361" s="120">
        <v>45999</v>
      </c>
      <c r="K3361" s="120">
        <v>46026</v>
      </c>
      <c r="L3361" s="120"/>
      <c r="M3361" s="120"/>
      <c r="N3361" s="29"/>
      <c r="O3361" s="29" t="s">
        <v>1256</v>
      </c>
      <c r="P3361" s="29"/>
      <c r="Q3361" s="156" t="s">
        <v>1427</v>
      </c>
      <c r="R3361" s="134" t="s">
        <v>1426</v>
      </c>
    </row>
    <row r="3362" spans="1:18" hidden="1">
      <c r="A3362" s="160" t="s">
        <v>1424</v>
      </c>
      <c r="B3362" s="160"/>
      <c r="C3362" s="29">
        <v>338504917</v>
      </c>
      <c r="D3362" s="29"/>
      <c r="E3362" s="29"/>
      <c r="F3362" s="29" t="s">
        <v>1416</v>
      </c>
      <c r="G3362" s="29" t="s">
        <v>116</v>
      </c>
      <c r="H3362" s="29" t="s">
        <v>38</v>
      </c>
      <c r="I3362" s="120">
        <v>45995</v>
      </c>
      <c r="J3362" s="120">
        <v>45999</v>
      </c>
      <c r="K3362" s="120">
        <v>46026</v>
      </c>
      <c r="L3362" s="120"/>
      <c r="M3362" s="120"/>
      <c r="N3362" s="29"/>
      <c r="O3362" s="29" t="s">
        <v>1256</v>
      </c>
      <c r="P3362" s="29"/>
      <c r="Q3362" s="156" t="s">
        <v>1427</v>
      </c>
      <c r="R3362" s="134" t="s">
        <v>1426</v>
      </c>
    </row>
    <row r="3363" spans="1:18" hidden="1">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hidden="1">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hidden="1">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hidden="1">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hidden="1">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hidden="1">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hidden="1">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hidden="1">
      <c r="A3370" s="160" t="s">
        <v>1431</v>
      </c>
      <c r="B3370" s="160"/>
      <c r="C3370" s="88">
        <v>337504899</v>
      </c>
      <c r="D3370" s="29"/>
      <c r="E3370" s="29"/>
      <c r="F3370" s="29" t="s">
        <v>1401</v>
      </c>
      <c r="G3370" s="29" t="s">
        <v>116</v>
      </c>
      <c r="H3370" s="29" t="s">
        <v>29</v>
      </c>
      <c r="I3370" s="120">
        <v>45994</v>
      </c>
      <c r="J3370" s="120">
        <v>45996</v>
      </c>
      <c r="K3370" s="120">
        <v>45659</v>
      </c>
      <c r="L3370" s="120"/>
      <c r="M3370" s="120"/>
      <c r="N3370" s="29"/>
      <c r="O3370" s="29" t="s">
        <v>1428</v>
      </c>
      <c r="P3370" s="120"/>
      <c r="Q3370" s="156"/>
      <c r="R3370" s="134" t="s">
        <v>1432</v>
      </c>
    </row>
    <row r="3371" spans="1:18" hidden="1">
      <c r="A3371" s="160" t="s">
        <v>1431</v>
      </c>
      <c r="B3371" s="160"/>
      <c r="C3371" s="88">
        <v>337504970</v>
      </c>
      <c r="D3371" s="29"/>
      <c r="E3371" s="29"/>
      <c r="F3371" s="29" t="s">
        <v>1401</v>
      </c>
      <c r="G3371" s="29" t="s">
        <v>116</v>
      </c>
      <c r="H3371" s="29" t="s">
        <v>29</v>
      </c>
      <c r="I3371" s="120">
        <v>45994</v>
      </c>
      <c r="J3371" s="120">
        <v>45996</v>
      </c>
      <c r="K3371" s="120">
        <v>45659</v>
      </c>
      <c r="L3371" s="120"/>
      <c r="M3371" s="120"/>
      <c r="N3371" s="29"/>
      <c r="O3371" s="29" t="s">
        <v>1428</v>
      </c>
      <c r="P3371" s="120"/>
      <c r="Q3371" s="156"/>
      <c r="R3371" s="134" t="s">
        <v>1432</v>
      </c>
    </row>
    <row r="3372" spans="1:18" hidden="1">
      <c r="A3372" s="160" t="s">
        <v>1431</v>
      </c>
      <c r="B3372" s="160"/>
      <c r="C3372" s="88">
        <v>337504991</v>
      </c>
      <c r="D3372" s="29"/>
      <c r="E3372" s="29"/>
      <c r="F3372" s="29" t="s">
        <v>1401</v>
      </c>
      <c r="G3372" s="29" t="s">
        <v>116</v>
      </c>
      <c r="H3372" s="29" t="s">
        <v>29</v>
      </c>
      <c r="I3372" s="120">
        <v>45994</v>
      </c>
      <c r="J3372" s="120">
        <v>45996</v>
      </c>
      <c r="K3372" s="120">
        <v>45659</v>
      </c>
      <c r="L3372" s="120"/>
      <c r="M3372" s="120"/>
      <c r="N3372" s="29"/>
      <c r="O3372" s="29" t="s">
        <v>1428</v>
      </c>
      <c r="P3372" s="120"/>
      <c r="Q3372" s="156"/>
      <c r="R3372" s="134" t="s">
        <v>1432</v>
      </c>
    </row>
    <row r="3373" spans="1:18" hidden="1">
      <c r="A3373" s="160" t="s">
        <v>1431</v>
      </c>
      <c r="B3373" s="160"/>
      <c r="C3373" s="88">
        <v>337505058</v>
      </c>
      <c r="D3373" s="29"/>
      <c r="E3373" s="29"/>
      <c r="F3373" s="29" t="s">
        <v>1401</v>
      </c>
      <c r="G3373" s="29" t="s">
        <v>116</v>
      </c>
      <c r="H3373" s="29" t="s">
        <v>29</v>
      </c>
      <c r="I3373" s="120">
        <v>45994</v>
      </c>
      <c r="J3373" s="120">
        <v>45996</v>
      </c>
      <c r="K3373" s="120">
        <v>45659</v>
      </c>
      <c r="L3373" s="120"/>
      <c r="M3373" s="120"/>
      <c r="N3373" s="29"/>
      <c r="O3373" s="29" t="s">
        <v>1428</v>
      </c>
      <c r="P3373" s="120"/>
      <c r="Q3373" s="156"/>
      <c r="R3373" s="134" t="s">
        <v>1432</v>
      </c>
    </row>
    <row r="3374" spans="1:18" hidden="1">
      <c r="A3374" s="160" t="s">
        <v>1431</v>
      </c>
      <c r="B3374" s="160"/>
      <c r="C3374" s="88">
        <v>337505095</v>
      </c>
      <c r="D3374" s="29"/>
      <c r="E3374" s="29"/>
      <c r="F3374" s="29" t="s">
        <v>1401</v>
      </c>
      <c r="G3374" s="29" t="s">
        <v>116</v>
      </c>
      <c r="H3374" s="29" t="s">
        <v>29</v>
      </c>
      <c r="I3374" s="120">
        <v>45994</v>
      </c>
      <c r="J3374" s="120">
        <v>45996</v>
      </c>
      <c r="K3374" s="120">
        <v>45659</v>
      </c>
      <c r="L3374" s="120"/>
      <c r="M3374" s="120"/>
      <c r="N3374" s="29"/>
      <c r="O3374" s="29" t="s">
        <v>1428</v>
      </c>
      <c r="P3374" s="120"/>
      <c r="Q3374" s="156"/>
      <c r="R3374" s="134" t="s">
        <v>1432</v>
      </c>
    </row>
    <row r="3375" spans="1:18" hidden="1">
      <c r="A3375" s="160" t="s">
        <v>1431</v>
      </c>
      <c r="B3375" s="160"/>
      <c r="C3375" s="88">
        <v>337505131</v>
      </c>
      <c r="D3375" s="29"/>
      <c r="E3375" s="29"/>
      <c r="F3375" s="29" t="s">
        <v>1401</v>
      </c>
      <c r="G3375" s="29" t="s">
        <v>116</v>
      </c>
      <c r="H3375" s="29" t="s">
        <v>29</v>
      </c>
      <c r="I3375" s="120">
        <v>45994</v>
      </c>
      <c r="J3375" s="120">
        <v>45996</v>
      </c>
      <c r="K3375" s="120">
        <v>45659</v>
      </c>
      <c r="L3375" s="120"/>
      <c r="M3375" s="120"/>
      <c r="N3375" s="29"/>
      <c r="O3375" s="29" t="s">
        <v>1428</v>
      </c>
      <c r="P3375" s="120"/>
      <c r="Q3375" s="156"/>
      <c r="R3375" s="134" t="s">
        <v>1432</v>
      </c>
    </row>
    <row r="3376" spans="1:18" hidden="1">
      <c r="A3376" s="160" t="s">
        <v>1431</v>
      </c>
      <c r="B3376" s="160"/>
      <c r="C3376" s="88">
        <v>337505169</v>
      </c>
      <c r="D3376" s="29"/>
      <c r="E3376" s="29"/>
      <c r="F3376" s="29" t="s">
        <v>1401</v>
      </c>
      <c r="G3376" s="29" t="s">
        <v>116</v>
      </c>
      <c r="H3376" s="29" t="s">
        <v>29</v>
      </c>
      <c r="I3376" s="120">
        <v>45994</v>
      </c>
      <c r="J3376" s="120">
        <v>45996</v>
      </c>
      <c r="K3376" s="120">
        <v>45659</v>
      </c>
      <c r="L3376" s="120"/>
      <c r="M3376" s="120"/>
      <c r="N3376" s="29"/>
      <c r="O3376" s="29" t="s">
        <v>1428</v>
      </c>
      <c r="P3376" s="120"/>
      <c r="Q3376" s="156"/>
      <c r="R3376" s="134" t="s">
        <v>1432</v>
      </c>
    </row>
    <row r="3377" spans="1:18" hidden="1">
      <c r="A3377" s="160" t="s">
        <v>1433</v>
      </c>
      <c r="B3377" s="160"/>
      <c r="C3377" s="88">
        <v>335511634</v>
      </c>
      <c r="D3377" s="29"/>
      <c r="E3377" s="29"/>
      <c r="F3377" s="29" t="s">
        <v>1401</v>
      </c>
      <c r="G3377" s="29" t="s">
        <v>116</v>
      </c>
      <c r="H3377" s="29" t="s">
        <v>29</v>
      </c>
      <c r="I3377" s="120">
        <v>45992</v>
      </c>
      <c r="J3377" s="120">
        <v>45994</v>
      </c>
      <c r="K3377" s="120">
        <v>46022</v>
      </c>
      <c r="L3377" s="120"/>
      <c r="M3377" s="120"/>
      <c r="N3377" s="29"/>
      <c r="O3377" s="29" t="s">
        <v>1428</v>
      </c>
      <c r="P3377" s="120"/>
      <c r="Q3377" s="156"/>
      <c r="R3377" s="134" t="s">
        <v>1432</v>
      </c>
    </row>
    <row r="3378" spans="1:18" hidden="1">
      <c r="A3378" s="160" t="s">
        <v>1433</v>
      </c>
      <c r="B3378" s="160"/>
      <c r="C3378" s="88">
        <v>335511645</v>
      </c>
      <c r="D3378" s="29"/>
      <c r="E3378" s="29"/>
      <c r="F3378" s="29" t="s">
        <v>1401</v>
      </c>
      <c r="G3378" s="29" t="s">
        <v>116</v>
      </c>
      <c r="H3378" s="29" t="s">
        <v>29</v>
      </c>
      <c r="I3378" s="120">
        <v>45992</v>
      </c>
      <c r="J3378" s="120">
        <v>45994</v>
      </c>
      <c r="K3378" s="120">
        <v>46022</v>
      </c>
      <c r="L3378" s="120"/>
      <c r="M3378" s="120"/>
      <c r="N3378" s="29"/>
      <c r="O3378" s="29" t="s">
        <v>1428</v>
      </c>
      <c r="P3378" s="120"/>
      <c r="Q3378" s="156"/>
      <c r="R3378" s="134" t="s">
        <v>1432</v>
      </c>
    </row>
    <row r="3379" spans="1:18" hidden="1">
      <c r="A3379" s="160" t="s">
        <v>1433</v>
      </c>
      <c r="B3379" s="160"/>
      <c r="C3379" s="88">
        <v>335511654</v>
      </c>
      <c r="D3379" s="29"/>
      <c r="E3379" s="29"/>
      <c r="F3379" s="29" t="s">
        <v>1401</v>
      </c>
      <c r="G3379" s="29" t="s">
        <v>116</v>
      </c>
      <c r="H3379" s="29" t="s">
        <v>29</v>
      </c>
      <c r="I3379" s="120">
        <v>45992</v>
      </c>
      <c r="J3379" s="120">
        <v>45994</v>
      </c>
      <c r="K3379" s="120">
        <v>46022</v>
      </c>
      <c r="L3379" s="120"/>
      <c r="M3379" s="120"/>
      <c r="N3379" s="29"/>
      <c r="O3379" s="29" t="s">
        <v>1428</v>
      </c>
      <c r="P3379" s="120"/>
      <c r="Q3379" s="156"/>
      <c r="R3379" s="134" t="s">
        <v>1432</v>
      </c>
    </row>
    <row r="3380" spans="1:18" hidden="1">
      <c r="A3380" s="160" t="s">
        <v>1433</v>
      </c>
      <c r="B3380" s="160"/>
      <c r="C3380" s="88">
        <v>335511659</v>
      </c>
      <c r="D3380" s="29"/>
      <c r="E3380" s="29"/>
      <c r="F3380" s="29" t="s">
        <v>1401</v>
      </c>
      <c r="G3380" s="29" t="s">
        <v>116</v>
      </c>
      <c r="H3380" s="29" t="s">
        <v>29</v>
      </c>
      <c r="I3380" s="120">
        <v>45992</v>
      </c>
      <c r="J3380" s="120">
        <v>45994</v>
      </c>
      <c r="K3380" s="120">
        <v>46022</v>
      </c>
      <c r="L3380" s="120"/>
      <c r="M3380" s="120"/>
      <c r="N3380" s="29"/>
      <c r="O3380" s="29" t="s">
        <v>1428</v>
      </c>
      <c r="P3380" s="120"/>
      <c r="Q3380" s="156"/>
      <c r="R3380" s="134" t="s">
        <v>1432</v>
      </c>
    </row>
    <row r="3381" spans="1:18" hidden="1">
      <c r="A3381" s="160" t="s">
        <v>1433</v>
      </c>
      <c r="B3381" s="160"/>
      <c r="C3381" s="88">
        <v>335511661</v>
      </c>
      <c r="D3381" s="29"/>
      <c r="E3381" s="29"/>
      <c r="F3381" s="29" t="s">
        <v>1401</v>
      </c>
      <c r="G3381" s="29" t="s">
        <v>116</v>
      </c>
      <c r="H3381" s="29" t="s">
        <v>29</v>
      </c>
      <c r="I3381" s="120">
        <v>45992</v>
      </c>
      <c r="J3381" s="120">
        <v>45994</v>
      </c>
      <c r="K3381" s="120">
        <v>46022</v>
      </c>
      <c r="L3381" s="120"/>
      <c r="M3381" s="120"/>
      <c r="N3381" s="29"/>
      <c r="O3381" s="29" t="s">
        <v>1428</v>
      </c>
      <c r="P3381" s="120"/>
      <c r="Q3381" s="156"/>
      <c r="R3381" s="134" t="s">
        <v>1432</v>
      </c>
    </row>
    <row r="3382" spans="1:18" hidden="1">
      <c r="A3382" s="160" t="s">
        <v>1433</v>
      </c>
      <c r="B3382" s="160"/>
      <c r="C3382" s="88">
        <v>336500005</v>
      </c>
      <c r="D3382" s="29"/>
      <c r="E3382" s="29"/>
      <c r="F3382" s="29" t="s">
        <v>1401</v>
      </c>
      <c r="G3382" s="29" t="s">
        <v>116</v>
      </c>
      <c r="H3382" s="29" t="s">
        <v>29</v>
      </c>
      <c r="I3382" s="120">
        <v>45992</v>
      </c>
      <c r="J3382" s="120">
        <v>45994</v>
      </c>
      <c r="K3382" s="120">
        <v>46022</v>
      </c>
      <c r="L3382" s="120"/>
      <c r="M3382" s="120"/>
      <c r="N3382" s="29"/>
      <c r="O3382" s="29" t="s">
        <v>1428</v>
      </c>
      <c r="P3382" s="120"/>
      <c r="Q3382" s="156"/>
      <c r="R3382" s="134" t="s">
        <v>1432</v>
      </c>
    </row>
    <row r="3383" spans="1:18" hidden="1">
      <c r="A3383" s="160" t="s">
        <v>1433</v>
      </c>
      <c r="B3383" s="160"/>
      <c r="C3383" s="88">
        <v>336500007</v>
      </c>
      <c r="D3383" s="29"/>
      <c r="E3383" s="29"/>
      <c r="F3383" s="29" t="s">
        <v>1401</v>
      </c>
      <c r="G3383" s="29" t="s">
        <v>116</v>
      </c>
      <c r="H3383" s="29" t="s">
        <v>29</v>
      </c>
      <c r="I3383" s="120">
        <v>45992</v>
      </c>
      <c r="J3383" s="120">
        <v>45994</v>
      </c>
      <c r="K3383" s="120">
        <v>46022</v>
      </c>
      <c r="L3383" s="120"/>
      <c r="M3383" s="120"/>
      <c r="N3383" s="29"/>
      <c r="O3383" s="29" t="s">
        <v>1428</v>
      </c>
      <c r="P3383" s="120"/>
      <c r="Q3383" s="156"/>
      <c r="R3383" s="134" t="s">
        <v>1432</v>
      </c>
    </row>
    <row r="3384" spans="1:18" hidden="1">
      <c r="A3384" s="160" t="s">
        <v>1433</v>
      </c>
      <c r="B3384" s="160"/>
      <c r="C3384" s="88">
        <v>336500008</v>
      </c>
      <c r="D3384" s="29"/>
      <c r="E3384" s="29"/>
      <c r="F3384" s="29" t="s">
        <v>1401</v>
      </c>
      <c r="G3384" s="29" t="s">
        <v>116</v>
      </c>
      <c r="H3384" s="29" t="s">
        <v>29</v>
      </c>
      <c r="I3384" s="120">
        <v>45992</v>
      </c>
      <c r="J3384" s="120">
        <v>45994</v>
      </c>
      <c r="K3384" s="120">
        <v>46022</v>
      </c>
      <c r="L3384" s="120"/>
      <c r="M3384" s="120"/>
      <c r="N3384" s="29"/>
      <c r="O3384" s="29" t="s">
        <v>1428</v>
      </c>
      <c r="P3384" s="120"/>
      <c r="Q3384" s="156"/>
      <c r="R3384" s="134" t="s">
        <v>1432</v>
      </c>
    </row>
    <row r="3385" spans="1:18" hidden="1">
      <c r="A3385" s="160" t="s">
        <v>1433</v>
      </c>
      <c r="B3385" s="160"/>
      <c r="C3385" s="88">
        <v>336500010</v>
      </c>
      <c r="D3385" s="29"/>
      <c r="E3385" s="29"/>
      <c r="F3385" s="29" t="s">
        <v>1401</v>
      </c>
      <c r="G3385" s="29" t="s">
        <v>116</v>
      </c>
      <c r="H3385" s="29" t="s">
        <v>29</v>
      </c>
      <c r="I3385" s="120">
        <v>45992</v>
      </c>
      <c r="J3385" s="120">
        <v>45994</v>
      </c>
      <c r="K3385" s="120">
        <v>46022</v>
      </c>
      <c r="L3385" s="120"/>
      <c r="M3385" s="120"/>
      <c r="N3385" s="29"/>
      <c r="O3385" s="29" t="s">
        <v>1428</v>
      </c>
      <c r="P3385" s="120"/>
      <c r="Q3385" s="156"/>
      <c r="R3385" s="134" t="s">
        <v>1432</v>
      </c>
    </row>
    <row r="3386" spans="1:18" hidden="1">
      <c r="A3386" s="160" t="s">
        <v>1433</v>
      </c>
      <c r="B3386" s="160"/>
      <c r="C3386" s="88">
        <v>336500011</v>
      </c>
      <c r="D3386" s="29"/>
      <c r="E3386" s="29"/>
      <c r="F3386" s="29" t="s">
        <v>1401</v>
      </c>
      <c r="G3386" s="29" t="s">
        <v>116</v>
      </c>
      <c r="H3386" s="29" t="s">
        <v>29</v>
      </c>
      <c r="I3386" s="120">
        <v>45992</v>
      </c>
      <c r="J3386" s="120">
        <v>45994</v>
      </c>
      <c r="K3386" s="120">
        <v>46022</v>
      </c>
      <c r="L3386" s="120"/>
      <c r="M3386" s="120"/>
      <c r="N3386" s="29"/>
      <c r="O3386" s="29" t="s">
        <v>1428</v>
      </c>
      <c r="P3386" s="120"/>
      <c r="Q3386" s="156"/>
      <c r="R3386" s="134" t="s">
        <v>1432</v>
      </c>
    </row>
    <row r="3387" spans="1:18" hidden="1">
      <c r="A3387" s="160" t="s">
        <v>1433</v>
      </c>
      <c r="B3387" s="160"/>
      <c r="C3387" s="88">
        <v>336500013</v>
      </c>
      <c r="D3387" s="29"/>
      <c r="E3387" s="29"/>
      <c r="F3387" s="29" t="s">
        <v>1401</v>
      </c>
      <c r="G3387" s="29" t="s">
        <v>116</v>
      </c>
      <c r="H3387" s="29" t="s">
        <v>29</v>
      </c>
      <c r="I3387" s="120">
        <v>45992</v>
      </c>
      <c r="J3387" s="120">
        <v>45994</v>
      </c>
      <c r="K3387" s="120">
        <v>46022</v>
      </c>
      <c r="L3387" s="120"/>
      <c r="M3387" s="120"/>
      <c r="N3387" s="29"/>
      <c r="O3387" s="29" t="s">
        <v>1428</v>
      </c>
      <c r="P3387" s="120"/>
      <c r="Q3387" s="156"/>
      <c r="R3387" s="134" t="s">
        <v>1432</v>
      </c>
    </row>
    <row r="3388" spans="1:18" hidden="1">
      <c r="A3388" s="160" t="s">
        <v>1433</v>
      </c>
      <c r="B3388" s="160"/>
      <c r="C3388" s="88">
        <v>336500016</v>
      </c>
      <c r="D3388" s="29"/>
      <c r="E3388" s="29"/>
      <c r="F3388" s="29" t="s">
        <v>1401</v>
      </c>
      <c r="G3388" s="29" t="s">
        <v>116</v>
      </c>
      <c r="H3388" s="29" t="s">
        <v>29</v>
      </c>
      <c r="I3388" s="120">
        <v>45992</v>
      </c>
      <c r="J3388" s="120">
        <v>45994</v>
      </c>
      <c r="K3388" s="120">
        <v>46022</v>
      </c>
      <c r="L3388" s="120"/>
      <c r="M3388" s="120"/>
      <c r="N3388" s="29"/>
      <c r="O3388" s="29" t="s">
        <v>1428</v>
      </c>
      <c r="P3388" s="120"/>
      <c r="Q3388" s="156"/>
      <c r="R3388" s="134" t="s">
        <v>1432</v>
      </c>
    </row>
    <row r="3389" spans="1:18" hidden="1">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hidden="1">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hidden="1">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hidden="1">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hidden="1">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hidden="1">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hidden="1">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hidden="1">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hidden="1">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hidden="1">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hidden="1">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hidden="1">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hidden="1">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hidden="1">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hidden="1">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hidden="1">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hidden="1">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hidden="1">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hidden="1">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hidden="1">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hidden="1">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hidden="1">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hidden="1">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hidden="1">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hidden="1">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hidden="1">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hidden="1">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hidden="1">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hidden="1">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hidden="1">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hidden="1">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hidden="1">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hidden="1">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84</v>
      </c>
    </row>
    <row r="3422" spans="1:17" hidden="1">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hidden="1">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hidden="1">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hidden="1">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hidden="1">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hidden="1">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hidden="1">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hidden="1">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hidden="1">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hidden="1">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hidden="1">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hidden="1">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hidden="1">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hidden="1">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hidden="1">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hidden="1">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hidden="1">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hidden="1">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hidden="1">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hidden="1">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hidden="1">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hidden="1">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hidden="1">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hidden="1">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hidden="1">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hidden="1">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hidden="1">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hidden="1">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hidden="1">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hidden="1">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hidden="1">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hidden="1">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hidden="1">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hidden="1">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hidden="1">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hidden="1">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hidden="1">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hidden="1">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hidden="1">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hidden="1">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hidden="1">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hidden="1">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hidden="1">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744</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744</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744</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744</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744</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744</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744</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744</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744</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744</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744</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169</v>
      </c>
      <c r="H3500" s="29" t="s">
        <v>431</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169</v>
      </c>
      <c r="H3501" s="29" t="s">
        <v>431</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169</v>
      </c>
      <c r="H3502" s="29" t="s">
        <v>431</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169</v>
      </c>
      <c r="H3503" s="29" t="s">
        <v>431</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1416</v>
      </c>
      <c r="G3504" s="29" t="s">
        <v>116</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1416</v>
      </c>
      <c r="G3505" s="29" t="s">
        <v>116</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1416</v>
      </c>
      <c r="G3506" s="29" t="s">
        <v>116</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1401</v>
      </c>
      <c r="G3507" s="29" t="s">
        <v>116</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1401</v>
      </c>
      <c r="G3508" s="29" t="s">
        <v>116</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1401</v>
      </c>
      <c r="G3509" s="29" t="s">
        <v>116</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1401</v>
      </c>
      <c r="G3510" s="29" t="s">
        <v>116</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1401</v>
      </c>
      <c r="G3511" s="29" t="s">
        <v>116</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1401</v>
      </c>
      <c r="G3512" s="29" t="s">
        <v>116</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1401</v>
      </c>
      <c r="G3513" s="29" t="s">
        <v>116</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1401</v>
      </c>
      <c r="G3514" s="29" t="s">
        <v>116</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1401</v>
      </c>
      <c r="G3515" s="29" t="s">
        <v>116</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1401</v>
      </c>
      <c r="G3516" s="29" t="s">
        <v>116</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1401</v>
      </c>
      <c r="G3517" s="29" t="s">
        <v>116</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1401</v>
      </c>
      <c r="G3518" s="29" t="s">
        <v>116</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1401</v>
      </c>
      <c r="G3519" s="29" t="s">
        <v>116</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1401</v>
      </c>
      <c r="G3520" s="29" t="s">
        <v>116</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1401</v>
      </c>
      <c r="G3521" s="29" t="s">
        <v>116</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1401</v>
      </c>
      <c r="G3522" s="29" t="s">
        <v>116</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1401</v>
      </c>
      <c r="G3523" s="29" t="s">
        <v>116</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1401</v>
      </c>
      <c r="G3524" s="29" t="s">
        <v>116</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1401</v>
      </c>
      <c r="G3525" s="29" t="s">
        <v>116</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1401</v>
      </c>
      <c r="G3526" s="29" t="s">
        <v>116</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1401</v>
      </c>
      <c r="G3527" s="29" t="s">
        <v>116</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1401</v>
      </c>
      <c r="G3528" s="29" t="s">
        <v>116</v>
      </c>
      <c r="H3528" s="29" t="s">
        <v>29</v>
      </c>
      <c r="I3528" s="120">
        <v>46022</v>
      </c>
      <c r="J3528" s="120">
        <v>45662</v>
      </c>
      <c r="K3528" s="120">
        <v>45687</v>
      </c>
      <c r="L3528" s="120"/>
      <c r="M3528" s="120"/>
      <c r="N3528" s="29"/>
      <c r="O3528" s="29" t="s">
        <v>10</v>
      </c>
      <c r="P3528" s="120"/>
      <c r="Q3528" s="156"/>
    </row>
    <row r="3529" spans="1:17">
      <c r="A3529" s="160" t="s">
        <v>1063</v>
      </c>
      <c r="B3529" s="160"/>
      <c r="C3529" s="88" t="s">
        <v>1449</v>
      </c>
      <c r="D3529" s="29"/>
      <c r="E3529" s="29"/>
      <c r="F3529" s="29" t="s">
        <v>59</v>
      </c>
      <c r="G3529" s="29" t="s">
        <v>744</v>
      </c>
      <c r="H3529" s="29" t="s">
        <v>22</v>
      </c>
      <c r="I3529" s="120">
        <v>46027</v>
      </c>
      <c r="J3529" s="120">
        <v>46029</v>
      </c>
      <c r="K3529" s="120">
        <v>46057</v>
      </c>
      <c r="L3529" s="120"/>
      <c r="M3529" s="120"/>
      <c r="N3529" s="29"/>
      <c r="O3529" s="29" t="s">
        <v>9</v>
      </c>
      <c r="P3529" s="120"/>
      <c r="Q3529" s="156" t="s">
        <v>1450</v>
      </c>
    </row>
    <row r="3530" spans="1:17">
      <c r="A3530" s="160" t="s">
        <v>1061</v>
      </c>
      <c r="B3530" s="160"/>
      <c r="C3530" s="88" t="s">
        <v>1451</v>
      </c>
      <c r="D3530" s="29"/>
      <c r="E3530" s="29"/>
      <c r="F3530" s="29" t="s">
        <v>59</v>
      </c>
      <c r="G3530" s="29" t="s">
        <v>744</v>
      </c>
      <c r="H3530" s="29" t="s">
        <v>22</v>
      </c>
      <c r="I3530" s="120">
        <v>46027</v>
      </c>
      <c r="J3530" s="120">
        <v>46029</v>
      </c>
      <c r="K3530" s="120">
        <v>46057</v>
      </c>
      <c r="L3530" s="120"/>
      <c r="M3530" s="120"/>
      <c r="N3530" s="29"/>
      <c r="O3530" s="29" t="s">
        <v>9</v>
      </c>
      <c r="P3530" s="120"/>
      <c r="Q3530" s="156" t="s">
        <v>1452</v>
      </c>
    </row>
    <row r="3531" spans="1:17">
      <c r="A3531" s="160" t="s">
        <v>980</v>
      </c>
      <c r="B3531" s="160"/>
      <c r="C3531" s="88" t="s">
        <v>1453</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1454</v>
      </c>
      <c r="D3532" s="29"/>
      <c r="E3532" s="29"/>
      <c r="F3532" s="29" t="s">
        <v>59</v>
      </c>
      <c r="G3532" s="29" t="s">
        <v>744</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744</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744</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744</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744</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744</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744</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744</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744</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744</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744</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744</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1401</v>
      </c>
      <c r="G3544" s="29" t="s">
        <v>116</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1401</v>
      </c>
      <c r="G3545" s="29" t="s">
        <v>116</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1401</v>
      </c>
      <c r="G3546" s="29" t="s">
        <v>116</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1401</v>
      </c>
      <c r="G3547" s="29" t="s">
        <v>116</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1401</v>
      </c>
      <c r="G3548" s="29" t="s">
        <v>116</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1401</v>
      </c>
      <c r="G3549" s="29" t="s">
        <v>116</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1401</v>
      </c>
      <c r="G3550" s="29" t="s">
        <v>116</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1401</v>
      </c>
      <c r="G3551" s="29" t="s">
        <v>116</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1401</v>
      </c>
      <c r="G3552" s="29" t="s">
        <v>116</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1401</v>
      </c>
      <c r="G3553" s="29" t="s">
        <v>116</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1401</v>
      </c>
      <c r="G3554" s="29" t="s">
        <v>116</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1401</v>
      </c>
      <c r="G3555" s="29" t="s">
        <v>116</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1401</v>
      </c>
      <c r="G3556" s="29" t="s">
        <v>116</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1401</v>
      </c>
      <c r="G3557" s="29" t="s">
        <v>116</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1401</v>
      </c>
      <c r="G3558" s="29" t="s">
        <v>116</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1401</v>
      </c>
      <c r="G3559" s="29" t="s">
        <v>116</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1401</v>
      </c>
      <c r="G3560" s="29" t="s">
        <v>116</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1401</v>
      </c>
      <c r="G3561" s="29" t="s">
        <v>116</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1401</v>
      </c>
      <c r="G3562" s="29" t="s">
        <v>116</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1401</v>
      </c>
      <c r="G3563" s="29" t="s">
        <v>116</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1401</v>
      </c>
      <c r="G3564" s="29" t="s">
        <v>116</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1401</v>
      </c>
      <c r="G3565" s="29" t="s">
        <v>116</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1401</v>
      </c>
      <c r="G3566" s="29" t="s">
        <v>116</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1401</v>
      </c>
      <c r="G3567" s="29" t="s">
        <v>116</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164</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164</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164</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164</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164</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164</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164</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164</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169</v>
      </c>
      <c r="H3576" s="29" t="s">
        <v>431</v>
      </c>
      <c r="I3576" s="29"/>
      <c r="J3576" s="29"/>
      <c r="K3576" s="29"/>
      <c r="L3576" s="29"/>
      <c r="M3576" s="29"/>
      <c r="N3576" s="29"/>
      <c r="O3576" s="29"/>
      <c r="P3576" s="29"/>
      <c r="Q3576" s="156"/>
    </row>
    <row r="3577" spans="1:17" hidden="1">
      <c r="A3577" s="160" t="s">
        <v>1509</v>
      </c>
      <c r="B3577" s="160"/>
      <c r="C3577" s="88">
        <v>349501580</v>
      </c>
      <c r="D3577" s="29"/>
      <c r="E3577" s="29"/>
      <c r="F3577" s="29"/>
      <c r="G3577" s="29" t="s">
        <v>169</v>
      </c>
      <c r="H3577" s="29" t="s">
        <v>431</v>
      </c>
      <c r="I3577" s="29"/>
      <c r="J3577" s="29"/>
      <c r="K3577" s="29"/>
      <c r="L3577" s="29"/>
      <c r="M3577" s="29"/>
      <c r="N3577" s="29"/>
      <c r="O3577" s="29"/>
      <c r="P3577" s="29"/>
      <c r="Q3577" s="156"/>
    </row>
    <row r="3578" spans="1:17" hidden="1">
      <c r="A3578" s="160" t="s">
        <v>1509</v>
      </c>
      <c r="B3578" s="160"/>
      <c r="C3578" s="88">
        <v>349501603</v>
      </c>
      <c r="D3578" s="29"/>
      <c r="E3578" s="29"/>
      <c r="F3578" s="29"/>
      <c r="G3578" s="29" t="s">
        <v>169</v>
      </c>
      <c r="H3578" s="29" t="s">
        <v>431</v>
      </c>
      <c r="I3578" s="29"/>
      <c r="J3578" s="29"/>
      <c r="K3578" s="29"/>
      <c r="L3578" s="29"/>
      <c r="M3578" s="29"/>
      <c r="N3578" s="29"/>
      <c r="O3578" s="29"/>
      <c r="P3578" s="29"/>
      <c r="Q3578" s="156"/>
    </row>
    <row r="3579" spans="1:17">
      <c r="A3579" s="160" t="s">
        <v>1510</v>
      </c>
      <c r="B3579" s="160"/>
      <c r="C3579" s="164" t="s">
        <v>1511</v>
      </c>
      <c r="D3579" s="29"/>
      <c r="E3579" s="29"/>
      <c r="F3579" s="29"/>
      <c r="G3579" s="29" t="s">
        <v>169</v>
      </c>
      <c r="H3579" s="29" t="s">
        <v>431</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169</v>
      </c>
      <c r="H3580" s="29" t="s">
        <v>431</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169</v>
      </c>
      <c r="H3581" s="29" t="s">
        <v>431</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169</v>
      </c>
      <c r="H3582" s="29" t="s">
        <v>431</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169</v>
      </c>
      <c r="H3583" s="29" t="s">
        <v>431</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169</v>
      </c>
      <c r="H3584" s="29" t="s">
        <v>431</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169</v>
      </c>
      <c r="H3585" s="29" t="s">
        <v>431</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169</v>
      </c>
      <c r="H3586" s="29" t="s">
        <v>431</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169</v>
      </c>
      <c r="H3587" s="29" t="s">
        <v>431</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431</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431</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431</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431</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431</v>
      </c>
      <c r="I3592" s="120">
        <v>46027</v>
      </c>
      <c r="J3592" s="120">
        <v>46031</v>
      </c>
      <c r="K3592" s="120">
        <v>46057</v>
      </c>
      <c r="L3592" s="120"/>
      <c r="M3592" s="120"/>
      <c r="N3592" s="29"/>
      <c r="O3592" s="29" t="s">
        <v>9</v>
      </c>
      <c r="P3592" s="120"/>
      <c r="Q3592" s="156"/>
    </row>
    <row r="3593" spans="1:17">
      <c r="A3593" s="160" t="s">
        <v>980</v>
      </c>
      <c r="B3593" s="160"/>
      <c r="C3593" s="88" t="s">
        <v>1528</v>
      </c>
      <c r="D3593" s="29" t="s">
        <v>1529</v>
      </c>
      <c r="E3593" s="29"/>
      <c r="F3593" s="29" t="s">
        <v>59</v>
      </c>
      <c r="G3593" s="29" t="s">
        <v>744</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232</v>
      </c>
      <c r="B3625" s="160"/>
      <c r="C3625" s="88" t="s">
        <v>1563</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1564</v>
      </c>
      <c r="D3626" s="29"/>
      <c r="E3626" s="29"/>
      <c r="F3626" s="29" t="s">
        <v>59</v>
      </c>
      <c r="G3626" s="29" t="s">
        <v>744</v>
      </c>
      <c r="H3626" s="29" t="s">
        <v>22</v>
      </c>
      <c r="I3626" s="120">
        <v>46042</v>
      </c>
      <c r="J3626" s="120">
        <v>46044</v>
      </c>
      <c r="K3626" s="120">
        <v>46072</v>
      </c>
      <c r="L3626" s="120"/>
      <c r="M3626" s="120"/>
      <c r="N3626" s="29"/>
      <c r="O3626" s="29" t="s">
        <v>9</v>
      </c>
      <c r="P3626" s="120"/>
      <c r="Q3626" s="156" t="s">
        <v>1565</v>
      </c>
    </row>
    <row r="3627" spans="1:17">
      <c r="A3627" s="160" t="s">
        <v>1342</v>
      </c>
      <c r="B3627" s="160"/>
      <c r="C3627" s="41" t="s">
        <v>1566</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1567</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1568</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1569</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1570</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1571</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1572</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1573</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1574</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1575</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1576</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1577</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1578</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1579</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1580</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1581</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1582</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1583</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1584</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1585</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1586</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1612</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1613</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1614</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1615</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1616</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1617</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1618</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1619</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1620</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1621</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1622</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1623</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1624</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1625</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1626</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1627</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1628</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1629</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1630</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1631</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1632</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1633</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1634</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1635</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1636</v>
      </c>
      <c r="D3695" s="131" t="s">
        <v>1637</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1638</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1639</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1640</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1641</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1642</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1643</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1644</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1645</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1646</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1647</v>
      </c>
      <c r="D3705" s="130" t="s">
        <v>1648</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1649</v>
      </c>
      <c r="D3706" s="130" t="s">
        <v>1650</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1651</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1652</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1656</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1657</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1658</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1659</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1660</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1661</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1662</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1663</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1664</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1665</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1666</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1667</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1668</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1669</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1670</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1671</v>
      </c>
      <c r="D3726" s="29" t="s">
        <v>1672</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1673</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1674</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1675</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1676</v>
      </c>
      <c r="D3730" s="130" t="s">
        <v>1677</v>
      </c>
      <c r="E3730" s="29"/>
      <c r="F3730" s="29" t="s">
        <v>59</v>
      </c>
      <c r="G3730" s="29" t="s">
        <v>744</v>
      </c>
      <c r="H3730" s="29" t="s">
        <v>30</v>
      </c>
      <c r="I3730" s="120">
        <v>46078</v>
      </c>
      <c r="J3730" s="120">
        <v>46080</v>
      </c>
      <c r="K3730" s="120">
        <v>46108</v>
      </c>
      <c r="L3730" s="120"/>
      <c r="M3730" s="120"/>
      <c r="N3730" s="29"/>
      <c r="O3730" s="29" t="s">
        <v>9</v>
      </c>
      <c r="P3730" s="120"/>
      <c r="Q3730" s="156" t="s">
        <v>1678</v>
      </c>
    </row>
    <row r="3731" spans="1:17">
      <c r="A3731" s="160" t="s">
        <v>1080</v>
      </c>
      <c r="B3731" s="160"/>
      <c r="C3731" s="88" t="s">
        <v>1679</v>
      </c>
      <c r="D3731" s="130" t="s">
        <v>1680</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1681</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1682</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1683</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1684</v>
      </c>
      <c r="D3735" s="130" t="s">
        <v>1685</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1686</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1687</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1688</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1720</v>
      </c>
      <c r="D3769" s="29"/>
      <c r="E3769" s="29"/>
      <c r="F3769" s="29" t="s">
        <v>1416</v>
      </c>
      <c r="G3769" s="29" t="s">
        <v>116</v>
      </c>
      <c r="H3769" s="29" t="s">
        <v>1721</v>
      </c>
      <c r="I3769" s="120">
        <v>46064</v>
      </c>
      <c r="J3769" s="120">
        <v>46066</v>
      </c>
      <c r="K3769" s="120">
        <v>46094</v>
      </c>
      <c r="L3769" s="120"/>
      <c r="M3769" s="120"/>
      <c r="N3769" s="29"/>
      <c r="O3769" s="29" t="s">
        <v>9</v>
      </c>
      <c r="P3769" s="120"/>
      <c r="Q3769" s="156" t="s">
        <v>1722</v>
      </c>
    </row>
    <row r="3770" spans="1:18">
      <c r="A3770" s="160" t="s">
        <v>1403</v>
      </c>
      <c r="B3770" s="160"/>
      <c r="C3770" s="88" t="s">
        <v>1723</v>
      </c>
      <c r="D3770" s="29"/>
      <c r="E3770" s="29"/>
      <c r="F3770" s="29" t="s">
        <v>1416</v>
      </c>
      <c r="G3770" s="29" t="s">
        <v>116</v>
      </c>
      <c r="H3770" s="29" t="s">
        <v>1721</v>
      </c>
      <c r="I3770" s="120">
        <v>46064</v>
      </c>
      <c r="J3770" s="120">
        <v>46066</v>
      </c>
      <c r="K3770" s="120">
        <v>46094</v>
      </c>
      <c r="L3770" s="120"/>
      <c r="M3770" s="120"/>
      <c r="N3770" s="29"/>
      <c r="O3770" s="29" t="s">
        <v>9</v>
      </c>
      <c r="P3770" s="120"/>
      <c r="Q3770" s="156" t="s">
        <v>1724</v>
      </c>
    </row>
    <row r="3771" spans="1:18">
      <c r="A3771" s="160" t="s">
        <v>1080</v>
      </c>
      <c r="B3771" s="160"/>
      <c r="C3771" s="88" t="s">
        <v>1725</v>
      </c>
      <c r="D3771" s="29"/>
      <c r="E3771" s="29"/>
      <c r="F3771" s="29" t="s">
        <v>59</v>
      </c>
      <c r="G3771" s="29" t="s">
        <v>744</v>
      </c>
      <c r="H3771" s="29" t="s">
        <v>22</v>
      </c>
      <c r="I3771" s="120">
        <v>46071</v>
      </c>
      <c r="J3771" s="120">
        <v>46073</v>
      </c>
      <c r="K3771" s="120">
        <v>46101</v>
      </c>
      <c r="L3771" s="120"/>
      <c r="M3771" s="120"/>
      <c r="N3771" s="29"/>
      <c r="O3771" s="29" t="s">
        <v>9</v>
      </c>
      <c r="P3771" s="120"/>
      <c r="Q3771" s="156" t="s">
        <v>1726</v>
      </c>
    </row>
    <row r="3772" spans="1:18">
      <c r="A3772" s="160" t="s">
        <v>1080</v>
      </c>
      <c r="B3772" s="160"/>
      <c r="C3772" s="88" t="s">
        <v>1727</v>
      </c>
      <c r="D3772" s="29"/>
      <c r="E3772" s="29"/>
      <c r="F3772" s="29" t="s">
        <v>59</v>
      </c>
      <c r="G3772" s="29" t="s">
        <v>744</v>
      </c>
      <c r="H3772" s="29" t="s">
        <v>22</v>
      </c>
      <c r="I3772" s="120">
        <v>46071</v>
      </c>
      <c r="J3772" s="120">
        <v>46073</v>
      </c>
      <c r="K3772" s="120">
        <v>46101</v>
      </c>
      <c r="L3772" s="120"/>
      <c r="M3772" s="120"/>
      <c r="N3772" s="29"/>
      <c r="O3772" s="29" t="s">
        <v>9</v>
      </c>
      <c r="P3772" s="120"/>
      <c r="Q3772" s="156" t="s">
        <v>1728</v>
      </c>
    </row>
    <row r="3773" spans="1:18">
      <c r="A3773" s="160" t="s">
        <v>509</v>
      </c>
      <c r="B3773" s="160"/>
      <c r="C3773" s="88" t="s">
        <v>1729</v>
      </c>
      <c r="D3773" s="29"/>
      <c r="E3773" s="29"/>
      <c r="F3773" s="29" t="s">
        <v>59</v>
      </c>
      <c r="G3773" s="29" t="s">
        <v>744</v>
      </c>
      <c r="H3773" s="29" t="s">
        <v>22</v>
      </c>
      <c r="I3773" s="120">
        <v>46072</v>
      </c>
      <c r="J3773" s="120">
        <v>46076</v>
      </c>
      <c r="K3773" s="120">
        <v>46104</v>
      </c>
      <c r="L3773" s="120"/>
      <c r="M3773" s="120"/>
      <c r="N3773" s="29"/>
      <c r="O3773" s="29" t="s">
        <v>9</v>
      </c>
      <c r="P3773" s="120"/>
      <c r="Q3773" s="156" t="s">
        <v>1730</v>
      </c>
      <c r="R3773" s="134" t="s">
        <v>1731</v>
      </c>
    </row>
    <row r="3774" spans="1:18">
      <c r="A3774" s="160" t="s">
        <v>509</v>
      </c>
      <c r="B3774" s="160"/>
      <c r="C3774" s="88" t="s">
        <v>1732</v>
      </c>
      <c r="D3774" s="29"/>
      <c r="E3774" s="29"/>
      <c r="F3774" s="29" t="s">
        <v>59</v>
      </c>
      <c r="G3774" s="29" t="s">
        <v>744</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1407</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744</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1771</v>
      </c>
      <c r="D3798" s="29"/>
      <c r="E3798" s="29"/>
      <c r="F3798" s="29" t="s">
        <v>59</v>
      </c>
      <c r="G3798" s="29" t="s">
        <v>744</v>
      </c>
      <c r="H3798" s="29" t="s">
        <v>30</v>
      </c>
      <c r="I3798" s="120">
        <v>46084</v>
      </c>
      <c r="J3798" s="120">
        <v>46086</v>
      </c>
      <c r="K3798" s="120">
        <v>46114</v>
      </c>
      <c r="L3798" s="120"/>
      <c r="M3798" s="120"/>
      <c r="N3798" s="29"/>
      <c r="O3798" s="29" t="s">
        <v>9</v>
      </c>
      <c r="P3798" s="120"/>
      <c r="Q3798" s="156" t="s">
        <v>1772</v>
      </c>
    </row>
    <row r="3799" spans="1:17">
      <c r="A3799" s="160" t="s">
        <v>980</v>
      </c>
      <c r="B3799" s="160"/>
      <c r="C3799" s="88" t="s">
        <v>1773</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1774</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1416</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1792</v>
      </c>
      <c r="D3812" s="29"/>
      <c r="E3812" s="29"/>
      <c r="F3812" s="29" t="s">
        <v>180</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1793</v>
      </c>
      <c r="D3813" s="29"/>
      <c r="E3813" s="29"/>
      <c r="F3813" s="29" t="s">
        <v>180</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1794</v>
      </c>
      <c r="D3814" s="29"/>
      <c r="E3814" s="29"/>
      <c r="F3814" s="29" t="s">
        <v>180</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1798</v>
      </c>
      <c r="D3816" s="29"/>
      <c r="E3816" s="29"/>
      <c r="F3816" s="29" t="s">
        <v>144</v>
      </c>
      <c r="G3816" s="29" t="s">
        <v>16</v>
      </c>
      <c r="H3816" s="29" t="s">
        <v>1799</v>
      </c>
      <c r="I3816" s="120">
        <v>46080</v>
      </c>
      <c r="J3816" s="120">
        <v>46085</v>
      </c>
      <c r="K3816" s="120">
        <v>46111</v>
      </c>
      <c r="L3816" s="120"/>
      <c r="M3816" s="120"/>
      <c r="N3816" s="29"/>
      <c r="O3816" s="29" t="s">
        <v>9</v>
      </c>
      <c r="P3816" s="120"/>
      <c r="Q3816" s="156"/>
    </row>
    <row r="3817" spans="1:17">
      <c r="A3817" s="160" t="s">
        <v>1395</v>
      </c>
      <c r="B3817" s="160"/>
      <c r="C3817" s="88" t="s">
        <v>1800</v>
      </c>
      <c r="D3817" s="29"/>
      <c r="E3817" s="29"/>
      <c r="F3817" s="29" t="s">
        <v>144</v>
      </c>
      <c r="G3817" s="29" t="s">
        <v>16</v>
      </c>
      <c r="H3817" s="29" t="s">
        <v>1799</v>
      </c>
      <c r="I3817" s="120">
        <v>46080</v>
      </c>
      <c r="J3817" s="120">
        <v>46085</v>
      </c>
      <c r="K3817" s="120">
        <v>46111</v>
      </c>
      <c r="L3817" s="120"/>
      <c r="M3817" s="120"/>
      <c r="N3817" s="29"/>
      <c r="O3817" s="29" t="s">
        <v>9</v>
      </c>
      <c r="P3817" s="120"/>
      <c r="Q3817" s="156"/>
    </row>
    <row r="3818" spans="1:17">
      <c r="A3818" s="160" t="s">
        <v>1395</v>
      </c>
      <c r="B3818" s="160"/>
      <c r="C3818" s="88" t="s">
        <v>1801</v>
      </c>
      <c r="D3818" s="29"/>
      <c r="E3818" s="29"/>
      <c r="F3818" s="29" t="s">
        <v>144</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116</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116</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116</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116</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116</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116</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116</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116</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116</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116</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116</v>
      </c>
      <c r="H3829" s="29" t="s">
        <v>81</v>
      </c>
      <c r="I3829" s="120">
        <v>46091</v>
      </c>
      <c r="J3829" s="120">
        <v>46094</v>
      </c>
      <c r="K3829" s="120">
        <v>46121</v>
      </c>
      <c r="L3829" s="120"/>
      <c r="M3829" s="120"/>
      <c r="N3829" s="29"/>
      <c r="O3829" s="29" t="s">
        <v>9</v>
      </c>
      <c r="P3829" s="120"/>
      <c r="Q3829" s="156"/>
    </row>
    <row r="3830" spans="1:18" hidden="1">
      <c r="A3830" s="160" t="s">
        <v>1065</v>
      </c>
      <c r="B3830" s="160"/>
      <c r="C3830" s="88">
        <v>275500436</v>
      </c>
      <c r="D3830" s="29">
        <v>253501864</v>
      </c>
      <c r="E3830" s="29"/>
      <c r="F3830" s="29" t="s">
        <v>97</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hidden="1">
      <c r="A3831" s="160" t="s">
        <v>1065</v>
      </c>
      <c r="B3831" s="160"/>
      <c r="C3831" s="88">
        <v>301502439</v>
      </c>
      <c r="D3831" s="29" t="s">
        <v>1813</v>
      </c>
      <c r="E3831" s="29"/>
      <c r="F3831" s="29" t="s">
        <v>97</v>
      </c>
      <c r="G3831" s="29" t="s">
        <v>961</v>
      </c>
      <c r="H3831" s="29" t="s">
        <v>38</v>
      </c>
      <c r="I3831" s="120">
        <v>45958</v>
      </c>
      <c r="J3831" s="120">
        <f>WORKDAY(I3831, 3)</f>
        <v>45961</v>
      </c>
      <c r="K3831" s="120">
        <v>45989</v>
      </c>
      <c r="L3831" s="120"/>
      <c r="M3831" s="120"/>
      <c r="N3831" s="29"/>
      <c r="O3831" s="29" t="s">
        <v>1094</v>
      </c>
      <c r="P3831" s="29"/>
      <c r="Q3831" s="156"/>
    </row>
    <row r="3832" spans="1:18" hidden="1">
      <c r="A3832" s="160" t="s">
        <v>1065</v>
      </c>
      <c r="B3832" s="160"/>
      <c r="C3832" s="88">
        <v>301502479</v>
      </c>
      <c r="D3832" s="29">
        <v>275500436</v>
      </c>
      <c r="E3832" s="29"/>
      <c r="F3832" s="29" t="s">
        <v>97</v>
      </c>
      <c r="G3832" s="29" t="s">
        <v>961</v>
      </c>
      <c r="H3832" s="29" t="s">
        <v>38</v>
      </c>
      <c r="I3832" s="120">
        <v>45958</v>
      </c>
      <c r="J3832" s="120">
        <f>WORKDAY(I3832, 3)</f>
        <v>45961</v>
      </c>
      <c r="K3832" s="120">
        <v>45989</v>
      </c>
      <c r="L3832" s="120"/>
      <c r="M3832" s="120"/>
      <c r="N3832" s="29"/>
      <c r="O3832" s="29" t="s">
        <v>1094</v>
      </c>
      <c r="P3832" s="120"/>
      <c r="Q3832" s="156"/>
    </row>
    <row r="3833" spans="1:18" hidden="1">
      <c r="A3833" s="160" t="s">
        <v>1065</v>
      </c>
      <c r="B3833" s="160"/>
      <c r="C3833" s="88">
        <v>301502503</v>
      </c>
      <c r="D3833" s="29">
        <v>253501777</v>
      </c>
      <c r="E3833" s="29"/>
      <c r="F3833" s="29" t="s">
        <v>97</v>
      </c>
      <c r="G3833" s="29" t="s">
        <v>961</v>
      </c>
      <c r="H3833" s="29" t="s">
        <v>38</v>
      </c>
      <c r="I3833" s="120">
        <v>45958</v>
      </c>
      <c r="J3833" s="120">
        <f>WORKDAY(I3833, 3)</f>
        <v>45961</v>
      </c>
      <c r="K3833" s="120">
        <v>45989</v>
      </c>
      <c r="L3833" s="120"/>
      <c r="M3833" s="120"/>
      <c r="N3833" s="29"/>
      <c r="O3833" s="29" t="s">
        <v>1094</v>
      </c>
      <c r="P3833" s="120"/>
      <c r="Q3833" s="156"/>
    </row>
    <row r="3834" spans="1:18" hidden="1">
      <c r="A3834" s="160" t="s">
        <v>1058</v>
      </c>
      <c r="B3834" s="160"/>
      <c r="C3834" s="88">
        <v>303501570</v>
      </c>
      <c r="D3834" s="29"/>
      <c r="E3834" s="29"/>
      <c r="F3834" s="29" t="s">
        <v>97</v>
      </c>
      <c r="G3834" s="29" t="s">
        <v>961</v>
      </c>
      <c r="H3834" s="29" t="s">
        <v>38</v>
      </c>
      <c r="I3834" s="120">
        <v>45960</v>
      </c>
      <c r="J3834" s="120">
        <f>WORKDAY(I3834, 3)</f>
        <v>45965</v>
      </c>
      <c r="K3834" s="120">
        <v>45991</v>
      </c>
      <c r="L3834" s="120"/>
      <c r="M3834" s="120"/>
      <c r="N3834" s="29"/>
      <c r="O3834" s="29" t="s">
        <v>1094</v>
      </c>
      <c r="P3834" s="120"/>
      <c r="Q3834" s="156"/>
      <c r="R3834" s="134" t="s">
        <v>1814</v>
      </c>
    </row>
    <row r="3835" spans="1:18" hidden="1">
      <c r="A3835" s="160" t="s">
        <v>1056</v>
      </c>
      <c r="B3835" s="160"/>
      <c r="C3835" s="88">
        <v>303501909</v>
      </c>
      <c r="D3835" s="29"/>
      <c r="E3835" s="29"/>
      <c r="F3835" s="29" t="s">
        <v>97</v>
      </c>
      <c r="G3835" s="29" t="s">
        <v>961</v>
      </c>
      <c r="H3835" s="29" t="s">
        <v>38</v>
      </c>
      <c r="I3835" s="120">
        <v>45960</v>
      </c>
      <c r="J3835" s="120">
        <f>WORKDAY(I3835, 3)</f>
        <v>45965</v>
      </c>
      <c r="K3835" s="120">
        <v>45991</v>
      </c>
      <c r="L3835" s="120"/>
      <c r="M3835" s="120"/>
      <c r="N3835" s="29"/>
      <c r="O3835" s="29" t="s">
        <v>1094</v>
      </c>
      <c r="P3835" s="29"/>
      <c r="Q3835" s="156">
        <v>100</v>
      </c>
      <c r="R3835" s="134" t="s">
        <v>1815</v>
      </c>
    </row>
    <row r="3836" spans="1:18" hidden="1">
      <c r="A3836" s="160" t="s">
        <v>1056</v>
      </c>
      <c r="B3836" s="160"/>
      <c r="C3836" s="88">
        <v>303501924</v>
      </c>
      <c r="D3836" s="29"/>
      <c r="E3836" s="29"/>
      <c r="F3836" s="29" t="s">
        <v>97</v>
      </c>
      <c r="G3836" s="29" t="s">
        <v>961</v>
      </c>
      <c r="H3836" s="29" t="s">
        <v>38</v>
      </c>
      <c r="I3836" s="120">
        <v>45960</v>
      </c>
      <c r="J3836" s="120">
        <f>WORKDAY(I3836, 3)</f>
        <v>45965</v>
      </c>
      <c r="K3836" s="120">
        <v>45991</v>
      </c>
      <c r="L3836" s="120"/>
      <c r="M3836" s="120"/>
      <c r="N3836" s="29"/>
      <c r="O3836" s="29" t="s">
        <v>1094</v>
      </c>
      <c r="P3836" s="29"/>
      <c r="Q3836" s="156">
        <v>100</v>
      </c>
      <c r="R3836" s="134" t="s">
        <v>1815</v>
      </c>
    </row>
    <row r="3837" spans="1:18" hidden="1">
      <c r="A3837" s="160" t="s">
        <v>1056</v>
      </c>
      <c r="B3837" s="160"/>
      <c r="C3837" s="88">
        <v>303501936</v>
      </c>
      <c r="D3837" s="29"/>
      <c r="E3837" s="29"/>
      <c r="F3837" s="29" t="s">
        <v>97</v>
      </c>
      <c r="G3837" s="29" t="s">
        <v>961</v>
      </c>
      <c r="H3837" s="29" t="s">
        <v>38</v>
      </c>
      <c r="I3837" s="120">
        <v>45960</v>
      </c>
      <c r="J3837" s="120">
        <f>WORKDAY(I3837, 3)</f>
        <v>45965</v>
      </c>
      <c r="K3837" s="120">
        <v>45991</v>
      </c>
      <c r="L3837" s="120"/>
      <c r="M3837" s="120"/>
      <c r="N3837" s="29"/>
      <c r="O3837" s="29" t="s">
        <v>1094</v>
      </c>
      <c r="P3837" s="29"/>
      <c r="Q3837" s="156">
        <v>200</v>
      </c>
      <c r="R3837" s="134" t="s">
        <v>1815</v>
      </c>
    </row>
    <row r="3838" spans="1:18" hidden="1">
      <c r="A3838" s="160" t="s">
        <v>1056</v>
      </c>
      <c r="B3838" s="160"/>
      <c r="C3838" s="88">
        <v>303501965</v>
      </c>
      <c r="D3838" s="29"/>
      <c r="E3838" s="29"/>
      <c r="F3838" s="29" t="s">
        <v>97</v>
      </c>
      <c r="G3838" s="29" t="s">
        <v>961</v>
      </c>
      <c r="H3838" s="29" t="s">
        <v>38</v>
      </c>
      <c r="I3838" s="120">
        <v>45960</v>
      </c>
      <c r="J3838" s="120">
        <f>WORKDAY(I3838, 3)</f>
        <v>45965</v>
      </c>
      <c r="K3838" s="120">
        <v>45991</v>
      </c>
      <c r="L3838" s="120"/>
      <c r="M3838" s="120"/>
      <c r="N3838" s="29"/>
      <c r="O3838" s="29" t="s">
        <v>1094</v>
      </c>
      <c r="P3838" s="29"/>
      <c r="Q3838" s="156">
        <v>150</v>
      </c>
      <c r="R3838" s="134" t="s">
        <v>1815</v>
      </c>
    </row>
    <row r="3839" spans="1:18" hidden="1">
      <c r="A3839" s="160" t="s">
        <v>1056</v>
      </c>
      <c r="B3839" s="160"/>
      <c r="C3839" s="88">
        <v>303501990</v>
      </c>
      <c r="D3839" s="29"/>
      <c r="E3839" s="29"/>
      <c r="F3839" s="29" t="s">
        <v>97</v>
      </c>
      <c r="G3839" s="29" t="s">
        <v>961</v>
      </c>
      <c r="H3839" s="29" t="s">
        <v>38</v>
      </c>
      <c r="I3839" s="120">
        <v>45960</v>
      </c>
      <c r="J3839" s="120">
        <f>WORKDAY(I3839, 3)</f>
        <v>45965</v>
      </c>
      <c r="K3839" s="120">
        <v>45991</v>
      </c>
      <c r="L3839" s="120"/>
      <c r="M3839" s="120"/>
      <c r="N3839" s="29"/>
      <c r="O3839" s="29" t="s">
        <v>1094</v>
      </c>
      <c r="P3839" s="29"/>
      <c r="Q3839" s="156">
        <v>150</v>
      </c>
      <c r="R3839" s="134" t="s">
        <v>1815</v>
      </c>
    </row>
    <row r="3840" spans="1:18" hidden="1">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hidden="1">
      <c r="A3841" s="160" t="s">
        <v>980</v>
      </c>
      <c r="B3841" s="160"/>
      <c r="C3841" s="88">
        <v>304500731</v>
      </c>
      <c r="D3841" s="29"/>
      <c r="E3841" s="29"/>
      <c r="F3841" s="29" t="s">
        <v>97</v>
      </c>
      <c r="G3841" s="29" t="s">
        <v>961</v>
      </c>
      <c r="H3841" s="29" t="s">
        <v>38</v>
      </c>
      <c r="I3841" s="120">
        <v>45961</v>
      </c>
      <c r="J3841" s="120">
        <f>WORKDAY(I3841, 3)</f>
        <v>45966</v>
      </c>
      <c r="K3841" s="120">
        <v>45992</v>
      </c>
      <c r="L3841" s="120"/>
      <c r="M3841" s="120"/>
      <c r="N3841" s="29"/>
      <c r="O3841" s="29" t="s">
        <v>1094</v>
      </c>
      <c r="P3841" s="29"/>
      <c r="Q3841" s="156"/>
    </row>
    <row r="3842" spans="1:17" hidden="1">
      <c r="A3842" s="160" t="s">
        <v>980</v>
      </c>
      <c r="B3842" s="160"/>
      <c r="C3842" s="88">
        <v>304500752</v>
      </c>
      <c r="D3842" s="29"/>
      <c r="E3842" s="29"/>
      <c r="F3842" s="29" t="s">
        <v>97</v>
      </c>
      <c r="G3842" s="29" t="s">
        <v>961</v>
      </c>
      <c r="H3842" s="29" t="s">
        <v>38</v>
      </c>
      <c r="I3842" s="120">
        <v>45961</v>
      </c>
      <c r="J3842" s="120">
        <f>WORKDAY(I3842, 3)</f>
        <v>45966</v>
      </c>
      <c r="K3842" s="120">
        <v>45992</v>
      </c>
      <c r="L3842" s="120"/>
      <c r="M3842" s="120"/>
      <c r="N3842" s="29"/>
      <c r="O3842" s="29" t="s">
        <v>1094</v>
      </c>
      <c r="P3842" s="29"/>
      <c r="Q3842" s="156"/>
    </row>
    <row r="3843" spans="1:17" hidden="1">
      <c r="A3843" s="160" t="s">
        <v>980</v>
      </c>
      <c r="B3843" s="160"/>
      <c r="C3843" s="88">
        <v>304500773</v>
      </c>
      <c r="D3843" s="29"/>
      <c r="E3843" s="29"/>
      <c r="F3843" s="29" t="s">
        <v>97</v>
      </c>
      <c r="G3843" s="29" t="s">
        <v>961</v>
      </c>
      <c r="H3843" s="29" t="s">
        <v>38</v>
      </c>
      <c r="I3843" s="120">
        <v>45961</v>
      </c>
      <c r="J3843" s="120">
        <f>WORKDAY(I3843, 3)</f>
        <v>45966</v>
      </c>
      <c r="K3843" s="120">
        <v>45992</v>
      </c>
      <c r="L3843" s="120"/>
      <c r="M3843" s="120"/>
      <c r="N3843" s="29"/>
      <c r="O3843" s="29" t="s">
        <v>1094</v>
      </c>
      <c r="P3843" s="29"/>
      <c r="Q3843" s="156"/>
    </row>
    <row r="3844" spans="1:17" hidden="1">
      <c r="A3844" s="160" t="s">
        <v>980</v>
      </c>
      <c r="B3844" s="160"/>
      <c r="C3844" s="88">
        <v>304500709</v>
      </c>
      <c r="D3844" s="29"/>
      <c r="E3844" s="29"/>
      <c r="F3844" s="29" t="s">
        <v>97</v>
      </c>
      <c r="G3844" s="29" t="s">
        <v>961</v>
      </c>
      <c r="H3844" s="29" t="s">
        <v>38</v>
      </c>
      <c r="I3844" s="120">
        <v>45961</v>
      </c>
      <c r="J3844" s="120">
        <f>WORKDAY(I3844, 3)</f>
        <v>45966</v>
      </c>
      <c r="K3844" s="120">
        <v>45992</v>
      </c>
      <c r="L3844" s="120"/>
      <c r="M3844" s="120"/>
      <c r="N3844" s="29"/>
      <c r="O3844" s="29" t="s">
        <v>1094</v>
      </c>
      <c r="P3844" s="29"/>
      <c r="Q3844" s="156"/>
    </row>
    <row r="3845" spans="1:17" hidden="1">
      <c r="A3845" s="160" t="s">
        <v>980</v>
      </c>
      <c r="B3845" s="160"/>
      <c r="C3845" s="88">
        <v>304500694</v>
      </c>
      <c r="D3845" s="29"/>
      <c r="E3845" s="29"/>
      <c r="F3845" s="29" t="s">
        <v>97</v>
      </c>
      <c r="G3845" s="29" t="s">
        <v>961</v>
      </c>
      <c r="H3845" s="29" t="s">
        <v>38</v>
      </c>
      <c r="I3845" s="120">
        <v>45961</v>
      </c>
      <c r="J3845" s="120">
        <f>WORKDAY(I3845, 3)</f>
        <v>45966</v>
      </c>
      <c r="K3845" s="120">
        <v>45992</v>
      </c>
      <c r="L3845" s="120"/>
      <c r="M3845" s="120"/>
      <c r="N3845" s="29"/>
      <c r="O3845" s="29" t="s">
        <v>1094</v>
      </c>
      <c r="P3845" s="29"/>
      <c r="Q3845" s="156"/>
    </row>
    <row r="3846" spans="1:17" hidden="1">
      <c r="A3846" s="160" t="s">
        <v>1816</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884</v>
      </c>
      <c r="P3846" s="120"/>
      <c r="Q3846" s="156">
        <v>1150</v>
      </c>
    </row>
    <row r="3847" spans="1:17" hidden="1">
      <c r="A3847" s="160" t="s">
        <v>1816</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hidden="1">
      <c r="A3848" s="160" t="s">
        <v>1816</v>
      </c>
      <c r="B3848" s="160"/>
      <c r="C3848" s="88">
        <v>300502769</v>
      </c>
      <c r="D3848" s="29"/>
      <c r="E3848" s="29"/>
      <c r="F3848" s="29" t="s">
        <v>97</v>
      </c>
      <c r="G3848" s="29" t="s">
        <v>744</v>
      </c>
      <c r="H3848" s="29" t="s">
        <v>38</v>
      </c>
      <c r="I3848" s="120">
        <v>45957</v>
      </c>
      <c r="J3848" s="120">
        <f>WORKDAY(I3848, 3)</f>
        <v>45960</v>
      </c>
      <c r="K3848" s="29"/>
      <c r="L3848" s="29"/>
      <c r="M3848" s="29"/>
      <c r="N3848" s="29"/>
      <c r="O3848" s="29" t="s">
        <v>1094</v>
      </c>
      <c r="P3848" s="120"/>
      <c r="Q3848" s="156"/>
    </row>
    <row r="3849" spans="1:17">
      <c r="A3849" s="160" t="s">
        <v>1817</v>
      </c>
      <c r="B3849" s="160"/>
      <c r="C3849" s="41" t="s">
        <v>1818</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1821</v>
      </c>
      <c r="B3851" s="160"/>
      <c r="C3851" s="41" t="s">
        <v>1822</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1821</v>
      </c>
      <c r="B3852" s="160"/>
      <c r="C3852" s="88" t="s">
        <v>1823</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1821</v>
      </c>
      <c r="B3853" s="160"/>
      <c r="C3853" s="88" t="s">
        <v>1824</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1821</v>
      </c>
      <c r="B3854" s="160"/>
      <c r="C3854" s="88" t="s">
        <v>1825</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1821</v>
      </c>
      <c r="B3855" s="160"/>
      <c r="C3855" s="88" t="s">
        <v>1826</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1821</v>
      </c>
      <c r="B3856" s="160"/>
      <c r="C3856" s="88" t="s">
        <v>1827</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1821</v>
      </c>
      <c r="B3857" s="160"/>
      <c r="C3857" s="88" t="s">
        <v>1828</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1821</v>
      </c>
      <c r="B3858" s="160"/>
      <c r="C3858" s="88" t="s">
        <v>1829</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1821</v>
      </c>
      <c r="B3859" s="160"/>
      <c r="C3859" s="88" t="s">
        <v>1830</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1821</v>
      </c>
      <c r="B3860" s="160"/>
      <c r="C3860" s="88" t="s">
        <v>1831</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1821</v>
      </c>
      <c r="B3861" s="160"/>
      <c r="C3861" s="88" t="s">
        <v>1832</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1821</v>
      </c>
      <c r="B3862" s="160"/>
      <c r="C3862" s="88" t="s">
        <v>1833</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1821</v>
      </c>
      <c r="B3863" s="160"/>
      <c r="C3863" s="88" t="s">
        <v>1834</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1821</v>
      </c>
      <c r="B3864" s="160"/>
      <c r="C3864" s="88" t="s">
        <v>1835</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1821</v>
      </c>
      <c r="B3865" s="160"/>
      <c r="C3865" s="88" t="s">
        <v>1836</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1821</v>
      </c>
      <c r="B3866" s="160"/>
      <c r="C3866" s="88" t="s">
        <v>1837</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1821</v>
      </c>
      <c r="B3867" s="160"/>
      <c r="C3867" s="88" t="s">
        <v>1838</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1821</v>
      </c>
      <c r="B3868" s="160"/>
      <c r="C3868" s="88" t="s">
        <v>1839</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1821</v>
      </c>
      <c r="B3869" s="160"/>
      <c r="C3869" s="88" t="s">
        <v>1840</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1821</v>
      </c>
      <c r="B3870" s="160"/>
      <c r="C3870" s="88" t="s">
        <v>1841</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1821</v>
      </c>
      <c r="B3871" s="160"/>
      <c r="C3871" s="88" t="s">
        <v>1842</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1821</v>
      </c>
      <c r="B3872" s="160"/>
      <c r="C3872" s="88" t="s">
        <v>1843</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1844</v>
      </c>
      <c r="B3873" s="160"/>
      <c r="C3873" s="88" t="s">
        <v>1845</v>
      </c>
      <c r="D3873" s="29"/>
      <c r="E3873" s="29"/>
      <c r="F3873" s="29" t="s">
        <v>180</v>
      </c>
      <c r="G3873" s="29" t="s">
        <v>19</v>
      </c>
      <c r="H3873" s="29" t="s">
        <v>30</v>
      </c>
      <c r="I3873" s="120">
        <v>46097</v>
      </c>
      <c r="J3873" s="120">
        <v>46100</v>
      </c>
      <c r="K3873" s="120">
        <v>46127</v>
      </c>
      <c r="L3873" s="120"/>
      <c r="M3873" s="120"/>
      <c r="N3873" s="29"/>
      <c r="O3873" s="29" t="s">
        <v>884</v>
      </c>
      <c r="P3873" s="120"/>
      <c r="Q3873" s="156"/>
    </row>
    <row r="3874" spans="1:121">
      <c r="A3874" s="160" t="s">
        <v>1846</v>
      </c>
      <c r="B3874" s="160"/>
      <c r="C3874" s="88" t="s">
        <v>1847</v>
      </c>
      <c r="D3874" s="29"/>
      <c r="E3874" s="29"/>
      <c r="F3874" s="29" t="s">
        <v>180</v>
      </c>
      <c r="G3874" s="29" t="s">
        <v>19</v>
      </c>
      <c r="H3874" s="29" t="s">
        <v>30</v>
      </c>
      <c r="I3874" s="120">
        <v>46097</v>
      </c>
      <c r="J3874" s="120">
        <v>46100</v>
      </c>
      <c r="K3874" s="120">
        <v>46127</v>
      </c>
      <c r="L3874" s="120"/>
      <c r="M3874" s="120"/>
      <c r="N3874" s="29"/>
      <c r="O3874" s="29" t="s">
        <v>884</v>
      </c>
      <c r="P3874" s="120"/>
      <c r="Q3874" s="156"/>
    </row>
    <row r="3875" spans="1:121">
      <c r="A3875" s="160" t="s">
        <v>1817</v>
      </c>
      <c r="B3875" s="160"/>
      <c r="C3875" s="88" t="s">
        <v>1848</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180</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180</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180</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180</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179</v>
      </c>
      <c r="B3885" s="165"/>
      <c r="C3885" s="88">
        <v>112607528</v>
      </c>
      <c r="D3885" s="29"/>
      <c r="E3885" s="29"/>
      <c r="F3885" s="29" t="s">
        <v>144</v>
      </c>
      <c r="G3885" s="3" t="s">
        <v>116</v>
      </c>
      <c r="H3885" s="3" t="s">
        <v>145</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179</v>
      </c>
      <c r="B3886" s="165"/>
      <c r="C3886" s="88">
        <v>112607580</v>
      </c>
      <c r="D3886" s="29"/>
      <c r="E3886" s="29"/>
      <c r="F3886" s="29" t="s">
        <v>1867</v>
      </c>
      <c r="G3886" s="3" t="s">
        <v>116</v>
      </c>
      <c r="H3886" s="3" t="s">
        <v>145</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179</v>
      </c>
      <c r="B3887" s="165"/>
      <c r="C3887" s="88">
        <v>112607639</v>
      </c>
      <c r="D3887" s="29"/>
      <c r="E3887" s="29"/>
      <c r="F3887" s="29" t="s">
        <v>1868</v>
      </c>
      <c r="G3887" s="3" t="s">
        <v>116</v>
      </c>
      <c r="H3887" s="3" t="s">
        <v>145</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179</v>
      </c>
      <c r="B3888" s="165"/>
      <c r="C3888" s="88">
        <v>112607697</v>
      </c>
      <c r="D3888" s="29"/>
      <c r="E3888" s="29"/>
      <c r="F3888" s="29" t="s">
        <v>1869</v>
      </c>
      <c r="G3888" s="3" t="s">
        <v>116</v>
      </c>
      <c r="H3888" s="3" t="s">
        <v>145</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179</v>
      </c>
      <c r="B3889" s="165"/>
      <c r="C3889" s="88">
        <v>112607808</v>
      </c>
      <c r="D3889" s="29"/>
      <c r="E3889" s="29"/>
      <c r="F3889" s="29" t="s">
        <v>1870</v>
      </c>
      <c r="G3889" s="3" t="s">
        <v>116</v>
      </c>
      <c r="H3889" s="3" t="s">
        <v>145</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4"/>
      <c r="C3890" s="98" t="s">
        <v>1871</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4"/>
      <c r="C3891" s="98" t="s">
        <v>1872</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4"/>
      <c r="C3892" s="98" t="s">
        <v>1873</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4"/>
      <c r="C3893" s="98" t="s">
        <v>1874</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4"/>
      <c r="C3894" s="98" t="s">
        <v>1875</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4"/>
      <c r="C3895" s="98" t="s">
        <v>1876</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4"/>
      <c r="C3896" s="98" t="s">
        <v>1877</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4"/>
      <c r="C3897" s="98" t="s">
        <v>1878</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4"/>
      <c r="C3898" s="98" t="s">
        <v>1879</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4"/>
      <c r="C3899" s="98" t="s">
        <v>1880</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4"/>
      <c r="C3900" s="98" t="s">
        <v>1881</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144</v>
      </c>
      <c r="G3914" s="3" t="s">
        <v>116</v>
      </c>
      <c r="H3914" s="3" t="s">
        <v>145</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144</v>
      </c>
      <c r="G3915" s="3" t="s">
        <v>116</v>
      </c>
      <c r="H3915" s="3" t="s">
        <v>145</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144</v>
      </c>
      <c r="G3916" s="3" t="s">
        <v>116</v>
      </c>
      <c r="H3916" s="3" t="s">
        <v>145</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144</v>
      </c>
      <c r="G3917" s="3" t="s">
        <v>116</v>
      </c>
      <c r="H3917" s="3" t="s">
        <v>145</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144</v>
      </c>
      <c r="G3918" s="3" t="s">
        <v>116</v>
      </c>
      <c r="H3918" s="3" t="s">
        <v>145</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144</v>
      </c>
      <c r="G3919" s="3" t="s">
        <v>116</v>
      </c>
      <c r="H3919" s="3" t="s">
        <v>145</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144</v>
      </c>
      <c r="G3920" s="3" t="s">
        <v>16</v>
      </c>
      <c r="H3920" s="3" t="s">
        <v>145</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144</v>
      </c>
      <c r="G3921" s="3" t="s">
        <v>16</v>
      </c>
      <c r="H3921" s="3" t="s">
        <v>145</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144</v>
      </c>
      <c r="G3922" s="3" t="s">
        <v>16</v>
      </c>
      <c r="H3922" s="3" t="s">
        <v>145</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144</v>
      </c>
      <c r="G3923" s="3" t="s">
        <v>16</v>
      </c>
      <c r="H3923" s="3" t="s">
        <v>145</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144</v>
      </c>
      <c r="G3924" s="3" t="s">
        <v>16</v>
      </c>
      <c r="H3924" s="3" t="s">
        <v>145</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144</v>
      </c>
      <c r="G3925" s="3" t="s">
        <v>16</v>
      </c>
      <c r="H3925" s="3" t="s">
        <v>145</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144</v>
      </c>
      <c r="G3926" s="3" t="s">
        <v>16</v>
      </c>
      <c r="H3926" s="3" t="s">
        <v>145</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144</v>
      </c>
      <c r="G3927" s="3" t="s">
        <v>16</v>
      </c>
      <c r="H3927" s="3" t="s">
        <v>145</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144</v>
      </c>
      <c r="G3928" s="3" t="s">
        <v>16</v>
      </c>
      <c r="H3928" s="3" t="s">
        <v>145</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144</v>
      </c>
      <c r="G3929" s="3" t="s">
        <v>16</v>
      </c>
      <c r="H3929" s="3" t="s">
        <v>145</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144</v>
      </c>
      <c r="G3930" s="3" t="s">
        <v>16</v>
      </c>
      <c r="H3930" s="3" t="s">
        <v>145</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144</v>
      </c>
      <c r="G3931" s="3" t="s">
        <v>16</v>
      </c>
      <c r="H3931" s="3" t="s">
        <v>145</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144</v>
      </c>
      <c r="G3933" s="3" t="s">
        <v>16</v>
      </c>
      <c r="H3933" s="3" t="s">
        <v>145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144</v>
      </c>
      <c r="G3934" s="3" t="s">
        <v>16</v>
      </c>
      <c r="H3934" s="3" t="s">
        <v>145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144</v>
      </c>
      <c r="G3935" s="3" t="s">
        <v>16</v>
      </c>
      <c r="H3935" s="3" t="s">
        <v>145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144</v>
      </c>
      <c r="G3936" s="3" t="s">
        <v>16</v>
      </c>
      <c r="H3936" s="3" t="s">
        <v>145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144</v>
      </c>
      <c r="G3937" s="3" t="s">
        <v>16</v>
      </c>
      <c r="H3937" s="3" t="s">
        <v>145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144</v>
      </c>
      <c r="G3938" s="3" t="s">
        <v>16</v>
      </c>
      <c r="H3938" s="3" t="s">
        <v>145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144</v>
      </c>
      <c r="G3939" s="3" t="s">
        <v>16</v>
      </c>
      <c r="H3939" s="3" t="s">
        <v>145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144</v>
      </c>
      <c r="G3940" s="3" t="s">
        <v>16</v>
      </c>
      <c r="H3940" s="3" t="s">
        <v>145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144</v>
      </c>
      <c r="G3941" s="3" t="s">
        <v>16</v>
      </c>
      <c r="H3941" s="3" t="s">
        <v>145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144</v>
      </c>
      <c r="G3942" s="3" t="s">
        <v>116</v>
      </c>
      <c r="H3942" s="3" t="s">
        <v>145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144</v>
      </c>
      <c r="G3943" s="3" t="s">
        <v>116</v>
      </c>
      <c r="H3943" s="3" t="s">
        <v>145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144</v>
      </c>
      <c r="G3944" s="3" t="s">
        <v>116</v>
      </c>
      <c r="H3944" s="3" t="s">
        <v>145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144</v>
      </c>
      <c r="G3945" s="3" t="s">
        <v>116</v>
      </c>
      <c r="H3945" s="3" t="s">
        <v>145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144</v>
      </c>
      <c r="G3946" s="3" t="s">
        <v>116</v>
      </c>
      <c r="H3946" s="3" t="s">
        <v>145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144</v>
      </c>
      <c r="G3947" s="3" t="s">
        <v>116</v>
      </c>
      <c r="H3947" s="3" t="s">
        <v>145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144</v>
      </c>
      <c r="G3948" s="3" t="s">
        <v>116</v>
      </c>
      <c r="H3948" s="3" t="s">
        <v>145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181</v>
      </c>
      <c r="B3949" s="119"/>
      <c r="C3949" s="88">
        <v>125608875</v>
      </c>
      <c r="D3949" s="29" t="s">
        <v>170</v>
      </c>
      <c r="E3949" s="29" t="s">
        <v>170</v>
      </c>
      <c r="F3949" s="29" t="s">
        <v>180</v>
      </c>
      <c r="G3949" s="3" t="s">
        <v>19</v>
      </c>
      <c r="H3949" s="3" t="s">
        <v>30</v>
      </c>
      <c r="I3949" s="55">
        <v>46147</v>
      </c>
      <c r="J3949" s="55">
        <v>46149</v>
      </c>
      <c r="K3949" s="55">
        <v>46177</v>
      </c>
      <c r="L3949" s="55"/>
      <c r="M3949" s="55"/>
      <c r="N3949" s="41" t="s">
        <v>170</v>
      </c>
      <c r="O3949" s="64" t="s">
        <v>10</v>
      </c>
      <c r="P3949" s="42" t="s">
        <v>170</v>
      </c>
      <c r="Q3949" s="41">
        <v>105</v>
      </c>
      <c r="R3949" s="119" t="s">
        <v>170</v>
      </c>
      <c r="S3949" s="119" t="s">
        <v>170</v>
      </c>
      <c r="T3949" s="119" t="s">
        <v>170</v>
      </c>
      <c r="U3949" s="119" t="s">
        <v>170</v>
      </c>
      <c r="V3949" s="119" t="s">
        <v>170</v>
      </c>
      <c r="W3949" s="119" t="s">
        <v>170</v>
      </c>
      <c r="X3949" s="119" t="s">
        <v>170</v>
      </c>
      <c r="Y3949" s="119" t="s">
        <v>170</v>
      </c>
      <c r="Z3949" s="119" t="s">
        <v>170</v>
      </c>
      <c r="AA3949" s="119" t="s">
        <v>170</v>
      </c>
      <c r="AB3949" s="119" t="s">
        <v>170</v>
      </c>
      <c r="AC3949" s="119" t="s">
        <v>170</v>
      </c>
      <c r="AD3949" s="119" t="s">
        <v>170</v>
      </c>
      <c r="AE3949" s="119" t="s">
        <v>170</v>
      </c>
      <c r="AF3949" s="119" t="s">
        <v>170</v>
      </c>
      <c r="AG3949" s="119" t="s">
        <v>170</v>
      </c>
      <c r="AH3949" s="119" t="s">
        <v>170</v>
      </c>
      <c r="AI3949" s="119" t="s">
        <v>170</v>
      </c>
      <c r="AJ3949" s="119" t="s">
        <v>170</v>
      </c>
      <c r="AK3949" s="119" t="s">
        <v>170</v>
      </c>
      <c r="AL3949" s="119" t="s">
        <v>170</v>
      </c>
      <c r="AM3949" s="119" t="s">
        <v>170</v>
      </c>
      <c r="AN3949" s="119" t="s">
        <v>170</v>
      </c>
      <c r="AO3949" s="119" t="s">
        <v>170</v>
      </c>
      <c r="AP3949" s="119" t="s">
        <v>170</v>
      </c>
      <c r="AQ3949" s="119" t="s">
        <v>170</v>
      </c>
      <c r="AR3949" s="119" t="s">
        <v>170</v>
      </c>
      <c r="AS3949" s="119" t="s">
        <v>170</v>
      </c>
      <c r="AT3949" s="119" t="s">
        <v>170</v>
      </c>
      <c r="AU3949" s="119" t="s">
        <v>170</v>
      </c>
      <c r="AV3949" s="119" t="s">
        <v>170</v>
      </c>
      <c r="AW3949" s="119" t="s">
        <v>170</v>
      </c>
      <c r="AX3949" s="119" t="s">
        <v>170</v>
      </c>
      <c r="AY3949" s="119" t="s">
        <v>170</v>
      </c>
      <c r="AZ3949" s="119" t="s">
        <v>170</v>
      </c>
      <c r="BA3949" s="119" t="s">
        <v>170</v>
      </c>
      <c r="BB3949" s="119" t="s">
        <v>170</v>
      </c>
      <c r="BC3949" s="119" t="s">
        <v>170</v>
      </c>
      <c r="BD3949" s="119" t="s">
        <v>170</v>
      </c>
      <c r="BE3949" s="119" t="s">
        <v>170</v>
      </c>
      <c r="BF3949" s="119" t="s">
        <v>170</v>
      </c>
      <c r="BG3949" s="119" t="s">
        <v>170</v>
      </c>
      <c r="BH3949" s="119" t="s">
        <v>170</v>
      </c>
      <c r="BI3949" s="119" t="s">
        <v>170</v>
      </c>
      <c r="BJ3949" s="119" t="s">
        <v>170</v>
      </c>
      <c r="BK3949" s="119" t="s">
        <v>170</v>
      </c>
      <c r="BL3949" s="119" t="s">
        <v>170</v>
      </c>
      <c r="BM3949" s="119" t="s">
        <v>170</v>
      </c>
      <c r="BN3949" s="119" t="s">
        <v>170</v>
      </c>
      <c r="BO3949" s="119" t="s">
        <v>170</v>
      </c>
      <c r="BP3949" s="119" t="s">
        <v>170</v>
      </c>
      <c r="BQ3949" s="119" t="s">
        <v>170</v>
      </c>
      <c r="BR3949" s="119" t="s">
        <v>170</v>
      </c>
      <c r="BS3949" s="119" t="s">
        <v>170</v>
      </c>
      <c r="BT3949" s="119" t="s">
        <v>170</v>
      </c>
      <c r="BU3949" s="119" t="s">
        <v>170</v>
      </c>
      <c r="BV3949" s="119" t="s">
        <v>170</v>
      </c>
      <c r="BW3949" s="119" t="s">
        <v>170</v>
      </c>
      <c r="BX3949" s="119" t="s">
        <v>170</v>
      </c>
      <c r="BY3949" s="119" t="s">
        <v>170</v>
      </c>
      <c r="BZ3949" s="119" t="s">
        <v>170</v>
      </c>
      <c r="CA3949" s="119" t="s">
        <v>170</v>
      </c>
      <c r="CB3949" s="119" t="s">
        <v>170</v>
      </c>
      <c r="CC3949" s="119" t="s">
        <v>170</v>
      </c>
      <c r="CD3949" s="119" t="s">
        <v>170</v>
      </c>
      <c r="CE3949" s="119" t="s">
        <v>170</v>
      </c>
      <c r="CF3949" s="119" t="s">
        <v>170</v>
      </c>
      <c r="CG3949" s="119" t="s">
        <v>170</v>
      </c>
      <c r="CH3949" s="119" t="s">
        <v>170</v>
      </c>
      <c r="CI3949" s="119" t="s">
        <v>170</v>
      </c>
      <c r="CJ3949" s="119" t="s">
        <v>170</v>
      </c>
      <c r="CK3949" s="119" t="s">
        <v>170</v>
      </c>
      <c r="CL3949" s="119" t="s">
        <v>170</v>
      </c>
      <c r="CM3949" s="119" t="s">
        <v>170</v>
      </c>
      <c r="CN3949" s="119" t="s">
        <v>170</v>
      </c>
      <c r="CO3949" s="119" t="s">
        <v>170</v>
      </c>
      <c r="CP3949" s="119" t="s">
        <v>170</v>
      </c>
      <c r="CQ3949" s="119" t="s">
        <v>170</v>
      </c>
      <c r="CR3949" s="119" t="s">
        <v>170</v>
      </c>
      <c r="CS3949" s="119" t="s">
        <v>170</v>
      </c>
      <c r="CT3949" s="119" t="s">
        <v>170</v>
      </c>
      <c r="CU3949" s="119" t="s">
        <v>170</v>
      </c>
      <c r="CV3949" s="119" t="s">
        <v>170</v>
      </c>
      <c r="CW3949" s="119" t="s">
        <v>170</v>
      </c>
      <c r="CX3949" s="119" t="s">
        <v>170</v>
      </c>
      <c r="CY3949" s="119" t="s">
        <v>170</v>
      </c>
      <c r="CZ3949" s="119" t="s">
        <v>170</v>
      </c>
      <c r="DA3949" s="119" t="s">
        <v>170</v>
      </c>
      <c r="DB3949" s="119" t="s">
        <v>170</v>
      </c>
      <c r="DC3949" s="119" t="s">
        <v>170</v>
      </c>
      <c r="DD3949" s="119" t="s">
        <v>170</v>
      </c>
      <c r="DE3949" s="119" t="s">
        <v>170</v>
      </c>
      <c r="DF3949" s="119" t="s">
        <v>170</v>
      </c>
      <c r="DG3949" s="119" t="s">
        <v>170</v>
      </c>
      <c r="DH3949" s="119" t="s">
        <v>170</v>
      </c>
      <c r="DI3949" s="119" t="s">
        <v>170</v>
      </c>
      <c r="DJ3949" s="119" t="s">
        <v>170</v>
      </c>
      <c r="DK3949" s="119" t="s">
        <v>170</v>
      </c>
      <c r="DL3949" s="119" t="s">
        <v>170</v>
      </c>
      <c r="DM3949" s="119" t="s">
        <v>170</v>
      </c>
      <c r="DN3949" s="119" t="s">
        <v>170</v>
      </c>
      <c r="DO3949" s="119" t="s">
        <v>170</v>
      </c>
      <c r="DP3949" s="119" t="s">
        <v>170</v>
      </c>
      <c r="DQ3949" s="119" t="s">
        <v>170</v>
      </c>
    </row>
    <row r="3950" spans="1:121">
      <c r="A3950" s="171" t="s">
        <v>1900</v>
      </c>
      <c r="B3950" s="171"/>
      <c r="C3950" s="88">
        <v>121606970</v>
      </c>
      <c r="D3950" s="29"/>
      <c r="E3950" s="29"/>
      <c r="F3950" s="29" t="s">
        <v>180</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199</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199</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199</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199</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199</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116</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116</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116</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116</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116</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144</v>
      </c>
      <c r="G3962" s="3" t="s">
        <v>16</v>
      </c>
      <c r="H3962" s="3" t="s">
        <v>145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144</v>
      </c>
      <c r="G3963" s="3" t="s">
        <v>16</v>
      </c>
      <c r="H3963" s="3" t="s">
        <v>145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144</v>
      </c>
      <c r="G3964" s="3" t="s">
        <v>16</v>
      </c>
      <c r="H3964" s="3" t="s">
        <v>145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144</v>
      </c>
      <c r="G3965" s="3" t="s">
        <v>16</v>
      </c>
      <c r="H3965" s="3" t="s">
        <v>145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144</v>
      </c>
      <c r="G3966" s="3" t="s">
        <v>16</v>
      </c>
      <c r="H3966" s="3" t="s">
        <v>145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144</v>
      </c>
      <c r="G3967" s="3" t="s">
        <v>16</v>
      </c>
      <c r="H3967" s="3" t="s">
        <v>145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144</v>
      </c>
      <c r="G3968" s="3" t="s">
        <v>16</v>
      </c>
      <c r="H3968" s="3" t="s">
        <v>145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144</v>
      </c>
      <c r="G3969" s="3" t="s">
        <v>16</v>
      </c>
      <c r="H3969" s="3" t="s">
        <v>145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144</v>
      </c>
      <c r="G3970" s="3" t="s">
        <v>16</v>
      </c>
      <c r="H3970" s="3" t="s">
        <v>145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144</v>
      </c>
      <c r="G3971" s="3" t="s">
        <v>16</v>
      </c>
      <c r="H3971" s="3" t="s">
        <v>145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144</v>
      </c>
      <c r="G3972" s="3" t="s">
        <v>16</v>
      </c>
      <c r="H3972" s="3" t="s">
        <v>145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144</v>
      </c>
      <c r="G3973" s="3" t="s">
        <v>16</v>
      </c>
      <c r="H3973" s="3" t="s">
        <v>145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144</v>
      </c>
      <c r="G3974" s="3" t="s">
        <v>16</v>
      </c>
      <c r="H3974" s="3" t="s">
        <v>145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144</v>
      </c>
      <c r="G3975" s="3" t="s">
        <v>16</v>
      </c>
      <c r="H3975" s="3" t="s">
        <v>145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144</v>
      </c>
      <c r="G3976" s="3" t="s">
        <v>16</v>
      </c>
      <c r="H3976" s="3" t="s">
        <v>145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144</v>
      </c>
      <c r="G3977" s="3" t="s">
        <v>16</v>
      </c>
      <c r="H3977" s="3" t="s">
        <v>145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144</v>
      </c>
      <c r="G3978" s="3" t="s">
        <v>16</v>
      </c>
      <c r="H3978" s="3" t="s">
        <v>145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144</v>
      </c>
      <c r="G3979" s="3" t="s">
        <v>16</v>
      </c>
      <c r="H3979" s="3" t="s">
        <v>145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144</v>
      </c>
      <c r="G3980" s="3" t="s">
        <v>16</v>
      </c>
      <c r="H3980" s="3" t="s">
        <v>145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144</v>
      </c>
      <c r="G3981" s="3" t="s">
        <v>16</v>
      </c>
      <c r="H3981" s="3" t="s">
        <v>145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144</v>
      </c>
      <c r="G3982" s="3" t="s">
        <v>16</v>
      </c>
      <c r="H3982" s="3" t="s">
        <v>145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144</v>
      </c>
      <c r="G3983" s="3" t="s">
        <v>16</v>
      </c>
      <c r="H3983" s="3" t="s">
        <v>145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144</v>
      </c>
      <c r="G3984" s="3" t="s">
        <v>16</v>
      </c>
      <c r="H3984" s="3" t="s">
        <v>145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144</v>
      </c>
      <c r="G3985" s="3" t="s">
        <v>16</v>
      </c>
      <c r="H3985" s="3" t="s">
        <v>145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144</v>
      </c>
      <c r="G3986" s="3" t="s">
        <v>16</v>
      </c>
      <c r="H3986" s="3" t="s">
        <v>145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144</v>
      </c>
      <c r="G3987" s="3" t="s">
        <v>16</v>
      </c>
      <c r="H3987" s="3" t="s">
        <v>145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144</v>
      </c>
      <c r="G3988" s="3" t="s">
        <v>16</v>
      </c>
      <c r="H3988" s="3" t="s">
        <v>145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144</v>
      </c>
      <c r="G3989" s="3" t="s">
        <v>16</v>
      </c>
      <c r="H3989" s="3" t="s">
        <v>145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144</v>
      </c>
      <c r="G3990" s="3" t="s">
        <v>16</v>
      </c>
      <c r="H3990" s="3" t="s">
        <v>145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144</v>
      </c>
      <c r="G3991" s="3" t="s">
        <v>16</v>
      </c>
      <c r="H3991" s="3" t="s">
        <v>145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144</v>
      </c>
      <c r="G3992" s="3" t="s">
        <v>16</v>
      </c>
      <c r="H3992" s="3" t="s">
        <v>145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144</v>
      </c>
      <c r="G3994" s="3" t="s">
        <v>16</v>
      </c>
      <c r="H3994" s="3" t="s">
        <v>145</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144</v>
      </c>
      <c r="G3995" s="3" t="s">
        <v>16</v>
      </c>
      <c r="H3995" s="3" t="s">
        <v>145</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144</v>
      </c>
      <c r="G3996" s="3" t="s">
        <v>16</v>
      </c>
      <c r="H3996" s="3" t="s">
        <v>145</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199</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199</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199</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199</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199</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199</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199</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176</v>
      </c>
      <c r="B4004" s="173"/>
      <c r="C4004" s="88">
        <v>122600536</v>
      </c>
      <c r="D4004" s="29"/>
      <c r="E4004" s="29"/>
      <c r="F4004" s="29" t="s">
        <v>199</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176</v>
      </c>
      <c r="B4005" s="173"/>
      <c r="C4005" s="88">
        <v>122600538</v>
      </c>
      <c r="D4005" s="29"/>
      <c r="E4005" s="29"/>
      <c r="F4005" s="29" t="s">
        <v>199</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176</v>
      </c>
      <c r="B4006" s="173"/>
      <c r="C4006" s="88">
        <v>122600546</v>
      </c>
      <c r="D4006" s="29"/>
      <c r="E4006" s="29"/>
      <c r="F4006" s="29" t="s">
        <v>199</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176</v>
      </c>
      <c r="B4007" s="173"/>
      <c r="C4007" s="88">
        <v>122600549</v>
      </c>
      <c r="D4007" s="29"/>
      <c r="E4007" s="29"/>
      <c r="F4007" s="29" t="s">
        <v>199</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176</v>
      </c>
      <c r="B4008" s="173"/>
      <c r="C4008" s="88">
        <v>122600551</v>
      </c>
      <c r="D4008" s="29"/>
      <c r="E4008" s="29"/>
      <c r="F4008" s="29" t="s">
        <v>199</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176</v>
      </c>
      <c r="B4009" s="173"/>
      <c r="C4009" s="88">
        <v>122600553</v>
      </c>
      <c r="D4009" s="29"/>
      <c r="E4009" s="29"/>
      <c r="F4009" s="29" t="s">
        <v>199</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170</v>
      </c>
      <c r="E4034" s="29" t="s">
        <v>170</v>
      </c>
      <c r="F4034" s="29" t="s">
        <v>180</v>
      </c>
      <c r="G4034" s="3" t="s">
        <v>19</v>
      </c>
      <c r="H4034" s="3" t="s">
        <v>30</v>
      </c>
      <c r="I4034" s="55">
        <v>46147</v>
      </c>
      <c r="J4034" s="55">
        <v>46149</v>
      </c>
      <c r="K4034" s="55">
        <v>46177</v>
      </c>
      <c r="L4034" s="55"/>
      <c r="M4034" s="55"/>
      <c r="N4034" s="41" t="s">
        <v>170</v>
      </c>
      <c r="O4034" s="3" t="s">
        <v>10</v>
      </c>
      <c r="P4034" s="42">
        <v>46154</v>
      </c>
      <c r="Q4034" s="41">
        <v>470</v>
      </c>
      <c r="R4034" s="178" t="s">
        <v>170</v>
      </c>
      <c r="S4034" s="119" t="s">
        <v>170</v>
      </c>
      <c r="T4034" s="119" t="s">
        <v>170</v>
      </c>
      <c r="U4034" s="119" t="s">
        <v>170</v>
      </c>
      <c r="V4034" s="119" t="s">
        <v>170</v>
      </c>
      <c r="W4034" s="119" t="s">
        <v>170</v>
      </c>
      <c r="X4034" s="119" t="s">
        <v>170</v>
      </c>
      <c r="Y4034" s="119" t="s">
        <v>170</v>
      </c>
      <c r="Z4034" s="119" t="s">
        <v>170</v>
      </c>
      <c r="AA4034" s="119" t="s">
        <v>170</v>
      </c>
      <c r="AB4034" s="119" t="s">
        <v>170</v>
      </c>
      <c r="AC4034" s="119" t="s">
        <v>170</v>
      </c>
      <c r="AD4034" s="119" t="s">
        <v>170</v>
      </c>
      <c r="AE4034" s="119" t="s">
        <v>170</v>
      </c>
      <c r="AF4034" s="119" t="s">
        <v>170</v>
      </c>
      <c r="AG4034" s="119" t="s">
        <v>170</v>
      </c>
      <c r="AH4034" s="119" t="s">
        <v>170</v>
      </c>
      <c r="AI4034" s="119" t="s">
        <v>170</v>
      </c>
      <c r="AJ4034" s="119" t="s">
        <v>170</v>
      </c>
      <c r="AK4034" s="119" t="s">
        <v>170</v>
      </c>
      <c r="AL4034" s="119" t="s">
        <v>170</v>
      </c>
      <c r="AM4034" s="119" t="s">
        <v>170</v>
      </c>
      <c r="AN4034" s="119" t="s">
        <v>170</v>
      </c>
      <c r="AO4034" s="119" t="s">
        <v>170</v>
      </c>
      <c r="AP4034" s="119" t="s">
        <v>170</v>
      </c>
      <c r="AQ4034" s="119" t="s">
        <v>170</v>
      </c>
      <c r="AR4034" s="119" t="s">
        <v>170</v>
      </c>
      <c r="AS4034" s="119" t="s">
        <v>170</v>
      </c>
      <c r="AT4034" s="119" t="s">
        <v>170</v>
      </c>
      <c r="AU4034" s="119" t="s">
        <v>170</v>
      </c>
      <c r="AV4034" s="119" t="s">
        <v>170</v>
      </c>
      <c r="AW4034" s="119" t="s">
        <v>170</v>
      </c>
      <c r="AX4034" s="119" t="s">
        <v>170</v>
      </c>
      <c r="AY4034" s="119" t="s">
        <v>170</v>
      </c>
      <c r="AZ4034" s="119" t="s">
        <v>170</v>
      </c>
      <c r="BA4034" s="119" t="s">
        <v>170</v>
      </c>
      <c r="BB4034" s="119" t="s">
        <v>170</v>
      </c>
      <c r="BC4034" s="119" t="s">
        <v>170</v>
      </c>
      <c r="BD4034" s="119" t="s">
        <v>170</v>
      </c>
      <c r="BE4034" s="119" t="s">
        <v>170</v>
      </c>
      <c r="BF4034" s="119" t="s">
        <v>170</v>
      </c>
      <c r="BG4034" s="119" t="s">
        <v>170</v>
      </c>
      <c r="BH4034" s="119" t="s">
        <v>170</v>
      </c>
      <c r="BI4034" s="119" t="s">
        <v>170</v>
      </c>
      <c r="BJ4034" s="119" t="s">
        <v>170</v>
      </c>
      <c r="BK4034" s="119" t="s">
        <v>170</v>
      </c>
      <c r="BL4034" s="119" t="s">
        <v>170</v>
      </c>
      <c r="BM4034" s="119" t="s">
        <v>170</v>
      </c>
      <c r="BN4034" s="119" t="s">
        <v>170</v>
      </c>
      <c r="BO4034" s="119" t="s">
        <v>170</v>
      </c>
      <c r="BP4034" s="119" t="s">
        <v>170</v>
      </c>
      <c r="BQ4034" s="119" t="s">
        <v>170</v>
      </c>
      <c r="BR4034" s="119" t="s">
        <v>170</v>
      </c>
      <c r="BS4034" s="119" t="s">
        <v>170</v>
      </c>
      <c r="BT4034" s="119" t="s">
        <v>170</v>
      </c>
      <c r="BU4034" s="119" t="s">
        <v>170</v>
      </c>
      <c r="BV4034" s="119" t="s">
        <v>170</v>
      </c>
      <c r="BW4034" s="119" t="s">
        <v>170</v>
      </c>
      <c r="BX4034" s="119" t="s">
        <v>170</v>
      </c>
      <c r="BY4034" s="119" t="s">
        <v>170</v>
      </c>
      <c r="BZ4034" s="119" t="s">
        <v>170</v>
      </c>
      <c r="CA4034" s="119" t="s">
        <v>170</v>
      </c>
      <c r="CB4034" s="119" t="s">
        <v>170</v>
      </c>
      <c r="CC4034" s="119" t="s">
        <v>170</v>
      </c>
      <c r="CD4034" s="119" t="s">
        <v>170</v>
      </c>
      <c r="CE4034" s="119" t="s">
        <v>170</v>
      </c>
      <c r="CF4034" s="119" t="s">
        <v>170</v>
      </c>
      <c r="CG4034" s="119" t="s">
        <v>170</v>
      </c>
      <c r="CH4034" s="119" t="s">
        <v>170</v>
      </c>
      <c r="CI4034" s="119" t="s">
        <v>170</v>
      </c>
      <c r="CJ4034" s="119" t="s">
        <v>170</v>
      </c>
      <c r="CK4034" s="119" t="s">
        <v>170</v>
      </c>
      <c r="CL4034" s="119" t="s">
        <v>170</v>
      </c>
      <c r="CM4034" s="119" t="s">
        <v>170</v>
      </c>
      <c r="CN4034" s="119" t="s">
        <v>170</v>
      </c>
      <c r="CO4034" s="119" t="s">
        <v>170</v>
      </c>
      <c r="CP4034" s="119" t="s">
        <v>170</v>
      </c>
      <c r="CQ4034" s="119" t="s">
        <v>170</v>
      </c>
      <c r="CR4034" s="119" t="s">
        <v>170</v>
      </c>
      <c r="CS4034" s="119" t="s">
        <v>170</v>
      </c>
      <c r="CT4034" s="119" t="s">
        <v>170</v>
      </c>
      <c r="CU4034" s="119" t="s">
        <v>170</v>
      </c>
      <c r="CV4034" s="119" t="s">
        <v>170</v>
      </c>
      <c r="CW4034" s="119" t="s">
        <v>170</v>
      </c>
      <c r="CX4034" s="119" t="s">
        <v>170</v>
      </c>
      <c r="CY4034" s="119" t="s">
        <v>170</v>
      </c>
      <c r="CZ4034" s="119" t="s">
        <v>170</v>
      </c>
      <c r="DA4034" s="119" t="s">
        <v>170</v>
      </c>
      <c r="DB4034" s="119" t="s">
        <v>170</v>
      </c>
      <c r="DC4034" s="119" t="s">
        <v>170</v>
      </c>
      <c r="DD4034" s="119" t="s">
        <v>170</v>
      </c>
      <c r="DE4034" s="119" t="s">
        <v>170</v>
      </c>
      <c r="DF4034" s="119" t="s">
        <v>170</v>
      </c>
      <c r="DG4034" s="119" t="s">
        <v>170</v>
      </c>
      <c r="DH4034" s="119" t="s">
        <v>170</v>
      </c>
      <c r="DI4034" s="119" t="s">
        <v>170</v>
      </c>
      <c r="DJ4034" s="119" t="s">
        <v>170</v>
      </c>
      <c r="DK4034" s="119" t="s">
        <v>170</v>
      </c>
      <c r="DL4034" s="119" t="s">
        <v>170</v>
      </c>
      <c r="DM4034" s="119" t="s">
        <v>170</v>
      </c>
      <c r="DN4034" s="119" t="s">
        <v>170</v>
      </c>
      <c r="DO4034" s="119" t="s">
        <v>170</v>
      </c>
      <c r="DP4034" s="119" t="s">
        <v>170</v>
      </c>
      <c r="DQ4034" s="119" t="s">
        <v>170</v>
      </c>
    </row>
    <row r="4035" spans="1:121">
      <c r="A4035" s="175" t="s">
        <v>1916</v>
      </c>
      <c r="B4035" s="175"/>
      <c r="C4035" s="168">
        <v>124609927</v>
      </c>
      <c r="D4035" s="29" t="s">
        <v>170</v>
      </c>
      <c r="E4035" s="29" t="s">
        <v>170</v>
      </c>
      <c r="F4035" s="29" t="s">
        <v>180</v>
      </c>
      <c r="G4035" s="3" t="s">
        <v>19</v>
      </c>
      <c r="H4035" s="3" t="s">
        <v>30</v>
      </c>
      <c r="I4035" s="55">
        <v>46147</v>
      </c>
      <c r="J4035" s="55">
        <v>46149</v>
      </c>
      <c r="K4035" s="55">
        <v>46177</v>
      </c>
      <c r="L4035" s="55"/>
      <c r="M4035" s="55"/>
      <c r="N4035" s="41" t="s">
        <v>170</v>
      </c>
      <c r="O4035" s="3" t="s">
        <v>10</v>
      </c>
      <c r="P4035" s="42">
        <v>46154</v>
      </c>
      <c r="Q4035" s="41">
        <v>190</v>
      </c>
      <c r="R4035" s="178" t="s">
        <v>170</v>
      </c>
      <c r="S4035" s="119" t="s">
        <v>170</v>
      </c>
      <c r="T4035" s="119" t="s">
        <v>170</v>
      </c>
      <c r="U4035" s="119" t="s">
        <v>170</v>
      </c>
      <c r="V4035" s="119" t="s">
        <v>170</v>
      </c>
      <c r="W4035" s="119" t="s">
        <v>170</v>
      </c>
      <c r="X4035" s="119" t="s">
        <v>170</v>
      </c>
      <c r="Y4035" s="119" t="s">
        <v>170</v>
      </c>
      <c r="Z4035" s="119" t="s">
        <v>170</v>
      </c>
      <c r="AA4035" s="119" t="s">
        <v>170</v>
      </c>
      <c r="AB4035" s="119" t="s">
        <v>170</v>
      </c>
      <c r="AC4035" s="119" t="s">
        <v>170</v>
      </c>
      <c r="AD4035" s="119" t="s">
        <v>170</v>
      </c>
      <c r="AE4035" s="119" t="s">
        <v>170</v>
      </c>
      <c r="AF4035" s="119" t="s">
        <v>170</v>
      </c>
      <c r="AG4035" s="119" t="s">
        <v>170</v>
      </c>
      <c r="AH4035" s="119" t="s">
        <v>170</v>
      </c>
      <c r="AI4035" s="119" t="s">
        <v>170</v>
      </c>
      <c r="AJ4035" s="119" t="s">
        <v>170</v>
      </c>
      <c r="AK4035" s="119" t="s">
        <v>170</v>
      </c>
      <c r="AL4035" s="119" t="s">
        <v>170</v>
      </c>
      <c r="AM4035" s="119" t="s">
        <v>170</v>
      </c>
      <c r="AN4035" s="119" t="s">
        <v>170</v>
      </c>
      <c r="AO4035" s="119" t="s">
        <v>170</v>
      </c>
      <c r="AP4035" s="119" t="s">
        <v>170</v>
      </c>
      <c r="AQ4035" s="119" t="s">
        <v>170</v>
      </c>
      <c r="AR4035" s="119" t="s">
        <v>170</v>
      </c>
      <c r="AS4035" s="119" t="s">
        <v>170</v>
      </c>
      <c r="AT4035" s="119" t="s">
        <v>170</v>
      </c>
      <c r="AU4035" s="119" t="s">
        <v>170</v>
      </c>
      <c r="AV4035" s="119" t="s">
        <v>170</v>
      </c>
      <c r="AW4035" s="119" t="s">
        <v>170</v>
      </c>
      <c r="AX4035" s="119" t="s">
        <v>170</v>
      </c>
      <c r="AY4035" s="119" t="s">
        <v>170</v>
      </c>
      <c r="AZ4035" s="119" t="s">
        <v>170</v>
      </c>
      <c r="BA4035" s="119" t="s">
        <v>170</v>
      </c>
      <c r="BB4035" s="119" t="s">
        <v>170</v>
      </c>
      <c r="BC4035" s="119" t="s">
        <v>170</v>
      </c>
      <c r="BD4035" s="119" t="s">
        <v>170</v>
      </c>
      <c r="BE4035" s="119" t="s">
        <v>170</v>
      </c>
      <c r="BF4035" s="119" t="s">
        <v>170</v>
      </c>
      <c r="BG4035" s="119" t="s">
        <v>170</v>
      </c>
      <c r="BH4035" s="119" t="s">
        <v>170</v>
      </c>
      <c r="BI4035" s="119" t="s">
        <v>170</v>
      </c>
      <c r="BJ4035" s="119" t="s">
        <v>170</v>
      </c>
      <c r="BK4035" s="119" t="s">
        <v>170</v>
      </c>
      <c r="BL4035" s="119" t="s">
        <v>170</v>
      </c>
      <c r="BM4035" s="119" t="s">
        <v>170</v>
      </c>
      <c r="BN4035" s="119" t="s">
        <v>170</v>
      </c>
      <c r="BO4035" s="119" t="s">
        <v>170</v>
      </c>
      <c r="BP4035" s="119" t="s">
        <v>170</v>
      </c>
      <c r="BQ4035" s="119" t="s">
        <v>170</v>
      </c>
      <c r="BR4035" s="119" t="s">
        <v>170</v>
      </c>
      <c r="BS4035" s="119" t="s">
        <v>170</v>
      </c>
      <c r="BT4035" s="119" t="s">
        <v>170</v>
      </c>
      <c r="BU4035" s="119" t="s">
        <v>170</v>
      </c>
      <c r="BV4035" s="119" t="s">
        <v>170</v>
      </c>
      <c r="BW4035" s="119" t="s">
        <v>170</v>
      </c>
      <c r="BX4035" s="119" t="s">
        <v>170</v>
      </c>
      <c r="BY4035" s="119" t="s">
        <v>170</v>
      </c>
      <c r="BZ4035" s="119" t="s">
        <v>170</v>
      </c>
      <c r="CA4035" s="119" t="s">
        <v>170</v>
      </c>
      <c r="CB4035" s="119" t="s">
        <v>170</v>
      </c>
      <c r="CC4035" s="119" t="s">
        <v>170</v>
      </c>
      <c r="CD4035" s="119" t="s">
        <v>170</v>
      </c>
      <c r="CE4035" s="119" t="s">
        <v>170</v>
      </c>
      <c r="CF4035" s="119" t="s">
        <v>170</v>
      </c>
      <c r="CG4035" s="119" t="s">
        <v>170</v>
      </c>
      <c r="CH4035" s="119" t="s">
        <v>170</v>
      </c>
      <c r="CI4035" s="119" t="s">
        <v>170</v>
      </c>
      <c r="CJ4035" s="119" t="s">
        <v>170</v>
      </c>
      <c r="CK4035" s="119" t="s">
        <v>170</v>
      </c>
      <c r="CL4035" s="119" t="s">
        <v>170</v>
      </c>
      <c r="CM4035" s="119" t="s">
        <v>170</v>
      </c>
      <c r="CN4035" s="119" t="s">
        <v>170</v>
      </c>
      <c r="CO4035" s="119" t="s">
        <v>170</v>
      </c>
      <c r="CP4035" s="119" t="s">
        <v>170</v>
      </c>
      <c r="CQ4035" s="119" t="s">
        <v>170</v>
      </c>
      <c r="CR4035" s="119" t="s">
        <v>170</v>
      </c>
      <c r="CS4035" s="119" t="s">
        <v>170</v>
      </c>
      <c r="CT4035" s="119" t="s">
        <v>170</v>
      </c>
      <c r="CU4035" s="119" t="s">
        <v>170</v>
      </c>
      <c r="CV4035" s="119" t="s">
        <v>170</v>
      </c>
      <c r="CW4035" s="119" t="s">
        <v>170</v>
      </c>
      <c r="CX4035" s="119" t="s">
        <v>170</v>
      </c>
      <c r="CY4035" s="119" t="s">
        <v>170</v>
      </c>
      <c r="CZ4035" s="119" t="s">
        <v>170</v>
      </c>
      <c r="DA4035" s="119" t="s">
        <v>170</v>
      </c>
      <c r="DB4035" s="119" t="s">
        <v>170</v>
      </c>
      <c r="DC4035" s="119" t="s">
        <v>170</v>
      </c>
      <c r="DD4035" s="119" t="s">
        <v>170</v>
      </c>
      <c r="DE4035" s="119" t="s">
        <v>170</v>
      </c>
      <c r="DF4035" s="119" t="s">
        <v>170</v>
      </c>
      <c r="DG4035" s="119" t="s">
        <v>170</v>
      </c>
      <c r="DH4035" s="119" t="s">
        <v>170</v>
      </c>
      <c r="DI4035" s="119" t="s">
        <v>170</v>
      </c>
      <c r="DJ4035" s="119" t="s">
        <v>170</v>
      </c>
      <c r="DK4035" s="119" t="s">
        <v>170</v>
      </c>
      <c r="DL4035" s="119" t="s">
        <v>170</v>
      </c>
      <c r="DM4035" s="119" t="s">
        <v>170</v>
      </c>
      <c r="DN4035" s="119" t="s">
        <v>170</v>
      </c>
      <c r="DO4035" s="119" t="s">
        <v>170</v>
      </c>
      <c r="DP4035" s="119" t="s">
        <v>170</v>
      </c>
      <c r="DQ4035" s="119" t="s">
        <v>170</v>
      </c>
    </row>
    <row r="4036" spans="1:121">
      <c r="A4036" s="175" t="s">
        <v>1916</v>
      </c>
      <c r="B4036" s="175"/>
      <c r="C4036" s="168">
        <v>124609948</v>
      </c>
      <c r="D4036" s="29" t="s">
        <v>170</v>
      </c>
      <c r="E4036" s="29" t="s">
        <v>170</v>
      </c>
      <c r="F4036" s="29" t="s">
        <v>180</v>
      </c>
      <c r="G4036" s="3" t="s">
        <v>19</v>
      </c>
      <c r="H4036" s="3" t="s">
        <v>30</v>
      </c>
      <c r="I4036" s="55">
        <v>46147</v>
      </c>
      <c r="J4036" s="55">
        <v>46149</v>
      </c>
      <c r="K4036" s="55">
        <v>46177</v>
      </c>
      <c r="L4036" s="55"/>
      <c r="M4036" s="55"/>
      <c r="N4036" s="41" t="s">
        <v>170</v>
      </c>
      <c r="O4036" s="3" t="s">
        <v>10</v>
      </c>
      <c r="P4036" s="42">
        <v>46154</v>
      </c>
      <c r="Q4036" s="41">
        <v>40</v>
      </c>
      <c r="R4036" s="178" t="s">
        <v>170</v>
      </c>
      <c r="S4036" s="119" t="s">
        <v>170</v>
      </c>
      <c r="T4036" s="119" t="s">
        <v>170</v>
      </c>
      <c r="U4036" s="119" t="s">
        <v>170</v>
      </c>
      <c r="V4036" s="119" t="s">
        <v>170</v>
      </c>
      <c r="W4036" s="119" t="s">
        <v>170</v>
      </c>
      <c r="X4036" s="119" t="s">
        <v>170</v>
      </c>
      <c r="Y4036" s="119" t="s">
        <v>170</v>
      </c>
      <c r="Z4036" s="119" t="s">
        <v>170</v>
      </c>
      <c r="AA4036" s="119" t="s">
        <v>170</v>
      </c>
      <c r="AB4036" s="119" t="s">
        <v>170</v>
      </c>
      <c r="AC4036" s="119" t="s">
        <v>170</v>
      </c>
      <c r="AD4036" s="119" t="s">
        <v>170</v>
      </c>
      <c r="AE4036" s="119" t="s">
        <v>170</v>
      </c>
      <c r="AF4036" s="119" t="s">
        <v>170</v>
      </c>
      <c r="AG4036" s="119" t="s">
        <v>170</v>
      </c>
      <c r="AH4036" s="119" t="s">
        <v>170</v>
      </c>
      <c r="AI4036" s="119" t="s">
        <v>170</v>
      </c>
      <c r="AJ4036" s="119" t="s">
        <v>170</v>
      </c>
      <c r="AK4036" s="119" t="s">
        <v>170</v>
      </c>
      <c r="AL4036" s="119" t="s">
        <v>170</v>
      </c>
      <c r="AM4036" s="119" t="s">
        <v>170</v>
      </c>
      <c r="AN4036" s="119" t="s">
        <v>170</v>
      </c>
      <c r="AO4036" s="119" t="s">
        <v>170</v>
      </c>
      <c r="AP4036" s="119" t="s">
        <v>170</v>
      </c>
      <c r="AQ4036" s="119" t="s">
        <v>170</v>
      </c>
      <c r="AR4036" s="119" t="s">
        <v>170</v>
      </c>
      <c r="AS4036" s="119" t="s">
        <v>170</v>
      </c>
      <c r="AT4036" s="119" t="s">
        <v>170</v>
      </c>
      <c r="AU4036" s="119" t="s">
        <v>170</v>
      </c>
      <c r="AV4036" s="119" t="s">
        <v>170</v>
      </c>
      <c r="AW4036" s="119" t="s">
        <v>170</v>
      </c>
      <c r="AX4036" s="119" t="s">
        <v>170</v>
      </c>
      <c r="AY4036" s="119" t="s">
        <v>170</v>
      </c>
      <c r="AZ4036" s="119" t="s">
        <v>170</v>
      </c>
      <c r="BA4036" s="119" t="s">
        <v>170</v>
      </c>
      <c r="BB4036" s="119" t="s">
        <v>170</v>
      </c>
      <c r="BC4036" s="119" t="s">
        <v>170</v>
      </c>
      <c r="BD4036" s="119" t="s">
        <v>170</v>
      </c>
      <c r="BE4036" s="119" t="s">
        <v>170</v>
      </c>
      <c r="BF4036" s="119" t="s">
        <v>170</v>
      </c>
      <c r="BG4036" s="119" t="s">
        <v>170</v>
      </c>
      <c r="BH4036" s="119" t="s">
        <v>170</v>
      </c>
      <c r="BI4036" s="119" t="s">
        <v>170</v>
      </c>
      <c r="BJ4036" s="119" t="s">
        <v>170</v>
      </c>
      <c r="BK4036" s="119" t="s">
        <v>170</v>
      </c>
      <c r="BL4036" s="119" t="s">
        <v>170</v>
      </c>
      <c r="BM4036" s="119" t="s">
        <v>170</v>
      </c>
      <c r="BN4036" s="119" t="s">
        <v>170</v>
      </c>
      <c r="BO4036" s="119" t="s">
        <v>170</v>
      </c>
      <c r="BP4036" s="119" t="s">
        <v>170</v>
      </c>
      <c r="BQ4036" s="119" t="s">
        <v>170</v>
      </c>
      <c r="BR4036" s="119" t="s">
        <v>170</v>
      </c>
      <c r="BS4036" s="119" t="s">
        <v>170</v>
      </c>
      <c r="BT4036" s="119" t="s">
        <v>170</v>
      </c>
      <c r="BU4036" s="119" t="s">
        <v>170</v>
      </c>
      <c r="BV4036" s="119" t="s">
        <v>170</v>
      </c>
      <c r="BW4036" s="119" t="s">
        <v>170</v>
      </c>
      <c r="BX4036" s="119" t="s">
        <v>170</v>
      </c>
      <c r="BY4036" s="119" t="s">
        <v>170</v>
      </c>
      <c r="BZ4036" s="119" t="s">
        <v>170</v>
      </c>
      <c r="CA4036" s="119" t="s">
        <v>170</v>
      </c>
      <c r="CB4036" s="119" t="s">
        <v>170</v>
      </c>
      <c r="CC4036" s="119" t="s">
        <v>170</v>
      </c>
      <c r="CD4036" s="119" t="s">
        <v>170</v>
      </c>
      <c r="CE4036" s="119" t="s">
        <v>170</v>
      </c>
      <c r="CF4036" s="119" t="s">
        <v>170</v>
      </c>
      <c r="CG4036" s="119" t="s">
        <v>170</v>
      </c>
      <c r="CH4036" s="119" t="s">
        <v>170</v>
      </c>
      <c r="CI4036" s="119" t="s">
        <v>170</v>
      </c>
      <c r="CJ4036" s="119" t="s">
        <v>170</v>
      </c>
      <c r="CK4036" s="119" t="s">
        <v>170</v>
      </c>
      <c r="CL4036" s="119" t="s">
        <v>170</v>
      </c>
      <c r="CM4036" s="119" t="s">
        <v>170</v>
      </c>
      <c r="CN4036" s="119" t="s">
        <v>170</v>
      </c>
      <c r="CO4036" s="119" t="s">
        <v>170</v>
      </c>
      <c r="CP4036" s="119" t="s">
        <v>170</v>
      </c>
      <c r="CQ4036" s="119" t="s">
        <v>170</v>
      </c>
      <c r="CR4036" s="119" t="s">
        <v>170</v>
      </c>
      <c r="CS4036" s="119" t="s">
        <v>170</v>
      </c>
      <c r="CT4036" s="119" t="s">
        <v>170</v>
      </c>
      <c r="CU4036" s="119" t="s">
        <v>170</v>
      </c>
      <c r="CV4036" s="119" t="s">
        <v>170</v>
      </c>
      <c r="CW4036" s="119" t="s">
        <v>170</v>
      </c>
      <c r="CX4036" s="119" t="s">
        <v>170</v>
      </c>
      <c r="CY4036" s="119" t="s">
        <v>170</v>
      </c>
      <c r="CZ4036" s="119" t="s">
        <v>170</v>
      </c>
      <c r="DA4036" s="119" t="s">
        <v>170</v>
      </c>
      <c r="DB4036" s="119" t="s">
        <v>170</v>
      </c>
      <c r="DC4036" s="119" t="s">
        <v>170</v>
      </c>
      <c r="DD4036" s="119" t="s">
        <v>170</v>
      </c>
      <c r="DE4036" s="119" t="s">
        <v>170</v>
      </c>
      <c r="DF4036" s="119" t="s">
        <v>170</v>
      </c>
      <c r="DG4036" s="119" t="s">
        <v>170</v>
      </c>
      <c r="DH4036" s="119" t="s">
        <v>170</v>
      </c>
      <c r="DI4036" s="119" t="s">
        <v>170</v>
      </c>
      <c r="DJ4036" s="119" t="s">
        <v>170</v>
      </c>
      <c r="DK4036" s="119" t="s">
        <v>170</v>
      </c>
      <c r="DL4036" s="119" t="s">
        <v>170</v>
      </c>
      <c r="DM4036" s="119" t="s">
        <v>170</v>
      </c>
      <c r="DN4036" s="119" t="s">
        <v>170</v>
      </c>
      <c r="DO4036" s="119" t="s">
        <v>170</v>
      </c>
      <c r="DP4036" s="119" t="s">
        <v>170</v>
      </c>
      <c r="DQ4036" s="119" t="s">
        <v>170</v>
      </c>
    </row>
    <row r="4037" spans="1:121">
      <c r="A4037" s="175" t="s">
        <v>1916</v>
      </c>
      <c r="B4037" s="175"/>
      <c r="C4037" s="168">
        <v>124609821</v>
      </c>
      <c r="D4037" s="29" t="s">
        <v>170</v>
      </c>
      <c r="E4037" s="29" t="s">
        <v>170</v>
      </c>
      <c r="F4037" s="29" t="s">
        <v>180</v>
      </c>
      <c r="G4037" s="3" t="s">
        <v>19</v>
      </c>
      <c r="H4037" s="3" t="s">
        <v>30</v>
      </c>
      <c r="I4037" s="55">
        <v>46147</v>
      </c>
      <c r="J4037" s="55">
        <v>46149</v>
      </c>
      <c r="K4037" s="55">
        <v>46177</v>
      </c>
      <c r="L4037" s="55"/>
      <c r="M4037" s="55"/>
      <c r="N4037" s="41" t="s">
        <v>170</v>
      </c>
      <c r="O4037" s="41" t="s">
        <v>10</v>
      </c>
      <c r="P4037" s="42">
        <v>46174</v>
      </c>
      <c r="Q4037" s="41">
        <v>1050</v>
      </c>
      <c r="R4037" s="178" t="s">
        <v>170</v>
      </c>
      <c r="S4037" s="119" t="s">
        <v>170</v>
      </c>
      <c r="T4037" s="119" t="s">
        <v>170</v>
      </c>
      <c r="U4037" s="119" t="s">
        <v>170</v>
      </c>
      <c r="V4037" s="119" t="s">
        <v>170</v>
      </c>
      <c r="W4037" s="119" t="s">
        <v>170</v>
      </c>
      <c r="X4037" s="119" t="s">
        <v>170</v>
      </c>
      <c r="Y4037" s="119" t="s">
        <v>170</v>
      </c>
      <c r="Z4037" s="119" t="s">
        <v>170</v>
      </c>
      <c r="AA4037" s="119" t="s">
        <v>170</v>
      </c>
      <c r="AB4037" s="119" t="s">
        <v>170</v>
      </c>
      <c r="AC4037" s="119" t="s">
        <v>170</v>
      </c>
      <c r="AD4037" s="119" t="s">
        <v>170</v>
      </c>
      <c r="AE4037" s="119" t="s">
        <v>170</v>
      </c>
      <c r="AF4037" s="119" t="s">
        <v>170</v>
      </c>
      <c r="AG4037" s="119" t="s">
        <v>170</v>
      </c>
      <c r="AH4037" s="119" t="s">
        <v>170</v>
      </c>
      <c r="AI4037" s="119" t="s">
        <v>170</v>
      </c>
      <c r="AJ4037" s="119" t="s">
        <v>170</v>
      </c>
      <c r="AK4037" s="119" t="s">
        <v>170</v>
      </c>
      <c r="AL4037" s="119" t="s">
        <v>170</v>
      </c>
      <c r="AM4037" s="119" t="s">
        <v>170</v>
      </c>
      <c r="AN4037" s="119" t="s">
        <v>170</v>
      </c>
      <c r="AO4037" s="119" t="s">
        <v>170</v>
      </c>
      <c r="AP4037" s="119" t="s">
        <v>170</v>
      </c>
      <c r="AQ4037" s="119" t="s">
        <v>170</v>
      </c>
      <c r="AR4037" s="119" t="s">
        <v>170</v>
      </c>
      <c r="AS4037" s="119" t="s">
        <v>170</v>
      </c>
      <c r="AT4037" s="119" t="s">
        <v>170</v>
      </c>
      <c r="AU4037" s="119" t="s">
        <v>170</v>
      </c>
      <c r="AV4037" s="119" t="s">
        <v>170</v>
      </c>
      <c r="AW4037" s="119" t="s">
        <v>170</v>
      </c>
      <c r="AX4037" s="119" t="s">
        <v>170</v>
      </c>
      <c r="AY4037" s="119" t="s">
        <v>170</v>
      </c>
      <c r="AZ4037" s="119" t="s">
        <v>170</v>
      </c>
      <c r="BA4037" s="119" t="s">
        <v>170</v>
      </c>
      <c r="BB4037" s="119" t="s">
        <v>170</v>
      </c>
      <c r="BC4037" s="119" t="s">
        <v>170</v>
      </c>
      <c r="BD4037" s="119" t="s">
        <v>170</v>
      </c>
      <c r="BE4037" s="119" t="s">
        <v>170</v>
      </c>
      <c r="BF4037" s="119" t="s">
        <v>170</v>
      </c>
      <c r="BG4037" s="119" t="s">
        <v>170</v>
      </c>
      <c r="BH4037" s="119" t="s">
        <v>170</v>
      </c>
      <c r="BI4037" s="119" t="s">
        <v>170</v>
      </c>
      <c r="BJ4037" s="119" t="s">
        <v>170</v>
      </c>
      <c r="BK4037" s="119" t="s">
        <v>170</v>
      </c>
      <c r="BL4037" s="119" t="s">
        <v>170</v>
      </c>
      <c r="BM4037" s="119" t="s">
        <v>170</v>
      </c>
      <c r="BN4037" s="119" t="s">
        <v>170</v>
      </c>
      <c r="BO4037" s="119" t="s">
        <v>170</v>
      </c>
      <c r="BP4037" s="119" t="s">
        <v>170</v>
      </c>
      <c r="BQ4037" s="119" t="s">
        <v>170</v>
      </c>
      <c r="BR4037" s="119" t="s">
        <v>170</v>
      </c>
      <c r="BS4037" s="119" t="s">
        <v>170</v>
      </c>
      <c r="BT4037" s="119" t="s">
        <v>170</v>
      </c>
      <c r="BU4037" s="119" t="s">
        <v>170</v>
      </c>
      <c r="BV4037" s="119" t="s">
        <v>170</v>
      </c>
      <c r="BW4037" s="119" t="s">
        <v>170</v>
      </c>
      <c r="BX4037" s="119" t="s">
        <v>170</v>
      </c>
      <c r="BY4037" s="119" t="s">
        <v>170</v>
      </c>
      <c r="BZ4037" s="119" t="s">
        <v>170</v>
      </c>
      <c r="CA4037" s="119" t="s">
        <v>170</v>
      </c>
      <c r="CB4037" s="119" t="s">
        <v>170</v>
      </c>
      <c r="CC4037" s="119" t="s">
        <v>170</v>
      </c>
      <c r="CD4037" s="119" t="s">
        <v>170</v>
      </c>
      <c r="CE4037" s="119" t="s">
        <v>170</v>
      </c>
      <c r="CF4037" s="119" t="s">
        <v>170</v>
      </c>
      <c r="CG4037" s="119" t="s">
        <v>170</v>
      </c>
      <c r="CH4037" s="119" t="s">
        <v>170</v>
      </c>
      <c r="CI4037" s="119" t="s">
        <v>170</v>
      </c>
      <c r="CJ4037" s="119" t="s">
        <v>170</v>
      </c>
      <c r="CK4037" s="119" t="s">
        <v>170</v>
      </c>
      <c r="CL4037" s="119" t="s">
        <v>170</v>
      </c>
      <c r="CM4037" s="119" t="s">
        <v>170</v>
      </c>
      <c r="CN4037" s="119" t="s">
        <v>170</v>
      </c>
      <c r="CO4037" s="119" t="s">
        <v>170</v>
      </c>
      <c r="CP4037" s="119" t="s">
        <v>170</v>
      </c>
      <c r="CQ4037" s="119" t="s">
        <v>170</v>
      </c>
      <c r="CR4037" s="119" t="s">
        <v>170</v>
      </c>
      <c r="CS4037" s="119" t="s">
        <v>170</v>
      </c>
      <c r="CT4037" s="119" t="s">
        <v>170</v>
      </c>
      <c r="CU4037" s="119" t="s">
        <v>170</v>
      </c>
      <c r="CV4037" s="119" t="s">
        <v>170</v>
      </c>
      <c r="CW4037" s="119" t="s">
        <v>170</v>
      </c>
      <c r="CX4037" s="119" t="s">
        <v>170</v>
      </c>
      <c r="CY4037" s="119" t="s">
        <v>170</v>
      </c>
      <c r="CZ4037" s="119" t="s">
        <v>170</v>
      </c>
      <c r="DA4037" s="119" t="s">
        <v>170</v>
      </c>
      <c r="DB4037" s="119" t="s">
        <v>170</v>
      </c>
      <c r="DC4037" s="119" t="s">
        <v>170</v>
      </c>
      <c r="DD4037" s="119" t="s">
        <v>170</v>
      </c>
      <c r="DE4037" s="119" t="s">
        <v>170</v>
      </c>
      <c r="DF4037" s="119" t="s">
        <v>170</v>
      </c>
      <c r="DG4037" s="119" t="s">
        <v>170</v>
      </c>
      <c r="DH4037" s="119" t="s">
        <v>170</v>
      </c>
      <c r="DI4037" s="119" t="s">
        <v>170</v>
      </c>
      <c r="DJ4037" s="119" t="s">
        <v>170</v>
      </c>
      <c r="DK4037" s="119" t="s">
        <v>170</v>
      </c>
      <c r="DL4037" s="119" t="s">
        <v>170</v>
      </c>
      <c r="DM4037" s="119" t="s">
        <v>170</v>
      </c>
      <c r="DN4037" s="119" t="s">
        <v>170</v>
      </c>
      <c r="DO4037" s="119" t="s">
        <v>170</v>
      </c>
      <c r="DP4037" s="119" t="s">
        <v>170</v>
      </c>
      <c r="DQ4037" s="119" t="s">
        <v>170</v>
      </c>
    </row>
    <row r="4038" spans="1:121">
      <c r="A4038" s="175" t="s">
        <v>1917</v>
      </c>
      <c r="B4038" s="175"/>
      <c r="C4038" s="168">
        <v>125608565</v>
      </c>
      <c r="D4038" s="29" t="s">
        <v>170</v>
      </c>
      <c r="E4038" s="29" t="s">
        <v>170</v>
      </c>
      <c r="F4038" s="29" t="s">
        <v>180</v>
      </c>
      <c r="G4038" s="3" t="s">
        <v>19</v>
      </c>
      <c r="H4038" s="3" t="s">
        <v>30</v>
      </c>
      <c r="I4038" s="55">
        <v>46147</v>
      </c>
      <c r="J4038" s="55">
        <v>46149</v>
      </c>
      <c r="K4038" s="55">
        <v>46177</v>
      </c>
      <c r="L4038" s="55"/>
      <c r="M4038" s="55"/>
      <c r="N4038" s="41" t="s">
        <v>170</v>
      </c>
      <c r="O4038" s="41" t="s">
        <v>10</v>
      </c>
      <c r="P4038" s="42">
        <v>46157</v>
      </c>
      <c r="Q4038" s="41">
        <v>560</v>
      </c>
      <c r="R4038" s="178" t="s">
        <v>170</v>
      </c>
      <c r="S4038" s="119" t="s">
        <v>170</v>
      </c>
      <c r="T4038" s="119" t="s">
        <v>170</v>
      </c>
      <c r="U4038" s="119" t="s">
        <v>170</v>
      </c>
      <c r="V4038" s="119" t="s">
        <v>170</v>
      </c>
      <c r="W4038" s="119" t="s">
        <v>170</v>
      </c>
      <c r="X4038" s="119" t="s">
        <v>170</v>
      </c>
      <c r="Y4038" s="119" t="s">
        <v>170</v>
      </c>
      <c r="Z4038" s="119" t="s">
        <v>170</v>
      </c>
      <c r="AA4038" s="119" t="s">
        <v>170</v>
      </c>
      <c r="AB4038" s="119" t="s">
        <v>170</v>
      </c>
      <c r="AC4038" s="119" t="s">
        <v>170</v>
      </c>
      <c r="AD4038" s="119" t="s">
        <v>170</v>
      </c>
      <c r="AE4038" s="119" t="s">
        <v>170</v>
      </c>
      <c r="AF4038" s="119" t="s">
        <v>170</v>
      </c>
      <c r="AG4038" s="119" t="s">
        <v>170</v>
      </c>
      <c r="AH4038" s="119" t="s">
        <v>170</v>
      </c>
      <c r="AI4038" s="119" t="s">
        <v>170</v>
      </c>
      <c r="AJ4038" s="119" t="s">
        <v>170</v>
      </c>
      <c r="AK4038" s="119" t="s">
        <v>170</v>
      </c>
      <c r="AL4038" s="119" t="s">
        <v>170</v>
      </c>
      <c r="AM4038" s="119" t="s">
        <v>170</v>
      </c>
      <c r="AN4038" s="119" t="s">
        <v>170</v>
      </c>
      <c r="AO4038" s="119" t="s">
        <v>170</v>
      </c>
      <c r="AP4038" s="119" t="s">
        <v>170</v>
      </c>
      <c r="AQ4038" s="119" t="s">
        <v>170</v>
      </c>
      <c r="AR4038" s="119" t="s">
        <v>170</v>
      </c>
      <c r="AS4038" s="119" t="s">
        <v>170</v>
      </c>
      <c r="AT4038" s="119" t="s">
        <v>170</v>
      </c>
      <c r="AU4038" s="119" t="s">
        <v>170</v>
      </c>
      <c r="AV4038" s="119" t="s">
        <v>170</v>
      </c>
      <c r="AW4038" s="119" t="s">
        <v>170</v>
      </c>
      <c r="AX4038" s="119" t="s">
        <v>170</v>
      </c>
      <c r="AY4038" s="119" t="s">
        <v>170</v>
      </c>
      <c r="AZ4038" s="119" t="s">
        <v>170</v>
      </c>
      <c r="BA4038" s="119" t="s">
        <v>170</v>
      </c>
      <c r="BB4038" s="119" t="s">
        <v>170</v>
      </c>
      <c r="BC4038" s="119" t="s">
        <v>170</v>
      </c>
      <c r="BD4038" s="119" t="s">
        <v>170</v>
      </c>
      <c r="BE4038" s="119" t="s">
        <v>170</v>
      </c>
      <c r="BF4038" s="119" t="s">
        <v>170</v>
      </c>
      <c r="BG4038" s="119" t="s">
        <v>170</v>
      </c>
      <c r="BH4038" s="119" t="s">
        <v>170</v>
      </c>
      <c r="BI4038" s="119" t="s">
        <v>170</v>
      </c>
      <c r="BJ4038" s="119" t="s">
        <v>170</v>
      </c>
      <c r="BK4038" s="119" t="s">
        <v>170</v>
      </c>
      <c r="BL4038" s="119" t="s">
        <v>170</v>
      </c>
      <c r="BM4038" s="119" t="s">
        <v>170</v>
      </c>
      <c r="BN4038" s="119" t="s">
        <v>170</v>
      </c>
      <c r="BO4038" s="119" t="s">
        <v>170</v>
      </c>
      <c r="BP4038" s="119" t="s">
        <v>170</v>
      </c>
      <c r="BQ4038" s="119" t="s">
        <v>170</v>
      </c>
      <c r="BR4038" s="119" t="s">
        <v>170</v>
      </c>
      <c r="BS4038" s="119" t="s">
        <v>170</v>
      </c>
      <c r="BT4038" s="119" t="s">
        <v>170</v>
      </c>
      <c r="BU4038" s="119" t="s">
        <v>170</v>
      </c>
      <c r="BV4038" s="119" t="s">
        <v>170</v>
      </c>
      <c r="BW4038" s="119" t="s">
        <v>170</v>
      </c>
      <c r="BX4038" s="119" t="s">
        <v>170</v>
      </c>
      <c r="BY4038" s="119" t="s">
        <v>170</v>
      </c>
      <c r="BZ4038" s="119" t="s">
        <v>170</v>
      </c>
      <c r="CA4038" s="119" t="s">
        <v>170</v>
      </c>
      <c r="CB4038" s="119" t="s">
        <v>170</v>
      </c>
      <c r="CC4038" s="119" t="s">
        <v>170</v>
      </c>
      <c r="CD4038" s="119" t="s">
        <v>170</v>
      </c>
      <c r="CE4038" s="119" t="s">
        <v>170</v>
      </c>
      <c r="CF4038" s="119" t="s">
        <v>170</v>
      </c>
      <c r="CG4038" s="119" t="s">
        <v>170</v>
      </c>
      <c r="CH4038" s="119" t="s">
        <v>170</v>
      </c>
      <c r="CI4038" s="119" t="s">
        <v>170</v>
      </c>
      <c r="CJ4038" s="119" t="s">
        <v>170</v>
      </c>
      <c r="CK4038" s="119" t="s">
        <v>170</v>
      </c>
      <c r="CL4038" s="119" t="s">
        <v>170</v>
      </c>
      <c r="CM4038" s="119" t="s">
        <v>170</v>
      </c>
      <c r="CN4038" s="119" t="s">
        <v>170</v>
      </c>
      <c r="CO4038" s="119" t="s">
        <v>170</v>
      </c>
      <c r="CP4038" s="119" t="s">
        <v>170</v>
      </c>
      <c r="CQ4038" s="119" t="s">
        <v>170</v>
      </c>
      <c r="CR4038" s="119" t="s">
        <v>170</v>
      </c>
      <c r="CS4038" s="119" t="s">
        <v>170</v>
      </c>
      <c r="CT4038" s="119" t="s">
        <v>170</v>
      </c>
      <c r="CU4038" s="119" t="s">
        <v>170</v>
      </c>
      <c r="CV4038" s="119" t="s">
        <v>170</v>
      </c>
      <c r="CW4038" s="119" t="s">
        <v>170</v>
      </c>
      <c r="CX4038" s="119" t="s">
        <v>170</v>
      </c>
      <c r="CY4038" s="119" t="s">
        <v>170</v>
      </c>
      <c r="CZ4038" s="119" t="s">
        <v>170</v>
      </c>
      <c r="DA4038" s="119" t="s">
        <v>170</v>
      </c>
      <c r="DB4038" s="119" t="s">
        <v>170</v>
      </c>
      <c r="DC4038" s="119" t="s">
        <v>170</v>
      </c>
      <c r="DD4038" s="119" t="s">
        <v>170</v>
      </c>
      <c r="DE4038" s="119" t="s">
        <v>170</v>
      </c>
      <c r="DF4038" s="119" t="s">
        <v>170</v>
      </c>
      <c r="DG4038" s="119" t="s">
        <v>170</v>
      </c>
      <c r="DH4038" s="119" t="s">
        <v>170</v>
      </c>
      <c r="DI4038" s="119" t="s">
        <v>170</v>
      </c>
      <c r="DJ4038" s="119" t="s">
        <v>170</v>
      </c>
      <c r="DK4038" s="119" t="s">
        <v>170</v>
      </c>
      <c r="DL4038" s="119" t="s">
        <v>170</v>
      </c>
      <c r="DM4038" s="119" t="s">
        <v>170</v>
      </c>
      <c r="DN4038" s="119" t="s">
        <v>170</v>
      </c>
      <c r="DO4038" s="119" t="s">
        <v>170</v>
      </c>
      <c r="DP4038" s="119" t="s">
        <v>170</v>
      </c>
      <c r="DQ4038" s="119" t="s">
        <v>170</v>
      </c>
    </row>
    <row r="4039" spans="1:121">
      <c r="A4039" s="175" t="s">
        <v>1917</v>
      </c>
      <c r="B4039" s="175"/>
      <c r="C4039" s="168">
        <v>125608765</v>
      </c>
      <c r="D4039" s="29" t="s">
        <v>170</v>
      </c>
      <c r="E4039" s="29" t="s">
        <v>170</v>
      </c>
      <c r="F4039" s="29" t="s">
        <v>180</v>
      </c>
      <c r="G4039" s="3" t="s">
        <v>19</v>
      </c>
      <c r="H4039" s="3" t="s">
        <v>30</v>
      </c>
      <c r="I4039" s="55">
        <v>46147</v>
      </c>
      <c r="J4039" s="55">
        <v>46149</v>
      </c>
      <c r="K4039" s="55">
        <v>46177</v>
      </c>
      <c r="L4039" s="55"/>
      <c r="M4039" s="55"/>
      <c r="N4039" s="41" t="s">
        <v>170</v>
      </c>
      <c r="O4039" s="41" t="s">
        <v>10</v>
      </c>
      <c r="P4039" s="42">
        <v>46157</v>
      </c>
      <c r="Q4039" s="41">
        <v>80</v>
      </c>
      <c r="R4039" s="178" t="s">
        <v>170</v>
      </c>
      <c r="S4039" s="119" t="s">
        <v>170</v>
      </c>
      <c r="T4039" s="119" t="s">
        <v>170</v>
      </c>
      <c r="U4039" s="119" t="s">
        <v>170</v>
      </c>
      <c r="V4039" s="119" t="s">
        <v>170</v>
      </c>
      <c r="W4039" s="119" t="s">
        <v>170</v>
      </c>
      <c r="X4039" s="119" t="s">
        <v>170</v>
      </c>
      <c r="Y4039" s="119" t="s">
        <v>170</v>
      </c>
      <c r="Z4039" s="119" t="s">
        <v>170</v>
      </c>
      <c r="AA4039" s="119" t="s">
        <v>170</v>
      </c>
      <c r="AB4039" s="119" t="s">
        <v>170</v>
      </c>
      <c r="AC4039" s="119" t="s">
        <v>170</v>
      </c>
      <c r="AD4039" s="119" t="s">
        <v>170</v>
      </c>
      <c r="AE4039" s="119" t="s">
        <v>170</v>
      </c>
      <c r="AF4039" s="119" t="s">
        <v>170</v>
      </c>
      <c r="AG4039" s="119" t="s">
        <v>170</v>
      </c>
      <c r="AH4039" s="119" t="s">
        <v>170</v>
      </c>
      <c r="AI4039" s="119" t="s">
        <v>170</v>
      </c>
      <c r="AJ4039" s="119" t="s">
        <v>170</v>
      </c>
      <c r="AK4039" s="119" t="s">
        <v>170</v>
      </c>
      <c r="AL4039" s="119" t="s">
        <v>170</v>
      </c>
      <c r="AM4039" s="119" t="s">
        <v>170</v>
      </c>
      <c r="AN4039" s="119" t="s">
        <v>170</v>
      </c>
      <c r="AO4039" s="119" t="s">
        <v>170</v>
      </c>
      <c r="AP4039" s="119" t="s">
        <v>170</v>
      </c>
      <c r="AQ4039" s="119" t="s">
        <v>170</v>
      </c>
      <c r="AR4039" s="119" t="s">
        <v>170</v>
      </c>
      <c r="AS4039" s="119" t="s">
        <v>170</v>
      </c>
      <c r="AT4039" s="119" t="s">
        <v>170</v>
      </c>
      <c r="AU4039" s="119" t="s">
        <v>170</v>
      </c>
      <c r="AV4039" s="119" t="s">
        <v>170</v>
      </c>
      <c r="AW4039" s="119" t="s">
        <v>170</v>
      </c>
      <c r="AX4039" s="119" t="s">
        <v>170</v>
      </c>
      <c r="AY4039" s="119" t="s">
        <v>170</v>
      </c>
      <c r="AZ4039" s="119" t="s">
        <v>170</v>
      </c>
      <c r="BA4039" s="119" t="s">
        <v>170</v>
      </c>
      <c r="BB4039" s="119" t="s">
        <v>170</v>
      </c>
      <c r="BC4039" s="119" t="s">
        <v>170</v>
      </c>
      <c r="BD4039" s="119" t="s">
        <v>170</v>
      </c>
      <c r="BE4039" s="119" t="s">
        <v>170</v>
      </c>
      <c r="BF4039" s="119" t="s">
        <v>170</v>
      </c>
      <c r="BG4039" s="119" t="s">
        <v>170</v>
      </c>
      <c r="BH4039" s="119" t="s">
        <v>170</v>
      </c>
      <c r="BI4039" s="119" t="s">
        <v>170</v>
      </c>
      <c r="BJ4039" s="119" t="s">
        <v>170</v>
      </c>
      <c r="BK4039" s="119" t="s">
        <v>170</v>
      </c>
      <c r="BL4039" s="119" t="s">
        <v>170</v>
      </c>
      <c r="BM4039" s="119" t="s">
        <v>170</v>
      </c>
      <c r="BN4039" s="119" t="s">
        <v>170</v>
      </c>
      <c r="BO4039" s="119" t="s">
        <v>170</v>
      </c>
      <c r="BP4039" s="119" t="s">
        <v>170</v>
      </c>
      <c r="BQ4039" s="119" t="s">
        <v>170</v>
      </c>
      <c r="BR4039" s="119" t="s">
        <v>170</v>
      </c>
      <c r="BS4039" s="119" t="s">
        <v>170</v>
      </c>
      <c r="BT4039" s="119" t="s">
        <v>170</v>
      </c>
      <c r="BU4039" s="119" t="s">
        <v>170</v>
      </c>
      <c r="BV4039" s="119" t="s">
        <v>170</v>
      </c>
      <c r="BW4039" s="119" t="s">
        <v>170</v>
      </c>
      <c r="BX4039" s="119" t="s">
        <v>170</v>
      </c>
      <c r="BY4039" s="119" t="s">
        <v>170</v>
      </c>
      <c r="BZ4039" s="119" t="s">
        <v>170</v>
      </c>
      <c r="CA4039" s="119" t="s">
        <v>170</v>
      </c>
      <c r="CB4039" s="119" t="s">
        <v>170</v>
      </c>
      <c r="CC4039" s="119" t="s">
        <v>170</v>
      </c>
      <c r="CD4039" s="119" t="s">
        <v>170</v>
      </c>
      <c r="CE4039" s="119" t="s">
        <v>170</v>
      </c>
      <c r="CF4039" s="119" t="s">
        <v>170</v>
      </c>
      <c r="CG4039" s="119" t="s">
        <v>170</v>
      </c>
      <c r="CH4039" s="119" t="s">
        <v>170</v>
      </c>
      <c r="CI4039" s="119" t="s">
        <v>170</v>
      </c>
      <c r="CJ4039" s="119" t="s">
        <v>170</v>
      </c>
      <c r="CK4039" s="119" t="s">
        <v>170</v>
      </c>
      <c r="CL4039" s="119" t="s">
        <v>170</v>
      </c>
      <c r="CM4039" s="119" t="s">
        <v>170</v>
      </c>
      <c r="CN4039" s="119" t="s">
        <v>170</v>
      </c>
      <c r="CO4039" s="119" t="s">
        <v>170</v>
      </c>
      <c r="CP4039" s="119" t="s">
        <v>170</v>
      </c>
      <c r="CQ4039" s="119" t="s">
        <v>170</v>
      </c>
      <c r="CR4039" s="119" t="s">
        <v>170</v>
      </c>
      <c r="CS4039" s="119" t="s">
        <v>170</v>
      </c>
      <c r="CT4039" s="119" t="s">
        <v>170</v>
      </c>
      <c r="CU4039" s="119" t="s">
        <v>170</v>
      </c>
      <c r="CV4039" s="119" t="s">
        <v>170</v>
      </c>
      <c r="CW4039" s="119" t="s">
        <v>170</v>
      </c>
      <c r="CX4039" s="119" t="s">
        <v>170</v>
      </c>
      <c r="CY4039" s="119" t="s">
        <v>170</v>
      </c>
      <c r="CZ4039" s="119" t="s">
        <v>170</v>
      </c>
      <c r="DA4039" s="119" t="s">
        <v>170</v>
      </c>
      <c r="DB4039" s="119" t="s">
        <v>170</v>
      </c>
      <c r="DC4039" s="119" t="s">
        <v>170</v>
      </c>
      <c r="DD4039" s="119" t="s">
        <v>170</v>
      </c>
      <c r="DE4039" s="119" t="s">
        <v>170</v>
      </c>
      <c r="DF4039" s="119" t="s">
        <v>170</v>
      </c>
      <c r="DG4039" s="119" t="s">
        <v>170</v>
      </c>
      <c r="DH4039" s="119" t="s">
        <v>170</v>
      </c>
      <c r="DI4039" s="119" t="s">
        <v>170</v>
      </c>
      <c r="DJ4039" s="119" t="s">
        <v>170</v>
      </c>
      <c r="DK4039" s="119" t="s">
        <v>170</v>
      </c>
      <c r="DL4039" s="119" t="s">
        <v>170</v>
      </c>
      <c r="DM4039" s="119" t="s">
        <v>170</v>
      </c>
      <c r="DN4039" s="119" t="s">
        <v>170</v>
      </c>
      <c r="DO4039" s="119" t="s">
        <v>170</v>
      </c>
      <c r="DP4039" s="119" t="s">
        <v>170</v>
      </c>
      <c r="DQ4039" s="119" t="s">
        <v>170</v>
      </c>
    </row>
    <row r="4040" spans="1:121">
      <c r="A4040" s="175" t="s">
        <v>1917</v>
      </c>
      <c r="B4040" s="175"/>
      <c r="C4040" s="168">
        <v>125608701</v>
      </c>
      <c r="D4040" s="29" t="s">
        <v>170</v>
      </c>
      <c r="E4040" s="29" t="s">
        <v>170</v>
      </c>
      <c r="F4040" s="29" t="s">
        <v>180</v>
      </c>
      <c r="G4040" s="3" t="s">
        <v>19</v>
      </c>
      <c r="H4040" s="3" t="s">
        <v>30</v>
      </c>
      <c r="I4040" s="55">
        <v>46147</v>
      </c>
      <c r="J4040" s="55">
        <v>46149</v>
      </c>
      <c r="K4040" s="55">
        <v>46177</v>
      </c>
      <c r="L4040" s="55"/>
      <c r="M4040" s="55"/>
      <c r="N4040" s="41" t="s">
        <v>170</v>
      </c>
      <c r="O4040" s="41" t="s">
        <v>10</v>
      </c>
      <c r="P4040" s="42">
        <v>46157</v>
      </c>
      <c r="Q4040" s="41">
        <v>260</v>
      </c>
      <c r="R4040" s="178" t="s">
        <v>170</v>
      </c>
      <c r="S4040" s="119" t="s">
        <v>170</v>
      </c>
      <c r="T4040" s="119" t="s">
        <v>170</v>
      </c>
      <c r="U4040" s="119" t="s">
        <v>170</v>
      </c>
      <c r="V4040" s="119" t="s">
        <v>170</v>
      </c>
      <c r="W4040" s="119" t="s">
        <v>170</v>
      </c>
      <c r="X4040" s="119" t="s">
        <v>170</v>
      </c>
      <c r="Y4040" s="119" t="s">
        <v>170</v>
      </c>
      <c r="Z4040" s="119" t="s">
        <v>170</v>
      </c>
      <c r="AA4040" s="119" t="s">
        <v>170</v>
      </c>
      <c r="AB4040" s="119" t="s">
        <v>170</v>
      </c>
      <c r="AC4040" s="119" t="s">
        <v>170</v>
      </c>
      <c r="AD4040" s="119" t="s">
        <v>170</v>
      </c>
      <c r="AE4040" s="119" t="s">
        <v>170</v>
      </c>
      <c r="AF4040" s="119" t="s">
        <v>170</v>
      </c>
      <c r="AG4040" s="119" t="s">
        <v>170</v>
      </c>
      <c r="AH4040" s="119" t="s">
        <v>170</v>
      </c>
      <c r="AI4040" s="119" t="s">
        <v>170</v>
      </c>
      <c r="AJ4040" s="119" t="s">
        <v>170</v>
      </c>
      <c r="AK4040" s="119" t="s">
        <v>170</v>
      </c>
      <c r="AL4040" s="119" t="s">
        <v>170</v>
      </c>
      <c r="AM4040" s="119" t="s">
        <v>170</v>
      </c>
      <c r="AN4040" s="119" t="s">
        <v>170</v>
      </c>
      <c r="AO4040" s="119" t="s">
        <v>170</v>
      </c>
      <c r="AP4040" s="119" t="s">
        <v>170</v>
      </c>
      <c r="AQ4040" s="119" t="s">
        <v>170</v>
      </c>
      <c r="AR4040" s="119" t="s">
        <v>170</v>
      </c>
      <c r="AS4040" s="119" t="s">
        <v>170</v>
      </c>
      <c r="AT4040" s="119" t="s">
        <v>170</v>
      </c>
      <c r="AU4040" s="119" t="s">
        <v>170</v>
      </c>
      <c r="AV4040" s="119" t="s">
        <v>170</v>
      </c>
      <c r="AW4040" s="119" t="s">
        <v>170</v>
      </c>
      <c r="AX4040" s="119" t="s">
        <v>170</v>
      </c>
      <c r="AY4040" s="119" t="s">
        <v>170</v>
      </c>
      <c r="AZ4040" s="119" t="s">
        <v>170</v>
      </c>
      <c r="BA4040" s="119" t="s">
        <v>170</v>
      </c>
      <c r="BB4040" s="119" t="s">
        <v>170</v>
      </c>
      <c r="BC4040" s="119" t="s">
        <v>170</v>
      </c>
      <c r="BD4040" s="119" t="s">
        <v>170</v>
      </c>
      <c r="BE4040" s="119" t="s">
        <v>170</v>
      </c>
      <c r="BF4040" s="119" t="s">
        <v>170</v>
      </c>
      <c r="BG4040" s="119" t="s">
        <v>170</v>
      </c>
      <c r="BH4040" s="119" t="s">
        <v>170</v>
      </c>
      <c r="BI4040" s="119" t="s">
        <v>170</v>
      </c>
      <c r="BJ4040" s="119" t="s">
        <v>170</v>
      </c>
      <c r="BK4040" s="119" t="s">
        <v>170</v>
      </c>
      <c r="BL4040" s="119" t="s">
        <v>170</v>
      </c>
      <c r="BM4040" s="119" t="s">
        <v>170</v>
      </c>
      <c r="BN4040" s="119" t="s">
        <v>170</v>
      </c>
      <c r="BO4040" s="119" t="s">
        <v>170</v>
      </c>
      <c r="BP4040" s="119" t="s">
        <v>170</v>
      </c>
      <c r="BQ4040" s="119" t="s">
        <v>170</v>
      </c>
      <c r="BR4040" s="119" t="s">
        <v>170</v>
      </c>
      <c r="BS4040" s="119" t="s">
        <v>170</v>
      </c>
      <c r="BT4040" s="119" t="s">
        <v>170</v>
      </c>
      <c r="BU4040" s="119" t="s">
        <v>170</v>
      </c>
      <c r="BV4040" s="119" t="s">
        <v>170</v>
      </c>
      <c r="BW4040" s="119" t="s">
        <v>170</v>
      </c>
      <c r="BX4040" s="119" t="s">
        <v>170</v>
      </c>
      <c r="BY4040" s="119" t="s">
        <v>170</v>
      </c>
      <c r="BZ4040" s="119" t="s">
        <v>170</v>
      </c>
      <c r="CA4040" s="119" t="s">
        <v>170</v>
      </c>
      <c r="CB4040" s="119" t="s">
        <v>170</v>
      </c>
      <c r="CC4040" s="119" t="s">
        <v>170</v>
      </c>
      <c r="CD4040" s="119" t="s">
        <v>170</v>
      </c>
      <c r="CE4040" s="119" t="s">
        <v>170</v>
      </c>
      <c r="CF4040" s="119" t="s">
        <v>170</v>
      </c>
      <c r="CG4040" s="119" t="s">
        <v>170</v>
      </c>
      <c r="CH4040" s="119" t="s">
        <v>170</v>
      </c>
      <c r="CI4040" s="119" t="s">
        <v>170</v>
      </c>
      <c r="CJ4040" s="119" t="s">
        <v>170</v>
      </c>
      <c r="CK4040" s="119" t="s">
        <v>170</v>
      </c>
      <c r="CL4040" s="119" t="s">
        <v>170</v>
      </c>
      <c r="CM4040" s="119" t="s">
        <v>170</v>
      </c>
      <c r="CN4040" s="119" t="s">
        <v>170</v>
      </c>
      <c r="CO4040" s="119" t="s">
        <v>170</v>
      </c>
      <c r="CP4040" s="119" t="s">
        <v>170</v>
      </c>
      <c r="CQ4040" s="119" t="s">
        <v>170</v>
      </c>
      <c r="CR4040" s="119" t="s">
        <v>170</v>
      </c>
      <c r="CS4040" s="119" t="s">
        <v>170</v>
      </c>
      <c r="CT4040" s="119" t="s">
        <v>170</v>
      </c>
      <c r="CU4040" s="119" t="s">
        <v>170</v>
      </c>
      <c r="CV4040" s="119" t="s">
        <v>170</v>
      </c>
      <c r="CW4040" s="119" t="s">
        <v>170</v>
      </c>
      <c r="CX4040" s="119" t="s">
        <v>170</v>
      </c>
      <c r="CY4040" s="119" t="s">
        <v>170</v>
      </c>
      <c r="CZ4040" s="119" t="s">
        <v>170</v>
      </c>
      <c r="DA4040" s="119" t="s">
        <v>170</v>
      </c>
      <c r="DB4040" s="119" t="s">
        <v>170</v>
      </c>
      <c r="DC4040" s="119" t="s">
        <v>170</v>
      </c>
      <c r="DD4040" s="119" t="s">
        <v>170</v>
      </c>
      <c r="DE4040" s="119" t="s">
        <v>170</v>
      </c>
      <c r="DF4040" s="119" t="s">
        <v>170</v>
      </c>
      <c r="DG4040" s="119" t="s">
        <v>170</v>
      </c>
      <c r="DH4040" s="119" t="s">
        <v>170</v>
      </c>
      <c r="DI4040" s="119" t="s">
        <v>170</v>
      </c>
      <c r="DJ4040" s="119" t="s">
        <v>170</v>
      </c>
      <c r="DK4040" s="119" t="s">
        <v>170</v>
      </c>
      <c r="DL4040" s="119" t="s">
        <v>170</v>
      </c>
      <c r="DM4040" s="119" t="s">
        <v>170</v>
      </c>
      <c r="DN4040" s="119" t="s">
        <v>170</v>
      </c>
      <c r="DO4040" s="119" t="s">
        <v>170</v>
      </c>
      <c r="DP4040" s="119" t="s">
        <v>170</v>
      </c>
      <c r="DQ4040" s="119" t="s">
        <v>170</v>
      </c>
    </row>
    <row r="4041" spans="1:121">
      <c r="A4041" s="173" t="s">
        <v>1918</v>
      </c>
      <c r="B4041" s="173"/>
      <c r="C4041" s="168">
        <v>135606143</v>
      </c>
      <c r="D4041" s="29"/>
      <c r="E4041" s="29"/>
      <c r="F4041" s="29" t="s">
        <v>144</v>
      </c>
      <c r="G4041" s="3" t="s">
        <v>16</v>
      </c>
      <c r="H4041" s="3" t="s">
        <v>145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144</v>
      </c>
      <c r="G4042" s="3" t="s">
        <v>16</v>
      </c>
      <c r="H4042" s="3" t="s">
        <v>145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144</v>
      </c>
      <c r="G4043" s="3" t="s">
        <v>16</v>
      </c>
      <c r="H4043" s="3" t="s">
        <v>145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144</v>
      </c>
      <c r="G4062" s="3" t="s">
        <v>16</v>
      </c>
      <c r="H4062" s="3" t="s">
        <v>145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144</v>
      </c>
      <c r="G4063" s="3" t="s">
        <v>16</v>
      </c>
      <c r="H4063" s="3" t="s">
        <v>145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144</v>
      </c>
      <c r="G4064" s="3" t="s">
        <v>16</v>
      </c>
      <c r="H4064" s="3" t="s">
        <v>145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144</v>
      </c>
      <c r="G4065" s="3" t="s">
        <v>16</v>
      </c>
      <c r="H4065" s="3" t="s">
        <v>145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144</v>
      </c>
      <c r="G4066" s="3" t="s">
        <v>16</v>
      </c>
      <c r="H4066" s="3" t="s">
        <v>145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144</v>
      </c>
      <c r="G4067" s="3" t="s">
        <v>16</v>
      </c>
      <c r="H4067" s="3" t="s">
        <v>145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144</v>
      </c>
      <c r="G4068" s="3" t="s">
        <v>16</v>
      </c>
      <c r="H4068" s="3" t="s">
        <v>145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144</v>
      </c>
      <c r="G4069" s="3" t="s">
        <v>16</v>
      </c>
      <c r="H4069" s="3" t="s">
        <v>145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144</v>
      </c>
      <c r="G4070" s="3" t="s">
        <v>16</v>
      </c>
      <c r="H4070" s="3" t="s">
        <v>145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144</v>
      </c>
      <c r="G4071" s="3" t="s">
        <v>16</v>
      </c>
      <c r="H4071" s="3" t="s">
        <v>145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144</v>
      </c>
      <c r="G4072" s="3" t="s">
        <v>16</v>
      </c>
      <c r="H4072" s="3" t="s">
        <v>145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144</v>
      </c>
      <c r="G4073" s="3" t="s">
        <v>16</v>
      </c>
      <c r="H4073" s="3" t="s">
        <v>145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144</v>
      </c>
      <c r="G4074" s="3" t="s">
        <v>16</v>
      </c>
      <c r="H4074" s="3" t="s">
        <v>145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144</v>
      </c>
      <c r="G4075" s="3" t="s">
        <v>16</v>
      </c>
      <c r="H4075" s="3" t="s">
        <v>145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144</v>
      </c>
      <c r="G4076" s="3" t="s">
        <v>16</v>
      </c>
      <c r="H4076" s="3" t="s">
        <v>145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144</v>
      </c>
      <c r="G4077" s="3" t="s">
        <v>16</v>
      </c>
      <c r="H4077" s="3" t="s">
        <v>145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144</v>
      </c>
      <c r="G4078" s="3" t="s">
        <v>16</v>
      </c>
      <c r="H4078" s="3" t="s">
        <v>145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144</v>
      </c>
      <c r="G4079" s="3" t="s">
        <v>16</v>
      </c>
      <c r="H4079" s="3" t="s">
        <v>145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144</v>
      </c>
      <c r="G4080" s="3" t="s">
        <v>16</v>
      </c>
      <c r="H4080" s="3" t="s">
        <v>145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144</v>
      </c>
      <c r="G4081" s="3" t="s">
        <v>16</v>
      </c>
      <c r="H4081" s="3" t="s">
        <v>145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144</v>
      </c>
      <c r="G4082" s="3" t="s">
        <v>16</v>
      </c>
      <c r="H4082" s="3" t="s">
        <v>145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144</v>
      </c>
      <c r="G4083" s="3" t="s">
        <v>16</v>
      </c>
      <c r="H4083" s="3" t="s">
        <v>145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144</v>
      </c>
      <c r="G4084" s="3" t="s">
        <v>16</v>
      </c>
      <c r="H4084" s="3" t="s">
        <v>145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144</v>
      </c>
      <c r="G4085" s="3" t="s">
        <v>16</v>
      </c>
      <c r="H4085" s="3" t="s">
        <v>145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144</v>
      </c>
      <c r="G4086" s="3" t="s">
        <v>16</v>
      </c>
      <c r="H4086" s="3" t="s">
        <v>145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144</v>
      </c>
      <c r="G4087" s="3" t="s">
        <v>16</v>
      </c>
      <c r="H4087" s="3" t="s">
        <v>145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144</v>
      </c>
      <c r="G4088" s="3" t="s">
        <v>16</v>
      </c>
      <c r="H4088" s="3" t="s">
        <v>145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144</v>
      </c>
      <c r="G4089" s="3" t="s">
        <v>16</v>
      </c>
      <c r="H4089" s="3" t="s">
        <v>145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144</v>
      </c>
      <c r="G4090" s="3" t="s">
        <v>16</v>
      </c>
      <c r="H4090" s="3" t="s">
        <v>145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144</v>
      </c>
      <c r="G4091" s="3" t="s">
        <v>16</v>
      </c>
      <c r="H4091" s="3" t="s">
        <v>145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144</v>
      </c>
      <c r="G4092" s="3" t="s">
        <v>16</v>
      </c>
      <c r="H4092" s="3" t="s">
        <v>145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179</v>
      </c>
      <c r="B4093" s="173"/>
      <c r="C4093" s="196">
        <v>118606531</v>
      </c>
      <c r="D4093" s="29"/>
      <c r="E4093" s="29"/>
      <c r="F4093" s="29" t="s">
        <v>180</v>
      </c>
      <c r="G4093" s="3" t="s">
        <v>19</v>
      </c>
      <c r="H4093" s="3" t="s">
        <v>30</v>
      </c>
      <c r="I4093" s="55">
        <v>46140</v>
      </c>
      <c r="J4093" s="55">
        <v>46142</v>
      </c>
      <c r="K4093" s="55">
        <v>46170</v>
      </c>
      <c r="L4093" s="55"/>
      <c r="M4093" s="55"/>
      <c r="N4093" s="3"/>
      <c r="O4093" s="3" t="s">
        <v>10</v>
      </c>
      <c r="P4093" s="55">
        <v>46143</v>
      </c>
      <c r="Q4093" s="167"/>
      <c r="R4093" s="1"/>
    </row>
    <row r="4094" spans="1:121">
      <c r="A4094" s="166" t="s">
        <v>179</v>
      </c>
      <c r="B4094" s="173"/>
      <c r="C4094" s="196">
        <v>118606665</v>
      </c>
      <c r="D4094" s="29"/>
      <c r="E4094" s="29"/>
      <c r="F4094" s="29" t="s">
        <v>180</v>
      </c>
      <c r="G4094" s="3" t="s">
        <v>19</v>
      </c>
      <c r="H4094" s="3" t="s">
        <v>30</v>
      </c>
      <c r="I4094" s="55">
        <v>46140</v>
      </c>
      <c r="J4094" s="55">
        <v>46142</v>
      </c>
      <c r="K4094" s="55">
        <v>46170</v>
      </c>
      <c r="L4094" s="55"/>
      <c r="M4094" s="55"/>
      <c r="N4094" s="3"/>
      <c r="O4094" s="3" t="s">
        <v>10</v>
      </c>
      <c r="P4094" s="55">
        <v>46143</v>
      </c>
      <c r="Q4094" s="167"/>
      <c r="R4094" s="1"/>
    </row>
    <row r="4095" spans="1:121">
      <c r="A4095" s="166" t="s">
        <v>179</v>
      </c>
      <c r="B4095" s="173"/>
      <c r="C4095" s="196">
        <v>118606742</v>
      </c>
      <c r="D4095" s="29"/>
      <c r="E4095" s="29"/>
      <c r="F4095" s="29" t="s">
        <v>180</v>
      </c>
      <c r="G4095" s="3" t="s">
        <v>19</v>
      </c>
      <c r="H4095" s="3" t="s">
        <v>30</v>
      </c>
      <c r="I4095" s="55">
        <v>46140</v>
      </c>
      <c r="J4095" s="55">
        <v>46142</v>
      </c>
      <c r="K4095" s="55">
        <v>46170</v>
      </c>
      <c r="L4095" s="55"/>
      <c r="M4095" s="55"/>
      <c r="N4095" s="3"/>
      <c r="O4095" s="3" t="s">
        <v>10</v>
      </c>
      <c r="P4095" s="55">
        <v>46143</v>
      </c>
      <c r="Q4095" s="167"/>
      <c r="R4095" s="1"/>
    </row>
    <row r="4096" spans="1:121">
      <c r="A4096" s="166" t="s">
        <v>179</v>
      </c>
      <c r="B4096" s="173"/>
      <c r="C4096" s="196">
        <v>118606767</v>
      </c>
      <c r="D4096" s="29"/>
      <c r="E4096" s="29"/>
      <c r="F4096" s="29" t="s">
        <v>180</v>
      </c>
      <c r="G4096" s="3" t="s">
        <v>19</v>
      </c>
      <c r="H4096" s="3" t="s">
        <v>30</v>
      </c>
      <c r="I4096" s="55">
        <v>46140</v>
      </c>
      <c r="J4096" s="55">
        <v>46142</v>
      </c>
      <c r="K4096" s="55">
        <v>46170</v>
      </c>
      <c r="L4096" s="55"/>
      <c r="M4096" s="55"/>
      <c r="N4096" s="3"/>
      <c r="O4096" s="3" t="s">
        <v>10</v>
      </c>
      <c r="P4096" s="55">
        <v>46143</v>
      </c>
      <c r="Q4096" s="167"/>
      <c r="R4096" s="1"/>
    </row>
    <row r="4097" spans="1:121">
      <c r="A4097" s="166" t="s">
        <v>179</v>
      </c>
      <c r="B4097" s="173"/>
      <c r="C4097" s="196">
        <v>118606787</v>
      </c>
      <c r="D4097" s="29"/>
      <c r="E4097" s="29"/>
      <c r="F4097" s="29" t="s">
        <v>180</v>
      </c>
      <c r="G4097" s="3" t="s">
        <v>19</v>
      </c>
      <c r="H4097" s="3" t="s">
        <v>30</v>
      </c>
      <c r="I4097" s="55">
        <v>46140</v>
      </c>
      <c r="J4097" s="55">
        <v>46142</v>
      </c>
      <c r="K4097" s="55">
        <v>46170</v>
      </c>
      <c r="L4097" s="55"/>
      <c r="M4097" s="55"/>
      <c r="N4097" s="3"/>
      <c r="O4097" s="3" t="s">
        <v>10</v>
      </c>
      <c r="P4097" s="55">
        <v>46143</v>
      </c>
      <c r="Q4097" s="167"/>
      <c r="R4097" s="1"/>
    </row>
    <row r="4098" spans="1:121">
      <c r="A4098" s="166" t="s">
        <v>179</v>
      </c>
      <c r="B4098" s="173"/>
      <c r="C4098" s="196">
        <v>118606804</v>
      </c>
      <c r="D4098" s="29"/>
      <c r="E4098" s="29"/>
      <c r="F4098" s="29" t="s">
        <v>180</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195</v>
      </c>
      <c r="B4118" s="173" t="s">
        <v>196</v>
      </c>
      <c r="C4118" s="196">
        <v>104610067</v>
      </c>
      <c r="D4118" s="168">
        <v>134609282</v>
      </c>
      <c r="E4118" s="29"/>
      <c r="F4118" s="29" t="s">
        <v>1401</v>
      </c>
      <c r="G4118" s="3" t="s">
        <v>116</v>
      </c>
      <c r="H4118" s="3" t="s">
        <v>29</v>
      </c>
      <c r="I4118" s="55">
        <v>46126</v>
      </c>
      <c r="J4118" s="55">
        <v>46129</v>
      </c>
      <c r="K4118" s="55">
        <v>46156</v>
      </c>
      <c r="L4118" s="55"/>
      <c r="M4118" s="55"/>
      <c r="N4118" s="3"/>
      <c r="O4118" s="3" t="s">
        <v>10</v>
      </c>
      <c r="P4118" s="55">
        <v>46185</v>
      </c>
      <c r="Q4118" s="167"/>
      <c r="R4118" s="1" t="s">
        <v>1934</v>
      </c>
    </row>
    <row r="4119" spans="1:121">
      <c r="A4119" s="166" t="s">
        <v>195</v>
      </c>
      <c r="B4119" s="173" t="s">
        <v>196</v>
      </c>
      <c r="C4119" s="196">
        <v>104610075</v>
      </c>
      <c r="D4119" s="168">
        <v>134609284</v>
      </c>
      <c r="E4119" s="29"/>
      <c r="F4119" s="29" t="s">
        <v>1401</v>
      </c>
      <c r="G4119" s="3" t="s">
        <v>116</v>
      </c>
      <c r="H4119" s="3" t="s">
        <v>29</v>
      </c>
      <c r="I4119" s="55">
        <v>46126</v>
      </c>
      <c r="J4119" s="55">
        <v>46129</v>
      </c>
      <c r="K4119" s="55">
        <v>46156</v>
      </c>
      <c r="L4119" s="55"/>
      <c r="M4119" s="55"/>
      <c r="N4119" s="3"/>
      <c r="O4119" s="3" t="s">
        <v>10</v>
      </c>
      <c r="P4119" s="55">
        <v>46185</v>
      </c>
      <c r="Q4119" s="167"/>
      <c r="R4119" s="1" t="s">
        <v>1934</v>
      </c>
    </row>
    <row r="4120" spans="1:121">
      <c r="A4120" s="166" t="s">
        <v>195</v>
      </c>
      <c r="B4120" s="173" t="s">
        <v>196</v>
      </c>
      <c r="C4120" s="196">
        <v>104610080</v>
      </c>
      <c r="D4120" s="168">
        <v>134609285</v>
      </c>
      <c r="E4120" s="29"/>
      <c r="F4120" s="29" t="s">
        <v>1401</v>
      </c>
      <c r="G4120" s="3" t="s">
        <v>116</v>
      </c>
      <c r="H4120" s="3" t="s">
        <v>29</v>
      </c>
      <c r="I4120" s="55">
        <v>46126</v>
      </c>
      <c r="J4120" s="55">
        <v>46129</v>
      </c>
      <c r="K4120" s="55">
        <v>46156</v>
      </c>
      <c r="L4120" s="55"/>
      <c r="M4120" s="55"/>
      <c r="N4120" s="3"/>
      <c r="O4120" s="3" t="s">
        <v>10</v>
      </c>
      <c r="P4120" s="55">
        <v>46185</v>
      </c>
      <c r="Q4120" s="167"/>
      <c r="R4120" s="1" t="s">
        <v>1934</v>
      </c>
    </row>
    <row r="4121" spans="1:121">
      <c r="A4121" s="166" t="s">
        <v>195</v>
      </c>
      <c r="B4121" s="173" t="s">
        <v>196</v>
      </c>
      <c r="C4121" s="196">
        <v>104610092</v>
      </c>
      <c r="D4121" s="168">
        <v>134609288</v>
      </c>
      <c r="E4121" s="29"/>
      <c r="F4121" s="29" t="s">
        <v>1401</v>
      </c>
      <c r="G4121" s="3" t="s">
        <v>116</v>
      </c>
      <c r="H4121" s="3" t="s">
        <v>29</v>
      </c>
      <c r="I4121" s="55">
        <v>46126</v>
      </c>
      <c r="J4121" s="55">
        <v>46129</v>
      </c>
      <c r="K4121" s="55">
        <v>46156</v>
      </c>
      <c r="L4121" s="55"/>
      <c r="M4121" s="55"/>
      <c r="N4121" s="3"/>
      <c r="O4121" s="3" t="s">
        <v>10</v>
      </c>
      <c r="P4121" s="55">
        <v>46185</v>
      </c>
      <c r="Q4121" s="167"/>
      <c r="R4121" s="1" t="s">
        <v>1934</v>
      </c>
    </row>
    <row r="4122" spans="1:121">
      <c r="A4122" s="166" t="s">
        <v>195</v>
      </c>
      <c r="B4122" s="173" t="s">
        <v>196</v>
      </c>
      <c r="C4122" s="196">
        <v>104610098</v>
      </c>
      <c r="D4122" s="168">
        <v>134609290</v>
      </c>
      <c r="E4122" s="29"/>
      <c r="F4122" s="29" t="s">
        <v>1401</v>
      </c>
      <c r="G4122" s="3" t="s">
        <v>116</v>
      </c>
      <c r="H4122" s="3" t="s">
        <v>29</v>
      </c>
      <c r="I4122" s="55">
        <v>46126</v>
      </c>
      <c r="J4122" s="55">
        <v>46129</v>
      </c>
      <c r="K4122" s="55">
        <v>46156</v>
      </c>
      <c r="L4122" s="55"/>
      <c r="M4122" s="55"/>
      <c r="N4122" s="3"/>
      <c r="O4122" s="3" t="s">
        <v>10</v>
      </c>
      <c r="P4122" s="55">
        <v>46185</v>
      </c>
      <c r="Q4122" s="167"/>
      <c r="R4122" s="1" t="s">
        <v>1934</v>
      </c>
    </row>
    <row r="4123" spans="1:121">
      <c r="A4123" s="166" t="s">
        <v>195</v>
      </c>
      <c r="B4123" s="173" t="s">
        <v>196</v>
      </c>
      <c r="C4123" s="196">
        <v>104610100</v>
      </c>
      <c r="D4123" s="168">
        <v>134609292</v>
      </c>
      <c r="E4123" s="29"/>
      <c r="F4123" s="29" t="s">
        <v>1401</v>
      </c>
      <c r="G4123" s="3" t="s">
        <v>116</v>
      </c>
      <c r="H4123" s="3" t="s">
        <v>29</v>
      </c>
      <c r="I4123" s="55">
        <v>46126</v>
      </c>
      <c r="J4123" s="55">
        <v>46129</v>
      </c>
      <c r="K4123" s="55">
        <v>46156</v>
      </c>
      <c r="L4123" s="55"/>
      <c r="M4123" s="55"/>
      <c r="N4123" s="3"/>
      <c r="O4123" s="3" t="s">
        <v>10</v>
      </c>
      <c r="P4123" s="55">
        <v>46185</v>
      </c>
      <c r="Q4123" s="167"/>
      <c r="R4123" s="1" t="s">
        <v>1934</v>
      </c>
    </row>
    <row r="4124" spans="1:121">
      <c r="A4124" s="166" t="s">
        <v>195</v>
      </c>
      <c r="B4124" s="173" t="s">
        <v>196</v>
      </c>
      <c r="C4124" s="196">
        <v>104610107</v>
      </c>
      <c r="D4124" s="168">
        <v>134609293</v>
      </c>
      <c r="E4124" s="29"/>
      <c r="F4124" s="29" t="s">
        <v>1401</v>
      </c>
      <c r="G4124" s="3" t="s">
        <v>116</v>
      </c>
      <c r="H4124" s="3" t="s">
        <v>29</v>
      </c>
      <c r="I4124" s="55">
        <v>46126</v>
      </c>
      <c r="J4124" s="55">
        <v>46129</v>
      </c>
      <c r="K4124" s="55">
        <v>46156</v>
      </c>
      <c r="L4124" s="55"/>
      <c r="M4124" s="55"/>
      <c r="N4124" s="3"/>
      <c r="O4124" s="3" t="s">
        <v>10</v>
      </c>
      <c r="P4124" s="55">
        <v>46174</v>
      </c>
      <c r="Q4124" s="167"/>
      <c r="R4124" s="1" t="s">
        <v>1934</v>
      </c>
    </row>
    <row r="4125" spans="1:121">
      <c r="A4125" s="166" t="s">
        <v>195</v>
      </c>
      <c r="B4125" s="173" t="s">
        <v>196</v>
      </c>
      <c r="C4125" s="196">
        <v>104610123</v>
      </c>
      <c r="D4125" s="168">
        <v>134609294</v>
      </c>
      <c r="E4125" s="29"/>
      <c r="F4125" s="29" t="s">
        <v>1401</v>
      </c>
      <c r="G4125" s="3" t="s">
        <v>116</v>
      </c>
      <c r="H4125" s="3" t="s">
        <v>29</v>
      </c>
      <c r="I4125" s="55">
        <v>46126</v>
      </c>
      <c r="J4125" s="55">
        <v>46129</v>
      </c>
      <c r="K4125" s="55">
        <v>46156</v>
      </c>
      <c r="L4125" s="55"/>
      <c r="M4125" s="55"/>
      <c r="N4125" s="3"/>
      <c r="O4125" s="3" t="s">
        <v>10</v>
      </c>
      <c r="P4125" s="55">
        <v>46174</v>
      </c>
      <c r="Q4125" s="167"/>
      <c r="R4125" s="1" t="s">
        <v>1934</v>
      </c>
    </row>
    <row r="4126" spans="1:121">
      <c r="A4126" s="166" t="s">
        <v>195</v>
      </c>
      <c r="B4126" s="173" t="s">
        <v>196</v>
      </c>
      <c r="C4126" s="196">
        <v>104610138</v>
      </c>
      <c r="D4126" s="168">
        <v>134609295</v>
      </c>
      <c r="E4126" s="29"/>
      <c r="F4126" s="29" t="s">
        <v>1401</v>
      </c>
      <c r="G4126" s="3" t="s">
        <v>116</v>
      </c>
      <c r="H4126" s="3" t="s">
        <v>29</v>
      </c>
      <c r="I4126" s="55">
        <v>46126</v>
      </c>
      <c r="J4126" s="55">
        <v>46129</v>
      </c>
      <c r="K4126" s="55">
        <v>46156</v>
      </c>
      <c r="L4126" s="55"/>
      <c r="M4126" s="55"/>
      <c r="N4126" s="3"/>
      <c r="O4126" s="3" t="s">
        <v>10</v>
      </c>
      <c r="P4126" s="55">
        <v>46174</v>
      </c>
      <c r="Q4126" s="167"/>
      <c r="R4126" s="1" t="s">
        <v>1934</v>
      </c>
    </row>
    <row r="4127" spans="1:121">
      <c r="A4127" s="166" t="s">
        <v>195</v>
      </c>
      <c r="B4127" s="173" t="s">
        <v>196</v>
      </c>
      <c r="C4127" s="196">
        <v>104610144</v>
      </c>
      <c r="D4127" s="168">
        <v>134609296</v>
      </c>
      <c r="E4127" s="29"/>
      <c r="F4127" s="29" t="s">
        <v>1401</v>
      </c>
      <c r="G4127" s="3" t="s">
        <v>116</v>
      </c>
      <c r="H4127" s="3" t="s">
        <v>29</v>
      </c>
      <c r="I4127" s="55">
        <v>46126</v>
      </c>
      <c r="J4127" s="55">
        <v>46129</v>
      </c>
      <c r="K4127" s="55">
        <v>46156</v>
      </c>
      <c r="L4127" s="55"/>
      <c r="M4127" s="55"/>
      <c r="N4127" s="3"/>
      <c r="O4127" s="3" t="s">
        <v>10</v>
      </c>
      <c r="P4127" s="55">
        <v>46174</v>
      </c>
      <c r="Q4127" s="167"/>
      <c r="R4127" s="1" t="s">
        <v>1934</v>
      </c>
    </row>
    <row r="4128" spans="1:121">
      <c r="A4128" s="166" t="s">
        <v>195</v>
      </c>
      <c r="B4128" s="173" t="s">
        <v>196</v>
      </c>
      <c r="C4128" s="196">
        <v>104610148</v>
      </c>
      <c r="D4128" s="168">
        <v>134609298</v>
      </c>
      <c r="E4128" s="29"/>
      <c r="F4128" s="29" t="s">
        <v>1401</v>
      </c>
      <c r="G4128" s="3" t="s">
        <v>116</v>
      </c>
      <c r="H4128" s="3" t="s">
        <v>29</v>
      </c>
      <c r="I4128" s="55">
        <v>46126</v>
      </c>
      <c r="J4128" s="55">
        <v>46129</v>
      </c>
      <c r="K4128" s="55">
        <v>46156</v>
      </c>
      <c r="L4128" s="55"/>
      <c r="M4128" s="55"/>
      <c r="N4128" s="3"/>
      <c r="O4128" s="3" t="s">
        <v>10</v>
      </c>
      <c r="P4128" s="55">
        <v>46174</v>
      </c>
      <c r="Q4128" s="167"/>
      <c r="R4128" s="1" t="s">
        <v>1934</v>
      </c>
    </row>
    <row r="4129" spans="1:18">
      <c r="A4129" s="166" t="s">
        <v>195</v>
      </c>
      <c r="B4129" s="173" t="s">
        <v>196</v>
      </c>
      <c r="C4129" s="196">
        <v>104610154</v>
      </c>
      <c r="D4129" s="168">
        <v>134609299</v>
      </c>
      <c r="E4129" s="29"/>
      <c r="F4129" s="29" t="s">
        <v>1401</v>
      </c>
      <c r="G4129" s="3" t="s">
        <v>116</v>
      </c>
      <c r="H4129" s="3" t="s">
        <v>29</v>
      </c>
      <c r="I4129" s="55">
        <v>46126</v>
      </c>
      <c r="J4129" s="55">
        <v>46129</v>
      </c>
      <c r="K4129" s="55">
        <v>46156</v>
      </c>
      <c r="L4129" s="55"/>
      <c r="M4129" s="55"/>
      <c r="N4129" s="3"/>
      <c r="O4129" s="3" t="s">
        <v>9</v>
      </c>
      <c r="P4129" s="3"/>
      <c r="Q4129" s="167"/>
      <c r="R4129" s="1" t="s">
        <v>1934</v>
      </c>
    </row>
    <row r="4130" spans="1:18">
      <c r="A4130" s="166" t="s">
        <v>195</v>
      </c>
      <c r="B4130" s="173" t="s">
        <v>196</v>
      </c>
      <c r="C4130" s="196">
        <v>104610160</v>
      </c>
      <c r="D4130" s="168">
        <v>134609300</v>
      </c>
      <c r="E4130" s="29"/>
      <c r="F4130" s="29" t="s">
        <v>1401</v>
      </c>
      <c r="G4130" s="3" t="s">
        <v>116</v>
      </c>
      <c r="H4130" s="3" t="s">
        <v>29</v>
      </c>
      <c r="I4130" s="55">
        <v>46126</v>
      </c>
      <c r="J4130" s="55">
        <v>46129</v>
      </c>
      <c r="K4130" s="55">
        <v>46156</v>
      </c>
      <c r="L4130" s="55"/>
      <c r="M4130" s="55"/>
      <c r="N4130" s="3"/>
      <c r="O4130" s="3" t="s">
        <v>9</v>
      </c>
      <c r="P4130" s="3"/>
      <c r="Q4130" s="167"/>
      <c r="R4130" s="1" t="s">
        <v>1934</v>
      </c>
    </row>
    <row r="4131" spans="1:18">
      <c r="A4131" s="166" t="s">
        <v>195</v>
      </c>
      <c r="B4131" s="173" t="s">
        <v>196</v>
      </c>
      <c r="C4131" s="196">
        <v>104610171</v>
      </c>
      <c r="D4131" s="168">
        <v>134609303</v>
      </c>
      <c r="E4131" s="29"/>
      <c r="F4131" s="29" t="s">
        <v>1401</v>
      </c>
      <c r="G4131" s="3" t="s">
        <v>116</v>
      </c>
      <c r="H4131" s="3" t="s">
        <v>29</v>
      </c>
      <c r="I4131" s="55">
        <v>46126</v>
      </c>
      <c r="J4131" s="55">
        <v>46129</v>
      </c>
      <c r="K4131" s="55">
        <v>46156</v>
      </c>
      <c r="L4131" s="55"/>
      <c r="M4131" s="55"/>
      <c r="N4131" s="3"/>
      <c r="O4131" s="3" t="s">
        <v>9</v>
      </c>
      <c r="P4131" s="3"/>
      <c r="Q4131" s="167"/>
      <c r="R4131" s="1" t="s">
        <v>1934</v>
      </c>
    </row>
    <row r="4132" spans="1:18">
      <c r="A4132" s="166" t="s">
        <v>195</v>
      </c>
      <c r="B4132" s="173" t="s">
        <v>196</v>
      </c>
      <c r="C4132" s="196">
        <v>104610177</v>
      </c>
      <c r="D4132" s="168">
        <v>134609306</v>
      </c>
      <c r="E4132" s="29"/>
      <c r="F4132" s="29" t="s">
        <v>1401</v>
      </c>
      <c r="G4132" s="3" t="s">
        <v>116</v>
      </c>
      <c r="H4132" s="3" t="s">
        <v>29</v>
      </c>
      <c r="I4132" s="55">
        <v>46126</v>
      </c>
      <c r="J4132" s="55">
        <v>46129</v>
      </c>
      <c r="K4132" s="55">
        <v>46156</v>
      </c>
      <c r="L4132" s="55"/>
      <c r="M4132" s="55"/>
      <c r="N4132" s="3"/>
      <c r="O4132" s="3" t="s">
        <v>10</v>
      </c>
      <c r="P4132" s="55">
        <v>46174</v>
      </c>
      <c r="Q4132" s="167"/>
      <c r="R4132" s="1" t="s">
        <v>1934</v>
      </c>
    </row>
    <row r="4133" spans="1:18">
      <c r="A4133" s="166" t="s">
        <v>195</v>
      </c>
      <c r="B4133" s="173" t="s">
        <v>196</v>
      </c>
      <c r="C4133" s="196">
        <v>104610186</v>
      </c>
      <c r="D4133" s="168">
        <v>134609307</v>
      </c>
      <c r="E4133" s="29"/>
      <c r="F4133" s="29" t="s">
        <v>1401</v>
      </c>
      <c r="G4133" s="3" t="s">
        <v>116</v>
      </c>
      <c r="H4133" s="3" t="s">
        <v>29</v>
      </c>
      <c r="I4133" s="55">
        <v>46126</v>
      </c>
      <c r="J4133" s="55">
        <v>46129</v>
      </c>
      <c r="K4133" s="55">
        <v>46156</v>
      </c>
      <c r="L4133" s="55"/>
      <c r="M4133" s="55"/>
      <c r="N4133" s="3"/>
      <c r="O4133" s="3" t="s">
        <v>9</v>
      </c>
      <c r="P4133" s="3"/>
      <c r="Q4133" s="167"/>
      <c r="R4133" s="1" t="s">
        <v>1934</v>
      </c>
    </row>
    <row r="4134" spans="1:18">
      <c r="A4134" s="166" t="s">
        <v>195</v>
      </c>
      <c r="B4134" s="173" t="s">
        <v>196</v>
      </c>
      <c r="C4134" s="196">
        <v>104610188</v>
      </c>
      <c r="D4134" s="168">
        <v>134609308</v>
      </c>
      <c r="E4134" s="29"/>
      <c r="F4134" s="29" t="s">
        <v>1401</v>
      </c>
      <c r="G4134" s="3" t="s">
        <v>116</v>
      </c>
      <c r="H4134" s="3" t="s">
        <v>29</v>
      </c>
      <c r="I4134" s="55">
        <v>46126</v>
      </c>
      <c r="J4134" s="55">
        <v>46129</v>
      </c>
      <c r="K4134" s="55">
        <v>46156</v>
      </c>
      <c r="L4134" s="55"/>
      <c r="M4134" s="55"/>
      <c r="N4134" s="3"/>
      <c r="O4134" s="3" t="s">
        <v>9</v>
      </c>
      <c r="P4134" s="3"/>
      <c r="Q4134" s="167"/>
      <c r="R4134" s="1" t="s">
        <v>1934</v>
      </c>
    </row>
    <row r="4135" spans="1:18">
      <c r="A4135" s="166" t="s">
        <v>195</v>
      </c>
      <c r="B4135" s="173" t="s">
        <v>196</v>
      </c>
      <c r="C4135" s="196">
        <v>104610195</v>
      </c>
      <c r="D4135" s="168">
        <v>134609310</v>
      </c>
      <c r="E4135" s="29"/>
      <c r="F4135" s="29" t="s">
        <v>1401</v>
      </c>
      <c r="G4135" s="3" t="s">
        <v>116</v>
      </c>
      <c r="H4135" s="3" t="s">
        <v>29</v>
      </c>
      <c r="I4135" s="55">
        <v>46126</v>
      </c>
      <c r="J4135" s="55">
        <v>46129</v>
      </c>
      <c r="K4135" s="55">
        <v>46156</v>
      </c>
      <c r="L4135" s="55"/>
      <c r="M4135" s="55"/>
      <c r="N4135" s="3"/>
      <c r="O4135" s="3" t="s">
        <v>9</v>
      </c>
      <c r="P4135" s="3"/>
      <c r="Q4135" s="167"/>
      <c r="R4135" s="1" t="s">
        <v>1934</v>
      </c>
    </row>
    <row r="4136" spans="1:18">
      <c r="A4136" s="166" t="s">
        <v>195</v>
      </c>
      <c r="B4136" s="173" t="s">
        <v>196</v>
      </c>
      <c r="C4136" s="196">
        <v>104610201</v>
      </c>
      <c r="D4136" s="168">
        <v>134609311</v>
      </c>
      <c r="E4136" s="29"/>
      <c r="F4136" s="29" t="s">
        <v>1401</v>
      </c>
      <c r="G4136" s="3" t="s">
        <v>116</v>
      </c>
      <c r="H4136" s="3" t="s">
        <v>29</v>
      </c>
      <c r="I4136" s="55">
        <v>46126</v>
      </c>
      <c r="J4136" s="55">
        <v>46129</v>
      </c>
      <c r="K4136" s="55">
        <v>46156</v>
      </c>
      <c r="L4136" s="55"/>
      <c r="M4136" s="55"/>
      <c r="N4136" s="3"/>
      <c r="O4136" s="3" t="s">
        <v>9</v>
      </c>
      <c r="P4136" s="3"/>
      <c r="Q4136" s="167"/>
      <c r="R4136" s="1" t="s">
        <v>1934</v>
      </c>
    </row>
    <row r="4137" spans="1:18">
      <c r="A4137" s="166" t="s">
        <v>195</v>
      </c>
      <c r="B4137" s="173" t="s">
        <v>196</v>
      </c>
      <c r="C4137" s="196">
        <v>104610204</v>
      </c>
      <c r="D4137" s="168">
        <v>134609312</v>
      </c>
      <c r="E4137" s="29"/>
      <c r="F4137" s="29" t="s">
        <v>1401</v>
      </c>
      <c r="G4137" s="3" t="s">
        <v>116</v>
      </c>
      <c r="H4137" s="3" t="s">
        <v>29</v>
      </c>
      <c r="I4137" s="55">
        <v>46126</v>
      </c>
      <c r="J4137" s="55">
        <v>46129</v>
      </c>
      <c r="K4137" s="55">
        <v>46156</v>
      </c>
      <c r="L4137" s="55"/>
      <c r="M4137" s="55"/>
      <c r="N4137" s="3"/>
      <c r="O4137" s="3" t="s">
        <v>9</v>
      </c>
      <c r="P4137" s="3"/>
      <c r="Q4137" s="167"/>
      <c r="R4137" s="1" t="s">
        <v>1934</v>
      </c>
    </row>
    <row r="4138" spans="1:18">
      <c r="A4138" s="166" t="s">
        <v>195</v>
      </c>
      <c r="B4138" s="173" t="s">
        <v>196</v>
      </c>
      <c r="C4138" s="196">
        <v>104610207</v>
      </c>
      <c r="D4138" s="168">
        <v>134609325</v>
      </c>
      <c r="E4138" s="29"/>
      <c r="F4138" s="29" t="s">
        <v>1401</v>
      </c>
      <c r="G4138" s="3" t="s">
        <v>116</v>
      </c>
      <c r="H4138" s="3" t="s">
        <v>29</v>
      </c>
      <c r="I4138" s="55">
        <v>46126</v>
      </c>
      <c r="J4138" s="55">
        <v>46129</v>
      </c>
      <c r="K4138" s="55">
        <v>46156</v>
      </c>
      <c r="L4138" s="55"/>
      <c r="M4138" s="55"/>
      <c r="N4138" s="3"/>
      <c r="O4138" s="3" t="s">
        <v>9</v>
      </c>
      <c r="P4138" s="3"/>
      <c r="Q4138" s="167"/>
      <c r="R4138" s="1" t="s">
        <v>1934</v>
      </c>
    </row>
    <row r="4139" spans="1:18">
      <c r="A4139" s="166" t="s">
        <v>195</v>
      </c>
      <c r="B4139" s="173" t="s">
        <v>196</v>
      </c>
      <c r="C4139" s="196">
        <v>104610210</v>
      </c>
      <c r="D4139" s="168">
        <v>134609330</v>
      </c>
      <c r="E4139" s="29"/>
      <c r="F4139" s="29" t="s">
        <v>1401</v>
      </c>
      <c r="G4139" s="3" t="s">
        <v>116</v>
      </c>
      <c r="H4139" s="3" t="s">
        <v>29</v>
      </c>
      <c r="I4139" s="55">
        <v>46126</v>
      </c>
      <c r="J4139" s="55">
        <v>46129</v>
      </c>
      <c r="K4139" s="55">
        <v>46156</v>
      </c>
      <c r="L4139" s="55"/>
      <c r="M4139" s="55"/>
      <c r="N4139" s="3"/>
      <c r="O4139" s="3" t="s">
        <v>9</v>
      </c>
      <c r="P4139" s="3"/>
      <c r="Q4139" s="167"/>
      <c r="R4139" s="1" t="s">
        <v>1934</v>
      </c>
    </row>
    <row r="4140" spans="1:18">
      <c r="A4140" s="166" t="s">
        <v>195</v>
      </c>
      <c r="B4140" s="173" t="s">
        <v>196</v>
      </c>
      <c r="C4140" s="196">
        <v>104610214</v>
      </c>
      <c r="D4140" s="168">
        <v>134609334</v>
      </c>
      <c r="E4140" s="29"/>
      <c r="F4140" s="29" t="s">
        <v>1401</v>
      </c>
      <c r="G4140" s="3" t="s">
        <v>116</v>
      </c>
      <c r="H4140" s="3" t="s">
        <v>29</v>
      </c>
      <c r="I4140" s="55">
        <v>46126</v>
      </c>
      <c r="J4140" s="55">
        <v>46129</v>
      </c>
      <c r="K4140" s="55">
        <v>46156</v>
      </c>
      <c r="L4140" s="55"/>
      <c r="M4140" s="55"/>
      <c r="N4140" s="3"/>
      <c r="O4140" s="3" t="s">
        <v>10</v>
      </c>
      <c r="P4140" s="55">
        <v>46174</v>
      </c>
      <c r="Q4140" s="167"/>
      <c r="R4140" s="1" t="s">
        <v>1934</v>
      </c>
    </row>
    <row r="4141" spans="1:18">
      <c r="A4141" s="166" t="s">
        <v>195</v>
      </c>
      <c r="B4141" s="173" t="s">
        <v>196</v>
      </c>
      <c r="C4141" s="196">
        <v>104610215</v>
      </c>
      <c r="D4141" s="168">
        <v>134609338</v>
      </c>
      <c r="E4141" s="29"/>
      <c r="F4141" s="29" t="s">
        <v>1401</v>
      </c>
      <c r="G4141" s="3" t="s">
        <v>116</v>
      </c>
      <c r="H4141" s="3" t="s">
        <v>29</v>
      </c>
      <c r="I4141" s="55">
        <v>46126</v>
      </c>
      <c r="J4141" s="55">
        <v>46129</v>
      </c>
      <c r="K4141" s="55">
        <v>46156</v>
      </c>
      <c r="L4141" s="55"/>
      <c r="M4141" s="55"/>
      <c r="N4141" s="3"/>
      <c r="O4141" s="3" t="s">
        <v>9</v>
      </c>
      <c r="P4141" s="3"/>
      <c r="Q4141" s="167"/>
      <c r="R4141" s="1" t="s">
        <v>1934</v>
      </c>
    </row>
    <row r="4142" spans="1:18">
      <c r="A4142" s="166" t="s">
        <v>195</v>
      </c>
      <c r="B4142" s="173" t="s">
        <v>196</v>
      </c>
      <c r="C4142" s="196">
        <v>104610220</v>
      </c>
      <c r="D4142" s="168">
        <v>134609342</v>
      </c>
      <c r="E4142" s="29"/>
      <c r="F4142" s="29" t="s">
        <v>1401</v>
      </c>
      <c r="G4142" s="3" t="s">
        <v>116</v>
      </c>
      <c r="H4142" s="3" t="s">
        <v>29</v>
      </c>
      <c r="I4142" s="55">
        <v>46126</v>
      </c>
      <c r="J4142" s="55">
        <v>46129</v>
      </c>
      <c r="K4142" s="55">
        <v>46156</v>
      </c>
      <c r="L4142" s="55"/>
      <c r="M4142" s="55"/>
      <c r="N4142" s="3"/>
      <c r="O4142" s="3" t="s">
        <v>9</v>
      </c>
      <c r="P4142" s="3"/>
      <c r="Q4142" s="167"/>
      <c r="R4142" s="1" t="s">
        <v>1934</v>
      </c>
    </row>
    <row r="4143" spans="1:18">
      <c r="A4143" s="166" t="s">
        <v>195</v>
      </c>
      <c r="B4143" s="173" t="s">
        <v>196</v>
      </c>
      <c r="C4143" s="196">
        <v>104610223</v>
      </c>
      <c r="D4143" s="168">
        <v>134609343</v>
      </c>
      <c r="E4143" s="29"/>
      <c r="F4143" s="29" t="s">
        <v>1401</v>
      </c>
      <c r="G4143" s="3" t="s">
        <v>116</v>
      </c>
      <c r="H4143" s="3" t="s">
        <v>29</v>
      </c>
      <c r="I4143" s="55">
        <v>46126</v>
      </c>
      <c r="J4143" s="55">
        <v>46129</v>
      </c>
      <c r="K4143" s="55">
        <v>46156</v>
      </c>
      <c r="L4143" s="55"/>
      <c r="M4143" s="55"/>
      <c r="N4143" s="3"/>
      <c r="O4143" s="3" t="s">
        <v>10</v>
      </c>
      <c r="P4143" s="55">
        <v>46174</v>
      </c>
      <c r="Q4143" s="167"/>
      <c r="R4143" s="1" t="s">
        <v>1934</v>
      </c>
    </row>
    <row r="4144" spans="1:18">
      <c r="A4144" s="166" t="s">
        <v>195</v>
      </c>
      <c r="B4144" s="173" t="s">
        <v>196</v>
      </c>
      <c r="C4144" s="196">
        <v>104610229</v>
      </c>
      <c r="D4144" s="168"/>
      <c r="E4144" s="29"/>
      <c r="F4144" s="29" t="s">
        <v>1401</v>
      </c>
      <c r="G4144" s="3" t="s">
        <v>116</v>
      </c>
      <c r="H4144" s="3" t="s">
        <v>29</v>
      </c>
      <c r="I4144" s="55">
        <v>46126</v>
      </c>
      <c r="J4144" s="55">
        <v>46129</v>
      </c>
      <c r="K4144" s="55">
        <v>46156</v>
      </c>
      <c r="L4144" s="55"/>
      <c r="M4144" s="55"/>
      <c r="N4144" s="3"/>
      <c r="O4144" s="3" t="s">
        <v>10</v>
      </c>
      <c r="P4144" s="55">
        <v>46156</v>
      </c>
      <c r="Q4144" s="167"/>
      <c r="R4144" s="1"/>
    </row>
    <row r="4145" spans="1:18">
      <c r="A4145" s="166" t="s">
        <v>195</v>
      </c>
      <c r="B4145" s="173" t="s">
        <v>196</v>
      </c>
      <c r="C4145" s="196">
        <v>105600011</v>
      </c>
      <c r="D4145" s="168"/>
      <c r="E4145" s="29"/>
      <c r="F4145" s="29" t="s">
        <v>1401</v>
      </c>
      <c r="G4145" s="3" t="s">
        <v>116</v>
      </c>
      <c r="H4145" s="3" t="s">
        <v>29</v>
      </c>
      <c r="I4145" s="55">
        <v>46126</v>
      </c>
      <c r="J4145" s="55">
        <v>46129</v>
      </c>
      <c r="K4145" s="55">
        <v>46156</v>
      </c>
      <c r="L4145" s="55"/>
      <c r="M4145" s="55"/>
      <c r="N4145" s="3"/>
      <c r="O4145" s="3" t="s">
        <v>10</v>
      </c>
      <c r="P4145" s="55">
        <v>46156</v>
      </c>
      <c r="Q4145" s="167"/>
      <c r="R4145" s="1"/>
    </row>
    <row r="4146" spans="1:18">
      <c r="A4146" s="166" t="s">
        <v>195</v>
      </c>
      <c r="B4146" s="173" t="s">
        <v>196</v>
      </c>
      <c r="C4146" s="196">
        <v>105600014</v>
      </c>
      <c r="D4146" s="168"/>
      <c r="E4146" s="29"/>
      <c r="F4146" s="29" t="s">
        <v>1401</v>
      </c>
      <c r="G4146" s="3" t="s">
        <v>116</v>
      </c>
      <c r="H4146" s="3" t="s">
        <v>29</v>
      </c>
      <c r="I4146" s="55">
        <v>46126</v>
      </c>
      <c r="J4146" s="55">
        <v>46129</v>
      </c>
      <c r="K4146" s="55">
        <v>46156</v>
      </c>
      <c r="L4146" s="55"/>
      <c r="M4146" s="55"/>
      <c r="N4146" s="3"/>
      <c r="O4146" s="3" t="s">
        <v>10</v>
      </c>
      <c r="P4146" s="55">
        <v>46156</v>
      </c>
      <c r="Q4146" s="167"/>
      <c r="R4146" s="1"/>
    </row>
    <row r="4147" spans="1:18">
      <c r="A4147" s="166" t="s">
        <v>195</v>
      </c>
      <c r="B4147" s="173" t="s">
        <v>196</v>
      </c>
      <c r="C4147" s="196">
        <v>105600017</v>
      </c>
      <c r="D4147" s="168"/>
      <c r="E4147" s="29"/>
      <c r="F4147" s="29" t="s">
        <v>1401</v>
      </c>
      <c r="G4147" s="3" t="s">
        <v>116</v>
      </c>
      <c r="H4147" s="3" t="s">
        <v>29</v>
      </c>
      <c r="I4147" s="55">
        <v>46126</v>
      </c>
      <c r="J4147" s="55">
        <v>46129</v>
      </c>
      <c r="K4147" s="55">
        <v>46156</v>
      </c>
      <c r="L4147" s="55"/>
      <c r="M4147" s="55"/>
      <c r="N4147" s="3"/>
      <c r="O4147" s="3" t="s">
        <v>10</v>
      </c>
      <c r="P4147" s="55">
        <v>46156</v>
      </c>
      <c r="Q4147" s="167"/>
      <c r="R4147" s="1"/>
    </row>
    <row r="4148" spans="1:18">
      <c r="A4148" s="166" t="s">
        <v>195</v>
      </c>
      <c r="B4148" s="173" t="s">
        <v>196</v>
      </c>
      <c r="C4148" s="196">
        <v>105600021</v>
      </c>
      <c r="D4148" s="168"/>
      <c r="E4148" s="29"/>
      <c r="F4148" s="29" t="s">
        <v>1401</v>
      </c>
      <c r="G4148" s="3" t="s">
        <v>116</v>
      </c>
      <c r="H4148" s="3" t="s">
        <v>29</v>
      </c>
      <c r="I4148" s="55">
        <v>46126</v>
      </c>
      <c r="J4148" s="55">
        <v>46129</v>
      </c>
      <c r="K4148" s="55">
        <v>46156</v>
      </c>
      <c r="L4148" s="55"/>
      <c r="M4148" s="55"/>
      <c r="N4148" s="3"/>
      <c r="O4148" s="3" t="s">
        <v>10</v>
      </c>
      <c r="P4148" s="55">
        <v>46156</v>
      </c>
      <c r="Q4148" s="167"/>
      <c r="R4148" s="1"/>
    </row>
    <row r="4149" spans="1:18">
      <c r="A4149" s="166" t="s">
        <v>195</v>
      </c>
      <c r="B4149" s="173" t="s">
        <v>196</v>
      </c>
      <c r="C4149" s="196">
        <v>105600022</v>
      </c>
      <c r="D4149" s="168"/>
      <c r="E4149" s="29"/>
      <c r="F4149" s="29" t="s">
        <v>1401</v>
      </c>
      <c r="G4149" s="3" t="s">
        <v>116</v>
      </c>
      <c r="H4149" s="3" t="s">
        <v>29</v>
      </c>
      <c r="I4149" s="55">
        <v>46126</v>
      </c>
      <c r="J4149" s="55">
        <v>46129</v>
      </c>
      <c r="K4149" s="55">
        <v>46156</v>
      </c>
      <c r="L4149" s="55"/>
      <c r="M4149" s="55"/>
      <c r="N4149" s="3"/>
      <c r="O4149" s="3" t="s">
        <v>10</v>
      </c>
      <c r="P4149" s="55">
        <v>46156</v>
      </c>
      <c r="Q4149" s="167"/>
      <c r="R4149" s="1"/>
    </row>
    <row r="4150" spans="1:18">
      <c r="A4150" s="166" t="s">
        <v>195</v>
      </c>
      <c r="B4150" s="173" t="s">
        <v>196</v>
      </c>
      <c r="C4150" s="196">
        <v>105600024</v>
      </c>
      <c r="D4150" s="168"/>
      <c r="E4150" s="29"/>
      <c r="F4150" s="29" t="s">
        <v>1401</v>
      </c>
      <c r="G4150" s="3" t="s">
        <v>116</v>
      </c>
      <c r="H4150" s="3" t="s">
        <v>29</v>
      </c>
      <c r="I4150" s="55">
        <v>46126</v>
      </c>
      <c r="J4150" s="55">
        <v>46129</v>
      </c>
      <c r="K4150" s="55">
        <v>46156</v>
      </c>
      <c r="L4150" s="55"/>
      <c r="M4150" s="55"/>
      <c r="N4150" s="3"/>
      <c r="O4150" s="3" t="s">
        <v>10</v>
      </c>
      <c r="P4150" s="55">
        <v>46156</v>
      </c>
      <c r="Q4150" s="167"/>
      <c r="R4150" s="1"/>
    </row>
    <row r="4151" spans="1:18">
      <c r="A4151" s="166" t="s">
        <v>195</v>
      </c>
      <c r="B4151" s="173" t="s">
        <v>196</v>
      </c>
      <c r="C4151" s="196">
        <v>105600026</v>
      </c>
      <c r="D4151" s="168"/>
      <c r="E4151" s="29"/>
      <c r="F4151" s="29" t="s">
        <v>1401</v>
      </c>
      <c r="G4151" s="3" t="s">
        <v>116</v>
      </c>
      <c r="H4151" s="3" t="s">
        <v>29</v>
      </c>
      <c r="I4151" s="55">
        <v>46126</v>
      </c>
      <c r="J4151" s="55">
        <v>46129</v>
      </c>
      <c r="K4151" s="55">
        <v>46156</v>
      </c>
      <c r="L4151" s="55"/>
      <c r="M4151" s="55"/>
      <c r="N4151" s="3"/>
      <c r="O4151" s="3" t="s">
        <v>10</v>
      </c>
      <c r="P4151" s="55">
        <v>46156</v>
      </c>
      <c r="Q4151" s="167"/>
      <c r="R4151" s="1"/>
    </row>
    <row r="4152" spans="1:18">
      <c r="A4152" s="166" t="s">
        <v>195</v>
      </c>
      <c r="B4152" s="173" t="s">
        <v>196</v>
      </c>
      <c r="C4152" s="196">
        <v>105600029</v>
      </c>
      <c r="D4152" s="168"/>
      <c r="E4152" s="29"/>
      <c r="F4152" s="29" t="s">
        <v>1401</v>
      </c>
      <c r="G4152" s="3" t="s">
        <v>116</v>
      </c>
      <c r="H4152" s="3" t="s">
        <v>29</v>
      </c>
      <c r="I4152" s="55">
        <v>46126</v>
      </c>
      <c r="J4152" s="55">
        <v>46129</v>
      </c>
      <c r="K4152" s="55">
        <v>46156</v>
      </c>
      <c r="L4152" s="55"/>
      <c r="M4152" s="55"/>
      <c r="N4152" s="3"/>
      <c r="O4152" s="3" t="s">
        <v>10</v>
      </c>
      <c r="P4152" s="55">
        <v>46156</v>
      </c>
      <c r="Q4152" s="167"/>
      <c r="R4152" s="1"/>
    </row>
    <row r="4153" spans="1:18">
      <c r="A4153" s="166" t="s">
        <v>195</v>
      </c>
      <c r="B4153" s="173" t="s">
        <v>196</v>
      </c>
      <c r="C4153" s="196">
        <v>105600031</v>
      </c>
      <c r="D4153" s="168"/>
      <c r="E4153" s="29"/>
      <c r="F4153" s="29" t="s">
        <v>1401</v>
      </c>
      <c r="G4153" s="3" t="s">
        <v>116</v>
      </c>
      <c r="H4153" s="3" t="s">
        <v>29</v>
      </c>
      <c r="I4153" s="55">
        <v>46126</v>
      </c>
      <c r="J4153" s="55">
        <v>46129</v>
      </c>
      <c r="K4153" s="55">
        <v>46156</v>
      </c>
      <c r="L4153" s="55"/>
      <c r="M4153" s="55"/>
      <c r="N4153" s="3"/>
      <c r="O4153" s="3" t="s">
        <v>10</v>
      </c>
      <c r="P4153" s="55">
        <v>46156</v>
      </c>
      <c r="Q4153" s="167"/>
      <c r="R4153" s="1"/>
    </row>
    <row r="4154" spans="1:18">
      <c r="A4154" s="166" t="s">
        <v>195</v>
      </c>
      <c r="B4154" s="173" t="s">
        <v>196</v>
      </c>
      <c r="C4154" s="196">
        <v>105600034</v>
      </c>
      <c r="D4154" s="168"/>
      <c r="E4154" s="29"/>
      <c r="F4154" s="29" t="s">
        <v>1401</v>
      </c>
      <c r="G4154" s="3" t="s">
        <v>116</v>
      </c>
      <c r="H4154" s="3" t="s">
        <v>29</v>
      </c>
      <c r="I4154" s="55">
        <v>46126</v>
      </c>
      <c r="J4154" s="55">
        <v>46129</v>
      </c>
      <c r="K4154" s="55">
        <v>46156</v>
      </c>
      <c r="L4154" s="55"/>
      <c r="M4154" s="55"/>
      <c r="N4154" s="3"/>
      <c r="O4154" s="3" t="s">
        <v>10</v>
      </c>
      <c r="P4154" s="55">
        <v>46156</v>
      </c>
      <c r="Q4154" s="167"/>
      <c r="R4154" s="1"/>
    </row>
    <row r="4155" spans="1:18">
      <c r="A4155" s="166" t="s">
        <v>195</v>
      </c>
      <c r="B4155" s="173" t="s">
        <v>196</v>
      </c>
      <c r="C4155" s="196">
        <v>105600037</v>
      </c>
      <c r="D4155" s="168"/>
      <c r="E4155" s="29"/>
      <c r="F4155" s="29" t="s">
        <v>1401</v>
      </c>
      <c r="G4155" s="3" t="s">
        <v>116</v>
      </c>
      <c r="H4155" s="3" t="s">
        <v>29</v>
      </c>
      <c r="I4155" s="55">
        <v>46126</v>
      </c>
      <c r="J4155" s="55">
        <v>46129</v>
      </c>
      <c r="K4155" s="55">
        <v>46156</v>
      </c>
      <c r="L4155" s="55"/>
      <c r="M4155" s="55"/>
      <c r="N4155" s="3"/>
      <c r="O4155" s="3" t="s">
        <v>10</v>
      </c>
      <c r="P4155" s="55">
        <v>46156</v>
      </c>
      <c r="Q4155" s="167"/>
      <c r="R4155" s="1"/>
    </row>
    <row r="4156" spans="1:18">
      <c r="A4156" s="166" t="s">
        <v>195</v>
      </c>
      <c r="B4156" s="173" t="s">
        <v>196</v>
      </c>
      <c r="C4156" s="196">
        <v>105600039</v>
      </c>
      <c r="D4156" s="168"/>
      <c r="E4156" s="29"/>
      <c r="F4156" s="29" t="s">
        <v>1401</v>
      </c>
      <c r="G4156" s="3" t="s">
        <v>116</v>
      </c>
      <c r="H4156" s="3" t="s">
        <v>29</v>
      </c>
      <c r="I4156" s="55">
        <v>46126</v>
      </c>
      <c r="J4156" s="55">
        <v>46129</v>
      </c>
      <c r="K4156" s="55">
        <v>46156</v>
      </c>
      <c r="L4156" s="55"/>
      <c r="M4156" s="55"/>
      <c r="N4156" s="3"/>
      <c r="O4156" s="3" t="s">
        <v>10</v>
      </c>
      <c r="P4156" s="55">
        <v>46156</v>
      </c>
      <c r="Q4156" s="167"/>
      <c r="R4156" s="1"/>
    </row>
    <row r="4157" spans="1:18">
      <c r="A4157" s="166" t="s">
        <v>195</v>
      </c>
      <c r="B4157" s="173" t="s">
        <v>196</v>
      </c>
      <c r="C4157" s="196">
        <v>105600043</v>
      </c>
      <c r="D4157" s="168"/>
      <c r="E4157" s="29"/>
      <c r="F4157" s="29" t="s">
        <v>1401</v>
      </c>
      <c r="G4157" s="3" t="s">
        <v>116</v>
      </c>
      <c r="H4157" s="3" t="s">
        <v>29</v>
      </c>
      <c r="I4157" s="55">
        <v>46126</v>
      </c>
      <c r="J4157" s="55">
        <v>46129</v>
      </c>
      <c r="K4157" s="55">
        <v>46156</v>
      </c>
      <c r="L4157" s="55"/>
      <c r="M4157" s="55"/>
      <c r="N4157" s="3"/>
      <c r="O4157" s="3" t="s">
        <v>10</v>
      </c>
      <c r="P4157" s="55">
        <v>46156</v>
      </c>
      <c r="Q4157" s="167"/>
      <c r="R4157" s="1"/>
    </row>
    <row r="4158" spans="1:18">
      <c r="A4158" s="166" t="s">
        <v>195</v>
      </c>
      <c r="B4158" s="173" t="s">
        <v>196</v>
      </c>
      <c r="C4158" s="196">
        <v>105600046</v>
      </c>
      <c r="D4158" s="168"/>
      <c r="E4158" s="29"/>
      <c r="F4158" s="29" t="s">
        <v>1401</v>
      </c>
      <c r="G4158" s="3" t="s">
        <v>116</v>
      </c>
      <c r="H4158" s="3" t="s">
        <v>29</v>
      </c>
      <c r="I4158" s="55">
        <v>46126</v>
      </c>
      <c r="J4158" s="55">
        <v>46129</v>
      </c>
      <c r="K4158" s="55">
        <v>46156</v>
      </c>
      <c r="L4158" s="55"/>
      <c r="M4158" s="55"/>
      <c r="N4158" s="3"/>
      <c r="O4158" s="3" t="s">
        <v>10</v>
      </c>
      <c r="P4158" s="55">
        <v>46156</v>
      </c>
      <c r="Q4158" s="167"/>
      <c r="R4158" s="1"/>
    </row>
    <row r="4159" spans="1:18">
      <c r="A4159" s="166" t="s">
        <v>195</v>
      </c>
      <c r="B4159" s="173" t="s">
        <v>196</v>
      </c>
      <c r="C4159" s="196">
        <v>105600048</v>
      </c>
      <c r="D4159" s="168"/>
      <c r="E4159" s="29"/>
      <c r="F4159" s="29" t="s">
        <v>1401</v>
      </c>
      <c r="G4159" s="3" t="s">
        <v>116</v>
      </c>
      <c r="H4159" s="3" t="s">
        <v>29</v>
      </c>
      <c r="I4159" s="55">
        <v>46126</v>
      </c>
      <c r="J4159" s="55">
        <v>46129</v>
      </c>
      <c r="K4159" s="55">
        <v>46156</v>
      </c>
      <c r="L4159" s="55"/>
      <c r="M4159" s="55"/>
      <c r="N4159" s="3"/>
      <c r="O4159" s="3" t="s">
        <v>10</v>
      </c>
      <c r="P4159" s="55">
        <v>46156</v>
      </c>
      <c r="Q4159" s="167"/>
      <c r="R4159" s="1"/>
    </row>
    <row r="4160" spans="1:18">
      <c r="A4160" s="166" t="s">
        <v>195</v>
      </c>
      <c r="B4160" s="173" t="s">
        <v>196</v>
      </c>
      <c r="C4160" s="196">
        <v>105600049</v>
      </c>
      <c r="D4160" s="168"/>
      <c r="E4160" s="29"/>
      <c r="F4160" s="29" t="s">
        <v>1401</v>
      </c>
      <c r="G4160" s="3" t="s">
        <v>116</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116</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116</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116</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116</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116</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116</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116</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116</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116</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116</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116</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116</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116</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116</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116</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116</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116</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116</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116</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116</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116</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116</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116</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116</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116</v>
      </c>
      <c r="H4185" s="3" t="s">
        <v>1906</v>
      </c>
      <c r="I4185" s="55">
        <v>46156</v>
      </c>
      <c r="J4185" s="55">
        <v>46160</v>
      </c>
      <c r="K4185" s="55">
        <v>46188</v>
      </c>
      <c r="L4185" s="55"/>
      <c r="M4185" s="55"/>
      <c r="N4185" s="3"/>
      <c r="O4185" s="3" t="s">
        <v>10</v>
      </c>
      <c r="P4185" s="55">
        <v>46161</v>
      </c>
      <c r="Q4185" s="167"/>
      <c r="R4185" s="1"/>
    </row>
    <row r="4186" spans="1:121">
      <c r="A4186" s="173" t="s">
        <v>140</v>
      </c>
      <c r="B4186" s="183" t="s">
        <v>141</v>
      </c>
      <c r="C4186" s="196">
        <v>151600821</v>
      </c>
      <c r="D4186" s="168"/>
      <c r="E4186" s="29"/>
      <c r="F4186" s="29" t="s">
        <v>128</v>
      </c>
      <c r="G4186" s="3" t="s">
        <v>1941</v>
      </c>
      <c r="H4186" s="3" t="s">
        <v>129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140</v>
      </c>
      <c r="B4187" s="183" t="s">
        <v>141</v>
      </c>
      <c r="C4187" s="196">
        <v>151600818</v>
      </c>
      <c r="D4187" s="168"/>
      <c r="E4187" s="29"/>
      <c r="F4187" s="29" t="s">
        <v>128</v>
      </c>
      <c r="G4187" s="3" t="s">
        <v>1941</v>
      </c>
      <c r="H4187" s="3" t="s">
        <v>129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128</v>
      </c>
      <c r="G4188" s="3" t="s">
        <v>1941</v>
      </c>
      <c r="H4188" s="3" t="s">
        <v>129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128</v>
      </c>
      <c r="G4189" s="3" t="s">
        <v>1941</v>
      </c>
      <c r="H4189" s="3" t="s">
        <v>129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128</v>
      </c>
      <c r="G4190" s="3" t="s">
        <v>1941</v>
      </c>
      <c r="H4190" s="3" t="s">
        <v>129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128</v>
      </c>
      <c r="G4191" s="3" t="s">
        <v>1941</v>
      </c>
      <c r="H4191" s="3" t="s">
        <v>129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128</v>
      </c>
      <c r="G4192" s="3" t="s">
        <v>1941</v>
      </c>
      <c r="H4192" s="3" t="s">
        <v>129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128</v>
      </c>
      <c r="G4193" s="3" t="s">
        <v>1941</v>
      </c>
      <c r="H4193" s="3" t="s">
        <v>129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128</v>
      </c>
      <c r="G4194" s="3" t="s">
        <v>1941</v>
      </c>
      <c r="H4194" s="3" t="s">
        <v>129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128</v>
      </c>
      <c r="G4195" s="3" t="s">
        <v>1941</v>
      </c>
      <c r="H4195" s="3" t="s">
        <v>129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128</v>
      </c>
      <c r="G4196" s="3" t="s">
        <v>1941</v>
      </c>
      <c r="H4196" s="3" t="s">
        <v>129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128</v>
      </c>
      <c r="G4197" s="3" t="s">
        <v>1941</v>
      </c>
      <c r="H4197" s="3" t="s">
        <v>129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128</v>
      </c>
      <c r="G4198" s="3" t="s">
        <v>1941</v>
      </c>
      <c r="H4198" s="3" t="s">
        <v>129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128</v>
      </c>
      <c r="G4199" s="3" t="s">
        <v>1941</v>
      </c>
      <c r="H4199" s="3" t="s">
        <v>129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128</v>
      </c>
      <c r="G4200" s="3" t="s">
        <v>1941</v>
      </c>
      <c r="H4200" s="3" t="s">
        <v>129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128</v>
      </c>
      <c r="G4201" s="3" t="s">
        <v>1941</v>
      </c>
      <c r="H4201" s="3" t="s">
        <v>129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128</v>
      </c>
      <c r="G4202" s="3" t="s">
        <v>1941</v>
      </c>
      <c r="H4202" s="3" t="s">
        <v>129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128</v>
      </c>
      <c r="G4203" s="3" t="s">
        <v>1941</v>
      </c>
      <c r="H4203" s="3" t="s">
        <v>129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128</v>
      </c>
      <c r="G4204" s="3" t="s">
        <v>1941</v>
      </c>
      <c r="H4204" s="3" t="s">
        <v>129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128</v>
      </c>
      <c r="G4205" s="3" t="s">
        <v>1941</v>
      </c>
      <c r="H4205" s="3" t="s">
        <v>129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128</v>
      </c>
      <c r="G4206" s="3" t="s">
        <v>1941</v>
      </c>
      <c r="H4206" s="3" t="s">
        <v>129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128</v>
      </c>
      <c r="G4207" s="3" t="s">
        <v>1941</v>
      </c>
      <c r="H4207" s="3" t="s">
        <v>129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193</v>
      </c>
      <c r="B4208" s="176">
        <v>20260307552</v>
      </c>
      <c r="C4208" s="196">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193</v>
      </c>
      <c r="B4209" s="176">
        <v>20260307552</v>
      </c>
      <c r="C4209" s="196">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193</v>
      </c>
      <c r="B4210" s="176">
        <v>20260307552</v>
      </c>
      <c r="C4210" s="196">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193</v>
      </c>
      <c r="B4211" s="176">
        <v>20260307552</v>
      </c>
      <c r="C4211" s="196">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193</v>
      </c>
      <c r="B4212" s="176">
        <v>20260307552</v>
      </c>
      <c r="C4212" s="196">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193</v>
      </c>
      <c r="B4213" s="176">
        <v>20260307552</v>
      </c>
      <c r="C4213" s="196">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193</v>
      </c>
      <c r="B4214" s="176">
        <v>20260307552</v>
      </c>
      <c r="C4214" s="196">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193</v>
      </c>
      <c r="B4215" s="176">
        <v>20260307552</v>
      </c>
      <c r="C4215" s="196">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193</v>
      </c>
      <c r="B4216" s="176">
        <v>20260307552</v>
      </c>
      <c r="C4216" s="196">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193</v>
      </c>
      <c r="B4217" s="176">
        <v>20260307552</v>
      </c>
      <c r="C4217" s="196">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193</v>
      </c>
      <c r="B4218" s="176">
        <v>20260307552</v>
      </c>
      <c r="C4218" s="196">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193</v>
      </c>
      <c r="B4219" s="176">
        <v>20260307552</v>
      </c>
      <c r="C4219" s="196">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193</v>
      </c>
      <c r="B4220" s="176">
        <v>20260307552</v>
      </c>
      <c r="C4220" s="196">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193</v>
      </c>
      <c r="B4221" s="176">
        <v>20260307552</v>
      </c>
      <c r="C4221" s="196">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193</v>
      </c>
      <c r="B4222" s="176">
        <v>20260307552</v>
      </c>
      <c r="C4222" s="196">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193</v>
      </c>
      <c r="B4223" s="176">
        <v>20260307552</v>
      </c>
      <c r="C4223" s="196">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193</v>
      </c>
      <c r="B4224" s="176">
        <v>20260307552</v>
      </c>
      <c r="C4224" s="196">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193</v>
      </c>
      <c r="B4225" s="176">
        <v>20260307552</v>
      </c>
      <c r="C4225" s="196">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193</v>
      </c>
      <c r="B4226" s="176">
        <v>20260307552</v>
      </c>
      <c r="C4226" s="196">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193</v>
      </c>
      <c r="B4227" s="176">
        <v>20260307552</v>
      </c>
      <c r="C4227" s="196">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193</v>
      </c>
      <c r="B4228" s="176">
        <v>20260307552</v>
      </c>
      <c r="C4228" s="196">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193</v>
      </c>
      <c r="B4229" s="176">
        <v>20260307552</v>
      </c>
      <c r="C4229" s="196">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193</v>
      </c>
      <c r="B4230" s="176">
        <v>20260307552</v>
      </c>
      <c r="C4230" s="196">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193</v>
      </c>
      <c r="B4231" s="176">
        <v>20260307552</v>
      </c>
      <c r="C4231" s="196">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193</v>
      </c>
      <c r="B4232" s="176">
        <v>20260307552</v>
      </c>
      <c r="C4232" s="196">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193</v>
      </c>
      <c r="B4233" s="176">
        <v>20260307552</v>
      </c>
      <c r="C4233" s="196">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193</v>
      </c>
      <c r="B4234" s="176">
        <v>20260307552</v>
      </c>
      <c r="C4234" s="196">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193</v>
      </c>
      <c r="B4235" s="176">
        <v>20260307552</v>
      </c>
      <c r="C4235" s="196">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1944</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1944</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1944</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1944</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1945</v>
      </c>
      <c r="B4242" s="176" t="s">
        <v>1946</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1945</v>
      </c>
      <c r="B4243" s="173" t="s">
        <v>1946</v>
      </c>
      <c r="C4243" s="196">
        <v>152610523</v>
      </c>
      <c r="D4243" s="168"/>
      <c r="E4243" s="29"/>
      <c r="F4243" s="29" t="s">
        <v>76</v>
      </c>
      <c r="G4243" s="3" t="s">
        <v>64</v>
      </c>
      <c r="H4243" s="3" t="s">
        <v>77</v>
      </c>
      <c r="I4243" s="55">
        <v>46174</v>
      </c>
      <c r="J4243" s="55">
        <v>46177</v>
      </c>
      <c r="K4243" s="55">
        <v>46204</v>
      </c>
      <c r="L4243" s="55"/>
      <c r="M4243" s="55"/>
      <c r="N4243" s="3"/>
      <c r="O4243" s="3" t="s">
        <v>10</v>
      </c>
      <c r="P4243" s="55" t="s">
        <v>1947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1945</v>
      </c>
      <c r="B4244" s="173" t="s">
        <v>1946</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1945</v>
      </c>
      <c r="B4245" s="173" t="s">
        <v>1946</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1945</v>
      </c>
      <c r="B4246" s="173" t="s">
        <v>1946</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1948</v>
      </c>
      <c r="B4247" s="173" t="s">
        <v>1949</v>
      </c>
      <c r="C4247" s="196">
        <v>155606002</v>
      </c>
      <c r="D4247" s="168"/>
      <c r="E4247" s="29"/>
      <c r="F4247" s="29" t="s">
        <v>199</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1948</v>
      </c>
      <c r="B4248" s="173" t="s">
        <v>1949</v>
      </c>
      <c r="C4248" s="196">
        <v>155606124</v>
      </c>
      <c r="D4248" s="168"/>
      <c r="E4248" s="29"/>
      <c r="F4248" s="29" t="s">
        <v>199</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1948</v>
      </c>
      <c r="B4249" s="176" t="s">
        <v>1949</v>
      </c>
      <c r="C4249" s="196">
        <v>155606226</v>
      </c>
      <c r="D4249" s="168"/>
      <c r="E4249" s="29"/>
      <c r="F4249" s="29" t="s">
        <v>199</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1948</v>
      </c>
      <c r="B4250" s="176" t="s">
        <v>1949</v>
      </c>
      <c r="C4250" s="196">
        <v>155606313</v>
      </c>
      <c r="D4250" s="168"/>
      <c r="E4250" s="29"/>
      <c r="F4250" s="29" t="s">
        <v>199</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1948</v>
      </c>
      <c r="B4251" s="176" t="s">
        <v>1949</v>
      </c>
      <c r="C4251" s="196">
        <v>155606473</v>
      </c>
      <c r="D4251" s="168"/>
      <c r="E4251" s="29"/>
      <c r="F4251" s="29" t="s">
        <v>199</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1948</v>
      </c>
      <c r="B4252" s="176" t="s">
        <v>1949</v>
      </c>
      <c r="C4252" s="196">
        <v>155606598</v>
      </c>
      <c r="D4252" s="168"/>
      <c r="E4252" s="29"/>
      <c r="F4252" s="29" t="s">
        <v>199</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1948</v>
      </c>
      <c r="B4253" s="176" t="s">
        <v>1949</v>
      </c>
      <c r="C4253" s="196">
        <v>155606693</v>
      </c>
      <c r="D4253" s="168"/>
      <c r="E4253" s="29"/>
      <c r="F4253" s="29" t="s">
        <v>199</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1950</v>
      </c>
      <c r="B4254" s="183" t="s">
        <v>1951</v>
      </c>
      <c r="C4254" s="196">
        <v>155607502</v>
      </c>
      <c r="D4254" s="168"/>
      <c r="E4254" s="184"/>
      <c r="F4254" s="184" t="s">
        <v>199</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1950</v>
      </c>
      <c r="B4255" s="183" t="s">
        <v>1951</v>
      </c>
      <c r="C4255" s="196">
        <v>155607725</v>
      </c>
      <c r="D4255" s="168"/>
      <c r="E4255" s="184"/>
      <c r="F4255" s="184" t="s">
        <v>199</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122</v>
      </c>
      <c r="B4256" s="176" t="s">
        <v>123</v>
      </c>
      <c r="C4256" s="196">
        <v>150600220</v>
      </c>
      <c r="D4256" s="168"/>
      <c r="E4256" s="29"/>
      <c r="F4256" s="29" t="s">
        <v>124</v>
      </c>
      <c r="G4256" s="3" t="s">
        <v>64</v>
      </c>
      <c r="H4256" s="3" t="s">
        <v>125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122</v>
      </c>
      <c r="B4257" s="176" t="s">
        <v>123</v>
      </c>
      <c r="C4257" s="196">
        <v>150600229</v>
      </c>
      <c r="D4257" s="168"/>
      <c r="E4257" s="29"/>
      <c r="F4257" s="29" t="s">
        <v>124</v>
      </c>
      <c r="G4257" s="3" t="s">
        <v>64</v>
      </c>
      <c r="H4257" s="3" t="s">
        <v>125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122</v>
      </c>
      <c r="B4258" s="176" t="s">
        <v>123</v>
      </c>
      <c r="C4258" s="196">
        <v>150600233</v>
      </c>
      <c r="D4258" s="168"/>
      <c r="E4258" s="29"/>
      <c r="F4258" s="29" t="s">
        <v>124</v>
      </c>
      <c r="G4258" s="3" t="s">
        <v>64</v>
      </c>
      <c r="H4258" s="3" t="s">
        <v>125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122</v>
      </c>
      <c r="B4259" s="176" t="s">
        <v>123</v>
      </c>
      <c r="C4259" s="196">
        <v>150600239</v>
      </c>
      <c r="D4259" s="168"/>
      <c r="E4259" s="29"/>
      <c r="F4259" s="29" t="s">
        <v>124</v>
      </c>
      <c r="G4259" s="3" t="s">
        <v>64</v>
      </c>
      <c r="H4259" s="3" t="s">
        <v>125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122</v>
      </c>
      <c r="B4260" s="176" t="s">
        <v>123</v>
      </c>
      <c r="C4260" s="196">
        <v>150600244</v>
      </c>
      <c r="D4260" s="168"/>
      <c r="E4260" s="29"/>
      <c r="F4260" s="29" t="s">
        <v>124</v>
      </c>
      <c r="G4260" s="3" t="s">
        <v>64</v>
      </c>
      <c r="H4260" s="3" t="s">
        <v>125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122</v>
      </c>
      <c r="B4261" s="176" t="s">
        <v>123</v>
      </c>
      <c r="C4261" s="196">
        <v>150600243</v>
      </c>
      <c r="D4261" s="168"/>
      <c r="E4261" s="29"/>
      <c r="F4261" s="29" t="s">
        <v>124</v>
      </c>
      <c r="G4261" s="3" t="s">
        <v>64</v>
      </c>
      <c r="H4261" s="3" t="s">
        <v>125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122</v>
      </c>
      <c r="B4262" s="176" t="s">
        <v>123</v>
      </c>
      <c r="C4262" s="196">
        <v>150600267</v>
      </c>
      <c r="D4262" s="168"/>
      <c r="E4262" s="29"/>
      <c r="F4262" s="29" t="s">
        <v>124</v>
      </c>
      <c r="G4262" s="3" t="s">
        <v>64</v>
      </c>
      <c r="H4262" s="3" t="s">
        <v>125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122</v>
      </c>
      <c r="B4263" s="173" t="s">
        <v>123</v>
      </c>
      <c r="C4263" s="196">
        <v>150600241</v>
      </c>
      <c r="D4263" s="168"/>
      <c r="E4263" s="29"/>
      <c r="F4263" s="29" t="s">
        <v>124</v>
      </c>
      <c r="G4263" s="3" t="s">
        <v>64</v>
      </c>
      <c r="H4263" s="3" t="s">
        <v>125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122</v>
      </c>
      <c r="B4264" s="183" t="s">
        <v>123</v>
      </c>
      <c r="C4264" s="196">
        <v>161609290</v>
      </c>
      <c r="D4264" s="168"/>
      <c r="E4264" s="29"/>
      <c r="F4264" s="29" t="s">
        <v>124</v>
      </c>
      <c r="G4264" s="3" t="s">
        <v>64</v>
      </c>
      <c r="H4264" s="3" t="s">
        <v>125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122</v>
      </c>
      <c r="B4265" s="183" t="s">
        <v>123</v>
      </c>
      <c r="C4265" s="196">
        <v>161609305</v>
      </c>
      <c r="D4265" s="168"/>
      <c r="E4265" s="29"/>
      <c r="F4265" s="29" t="s">
        <v>124</v>
      </c>
      <c r="G4265" s="3" t="s">
        <v>64</v>
      </c>
      <c r="H4265" s="3" t="s">
        <v>125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122</v>
      </c>
      <c r="B4266" s="183" t="s">
        <v>123</v>
      </c>
      <c r="C4266" s="196">
        <v>161609313</v>
      </c>
      <c r="D4266" s="168"/>
      <c r="E4266" s="29"/>
      <c r="F4266" s="29" t="s">
        <v>124</v>
      </c>
      <c r="G4266" s="3" t="s">
        <v>64</v>
      </c>
      <c r="H4266" s="3" t="s">
        <v>125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122</v>
      </c>
      <c r="B4267" s="183" t="s">
        <v>123</v>
      </c>
      <c r="C4267" s="196">
        <v>161609321</v>
      </c>
      <c r="D4267" s="168"/>
      <c r="E4267" s="29"/>
      <c r="F4267" s="29" t="s">
        <v>124</v>
      </c>
      <c r="G4267" s="3" t="s">
        <v>64</v>
      </c>
      <c r="H4267" s="3" t="s">
        <v>125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122</v>
      </c>
      <c r="B4268" s="183" t="s">
        <v>123</v>
      </c>
      <c r="C4268" s="196">
        <v>161609352</v>
      </c>
      <c r="D4268" s="168"/>
      <c r="E4268" s="29"/>
      <c r="F4268" s="29" t="s">
        <v>124</v>
      </c>
      <c r="G4268" s="3" t="s">
        <v>64</v>
      </c>
      <c r="H4268" s="3" t="s">
        <v>125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122</v>
      </c>
      <c r="B4269" s="183" t="s">
        <v>123</v>
      </c>
      <c r="C4269" s="196">
        <v>161609490</v>
      </c>
      <c r="D4269" s="168"/>
      <c r="E4269" s="29"/>
      <c r="F4269" s="29" t="s">
        <v>124</v>
      </c>
      <c r="G4269" s="3" t="s">
        <v>64</v>
      </c>
      <c r="H4269" s="3" t="s">
        <v>125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122</v>
      </c>
      <c r="B4270" s="183" t="s">
        <v>123</v>
      </c>
      <c r="C4270" s="196">
        <v>161609496</v>
      </c>
      <c r="D4270" s="168"/>
      <c r="E4270" s="29"/>
      <c r="F4270" s="29" t="s">
        <v>124</v>
      </c>
      <c r="G4270" s="3" t="s">
        <v>64</v>
      </c>
      <c r="H4270" s="3" t="s">
        <v>125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122</v>
      </c>
      <c r="B4271" s="183" t="s">
        <v>123</v>
      </c>
      <c r="C4271" s="196">
        <v>161609504</v>
      </c>
      <c r="D4271" s="168"/>
      <c r="E4271" s="29"/>
      <c r="F4271" s="29" t="s">
        <v>124</v>
      </c>
      <c r="G4271" s="3" t="s">
        <v>64</v>
      </c>
      <c r="H4271" s="3" t="s">
        <v>125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122</v>
      </c>
      <c r="B4272" s="183" t="s">
        <v>123</v>
      </c>
      <c r="C4272" s="196">
        <v>161609507</v>
      </c>
      <c r="D4272" s="168"/>
      <c r="E4272" s="29"/>
      <c r="F4272" s="29" t="s">
        <v>124</v>
      </c>
      <c r="G4272" s="3" t="s">
        <v>64</v>
      </c>
      <c r="H4272" s="3" t="s">
        <v>125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172</v>
      </c>
      <c r="B4273" s="166" t="s">
        <v>173</v>
      </c>
      <c r="C4273" s="196">
        <v>175609943</v>
      </c>
      <c r="D4273" s="168"/>
      <c r="E4273" s="29"/>
      <c r="F4273" s="29" t="s">
        <v>124</v>
      </c>
      <c r="G4273" s="3" t="s">
        <v>64</v>
      </c>
      <c r="H4273" s="3" t="s">
        <v>125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172</v>
      </c>
      <c r="B4274" s="173" t="s">
        <v>173</v>
      </c>
      <c r="C4274" s="196">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172</v>
      </c>
      <c r="B4275" s="173" t="s">
        <v>173</v>
      </c>
      <c r="C4275" s="196">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172</v>
      </c>
      <c r="B4276" s="173" t="s">
        <v>173</v>
      </c>
      <c r="C4276" s="196">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172</v>
      </c>
      <c r="B4277" s="173" t="s">
        <v>173</v>
      </c>
      <c r="C4277" s="196">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172</v>
      </c>
      <c r="B4278" s="173" t="s">
        <v>173</v>
      </c>
      <c r="C4278" s="196">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172</v>
      </c>
      <c r="B4279" s="173" t="s">
        <v>173</v>
      </c>
      <c r="C4279" s="196">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172</v>
      </c>
      <c r="B4280" s="173" t="s">
        <v>173</v>
      </c>
      <c r="C4280" s="196">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172</v>
      </c>
      <c r="B4281" s="173" t="s">
        <v>173</v>
      </c>
      <c r="C4281" s="196">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1952</v>
      </c>
      <c r="B4302" s="176" t="s">
        <v>1953</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1952</v>
      </c>
      <c r="B4303" s="176" t="s">
        <v>1953</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1952</v>
      </c>
      <c r="B4304" s="176" t="s">
        <v>1953</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1952</v>
      </c>
      <c r="B4305" s="176" t="s">
        <v>1953</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1952</v>
      </c>
      <c r="B4306" s="183" t="s">
        <v>1953</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1952</v>
      </c>
      <c r="B4307" s="183" t="s">
        <v>1953</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1952</v>
      </c>
      <c r="B4308" s="183" t="s">
        <v>1953</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1956</v>
      </c>
      <c r="B4315" s="173" t="s">
        <v>1957</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1958</v>
      </c>
      <c r="B4316" s="173" t="s">
        <v>1959</v>
      </c>
      <c r="C4316" s="196">
        <v>127606368</v>
      </c>
      <c r="D4316" s="168"/>
      <c r="E4316" s="29"/>
      <c r="F4316" s="29" t="s">
        <v>199</v>
      </c>
      <c r="G4316" s="3" t="s">
        <v>64</v>
      </c>
      <c r="H4316" s="3" t="s">
        <v>1062</v>
      </c>
      <c r="I4316" s="55">
        <v>46149</v>
      </c>
      <c r="J4316" s="55">
        <v>46153</v>
      </c>
      <c r="K4316" s="55">
        <v>46181</v>
      </c>
      <c r="L4316" s="55"/>
      <c r="M4316" s="55"/>
      <c r="N4316" s="3"/>
      <c r="O4316" s="3" t="s">
        <v>10</v>
      </c>
      <c r="P4316" s="55">
        <v>46174</v>
      </c>
      <c r="Q4316" s="167"/>
      <c r="R4316" s="1"/>
    </row>
    <row r="4317" spans="1:121">
      <c r="A4317" s="166" t="s">
        <v>1958</v>
      </c>
      <c r="B4317" s="173" t="s">
        <v>1959</v>
      </c>
      <c r="C4317" s="196">
        <v>127606356</v>
      </c>
      <c r="D4317" s="168"/>
      <c r="E4317" s="29"/>
      <c r="F4317" s="29" t="s">
        <v>199</v>
      </c>
      <c r="G4317" s="3" t="s">
        <v>64</v>
      </c>
      <c r="H4317" s="3" t="s">
        <v>1062</v>
      </c>
      <c r="I4317" s="55">
        <v>46149</v>
      </c>
      <c r="J4317" s="55">
        <v>46153</v>
      </c>
      <c r="K4317" s="55">
        <v>46181</v>
      </c>
      <c r="L4317" s="55"/>
      <c r="M4317" s="55"/>
      <c r="N4317" s="3"/>
      <c r="O4317" s="3" t="s">
        <v>10</v>
      </c>
      <c r="P4317" s="55">
        <v>46174</v>
      </c>
      <c r="Q4317" s="167"/>
      <c r="R4317" s="1"/>
    </row>
    <row r="4318" spans="1:121">
      <c r="A4318" s="166" t="s">
        <v>1958</v>
      </c>
      <c r="B4318" s="173" t="s">
        <v>1959</v>
      </c>
      <c r="C4318" s="196">
        <v>127606321</v>
      </c>
      <c r="D4318" s="168"/>
      <c r="E4318" s="29"/>
      <c r="F4318" s="29" t="s">
        <v>199</v>
      </c>
      <c r="G4318" s="3" t="s">
        <v>64</v>
      </c>
      <c r="H4318" s="3" t="s">
        <v>1062</v>
      </c>
      <c r="I4318" s="55">
        <v>46149</v>
      </c>
      <c r="J4318" s="55">
        <v>46153</v>
      </c>
      <c r="K4318" s="55">
        <v>46181</v>
      </c>
      <c r="L4318" s="55"/>
      <c r="M4318" s="55"/>
      <c r="N4318" s="3"/>
      <c r="O4318" s="3" t="s">
        <v>10</v>
      </c>
      <c r="P4318" s="55">
        <v>46174</v>
      </c>
      <c r="Q4318" s="167"/>
      <c r="R4318" s="1"/>
    </row>
    <row r="4319" spans="1:121">
      <c r="A4319" s="166" t="s">
        <v>1958</v>
      </c>
      <c r="B4319" s="173" t="s">
        <v>1959</v>
      </c>
      <c r="C4319" s="196">
        <v>127606291</v>
      </c>
      <c r="D4319" s="168"/>
      <c r="E4319" s="29"/>
      <c r="F4319" s="29" t="s">
        <v>199</v>
      </c>
      <c r="G4319" s="3" t="s">
        <v>64</v>
      </c>
      <c r="H4319" s="3" t="s">
        <v>1062</v>
      </c>
      <c r="I4319" s="55">
        <v>46149</v>
      </c>
      <c r="J4319" s="55">
        <v>46153</v>
      </c>
      <c r="K4319" s="55">
        <v>46181</v>
      </c>
      <c r="L4319" s="55"/>
      <c r="M4319" s="55"/>
      <c r="N4319" s="3"/>
      <c r="O4319" s="3" t="s">
        <v>10</v>
      </c>
      <c r="P4319" s="55">
        <v>46174</v>
      </c>
      <c r="Q4319" s="167"/>
      <c r="R4319" s="1"/>
    </row>
    <row r="4320" spans="1:121">
      <c r="A4320" s="166" t="s">
        <v>1958</v>
      </c>
      <c r="B4320" s="173" t="s">
        <v>1959</v>
      </c>
      <c r="C4320" s="196">
        <v>127606237</v>
      </c>
      <c r="D4320" s="168"/>
      <c r="E4320" s="29"/>
      <c r="F4320" s="29" t="s">
        <v>199</v>
      </c>
      <c r="G4320" s="3" t="s">
        <v>64</v>
      </c>
      <c r="H4320" s="3" t="s">
        <v>1062</v>
      </c>
      <c r="I4320" s="55">
        <v>46149</v>
      </c>
      <c r="J4320" s="55">
        <v>46153</v>
      </c>
      <c r="K4320" s="55">
        <v>46181</v>
      </c>
      <c r="L4320" s="55"/>
      <c r="M4320" s="55"/>
      <c r="N4320" s="3"/>
      <c r="O4320" s="3" t="s">
        <v>10</v>
      </c>
      <c r="P4320" s="55">
        <v>46174</v>
      </c>
      <c r="Q4320" s="167"/>
      <c r="R4320" s="1"/>
    </row>
    <row r="4321" spans="1:18">
      <c r="A4321" s="166" t="s">
        <v>1958</v>
      </c>
      <c r="B4321" s="173" t="s">
        <v>1959</v>
      </c>
      <c r="C4321" s="196">
        <v>127606183</v>
      </c>
      <c r="D4321" s="168"/>
      <c r="E4321" s="29"/>
      <c r="F4321" s="29" t="s">
        <v>199</v>
      </c>
      <c r="G4321" s="3" t="s">
        <v>64</v>
      </c>
      <c r="H4321" s="3" t="s">
        <v>1062</v>
      </c>
      <c r="I4321" s="55">
        <v>46149</v>
      </c>
      <c r="J4321" s="55">
        <v>46153</v>
      </c>
      <c r="K4321" s="55">
        <v>46181</v>
      </c>
      <c r="L4321" s="55"/>
      <c r="M4321" s="55"/>
      <c r="N4321" s="3"/>
      <c r="O4321" s="3" t="s">
        <v>10</v>
      </c>
      <c r="P4321" s="55">
        <v>46169</v>
      </c>
      <c r="Q4321" s="167"/>
      <c r="R4321" s="1"/>
    </row>
    <row r="4322" spans="1:18">
      <c r="A4322" s="166" t="s">
        <v>1958</v>
      </c>
      <c r="B4322" s="173" t="s">
        <v>1959</v>
      </c>
      <c r="C4322" s="196">
        <v>127606155</v>
      </c>
      <c r="D4322" s="168"/>
      <c r="E4322" s="29"/>
      <c r="F4322" s="29" t="s">
        <v>199</v>
      </c>
      <c r="G4322" s="3" t="s">
        <v>64</v>
      </c>
      <c r="H4322" s="3" t="s">
        <v>1062</v>
      </c>
      <c r="I4322" s="55">
        <v>46149</v>
      </c>
      <c r="J4322" s="55">
        <v>46153</v>
      </c>
      <c r="K4322" s="55">
        <v>46181</v>
      </c>
      <c r="L4322" s="55"/>
      <c r="M4322" s="55"/>
      <c r="N4322" s="3"/>
      <c r="O4322" s="3" t="s">
        <v>10</v>
      </c>
      <c r="P4322" s="55">
        <v>46179</v>
      </c>
      <c r="Q4322" s="167"/>
      <c r="R4322" s="1"/>
    </row>
    <row r="4323" spans="1:18">
      <c r="A4323" s="166" t="s">
        <v>1958</v>
      </c>
      <c r="B4323" s="173" t="s">
        <v>1959</v>
      </c>
      <c r="C4323" s="196">
        <v>127606136</v>
      </c>
      <c r="D4323" s="168"/>
      <c r="E4323" s="29"/>
      <c r="F4323" s="29" t="s">
        <v>199</v>
      </c>
      <c r="G4323" s="3" t="s">
        <v>64</v>
      </c>
      <c r="H4323" s="3" t="s">
        <v>1062</v>
      </c>
      <c r="I4323" s="55">
        <v>46149</v>
      </c>
      <c r="J4323" s="55">
        <v>46153</v>
      </c>
      <c r="K4323" s="55">
        <v>46181</v>
      </c>
      <c r="L4323" s="55"/>
      <c r="M4323" s="55"/>
      <c r="N4323" s="3"/>
      <c r="O4323" s="3" t="s">
        <v>10</v>
      </c>
      <c r="P4323" s="55">
        <v>46176</v>
      </c>
      <c r="Q4323" s="167"/>
      <c r="R4323" s="1"/>
    </row>
    <row r="4324" spans="1:18">
      <c r="A4324" s="166" t="s">
        <v>1958</v>
      </c>
      <c r="B4324" s="173" t="s">
        <v>1959</v>
      </c>
      <c r="C4324" s="196">
        <v>127606076</v>
      </c>
      <c r="D4324" s="168"/>
      <c r="E4324" s="29"/>
      <c r="F4324" s="29" t="s">
        <v>199</v>
      </c>
      <c r="G4324" s="3" t="s">
        <v>64</v>
      </c>
      <c r="H4324" s="3" t="s">
        <v>1062</v>
      </c>
      <c r="I4324" s="55">
        <v>46149</v>
      </c>
      <c r="J4324" s="55">
        <v>46153</v>
      </c>
      <c r="K4324" s="55">
        <v>46181</v>
      </c>
      <c r="L4324" s="55"/>
      <c r="M4324" s="55"/>
      <c r="N4324" s="3"/>
      <c r="O4324" s="3" t="s">
        <v>10</v>
      </c>
      <c r="P4324" s="55">
        <v>46174</v>
      </c>
      <c r="Q4324" s="167"/>
      <c r="R4324" s="1"/>
    </row>
    <row r="4325" spans="1:18">
      <c r="A4325" s="166" t="s">
        <v>1958</v>
      </c>
      <c r="B4325" s="173" t="s">
        <v>1959</v>
      </c>
      <c r="C4325" s="196">
        <v>127606028</v>
      </c>
      <c r="D4325" s="168"/>
      <c r="E4325" s="29"/>
      <c r="F4325" s="29" t="s">
        <v>199</v>
      </c>
      <c r="G4325" s="3" t="s">
        <v>64</v>
      </c>
      <c r="H4325" s="3" t="s">
        <v>1062</v>
      </c>
      <c r="I4325" s="55">
        <v>46149</v>
      </c>
      <c r="J4325" s="55">
        <v>46153</v>
      </c>
      <c r="K4325" s="55">
        <v>46181</v>
      </c>
      <c r="L4325" s="55"/>
      <c r="M4325" s="55"/>
      <c r="N4325" s="3"/>
      <c r="O4325" s="3" t="s">
        <v>10</v>
      </c>
      <c r="P4325" s="55">
        <v>46179</v>
      </c>
      <c r="Q4325" s="167"/>
      <c r="R4325" s="1"/>
    </row>
    <row r="4326" spans="1:18">
      <c r="A4326" s="166" t="s">
        <v>1958</v>
      </c>
      <c r="B4326" s="173" t="s">
        <v>1959</v>
      </c>
      <c r="C4326" s="196">
        <v>127606006</v>
      </c>
      <c r="D4326" s="168"/>
      <c r="E4326" s="29"/>
      <c r="F4326" s="29" t="s">
        <v>199</v>
      </c>
      <c r="G4326" s="3" t="s">
        <v>64</v>
      </c>
      <c r="H4326" s="3" t="s">
        <v>1062</v>
      </c>
      <c r="I4326" s="55">
        <v>46149</v>
      </c>
      <c r="J4326" s="55">
        <v>46153</v>
      </c>
      <c r="K4326" s="55">
        <v>46181</v>
      </c>
      <c r="L4326" s="55"/>
      <c r="M4326" s="55"/>
      <c r="N4326" s="3"/>
      <c r="O4326" s="3" t="s">
        <v>10</v>
      </c>
      <c r="P4326" s="55">
        <v>46179</v>
      </c>
      <c r="Q4326" s="167"/>
      <c r="R4326" s="1"/>
    </row>
    <row r="4327" spans="1:18">
      <c r="A4327" s="166" t="s">
        <v>1958</v>
      </c>
      <c r="B4327" s="173" t="s">
        <v>1959</v>
      </c>
      <c r="C4327" s="196">
        <v>127605976</v>
      </c>
      <c r="D4327" s="168"/>
      <c r="E4327" s="29"/>
      <c r="F4327" s="29" t="s">
        <v>199</v>
      </c>
      <c r="G4327" s="3" t="s">
        <v>64</v>
      </c>
      <c r="H4327" s="3" t="s">
        <v>1062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1960</v>
      </c>
      <c r="B4335" s="173" t="s">
        <v>1961</v>
      </c>
      <c r="C4335" s="196">
        <v>138607831</v>
      </c>
      <c r="D4335" s="168"/>
      <c r="E4335" s="29"/>
      <c r="F4335" s="29" t="s">
        <v>68</v>
      </c>
      <c r="G4335" s="3" t="s">
        <v>64</v>
      </c>
      <c r="H4335" s="3" t="s">
        <v>1962</v>
      </c>
      <c r="I4335" s="55">
        <v>46160</v>
      </c>
      <c r="J4335" s="55">
        <v>46162</v>
      </c>
      <c r="K4335" s="55">
        <v>46190</v>
      </c>
      <c r="L4335" s="55"/>
      <c r="M4335" s="55"/>
      <c r="N4335" s="3"/>
      <c r="O4335" s="3" t="s">
        <v>10</v>
      </c>
      <c r="P4335" s="55">
        <v>46177</v>
      </c>
      <c r="Q4335" s="167"/>
      <c r="R4335" s="1"/>
    </row>
    <row r="4336" spans="1:18">
      <c r="A4336" s="166" t="s">
        <v>1960</v>
      </c>
      <c r="B4336" s="173" t="s">
        <v>1961</v>
      </c>
      <c r="C4336" s="196">
        <v>138607813</v>
      </c>
      <c r="D4336" s="168"/>
      <c r="E4336" s="29"/>
      <c r="F4336" s="29" t="s">
        <v>68</v>
      </c>
      <c r="G4336" s="3" t="s">
        <v>64</v>
      </c>
      <c r="H4336" s="3" t="s">
        <v>1962</v>
      </c>
      <c r="I4336" s="55">
        <v>46160</v>
      </c>
      <c r="J4336" s="55">
        <v>46162</v>
      </c>
      <c r="K4336" s="55">
        <v>46190</v>
      </c>
      <c r="L4336" s="55"/>
      <c r="M4336" s="55"/>
      <c r="N4336" s="3"/>
      <c r="O4336" s="3" t="s">
        <v>10</v>
      </c>
      <c r="P4336" s="55">
        <v>46177</v>
      </c>
      <c r="Q4336" s="167"/>
      <c r="R4336" s="1"/>
    </row>
    <row r="4337" spans="1:18">
      <c r="A4337" s="166" t="s">
        <v>1960</v>
      </c>
      <c r="B4337" s="173" t="s">
        <v>1961</v>
      </c>
      <c r="C4337" s="196">
        <v>138607799</v>
      </c>
      <c r="D4337" s="168"/>
      <c r="E4337" s="29"/>
      <c r="F4337" s="29" t="s">
        <v>68</v>
      </c>
      <c r="G4337" s="3" t="s">
        <v>64</v>
      </c>
      <c r="H4337" s="3" t="s">
        <v>1962</v>
      </c>
      <c r="I4337" s="55">
        <v>46160</v>
      </c>
      <c r="J4337" s="55">
        <v>46162</v>
      </c>
      <c r="K4337" s="55">
        <v>46190</v>
      </c>
      <c r="L4337" s="55"/>
      <c r="M4337" s="55"/>
      <c r="N4337" s="3"/>
      <c r="O4337" s="3" t="s">
        <v>10</v>
      </c>
      <c r="P4337" s="55">
        <v>46177</v>
      </c>
      <c r="Q4337" s="167"/>
      <c r="R4337" s="1"/>
    </row>
    <row r="4338" spans="1:18">
      <c r="A4338" s="166" t="s">
        <v>1960</v>
      </c>
      <c r="B4338" s="173" t="s">
        <v>1961</v>
      </c>
      <c r="C4338" s="196">
        <v>138607782</v>
      </c>
      <c r="D4338" s="168"/>
      <c r="E4338" s="29"/>
      <c r="F4338" s="29" t="s">
        <v>68</v>
      </c>
      <c r="G4338" s="3" t="s">
        <v>64</v>
      </c>
      <c r="H4338" s="3" t="s">
        <v>1962</v>
      </c>
      <c r="I4338" s="55">
        <v>46160</v>
      </c>
      <c r="J4338" s="55">
        <v>46162</v>
      </c>
      <c r="K4338" s="55">
        <v>46190</v>
      </c>
      <c r="L4338" s="55"/>
      <c r="M4338" s="55"/>
      <c r="N4338" s="3"/>
      <c r="O4338" s="3" t="s">
        <v>10</v>
      </c>
      <c r="P4338" s="55">
        <v>46185</v>
      </c>
      <c r="Q4338" s="167"/>
      <c r="R4338" s="1"/>
    </row>
    <row r="4339" spans="1:18">
      <c r="A4339" s="166" t="s">
        <v>1960</v>
      </c>
      <c r="B4339" s="173" t="s">
        <v>1961</v>
      </c>
      <c r="C4339" s="196">
        <v>138607760</v>
      </c>
      <c r="D4339" s="168"/>
      <c r="E4339" s="29"/>
      <c r="F4339" s="29" t="s">
        <v>68</v>
      </c>
      <c r="G4339" s="3" t="s">
        <v>64</v>
      </c>
      <c r="H4339" s="3" t="s">
        <v>1962</v>
      </c>
      <c r="I4339" s="55">
        <v>46160</v>
      </c>
      <c r="J4339" s="55">
        <v>46162</v>
      </c>
      <c r="K4339" s="55">
        <v>46190</v>
      </c>
      <c r="L4339" s="55"/>
      <c r="M4339" s="55"/>
      <c r="N4339" s="3"/>
      <c r="O4339" s="3" t="s">
        <v>10</v>
      </c>
      <c r="P4339" s="55">
        <v>46178</v>
      </c>
      <c r="Q4339" s="167"/>
      <c r="R4339" s="1"/>
    </row>
    <row r="4340" spans="1:18">
      <c r="A4340" s="166" t="s">
        <v>1960</v>
      </c>
      <c r="B4340" s="173" t="s">
        <v>1961</v>
      </c>
      <c r="C4340" s="196">
        <v>138607742</v>
      </c>
      <c r="D4340" s="168"/>
      <c r="E4340" s="29"/>
      <c r="F4340" s="29" t="s">
        <v>68</v>
      </c>
      <c r="G4340" s="3" t="s">
        <v>64</v>
      </c>
      <c r="H4340" s="3" t="s">
        <v>1962</v>
      </c>
      <c r="I4340" s="55">
        <v>46160</v>
      </c>
      <c r="J4340" s="55">
        <v>46162</v>
      </c>
      <c r="K4340" s="55">
        <v>46190</v>
      </c>
      <c r="L4340" s="55"/>
      <c r="M4340" s="55"/>
      <c r="N4340" s="3"/>
      <c r="O4340" s="3" t="s">
        <v>10</v>
      </c>
      <c r="P4340" s="55">
        <v>46178</v>
      </c>
      <c r="Q4340" s="167"/>
      <c r="R4340" s="1"/>
    </row>
    <row r="4341" spans="1:18">
      <c r="A4341" s="166" t="s">
        <v>1960</v>
      </c>
      <c r="B4341" s="173" t="s">
        <v>1961</v>
      </c>
      <c r="C4341" s="196">
        <v>138607664</v>
      </c>
      <c r="D4341" s="168"/>
      <c r="E4341" s="29"/>
      <c r="F4341" s="29" t="s">
        <v>68</v>
      </c>
      <c r="G4341" s="3" t="s">
        <v>64</v>
      </c>
      <c r="H4341" s="3" t="s">
        <v>1962</v>
      </c>
      <c r="I4341" s="55">
        <v>46160</v>
      </c>
      <c r="J4341" s="55">
        <v>46162</v>
      </c>
      <c r="K4341" s="55">
        <v>46190</v>
      </c>
      <c r="L4341" s="55"/>
      <c r="M4341" s="55"/>
      <c r="N4341" s="3"/>
      <c r="O4341" s="3" t="s">
        <v>10</v>
      </c>
      <c r="P4341" s="55">
        <v>46175</v>
      </c>
      <c r="Q4341" s="167"/>
      <c r="R4341" s="1"/>
    </row>
    <row r="4342" spans="1:18">
      <c r="A4342" s="166" t="s">
        <v>1960</v>
      </c>
      <c r="B4342" s="173" t="s">
        <v>1961</v>
      </c>
      <c r="C4342" s="196">
        <v>138607656</v>
      </c>
      <c r="D4342" s="168"/>
      <c r="E4342" s="29"/>
      <c r="F4342" s="29" t="s">
        <v>68</v>
      </c>
      <c r="G4342" s="3" t="s">
        <v>64</v>
      </c>
      <c r="H4342" s="3" t="s">
        <v>1962</v>
      </c>
      <c r="I4342" s="55">
        <v>46160</v>
      </c>
      <c r="J4342" s="55">
        <v>46162</v>
      </c>
      <c r="K4342" s="55">
        <v>46190</v>
      </c>
      <c r="L4342" s="55"/>
      <c r="M4342" s="55"/>
      <c r="N4342" s="3"/>
      <c r="O4342" s="3" t="s">
        <v>10</v>
      </c>
      <c r="P4342" s="55">
        <v>46175</v>
      </c>
      <c r="Q4342" s="167"/>
      <c r="R4342" s="1"/>
    </row>
    <row r="4343" spans="1:18">
      <c r="A4343" s="166" t="s">
        <v>1963</v>
      </c>
      <c r="B4343" s="173" t="s">
        <v>1964</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1963</v>
      </c>
      <c r="B4344" s="173" t="s">
        <v>1964</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1963</v>
      </c>
      <c r="B4345" s="173" t="s">
        <v>1964</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1963</v>
      </c>
      <c r="B4346" s="173" t="s">
        <v>1964</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1963</v>
      </c>
      <c r="B4347" s="173" t="s">
        <v>1964</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1963</v>
      </c>
      <c r="B4348" s="173" t="s">
        <v>1964</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1963</v>
      </c>
      <c r="B4349" s="173" t="s">
        <v>1964</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1965</v>
      </c>
      <c r="B4350" s="173" t="s">
        <v>1966</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1965</v>
      </c>
      <c r="B4351" s="173" t="s">
        <v>1966</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1965</v>
      </c>
      <c r="B4352" s="173" t="s">
        <v>1966</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1965</v>
      </c>
      <c r="B4353" s="173" t="s">
        <v>1966</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1965</v>
      </c>
      <c r="B4354" s="173" t="s">
        <v>1966</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1965</v>
      </c>
      <c r="B4355" s="173" t="s">
        <v>1966</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1965</v>
      </c>
      <c r="B4356" s="173" t="s">
        <v>1966</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1965</v>
      </c>
      <c r="B4357" s="173" t="s">
        <v>1966</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1967</v>
      </c>
      <c r="B4358" s="173" t="s">
        <v>1968</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1967</v>
      </c>
      <c r="B4359" s="173" t="s">
        <v>1968</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1967</v>
      </c>
      <c r="B4360" s="173" t="s">
        <v>1968</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1967</v>
      </c>
      <c r="B4361" s="173" t="s">
        <v>1968</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1967</v>
      </c>
      <c r="B4362" s="173" t="s">
        <v>1968</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1967</v>
      </c>
      <c r="B4363" s="173" t="s">
        <v>1968</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1967</v>
      </c>
      <c r="B4364" s="173" t="s">
        <v>1968</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1967</v>
      </c>
      <c r="B4365" s="173" t="s">
        <v>1968</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122</v>
      </c>
      <c r="B4369" s="176" t="s">
        <v>123</v>
      </c>
      <c r="C4369" s="196">
        <v>150600275</v>
      </c>
      <c r="D4369" s="168"/>
      <c r="E4369" s="29"/>
      <c r="F4369" s="29" t="s">
        <v>124</v>
      </c>
      <c r="G4369" s="3" t="s">
        <v>64</v>
      </c>
      <c r="H4369" s="3" t="s">
        <v>125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122</v>
      </c>
      <c r="B4370" s="176" t="s">
        <v>123</v>
      </c>
      <c r="C4370" s="196">
        <v>150600280</v>
      </c>
      <c r="D4370" s="168"/>
      <c r="E4370" s="29"/>
      <c r="F4370" s="29" t="s">
        <v>124</v>
      </c>
      <c r="G4370" s="3" t="s">
        <v>64</v>
      </c>
      <c r="H4370" s="3" t="s">
        <v>125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122</v>
      </c>
      <c r="B4371" s="176" t="s">
        <v>123</v>
      </c>
      <c r="C4371" s="196">
        <v>150600268</v>
      </c>
      <c r="D4371" s="168"/>
      <c r="E4371" s="29"/>
      <c r="F4371" s="29" t="s">
        <v>124</v>
      </c>
      <c r="G4371" s="3" t="s">
        <v>64</v>
      </c>
      <c r="H4371" s="3" t="s">
        <v>125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122</v>
      </c>
      <c r="B4372" s="176" t="s">
        <v>123</v>
      </c>
      <c r="C4372" s="196">
        <v>150600282</v>
      </c>
      <c r="D4372" s="168"/>
      <c r="E4372" s="29"/>
      <c r="F4372" s="29" t="s">
        <v>124</v>
      </c>
      <c r="G4372" s="3" t="s">
        <v>64</v>
      </c>
      <c r="H4372" s="3" t="s">
        <v>125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122</v>
      </c>
      <c r="B4373" s="176" t="s">
        <v>123</v>
      </c>
      <c r="C4373" s="196">
        <v>150600288</v>
      </c>
      <c r="D4373" s="168"/>
      <c r="E4373" s="29"/>
      <c r="F4373" s="29" t="s">
        <v>124</v>
      </c>
      <c r="G4373" s="3" t="s">
        <v>64</v>
      </c>
      <c r="H4373" s="3" t="s">
        <v>125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144</v>
      </c>
      <c r="G4374" s="3" t="s">
        <v>16</v>
      </c>
      <c r="H4374" s="3" t="s">
        <v>145</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144</v>
      </c>
      <c r="G4375" s="3" t="s">
        <v>16</v>
      </c>
      <c r="H4375" s="3" t="s">
        <v>145</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144</v>
      </c>
      <c r="G4376" s="3" t="s">
        <v>16</v>
      </c>
      <c r="H4376" s="3" t="s">
        <v>145</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144</v>
      </c>
      <c r="G4377" s="3" t="s">
        <v>16</v>
      </c>
      <c r="H4377" s="3" t="s">
        <v>145</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144</v>
      </c>
      <c r="G4378" s="3" t="s">
        <v>16</v>
      </c>
      <c r="H4378" s="3" t="s">
        <v>145</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116</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116</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116</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116</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116</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116</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116</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116</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116</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116</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116</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116</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116</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116</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116</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128</v>
      </c>
      <c r="G4394" s="3" t="s">
        <v>1941</v>
      </c>
      <c r="H4394" s="3" t="s">
        <v>129</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128</v>
      </c>
      <c r="G4395" s="3" t="s">
        <v>1941</v>
      </c>
      <c r="H4395" s="3" t="s">
        <v>129</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128</v>
      </c>
      <c r="G4396" s="3" t="s">
        <v>1941</v>
      </c>
      <c r="H4396" s="3" t="s">
        <v>129</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128</v>
      </c>
      <c r="G4397" s="3" t="s">
        <v>1941</v>
      </c>
      <c r="H4397" s="3" t="s">
        <v>129</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128</v>
      </c>
      <c r="G4398" s="3" t="s">
        <v>1941</v>
      </c>
      <c r="H4398" s="3" t="s">
        <v>129</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128</v>
      </c>
      <c r="G4399" s="3" t="s">
        <v>1941</v>
      </c>
      <c r="H4399" s="3" t="s">
        <v>129</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128</v>
      </c>
      <c r="G4400" s="3" t="s">
        <v>1941</v>
      </c>
      <c r="H4400" s="3" t="s">
        <v>129</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128</v>
      </c>
      <c r="G4401" s="3" t="s">
        <v>1941</v>
      </c>
      <c r="H4401" s="3" t="s">
        <v>129</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128</v>
      </c>
      <c r="G4402" s="3" t="s">
        <v>1941</v>
      </c>
      <c r="H4402" s="3" t="s">
        <v>129</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128</v>
      </c>
      <c r="G4403" s="3" t="s">
        <v>1941</v>
      </c>
      <c r="H4403" s="3" t="s">
        <v>129</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128</v>
      </c>
      <c r="G4404" s="3" t="s">
        <v>1941</v>
      </c>
      <c r="H4404" s="3" t="s">
        <v>129</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128</v>
      </c>
      <c r="G4405" s="3" t="s">
        <v>1941</v>
      </c>
      <c r="H4405" s="3" t="s">
        <v>129</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128</v>
      </c>
      <c r="G4406" s="3" t="s">
        <v>1941</v>
      </c>
      <c r="H4406" s="3" t="s">
        <v>129</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128</v>
      </c>
      <c r="G4407" s="3" t="s">
        <v>1941</v>
      </c>
      <c r="H4407" s="3" t="s">
        <v>129</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144</v>
      </c>
      <c r="G4408" s="3" t="s">
        <v>16</v>
      </c>
      <c r="H4408" s="3" t="s">
        <v>145</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144</v>
      </c>
      <c r="G4409" s="3" t="s">
        <v>16</v>
      </c>
      <c r="H4409" s="3" t="s">
        <v>145</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144</v>
      </c>
      <c r="G4410" s="3" t="s">
        <v>16</v>
      </c>
      <c r="H4410" s="3" t="s">
        <v>145</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144</v>
      </c>
      <c r="G4411" s="3" t="s">
        <v>16</v>
      </c>
      <c r="H4411" s="3" t="s">
        <v>145</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144</v>
      </c>
      <c r="G4412" s="3" t="s">
        <v>16</v>
      </c>
      <c r="H4412" s="3" t="s">
        <v>145</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116</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116</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116</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116</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116</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116</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116</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116</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116</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116</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116</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116</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116</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116</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116</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128</v>
      </c>
      <c r="G4428" s="3" t="s">
        <v>1941</v>
      </c>
      <c r="H4428" s="3" t="s">
        <v>129</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128</v>
      </c>
      <c r="G4429" s="3" t="s">
        <v>1941</v>
      </c>
      <c r="H4429" s="3" t="s">
        <v>129</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128</v>
      </c>
      <c r="G4430" s="3" t="s">
        <v>1941</v>
      </c>
      <c r="H4430" s="3" t="s">
        <v>129</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128</v>
      </c>
      <c r="G4431" s="3" t="s">
        <v>1941</v>
      </c>
      <c r="H4431" s="3" t="s">
        <v>129</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128</v>
      </c>
      <c r="G4432" s="3" t="s">
        <v>1941</v>
      </c>
      <c r="H4432" s="3" t="s">
        <v>129</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128</v>
      </c>
      <c r="G4433" s="3" t="s">
        <v>1941</v>
      </c>
      <c r="H4433" s="3" t="s">
        <v>129</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128</v>
      </c>
      <c r="G4434" s="3" t="s">
        <v>1941</v>
      </c>
      <c r="H4434" s="3" t="s">
        <v>129</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128</v>
      </c>
      <c r="G4435" s="3" t="s">
        <v>1941</v>
      </c>
      <c r="H4435" s="3" t="s">
        <v>129</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128</v>
      </c>
      <c r="G4436" s="3" t="s">
        <v>1941</v>
      </c>
      <c r="H4436" s="3" t="s">
        <v>129</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128</v>
      </c>
      <c r="G4437" s="3" t="s">
        <v>1941</v>
      </c>
      <c r="H4437" s="3" t="s">
        <v>129</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128</v>
      </c>
      <c r="G4438" s="3" t="s">
        <v>1941</v>
      </c>
      <c r="H4438" s="3" t="s">
        <v>129</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128</v>
      </c>
      <c r="G4439" s="3" t="s">
        <v>1941</v>
      </c>
      <c r="H4439" s="3" t="s">
        <v>129</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128</v>
      </c>
      <c r="G4440" s="3" t="s">
        <v>1941</v>
      </c>
      <c r="H4440" s="3" t="s">
        <v>129</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128</v>
      </c>
      <c r="G4441" s="3" t="s">
        <v>1941</v>
      </c>
      <c r="H4441" s="3" t="s">
        <v>129</v>
      </c>
      <c r="I4441" s="55">
        <v>46175</v>
      </c>
      <c r="J4441" s="55">
        <v>46178</v>
      </c>
      <c r="K4441" s="55">
        <v>46205</v>
      </c>
      <c r="L4441" s="3"/>
      <c r="M4441" s="3"/>
      <c r="N4441" s="3"/>
      <c r="O4441" s="3" t="s">
        <v>10</v>
      </c>
      <c r="P4441" s="55">
        <v>46175</v>
      </c>
      <c r="Q4441" s="167"/>
      <c r="R4441" s="1"/>
    </row>
    <row r="4442" spans="1:18">
      <c r="A4442" s="166" t="s">
        <v>195</v>
      </c>
      <c r="B4442" s="173" t="s">
        <v>196</v>
      </c>
      <c r="C4442" s="196">
        <v>176600042</v>
      </c>
      <c r="D4442" s="168"/>
      <c r="E4442" s="29"/>
      <c r="F4442" s="29" t="s">
        <v>1969</v>
      </c>
      <c r="G4442" s="3" t="s">
        <v>116</v>
      </c>
      <c r="H4442" s="3" t="s">
        <v>1906</v>
      </c>
      <c r="I4442" s="55">
        <v>46198</v>
      </c>
      <c r="J4442" s="55">
        <v>46202</v>
      </c>
      <c r="K4442" s="55">
        <v>46227</v>
      </c>
      <c r="L4442" s="55"/>
      <c r="M4442" s="55"/>
      <c r="N4442" s="3"/>
      <c r="O4442" s="3" t="s">
        <v>10</v>
      </c>
      <c r="P4442" s="55"/>
      <c r="Q4442" s="167"/>
      <c r="R4442" s="1"/>
    </row>
    <row r="4443" spans="1:18">
      <c r="A4443" s="166" t="s">
        <v>195</v>
      </c>
      <c r="B4443" s="173" t="s">
        <v>196</v>
      </c>
      <c r="C4443" s="196">
        <v>176600026</v>
      </c>
      <c r="D4443" s="168"/>
      <c r="E4443" s="29"/>
      <c r="F4443" s="29" t="s">
        <v>1969</v>
      </c>
      <c r="G4443" s="3" t="s">
        <v>116</v>
      </c>
      <c r="H4443" s="3" t="s">
        <v>1906</v>
      </c>
      <c r="I4443" s="55">
        <v>46198</v>
      </c>
      <c r="J4443" s="55">
        <v>46202</v>
      </c>
      <c r="K4443" s="55">
        <v>46227</v>
      </c>
      <c r="L4443" s="55"/>
      <c r="M4443" s="55"/>
      <c r="N4443" s="3"/>
      <c r="O4443" s="3" t="s">
        <v>10</v>
      </c>
      <c r="P4443" s="55"/>
      <c r="Q4443" s="167"/>
      <c r="R4443" s="1"/>
    </row>
    <row r="4444" spans="1:18">
      <c r="A4444" s="166" t="s">
        <v>195</v>
      </c>
      <c r="B4444" s="173" t="s">
        <v>196</v>
      </c>
      <c r="C4444" s="196">
        <v>176600022</v>
      </c>
      <c r="D4444" s="168"/>
      <c r="E4444" s="29"/>
      <c r="F4444" s="29" t="s">
        <v>1969</v>
      </c>
      <c r="G4444" s="3" t="s">
        <v>116</v>
      </c>
      <c r="H4444" s="3" t="s">
        <v>1906</v>
      </c>
      <c r="I4444" s="55">
        <v>46198</v>
      </c>
      <c r="J4444" s="55">
        <v>46202</v>
      </c>
      <c r="K4444" s="55">
        <v>46227</v>
      </c>
      <c r="L4444" s="55"/>
      <c r="M4444" s="55"/>
      <c r="N4444" s="3"/>
      <c r="O4444" s="3" t="s">
        <v>10</v>
      </c>
      <c r="P4444" s="55"/>
      <c r="Q4444" s="167"/>
      <c r="R4444" s="1"/>
    </row>
    <row r="4445" spans="1:18">
      <c r="A4445" s="166" t="s">
        <v>195</v>
      </c>
      <c r="B4445" s="173" t="s">
        <v>196</v>
      </c>
      <c r="C4445" s="196">
        <v>176600016</v>
      </c>
      <c r="D4445" s="168"/>
      <c r="E4445" s="29"/>
      <c r="F4445" s="29" t="s">
        <v>1969</v>
      </c>
      <c r="G4445" s="3" t="s">
        <v>116</v>
      </c>
      <c r="H4445" s="3" t="s">
        <v>1906</v>
      </c>
      <c r="I4445" s="55">
        <v>46198</v>
      </c>
      <c r="J4445" s="55">
        <v>46202</v>
      </c>
      <c r="K4445" s="55">
        <v>46227</v>
      </c>
      <c r="L4445" s="55"/>
      <c r="M4445" s="55"/>
      <c r="N4445" s="3"/>
      <c r="O4445" s="3" t="s">
        <v>10</v>
      </c>
      <c r="P4445" s="55"/>
      <c r="Q4445" s="167"/>
      <c r="R4445" s="1"/>
    </row>
    <row r="4446" spans="1:18">
      <c r="A4446" s="166" t="s">
        <v>195</v>
      </c>
      <c r="B4446" s="173" t="s">
        <v>196</v>
      </c>
      <c r="C4446" s="196">
        <v>176600014</v>
      </c>
      <c r="D4446" s="168"/>
      <c r="E4446" s="29"/>
      <c r="F4446" s="29" t="s">
        <v>1969</v>
      </c>
      <c r="G4446" s="3" t="s">
        <v>116</v>
      </c>
      <c r="H4446" s="3" t="s">
        <v>1906</v>
      </c>
      <c r="I4446" s="55">
        <v>46198</v>
      </c>
      <c r="J4446" s="55">
        <v>46202</v>
      </c>
      <c r="K4446" s="55">
        <v>46227</v>
      </c>
      <c r="L4446" s="55"/>
      <c r="M4446" s="55"/>
      <c r="N4446" s="3"/>
      <c r="O4446" s="3" t="s">
        <v>10</v>
      </c>
      <c r="P4446" s="55"/>
      <c r="Q4446" s="167"/>
      <c r="R4446" s="1"/>
    </row>
    <row r="4447" spans="1:18">
      <c r="A4447" s="166" t="s">
        <v>195</v>
      </c>
      <c r="B4447" s="173" t="s">
        <v>196</v>
      </c>
      <c r="C4447" s="196">
        <v>176600010</v>
      </c>
      <c r="D4447" s="168"/>
      <c r="E4447" s="29"/>
      <c r="F4447" s="29" t="s">
        <v>1969</v>
      </c>
      <c r="G4447" s="3" t="s">
        <v>116</v>
      </c>
      <c r="H4447" s="3" t="s">
        <v>1906</v>
      </c>
      <c r="I4447" s="55">
        <v>46198</v>
      </c>
      <c r="J4447" s="55">
        <v>46202</v>
      </c>
      <c r="K4447" s="55">
        <v>46227</v>
      </c>
      <c r="L4447" s="55"/>
      <c r="M4447" s="55"/>
      <c r="N4447" s="3"/>
      <c r="O4447" s="3" t="s">
        <v>10</v>
      </c>
      <c r="P4447" s="55"/>
      <c r="Q4447" s="167"/>
      <c r="R4447" s="1"/>
    </row>
    <row r="4448" spans="1:18">
      <c r="A4448" s="166" t="s">
        <v>195</v>
      </c>
      <c r="B4448" s="173" t="s">
        <v>196</v>
      </c>
      <c r="C4448" s="196">
        <v>175609915</v>
      </c>
      <c r="D4448" s="168"/>
      <c r="E4448" s="29"/>
      <c r="F4448" s="29" t="s">
        <v>1969</v>
      </c>
      <c r="G4448" s="3" t="s">
        <v>116</v>
      </c>
      <c r="H4448" s="3" t="s">
        <v>1906</v>
      </c>
      <c r="I4448" s="55">
        <v>46198</v>
      </c>
      <c r="J4448" s="55">
        <v>46202</v>
      </c>
      <c r="K4448" s="55">
        <v>46227</v>
      </c>
      <c r="L4448" s="55"/>
      <c r="M4448" s="55"/>
      <c r="N4448" s="3"/>
      <c r="O4448" s="3" t="s">
        <v>10</v>
      </c>
      <c r="P4448" s="55"/>
      <c r="Q4448" s="167"/>
      <c r="R4448" s="1"/>
    </row>
    <row r="4449" spans="1:121">
      <c r="A4449" s="166" t="s">
        <v>195</v>
      </c>
      <c r="B4449" s="173" t="s">
        <v>196</v>
      </c>
      <c r="C4449" s="196">
        <v>175609910</v>
      </c>
      <c r="D4449" s="168"/>
      <c r="E4449" s="29"/>
      <c r="F4449" s="29" t="s">
        <v>1969</v>
      </c>
      <c r="G4449" s="3" t="s">
        <v>116</v>
      </c>
      <c r="H4449" s="3" t="s">
        <v>1906</v>
      </c>
      <c r="I4449" s="55">
        <v>46198</v>
      </c>
      <c r="J4449" s="55">
        <v>46202</v>
      </c>
      <c r="K4449" s="55">
        <v>46227</v>
      </c>
      <c r="L4449" s="55"/>
      <c r="M4449" s="55"/>
      <c r="N4449" s="3"/>
      <c r="O4449" s="3" t="s">
        <v>10</v>
      </c>
      <c r="P4449" s="55"/>
      <c r="Q4449" s="167"/>
      <c r="R4449" s="1"/>
    </row>
    <row r="4450" spans="1:121">
      <c r="A4450" s="166" t="s">
        <v>195</v>
      </c>
      <c r="B4450" s="173" t="s">
        <v>196</v>
      </c>
      <c r="C4450" s="196">
        <v>175609903</v>
      </c>
      <c r="D4450" s="168"/>
      <c r="E4450" s="29"/>
      <c r="F4450" s="29" t="s">
        <v>1969</v>
      </c>
      <c r="G4450" s="3" t="s">
        <v>116</v>
      </c>
      <c r="H4450" s="3" t="s">
        <v>1906</v>
      </c>
      <c r="I4450" s="55">
        <v>46198</v>
      </c>
      <c r="J4450" s="55">
        <v>46202</v>
      </c>
      <c r="K4450" s="55">
        <v>46227</v>
      </c>
      <c r="L4450" s="55"/>
      <c r="M4450" s="55"/>
      <c r="N4450" s="3"/>
      <c r="O4450" s="3" t="s">
        <v>10</v>
      </c>
      <c r="P4450" s="55"/>
      <c r="Q4450" s="167"/>
      <c r="R4450" s="1"/>
    </row>
    <row r="4451" spans="1:121">
      <c r="A4451" s="166" t="s">
        <v>195</v>
      </c>
      <c r="B4451" s="173" t="s">
        <v>196</v>
      </c>
      <c r="C4451" s="196">
        <v>175609896</v>
      </c>
      <c r="D4451" s="168"/>
      <c r="E4451" s="29"/>
      <c r="F4451" s="29" t="s">
        <v>1969</v>
      </c>
      <c r="G4451" s="3" t="s">
        <v>116</v>
      </c>
      <c r="H4451" s="3" t="s">
        <v>1906</v>
      </c>
      <c r="I4451" s="55">
        <v>46198</v>
      </c>
      <c r="J4451" s="55">
        <v>46202</v>
      </c>
      <c r="K4451" s="55">
        <v>46227</v>
      </c>
      <c r="L4451" s="55"/>
      <c r="M4451" s="55"/>
      <c r="N4451" s="3"/>
      <c r="O4451" s="3" t="s">
        <v>10</v>
      </c>
      <c r="P4451" s="55"/>
      <c r="Q4451" s="167"/>
      <c r="R4451" s="1"/>
    </row>
    <row r="4452" spans="1:121">
      <c r="A4452" s="166" t="s">
        <v>195</v>
      </c>
      <c r="B4452" s="173" t="s">
        <v>196</v>
      </c>
      <c r="C4452" s="196">
        <v>175609890</v>
      </c>
      <c r="D4452" s="168"/>
      <c r="E4452" s="29"/>
      <c r="F4452" s="29" t="s">
        <v>1969</v>
      </c>
      <c r="G4452" s="3" t="s">
        <v>116</v>
      </c>
      <c r="H4452" s="3" t="s">
        <v>1906</v>
      </c>
      <c r="I4452" s="55">
        <v>46198</v>
      </c>
      <c r="J4452" s="55">
        <v>46202</v>
      </c>
      <c r="K4452" s="55">
        <v>46227</v>
      </c>
      <c r="L4452" s="55"/>
      <c r="M4452" s="55"/>
      <c r="N4452" s="3"/>
      <c r="O4452" s="3" t="s">
        <v>10</v>
      </c>
      <c r="P4452" s="55"/>
      <c r="Q4452" s="167"/>
      <c r="R4452" s="1"/>
    </row>
    <row r="4453" spans="1:121">
      <c r="A4453" s="166" t="s">
        <v>195</v>
      </c>
      <c r="B4453" s="173" t="s">
        <v>196</v>
      </c>
      <c r="C4453" s="196">
        <v>175609887</v>
      </c>
      <c r="D4453" s="168"/>
      <c r="E4453" s="29"/>
      <c r="F4453" s="29" t="s">
        <v>1969</v>
      </c>
      <c r="G4453" s="3" t="s">
        <v>116</v>
      </c>
      <c r="H4453" s="3" t="s">
        <v>1906</v>
      </c>
      <c r="I4453" s="55">
        <v>46198</v>
      </c>
      <c r="J4453" s="55">
        <v>46202</v>
      </c>
      <c r="K4453" s="55">
        <v>46227</v>
      </c>
      <c r="L4453" s="55"/>
      <c r="M4453" s="55"/>
      <c r="N4453" s="3"/>
      <c r="O4453" s="3" t="s">
        <v>10</v>
      </c>
      <c r="P4453" s="3"/>
      <c r="Q4453" s="167"/>
      <c r="R4453" s="1"/>
    </row>
    <row r="4454" spans="1:121">
      <c r="A4454" s="166" t="s">
        <v>195</v>
      </c>
      <c r="B4454" s="173" t="s">
        <v>196</v>
      </c>
      <c r="C4454" s="196">
        <v>176600031</v>
      </c>
      <c r="D4454" s="168"/>
      <c r="E4454" s="29"/>
      <c r="F4454" s="29" t="s">
        <v>1969</v>
      </c>
      <c r="G4454" s="3" t="s">
        <v>116</v>
      </c>
      <c r="H4454" s="3" t="s">
        <v>1906</v>
      </c>
      <c r="I4454" s="55">
        <v>46198</v>
      </c>
      <c r="J4454" s="55">
        <v>46202</v>
      </c>
      <c r="K4454" s="55">
        <v>46227</v>
      </c>
      <c r="L4454" s="55"/>
      <c r="M4454" s="55"/>
      <c r="N4454" s="3"/>
      <c r="O4454" s="3" t="s">
        <v>10</v>
      </c>
      <c r="P4454" s="3"/>
      <c r="Q4454" s="167"/>
      <c r="R4454" s="1"/>
    </row>
    <row r="4455" spans="1:121">
      <c r="A4455" s="173" t="s">
        <v>1970</v>
      </c>
      <c r="B4455" s="173" t="s">
        <v>1971</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1970</v>
      </c>
      <c r="B4456" s="173" t="s">
        <v>1971</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1970</v>
      </c>
      <c r="B4457" s="173" t="s">
        <v>1971</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1970</v>
      </c>
      <c r="B4458" s="173" t="s">
        <v>1971</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1970</v>
      </c>
      <c r="B4459" s="173" t="s">
        <v>1971</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1970</v>
      </c>
      <c r="B4460" s="173" t="s">
        <v>1971</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1970</v>
      </c>
      <c r="B4461" s="173" t="s">
        <v>1971</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1970</v>
      </c>
      <c r="B4462" s="173" t="s">
        <v>1971</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1970</v>
      </c>
      <c r="B4463" s="173" t="s">
        <v>1971</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1970</v>
      </c>
      <c r="B4464" s="173" t="s">
        <v>1971</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1970</v>
      </c>
      <c r="B4465" s="173" t="s">
        <v>1971</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1972</v>
      </c>
      <c r="B4466" s="173" t="s">
        <v>1973</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1972</v>
      </c>
      <c r="B4467" s="173" t="s">
        <v>1973</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1972</v>
      </c>
      <c r="B4468" s="173" t="s">
        <v>1973</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1972</v>
      </c>
      <c r="B4469" s="173" t="s">
        <v>1973</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1972</v>
      </c>
      <c r="B4470" s="173" t="s">
        <v>1973</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1972</v>
      </c>
      <c r="B4471" s="173" t="s">
        <v>1973</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1972</v>
      </c>
      <c r="B4472" s="173" t="s">
        <v>1973</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1972</v>
      </c>
      <c r="B4473" s="173" t="s">
        <v>1973</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1972</v>
      </c>
      <c r="B4474" s="173" t="s">
        <v>1973</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1972</v>
      </c>
      <c r="B4475" s="173" t="s">
        <v>1973</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1972</v>
      </c>
      <c r="B4476" s="173" t="s">
        <v>1973</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1974</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1974</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1974</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1974</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1974</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1974</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1974</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1974</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1974</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1974</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1974</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1974</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1974</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1975</v>
      </c>
      <c r="B4490" s="173" t="s">
        <v>1976</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1975</v>
      </c>
      <c r="B4491" s="173" t="s">
        <v>1976</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1975</v>
      </c>
      <c r="B4492" s="173" t="s">
        <v>1976</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1975</v>
      </c>
      <c r="B4493" s="173" t="s">
        <v>1976</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1975</v>
      </c>
      <c r="B4494" s="173" t="s">
        <v>1976</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1975</v>
      </c>
      <c r="B4495" s="173" t="s">
        <v>1976</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1975</v>
      </c>
      <c r="B4496" s="173" t="s">
        <v>1976</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1977</v>
      </c>
      <c r="B4497" s="173" t="s">
        <v>1978</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1977</v>
      </c>
      <c r="B4498" s="173" t="s">
        <v>1978</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1977</v>
      </c>
      <c r="B4499" s="173" t="s">
        <v>1978</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1977</v>
      </c>
      <c r="B4500" s="173" t="s">
        <v>1978</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1977</v>
      </c>
      <c r="B4501" s="173" t="s">
        <v>1978</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1977</v>
      </c>
      <c r="B4502" s="173" t="s">
        <v>1978</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1977</v>
      </c>
      <c r="B4503" s="173" t="s">
        <v>1978</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1977</v>
      </c>
      <c r="B4504" s="173" t="s">
        <v>1978</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1979</v>
      </c>
      <c r="B4505" s="173" t="s">
        <v>1980</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1979</v>
      </c>
      <c r="B4506" s="173" t="s">
        <v>1980</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1979</v>
      </c>
      <c r="B4507" s="173" t="s">
        <v>1980</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1979</v>
      </c>
      <c r="B4508" s="173" t="s">
        <v>1980</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1979</v>
      </c>
      <c r="B4509" s="173" t="s">
        <v>1980</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1979</v>
      </c>
      <c r="B4510" s="173" t="s">
        <v>1980</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1979</v>
      </c>
      <c r="B4511" s="173" t="s">
        <v>1980</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1979</v>
      </c>
      <c r="B4512" s="173" t="s">
        <v>1980</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1958</v>
      </c>
      <c r="B4513" s="173" t="s">
        <v>1959</v>
      </c>
      <c r="C4513" s="196">
        <v>127606213</v>
      </c>
      <c r="D4513" s="168"/>
      <c r="E4513" s="29"/>
      <c r="F4513" s="29" t="s">
        <v>199</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1958</v>
      </c>
      <c r="B4514" s="173" t="s">
        <v>1959</v>
      </c>
      <c r="C4514" s="196">
        <v>127606103</v>
      </c>
      <c r="D4514" s="168"/>
      <c r="E4514" s="29"/>
      <c r="F4514" s="29" t="s">
        <v>199</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1960</v>
      </c>
      <c r="B4515" s="173" t="s">
        <v>1961</v>
      </c>
      <c r="C4515" s="196">
        <v>138607791</v>
      </c>
      <c r="D4515" s="168"/>
      <c r="E4515" s="29"/>
      <c r="F4515" s="29" t="s">
        <v>68</v>
      </c>
      <c r="G4515" s="3" t="s">
        <v>64</v>
      </c>
      <c r="H4515" s="3" t="s">
        <v>1962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1960</v>
      </c>
      <c r="B4516" s="173" t="s">
        <v>1961</v>
      </c>
      <c r="C4516" s="196">
        <v>138607618</v>
      </c>
      <c r="D4516" s="168"/>
      <c r="E4516" s="29"/>
      <c r="F4516" s="29" t="s">
        <v>68</v>
      </c>
      <c r="G4516" s="3" t="s">
        <v>64</v>
      </c>
      <c r="H4516" s="3" t="s">
        <v>1962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1981</v>
      </c>
      <c r="B4517" s="183" t="s">
        <v>1982</v>
      </c>
      <c r="C4517" s="196">
        <v>154607232</v>
      </c>
      <c r="D4517" s="168"/>
      <c r="E4517" s="184"/>
      <c r="F4517" s="184" t="s">
        <v>111</v>
      </c>
      <c r="G4517" s="3" t="s">
        <v>64</v>
      </c>
      <c r="H4517" s="45" t="s">
        <v>112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1981</v>
      </c>
      <c r="B4518" s="183" t="s">
        <v>1982</v>
      </c>
      <c r="C4518" s="196">
        <v>154607203</v>
      </c>
      <c r="D4518" s="168"/>
      <c r="E4518" s="184"/>
      <c r="F4518" s="184" t="s">
        <v>111</v>
      </c>
      <c r="G4518" s="3" t="s">
        <v>64</v>
      </c>
      <c r="H4518" s="45" t="s">
        <v>112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1981</v>
      </c>
      <c r="B4519" s="183" t="s">
        <v>1982</v>
      </c>
      <c r="C4519" s="196">
        <v>154607174</v>
      </c>
      <c r="D4519" s="168"/>
      <c r="E4519" s="184"/>
      <c r="F4519" s="184" t="s">
        <v>111</v>
      </c>
      <c r="G4519" s="3" t="s">
        <v>64</v>
      </c>
      <c r="H4519" s="45" t="s">
        <v>112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1981</v>
      </c>
      <c r="B4520" s="183" t="s">
        <v>1982</v>
      </c>
      <c r="C4520" s="196">
        <v>154607164</v>
      </c>
      <c r="D4520" s="168"/>
      <c r="E4520" s="184"/>
      <c r="F4520" s="184" t="s">
        <v>111</v>
      </c>
      <c r="G4520" s="3" t="s">
        <v>64</v>
      </c>
      <c r="H4520" s="45" t="s">
        <v>112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1981</v>
      </c>
      <c r="B4521" s="183" t="s">
        <v>1982</v>
      </c>
      <c r="C4521" s="196">
        <v>154607146</v>
      </c>
      <c r="D4521" s="168"/>
      <c r="E4521" s="184"/>
      <c r="F4521" s="184" t="s">
        <v>111</v>
      </c>
      <c r="G4521" s="3" t="s">
        <v>64</v>
      </c>
      <c r="H4521" s="45" t="s">
        <v>112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1981</v>
      </c>
      <c r="B4522" s="183" t="s">
        <v>1982</v>
      </c>
      <c r="C4522" s="196">
        <v>154607111</v>
      </c>
      <c r="D4522" s="168"/>
      <c r="E4522" s="184"/>
      <c r="F4522" s="184" t="s">
        <v>111</v>
      </c>
      <c r="G4522" s="3" t="s">
        <v>64</v>
      </c>
      <c r="H4522" s="45" t="s">
        <v>112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1981</v>
      </c>
      <c r="B4523" s="183" t="s">
        <v>1982</v>
      </c>
      <c r="C4523" s="196">
        <v>154607103</v>
      </c>
      <c r="D4523" s="168"/>
      <c r="E4523" s="184"/>
      <c r="F4523" s="184" t="s">
        <v>111</v>
      </c>
      <c r="G4523" s="3" t="s">
        <v>64</v>
      </c>
      <c r="H4523" s="45" t="s">
        <v>112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1981</v>
      </c>
      <c r="B4524" s="183" t="s">
        <v>1982</v>
      </c>
      <c r="C4524" s="196">
        <v>154607087</v>
      </c>
      <c r="D4524" s="168"/>
      <c r="E4524" s="184"/>
      <c r="F4524" s="184" t="s">
        <v>111</v>
      </c>
      <c r="G4524" s="3" t="s">
        <v>64</v>
      </c>
      <c r="H4524" s="45" t="s">
        <v>112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109</v>
      </c>
      <c r="B4525" s="183" t="s">
        <v>110</v>
      </c>
      <c r="C4525" s="196">
        <v>154607495</v>
      </c>
      <c r="D4525" s="168"/>
      <c r="E4525" s="29"/>
      <c r="F4525" s="29" t="s">
        <v>111</v>
      </c>
      <c r="G4525" s="3" t="s">
        <v>64</v>
      </c>
      <c r="H4525" s="3" t="s">
        <v>112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109</v>
      </c>
      <c r="B4526" s="183" t="s">
        <v>110</v>
      </c>
      <c r="C4526" s="196">
        <v>154607470</v>
      </c>
      <c r="D4526" s="168"/>
      <c r="E4526" s="29"/>
      <c r="F4526" s="29" t="s">
        <v>111</v>
      </c>
      <c r="G4526" s="3" t="s">
        <v>64</v>
      </c>
      <c r="H4526" s="3" t="s">
        <v>112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109</v>
      </c>
      <c r="B4527" s="183" t="s">
        <v>110</v>
      </c>
      <c r="C4527" s="196">
        <v>154607435</v>
      </c>
      <c r="D4527" s="168"/>
      <c r="E4527" s="29"/>
      <c r="F4527" s="29" t="s">
        <v>111</v>
      </c>
      <c r="G4527" s="3" t="s">
        <v>64</v>
      </c>
      <c r="H4527" s="3" t="s">
        <v>112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109</v>
      </c>
      <c r="B4528" s="183" t="s">
        <v>110</v>
      </c>
      <c r="C4528" s="196">
        <v>154607415</v>
      </c>
      <c r="D4528" s="168"/>
      <c r="E4528" s="29"/>
      <c r="F4528" s="29" t="s">
        <v>111</v>
      </c>
      <c r="G4528" s="3" t="s">
        <v>64</v>
      </c>
      <c r="H4528" s="3" t="s">
        <v>112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109</v>
      </c>
      <c r="B4529" s="183" t="s">
        <v>110</v>
      </c>
      <c r="C4529" s="196">
        <v>154607366</v>
      </c>
      <c r="D4529" s="168"/>
      <c r="E4529" s="29"/>
      <c r="F4529" s="29" t="s">
        <v>111</v>
      </c>
      <c r="G4529" s="3" t="s">
        <v>64</v>
      </c>
      <c r="H4529" s="3" t="s">
        <v>112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109</v>
      </c>
      <c r="B4530" s="183" t="s">
        <v>110</v>
      </c>
      <c r="C4530" s="196">
        <v>154607346</v>
      </c>
      <c r="D4530" s="168"/>
      <c r="E4530" s="29"/>
      <c r="F4530" s="29" t="s">
        <v>111</v>
      </c>
      <c r="G4530" s="3" t="s">
        <v>64</v>
      </c>
      <c r="H4530" s="45" t="s">
        <v>112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1983</v>
      </c>
      <c r="B4531" s="183" t="s">
        <v>168</v>
      </c>
      <c r="C4531" s="196">
        <v>147604963</v>
      </c>
      <c r="D4531" s="168"/>
      <c r="E4531" s="29"/>
      <c r="F4531" s="29" t="s">
        <v>1984</v>
      </c>
      <c r="G4531" s="3" t="s">
        <v>169</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1983</v>
      </c>
      <c r="B4532" s="183" t="s">
        <v>168</v>
      </c>
      <c r="C4532" s="196">
        <v>147604803</v>
      </c>
      <c r="D4532" s="168"/>
      <c r="E4532" s="29"/>
      <c r="F4532" s="29" t="s">
        <v>1984</v>
      </c>
      <c r="G4532" s="3" t="s">
        <v>169</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1983</v>
      </c>
      <c r="B4533" s="183" t="s">
        <v>168</v>
      </c>
      <c r="C4533" s="196">
        <v>147605087</v>
      </c>
      <c r="D4533" s="168"/>
      <c r="E4533" s="29"/>
      <c r="F4533" s="29" t="s">
        <v>1984</v>
      </c>
      <c r="G4533" s="3" t="s">
        <v>169</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1983</v>
      </c>
      <c r="B4534" s="183" t="s">
        <v>168</v>
      </c>
      <c r="C4534" s="196">
        <v>147605275</v>
      </c>
      <c r="D4534" s="168"/>
      <c r="E4534" s="29"/>
      <c r="F4534" s="29" t="s">
        <v>1984</v>
      </c>
      <c r="G4534" s="3" t="s">
        <v>169</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1983</v>
      </c>
      <c r="B4535" s="183" t="s">
        <v>168</v>
      </c>
      <c r="C4535" s="196">
        <v>147605379</v>
      </c>
      <c r="D4535" s="168"/>
      <c r="E4535" s="29"/>
      <c r="F4535" s="29" t="s">
        <v>1984</v>
      </c>
      <c r="G4535" s="3" t="s">
        <v>169</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1985</v>
      </c>
      <c r="B4536" s="183" t="s">
        <v>1986</v>
      </c>
      <c r="C4536" s="196">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1985</v>
      </c>
      <c r="B4537" s="183" t="s">
        <v>1986</v>
      </c>
      <c r="C4537" s="196">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1985</v>
      </c>
      <c r="B4538" s="183" t="s">
        <v>1986</v>
      </c>
      <c r="C4538" s="196">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1985</v>
      </c>
      <c r="B4539" s="183" t="s">
        <v>1986</v>
      </c>
      <c r="C4539" s="196">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1985</v>
      </c>
      <c r="B4540" s="183" t="s">
        <v>1986</v>
      </c>
      <c r="C4540" s="196">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1985</v>
      </c>
      <c r="B4541" s="183" t="s">
        <v>1986</v>
      </c>
      <c r="C4541" s="196">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1985</v>
      </c>
      <c r="B4542" s="183" t="s">
        <v>1986</v>
      </c>
      <c r="C4542" s="196">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1985</v>
      </c>
      <c r="B4543" s="183" t="s">
        <v>1986</v>
      </c>
      <c r="C4543" s="196">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1985</v>
      </c>
      <c r="B4544" s="183" t="s">
        <v>1986</v>
      </c>
      <c r="C4544" s="196">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1987</v>
      </c>
      <c r="B4545" s="173" t="s">
        <v>1988</v>
      </c>
      <c r="C4545" s="196">
        <v>189601853</v>
      </c>
      <c r="D4545" s="168"/>
      <c r="E4545" s="29"/>
      <c r="F4545" s="29" t="s">
        <v>97</v>
      </c>
      <c r="G4545" s="3" t="s">
        <v>64</v>
      </c>
      <c r="H4545" s="3" t="s">
        <v>30</v>
      </c>
      <c r="I4545" s="59">
        <v>46211</v>
      </c>
      <c r="J4545" s="59">
        <v>46214</v>
      </c>
      <c r="K4545" s="59">
        <v>46242</v>
      </c>
      <c r="L4545" s="45"/>
      <c r="M4545" s="45"/>
      <c r="N4545" s="45"/>
      <c r="O4545" s="3" t="s">
        <v>1989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1987</v>
      </c>
      <c r="B4546" s="173" t="s">
        <v>1988</v>
      </c>
      <c r="C4546" s="196">
        <v>189601897</v>
      </c>
      <c r="D4546" s="168"/>
      <c r="E4546" s="29"/>
      <c r="F4546" s="29" t="s">
        <v>97</v>
      </c>
      <c r="G4546" s="3" t="s">
        <v>64</v>
      </c>
      <c r="H4546" s="3" t="s">
        <v>30</v>
      </c>
      <c r="I4546" s="59">
        <v>46211</v>
      </c>
      <c r="J4546" s="59">
        <v>46214</v>
      </c>
      <c r="K4546" s="59">
        <v>46242</v>
      </c>
      <c r="L4546" s="45"/>
      <c r="M4546" s="45"/>
      <c r="N4546" s="45"/>
      <c r="O4546" s="3" t="s">
        <v>1989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1987</v>
      </c>
      <c r="B4547" s="173" t="s">
        <v>1988</v>
      </c>
      <c r="C4547" s="196">
        <v>189601924</v>
      </c>
      <c r="D4547" s="168"/>
      <c r="E4547" s="29"/>
      <c r="F4547" s="29" t="s">
        <v>97</v>
      </c>
      <c r="G4547" s="3" t="s">
        <v>64</v>
      </c>
      <c r="H4547" s="3" t="s">
        <v>30</v>
      </c>
      <c r="I4547" s="59">
        <v>46211</v>
      </c>
      <c r="J4547" s="59">
        <v>46214</v>
      </c>
      <c r="K4547" s="59">
        <v>46242</v>
      </c>
      <c r="L4547" s="45"/>
      <c r="M4547" s="45"/>
      <c r="N4547" s="45"/>
      <c r="O4547" s="3" t="s">
        <v>1989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1987</v>
      </c>
      <c r="B4548" s="173" t="s">
        <v>1988</v>
      </c>
      <c r="C4548" s="196">
        <v>189601925</v>
      </c>
      <c r="D4548" s="168"/>
      <c r="E4548" s="29"/>
      <c r="F4548" s="29" t="s">
        <v>97</v>
      </c>
      <c r="G4548" s="3" t="s">
        <v>64</v>
      </c>
      <c r="H4548" s="3" t="s">
        <v>30</v>
      </c>
      <c r="I4548" s="59">
        <v>46211</v>
      </c>
      <c r="J4548" s="59">
        <v>46214</v>
      </c>
      <c r="K4548" s="59">
        <v>46242</v>
      </c>
      <c r="L4548" s="45"/>
      <c r="M4548" s="45"/>
      <c r="N4548" s="45"/>
      <c r="O4548" s="3" t="s">
        <v>1989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1987</v>
      </c>
      <c r="B4549" s="173" t="s">
        <v>1988</v>
      </c>
      <c r="C4549" s="196">
        <v>189601955</v>
      </c>
      <c r="D4549" s="168"/>
      <c r="E4549" s="29"/>
      <c r="F4549" s="29" t="s">
        <v>97</v>
      </c>
      <c r="G4549" s="3" t="s">
        <v>64</v>
      </c>
      <c r="H4549" s="3" t="s">
        <v>30</v>
      </c>
      <c r="I4549" s="59">
        <v>46211</v>
      </c>
      <c r="J4549" s="59">
        <v>46214</v>
      </c>
      <c r="K4549" s="59">
        <v>46242</v>
      </c>
      <c r="L4549" s="45"/>
      <c r="M4549" s="45"/>
      <c r="N4549" s="45"/>
      <c r="O4549" s="3" t="s">
        <v>1989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1987</v>
      </c>
      <c r="B4550" s="173" t="s">
        <v>1988</v>
      </c>
      <c r="C4550" s="196">
        <v>189602071</v>
      </c>
      <c r="D4550" s="168"/>
      <c r="E4550" s="29"/>
      <c r="F4550" s="29" t="s">
        <v>97</v>
      </c>
      <c r="G4550" s="3" t="s">
        <v>64</v>
      </c>
      <c r="H4550" s="3" t="s">
        <v>30</v>
      </c>
      <c r="I4550" s="59">
        <v>46211</v>
      </c>
      <c r="J4550" s="59">
        <v>46214</v>
      </c>
      <c r="K4550" s="59">
        <v>46242</v>
      </c>
      <c r="L4550" s="45"/>
      <c r="M4550" s="45"/>
      <c r="N4550" s="45"/>
      <c r="O4550" s="3" t="s">
        <v>1989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1987</v>
      </c>
      <c r="B4551" s="173" t="s">
        <v>1988</v>
      </c>
      <c r="C4551" s="196">
        <v>189602139</v>
      </c>
      <c r="D4551" s="168"/>
      <c r="E4551" s="29"/>
      <c r="F4551" s="29" t="s">
        <v>97</v>
      </c>
      <c r="G4551" s="3" t="s">
        <v>64</v>
      </c>
      <c r="H4551" s="3" t="s">
        <v>30</v>
      </c>
      <c r="I4551" s="59">
        <v>46211</v>
      </c>
      <c r="J4551" s="59">
        <v>46214</v>
      </c>
      <c r="K4551" s="59">
        <v>46242</v>
      </c>
      <c r="L4551" s="45"/>
      <c r="M4551" s="45"/>
      <c r="N4551" s="45"/>
      <c r="O4551" s="3" t="s">
        <v>1989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1987</v>
      </c>
      <c r="B4552" s="173" t="s">
        <v>1988</v>
      </c>
      <c r="C4552" s="196">
        <v>189602158</v>
      </c>
      <c r="D4552" s="168"/>
      <c r="E4552" s="29"/>
      <c r="F4552" s="29" t="s">
        <v>97</v>
      </c>
      <c r="G4552" s="3" t="s">
        <v>64</v>
      </c>
      <c r="H4552" s="3" t="s">
        <v>30</v>
      </c>
      <c r="I4552" s="59">
        <v>46211</v>
      </c>
      <c r="J4552" s="59">
        <v>46214</v>
      </c>
      <c r="K4552" s="59">
        <v>46242</v>
      </c>
      <c r="L4552" s="45"/>
      <c r="M4552" s="45"/>
      <c r="N4552" s="45"/>
      <c r="O4552" s="3" t="s">
        <v>1989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1987</v>
      </c>
      <c r="B4553" s="173" t="s">
        <v>1988</v>
      </c>
      <c r="C4553" s="196">
        <v>189602263</v>
      </c>
      <c r="D4553" s="168"/>
      <c r="E4553" s="29"/>
      <c r="F4553" s="29" t="s">
        <v>97</v>
      </c>
      <c r="G4553" s="3" t="s">
        <v>64</v>
      </c>
      <c r="H4553" s="3" t="s">
        <v>30</v>
      </c>
      <c r="I4553" s="59">
        <v>46211</v>
      </c>
      <c r="J4553" s="59">
        <v>46214</v>
      </c>
      <c r="K4553" s="59">
        <v>46242</v>
      </c>
      <c r="L4553" s="45"/>
      <c r="M4553" s="45"/>
      <c r="N4553" s="45"/>
      <c r="O4553" s="3" t="s">
        <v>1989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1987</v>
      </c>
      <c r="B4554" s="173" t="s">
        <v>1988</v>
      </c>
      <c r="C4554" s="196">
        <v>189602303</v>
      </c>
      <c r="D4554" s="168"/>
      <c r="E4554" s="29"/>
      <c r="F4554" s="29" t="s">
        <v>97</v>
      </c>
      <c r="G4554" s="3" t="s">
        <v>64</v>
      </c>
      <c r="H4554" s="3" t="s">
        <v>30</v>
      </c>
      <c r="I4554" s="59">
        <v>46211</v>
      </c>
      <c r="J4554" s="59">
        <v>46214</v>
      </c>
      <c r="K4554" s="59">
        <v>46242</v>
      </c>
      <c r="L4554" s="45"/>
      <c r="M4554" s="45"/>
      <c r="N4554" s="45"/>
      <c r="O4554" s="3" t="s">
        <v>1989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1987</v>
      </c>
      <c r="B4555" s="173" t="s">
        <v>1988</v>
      </c>
      <c r="C4555" s="196">
        <v>189602349</v>
      </c>
      <c r="D4555" s="168"/>
      <c r="E4555" s="29"/>
      <c r="F4555" s="29" t="s">
        <v>97</v>
      </c>
      <c r="G4555" s="3" t="s">
        <v>64</v>
      </c>
      <c r="H4555" s="3" t="s">
        <v>30</v>
      </c>
      <c r="I4555" s="59">
        <v>46211</v>
      </c>
      <c r="J4555" s="59">
        <v>46214</v>
      </c>
      <c r="K4555" s="59">
        <v>46242</v>
      </c>
      <c r="L4555" s="45"/>
      <c r="M4555" s="45"/>
      <c r="N4555" s="45"/>
      <c r="O4555" s="3" t="s">
        <v>1989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1987</v>
      </c>
      <c r="B4556" s="173" t="s">
        <v>1988</v>
      </c>
      <c r="C4556" s="196">
        <v>189602376</v>
      </c>
      <c r="D4556" s="168"/>
      <c r="E4556" s="29"/>
      <c r="F4556" s="29" t="s">
        <v>97</v>
      </c>
      <c r="G4556" s="3" t="s">
        <v>64</v>
      </c>
      <c r="H4556" s="3" t="s">
        <v>30</v>
      </c>
      <c r="I4556" s="59">
        <v>46211</v>
      </c>
      <c r="J4556" s="59">
        <v>46214</v>
      </c>
      <c r="K4556" s="59">
        <v>46242</v>
      </c>
      <c r="L4556" s="45"/>
      <c r="M4556" s="45"/>
      <c r="N4556" s="45"/>
      <c r="O4556" s="3" t="s">
        <v>1989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1987</v>
      </c>
      <c r="B4557" s="173" t="s">
        <v>1988</v>
      </c>
      <c r="C4557" s="196">
        <v>189602388</v>
      </c>
      <c r="D4557" s="168"/>
      <c r="E4557" s="29"/>
      <c r="F4557" s="29" t="s">
        <v>97</v>
      </c>
      <c r="G4557" s="3" t="s">
        <v>64</v>
      </c>
      <c r="H4557" s="3" t="s">
        <v>30</v>
      </c>
      <c r="I4557" s="59">
        <v>46211</v>
      </c>
      <c r="J4557" s="59">
        <v>46214</v>
      </c>
      <c r="K4557" s="59">
        <v>46242</v>
      </c>
      <c r="L4557" s="45"/>
      <c r="M4557" s="45"/>
      <c r="N4557" s="45"/>
      <c r="O4557" s="3" t="s">
        <v>1989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1987</v>
      </c>
      <c r="B4558" s="173" t="s">
        <v>1988</v>
      </c>
      <c r="C4558" s="196">
        <v>189602428</v>
      </c>
      <c r="D4558" s="168"/>
      <c r="E4558" s="29"/>
      <c r="F4558" s="29" t="s">
        <v>97</v>
      </c>
      <c r="G4558" s="3" t="s">
        <v>64</v>
      </c>
      <c r="H4558" s="3" t="s">
        <v>30</v>
      </c>
      <c r="I4558" s="59">
        <v>46211</v>
      </c>
      <c r="J4558" s="59">
        <v>46214</v>
      </c>
      <c r="K4558" s="59">
        <v>46242</v>
      </c>
      <c r="L4558" s="45"/>
      <c r="M4558" s="45"/>
      <c r="N4558" s="45"/>
      <c r="O4558" s="3" t="s">
        <v>1989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1987</v>
      </c>
      <c r="B4559" s="173" t="s">
        <v>1988</v>
      </c>
      <c r="C4559" s="196">
        <v>189602448</v>
      </c>
      <c r="D4559" s="168"/>
      <c r="E4559" s="29"/>
      <c r="F4559" s="29" t="s">
        <v>97</v>
      </c>
      <c r="G4559" s="3" t="s">
        <v>64</v>
      </c>
      <c r="H4559" s="3" t="s">
        <v>30</v>
      </c>
      <c r="I4559" s="59">
        <v>46211</v>
      </c>
      <c r="J4559" s="59">
        <v>46214</v>
      </c>
      <c r="K4559" s="59">
        <v>46242</v>
      </c>
      <c r="L4559" s="45"/>
      <c r="M4559" s="45"/>
      <c r="N4559" s="45"/>
      <c r="O4559" s="3" t="s">
        <v>1989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1987</v>
      </c>
      <c r="B4560" s="173" t="s">
        <v>1988</v>
      </c>
      <c r="C4560" s="196">
        <v>189602523</v>
      </c>
      <c r="D4560" s="168"/>
      <c r="E4560" s="29"/>
      <c r="F4560" s="29" t="s">
        <v>97</v>
      </c>
      <c r="G4560" s="3" t="s">
        <v>64</v>
      </c>
      <c r="H4560" s="3" t="s">
        <v>30</v>
      </c>
      <c r="I4560" s="59">
        <v>46211</v>
      </c>
      <c r="J4560" s="59">
        <v>46214</v>
      </c>
      <c r="K4560" s="59">
        <v>46242</v>
      </c>
      <c r="L4560" s="45"/>
      <c r="M4560" s="45"/>
      <c r="N4560" s="45"/>
      <c r="O4560" s="3" t="s">
        <v>1989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1987</v>
      </c>
      <c r="B4561" s="173" t="s">
        <v>1988</v>
      </c>
      <c r="C4561" s="196">
        <v>189602585</v>
      </c>
      <c r="D4561" s="168"/>
      <c r="E4561" s="29"/>
      <c r="F4561" s="29" t="s">
        <v>97</v>
      </c>
      <c r="G4561" s="3" t="s">
        <v>64</v>
      </c>
      <c r="H4561" s="3" t="s">
        <v>30</v>
      </c>
      <c r="I4561" s="59">
        <v>46211</v>
      </c>
      <c r="J4561" s="59">
        <v>46214</v>
      </c>
      <c r="K4561" s="59">
        <v>46242</v>
      </c>
      <c r="L4561" s="45"/>
      <c r="M4561" s="45"/>
      <c r="N4561" s="45"/>
      <c r="O4561" s="3" t="s">
        <v>1989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1987</v>
      </c>
      <c r="B4562" s="173" t="s">
        <v>1988</v>
      </c>
      <c r="C4562" s="196">
        <v>189602602</v>
      </c>
      <c r="D4562" s="168"/>
      <c r="E4562" s="29"/>
      <c r="F4562" s="29" t="s">
        <v>97</v>
      </c>
      <c r="G4562" s="3" t="s">
        <v>64</v>
      </c>
      <c r="H4562" s="3" t="s">
        <v>30</v>
      </c>
      <c r="I4562" s="59">
        <v>46211</v>
      </c>
      <c r="J4562" s="59">
        <v>46214</v>
      </c>
      <c r="K4562" s="59">
        <v>46242</v>
      </c>
      <c r="L4562" s="45"/>
      <c r="M4562" s="45"/>
      <c r="N4562" s="45"/>
      <c r="O4562" s="3" t="s">
        <v>1989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1987</v>
      </c>
      <c r="B4563" s="173" t="s">
        <v>1988</v>
      </c>
      <c r="C4563" s="196">
        <v>189602617</v>
      </c>
      <c r="D4563" s="168"/>
      <c r="E4563" s="29"/>
      <c r="F4563" s="29" t="s">
        <v>97</v>
      </c>
      <c r="G4563" s="3" t="s">
        <v>64</v>
      </c>
      <c r="H4563" s="3" t="s">
        <v>30</v>
      </c>
      <c r="I4563" s="59">
        <v>46211</v>
      </c>
      <c r="J4563" s="59">
        <v>46214</v>
      </c>
      <c r="K4563" s="59">
        <v>46242</v>
      </c>
      <c r="L4563" s="45"/>
      <c r="M4563" s="45"/>
      <c r="N4563" s="45"/>
      <c r="O4563" s="3" t="s">
        <v>1989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1987</v>
      </c>
      <c r="B4564" s="173" t="s">
        <v>1988</v>
      </c>
      <c r="C4564" s="196">
        <v>189602642</v>
      </c>
      <c r="D4564" s="168"/>
      <c r="E4564" s="29"/>
      <c r="F4564" s="29" t="s">
        <v>97</v>
      </c>
      <c r="G4564" s="3" t="s">
        <v>64</v>
      </c>
      <c r="H4564" s="3" t="s">
        <v>30</v>
      </c>
      <c r="I4564" s="59">
        <v>46211</v>
      </c>
      <c r="J4564" s="59">
        <v>46214</v>
      </c>
      <c r="K4564" s="59">
        <v>46242</v>
      </c>
      <c r="L4564" s="45"/>
      <c r="M4564" s="45"/>
      <c r="N4564" s="45"/>
      <c r="O4564" s="3" t="s">
        <v>1989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1987</v>
      </c>
      <c r="B4565" s="173" t="s">
        <v>1988</v>
      </c>
      <c r="C4565" s="196">
        <v>189602655</v>
      </c>
      <c r="D4565" s="168"/>
      <c r="E4565" s="29"/>
      <c r="F4565" s="29" t="s">
        <v>97</v>
      </c>
      <c r="G4565" s="3" t="s">
        <v>64</v>
      </c>
      <c r="H4565" s="3" t="s">
        <v>30</v>
      </c>
      <c r="I4565" s="59">
        <v>46211</v>
      </c>
      <c r="J4565" s="59">
        <v>46214</v>
      </c>
      <c r="K4565" s="59">
        <v>46242</v>
      </c>
      <c r="L4565" s="45"/>
      <c r="M4565" s="45"/>
      <c r="N4565" s="45"/>
      <c r="O4565" s="3" t="s">
        <v>1989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1987</v>
      </c>
      <c r="B4566" s="173" t="s">
        <v>1988</v>
      </c>
      <c r="C4566" s="196">
        <v>189602688</v>
      </c>
      <c r="D4566" s="168"/>
      <c r="E4566" s="29"/>
      <c r="F4566" s="29" t="s">
        <v>97</v>
      </c>
      <c r="G4566" s="3" t="s">
        <v>64</v>
      </c>
      <c r="H4566" s="3" t="s">
        <v>30</v>
      </c>
      <c r="I4566" s="59">
        <v>46211</v>
      </c>
      <c r="J4566" s="59">
        <v>46214</v>
      </c>
      <c r="K4566" s="59">
        <v>46242</v>
      </c>
      <c r="L4566" s="45"/>
      <c r="M4566" s="45"/>
      <c r="N4566" s="45"/>
      <c r="O4566" s="3" t="s">
        <v>1989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1987</v>
      </c>
      <c r="B4567" s="173" t="s">
        <v>1988</v>
      </c>
      <c r="C4567" s="196">
        <v>189602711</v>
      </c>
      <c r="D4567" s="168"/>
      <c r="E4567" s="29"/>
      <c r="F4567" s="29" t="s">
        <v>97</v>
      </c>
      <c r="G4567" s="3" t="s">
        <v>64</v>
      </c>
      <c r="H4567" s="3" t="s">
        <v>30</v>
      </c>
      <c r="I4567" s="59">
        <v>46211</v>
      </c>
      <c r="J4567" s="59">
        <v>46214</v>
      </c>
      <c r="K4567" s="59">
        <v>46242</v>
      </c>
      <c r="L4567" s="45"/>
      <c r="M4567" s="45"/>
      <c r="N4567" s="45"/>
      <c r="O4567" s="3" t="s">
        <v>1989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1990</v>
      </c>
      <c r="B4568" s="173" t="s">
        <v>1989</v>
      </c>
      <c r="C4568" s="196">
        <v>189607940</v>
      </c>
      <c r="D4568" s="168"/>
      <c r="E4568" s="29"/>
      <c r="F4568" s="29" t="s">
        <v>97</v>
      </c>
      <c r="G4568" s="3" t="s">
        <v>64</v>
      </c>
      <c r="H4568" s="3" t="s">
        <v>30</v>
      </c>
      <c r="I4568" s="59">
        <v>46211</v>
      </c>
      <c r="J4568" s="59">
        <v>46214</v>
      </c>
      <c r="K4568" s="59">
        <v>46242</v>
      </c>
      <c r="L4568" s="45"/>
      <c r="M4568" s="45"/>
      <c r="N4568" s="45"/>
      <c r="O4568" s="3" t="s">
        <v>1989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1990</v>
      </c>
      <c r="B4569" s="173" t="s">
        <v>1989</v>
      </c>
      <c r="C4569" s="196">
        <v>189607855</v>
      </c>
      <c r="D4569" s="168"/>
      <c r="E4569" s="29"/>
      <c r="F4569" s="29" t="s">
        <v>97</v>
      </c>
      <c r="G4569" s="3" t="s">
        <v>64</v>
      </c>
      <c r="H4569" s="3" t="s">
        <v>30</v>
      </c>
      <c r="I4569" s="59">
        <v>46211</v>
      </c>
      <c r="J4569" s="59">
        <v>46214</v>
      </c>
      <c r="K4569" s="59">
        <v>46242</v>
      </c>
      <c r="L4569" s="45"/>
      <c r="M4569" s="45"/>
      <c r="N4569" s="45"/>
      <c r="O4569" s="3" t="s">
        <v>1989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1990</v>
      </c>
      <c r="B4570" s="173" t="s">
        <v>1989</v>
      </c>
      <c r="C4570" s="196">
        <v>189607798</v>
      </c>
      <c r="D4570" s="168"/>
      <c r="E4570" s="29"/>
      <c r="F4570" s="29" t="s">
        <v>97</v>
      </c>
      <c r="G4570" s="3" t="s">
        <v>64</v>
      </c>
      <c r="H4570" s="3" t="s">
        <v>30</v>
      </c>
      <c r="I4570" s="59">
        <v>46211</v>
      </c>
      <c r="J4570" s="59">
        <v>46214</v>
      </c>
      <c r="K4570" s="59">
        <v>46242</v>
      </c>
      <c r="L4570" s="45"/>
      <c r="M4570" s="45"/>
      <c r="N4570" s="45"/>
      <c r="O4570" s="3" t="s">
        <v>1989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1990</v>
      </c>
      <c r="B4571" s="173" t="s">
        <v>1989</v>
      </c>
      <c r="C4571" s="196">
        <v>189607719</v>
      </c>
      <c r="D4571" s="168"/>
      <c r="E4571" s="29"/>
      <c r="F4571" s="184" t="s">
        <v>97</v>
      </c>
      <c r="G4571" s="3" t="s">
        <v>64</v>
      </c>
      <c r="H4571" s="3" t="s">
        <v>30</v>
      </c>
      <c r="I4571" s="59">
        <v>46211</v>
      </c>
      <c r="J4571" s="59">
        <v>46214</v>
      </c>
      <c r="K4571" s="59">
        <v>46242</v>
      </c>
      <c r="L4571" s="45"/>
      <c r="M4571" s="45"/>
      <c r="N4571" s="45"/>
      <c r="O4571" s="3" t="s">
        <v>1989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1990</v>
      </c>
      <c r="B4572" s="173" t="s">
        <v>1989</v>
      </c>
      <c r="C4572" s="196">
        <v>189607640</v>
      </c>
      <c r="D4572" s="168"/>
      <c r="E4572" s="29"/>
      <c r="F4572" s="184" t="s">
        <v>97</v>
      </c>
      <c r="G4572" s="3" t="s">
        <v>64</v>
      </c>
      <c r="H4572" s="3" t="s">
        <v>30</v>
      </c>
      <c r="I4572" s="59">
        <v>46211</v>
      </c>
      <c r="J4572" s="59">
        <v>46214</v>
      </c>
      <c r="K4572" s="59">
        <v>46242</v>
      </c>
      <c r="L4572" s="45"/>
      <c r="M4572" s="45"/>
      <c r="N4572" s="45"/>
      <c r="O4572" s="3" t="s">
        <v>1989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1990</v>
      </c>
      <c r="B4573" s="173" t="s">
        <v>1989</v>
      </c>
      <c r="C4573" s="196">
        <v>189607546</v>
      </c>
      <c r="D4573" s="168"/>
      <c r="E4573" s="29"/>
      <c r="F4573" s="29" t="s">
        <v>97</v>
      </c>
      <c r="G4573" s="3" t="s">
        <v>64</v>
      </c>
      <c r="H4573" s="3" t="s">
        <v>30</v>
      </c>
      <c r="I4573" s="59">
        <v>46211</v>
      </c>
      <c r="J4573" s="59">
        <v>46214</v>
      </c>
      <c r="K4573" s="59">
        <v>46242</v>
      </c>
      <c r="L4573" s="45"/>
      <c r="M4573" s="45"/>
      <c r="N4573" s="45"/>
      <c r="O4573" s="3" t="s">
        <v>1989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1990</v>
      </c>
      <c r="B4574" s="173" t="s">
        <v>1989</v>
      </c>
      <c r="C4574" s="196">
        <v>189607472</v>
      </c>
      <c r="D4574" s="168"/>
      <c r="E4574" s="29"/>
      <c r="F4574" s="29" t="s">
        <v>97</v>
      </c>
      <c r="G4574" s="3" t="s">
        <v>64</v>
      </c>
      <c r="H4574" s="3" t="s">
        <v>30</v>
      </c>
      <c r="I4574" s="59">
        <v>46211</v>
      </c>
      <c r="J4574" s="59">
        <v>46214</v>
      </c>
      <c r="K4574" s="59">
        <v>46242</v>
      </c>
      <c r="L4574" s="45"/>
      <c r="M4574" s="45"/>
      <c r="N4574" s="45"/>
      <c r="O4574" s="3" t="s">
        <v>1989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1950</v>
      </c>
      <c r="B4575" s="173" t="s">
        <v>1951</v>
      </c>
      <c r="C4575" s="196">
        <v>155606980</v>
      </c>
      <c r="D4575" s="168"/>
      <c r="E4575" s="29"/>
      <c r="F4575" s="29" t="s">
        <v>199</v>
      </c>
      <c r="G4575" s="3" t="s">
        <v>64</v>
      </c>
      <c r="H4575" s="3" t="s">
        <v>1062</v>
      </c>
      <c r="I4575" s="55">
        <v>46177</v>
      </c>
      <c r="J4575" s="55">
        <v>46181</v>
      </c>
      <c r="K4575" s="55">
        <v>46207</v>
      </c>
      <c r="L4575" s="3"/>
      <c r="M4575" s="3"/>
      <c r="N4575" s="3"/>
      <c r="O4575" s="3" t="s">
        <v>1094</v>
      </c>
      <c r="P4575" s="3"/>
      <c r="Q4575" s="167"/>
      <c r="R4575" s="1"/>
    </row>
    <row r="4576" spans="1:121">
      <c r="A4576" s="166" t="s">
        <v>1950</v>
      </c>
      <c r="B4576" s="173" t="s">
        <v>1951</v>
      </c>
      <c r="C4576" s="196">
        <v>155607049</v>
      </c>
      <c r="D4576" s="168"/>
      <c r="E4576" s="29"/>
      <c r="F4576" s="29" t="s">
        <v>199</v>
      </c>
      <c r="G4576" s="3" t="s">
        <v>64</v>
      </c>
      <c r="H4576" s="3" t="s">
        <v>1062</v>
      </c>
      <c r="I4576" s="55">
        <v>46177</v>
      </c>
      <c r="J4576" s="55">
        <v>46181</v>
      </c>
      <c r="K4576" s="55">
        <v>46207</v>
      </c>
      <c r="L4576" s="3"/>
      <c r="M4576" s="3"/>
      <c r="N4576" s="3"/>
      <c r="O4576" s="3" t="s">
        <v>1094</v>
      </c>
      <c r="P4576" s="3"/>
      <c r="Q4576" s="167"/>
      <c r="R4576" s="1"/>
    </row>
    <row r="4577" spans="1:121">
      <c r="A4577" s="166" t="s">
        <v>1950</v>
      </c>
      <c r="B4577" s="173" t="s">
        <v>1951</v>
      </c>
      <c r="C4577" s="196">
        <v>155607167</v>
      </c>
      <c r="D4577" s="168"/>
      <c r="E4577" s="29"/>
      <c r="F4577" s="29" t="s">
        <v>199</v>
      </c>
      <c r="G4577" s="3" t="s">
        <v>64</v>
      </c>
      <c r="H4577" s="3" t="s">
        <v>1062</v>
      </c>
      <c r="I4577" s="55">
        <v>46177</v>
      </c>
      <c r="J4577" s="55">
        <v>46181</v>
      </c>
      <c r="K4577" s="55">
        <v>46207</v>
      </c>
      <c r="L4577" s="3"/>
      <c r="M4577" s="3"/>
      <c r="N4577" s="3"/>
      <c r="O4577" s="3" t="s">
        <v>1094</v>
      </c>
      <c r="P4577" s="3"/>
      <c r="Q4577" s="167"/>
      <c r="R4577" s="1"/>
    </row>
    <row r="4578" spans="1:121">
      <c r="A4578" s="166" t="s">
        <v>1950</v>
      </c>
      <c r="B4578" s="173" t="s">
        <v>1951</v>
      </c>
      <c r="C4578" s="196">
        <v>155607257</v>
      </c>
      <c r="D4578" s="168"/>
      <c r="E4578" s="29"/>
      <c r="F4578" s="29" t="s">
        <v>199</v>
      </c>
      <c r="G4578" s="3" t="s">
        <v>64</v>
      </c>
      <c r="H4578" s="3" t="s">
        <v>1062</v>
      </c>
      <c r="I4578" s="55">
        <v>46177</v>
      </c>
      <c r="J4578" s="55">
        <v>46181</v>
      </c>
      <c r="K4578" s="55">
        <v>46207</v>
      </c>
      <c r="L4578" s="3"/>
      <c r="M4578" s="3"/>
      <c r="N4578" s="3"/>
      <c r="O4578" s="3" t="s">
        <v>1094</v>
      </c>
      <c r="P4578" s="3"/>
      <c r="Q4578" s="167"/>
      <c r="R4578" s="1"/>
    </row>
    <row r="4579" spans="1:121">
      <c r="A4579" s="166" t="s">
        <v>1950</v>
      </c>
      <c r="B4579" s="205" t="s">
        <v>1951</v>
      </c>
      <c r="C4579" s="196">
        <v>155607368</v>
      </c>
      <c r="D4579" s="168"/>
      <c r="E4579" s="29"/>
      <c r="F4579" s="29" t="s">
        <v>199</v>
      </c>
      <c r="G4579" s="3" t="s">
        <v>64</v>
      </c>
      <c r="H4579" s="3" t="s">
        <v>1062</v>
      </c>
      <c r="I4579" s="55">
        <v>46177</v>
      </c>
      <c r="J4579" s="55">
        <v>46181</v>
      </c>
      <c r="K4579" s="55">
        <v>46207</v>
      </c>
      <c r="L4579" s="3"/>
      <c r="M4579" s="3"/>
      <c r="N4579" s="3"/>
      <c r="O4579" s="3" t="s">
        <v>1094</v>
      </c>
      <c r="P4579" s="3"/>
      <c r="Q4579" s="167"/>
      <c r="R4579" s="1"/>
    </row>
    <row r="4580" spans="1:121">
      <c r="A4580" s="206" t="s">
        <v>1950</v>
      </c>
      <c r="B4580" s="201" t="s">
        <v>1951</v>
      </c>
      <c r="C4580" s="196">
        <v>155607436</v>
      </c>
      <c r="D4580" s="168"/>
      <c r="E4580" s="207"/>
      <c r="F4580" s="207" t="s">
        <v>199</v>
      </c>
      <c r="G4580" s="3" t="s">
        <v>64</v>
      </c>
      <c r="H4580" s="208" t="s">
        <v>1062</v>
      </c>
      <c r="I4580" s="55">
        <v>46177</v>
      </c>
      <c r="J4580" s="209">
        <v>46181</v>
      </c>
      <c r="K4580" s="55">
        <v>46207</v>
      </c>
      <c r="L4580" s="3"/>
      <c r="M4580" s="3"/>
      <c r="N4580" s="3"/>
      <c r="O4580" s="3" t="s">
        <v>1094</v>
      </c>
      <c r="P4580" s="3"/>
      <c r="Q4580" s="167"/>
      <c r="R4580" s="1"/>
    </row>
    <row r="4581" spans="1:121">
      <c r="A4581" s="206" t="s">
        <v>1950</v>
      </c>
      <c r="B4581" s="201" t="s">
        <v>1951</v>
      </c>
      <c r="C4581" s="196">
        <v>155607599</v>
      </c>
      <c r="D4581" s="168"/>
      <c r="E4581" s="207"/>
      <c r="F4581" s="207" t="s">
        <v>199</v>
      </c>
      <c r="G4581" s="3" t="s">
        <v>64</v>
      </c>
      <c r="H4581" s="208" t="s">
        <v>1062</v>
      </c>
      <c r="I4581" s="55">
        <v>46177</v>
      </c>
      <c r="J4581" s="209">
        <v>46181</v>
      </c>
      <c r="K4581" s="55">
        <v>46207</v>
      </c>
      <c r="L4581" s="3"/>
      <c r="M4581" s="3"/>
      <c r="N4581" s="3"/>
      <c r="O4581" s="3" t="s">
        <v>1094</v>
      </c>
      <c r="P4581" s="3"/>
      <c r="Q4581" s="167"/>
      <c r="R4581" s="1"/>
    </row>
    <row r="4582" spans="1:121">
      <c r="A4582" s="206" t="s">
        <v>1950</v>
      </c>
      <c r="B4582" s="201" t="s">
        <v>1951</v>
      </c>
      <c r="C4582" s="196">
        <v>155607633</v>
      </c>
      <c r="D4582" s="168"/>
      <c r="E4582" s="207"/>
      <c r="F4582" s="207" t="s">
        <v>199</v>
      </c>
      <c r="G4582" s="3" t="s">
        <v>64</v>
      </c>
      <c r="H4582" s="208" t="s">
        <v>1062</v>
      </c>
      <c r="I4582" s="55">
        <v>46177</v>
      </c>
      <c r="J4582" s="209">
        <v>46181</v>
      </c>
      <c r="K4582" s="55">
        <v>46207</v>
      </c>
      <c r="L4582" s="3"/>
      <c r="M4582" s="3"/>
      <c r="N4582" s="3"/>
      <c r="O4582" s="3" t="s">
        <v>1094</v>
      </c>
      <c r="P4582" s="3"/>
      <c r="Q4582" s="167"/>
      <c r="R4582" s="1"/>
    </row>
    <row r="4583" spans="1:121">
      <c r="A4583" s="183" t="s">
        <v>1991</v>
      </c>
      <c r="B4583" s="183" t="s">
        <v>1992</v>
      </c>
      <c r="C4583" s="196">
        <v>160609160</v>
      </c>
      <c r="D4583" s="168"/>
      <c r="E4583" s="29"/>
      <c r="F4583" s="29" t="s">
        <v>120</v>
      </c>
      <c r="G4583" s="3" t="s">
        <v>64</v>
      </c>
      <c r="H4583" s="3" t="s">
        <v>121</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1991</v>
      </c>
      <c r="B4584" s="183" t="s">
        <v>1992</v>
      </c>
      <c r="C4584" s="196">
        <v>160609167</v>
      </c>
      <c r="D4584" s="168"/>
      <c r="E4584" s="29"/>
      <c r="F4584" s="29" t="s">
        <v>120</v>
      </c>
      <c r="G4584" s="3" t="s">
        <v>64</v>
      </c>
      <c r="H4584" s="3" t="s">
        <v>121</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1991</v>
      </c>
      <c r="B4585" s="183" t="s">
        <v>1992</v>
      </c>
      <c r="C4585" s="196">
        <v>160609168</v>
      </c>
      <c r="D4585" s="168"/>
      <c r="E4585" s="29"/>
      <c r="F4585" s="29" t="s">
        <v>120</v>
      </c>
      <c r="G4585" s="3" t="s">
        <v>64</v>
      </c>
      <c r="H4585" s="3" t="s">
        <v>121</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1991</v>
      </c>
      <c r="B4586" s="183" t="s">
        <v>1992</v>
      </c>
      <c r="C4586" s="196">
        <v>160609170</v>
      </c>
      <c r="D4586" s="168"/>
      <c r="E4586" s="29"/>
      <c r="F4586" s="29" t="s">
        <v>120</v>
      </c>
      <c r="G4586" s="3" t="s">
        <v>64</v>
      </c>
      <c r="H4586" s="3" t="s">
        <v>121</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1991</v>
      </c>
      <c r="B4587" s="183" t="s">
        <v>1992</v>
      </c>
      <c r="C4587" s="196">
        <v>160609179</v>
      </c>
      <c r="D4587" s="168"/>
      <c r="E4587" s="29"/>
      <c r="F4587" s="29" t="s">
        <v>120</v>
      </c>
      <c r="G4587" s="3" t="s">
        <v>64</v>
      </c>
      <c r="H4587" s="3" t="s">
        <v>121</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1991</v>
      </c>
      <c r="B4588" s="183" t="s">
        <v>1992</v>
      </c>
      <c r="C4588" s="196">
        <v>160609181</v>
      </c>
      <c r="D4588" s="168"/>
      <c r="E4588" s="29"/>
      <c r="F4588" s="29" t="s">
        <v>120</v>
      </c>
      <c r="G4588" s="3" t="s">
        <v>64</v>
      </c>
      <c r="H4588" s="45" t="s">
        <v>121</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1991</v>
      </c>
      <c r="B4589" s="183" t="s">
        <v>1992</v>
      </c>
      <c r="C4589" s="196">
        <v>160609182</v>
      </c>
      <c r="D4589" s="168"/>
      <c r="E4589" s="29"/>
      <c r="F4589" s="29" t="s">
        <v>120</v>
      </c>
      <c r="G4589" s="3" t="s">
        <v>64</v>
      </c>
      <c r="H4589" s="45" t="s">
        <v>121</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1991</v>
      </c>
      <c r="B4590" s="183" t="s">
        <v>1992</v>
      </c>
      <c r="C4590" s="196">
        <v>160609185</v>
      </c>
      <c r="D4590" s="168"/>
      <c r="E4590" s="29"/>
      <c r="F4590" s="29" t="s">
        <v>120</v>
      </c>
      <c r="G4590" s="3" t="s">
        <v>64</v>
      </c>
      <c r="H4590" s="3" t="s">
        <v>121</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1991</v>
      </c>
      <c r="B4591" s="183" t="s">
        <v>1992</v>
      </c>
      <c r="C4591" s="196">
        <v>160609189</v>
      </c>
      <c r="D4591" s="168"/>
      <c r="E4591" s="29"/>
      <c r="F4591" s="29" t="s">
        <v>120</v>
      </c>
      <c r="G4591" s="3" t="s">
        <v>64</v>
      </c>
      <c r="H4591" s="3" t="s">
        <v>121</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1991</v>
      </c>
      <c r="B4592" s="183" t="s">
        <v>1992</v>
      </c>
      <c r="C4592" s="196">
        <v>160609192</v>
      </c>
      <c r="D4592" s="168"/>
      <c r="E4592" s="29"/>
      <c r="F4592" s="29" t="s">
        <v>120</v>
      </c>
      <c r="G4592" s="3" t="s">
        <v>64</v>
      </c>
      <c r="H4592" s="3" t="s">
        <v>121</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1991</v>
      </c>
      <c r="B4593" s="183" t="s">
        <v>1992</v>
      </c>
      <c r="C4593" s="196">
        <v>160609196</v>
      </c>
      <c r="D4593" s="168"/>
      <c r="E4593" s="29"/>
      <c r="F4593" s="29" t="s">
        <v>120</v>
      </c>
      <c r="G4593" s="3" t="s">
        <v>64</v>
      </c>
      <c r="H4593" s="3" t="s">
        <v>121</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1991</v>
      </c>
      <c r="B4594" s="183" t="s">
        <v>1992</v>
      </c>
      <c r="C4594" s="196">
        <v>160609199</v>
      </c>
      <c r="D4594" s="168"/>
      <c r="E4594" s="29"/>
      <c r="F4594" s="29" t="s">
        <v>120</v>
      </c>
      <c r="G4594" s="3" t="s">
        <v>64</v>
      </c>
      <c r="H4594" s="3" t="s">
        <v>121</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118</v>
      </c>
      <c r="B4595" s="183" t="s">
        <v>119</v>
      </c>
      <c r="C4595" s="196">
        <v>161609123</v>
      </c>
      <c r="D4595" s="168"/>
      <c r="E4595" s="29"/>
      <c r="F4595" s="29" t="s">
        <v>120</v>
      </c>
      <c r="G4595" s="3" t="s">
        <v>64</v>
      </c>
      <c r="H4595" s="3" t="s">
        <v>121</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118</v>
      </c>
      <c r="B4596" s="183" t="s">
        <v>119</v>
      </c>
      <c r="C4596" s="196">
        <v>161609129</v>
      </c>
      <c r="D4596" s="168"/>
      <c r="E4596" s="29"/>
      <c r="F4596" s="29" t="s">
        <v>120</v>
      </c>
      <c r="G4596" s="3" t="s">
        <v>64</v>
      </c>
      <c r="H4596" s="3" t="s">
        <v>121</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118</v>
      </c>
      <c r="B4597" s="183" t="s">
        <v>119</v>
      </c>
      <c r="C4597" s="196">
        <v>161609138</v>
      </c>
      <c r="D4597" s="168"/>
      <c r="E4597" s="29"/>
      <c r="F4597" s="29" t="s">
        <v>120</v>
      </c>
      <c r="G4597" s="3" t="s">
        <v>64</v>
      </c>
      <c r="H4597" s="3" t="s">
        <v>121</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118</v>
      </c>
      <c r="B4598" s="183" t="s">
        <v>119</v>
      </c>
      <c r="C4598" s="196">
        <v>161609144</v>
      </c>
      <c r="D4598" s="168"/>
      <c r="E4598" s="29"/>
      <c r="F4598" s="29" t="s">
        <v>120</v>
      </c>
      <c r="G4598" s="3" t="s">
        <v>64</v>
      </c>
      <c r="H4598" s="3" t="s">
        <v>121</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118</v>
      </c>
      <c r="B4599" s="183" t="s">
        <v>119</v>
      </c>
      <c r="C4599" s="196">
        <v>161609152</v>
      </c>
      <c r="D4599" s="168"/>
      <c r="E4599" s="29"/>
      <c r="F4599" s="29" t="s">
        <v>120</v>
      </c>
      <c r="G4599" s="3" t="s">
        <v>64</v>
      </c>
      <c r="H4599" s="3" t="s">
        <v>121</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118</v>
      </c>
      <c r="B4600" s="183" t="s">
        <v>119</v>
      </c>
      <c r="C4600" s="196">
        <v>161609156</v>
      </c>
      <c r="D4600" s="168"/>
      <c r="E4600" s="29"/>
      <c r="F4600" s="29" t="s">
        <v>120</v>
      </c>
      <c r="G4600" s="3" t="s">
        <v>64</v>
      </c>
      <c r="H4600" s="3" t="s">
        <v>121</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118</v>
      </c>
      <c r="B4601" s="183" t="s">
        <v>119</v>
      </c>
      <c r="C4601" s="196">
        <v>161609172</v>
      </c>
      <c r="D4601" s="168"/>
      <c r="E4601" s="29"/>
      <c r="F4601" s="29" t="s">
        <v>120</v>
      </c>
      <c r="G4601" s="3" t="s">
        <v>64</v>
      </c>
      <c r="H4601" s="3" t="s">
        <v>121</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118</v>
      </c>
      <c r="B4602" s="183" t="s">
        <v>119</v>
      </c>
      <c r="C4602" s="196">
        <v>161609176</v>
      </c>
      <c r="D4602" s="168"/>
      <c r="E4602" s="29"/>
      <c r="F4602" s="29" t="s">
        <v>120</v>
      </c>
      <c r="G4602" s="3" t="s">
        <v>64</v>
      </c>
      <c r="H4602" s="3" t="s">
        <v>121</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118</v>
      </c>
      <c r="B4603" s="183" t="s">
        <v>119</v>
      </c>
      <c r="C4603" s="196">
        <v>161609182</v>
      </c>
      <c r="D4603" s="168"/>
      <c r="E4603" s="29"/>
      <c r="F4603" s="29" t="s">
        <v>120</v>
      </c>
      <c r="G4603" s="3" t="s">
        <v>64</v>
      </c>
      <c r="H4603" s="3" t="s">
        <v>121</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118</v>
      </c>
      <c r="B4604" s="183" t="s">
        <v>119</v>
      </c>
      <c r="C4604" s="196">
        <v>161609185</v>
      </c>
      <c r="D4604" s="168"/>
      <c r="E4604" s="29"/>
      <c r="F4604" s="29" t="s">
        <v>120</v>
      </c>
      <c r="G4604" s="3" t="s">
        <v>64</v>
      </c>
      <c r="H4604" s="3" t="s">
        <v>121</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118</v>
      </c>
      <c r="B4605" s="183" t="s">
        <v>119</v>
      </c>
      <c r="C4605" s="196">
        <v>161609191</v>
      </c>
      <c r="D4605" s="168"/>
      <c r="E4605" s="29"/>
      <c r="F4605" s="29" t="s">
        <v>120</v>
      </c>
      <c r="G4605" s="3" t="s">
        <v>64</v>
      </c>
      <c r="H4605" s="3" t="s">
        <v>121</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118</v>
      </c>
      <c r="B4606" s="183" t="s">
        <v>119</v>
      </c>
      <c r="C4606" s="196">
        <v>161609197</v>
      </c>
      <c r="D4606" s="168"/>
      <c r="E4606" s="29"/>
      <c r="F4606" s="29" t="s">
        <v>120</v>
      </c>
      <c r="G4606" s="3" t="s">
        <v>64</v>
      </c>
      <c r="H4606" s="3" t="s">
        <v>121</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118</v>
      </c>
      <c r="B4607" s="183" t="s">
        <v>119</v>
      </c>
      <c r="C4607" s="196">
        <v>161609200</v>
      </c>
      <c r="D4607" s="168"/>
      <c r="E4607" s="29"/>
      <c r="F4607" s="29" t="s">
        <v>120</v>
      </c>
      <c r="G4607" s="3" t="s">
        <v>64</v>
      </c>
      <c r="H4607" s="3" t="s">
        <v>121</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118</v>
      </c>
      <c r="B4608" s="183" t="s">
        <v>119</v>
      </c>
      <c r="C4608" s="196">
        <v>161609202</v>
      </c>
      <c r="D4608" s="168"/>
      <c r="E4608" s="29"/>
      <c r="F4608" s="29" t="s">
        <v>120</v>
      </c>
      <c r="G4608" s="3" t="s">
        <v>64</v>
      </c>
      <c r="H4608" s="3" t="s">
        <v>121</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118</v>
      </c>
      <c r="B4609" s="183" t="s">
        <v>119</v>
      </c>
      <c r="C4609" s="196">
        <v>161609205</v>
      </c>
      <c r="D4609" s="168"/>
      <c r="E4609" s="29"/>
      <c r="F4609" s="29" t="s">
        <v>120</v>
      </c>
      <c r="G4609" s="3" t="s">
        <v>64</v>
      </c>
      <c r="H4609" s="3" t="s">
        <v>121</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118</v>
      </c>
      <c r="B4610" s="183" t="s">
        <v>119</v>
      </c>
      <c r="C4610" s="196">
        <v>161609209</v>
      </c>
      <c r="D4610" s="168"/>
      <c r="E4610" s="29"/>
      <c r="F4610" s="29" t="s">
        <v>120</v>
      </c>
      <c r="G4610" s="3" t="s">
        <v>64</v>
      </c>
      <c r="H4610" s="3" t="s">
        <v>121</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118</v>
      </c>
      <c r="B4611" s="183" t="s">
        <v>119</v>
      </c>
      <c r="C4611" s="196">
        <v>161609213</v>
      </c>
      <c r="D4611" s="168"/>
      <c r="E4611" s="29"/>
      <c r="F4611" s="29" t="s">
        <v>120</v>
      </c>
      <c r="G4611" s="3" t="s">
        <v>64</v>
      </c>
      <c r="H4611" s="3" t="s">
        <v>121</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122</v>
      </c>
      <c r="B4612" s="183" t="s">
        <v>123</v>
      </c>
      <c r="C4612" s="196">
        <v>161609339</v>
      </c>
      <c r="D4612" s="168"/>
      <c r="E4612" s="29"/>
      <c r="F4612" s="29" t="s">
        <v>124</v>
      </c>
      <c r="G4612" s="3" t="s">
        <v>64</v>
      </c>
      <c r="H4612" s="3" t="s">
        <v>125</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122</v>
      </c>
      <c r="B4613" s="183" t="s">
        <v>123</v>
      </c>
      <c r="C4613" s="196">
        <v>161609516</v>
      </c>
      <c r="D4613" s="168"/>
      <c r="E4613" s="29"/>
      <c r="F4613" s="29" t="s">
        <v>124</v>
      </c>
      <c r="G4613" s="3" t="s">
        <v>64</v>
      </c>
      <c r="H4613" s="3" t="s">
        <v>125</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122</v>
      </c>
      <c r="B4614" s="183" t="s">
        <v>123</v>
      </c>
      <c r="C4614" s="196">
        <v>161609524</v>
      </c>
      <c r="D4614" s="168"/>
      <c r="E4614" s="29"/>
      <c r="F4614" s="29" t="s">
        <v>124</v>
      </c>
      <c r="G4614" s="3" t="s">
        <v>64</v>
      </c>
      <c r="H4614" s="3" t="s">
        <v>125</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122</v>
      </c>
      <c r="B4615" s="183" t="s">
        <v>123</v>
      </c>
      <c r="C4615" s="196">
        <v>161609527</v>
      </c>
      <c r="D4615" s="168"/>
      <c r="E4615" s="29"/>
      <c r="F4615" s="29" t="s">
        <v>124</v>
      </c>
      <c r="G4615" s="3" t="s">
        <v>64</v>
      </c>
      <c r="H4615" s="3" t="s">
        <v>125</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5EB37D2-3DA5-4B97-9F51-B392BAE9FF7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2026-07-15T13:50:36Z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