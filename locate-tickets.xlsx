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55" documentId="8_{7F841BAC-E3D2-4E4B-A3CA-97B4D46101DD}" xr6:coauthVersionLast="47" xr6:coauthVersionMax="47" xr10:uidLastSave="{3D34CF68-A884-4881-80E4-E03817E770C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1" hidden="1">Master!$A$1:$O$1</definedName>
    <definedName name="_xlnm._FilterDatabase" localSheetId="2" hidden="1">'Completed locates'!$A$1:$O$3913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<sst xmlns="http://schemas.openxmlformats.org/spreadsheetml/2006/main" count="24530" uniqueCount="1806">
  <si>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</si>
  <si>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</si>
  <si>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</si>
  <si>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</si>
  <si>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</si>
  <si>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</si>
  <si>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</si>
  <si>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</si>
  <si>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</si>
  <si>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</si>
  <si>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</si>
  <si>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</si>
  <si>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</si>
  <si>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</si>
  <si>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</si>
  <si>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</si>
  <si>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</si>
  <si>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</si>
  <si>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</si>
  <si>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</si>
  <si>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</si>
  <si>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</si>
  <si>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</si>
  <si>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</si>
  <si>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</si>
  <si>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</si>
  <si>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</si>
  <si>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</si>
  <si>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</si>
  <si>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</si>
  <si>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</si>
  <si>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</si>
  <si>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</si>
  <si>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</si>
  <si>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</si>
  <si>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</si>
  <si>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</si>
  <si>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</si>
  <si>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</si>
  <si>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</si>
  <si>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</si>
  <si>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</si>
  <si>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</si>
  <si>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</si>
  <si>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</si>
  <si>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</si>
  <si>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</si>
  <si>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</si>
  <si>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</si>
  <si>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</si>
  <si>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</si>
  <si>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</si>
  <si>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</si>
  <si>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</si>
  <si>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</si>
  <si>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</si>
  <si>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</si>
  <si>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</si>
  <si>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</si>
  <si>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</si>
  <si>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</si>
  <si>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</si>
  <si>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</si>
  <si>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</si>
  <si>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</si>
  <si>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</si>
  <si>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</si>
  <si>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</si>
  <si>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</si>
  <si>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</si>
  <si>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</si>
  <si>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</si>
  <si>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</si>
  <si>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</si>
  <si>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</si>
  <si>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</si>
  <si>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</si>
  <si>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</si>
  <si>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</si>
  <si>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</si>
  <si>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</si>
  <si>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5/11 - pending Clearwater Water/Sewer.5-12-26 clear</t>
  </si>
  <si>
    <t>300'</t>
  </si>
  <si>
    <t>5/11 - pending Clearwater Water/Sewer5-12-26 clear</t>
  </si>
  <si>
    <t>200'</t>
  </si>
  <si>
    <t>5/11 - pending Clearwater Water/Sewer</t>
  </si>
  <si>
    <t>350'</t>
  </si>
  <si>
    <t>5/11 - pending Clearwater Water/Sewer - Duke - Froniter</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</si>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</sst>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128</c:v>
                </c:pt>
                <c:pt idx="1">
                  <c:v>72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128</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200</v>
      </c>
      <c r="B3" s="184"/>
      <c r="C3" s="184"/>
      <c r="D3" s="187" cm="1">
        <f t="array" ref="D3">SUMPRODUCT((UPPER(Master!L2:L432)="PENDING")*1)</f>
        <v>128</v>
      </c>
      <c r="E3" s="187"/>
      <c r="F3" s="187"/>
      <c r="G3" s="179" cm="1">
        <f t="array" ref="G3">SUMPRODUCT((UPPER(Master!L2:L432)="CLEAR")*1)</f>
        <v>72</v>
      </c>
      <c r="H3" s="179"/>
      <c r="I3" s="179"/>
      <c r="J3" s="182" cm="1">
        <f t="array" ref="J3">SUMPRODUCT((UPPER(Master!L2:L432)="EXPIRED")*1)</f>
        <v>0</v>
      </c>
      <c r="K3" s="182"/>
      <c r="L3" s="182"/>
      <c r="P3" s="96" t="s">
        <v>10</v>
      </c>
      <c r="Q3" s="96" cm="1">
        <f t="array" ref="Q3">SUMPRODUCT((UPPER(Master!L2:L432)="CLEAR")*1)</f>
        <v>72</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48</v>
      </c>
      <c r="C25" s="113" cm="1">
        <f t="array" ref="C25">IF(A25="","",SUMPRODUCT((UPPER(Master!F2:F432)=A25)*(UPPER(Master!L2:L432)="CLEAR")))</f>
        <v>2</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128</v>
      </c>
      <c r="C39" s="91">
        <f>SUMIF(A24:A38,"&lt;&gt;",C24:C38)</f>
        <v>72</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128</v>
      </c>
      <c r="D47" t="s">
        <v>16</v>
      </c>
      <c r="E47">
        <f>E27</f>
        <v>2</v>
      </c>
      <c r="G47" t="s">
        <v>29</v>
      </c>
      <c r="H47">
        <f>H27</f>
        <v>37</v>
      </c>
    </row>
    <row r="48" spans="1:12" hidden="1">
      <c r="A48" t="s">
        <v>10</v>
      </c>
      <c r="B48">
        <f>G3</f>
        <v>72</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334</v>
      </c>
      <c r="C52">
        <f>B59</f>
        <v>216</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118</v>
      </c>
    </row>
    <row r="59" spans="1:8" hidden="1">
      <c r="A59" t="s">
        <v>10</v>
      </c>
      <c r="B59">
        <f>COUNTIF(Master!L2:L132,"Clear")+COUNTIF(Master!L2:L132,"clear")+COUNTIF(Master!L2:L132,"CLEAR")</f>
        <v>216</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B87" activePane="topRight" state="frozen"/>
      <selection pane="topRight" activeCell="C1" sqref="C1:D1048576"/>
      <selection activeCell="A2" sqref="A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customHeight="1">
      <c r="A2" s="173" t="s">
        <v>54</v>
      </c>
      <c r="B2" s="169" t="s">
        <v>55</v>
      </c>
      <c r="E2" s="29" t="s">
        <v>56</v>
      </c>
      <c r="F2" s="3" t="s">
        <v>16</v>
      </c>
      <c r="G2" s="3" t="s">
        <v>30</v>
      </c>
      <c r="H2" s="55">
        <v>46099</v>
      </c>
      <c r="I2" s="55">
        <v>46101</v>
      </c>
      <c r="J2" s="55">
        <v>46129</v>
      </c>
      <c r="L2" s="3" t="s">
        <v>10</v>
      </c>
    </row>
    <row r="3" spans="1:15" ht="15" customHeight="1">
      <c r="A3" s="173" t="s">
        <v>57</v>
      </c>
      <c r="B3" s="169">
        <v>104610067</v>
      </c>
      <c r="E3" s="29" t="s">
        <v>58</v>
      </c>
      <c r="F3" s="3" t="s">
        <v>59</v>
      </c>
      <c r="G3" s="3" t="s">
        <v>29</v>
      </c>
      <c r="H3" s="55">
        <v>46126</v>
      </c>
      <c r="I3" s="55">
        <v>46129</v>
      </c>
      <c r="J3" s="55">
        <v>46156</v>
      </c>
      <c r="L3" s="3" t="s">
        <v>10</v>
      </c>
    </row>
    <row r="4" spans="1:15" ht="15" customHeight="1">
      <c r="A4" s="173" t="s">
        <v>57</v>
      </c>
      <c r="B4" s="169">
        <v>104610075</v>
      </c>
      <c r="E4" s="29" t="s">
        <v>58</v>
      </c>
      <c r="F4" s="3" t="s">
        <v>59</v>
      </c>
      <c r="G4" s="3" t="s">
        <v>29</v>
      </c>
      <c r="H4" s="55">
        <v>46126</v>
      </c>
      <c r="I4" s="55">
        <v>46129</v>
      </c>
      <c r="J4" s="55">
        <v>46156</v>
      </c>
      <c r="L4" s="3" t="s">
        <v>10</v>
      </c>
    </row>
    <row r="5" spans="1:15" ht="15" customHeight="1">
      <c r="A5" s="173" t="s">
        <v>57</v>
      </c>
      <c r="B5" s="169">
        <v>104610080</v>
      </c>
      <c r="E5" s="29" t="s">
        <v>58</v>
      </c>
      <c r="F5" s="3" t="s">
        <v>59</v>
      </c>
      <c r="G5" s="3" t="s">
        <v>29</v>
      </c>
      <c r="H5" s="55">
        <v>46126</v>
      </c>
      <c r="I5" s="55">
        <v>46129</v>
      </c>
      <c r="J5" s="55">
        <v>46156</v>
      </c>
      <c r="L5" s="3" t="s">
        <v>10</v>
      </c>
    </row>
    <row r="6" spans="1:15" ht="15" customHeight="1">
      <c r="A6" s="173" t="s">
        <v>57</v>
      </c>
      <c r="B6" s="169">
        <v>104610086</v>
      </c>
      <c r="E6" s="29" t="s">
        <v>58</v>
      </c>
      <c r="F6" s="3" t="s">
        <v>59</v>
      </c>
      <c r="G6" s="3" t="s">
        <v>29</v>
      </c>
      <c r="H6" s="55">
        <v>46126</v>
      </c>
      <c r="I6" s="55">
        <v>46129</v>
      </c>
      <c r="J6" s="55">
        <v>46156</v>
      </c>
      <c r="L6" s="3" t="s">
        <v>10</v>
      </c>
    </row>
    <row r="7" spans="1:15" ht="15" customHeight="1">
      <c r="A7" s="173" t="s">
        <v>57</v>
      </c>
      <c r="B7" s="169">
        <v>104610092</v>
      </c>
      <c r="E7" s="29" t="s">
        <v>58</v>
      </c>
      <c r="F7" s="3" t="s">
        <v>59</v>
      </c>
      <c r="G7" s="3" t="s">
        <v>29</v>
      </c>
      <c r="H7" s="55">
        <v>46126</v>
      </c>
      <c r="I7" s="55">
        <v>46129</v>
      </c>
      <c r="J7" s="55">
        <v>46156</v>
      </c>
      <c r="L7" s="3" t="s">
        <v>10</v>
      </c>
    </row>
    <row r="8" spans="1:15" ht="15" customHeight="1">
      <c r="A8" s="173" t="s">
        <v>57</v>
      </c>
      <c r="B8" s="169">
        <v>104610098</v>
      </c>
      <c r="E8" s="29" t="s">
        <v>58</v>
      </c>
      <c r="F8" s="3" t="s">
        <v>59</v>
      </c>
      <c r="G8" s="3" t="s">
        <v>29</v>
      </c>
      <c r="H8" s="55">
        <v>46126</v>
      </c>
      <c r="I8" s="55">
        <v>46129</v>
      </c>
      <c r="J8" s="55">
        <v>46156</v>
      </c>
      <c r="L8" s="3" t="s">
        <v>10</v>
      </c>
    </row>
    <row r="9" spans="1:15" ht="15" customHeight="1">
      <c r="A9" s="173" t="s">
        <v>57</v>
      </c>
      <c r="B9" s="169">
        <v>104610100</v>
      </c>
      <c r="E9" s="29" t="s">
        <v>58</v>
      </c>
      <c r="F9" s="3" t="s">
        <v>59</v>
      </c>
      <c r="G9" s="3" t="s">
        <v>29</v>
      </c>
      <c r="H9" s="55">
        <v>46126</v>
      </c>
      <c r="I9" s="55">
        <v>46129</v>
      </c>
      <c r="J9" s="55">
        <v>46156</v>
      </c>
      <c r="L9" s="3" t="s">
        <v>10</v>
      </c>
    </row>
    <row r="10" spans="1:15" ht="15" customHeight="1">
      <c r="A10" s="173" t="s">
        <v>57</v>
      </c>
      <c r="B10" s="169">
        <v>104610107</v>
      </c>
      <c r="E10" s="29" t="s">
        <v>58</v>
      </c>
      <c r="F10" s="3" t="s">
        <v>59</v>
      </c>
      <c r="G10" s="3" t="s">
        <v>29</v>
      </c>
      <c r="H10" s="55">
        <v>46126</v>
      </c>
      <c r="I10" s="55">
        <v>46129</v>
      </c>
      <c r="J10" s="55">
        <v>46156</v>
      </c>
      <c r="L10" s="3" t="s">
        <v>10</v>
      </c>
    </row>
    <row r="11" spans="1:15" ht="15" customHeight="1">
      <c r="A11" s="173" t="s">
        <v>57</v>
      </c>
      <c r="B11" s="169">
        <v>104610123</v>
      </c>
      <c r="E11" s="29" t="s">
        <v>58</v>
      </c>
      <c r="F11" s="3" t="s">
        <v>59</v>
      </c>
      <c r="G11" s="3" t="s">
        <v>29</v>
      </c>
      <c r="H11" s="55">
        <v>46126</v>
      </c>
      <c r="I11" s="55">
        <v>46129</v>
      </c>
      <c r="J11" s="55">
        <v>46156</v>
      </c>
      <c r="L11" s="3" t="s">
        <v>10</v>
      </c>
    </row>
    <row r="12" spans="1:15" ht="15" customHeight="1">
      <c r="A12" s="173" t="s">
        <v>57</v>
      </c>
      <c r="B12" s="169">
        <v>104610138</v>
      </c>
      <c r="E12" s="29" t="s">
        <v>58</v>
      </c>
      <c r="F12" s="3" t="s">
        <v>59</v>
      </c>
      <c r="G12" s="3" t="s">
        <v>29</v>
      </c>
      <c r="H12" s="55">
        <v>46126</v>
      </c>
      <c r="I12" s="55">
        <v>46129</v>
      </c>
      <c r="J12" s="55">
        <v>46156</v>
      </c>
      <c r="L12" s="3" t="s">
        <v>10</v>
      </c>
    </row>
    <row r="13" spans="1:15" ht="15" customHeight="1">
      <c r="A13" s="173" t="s">
        <v>57</v>
      </c>
      <c r="B13" s="169">
        <v>104610144</v>
      </c>
      <c r="E13" s="29" t="s">
        <v>58</v>
      </c>
      <c r="F13" s="3" t="s">
        <v>59</v>
      </c>
      <c r="G13" s="3" t="s">
        <v>29</v>
      </c>
      <c r="H13" s="55">
        <v>46126</v>
      </c>
      <c r="I13" s="55">
        <v>46129</v>
      </c>
      <c r="J13" s="55">
        <v>46156</v>
      </c>
      <c r="L13" s="3" t="s">
        <v>10</v>
      </c>
    </row>
    <row r="14" spans="1:15" ht="15" customHeight="1">
      <c r="A14" s="173" t="s">
        <v>57</v>
      </c>
      <c r="B14" s="169">
        <v>104610148</v>
      </c>
      <c r="E14" s="29" t="s">
        <v>58</v>
      </c>
      <c r="F14" s="3" t="s">
        <v>59</v>
      </c>
      <c r="G14" s="3" t="s">
        <v>29</v>
      </c>
      <c r="H14" s="55">
        <v>46126</v>
      </c>
      <c r="I14" s="55">
        <v>46129</v>
      </c>
      <c r="J14" s="55">
        <v>46156</v>
      </c>
      <c r="L14" s="3" t="s">
        <v>10</v>
      </c>
    </row>
    <row r="15" spans="1:15" ht="15" customHeight="1">
      <c r="A15" s="173" t="s">
        <v>57</v>
      </c>
      <c r="B15" s="169">
        <v>104610154</v>
      </c>
      <c r="E15" s="29" t="s">
        <v>58</v>
      </c>
      <c r="F15" s="3" t="s">
        <v>59</v>
      </c>
      <c r="G15" s="3" t="s">
        <v>29</v>
      </c>
      <c r="H15" s="55">
        <v>46126</v>
      </c>
      <c r="I15" s="55">
        <v>46129</v>
      </c>
      <c r="J15" s="55">
        <v>46156</v>
      </c>
      <c r="L15" s="3" t="s">
        <v>10</v>
      </c>
    </row>
    <row r="16" spans="1:15" ht="15" customHeight="1">
      <c r="A16" s="173" t="s">
        <v>57</v>
      </c>
      <c r="B16" s="169">
        <v>104610160</v>
      </c>
      <c r="E16" s="29" t="s">
        <v>58</v>
      </c>
      <c r="F16" s="3" t="s">
        <v>59</v>
      </c>
      <c r="G16" s="3" t="s">
        <v>29</v>
      </c>
      <c r="H16" s="55">
        <v>46126</v>
      </c>
      <c r="I16" s="55">
        <v>46129</v>
      </c>
      <c r="J16" s="55">
        <v>46156</v>
      </c>
      <c r="L16" s="3" t="s">
        <v>10</v>
      </c>
    </row>
    <row r="17" spans="1:12" ht="15" customHeight="1">
      <c r="A17" s="173" t="s">
        <v>57</v>
      </c>
      <c r="B17" s="169">
        <v>104610171</v>
      </c>
      <c r="E17" s="29" t="s">
        <v>58</v>
      </c>
      <c r="F17" s="3" t="s">
        <v>59</v>
      </c>
      <c r="G17" s="3" t="s">
        <v>29</v>
      </c>
      <c r="H17" s="55">
        <v>46126</v>
      </c>
      <c r="I17" s="55">
        <v>46129</v>
      </c>
      <c r="J17" s="55">
        <v>46156</v>
      </c>
      <c r="L17" s="3" t="s">
        <v>10</v>
      </c>
    </row>
    <row r="18" spans="1:12" ht="15" customHeight="1">
      <c r="A18" s="173" t="s">
        <v>57</v>
      </c>
      <c r="B18" s="169">
        <v>104610177</v>
      </c>
      <c r="E18" s="29" t="s">
        <v>58</v>
      </c>
      <c r="F18" s="3" t="s">
        <v>59</v>
      </c>
      <c r="G18" s="3" t="s">
        <v>29</v>
      </c>
      <c r="H18" s="55">
        <v>46126</v>
      </c>
      <c r="I18" s="55">
        <v>46129</v>
      </c>
      <c r="J18" s="55">
        <v>46156</v>
      </c>
      <c r="L18" s="3" t="s">
        <v>10</v>
      </c>
    </row>
    <row r="19" spans="1:12" ht="15" customHeight="1">
      <c r="A19" s="173" t="s">
        <v>57</v>
      </c>
      <c r="B19" s="169">
        <v>104610186</v>
      </c>
      <c r="E19" s="29" t="s">
        <v>58</v>
      </c>
      <c r="F19" s="3" t="s">
        <v>59</v>
      </c>
      <c r="G19" s="3" t="s">
        <v>29</v>
      </c>
      <c r="H19" s="55">
        <v>46126</v>
      </c>
      <c r="I19" s="55">
        <v>46129</v>
      </c>
      <c r="J19" s="55">
        <v>46156</v>
      </c>
      <c r="L19" s="3" t="s">
        <v>10</v>
      </c>
    </row>
    <row r="20" spans="1:12" ht="15" customHeight="1">
      <c r="A20" s="173" t="s">
        <v>57</v>
      </c>
      <c r="B20" s="169">
        <v>104610188</v>
      </c>
      <c r="E20" s="29" t="s">
        <v>58</v>
      </c>
      <c r="F20" s="3" t="s">
        <v>59</v>
      </c>
      <c r="G20" s="3" t="s">
        <v>29</v>
      </c>
      <c r="H20" s="55">
        <v>46126</v>
      </c>
      <c r="I20" s="55">
        <v>46129</v>
      </c>
      <c r="J20" s="55">
        <v>46156</v>
      </c>
      <c r="L20" s="3" t="s">
        <v>10</v>
      </c>
    </row>
    <row r="21" spans="1:12" ht="15" customHeight="1">
      <c r="A21" s="173" t="s">
        <v>57</v>
      </c>
      <c r="B21" s="169">
        <v>104610195</v>
      </c>
      <c r="E21" s="29" t="s">
        <v>58</v>
      </c>
      <c r="F21" s="3" t="s">
        <v>59</v>
      </c>
      <c r="G21" s="3" t="s">
        <v>29</v>
      </c>
      <c r="H21" s="55">
        <v>46126</v>
      </c>
      <c r="I21" s="55">
        <v>46129</v>
      </c>
      <c r="J21" s="55">
        <v>46156</v>
      </c>
      <c r="L21" s="3" t="s">
        <v>10</v>
      </c>
    </row>
    <row r="22" spans="1:12" ht="15" customHeight="1">
      <c r="A22" s="173" t="s">
        <v>57</v>
      </c>
      <c r="B22" s="169">
        <v>104610201</v>
      </c>
      <c r="E22" s="29" t="s">
        <v>58</v>
      </c>
      <c r="F22" s="3" t="s">
        <v>59</v>
      </c>
      <c r="G22" s="3" t="s">
        <v>29</v>
      </c>
      <c r="H22" s="55">
        <v>46126</v>
      </c>
      <c r="I22" s="55">
        <v>46129</v>
      </c>
      <c r="J22" s="55">
        <v>46156</v>
      </c>
      <c r="L22" s="3" t="s">
        <v>10</v>
      </c>
    </row>
    <row r="23" spans="1:12" ht="15" customHeight="1">
      <c r="A23" s="173" t="s">
        <v>57</v>
      </c>
      <c r="B23" s="169">
        <v>104610204</v>
      </c>
      <c r="E23" s="29" t="s">
        <v>58</v>
      </c>
      <c r="F23" s="3" t="s">
        <v>59</v>
      </c>
      <c r="G23" s="3" t="s">
        <v>29</v>
      </c>
      <c r="H23" s="55">
        <v>46126</v>
      </c>
      <c r="I23" s="55">
        <v>46129</v>
      </c>
      <c r="J23" s="55">
        <v>46156</v>
      </c>
      <c r="L23" s="3" t="s">
        <v>10</v>
      </c>
    </row>
    <row r="24" spans="1:12" ht="15" customHeight="1">
      <c r="A24" s="173" t="s">
        <v>57</v>
      </c>
      <c r="B24" s="169">
        <v>104610207</v>
      </c>
      <c r="E24" s="29" t="s">
        <v>58</v>
      </c>
      <c r="F24" s="3" t="s">
        <v>59</v>
      </c>
      <c r="G24" s="3" t="s">
        <v>29</v>
      </c>
      <c r="H24" s="55">
        <v>46126</v>
      </c>
      <c r="I24" s="55">
        <v>46129</v>
      </c>
      <c r="J24" s="55">
        <v>46156</v>
      </c>
      <c r="L24" s="3" t="s">
        <v>10</v>
      </c>
    </row>
    <row r="25" spans="1:12" ht="15" customHeight="1">
      <c r="A25" s="173" t="s">
        <v>57</v>
      </c>
      <c r="B25" s="169">
        <v>104610210</v>
      </c>
      <c r="E25" s="29" t="s">
        <v>58</v>
      </c>
      <c r="F25" s="3" t="s">
        <v>59</v>
      </c>
      <c r="G25" s="3" t="s">
        <v>29</v>
      </c>
      <c r="H25" s="55">
        <v>46126</v>
      </c>
      <c r="I25" s="55">
        <v>46129</v>
      </c>
      <c r="J25" s="55">
        <v>46156</v>
      </c>
      <c r="L25" s="3" t="s">
        <v>10</v>
      </c>
    </row>
    <row r="26" spans="1:12" ht="15" customHeight="1">
      <c r="A26" s="173" t="s">
        <v>57</v>
      </c>
      <c r="B26" s="169">
        <v>104610214</v>
      </c>
      <c r="E26" s="29" t="s">
        <v>58</v>
      </c>
      <c r="F26" s="3" t="s">
        <v>59</v>
      </c>
      <c r="G26" s="3" t="s">
        <v>29</v>
      </c>
      <c r="H26" s="55">
        <v>46126</v>
      </c>
      <c r="I26" s="55">
        <v>46129</v>
      </c>
      <c r="J26" s="55">
        <v>46156</v>
      </c>
      <c r="L26" s="3" t="s">
        <v>10</v>
      </c>
    </row>
    <row r="27" spans="1:12" ht="15" customHeight="1">
      <c r="A27" s="173" t="s">
        <v>57</v>
      </c>
      <c r="B27" s="169">
        <v>104610215</v>
      </c>
      <c r="E27" s="29" t="s">
        <v>58</v>
      </c>
      <c r="F27" s="3" t="s">
        <v>59</v>
      </c>
      <c r="G27" s="3" t="s">
        <v>29</v>
      </c>
      <c r="H27" s="55">
        <v>46126</v>
      </c>
      <c r="I27" s="55">
        <v>46129</v>
      </c>
      <c r="J27" s="55">
        <v>46156</v>
      </c>
      <c r="L27" s="3" t="s">
        <v>10</v>
      </c>
    </row>
    <row r="28" spans="1:12" ht="15" customHeight="1">
      <c r="A28" s="173" t="s">
        <v>57</v>
      </c>
      <c r="B28" s="169">
        <v>104610220</v>
      </c>
      <c r="E28" s="29" t="s">
        <v>58</v>
      </c>
      <c r="F28" s="3" t="s">
        <v>59</v>
      </c>
      <c r="G28" s="3" t="s">
        <v>29</v>
      </c>
      <c r="H28" s="55">
        <v>46126</v>
      </c>
      <c r="I28" s="55">
        <v>46129</v>
      </c>
      <c r="J28" s="55">
        <v>46156</v>
      </c>
      <c r="L28" s="3" t="s">
        <v>10</v>
      </c>
    </row>
    <row r="29" spans="1:12" ht="15" customHeight="1">
      <c r="A29" s="173" t="s">
        <v>57</v>
      </c>
      <c r="B29" s="169">
        <v>104610223</v>
      </c>
      <c r="E29" s="29" t="s">
        <v>58</v>
      </c>
      <c r="F29" s="3" t="s">
        <v>59</v>
      </c>
      <c r="G29" s="3" t="s">
        <v>29</v>
      </c>
      <c r="H29" s="55">
        <v>46126</v>
      </c>
      <c r="I29" s="55">
        <v>46129</v>
      </c>
      <c r="J29" s="55">
        <v>46156</v>
      </c>
      <c r="L29" s="3" t="s">
        <v>10</v>
      </c>
    </row>
    <row r="30" spans="1:12" ht="15" customHeight="1">
      <c r="A30" s="173" t="s">
        <v>57</v>
      </c>
      <c r="B30" s="169">
        <v>104610229</v>
      </c>
      <c r="E30" s="29" t="s">
        <v>58</v>
      </c>
      <c r="F30" s="3" t="s">
        <v>59</v>
      </c>
      <c r="G30" s="3" t="s">
        <v>29</v>
      </c>
      <c r="H30" s="55">
        <v>46126</v>
      </c>
      <c r="I30" s="55">
        <v>46129</v>
      </c>
      <c r="J30" s="55">
        <v>46156</v>
      </c>
      <c r="L30" s="3" t="s">
        <v>10</v>
      </c>
    </row>
    <row r="31" spans="1:12" ht="15" customHeight="1">
      <c r="A31" s="173" t="s">
        <v>57</v>
      </c>
      <c r="B31" s="169">
        <v>105600011</v>
      </c>
      <c r="E31" s="29" t="s">
        <v>58</v>
      </c>
      <c r="F31" s="3" t="s">
        <v>59</v>
      </c>
      <c r="G31" s="3" t="s">
        <v>29</v>
      </c>
      <c r="H31" s="55">
        <v>46126</v>
      </c>
      <c r="I31" s="55">
        <v>46129</v>
      </c>
      <c r="J31" s="55">
        <v>46156</v>
      </c>
      <c r="L31" s="3" t="s">
        <v>10</v>
      </c>
    </row>
    <row r="32" spans="1:12" ht="15" customHeight="1">
      <c r="A32" s="173" t="s">
        <v>57</v>
      </c>
      <c r="B32" s="169">
        <v>105600014</v>
      </c>
      <c r="E32" s="29" t="s">
        <v>58</v>
      </c>
      <c r="F32" s="3" t="s">
        <v>59</v>
      </c>
      <c r="G32" s="3" t="s">
        <v>29</v>
      </c>
      <c r="H32" s="55">
        <v>46126</v>
      </c>
      <c r="I32" s="55">
        <v>46129</v>
      </c>
      <c r="J32" s="55">
        <v>46156</v>
      </c>
      <c r="L32" s="3" t="s">
        <v>10</v>
      </c>
    </row>
    <row r="33" spans="1:12" ht="15" customHeight="1">
      <c r="A33" s="173" t="s">
        <v>57</v>
      </c>
      <c r="B33" s="169">
        <v>105600017</v>
      </c>
      <c r="E33" s="29" t="s">
        <v>58</v>
      </c>
      <c r="F33" s="3" t="s">
        <v>59</v>
      </c>
      <c r="G33" s="3" t="s">
        <v>29</v>
      </c>
      <c r="H33" s="55">
        <v>46126</v>
      </c>
      <c r="I33" s="55">
        <v>46129</v>
      </c>
      <c r="J33" s="55">
        <v>46156</v>
      </c>
      <c r="L33" s="3" t="s">
        <v>10</v>
      </c>
    </row>
    <row r="34" spans="1:12" ht="15" customHeight="1">
      <c r="A34" s="173" t="s">
        <v>57</v>
      </c>
      <c r="B34" s="169">
        <v>105600021</v>
      </c>
      <c r="E34" s="29" t="s">
        <v>58</v>
      </c>
      <c r="F34" s="3" t="s">
        <v>59</v>
      </c>
      <c r="G34" s="3" t="s">
        <v>29</v>
      </c>
      <c r="H34" s="55">
        <v>46126</v>
      </c>
      <c r="I34" s="55">
        <v>46129</v>
      </c>
      <c r="J34" s="55">
        <v>46156</v>
      </c>
      <c r="L34" s="3" t="s">
        <v>10</v>
      </c>
    </row>
    <row r="35" spans="1:12" ht="15" customHeight="1">
      <c r="A35" s="173" t="s">
        <v>57</v>
      </c>
      <c r="B35" s="169">
        <v>105600022</v>
      </c>
      <c r="E35" s="29" t="s">
        <v>58</v>
      </c>
      <c r="F35" s="3" t="s">
        <v>59</v>
      </c>
      <c r="G35" s="3" t="s">
        <v>29</v>
      </c>
      <c r="H35" s="55">
        <v>46126</v>
      </c>
      <c r="I35" s="55">
        <v>46129</v>
      </c>
      <c r="J35" s="55">
        <v>46156</v>
      </c>
      <c r="L35" s="3" t="s">
        <v>10</v>
      </c>
    </row>
    <row r="36" spans="1:12" ht="15" customHeight="1">
      <c r="A36" s="173" t="s">
        <v>57</v>
      </c>
      <c r="B36" s="169">
        <v>105600024</v>
      </c>
      <c r="E36" s="29" t="s">
        <v>58</v>
      </c>
      <c r="F36" s="3" t="s">
        <v>59</v>
      </c>
      <c r="G36" s="3" t="s">
        <v>29</v>
      </c>
      <c r="H36" s="55">
        <v>46126</v>
      </c>
      <c r="I36" s="55">
        <v>46129</v>
      </c>
      <c r="J36" s="55">
        <v>46156</v>
      </c>
      <c r="L36" s="3" t="s">
        <v>10</v>
      </c>
    </row>
    <row r="37" spans="1:12" ht="15" customHeight="1">
      <c r="A37" s="173" t="s">
        <v>57</v>
      </c>
      <c r="B37" s="169">
        <v>105600026</v>
      </c>
      <c r="E37" s="29" t="s">
        <v>58</v>
      </c>
      <c r="F37" s="3" t="s">
        <v>59</v>
      </c>
      <c r="G37" s="3" t="s">
        <v>29</v>
      </c>
      <c r="H37" s="55">
        <v>46126</v>
      </c>
      <c r="I37" s="55">
        <v>46129</v>
      </c>
      <c r="J37" s="55">
        <v>46156</v>
      </c>
      <c r="L37" s="3" t="s">
        <v>10</v>
      </c>
    </row>
    <row r="38" spans="1:12" ht="15" customHeight="1">
      <c r="A38" s="173" t="s">
        <v>57</v>
      </c>
      <c r="B38" s="169">
        <v>105600029</v>
      </c>
      <c r="E38" s="29" t="s">
        <v>58</v>
      </c>
      <c r="F38" s="3" t="s">
        <v>59</v>
      </c>
      <c r="G38" s="3" t="s">
        <v>29</v>
      </c>
      <c r="H38" s="55">
        <v>46126</v>
      </c>
      <c r="I38" s="55">
        <v>46129</v>
      </c>
      <c r="J38" s="55">
        <v>46156</v>
      </c>
      <c r="L38" s="3" t="s">
        <v>10</v>
      </c>
    </row>
    <row r="39" spans="1:12" ht="15" customHeight="1">
      <c r="A39" s="173" t="s">
        <v>57</v>
      </c>
      <c r="B39" s="169">
        <v>105600031</v>
      </c>
      <c r="E39" s="29" t="s">
        <v>58</v>
      </c>
      <c r="F39" s="3" t="s">
        <v>59</v>
      </c>
      <c r="G39" s="3" t="s">
        <v>29</v>
      </c>
      <c r="H39" s="55">
        <v>46126</v>
      </c>
      <c r="I39" s="55">
        <v>46129</v>
      </c>
      <c r="J39" s="55">
        <v>46156</v>
      </c>
      <c r="L39" s="3" t="s">
        <v>10</v>
      </c>
    </row>
    <row r="40" spans="1:12" ht="15" customHeight="1">
      <c r="A40" s="173" t="s">
        <v>57</v>
      </c>
      <c r="B40" s="169">
        <v>105600034</v>
      </c>
      <c r="E40" s="29" t="s">
        <v>58</v>
      </c>
      <c r="F40" s="3" t="s">
        <v>59</v>
      </c>
      <c r="G40" s="3" t="s">
        <v>29</v>
      </c>
      <c r="H40" s="55">
        <v>46126</v>
      </c>
      <c r="I40" s="55">
        <v>46129</v>
      </c>
      <c r="J40" s="55">
        <v>46156</v>
      </c>
      <c r="L40" s="3" t="s">
        <v>10</v>
      </c>
    </row>
    <row r="41" spans="1:12" ht="15" customHeight="1">
      <c r="A41" s="173" t="s">
        <v>57</v>
      </c>
      <c r="B41" s="169">
        <v>105600037</v>
      </c>
      <c r="E41" s="29" t="s">
        <v>58</v>
      </c>
      <c r="F41" s="3" t="s">
        <v>59</v>
      </c>
      <c r="G41" s="3" t="s">
        <v>29</v>
      </c>
      <c r="H41" s="55">
        <v>46126</v>
      </c>
      <c r="I41" s="55">
        <v>46129</v>
      </c>
      <c r="J41" s="55">
        <v>46156</v>
      </c>
      <c r="L41" s="3" t="s">
        <v>10</v>
      </c>
    </row>
    <row r="42" spans="1:12" ht="15" customHeight="1">
      <c r="A42" s="173" t="s">
        <v>57</v>
      </c>
      <c r="B42" s="169">
        <v>105600039</v>
      </c>
      <c r="E42" s="29" t="s">
        <v>58</v>
      </c>
      <c r="F42" s="3" t="s">
        <v>59</v>
      </c>
      <c r="G42" s="3" t="s">
        <v>29</v>
      </c>
      <c r="H42" s="55">
        <v>46126</v>
      </c>
      <c r="I42" s="55">
        <v>46129</v>
      </c>
      <c r="J42" s="55">
        <v>46156</v>
      </c>
      <c r="L42" s="3" t="s">
        <v>10</v>
      </c>
    </row>
    <row r="43" spans="1:12" ht="15" customHeight="1">
      <c r="A43" s="173" t="s">
        <v>57</v>
      </c>
      <c r="B43" s="169">
        <v>105600043</v>
      </c>
      <c r="E43" s="29" t="s">
        <v>58</v>
      </c>
      <c r="F43" s="3" t="s">
        <v>59</v>
      </c>
      <c r="G43" s="3" t="s">
        <v>29</v>
      </c>
      <c r="H43" s="55">
        <v>46126</v>
      </c>
      <c r="I43" s="55">
        <v>46129</v>
      </c>
      <c r="J43" s="55">
        <v>46156</v>
      </c>
      <c r="L43" s="3" t="s">
        <v>10</v>
      </c>
    </row>
    <row r="44" spans="1:12" ht="15" customHeight="1">
      <c r="A44" s="173" t="s">
        <v>57</v>
      </c>
      <c r="B44" s="169">
        <v>105600046</v>
      </c>
      <c r="E44" s="29" t="s">
        <v>58</v>
      </c>
      <c r="F44" s="3" t="s">
        <v>59</v>
      </c>
      <c r="G44" s="3" t="s">
        <v>29</v>
      </c>
      <c r="H44" s="55">
        <v>46126</v>
      </c>
      <c r="I44" s="55">
        <v>46129</v>
      </c>
      <c r="J44" s="55">
        <v>46156</v>
      </c>
      <c r="L44" s="3" t="s">
        <v>10</v>
      </c>
    </row>
    <row r="45" spans="1:12" ht="15" customHeight="1">
      <c r="A45" s="173" t="s">
        <v>57</v>
      </c>
      <c r="B45" s="169">
        <v>105600048</v>
      </c>
      <c r="E45" s="29" t="s">
        <v>58</v>
      </c>
      <c r="F45" s="3" t="s">
        <v>59</v>
      </c>
      <c r="G45" s="3" t="s">
        <v>29</v>
      </c>
      <c r="H45" s="55">
        <v>46126</v>
      </c>
      <c r="I45" s="55">
        <v>46129</v>
      </c>
      <c r="J45" s="55">
        <v>46156</v>
      </c>
      <c r="L45" s="3" t="s">
        <v>10</v>
      </c>
    </row>
    <row r="46" spans="1:12" ht="15" customHeight="1">
      <c r="A46" s="173" t="s">
        <v>57</v>
      </c>
      <c r="B46" s="169">
        <v>105600049</v>
      </c>
      <c r="E46" s="29" t="s">
        <v>58</v>
      </c>
      <c r="F46" s="3" t="s">
        <v>59</v>
      </c>
      <c r="G46" s="3" t="s">
        <v>29</v>
      </c>
      <c r="H46" s="55">
        <v>46126</v>
      </c>
      <c r="I46" s="55">
        <v>46129</v>
      </c>
      <c r="J46" s="55">
        <v>46156</v>
      </c>
      <c r="L46" s="3" t="s">
        <v>10</v>
      </c>
    </row>
    <row r="47" spans="1:12" ht="15" customHeight="1">
      <c r="A47" s="173" t="s">
        <v>57</v>
      </c>
      <c r="B47" s="169">
        <v>105600051</v>
      </c>
      <c r="E47" s="29" t="s">
        <v>58</v>
      </c>
      <c r="F47" s="3" t="s">
        <v>59</v>
      </c>
      <c r="G47" s="3" t="s">
        <v>29</v>
      </c>
      <c r="H47" s="55">
        <v>46126</v>
      </c>
      <c r="I47" s="55">
        <v>46129</v>
      </c>
      <c r="J47" s="55">
        <v>46156</v>
      </c>
      <c r="L47" s="3" t="s">
        <v>10</v>
      </c>
    </row>
    <row r="48" spans="1:12" ht="15" customHeight="1">
      <c r="A48" s="173" t="s">
        <v>60</v>
      </c>
      <c r="B48" s="169">
        <v>104603950</v>
      </c>
      <c r="E48" s="29" t="s">
        <v>61</v>
      </c>
      <c r="F48" s="3" t="s">
        <v>16</v>
      </c>
      <c r="G48" s="3" t="s">
        <v>62</v>
      </c>
      <c r="H48" s="55">
        <v>46128</v>
      </c>
      <c r="I48" s="55">
        <v>46131</v>
      </c>
      <c r="J48" s="55">
        <v>46156</v>
      </c>
      <c r="L48" s="3" t="s">
        <v>10</v>
      </c>
    </row>
    <row r="49" spans="1:12" ht="15" customHeight="1">
      <c r="A49" s="173" t="s">
        <v>60</v>
      </c>
      <c r="B49" s="169">
        <v>104603999</v>
      </c>
      <c r="E49" s="29" t="s">
        <v>61</v>
      </c>
      <c r="F49" s="3" t="s">
        <v>16</v>
      </c>
      <c r="G49" s="3" t="s">
        <v>62</v>
      </c>
      <c r="H49" s="55">
        <v>46128</v>
      </c>
      <c r="I49" s="55">
        <v>46131</v>
      </c>
      <c r="J49" s="55">
        <v>46156</v>
      </c>
      <c r="L49" s="3" t="s">
        <v>10</v>
      </c>
    </row>
    <row r="50" spans="1:12" ht="15" customHeight="1">
      <c r="A50" s="173" t="s">
        <v>60</v>
      </c>
      <c r="B50" s="169">
        <v>104604058</v>
      </c>
      <c r="E50" s="29" t="s">
        <v>61</v>
      </c>
      <c r="F50" s="3" t="s">
        <v>16</v>
      </c>
      <c r="G50" s="3" t="s">
        <v>62</v>
      </c>
      <c r="H50" s="55">
        <v>46128</v>
      </c>
      <c r="I50" s="55">
        <v>46131</v>
      </c>
      <c r="J50" s="55">
        <v>46156</v>
      </c>
      <c r="L50" s="3" t="s">
        <v>10</v>
      </c>
    </row>
    <row r="51" spans="1:12" ht="15" customHeight="1">
      <c r="A51" s="173" t="s">
        <v>63</v>
      </c>
      <c r="B51" s="169">
        <v>104604322</v>
      </c>
      <c r="E51" s="29" t="s">
        <v>61</v>
      </c>
      <c r="F51" s="3" t="s">
        <v>16</v>
      </c>
      <c r="G51" s="3" t="s">
        <v>62</v>
      </c>
      <c r="H51" s="55">
        <v>46128</v>
      </c>
      <c r="I51" s="55">
        <v>46131</v>
      </c>
      <c r="J51" s="55">
        <v>46156</v>
      </c>
      <c r="L51" s="3" t="s">
        <v>10</v>
      </c>
    </row>
    <row r="52" spans="1:12" ht="15" customHeight="1">
      <c r="A52" s="173" t="s">
        <v>64</v>
      </c>
      <c r="B52" s="169">
        <v>106602311</v>
      </c>
      <c r="E52" s="29" t="s">
        <v>61</v>
      </c>
      <c r="F52" s="3" t="s">
        <v>16</v>
      </c>
      <c r="G52" s="3" t="s">
        <v>62</v>
      </c>
      <c r="H52" s="55">
        <v>46128</v>
      </c>
      <c r="I52" s="55">
        <v>46131</v>
      </c>
      <c r="J52" s="55">
        <v>46156</v>
      </c>
      <c r="L52" s="3" t="s">
        <v>9</v>
      </c>
    </row>
    <row r="53" spans="1:12" ht="15" customHeight="1">
      <c r="A53" s="173" t="s">
        <v>64</v>
      </c>
      <c r="B53" s="169">
        <v>106602377</v>
      </c>
      <c r="E53" s="29" t="s">
        <v>61</v>
      </c>
      <c r="F53" s="3" t="s">
        <v>16</v>
      </c>
      <c r="G53" s="3" t="s">
        <v>62</v>
      </c>
      <c r="H53" s="55">
        <v>46128</v>
      </c>
      <c r="I53" s="55">
        <v>46131</v>
      </c>
      <c r="J53" s="55">
        <v>46156</v>
      </c>
      <c r="L53" s="3" t="s">
        <v>10</v>
      </c>
    </row>
    <row r="54" spans="1:12" ht="15" customHeight="1">
      <c r="A54" s="173" t="s">
        <v>64</v>
      </c>
      <c r="B54" s="169">
        <v>106602423</v>
      </c>
      <c r="E54" s="29" t="s">
        <v>61</v>
      </c>
      <c r="F54" s="3" t="s">
        <v>16</v>
      </c>
      <c r="G54" s="3" t="s">
        <v>62</v>
      </c>
      <c r="H54" s="55">
        <v>46132</v>
      </c>
      <c r="I54" s="55">
        <v>46135</v>
      </c>
      <c r="J54" s="55">
        <v>46160</v>
      </c>
      <c r="L54" s="3" t="s">
        <v>10</v>
      </c>
    </row>
    <row r="55" spans="1:12" ht="15" customHeight="1">
      <c r="A55" s="173" t="s">
        <v>64</v>
      </c>
      <c r="B55" s="169">
        <v>106602462</v>
      </c>
      <c r="E55" s="29" t="s">
        <v>61</v>
      </c>
      <c r="F55" s="3" t="s">
        <v>16</v>
      </c>
      <c r="G55" s="3" t="s">
        <v>62</v>
      </c>
      <c r="H55" s="55">
        <v>46132</v>
      </c>
      <c r="I55" s="55">
        <v>46135</v>
      </c>
      <c r="J55" s="55">
        <v>46160</v>
      </c>
      <c r="L55" s="3" t="s">
        <v>10</v>
      </c>
    </row>
    <row r="56" spans="1:12" ht="15" customHeight="1">
      <c r="A56" s="173" t="s">
        <v>64</v>
      </c>
      <c r="B56" s="169">
        <v>106602552</v>
      </c>
      <c r="E56" s="29" t="s">
        <v>61</v>
      </c>
      <c r="F56" s="3" t="s">
        <v>16</v>
      </c>
      <c r="G56" s="3" t="s">
        <v>62</v>
      </c>
      <c r="H56" s="55">
        <v>46132</v>
      </c>
      <c r="I56" s="55">
        <v>46135</v>
      </c>
      <c r="J56" s="55">
        <v>46160</v>
      </c>
      <c r="L56" s="3" t="s">
        <v>10</v>
      </c>
    </row>
    <row r="57" spans="1:12" ht="15" customHeight="1">
      <c r="A57" s="173" t="s">
        <v>64</v>
      </c>
      <c r="B57" s="169">
        <v>106602996</v>
      </c>
      <c r="E57" s="29" t="s">
        <v>61</v>
      </c>
      <c r="F57" s="3" t="s">
        <v>16</v>
      </c>
      <c r="G57" s="3" t="s">
        <v>62</v>
      </c>
      <c r="H57" s="55">
        <v>46132</v>
      </c>
      <c r="I57" s="55">
        <v>46135</v>
      </c>
      <c r="J57" s="55">
        <v>46160</v>
      </c>
      <c r="L57" s="3" t="s">
        <v>10</v>
      </c>
    </row>
    <row r="58" spans="1:12" ht="15" customHeight="1">
      <c r="A58" s="173" t="s">
        <v>64</v>
      </c>
      <c r="B58" s="169">
        <v>106602687</v>
      </c>
      <c r="E58" s="29" t="s">
        <v>61</v>
      </c>
      <c r="F58" s="3" t="s">
        <v>16</v>
      </c>
      <c r="G58" s="3" t="s">
        <v>62</v>
      </c>
      <c r="H58" s="55">
        <v>46132</v>
      </c>
      <c r="I58" s="55">
        <v>46135</v>
      </c>
      <c r="J58" s="55">
        <v>46160</v>
      </c>
      <c r="L58" s="3" t="s">
        <v>10</v>
      </c>
    </row>
    <row r="59" spans="1:12" ht="15" customHeight="1">
      <c r="A59" s="173" t="s">
        <v>64</v>
      </c>
      <c r="B59" s="169">
        <v>106602754</v>
      </c>
      <c r="E59" s="29" t="s">
        <v>61</v>
      </c>
      <c r="F59" s="3" t="s">
        <v>16</v>
      </c>
      <c r="G59" s="3" t="s">
        <v>62</v>
      </c>
      <c r="H59" s="55">
        <v>46132</v>
      </c>
      <c r="I59" s="55">
        <v>46135</v>
      </c>
      <c r="J59" s="55">
        <v>46160</v>
      </c>
      <c r="L59" s="3" t="s">
        <v>10</v>
      </c>
    </row>
    <row r="60" spans="1:12" ht="15" customHeight="1">
      <c r="A60" s="173" t="s">
        <v>65</v>
      </c>
      <c r="B60" s="169">
        <v>106602842</v>
      </c>
      <c r="E60" s="29" t="s">
        <v>61</v>
      </c>
      <c r="F60" s="3" t="s">
        <v>16</v>
      </c>
      <c r="G60" s="3" t="s">
        <v>62</v>
      </c>
      <c r="H60" s="55">
        <v>46132</v>
      </c>
      <c r="I60" s="55">
        <v>46135</v>
      </c>
      <c r="J60" s="55">
        <v>46160</v>
      </c>
      <c r="L60" s="3" t="s">
        <v>10</v>
      </c>
    </row>
    <row r="61" spans="1:12" ht="15" customHeight="1">
      <c r="A61" s="173" t="s">
        <v>65</v>
      </c>
      <c r="B61" s="169">
        <v>106602832</v>
      </c>
      <c r="E61" s="29" t="s">
        <v>61</v>
      </c>
      <c r="F61" s="3" t="s">
        <v>16</v>
      </c>
      <c r="G61" s="3" t="s">
        <v>62</v>
      </c>
      <c r="H61" s="55">
        <v>46132</v>
      </c>
      <c r="I61" s="55">
        <v>46135</v>
      </c>
      <c r="J61" s="55">
        <v>46160</v>
      </c>
      <c r="L61" s="3" t="s">
        <v>10</v>
      </c>
    </row>
    <row r="62" spans="1:12" ht="15" customHeight="1">
      <c r="A62" s="173" t="s">
        <v>65</v>
      </c>
      <c r="B62" s="169">
        <v>106602927</v>
      </c>
      <c r="E62" s="29" t="s">
        <v>61</v>
      </c>
      <c r="F62" s="3" t="s">
        <v>16</v>
      </c>
      <c r="G62" s="3" t="s">
        <v>62</v>
      </c>
      <c r="H62" s="55">
        <v>46132</v>
      </c>
      <c r="I62" s="55">
        <v>46135</v>
      </c>
      <c r="J62" s="55">
        <v>46160</v>
      </c>
      <c r="L62" s="3" t="s">
        <v>10</v>
      </c>
    </row>
    <row r="63" spans="1:12" ht="15" customHeight="1">
      <c r="A63" s="173" t="s">
        <v>65</v>
      </c>
      <c r="B63" s="169">
        <v>106602961</v>
      </c>
      <c r="E63" s="29" t="s">
        <v>61</v>
      </c>
      <c r="F63" s="3" t="s">
        <v>16</v>
      </c>
      <c r="G63" s="3" t="s">
        <v>62</v>
      </c>
      <c r="H63" s="55">
        <v>46132</v>
      </c>
      <c r="I63" s="55">
        <v>46135</v>
      </c>
      <c r="J63" s="55">
        <v>46160</v>
      </c>
      <c r="L63" s="3" t="s">
        <v>10</v>
      </c>
    </row>
    <row r="64" spans="1:12" ht="15" customHeight="1">
      <c r="A64" s="173" t="s">
        <v>66</v>
      </c>
      <c r="B64" s="169">
        <v>106606772</v>
      </c>
      <c r="E64" s="29" t="s">
        <v>61</v>
      </c>
      <c r="F64" s="3" t="s">
        <v>59</v>
      </c>
      <c r="G64" s="3" t="s">
        <v>62</v>
      </c>
      <c r="H64" s="55">
        <v>46132</v>
      </c>
      <c r="I64" s="55">
        <v>46135</v>
      </c>
      <c r="J64" s="55">
        <v>46160</v>
      </c>
      <c r="L64" s="3" t="s">
        <v>9</v>
      </c>
    </row>
    <row r="65" spans="1:15" ht="15" customHeight="1">
      <c r="A65" s="173" t="s">
        <v>66</v>
      </c>
      <c r="B65" s="169">
        <v>106606821</v>
      </c>
      <c r="E65" s="29" t="s">
        <v>61</v>
      </c>
      <c r="F65" s="3" t="s">
        <v>59</v>
      </c>
      <c r="G65" s="3" t="s">
        <v>62</v>
      </c>
      <c r="H65" s="55">
        <v>46132</v>
      </c>
      <c r="I65" s="55">
        <v>46135</v>
      </c>
      <c r="J65" s="55">
        <v>46160</v>
      </c>
      <c r="L65" s="3" t="s">
        <v>9</v>
      </c>
    </row>
    <row r="66" spans="1:15" ht="15" customHeight="1">
      <c r="A66" s="173" t="s">
        <v>66</v>
      </c>
      <c r="B66" s="169">
        <v>106606861</v>
      </c>
      <c r="E66" s="29" t="s">
        <v>61</v>
      </c>
      <c r="F66" s="3" t="s">
        <v>59</v>
      </c>
      <c r="G66" s="3" t="s">
        <v>62</v>
      </c>
      <c r="H66" s="55">
        <v>46132</v>
      </c>
      <c r="I66" s="55">
        <v>46135</v>
      </c>
      <c r="J66" s="55">
        <v>46160</v>
      </c>
      <c r="L66" s="3" t="s">
        <v>9</v>
      </c>
    </row>
    <row r="67" spans="1:15" ht="15" customHeight="1">
      <c r="A67" s="173" t="s">
        <v>66</v>
      </c>
      <c r="B67" s="169">
        <v>106606886</v>
      </c>
      <c r="E67" s="29" t="s">
        <v>61</v>
      </c>
      <c r="F67" s="3" t="s">
        <v>59</v>
      </c>
      <c r="G67" s="3" t="s">
        <v>62</v>
      </c>
      <c r="H67" s="55">
        <v>46132</v>
      </c>
      <c r="I67" s="55">
        <v>46135</v>
      </c>
      <c r="J67" s="55">
        <v>46160</v>
      </c>
      <c r="L67" s="3" t="s">
        <v>9</v>
      </c>
    </row>
    <row r="68" spans="1:15" ht="15" customHeight="1">
      <c r="A68" s="173" t="s">
        <v>66</v>
      </c>
      <c r="B68" s="169">
        <v>106606908</v>
      </c>
      <c r="E68" s="29" t="s">
        <v>61</v>
      </c>
      <c r="F68" s="3" t="s">
        <v>59</v>
      </c>
      <c r="G68" s="3" t="s">
        <v>62</v>
      </c>
      <c r="H68" s="55">
        <v>46132</v>
      </c>
      <c r="I68" s="55">
        <v>46135</v>
      </c>
      <c r="J68" s="55">
        <v>46160</v>
      </c>
      <c r="L68" s="3" t="s">
        <v>9</v>
      </c>
    </row>
    <row r="69" spans="1:15" ht="15" customHeight="1">
      <c r="A69" s="173" t="s">
        <v>66</v>
      </c>
      <c r="B69" s="169">
        <v>106606941</v>
      </c>
      <c r="E69" s="29" t="s">
        <v>61</v>
      </c>
      <c r="F69" s="3" t="s">
        <v>59</v>
      </c>
      <c r="G69" s="3" t="s">
        <v>62</v>
      </c>
      <c r="H69" s="55">
        <v>46132</v>
      </c>
      <c r="I69" s="55">
        <v>46135</v>
      </c>
      <c r="J69" s="55">
        <v>46160</v>
      </c>
      <c r="L69" s="3" t="s">
        <v>9</v>
      </c>
    </row>
    <row r="70" spans="1:15" ht="15" customHeight="1">
      <c r="A70" s="173" t="s">
        <v>67</v>
      </c>
      <c r="B70" s="169" t="s">
        <v>68</v>
      </c>
      <c r="E70" s="29" t="s">
        <v>69</v>
      </c>
      <c r="F70" s="3" t="s">
        <v>18</v>
      </c>
      <c r="G70" s="3" t="s">
        <v>30</v>
      </c>
      <c r="H70" s="55">
        <v>46117</v>
      </c>
      <c r="I70" s="55">
        <v>46120</v>
      </c>
      <c r="J70" s="55">
        <v>46148</v>
      </c>
      <c r="L70" s="3" t="s">
        <v>10</v>
      </c>
      <c r="N70" s="174" t="s">
        <v>70</v>
      </c>
      <c r="O70" s="1" t="s">
        <v>71</v>
      </c>
    </row>
    <row r="71" spans="1:15" ht="15" customHeight="1">
      <c r="A71" s="173" t="s">
        <v>72</v>
      </c>
      <c r="B71" s="169">
        <v>118606531</v>
      </c>
      <c r="E71" s="29" t="s">
        <v>73</v>
      </c>
      <c r="F71" s="3" t="s">
        <v>19</v>
      </c>
      <c r="G71" s="3" t="s">
        <v>30</v>
      </c>
      <c r="H71" s="55">
        <v>46140</v>
      </c>
      <c r="I71" s="55">
        <v>46142</v>
      </c>
      <c r="J71" s="55">
        <v>46170</v>
      </c>
      <c r="L71" s="3" t="s">
        <v>10</v>
      </c>
    </row>
    <row r="72" spans="1:15" ht="15" customHeight="1">
      <c r="A72" s="173" t="s">
        <v>72</v>
      </c>
      <c r="B72" s="169">
        <v>118606665</v>
      </c>
      <c r="E72" s="29" t="s">
        <v>73</v>
      </c>
      <c r="F72" s="3" t="s">
        <v>19</v>
      </c>
      <c r="G72" s="3" t="s">
        <v>30</v>
      </c>
      <c r="H72" s="55">
        <v>46140</v>
      </c>
      <c r="I72" s="55">
        <v>46142</v>
      </c>
      <c r="J72" s="55">
        <v>46170</v>
      </c>
      <c r="L72" s="3" t="s">
        <v>10</v>
      </c>
    </row>
    <row r="73" spans="1:15" ht="15" customHeight="1">
      <c r="A73" s="173" t="s">
        <v>72</v>
      </c>
      <c r="B73" s="169">
        <v>118606742</v>
      </c>
      <c r="E73" s="29" t="s">
        <v>73</v>
      </c>
      <c r="F73" s="3" t="s">
        <v>19</v>
      </c>
      <c r="G73" s="3" t="s">
        <v>30</v>
      </c>
      <c r="H73" s="55">
        <v>46140</v>
      </c>
      <c r="I73" s="55">
        <v>46142</v>
      </c>
      <c r="J73" s="55">
        <v>46170</v>
      </c>
      <c r="L73" s="3" t="s">
        <v>10</v>
      </c>
    </row>
    <row r="74" spans="1:15" ht="15" customHeight="1">
      <c r="A74" s="173" t="s">
        <v>72</v>
      </c>
      <c r="B74" s="169">
        <v>118606767</v>
      </c>
      <c r="E74" s="29" t="s">
        <v>73</v>
      </c>
      <c r="F74" s="3" t="s">
        <v>19</v>
      </c>
      <c r="G74" s="3" t="s">
        <v>30</v>
      </c>
      <c r="H74" s="55">
        <v>46140</v>
      </c>
      <c r="I74" s="55">
        <v>46142</v>
      </c>
      <c r="J74" s="55">
        <v>46170</v>
      </c>
      <c r="L74" s="3" t="s">
        <v>10</v>
      </c>
    </row>
    <row r="75" spans="1:15" ht="15" customHeight="1">
      <c r="A75" s="173" t="s">
        <v>72</v>
      </c>
      <c r="B75" s="169">
        <v>118606787</v>
      </c>
      <c r="E75" s="29" t="s">
        <v>73</v>
      </c>
      <c r="F75" s="3" t="s">
        <v>19</v>
      </c>
      <c r="G75" s="3" t="s">
        <v>30</v>
      </c>
      <c r="H75" s="55">
        <v>46140</v>
      </c>
      <c r="I75" s="55">
        <v>46142</v>
      </c>
      <c r="J75" s="55">
        <v>46170</v>
      </c>
      <c r="L75" s="3" t="s">
        <v>10</v>
      </c>
    </row>
    <row r="76" spans="1:15" ht="15" customHeight="1">
      <c r="A76" s="173" t="s">
        <v>72</v>
      </c>
      <c r="B76" s="169">
        <v>118606804</v>
      </c>
      <c r="E76" s="29" t="s">
        <v>73</v>
      </c>
      <c r="F76" s="3" t="s">
        <v>19</v>
      </c>
      <c r="G76" s="3" t="s">
        <v>30</v>
      </c>
      <c r="H76" s="55">
        <v>46140</v>
      </c>
      <c r="I76" s="55">
        <v>46142</v>
      </c>
      <c r="J76" s="55">
        <v>46170</v>
      </c>
      <c r="L76" s="3" t="s">
        <v>10</v>
      </c>
    </row>
    <row r="77" spans="1:15" ht="15" customHeight="1">
      <c r="A77" s="173" t="s">
        <v>74</v>
      </c>
      <c r="B77" s="169">
        <v>118601662</v>
      </c>
      <c r="E77" s="29" t="s">
        <v>61</v>
      </c>
      <c r="F77" s="3" t="s">
        <v>16</v>
      </c>
      <c r="G77" s="3" t="s">
        <v>62</v>
      </c>
      <c r="H77" s="55">
        <v>46140</v>
      </c>
      <c r="I77" s="55">
        <v>46142</v>
      </c>
      <c r="J77" s="55">
        <v>46170</v>
      </c>
      <c r="L77" s="3" t="s">
        <v>9</v>
      </c>
    </row>
    <row r="78" spans="1:15" ht="15" customHeight="1">
      <c r="A78" s="173" t="s">
        <v>74</v>
      </c>
      <c r="B78" s="169">
        <v>118601697</v>
      </c>
      <c r="E78" s="29" t="s">
        <v>61</v>
      </c>
      <c r="F78" s="3" t="s">
        <v>16</v>
      </c>
      <c r="G78" s="3" t="s">
        <v>62</v>
      </c>
      <c r="H78" s="55">
        <v>46140</v>
      </c>
      <c r="I78" s="55">
        <v>46142</v>
      </c>
      <c r="J78" s="55">
        <v>46170</v>
      </c>
      <c r="L78" s="3" t="s">
        <v>9</v>
      </c>
    </row>
    <row r="79" spans="1:15" ht="15" customHeight="1">
      <c r="A79" s="173" t="s">
        <v>74</v>
      </c>
      <c r="B79" s="169">
        <v>118601783</v>
      </c>
      <c r="E79" s="29" t="s">
        <v>61</v>
      </c>
      <c r="F79" s="3" t="s">
        <v>16</v>
      </c>
      <c r="G79" s="3" t="s">
        <v>62</v>
      </c>
      <c r="H79" s="55">
        <v>46140</v>
      </c>
      <c r="I79" s="55">
        <v>46142</v>
      </c>
      <c r="J79" s="55">
        <v>46170</v>
      </c>
      <c r="L79" s="3" t="s">
        <v>9</v>
      </c>
    </row>
    <row r="80" spans="1:15" ht="15" customHeight="1">
      <c r="A80" s="173" t="s">
        <v>74</v>
      </c>
      <c r="B80" s="169">
        <v>118601809</v>
      </c>
      <c r="E80" s="29" t="s">
        <v>61</v>
      </c>
      <c r="F80" s="3" t="s">
        <v>16</v>
      </c>
      <c r="G80" s="3" t="s">
        <v>62</v>
      </c>
      <c r="H80" s="55">
        <v>46140</v>
      </c>
      <c r="I80" s="55">
        <v>46142</v>
      </c>
      <c r="J80" s="55">
        <v>46170</v>
      </c>
      <c r="L80" s="3" t="s">
        <v>9</v>
      </c>
    </row>
    <row r="81" spans="1:15" ht="15" customHeight="1">
      <c r="A81" s="173" t="s">
        <v>74</v>
      </c>
      <c r="B81" s="169">
        <v>118601913</v>
      </c>
      <c r="E81" s="29" t="s">
        <v>61</v>
      </c>
      <c r="F81" s="3" t="s">
        <v>16</v>
      </c>
      <c r="G81" s="3" t="s">
        <v>62</v>
      </c>
      <c r="H81" s="55">
        <v>46140</v>
      </c>
      <c r="I81" s="55">
        <v>46142</v>
      </c>
      <c r="J81" s="55">
        <v>46170</v>
      </c>
      <c r="L81" s="3" t="s">
        <v>9</v>
      </c>
    </row>
    <row r="82" spans="1:15" ht="15" customHeight="1">
      <c r="A82" s="173" t="s">
        <v>74</v>
      </c>
      <c r="B82" s="169">
        <v>118602012</v>
      </c>
      <c r="E82" s="29" t="s">
        <v>61</v>
      </c>
      <c r="F82" s="3" t="s">
        <v>16</v>
      </c>
      <c r="G82" s="3" t="s">
        <v>62</v>
      </c>
      <c r="H82" s="55">
        <v>46140</v>
      </c>
      <c r="I82" s="55">
        <v>46142</v>
      </c>
      <c r="J82" s="55">
        <v>46170</v>
      </c>
      <c r="L82" s="3" t="s">
        <v>9</v>
      </c>
    </row>
    <row r="83" spans="1:15" ht="15" customHeight="1">
      <c r="A83" s="173" t="s">
        <v>74</v>
      </c>
      <c r="B83" s="169">
        <v>118602051</v>
      </c>
      <c r="E83" s="29" t="s">
        <v>61</v>
      </c>
      <c r="F83" s="3" t="s">
        <v>16</v>
      </c>
      <c r="G83" s="3" t="s">
        <v>62</v>
      </c>
      <c r="H83" s="55">
        <v>46140</v>
      </c>
      <c r="I83" s="55">
        <v>46142</v>
      </c>
      <c r="J83" s="55">
        <v>46170</v>
      </c>
      <c r="L83" s="3" t="s">
        <v>9</v>
      </c>
    </row>
    <row r="84" spans="1:15" ht="15" customHeight="1">
      <c r="A84" s="173" t="s">
        <v>74</v>
      </c>
      <c r="B84" s="169">
        <v>118602089</v>
      </c>
      <c r="E84" s="29" t="s">
        <v>61</v>
      </c>
      <c r="F84" s="3" t="s">
        <v>16</v>
      </c>
      <c r="G84" s="3" t="s">
        <v>62</v>
      </c>
      <c r="H84" s="55">
        <v>46140</v>
      </c>
      <c r="I84" s="55">
        <v>46142</v>
      </c>
      <c r="J84" s="55">
        <v>46170</v>
      </c>
      <c r="L84" s="3" t="s">
        <v>9</v>
      </c>
    </row>
    <row r="85" spans="1:15" ht="15" customHeight="1">
      <c r="A85" s="173" t="s">
        <v>75</v>
      </c>
      <c r="B85" s="169">
        <v>114606422</v>
      </c>
      <c r="E85" s="29" t="s">
        <v>61</v>
      </c>
      <c r="F85" s="3" t="s">
        <v>59</v>
      </c>
      <c r="G85" s="3" t="s">
        <v>62</v>
      </c>
      <c r="H85" s="55">
        <v>46136</v>
      </c>
      <c r="I85" s="55">
        <v>46140</v>
      </c>
      <c r="J85" s="55">
        <v>46168</v>
      </c>
      <c r="L85" s="3" t="s">
        <v>9</v>
      </c>
    </row>
    <row r="86" spans="1:15" ht="15" customHeight="1">
      <c r="A86" s="173" t="s">
        <v>75</v>
      </c>
      <c r="B86" s="169">
        <v>114606284</v>
      </c>
      <c r="E86" s="29" t="s">
        <v>61</v>
      </c>
      <c r="F86" s="3" t="s">
        <v>59</v>
      </c>
      <c r="G86" s="3" t="s">
        <v>62</v>
      </c>
      <c r="H86" s="55">
        <v>46136</v>
      </c>
      <c r="I86" s="55">
        <v>46140</v>
      </c>
      <c r="J86" s="55">
        <v>46168</v>
      </c>
      <c r="L86" s="3" t="s">
        <v>9</v>
      </c>
    </row>
    <row r="87" spans="1:15" ht="15" customHeight="1">
      <c r="A87" s="173" t="s">
        <v>75</v>
      </c>
      <c r="B87" s="169">
        <v>114606302</v>
      </c>
      <c r="E87" s="29" t="s">
        <v>61</v>
      </c>
      <c r="F87" s="3" t="s">
        <v>59</v>
      </c>
      <c r="G87" s="3" t="s">
        <v>62</v>
      </c>
      <c r="H87" s="55">
        <v>46136</v>
      </c>
      <c r="I87" s="55">
        <v>46140</v>
      </c>
      <c r="J87" s="55">
        <v>46168</v>
      </c>
      <c r="L87" s="3" t="s">
        <v>9</v>
      </c>
    </row>
    <row r="88" spans="1:15" ht="15" customHeight="1">
      <c r="A88" s="173" t="s">
        <v>75</v>
      </c>
      <c r="B88" s="169">
        <v>114606322</v>
      </c>
      <c r="E88" s="29" t="s">
        <v>61</v>
      </c>
      <c r="F88" s="3" t="s">
        <v>59</v>
      </c>
      <c r="G88" s="3" t="s">
        <v>62</v>
      </c>
      <c r="H88" s="55">
        <v>46136</v>
      </c>
      <c r="I88" s="55">
        <v>46140</v>
      </c>
      <c r="J88" s="55">
        <v>46168</v>
      </c>
      <c r="L88" s="3" t="s">
        <v>9</v>
      </c>
    </row>
    <row r="89" spans="1:15" ht="15" customHeight="1">
      <c r="A89" s="173" t="s">
        <v>75</v>
      </c>
      <c r="B89" s="169">
        <v>114606336</v>
      </c>
      <c r="E89" s="29" t="s">
        <v>61</v>
      </c>
      <c r="F89" s="3" t="s">
        <v>59</v>
      </c>
      <c r="G89" s="3" t="s">
        <v>62</v>
      </c>
      <c r="H89" s="55">
        <v>46136</v>
      </c>
      <c r="I89" s="55">
        <v>46140</v>
      </c>
      <c r="J89" s="55">
        <v>46168</v>
      </c>
      <c r="L89" s="3" t="s">
        <v>9</v>
      </c>
    </row>
    <row r="90" spans="1:15" ht="15" customHeight="1">
      <c r="A90" s="173" t="s">
        <v>75</v>
      </c>
      <c r="B90" s="169">
        <v>114606363</v>
      </c>
      <c r="E90" s="29" t="s">
        <v>61</v>
      </c>
      <c r="F90" s="3" t="s">
        <v>59</v>
      </c>
      <c r="G90" s="3" t="s">
        <v>62</v>
      </c>
      <c r="H90" s="55">
        <v>46136</v>
      </c>
      <c r="I90" s="55">
        <v>46140</v>
      </c>
      <c r="J90" s="55">
        <v>46168</v>
      </c>
      <c r="L90" s="3" t="s">
        <v>9</v>
      </c>
    </row>
    <row r="91" spans="1:15" ht="15" customHeight="1">
      <c r="A91" s="173" t="s">
        <v>75</v>
      </c>
      <c r="B91" s="169">
        <v>114606376</v>
      </c>
      <c r="E91" s="29" t="s">
        <v>61</v>
      </c>
      <c r="F91" s="3" t="s">
        <v>59</v>
      </c>
      <c r="G91" s="3" t="s">
        <v>62</v>
      </c>
      <c r="H91" s="55">
        <v>46136</v>
      </c>
      <c r="I91" s="55">
        <v>46140</v>
      </c>
      <c r="J91" s="55">
        <v>46168</v>
      </c>
      <c r="L91" s="3" t="s">
        <v>9</v>
      </c>
    </row>
    <row r="92" spans="1:15" ht="15" customHeight="1">
      <c r="A92" s="173" t="s">
        <v>76</v>
      </c>
      <c r="B92" s="169">
        <v>121606970</v>
      </c>
      <c r="E92" s="29" t="s">
        <v>73</v>
      </c>
      <c r="F92" s="3" t="s">
        <v>77</v>
      </c>
      <c r="G92" s="3" t="s">
        <v>30</v>
      </c>
      <c r="H92" s="55">
        <v>46143</v>
      </c>
      <c r="I92" s="55">
        <v>46147</v>
      </c>
      <c r="J92" s="55">
        <v>46174</v>
      </c>
      <c r="L92" s="3" t="s">
        <v>10</v>
      </c>
    </row>
    <row r="93" spans="1:15" ht="15" customHeight="1">
      <c r="A93" s="173" t="s">
        <v>78</v>
      </c>
      <c r="B93" s="169">
        <v>124604303</v>
      </c>
      <c r="E93" s="29" t="s">
        <v>69</v>
      </c>
      <c r="F93" s="3" t="s">
        <v>79</v>
      </c>
      <c r="G93" s="3" t="s">
        <v>30</v>
      </c>
      <c r="H93" s="55">
        <v>46146</v>
      </c>
      <c r="I93" s="55">
        <v>46149</v>
      </c>
      <c r="J93" s="55">
        <v>46176</v>
      </c>
      <c r="L93" s="3" t="s">
        <v>10</v>
      </c>
      <c r="N93" s="174" t="s">
        <v>80</v>
      </c>
      <c r="O93" s="1" t="s">
        <v>81</v>
      </c>
    </row>
    <row r="94" spans="1:15" ht="15" customHeight="1">
      <c r="A94" s="173" t="s">
        <v>78</v>
      </c>
      <c r="B94" s="169">
        <v>124604370</v>
      </c>
      <c r="E94" s="29" t="s">
        <v>69</v>
      </c>
      <c r="F94" s="3" t="s">
        <v>79</v>
      </c>
      <c r="G94" s="3" t="s">
        <v>30</v>
      </c>
      <c r="H94" s="55">
        <v>46146</v>
      </c>
      <c r="I94" s="55">
        <v>46149</v>
      </c>
      <c r="J94" s="55">
        <v>46176</v>
      </c>
      <c r="L94" s="3" t="s">
        <v>10</v>
      </c>
      <c r="N94" s="174" t="s">
        <v>82</v>
      </c>
      <c r="O94" s="1" t="s">
        <v>83</v>
      </c>
    </row>
    <row r="95" spans="1:15" ht="15" customHeight="1">
      <c r="A95" s="173" t="s">
        <v>78</v>
      </c>
      <c r="B95" s="169">
        <v>124604548</v>
      </c>
      <c r="E95" s="29" t="s">
        <v>69</v>
      </c>
      <c r="F95" s="3" t="s">
        <v>79</v>
      </c>
      <c r="G95" s="3" t="s">
        <v>30</v>
      </c>
      <c r="H95" s="55">
        <v>46146</v>
      </c>
      <c r="I95" s="55">
        <v>46149</v>
      </c>
      <c r="J95" s="55">
        <v>46176</v>
      </c>
      <c r="L95" s="3" t="s">
        <v>9</v>
      </c>
      <c r="N95" s="174" t="s">
        <v>84</v>
      </c>
      <c r="O95" s="1" t="s">
        <v>85</v>
      </c>
    </row>
    <row r="96" spans="1:15" ht="15" customHeight="1">
      <c r="A96" s="173" t="s">
        <v>78</v>
      </c>
      <c r="B96" s="169">
        <v>124604489</v>
      </c>
      <c r="E96" s="29" t="s">
        <v>69</v>
      </c>
      <c r="F96" s="3" t="s">
        <v>79</v>
      </c>
      <c r="G96" s="3" t="s">
        <v>30</v>
      </c>
      <c r="H96" s="55">
        <v>46146</v>
      </c>
      <c r="I96" s="55">
        <v>46149</v>
      </c>
      <c r="J96" s="55">
        <v>46176</v>
      </c>
      <c r="L96" s="3" t="s">
        <v>9</v>
      </c>
      <c r="N96" s="174" t="s">
        <v>84</v>
      </c>
      <c r="O96" s="1" t="s">
        <v>85</v>
      </c>
    </row>
    <row r="97" spans="1:15" ht="15" customHeight="1">
      <c r="A97" s="173" t="s">
        <v>78</v>
      </c>
      <c r="B97" s="169">
        <v>124604660</v>
      </c>
      <c r="E97" s="29" t="s">
        <v>69</v>
      </c>
      <c r="F97" s="3" t="s">
        <v>79</v>
      </c>
      <c r="G97" s="3" t="s">
        <v>30</v>
      </c>
      <c r="H97" s="55">
        <v>46146</v>
      </c>
      <c r="I97" s="55">
        <v>46149</v>
      </c>
      <c r="J97" s="55">
        <v>46176</v>
      </c>
      <c r="L97" s="3" t="s">
        <v>9</v>
      </c>
      <c r="N97" s="174" t="s">
        <v>86</v>
      </c>
      <c r="O97" s="1" t="s">
        <v>87</v>
      </c>
    </row>
    <row r="98" spans="1:15" ht="15" customHeight="1">
      <c r="A98" s="173" t="s">
        <v>78</v>
      </c>
      <c r="B98" s="169">
        <v>124604927</v>
      </c>
      <c r="E98" s="29" t="s">
        <v>69</v>
      </c>
      <c r="F98" s="3" t="s">
        <v>79</v>
      </c>
      <c r="G98" s="3" t="s">
        <v>30</v>
      </c>
      <c r="H98" s="55">
        <v>46146</v>
      </c>
      <c r="I98" s="55">
        <v>46149</v>
      </c>
      <c r="J98" s="55">
        <v>46176</v>
      </c>
      <c r="L98" s="3" t="s">
        <v>9</v>
      </c>
      <c r="N98" s="174" t="s">
        <v>88</v>
      </c>
      <c r="O98" s="1" t="s">
        <v>87</v>
      </c>
    </row>
    <row r="99" spans="1:15" ht="15" customHeight="1">
      <c r="A99" s="173" t="s">
        <v>78</v>
      </c>
      <c r="B99" s="169">
        <v>124605013</v>
      </c>
      <c r="E99" s="29" t="s">
        <v>69</v>
      </c>
      <c r="F99" s="3" t="s">
        <v>79</v>
      </c>
      <c r="G99" s="3" t="s">
        <v>30</v>
      </c>
      <c r="H99" s="55">
        <v>46146</v>
      </c>
      <c r="I99" s="55">
        <v>46149</v>
      </c>
      <c r="J99" s="3" t="s">
        <v>89</v>
      </c>
      <c r="L99" s="3" t="s">
        <v>9</v>
      </c>
      <c r="N99" s="174" t="s">
        <v>86</v>
      </c>
      <c r="O99" s="1" t="s">
        <v>87</v>
      </c>
    </row>
    <row r="100" spans="1:15" ht="15" customHeight="1">
      <c r="A100" s="173" t="s">
        <v>78</v>
      </c>
      <c r="B100" s="169">
        <v>124605062</v>
      </c>
      <c r="E100" s="29" t="s">
        <v>69</v>
      </c>
      <c r="F100" s="3" t="s">
        <v>79</v>
      </c>
      <c r="G100" s="3" t="s">
        <v>30</v>
      </c>
      <c r="H100" s="55">
        <v>46146</v>
      </c>
      <c r="I100" s="55">
        <v>46149</v>
      </c>
      <c r="J100" s="3" t="s">
        <v>89</v>
      </c>
      <c r="L100" s="3" t="s">
        <v>9</v>
      </c>
      <c r="N100" s="174" t="s">
        <v>84</v>
      </c>
      <c r="O100" s="1" t="s">
        <v>85</v>
      </c>
    </row>
    <row r="101" spans="1:15" ht="15" customHeight="1">
      <c r="A101" s="173" t="s">
        <v>78</v>
      </c>
      <c r="B101" s="169">
        <v>124605123</v>
      </c>
      <c r="E101" s="29" t="s">
        <v>69</v>
      </c>
      <c r="F101" s="3" t="s">
        <v>79</v>
      </c>
      <c r="G101" s="3" t="s">
        <v>30</v>
      </c>
      <c r="H101" s="55">
        <v>46146</v>
      </c>
      <c r="I101" s="55">
        <v>46149</v>
      </c>
      <c r="J101" s="55">
        <v>46176</v>
      </c>
      <c r="L101" s="3" t="s">
        <v>9</v>
      </c>
      <c r="N101" s="174" t="s">
        <v>84</v>
      </c>
      <c r="O101" s="1" t="s">
        <v>87</v>
      </c>
    </row>
    <row r="102" spans="1:15" ht="15" customHeight="1">
      <c r="A102" s="173" t="s">
        <v>78</v>
      </c>
      <c r="B102" s="169">
        <v>124605193</v>
      </c>
      <c r="E102" s="29" t="s">
        <v>69</v>
      </c>
      <c r="F102" s="3" t="s">
        <v>79</v>
      </c>
      <c r="G102" s="3" t="s">
        <v>30</v>
      </c>
      <c r="H102" s="55">
        <v>46146</v>
      </c>
      <c r="I102" s="55">
        <v>46149</v>
      </c>
      <c r="J102" s="55">
        <v>46176</v>
      </c>
      <c r="L102" s="3" t="s">
        <v>9</v>
      </c>
      <c r="N102" s="174" t="s">
        <v>86</v>
      </c>
      <c r="O102" s="1" t="s">
        <v>85</v>
      </c>
    </row>
    <row r="103" spans="1:15" ht="15" customHeight="1">
      <c r="A103" s="173" t="s">
        <v>78</v>
      </c>
      <c r="B103" s="169">
        <v>124605304</v>
      </c>
      <c r="E103" s="29" t="s">
        <v>69</v>
      </c>
      <c r="F103" s="3" t="s">
        <v>79</v>
      </c>
      <c r="G103" s="3" t="s">
        <v>30</v>
      </c>
      <c r="H103" s="55">
        <v>46146</v>
      </c>
      <c r="I103" s="55">
        <v>46149</v>
      </c>
      <c r="J103" s="55">
        <v>46176</v>
      </c>
      <c r="L103" s="3" t="s">
        <v>9</v>
      </c>
      <c r="N103" s="174" t="s">
        <v>90</v>
      </c>
    </row>
    <row r="104" spans="1:15" ht="15" customHeight="1">
      <c r="A104" s="173" t="s">
        <v>78</v>
      </c>
      <c r="B104" s="169">
        <v>124605462</v>
      </c>
      <c r="E104" s="29" t="s">
        <v>69</v>
      </c>
      <c r="F104" s="3" t="s">
        <v>79</v>
      </c>
      <c r="G104" s="3" t="s">
        <v>30</v>
      </c>
      <c r="H104" s="55">
        <v>46146</v>
      </c>
      <c r="I104" s="55">
        <v>46149</v>
      </c>
      <c r="J104" s="55">
        <v>46176</v>
      </c>
      <c r="L104" s="3" t="s">
        <v>9</v>
      </c>
      <c r="N104" s="174" t="s">
        <v>91</v>
      </c>
    </row>
    <row r="105" spans="1:15" ht="15" customHeight="1">
      <c r="A105" s="173" t="s">
        <v>78</v>
      </c>
      <c r="B105" s="169">
        <v>124605550</v>
      </c>
      <c r="E105" s="29" t="s">
        <v>69</v>
      </c>
      <c r="F105" s="3" t="s">
        <v>79</v>
      </c>
      <c r="G105" s="3" t="s">
        <v>30</v>
      </c>
      <c r="H105" s="55">
        <v>46146</v>
      </c>
      <c r="I105" s="55">
        <v>46149</v>
      </c>
      <c r="J105" s="55">
        <v>46176</v>
      </c>
      <c r="L105" s="3" t="s">
        <v>9</v>
      </c>
      <c r="N105" s="174" t="s">
        <v>82</v>
      </c>
    </row>
    <row r="106" spans="1:15" ht="15" customHeight="1">
      <c r="A106" s="173" t="s">
        <v>78</v>
      </c>
      <c r="B106" s="169">
        <v>124605681</v>
      </c>
      <c r="E106" s="29" t="s">
        <v>69</v>
      </c>
      <c r="F106" s="3" t="s">
        <v>79</v>
      </c>
      <c r="G106" s="3" t="s">
        <v>30</v>
      </c>
      <c r="H106" s="55">
        <v>46146</v>
      </c>
      <c r="I106" s="55">
        <v>46149</v>
      </c>
      <c r="J106" s="55">
        <v>46176</v>
      </c>
      <c r="L106" s="3" t="s">
        <v>9</v>
      </c>
      <c r="N106" s="174" t="s">
        <v>92</v>
      </c>
    </row>
    <row r="107" spans="1:15" ht="15" customHeight="1">
      <c r="A107" s="173" t="s">
        <v>78</v>
      </c>
      <c r="B107" s="169">
        <v>124605758</v>
      </c>
      <c r="E107" s="29" t="s">
        <v>69</v>
      </c>
      <c r="F107" s="3" t="s">
        <v>79</v>
      </c>
      <c r="G107" s="3" t="s">
        <v>30</v>
      </c>
      <c r="H107" s="55">
        <v>46146</v>
      </c>
      <c r="I107" s="55">
        <v>46149</v>
      </c>
      <c r="J107" s="55">
        <v>46176</v>
      </c>
      <c r="L107" s="3" t="s">
        <v>9</v>
      </c>
      <c r="N107" s="174" t="s">
        <v>93</v>
      </c>
    </row>
    <row r="108" spans="1:15" ht="15" customHeight="1">
      <c r="A108" s="173" t="s">
        <v>78</v>
      </c>
      <c r="B108" s="169">
        <v>124605874</v>
      </c>
      <c r="E108" s="29" t="s">
        <v>69</v>
      </c>
      <c r="F108" s="3" t="s">
        <v>79</v>
      </c>
      <c r="G108" s="3" t="s">
        <v>30</v>
      </c>
      <c r="H108" s="55">
        <v>46146</v>
      </c>
      <c r="I108" s="55">
        <v>46149</v>
      </c>
      <c r="J108" s="55">
        <v>46176</v>
      </c>
      <c r="L108" s="3" t="s">
        <v>9</v>
      </c>
      <c r="N108" s="174" t="s">
        <v>94</v>
      </c>
    </row>
    <row r="109" spans="1:15" ht="15" customHeight="1">
      <c r="A109" s="173" t="s">
        <v>78</v>
      </c>
      <c r="B109" s="169">
        <v>124605947</v>
      </c>
      <c r="E109" s="29" t="s">
        <v>69</v>
      </c>
      <c r="F109" s="3" t="s">
        <v>79</v>
      </c>
      <c r="G109" s="3" t="s">
        <v>30</v>
      </c>
      <c r="H109" s="55">
        <v>46146</v>
      </c>
      <c r="I109" s="55">
        <v>46149</v>
      </c>
      <c r="J109" s="55">
        <v>46176</v>
      </c>
      <c r="L109" s="3" t="s">
        <v>9</v>
      </c>
      <c r="N109" s="174" t="s">
        <v>94</v>
      </c>
    </row>
    <row r="110" spans="1:15" ht="15" customHeight="1">
      <c r="A110" s="173" t="s">
        <v>78</v>
      </c>
      <c r="B110" s="169">
        <v>124606040</v>
      </c>
      <c r="E110" s="29" t="s">
        <v>69</v>
      </c>
      <c r="F110" s="3" t="s">
        <v>79</v>
      </c>
      <c r="G110" s="3" t="s">
        <v>30</v>
      </c>
      <c r="H110" s="55">
        <v>46146</v>
      </c>
      <c r="I110" s="55">
        <v>46149</v>
      </c>
      <c r="J110" s="55">
        <v>46176</v>
      </c>
      <c r="L110" s="3" t="s">
        <v>9</v>
      </c>
      <c r="N110" s="174" t="s">
        <v>95</v>
      </c>
    </row>
    <row r="111" spans="1:15" ht="15" customHeight="1">
      <c r="A111" s="173" t="s">
        <v>78</v>
      </c>
      <c r="B111" s="169">
        <v>124606101</v>
      </c>
      <c r="E111" s="29" t="s">
        <v>69</v>
      </c>
      <c r="F111" s="3" t="s">
        <v>79</v>
      </c>
      <c r="G111" s="3" t="s">
        <v>30</v>
      </c>
      <c r="H111" s="55">
        <v>46146</v>
      </c>
      <c r="I111" s="55">
        <v>46149</v>
      </c>
      <c r="J111" s="55">
        <v>46176</v>
      </c>
      <c r="L111" s="3" t="s">
        <v>9</v>
      </c>
      <c r="N111" s="174" t="s">
        <v>96</v>
      </c>
    </row>
    <row r="112" spans="1:15" ht="15" customHeight="1">
      <c r="A112" s="173" t="s">
        <v>67</v>
      </c>
      <c r="B112" s="169">
        <v>124607312</v>
      </c>
      <c r="E112" s="29" t="s">
        <v>69</v>
      </c>
      <c r="F112" s="3" t="s">
        <v>18</v>
      </c>
      <c r="G112" s="3" t="s">
        <v>30</v>
      </c>
      <c r="H112" s="55">
        <v>46146</v>
      </c>
      <c r="I112" s="55">
        <v>46149</v>
      </c>
      <c r="J112" s="55">
        <v>46176</v>
      </c>
      <c r="L112" s="3" t="s">
        <v>10</v>
      </c>
      <c r="N112" s="174" t="s">
        <v>97</v>
      </c>
    </row>
    <row r="113" spans="1:14" ht="15" customHeight="1">
      <c r="A113" s="173" t="s">
        <v>98</v>
      </c>
      <c r="B113" s="169">
        <v>125601212</v>
      </c>
      <c r="E113" s="29" t="s">
        <v>69</v>
      </c>
      <c r="F113" s="3" t="s">
        <v>79</v>
      </c>
      <c r="G113" s="3" t="s">
        <v>30</v>
      </c>
      <c r="H113" s="55">
        <v>46147</v>
      </c>
      <c r="I113" s="55">
        <v>46150</v>
      </c>
      <c r="J113" s="55">
        <v>46177</v>
      </c>
      <c r="L113" s="3" t="s">
        <v>9</v>
      </c>
      <c r="N113" s="174" t="s">
        <v>99</v>
      </c>
    </row>
    <row r="114" spans="1:14" ht="15" customHeight="1">
      <c r="A114" s="173" t="s">
        <v>100</v>
      </c>
      <c r="B114" s="169">
        <v>125602262</v>
      </c>
      <c r="E114" s="29" t="s">
        <v>101</v>
      </c>
      <c r="F114" s="3" t="s">
        <v>16</v>
      </c>
      <c r="G114" s="3" t="s">
        <v>30</v>
      </c>
      <c r="H114" s="55">
        <v>46147</v>
      </c>
      <c r="I114" s="55">
        <v>46150</v>
      </c>
      <c r="J114" s="55">
        <v>46177</v>
      </c>
      <c r="L114" s="3" t="s">
        <v>9</v>
      </c>
    </row>
    <row r="115" spans="1:14" ht="15" customHeight="1">
      <c r="A115" s="173" t="s">
        <v>102</v>
      </c>
      <c r="B115" s="169">
        <v>125602834</v>
      </c>
      <c r="E115" s="29" t="s">
        <v>69</v>
      </c>
      <c r="F115" s="3" t="s">
        <v>77</v>
      </c>
      <c r="G115" s="3" t="s">
        <v>30</v>
      </c>
      <c r="H115" s="55">
        <v>46147</v>
      </c>
      <c r="I115" s="55">
        <v>46150</v>
      </c>
      <c r="J115" s="55">
        <v>46177</v>
      </c>
      <c r="L115" s="3" t="s">
        <v>9</v>
      </c>
    </row>
    <row r="116" spans="1:14" ht="15" customHeight="1">
      <c r="A116" s="173" t="s">
        <v>98</v>
      </c>
      <c r="B116" s="169">
        <v>125603710</v>
      </c>
      <c r="E116" s="29" t="s">
        <v>69</v>
      </c>
      <c r="F116" s="3" t="s">
        <v>79</v>
      </c>
      <c r="G116" s="3" t="s">
        <v>30</v>
      </c>
      <c r="H116" s="55">
        <v>46147</v>
      </c>
      <c r="I116" s="55">
        <v>46150</v>
      </c>
      <c r="J116" s="55">
        <v>46177</v>
      </c>
      <c r="L116" s="3" t="s">
        <v>9</v>
      </c>
      <c r="N116" s="174">
        <v>250</v>
      </c>
    </row>
    <row r="117" spans="1:14" ht="15" customHeight="1">
      <c r="A117" s="173" t="s">
        <v>98</v>
      </c>
      <c r="B117" s="169">
        <v>125603846</v>
      </c>
      <c r="E117" s="29" t="s">
        <v>69</v>
      </c>
      <c r="F117" s="3" t="s">
        <v>79</v>
      </c>
      <c r="G117" s="3" t="s">
        <v>30</v>
      </c>
      <c r="H117" s="55">
        <v>46147</v>
      </c>
      <c r="I117" s="55">
        <v>46150</v>
      </c>
      <c r="J117" s="55">
        <v>46177</v>
      </c>
      <c r="L117" s="3" t="s">
        <v>9</v>
      </c>
      <c r="N117" s="174">
        <v>425</v>
      </c>
    </row>
    <row r="118" spans="1:14" ht="15" customHeight="1">
      <c r="A118" s="173" t="s">
        <v>98</v>
      </c>
      <c r="B118" s="169">
        <v>125603896</v>
      </c>
      <c r="E118" s="29" t="s">
        <v>69</v>
      </c>
      <c r="F118" s="3" t="s">
        <v>79</v>
      </c>
      <c r="G118" s="3" t="s">
        <v>30</v>
      </c>
      <c r="H118" s="55">
        <v>46147</v>
      </c>
      <c r="I118" s="55">
        <v>46150</v>
      </c>
      <c r="J118" s="55">
        <v>46177</v>
      </c>
      <c r="L118" s="3" t="s">
        <v>9</v>
      </c>
      <c r="N118" s="174">
        <v>500</v>
      </c>
    </row>
    <row r="119" spans="1:14" ht="15" customHeight="1">
      <c r="A119" s="173" t="s">
        <v>98</v>
      </c>
      <c r="B119" s="169">
        <v>125603978</v>
      </c>
      <c r="E119" s="29" t="s">
        <v>69</v>
      </c>
      <c r="F119" s="3" t="s">
        <v>79</v>
      </c>
      <c r="G119" s="3" t="s">
        <v>30</v>
      </c>
      <c r="H119" s="55">
        <v>46147</v>
      </c>
      <c r="I119" s="55">
        <v>46150</v>
      </c>
      <c r="J119" s="55">
        <v>46177</v>
      </c>
      <c r="L119" s="3" t="s">
        <v>9</v>
      </c>
      <c r="N119" s="174">
        <v>300</v>
      </c>
    </row>
    <row r="120" spans="1:14" ht="15" customHeight="1">
      <c r="A120" s="173" t="s">
        <v>98</v>
      </c>
      <c r="B120" s="169">
        <v>125604026</v>
      </c>
      <c r="E120" s="29" t="s">
        <v>69</v>
      </c>
      <c r="F120" s="3" t="s">
        <v>79</v>
      </c>
      <c r="G120" s="3" t="s">
        <v>30</v>
      </c>
      <c r="H120" s="55">
        <v>46147</v>
      </c>
      <c r="I120" s="55">
        <v>46150</v>
      </c>
      <c r="J120" s="55">
        <v>46177</v>
      </c>
      <c r="L120" s="3" t="s">
        <v>9</v>
      </c>
      <c r="N120" s="174">
        <v>60</v>
      </c>
    </row>
    <row r="121" spans="1:14" ht="15" customHeight="1">
      <c r="A121" s="173" t="s">
        <v>98</v>
      </c>
      <c r="B121" s="169">
        <v>125604081</v>
      </c>
      <c r="E121" s="29" t="s">
        <v>69</v>
      </c>
      <c r="F121" s="3" t="s">
        <v>79</v>
      </c>
      <c r="G121" s="3" t="s">
        <v>30</v>
      </c>
      <c r="H121" s="55">
        <v>46147</v>
      </c>
      <c r="I121" s="55">
        <v>46150</v>
      </c>
      <c r="J121" s="55">
        <v>46177</v>
      </c>
      <c r="L121" s="3" t="s">
        <v>9</v>
      </c>
      <c r="N121" s="174">
        <v>490</v>
      </c>
    </row>
    <row r="122" spans="1:14" ht="15" customHeight="1">
      <c r="A122" s="173" t="s">
        <v>54</v>
      </c>
      <c r="B122" s="169">
        <v>125604057</v>
      </c>
      <c r="E122" s="29" t="s">
        <v>56</v>
      </c>
      <c r="F122" s="3" t="s">
        <v>16</v>
      </c>
      <c r="G122" s="3" t="s">
        <v>30</v>
      </c>
      <c r="H122" s="55">
        <v>46147</v>
      </c>
      <c r="I122" s="55">
        <v>46150</v>
      </c>
      <c r="J122" s="55">
        <v>46177</v>
      </c>
      <c r="L122" s="3" t="s">
        <v>9</v>
      </c>
    </row>
    <row r="123" spans="1:14" ht="15" customHeight="1">
      <c r="A123" s="173" t="s">
        <v>98</v>
      </c>
      <c r="B123" s="169">
        <v>125604820</v>
      </c>
      <c r="E123" s="29" t="s">
        <v>69</v>
      </c>
      <c r="F123" s="3" t="s">
        <v>79</v>
      </c>
      <c r="G123" s="3" t="s">
        <v>30</v>
      </c>
      <c r="H123" s="55">
        <v>46147</v>
      </c>
      <c r="I123" s="55">
        <v>46150</v>
      </c>
      <c r="J123" s="55">
        <v>46177</v>
      </c>
      <c r="L123" s="3" t="s">
        <v>9</v>
      </c>
      <c r="N123" s="174">
        <v>250</v>
      </c>
    </row>
    <row r="124" spans="1:14" ht="15" customHeight="1">
      <c r="A124" s="173" t="s">
        <v>98</v>
      </c>
      <c r="B124" s="169">
        <v>125604870</v>
      </c>
      <c r="E124" s="29" t="s">
        <v>69</v>
      </c>
      <c r="F124" s="3" t="s">
        <v>79</v>
      </c>
      <c r="G124" s="3" t="s">
        <v>30</v>
      </c>
      <c r="H124" s="55">
        <v>46147</v>
      </c>
      <c r="I124" s="3" t="s">
        <v>103</v>
      </c>
      <c r="J124" s="55">
        <v>46177</v>
      </c>
      <c r="L124" s="3" t="s">
        <v>9</v>
      </c>
      <c r="N124" s="174">
        <v>350</v>
      </c>
    </row>
    <row r="125" spans="1:14" ht="15" customHeight="1">
      <c r="A125" s="173" t="s">
        <v>98</v>
      </c>
      <c r="B125" s="169">
        <v>125604951</v>
      </c>
      <c r="E125" s="29" t="s">
        <v>69</v>
      </c>
      <c r="F125" s="3" t="s">
        <v>79</v>
      </c>
      <c r="G125" s="3" t="s">
        <v>30</v>
      </c>
      <c r="H125" s="55">
        <v>46147</v>
      </c>
      <c r="I125" s="55">
        <v>46150</v>
      </c>
      <c r="J125" s="55">
        <v>46177</v>
      </c>
      <c r="L125" s="3" t="s">
        <v>9</v>
      </c>
      <c r="N125" s="174">
        <v>65</v>
      </c>
    </row>
    <row r="126" spans="1:14" ht="15" customHeight="1">
      <c r="A126" s="173" t="s">
        <v>98</v>
      </c>
      <c r="B126" s="169">
        <v>125604992</v>
      </c>
      <c r="E126" s="29" t="s">
        <v>69</v>
      </c>
      <c r="F126" s="3" t="s">
        <v>79</v>
      </c>
      <c r="G126" s="3" t="s">
        <v>30</v>
      </c>
      <c r="H126" s="55">
        <v>46147</v>
      </c>
      <c r="I126" s="55">
        <v>46150</v>
      </c>
      <c r="J126" s="55">
        <v>46177</v>
      </c>
      <c r="L126" s="3" t="s">
        <v>9</v>
      </c>
      <c r="N126" s="174">
        <v>300</v>
      </c>
    </row>
    <row r="127" spans="1:14" ht="15" customHeight="1">
      <c r="A127" s="173" t="s">
        <v>98</v>
      </c>
      <c r="B127" s="169">
        <v>125605026</v>
      </c>
      <c r="E127" s="29" t="s">
        <v>69</v>
      </c>
      <c r="F127" s="3" t="s">
        <v>79</v>
      </c>
      <c r="G127" s="3" t="s">
        <v>30</v>
      </c>
      <c r="H127" s="55">
        <v>46147</v>
      </c>
      <c r="I127" s="55">
        <v>46150</v>
      </c>
      <c r="J127" s="55">
        <v>46177</v>
      </c>
      <c r="L127" s="3" t="s">
        <v>9</v>
      </c>
      <c r="N127" s="174">
        <v>300</v>
      </c>
    </row>
    <row r="128" spans="1:14" ht="15" customHeight="1">
      <c r="A128" s="173" t="s">
        <v>98</v>
      </c>
      <c r="B128" s="169">
        <v>125605075</v>
      </c>
      <c r="E128" s="29" t="s">
        <v>69</v>
      </c>
      <c r="F128" s="3" t="s">
        <v>79</v>
      </c>
      <c r="G128" s="3" t="s">
        <v>30</v>
      </c>
      <c r="H128" s="55">
        <v>46147</v>
      </c>
      <c r="I128" s="55">
        <v>46150</v>
      </c>
      <c r="J128" s="55">
        <v>46177</v>
      </c>
      <c r="L128" s="3" t="s">
        <v>9</v>
      </c>
      <c r="N128" s="174">
        <v>200</v>
      </c>
    </row>
    <row r="129" spans="1:118" ht="15" customHeight="1">
      <c r="A129" s="173" t="s">
        <v>98</v>
      </c>
      <c r="B129" s="169">
        <v>125605126</v>
      </c>
      <c r="E129" s="29" t="s">
        <v>69</v>
      </c>
      <c r="F129" s="3" t="s">
        <v>79</v>
      </c>
      <c r="G129" s="3" t="s">
        <v>30</v>
      </c>
      <c r="H129" s="55">
        <v>46147</v>
      </c>
      <c r="I129" s="55">
        <v>46150</v>
      </c>
      <c r="J129" s="55">
        <v>46177</v>
      </c>
      <c r="L129" s="3" t="s">
        <v>9</v>
      </c>
      <c r="N129" s="174">
        <v>500</v>
      </c>
    </row>
    <row r="130" spans="1:118" ht="15" customHeight="1">
      <c r="A130" s="173" t="s">
        <v>98</v>
      </c>
      <c r="B130" s="169">
        <v>125605184</v>
      </c>
      <c r="E130" s="29" t="s">
        <v>69</v>
      </c>
      <c r="F130" s="3" t="s">
        <v>79</v>
      </c>
      <c r="G130" s="3" t="s">
        <v>30</v>
      </c>
      <c r="H130" s="55">
        <v>46147</v>
      </c>
      <c r="I130" s="55">
        <v>46150</v>
      </c>
      <c r="J130" s="55">
        <v>46177</v>
      </c>
      <c r="L130" s="3" t="s">
        <v>9</v>
      </c>
      <c r="N130" s="174">
        <v>470</v>
      </c>
    </row>
    <row r="131" spans="1:118" ht="15" customHeight="1">
      <c r="A131" s="173" t="s">
        <v>98</v>
      </c>
      <c r="B131" s="169">
        <v>125605210</v>
      </c>
      <c r="E131" s="29" t="s">
        <v>69</v>
      </c>
      <c r="F131" s="3" t="s">
        <v>79</v>
      </c>
      <c r="G131" s="3" t="s">
        <v>30</v>
      </c>
      <c r="H131" s="55">
        <v>46147</v>
      </c>
      <c r="I131" s="55">
        <v>46150</v>
      </c>
      <c r="J131" s="55">
        <v>46177</v>
      </c>
      <c r="L131" s="3" t="s">
        <v>9</v>
      </c>
      <c r="N131" s="174">
        <v>350</v>
      </c>
    </row>
    <row r="132" spans="1:118" ht="15" customHeight="1">
      <c r="A132" s="173" t="s">
        <v>98</v>
      </c>
      <c r="B132" s="169">
        <v>125605234</v>
      </c>
      <c r="E132" s="29" t="s">
        <v>69</v>
      </c>
      <c r="F132" s="3" t="s">
        <v>79</v>
      </c>
      <c r="G132" s="3" t="s">
        <v>30</v>
      </c>
      <c r="H132" s="55">
        <v>46147</v>
      </c>
      <c r="I132" s="55">
        <v>46150</v>
      </c>
      <c r="J132" s="55">
        <v>46177</v>
      </c>
      <c r="L132" s="3" t="s">
        <v>9</v>
      </c>
      <c r="N132" s="174">
        <v>520</v>
      </c>
    </row>
    <row r="133" spans="1:118" ht="15" customHeight="1">
      <c r="A133" s="121" t="s">
        <v>104</v>
      </c>
      <c r="B133" s="169">
        <v>124609864</v>
      </c>
      <c r="C133" s="29" t="s">
        <v>105</v>
      </c>
      <c r="D133" s="29" t="s">
        <v>105</v>
      </c>
      <c r="E133" s="29" t="s">
        <v>73</v>
      </c>
      <c r="F133" s="3" t="s">
        <v>19</v>
      </c>
      <c r="G133" s="3" t="s">
        <v>30</v>
      </c>
      <c r="H133" s="55">
        <v>46147</v>
      </c>
      <c r="I133" s="55">
        <v>46149</v>
      </c>
      <c r="J133" s="55">
        <v>46177</v>
      </c>
      <c r="K133" s="41" t="s">
        <v>105</v>
      </c>
      <c r="L133" s="41" t="s">
        <v>9</v>
      </c>
      <c r="M133" s="41" t="s">
        <v>105</v>
      </c>
      <c r="N133" s="41">
        <v>470</v>
      </c>
      <c r="O133" s="121" t="s">
        <v>105</v>
      </c>
      <c r="P133" s="121" t="s">
        <v>105</v>
      </c>
      <c r="Q133" s="121" t="s">
        <v>105</v>
      </c>
      <c r="R133" s="121" t="s">
        <v>105</v>
      </c>
      <c r="S133" s="121" t="s">
        <v>105</v>
      </c>
      <c r="T133" s="121" t="s">
        <v>105</v>
      </c>
      <c r="U133" s="121" t="s">
        <v>105</v>
      </c>
      <c r="V133" s="121" t="s">
        <v>105</v>
      </c>
      <c r="W133" s="121" t="s">
        <v>105</v>
      </c>
      <c r="X133" s="121" t="s">
        <v>105</v>
      </c>
      <c r="Y133" s="121" t="s">
        <v>105</v>
      </c>
      <c r="Z133" s="121" t="s">
        <v>105</v>
      </c>
      <c r="AA133" s="121" t="s">
        <v>105</v>
      </c>
      <c r="AB133" s="121" t="s">
        <v>105</v>
      </c>
      <c r="AC133" s="121" t="s">
        <v>105</v>
      </c>
      <c r="AD133" s="121" t="s">
        <v>105</v>
      </c>
      <c r="AE133" s="121" t="s">
        <v>105</v>
      </c>
      <c r="AF133" s="121" t="s">
        <v>105</v>
      </c>
      <c r="AG133" s="121" t="s">
        <v>105</v>
      </c>
      <c r="AH133" s="121" t="s">
        <v>105</v>
      </c>
      <c r="AI133" s="121" t="s">
        <v>105</v>
      </c>
      <c r="AJ133" s="121" t="s">
        <v>105</v>
      </c>
      <c r="AK133" s="121" t="s">
        <v>105</v>
      </c>
      <c r="AL133" s="121" t="s">
        <v>105</v>
      </c>
      <c r="AM133" s="121" t="s">
        <v>105</v>
      </c>
      <c r="AN133" s="121" t="s">
        <v>105</v>
      </c>
      <c r="AO133" s="121" t="s">
        <v>105</v>
      </c>
      <c r="AP133" s="121" t="s">
        <v>105</v>
      </c>
      <c r="AQ133" s="121" t="s">
        <v>105</v>
      </c>
      <c r="AR133" s="121" t="s">
        <v>105</v>
      </c>
      <c r="AS133" s="121" t="s">
        <v>105</v>
      </c>
      <c r="AT133" s="121" t="s">
        <v>105</v>
      </c>
      <c r="AU133" s="121" t="s">
        <v>105</v>
      </c>
      <c r="AV133" s="121" t="s">
        <v>105</v>
      </c>
      <c r="AW133" s="121" t="s">
        <v>105</v>
      </c>
      <c r="AX133" s="121" t="s">
        <v>105</v>
      </c>
      <c r="AY133" s="121" t="s">
        <v>105</v>
      </c>
      <c r="AZ133" s="121" t="s">
        <v>105</v>
      </c>
      <c r="BA133" s="121" t="s">
        <v>105</v>
      </c>
      <c r="BB133" s="121" t="s">
        <v>105</v>
      </c>
      <c r="BC133" s="121" t="s">
        <v>105</v>
      </c>
      <c r="BD133" s="121" t="s">
        <v>105</v>
      </c>
      <c r="BE133" s="121" t="s">
        <v>105</v>
      </c>
      <c r="BF133" s="121" t="s">
        <v>105</v>
      </c>
      <c r="BG133" s="121" t="s">
        <v>105</v>
      </c>
      <c r="BH133" s="121" t="s">
        <v>105</v>
      </c>
      <c r="BI133" s="121" t="s">
        <v>105</v>
      </c>
      <c r="BJ133" s="121" t="s">
        <v>105</v>
      </c>
      <c r="BK133" s="121" t="s">
        <v>105</v>
      </c>
      <c r="BL133" s="121" t="s">
        <v>105</v>
      </c>
      <c r="BM133" s="121" t="s">
        <v>105</v>
      </c>
      <c r="BN133" s="121" t="s">
        <v>105</v>
      </c>
      <c r="BO133" s="121" t="s">
        <v>105</v>
      </c>
      <c r="BP133" s="121" t="s">
        <v>105</v>
      </c>
      <c r="BQ133" s="121" t="s">
        <v>105</v>
      </c>
      <c r="BR133" s="121" t="s">
        <v>105</v>
      </c>
      <c r="BS133" s="121" t="s">
        <v>105</v>
      </c>
      <c r="BT133" s="121" t="s">
        <v>105</v>
      </c>
      <c r="BU133" s="121" t="s">
        <v>105</v>
      </c>
      <c r="BV133" s="121" t="s">
        <v>105</v>
      </c>
      <c r="BW133" s="121" t="s">
        <v>105</v>
      </c>
      <c r="BX133" s="121" t="s">
        <v>105</v>
      </c>
      <c r="BY133" s="121" t="s">
        <v>105</v>
      </c>
      <c r="BZ133" s="121" t="s">
        <v>105</v>
      </c>
      <c r="CA133" s="121" t="s">
        <v>105</v>
      </c>
      <c r="CB133" s="121" t="s">
        <v>105</v>
      </c>
      <c r="CC133" s="121" t="s">
        <v>105</v>
      </c>
      <c r="CD133" s="121" t="s">
        <v>105</v>
      </c>
      <c r="CE133" s="121" t="s">
        <v>105</v>
      </c>
      <c r="CF133" s="121" t="s">
        <v>105</v>
      </c>
      <c r="CG133" s="121" t="s">
        <v>105</v>
      </c>
      <c r="CH133" s="121" t="s">
        <v>105</v>
      </c>
      <c r="CI133" s="121" t="s">
        <v>105</v>
      </c>
      <c r="CJ133" s="121" t="s">
        <v>105</v>
      </c>
      <c r="CK133" s="121" t="s">
        <v>105</v>
      </c>
      <c r="CL133" s="121" t="s">
        <v>105</v>
      </c>
      <c r="CM133" s="121" t="s">
        <v>105</v>
      </c>
      <c r="CN133" s="121" t="s">
        <v>105</v>
      </c>
      <c r="CO133" s="121" t="s">
        <v>105</v>
      </c>
      <c r="CP133" s="121" t="s">
        <v>105</v>
      </c>
      <c r="CQ133" s="121" t="s">
        <v>105</v>
      </c>
      <c r="CR133" s="121" t="s">
        <v>105</v>
      </c>
      <c r="CS133" s="121" t="s">
        <v>105</v>
      </c>
      <c r="CT133" s="121" t="s">
        <v>105</v>
      </c>
      <c r="CU133" s="121" t="s">
        <v>105</v>
      </c>
      <c r="CV133" s="121" t="s">
        <v>105</v>
      </c>
      <c r="CW133" s="121" t="s">
        <v>105</v>
      </c>
      <c r="CX133" s="121" t="s">
        <v>105</v>
      </c>
      <c r="CY133" s="121" t="s">
        <v>105</v>
      </c>
      <c r="CZ133" s="121" t="s">
        <v>105</v>
      </c>
      <c r="DA133" s="121" t="s">
        <v>105</v>
      </c>
      <c r="DB133" s="121" t="s">
        <v>105</v>
      </c>
      <c r="DC133" s="121" t="s">
        <v>105</v>
      </c>
      <c r="DD133" s="121" t="s">
        <v>105</v>
      </c>
      <c r="DE133" s="121" t="s">
        <v>105</v>
      </c>
      <c r="DF133" s="121" t="s">
        <v>105</v>
      </c>
      <c r="DG133" s="121" t="s">
        <v>105</v>
      </c>
      <c r="DH133" s="121" t="s">
        <v>105</v>
      </c>
      <c r="DI133" s="121" t="s">
        <v>105</v>
      </c>
      <c r="DJ133" s="121" t="s">
        <v>105</v>
      </c>
      <c r="DK133" s="121" t="s">
        <v>105</v>
      </c>
      <c r="DL133" s="121" t="s">
        <v>105</v>
      </c>
      <c r="DM133" s="121" t="s">
        <v>105</v>
      </c>
      <c r="DN133" s="121" t="s">
        <v>105</v>
      </c>
    </row>
    <row r="134" spans="1:118" ht="15" customHeight="1">
      <c r="A134" s="121" t="s">
        <v>104</v>
      </c>
      <c r="B134" s="169">
        <v>124609927</v>
      </c>
      <c r="C134" s="29" t="s">
        <v>105</v>
      </c>
      <c r="D134" s="29" t="s">
        <v>105</v>
      </c>
      <c r="E134" s="29" t="s">
        <v>73</v>
      </c>
      <c r="F134" s="3" t="s">
        <v>19</v>
      </c>
      <c r="G134" s="3" t="s">
        <v>30</v>
      </c>
      <c r="H134" s="55">
        <v>46147</v>
      </c>
      <c r="I134" s="55">
        <v>46149</v>
      </c>
      <c r="J134" s="55">
        <v>46177</v>
      </c>
      <c r="K134" s="41" t="s">
        <v>105</v>
      </c>
      <c r="L134" s="41" t="s">
        <v>9</v>
      </c>
      <c r="M134" s="41" t="s">
        <v>105</v>
      </c>
      <c r="N134" s="41">
        <v>190</v>
      </c>
      <c r="O134" s="121" t="s">
        <v>105</v>
      </c>
      <c r="P134" s="121" t="s">
        <v>105</v>
      </c>
      <c r="Q134" s="121" t="s">
        <v>105</v>
      </c>
      <c r="R134" s="121" t="s">
        <v>105</v>
      </c>
      <c r="S134" s="121" t="s">
        <v>105</v>
      </c>
      <c r="T134" s="121" t="s">
        <v>105</v>
      </c>
      <c r="U134" s="121" t="s">
        <v>105</v>
      </c>
      <c r="V134" s="121" t="s">
        <v>105</v>
      </c>
      <c r="W134" s="121" t="s">
        <v>105</v>
      </c>
      <c r="X134" s="121" t="s">
        <v>105</v>
      </c>
      <c r="Y134" s="121" t="s">
        <v>105</v>
      </c>
      <c r="Z134" s="121" t="s">
        <v>105</v>
      </c>
      <c r="AA134" s="121" t="s">
        <v>105</v>
      </c>
      <c r="AB134" s="121" t="s">
        <v>105</v>
      </c>
      <c r="AC134" s="121" t="s">
        <v>105</v>
      </c>
      <c r="AD134" s="121" t="s">
        <v>105</v>
      </c>
      <c r="AE134" s="121" t="s">
        <v>105</v>
      </c>
      <c r="AF134" s="121" t="s">
        <v>105</v>
      </c>
      <c r="AG134" s="121" t="s">
        <v>105</v>
      </c>
      <c r="AH134" s="121" t="s">
        <v>105</v>
      </c>
      <c r="AI134" s="121" t="s">
        <v>105</v>
      </c>
      <c r="AJ134" s="121" t="s">
        <v>105</v>
      </c>
      <c r="AK134" s="121" t="s">
        <v>105</v>
      </c>
      <c r="AL134" s="121" t="s">
        <v>105</v>
      </c>
      <c r="AM134" s="121" t="s">
        <v>105</v>
      </c>
      <c r="AN134" s="121" t="s">
        <v>105</v>
      </c>
      <c r="AO134" s="121" t="s">
        <v>105</v>
      </c>
      <c r="AP134" s="121" t="s">
        <v>105</v>
      </c>
      <c r="AQ134" s="121" t="s">
        <v>105</v>
      </c>
      <c r="AR134" s="121" t="s">
        <v>105</v>
      </c>
      <c r="AS134" s="121" t="s">
        <v>105</v>
      </c>
      <c r="AT134" s="121" t="s">
        <v>105</v>
      </c>
      <c r="AU134" s="121" t="s">
        <v>105</v>
      </c>
      <c r="AV134" s="121" t="s">
        <v>105</v>
      </c>
      <c r="AW134" s="121" t="s">
        <v>105</v>
      </c>
      <c r="AX134" s="121" t="s">
        <v>105</v>
      </c>
      <c r="AY134" s="121" t="s">
        <v>105</v>
      </c>
      <c r="AZ134" s="121" t="s">
        <v>105</v>
      </c>
      <c r="BA134" s="121" t="s">
        <v>105</v>
      </c>
      <c r="BB134" s="121" t="s">
        <v>105</v>
      </c>
      <c r="BC134" s="121" t="s">
        <v>105</v>
      </c>
      <c r="BD134" s="121" t="s">
        <v>105</v>
      </c>
      <c r="BE134" s="121" t="s">
        <v>105</v>
      </c>
      <c r="BF134" s="121" t="s">
        <v>105</v>
      </c>
      <c r="BG134" s="121" t="s">
        <v>105</v>
      </c>
      <c r="BH134" s="121" t="s">
        <v>105</v>
      </c>
      <c r="BI134" s="121" t="s">
        <v>105</v>
      </c>
      <c r="BJ134" s="121" t="s">
        <v>105</v>
      </c>
      <c r="BK134" s="121" t="s">
        <v>105</v>
      </c>
      <c r="BL134" s="121" t="s">
        <v>105</v>
      </c>
      <c r="BM134" s="121" t="s">
        <v>105</v>
      </c>
      <c r="BN134" s="121" t="s">
        <v>105</v>
      </c>
      <c r="BO134" s="121" t="s">
        <v>105</v>
      </c>
      <c r="BP134" s="121" t="s">
        <v>105</v>
      </c>
      <c r="BQ134" s="121" t="s">
        <v>105</v>
      </c>
      <c r="BR134" s="121" t="s">
        <v>105</v>
      </c>
      <c r="BS134" s="121" t="s">
        <v>105</v>
      </c>
      <c r="BT134" s="121" t="s">
        <v>105</v>
      </c>
      <c r="BU134" s="121" t="s">
        <v>105</v>
      </c>
      <c r="BV134" s="121" t="s">
        <v>105</v>
      </c>
      <c r="BW134" s="121" t="s">
        <v>105</v>
      </c>
      <c r="BX134" s="121" t="s">
        <v>105</v>
      </c>
      <c r="BY134" s="121" t="s">
        <v>105</v>
      </c>
      <c r="BZ134" s="121" t="s">
        <v>105</v>
      </c>
      <c r="CA134" s="121" t="s">
        <v>105</v>
      </c>
      <c r="CB134" s="121" t="s">
        <v>105</v>
      </c>
      <c r="CC134" s="121" t="s">
        <v>105</v>
      </c>
      <c r="CD134" s="121" t="s">
        <v>105</v>
      </c>
      <c r="CE134" s="121" t="s">
        <v>105</v>
      </c>
      <c r="CF134" s="121" t="s">
        <v>105</v>
      </c>
      <c r="CG134" s="121" t="s">
        <v>105</v>
      </c>
      <c r="CH134" s="121" t="s">
        <v>105</v>
      </c>
      <c r="CI134" s="121" t="s">
        <v>105</v>
      </c>
      <c r="CJ134" s="121" t="s">
        <v>105</v>
      </c>
      <c r="CK134" s="121" t="s">
        <v>105</v>
      </c>
      <c r="CL134" s="121" t="s">
        <v>105</v>
      </c>
      <c r="CM134" s="121" t="s">
        <v>105</v>
      </c>
      <c r="CN134" s="121" t="s">
        <v>105</v>
      </c>
      <c r="CO134" s="121" t="s">
        <v>105</v>
      </c>
      <c r="CP134" s="121" t="s">
        <v>105</v>
      </c>
      <c r="CQ134" s="121" t="s">
        <v>105</v>
      </c>
      <c r="CR134" s="121" t="s">
        <v>105</v>
      </c>
      <c r="CS134" s="121" t="s">
        <v>105</v>
      </c>
      <c r="CT134" s="121" t="s">
        <v>105</v>
      </c>
      <c r="CU134" s="121" t="s">
        <v>105</v>
      </c>
      <c r="CV134" s="121" t="s">
        <v>105</v>
      </c>
      <c r="CW134" s="121" t="s">
        <v>105</v>
      </c>
      <c r="CX134" s="121" t="s">
        <v>105</v>
      </c>
      <c r="CY134" s="121" t="s">
        <v>105</v>
      </c>
      <c r="CZ134" s="121" t="s">
        <v>105</v>
      </c>
      <c r="DA134" s="121" t="s">
        <v>105</v>
      </c>
      <c r="DB134" s="121" t="s">
        <v>105</v>
      </c>
      <c r="DC134" s="121" t="s">
        <v>105</v>
      </c>
      <c r="DD134" s="121" t="s">
        <v>105</v>
      </c>
      <c r="DE134" s="121" t="s">
        <v>105</v>
      </c>
      <c r="DF134" s="121" t="s">
        <v>105</v>
      </c>
      <c r="DG134" s="121" t="s">
        <v>105</v>
      </c>
      <c r="DH134" s="121" t="s">
        <v>105</v>
      </c>
      <c r="DI134" s="121" t="s">
        <v>105</v>
      </c>
      <c r="DJ134" s="121" t="s">
        <v>105</v>
      </c>
      <c r="DK134" s="121" t="s">
        <v>105</v>
      </c>
      <c r="DL134" s="121" t="s">
        <v>105</v>
      </c>
      <c r="DM134" s="121" t="s">
        <v>105</v>
      </c>
      <c r="DN134" s="121" t="s">
        <v>105</v>
      </c>
    </row>
    <row r="135" spans="1:118" ht="15" customHeight="1">
      <c r="A135" s="121" t="s">
        <v>104</v>
      </c>
      <c r="B135" s="169">
        <v>124609948</v>
      </c>
      <c r="C135" s="29" t="s">
        <v>105</v>
      </c>
      <c r="D135" s="29" t="s">
        <v>105</v>
      </c>
      <c r="E135" s="29" t="s">
        <v>73</v>
      </c>
      <c r="F135" s="3" t="s">
        <v>19</v>
      </c>
      <c r="G135" s="3" t="s">
        <v>30</v>
      </c>
      <c r="H135" s="55">
        <v>46147</v>
      </c>
      <c r="I135" s="55">
        <v>46149</v>
      </c>
      <c r="J135" s="55">
        <v>46177</v>
      </c>
      <c r="K135" s="41" t="s">
        <v>105</v>
      </c>
      <c r="L135" s="41" t="s">
        <v>9</v>
      </c>
      <c r="M135" s="41" t="s">
        <v>105</v>
      </c>
      <c r="N135" s="41">
        <v>40</v>
      </c>
      <c r="O135" s="121" t="s">
        <v>105</v>
      </c>
      <c r="P135" s="121" t="s">
        <v>105</v>
      </c>
      <c r="Q135" s="121" t="s">
        <v>105</v>
      </c>
      <c r="R135" s="121" t="s">
        <v>105</v>
      </c>
      <c r="S135" s="121" t="s">
        <v>105</v>
      </c>
      <c r="T135" s="121" t="s">
        <v>105</v>
      </c>
      <c r="U135" s="121" t="s">
        <v>105</v>
      </c>
      <c r="V135" s="121" t="s">
        <v>105</v>
      </c>
      <c r="W135" s="121" t="s">
        <v>105</v>
      </c>
      <c r="X135" s="121" t="s">
        <v>105</v>
      </c>
      <c r="Y135" s="121" t="s">
        <v>105</v>
      </c>
      <c r="Z135" s="121" t="s">
        <v>105</v>
      </c>
      <c r="AA135" s="121" t="s">
        <v>105</v>
      </c>
      <c r="AB135" s="121" t="s">
        <v>105</v>
      </c>
      <c r="AC135" s="121" t="s">
        <v>105</v>
      </c>
      <c r="AD135" s="121" t="s">
        <v>105</v>
      </c>
      <c r="AE135" s="121" t="s">
        <v>105</v>
      </c>
      <c r="AF135" s="121" t="s">
        <v>105</v>
      </c>
      <c r="AG135" s="121" t="s">
        <v>105</v>
      </c>
      <c r="AH135" s="121" t="s">
        <v>105</v>
      </c>
      <c r="AI135" s="121" t="s">
        <v>105</v>
      </c>
      <c r="AJ135" s="121" t="s">
        <v>105</v>
      </c>
      <c r="AK135" s="121" t="s">
        <v>105</v>
      </c>
      <c r="AL135" s="121" t="s">
        <v>105</v>
      </c>
      <c r="AM135" s="121" t="s">
        <v>105</v>
      </c>
      <c r="AN135" s="121" t="s">
        <v>105</v>
      </c>
      <c r="AO135" s="121" t="s">
        <v>105</v>
      </c>
      <c r="AP135" s="121" t="s">
        <v>105</v>
      </c>
      <c r="AQ135" s="121" t="s">
        <v>105</v>
      </c>
      <c r="AR135" s="121" t="s">
        <v>105</v>
      </c>
      <c r="AS135" s="121" t="s">
        <v>105</v>
      </c>
      <c r="AT135" s="121" t="s">
        <v>105</v>
      </c>
      <c r="AU135" s="121" t="s">
        <v>105</v>
      </c>
      <c r="AV135" s="121" t="s">
        <v>105</v>
      </c>
      <c r="AW135" s="121" t="s">
        <v>105</v>
      </c>
      <c r="AX135" s="121" t="s">
        <v>105</v>
      </c>
      <c r="AY135" s="121" t="s">
        <v>105</v>
      </c>
      <c r="AZ135" s="121" t="s">
        <v>105</v>
      </c>
      <c r="BA135" s="121" t="s">
        <v>105</v>
      </c>
      <c r="BB135" s="121" t="s">
        <v>105</v>
      </c>
      <c r="BC135" s="121" t="s">
        <v>105</v>
      </c>
      <c r="BD135" s="121" t="s">
        <v>105</v>
      </c>
      <c r="BE135" s="121" t="s">
        <v>105</v>
      </c>
      <c r="BF135" s="121" t="s">
        <v>105</v>
      </c>
      <c r="BG135" s="121" t="s">
        <v>105</v>
      </c>
      <c r="BH135" s="121" t="s">
        <v>105</v>
      </c>
      <c r="BI135" s="121" t="s">
        <v>105</v>
      </c>
      <c r="BJ135" s="121" t="s">
        <v>105</v>
      </c>
      <c r="BK135" s="121" t="s">
        <v>105</v>
      </c>
      <c r="BL135" s="121" t="s">
        <v>105</v>
      </c>
      <c r="BM135" s="121" t="s">
        <v>105</v>
      </c>
      <c r="BN135" s="121" t="s">
        <v>105</v>
      </c>
      <c r="BO135" s="121" t="s">
        <v>105</v>
      </c>
      <c r="BP135" s="121" t="s">
        <v>105</v>
      </c>
      <c r="BQ135" s="121" t="s">
        <v>105</v>
      </c>
      <c r="BR135" s="121" t="s">
        <v>105</v>
      </c>
      <c r="BS135" s="121" t="s">
        <v>105</v>
      </c>
      <c r="BT135" s="121" t="s">
        <v>105</v>
      </c>
      <c r="BU135" s="121" t="s">
        <v>105</v>
      </c>
      <c r="BV135" s="121" t="s">
        <v>105</v>
      </c>
      <c r="BW135" s="121" t="s">
        <v>105</v>
      </c>
      <c r="BX135" s="121" t="s">
        <v>105</v>
      </c>
      <c r="BY135" s="121" t="s">
        <v>105</v>
      </c>
      <c r="BZ135" s="121" t="s">
        <v>105</v>
      </c>
      <c r="CA135" s="121" t="s">
        <v>105</v>
      </c>
      <c r="CB135" s="121" t="s">
        <v>105</v>
      </c>
      <c r="CC135" s="121" t="s">
        <v>105</v>
      </c>
      <c r="CD135" s="121" t="s">
        <v>105</v>
      </c>
      <c r="CE135" s="121" t="s">
        <v>105</v>
      </c>
      <c r="CF135" s="121" t="s">
        <v>105</v>
      </c>
      <c r="CG135" s="121" t="s">
        <v>105</v>
      </c>
      <c r="CH135" s="121" t="s">
        <v>105</v>
      </c>
      <c r="CI135" s="121" t="s">
        <v>105</v>
      </c>
      <c r="CJ135" s="121" t="s">
        <v>105</v>
      </c>
      <c r="CK135" s="121" t="s">
        <v>105</v>
      </c>
      <c r="CL135" s="121" t="s">
        <v>105</v>
      </c>
      <c r="CM135" s="121" t="s">
        <v>105</v>
      </c>
      <c r="CN135" s="121" t="s">
        <v>105</v>
      </c>
      <c r="CO135" s="121" t="s">
        <v>105</v>
      </c>
      <c r="CP135" s="121" t="s">
        <v>105</v>
      </c>
      <c r="CQ135" s="121" t="s">
        <v>105</v>
      </c>
      <c r="CR135" s="121" t="s">
        <v>105</v>
      </c>
      <c r="CS135" s="121" t="s">
        <v>105</v>
      </c>
      <c r="CT135" s="121" t="s">
        <v>105</v>
      </c>
      <c r="CU135" s="121" t="s">
        <v>105</v>
      </c>
      <c r="CV135" s="121" t="s">
        <v>105</v>
      </c>
      <c r="CW135" s="121" t="s">
        <v>105</v>
      </c>
      <c r="CX135" s="121" t="s">
        <v>105</v>
      </c>
      <c r="CY135" s="121" t="s">
        <v>105</v>
      </c>
      <c r="CZ135" s="121" t="s">
        <v>105</v>
      </c>
      <c r="DA135" s="121" t="s">
        <v>105</v>
      </c>
      <c r="DB135" s="121" t="s">
        <v>105</v>
      </c>
      <c r="DC135" s="121" t="s">
        <v>105</v>
      </c>
      <c r="DD135" s="121" t="s">
        <v>105</v>
      </c>
      <c r="DE135" s="121" t="s">
        <v>105</v>
      </c>
      <c r="DF135" s="121" t="s">
        <v>105</v>
      </c>
      <c r="DG135" s="121" t="s">
        <v>105</v>
      </c>
      <c r="DH135" s="121" t="s">
        <v>105</v>
      </c>
      <c r="DI135" s="121" t="s">
        <v>105</v>
      </c>
      <c r="DJ135" s="121" t="s">
        <v>105</v>
      </c>
      <c r="DK135" s="121" t="s">
        <v>105</v>
      </c>
      <c r="DL135" s="121" t="s">
        <v>105</v>
      </c>
      <c r="DM135" s="121" t="s">
        <v>105</v>
      </c>
      <c r="DN135" s="121" t="s">
        <v>105</v>
      </c>
    </row>
    <row r="136" spans="1:118" ht="15" customHeight="1">
      <c r="A136" s="121" t="s">
        <v>104</v>
      </c>
      <c r="B136" s="169">
        <v>124609821</v>
      </c>
      <c r="C136" s="29" t="s">
        <v>105</v>
      </c>
      <c r="D136" s="29" t="s">
        <v>105</v>
      </c>
      <c r="E136" s="29" t="s">
        <v>73</v>
      </c>
      <c r="F136" s="3" t="s">
        <v>19</v>
      </c>
      <c r="G136" s="3" t="s">
        <v>30</v>
      </c>
      <c r="H136" s="55">
        <v>46147</v>
      </c>
      <c r="I136" s="55">
        <v>46149</v>
      </c>
      <c r="J136" s="55">
        <v>46177</v>
      </c>
      <c r="K136" s="41" t="s">
        <v>105</v>
      </c>
      <c r="L136" s="41" t="s">
        <v>9</v>
      </c>
      <c r="M136" s="41" t="s">
        <v>105</v>
      </c>
      <c r="N136" s="41">
        <v>1050</v>
      </c>
      <c r="O136" s="121" t="s">
        <v>105</v>
      </c>
      <c r="P136" s="121" t="s">
        <v>105</v>
      </c>
      <c r="Q136" s="121" t="s">
        <v>105</v>
      </c>
      <c r="R136" s="121" t="s">
        <v>105</v>
      </c>
      <c r="S136" s="121" t="s">
        <v>105</v>
      </c>
      <c r="T136" s="121" t="s">
        <v>105</v>
      </c>
      <c r="U136" s="121" t="s">
        <v>105</v>
      </c>
      <c r="V136" s="121" t="s">
        <v>105</v>
      </c>
      <c r="W136" s="121" t="s">
        <v>105</v>
      </c>
      <c r="X136" s="121" t="s">
        <v>105</v>
      </c>
      <c r="Y136" s="121" t="s">
        <v>105</v>
      </c>
      <c r="Z136" s="121" t="s">
        <v>105</v>
      </c>
      <c r="AA136" s="121" t="s">
        <v>105</v>
      </c>
      <c r="AB136" s="121" t="s">
        <v>105</v>
      </c>
      <c r="AC136" s="121" t="s">
        <v>105</v>
      </c>
      <c r="AD136" s="121" t="s">
        <v>105</v>
      </c>
      <c r="AE136" s="121" t="s">
        <v>105</v>
      </c>
      <c r="AF136" s="121" t="s">
        <v>105</v>
      </c>
      <c r="AG136" s="121" t="s">
        <v>105</v>
      </c>
      <c r="AH136" s="121" t="s">
        <v>105</v>
      </c>
      <c r="AI136" s="121" t="s">
        <v>105</v>
      </c>
      <c r="AJ136" s="121" t="s">
        <v>105</v>
      </c>
      <c r="AK136" s="121" t="s">
        <v>105</v>
      </c>
      <c r="AL136" s="121" t="s">
        <v>105</v>
      </c>
      <c r="AM136" s="121" t="s">
        <v>105</v>
      </c>
      <c r="AN136" s="121" t="s">
        <v>105</v>
      </c>
      <c r="AO136" s="121" t="s">
        <v>105</v>
      </c>
      <c r="AP136" s="121" t="s">
        <v>105</v>
      </c>
      <c r="AQ136" s="121" t="s">
        <v>105</v>
      </c>
      <c r="AR136" s="121" t="s">
        <v>105</v>
      </c>
      <c r="AS136" s="121" t="s">
        <v>105</v>
      </c>
      <c r="AT136" s="121" t="s">
        <v>105</v>
      </c>
      <c r="AU136" s="121" t="s">
        <v>105</v>
      </c>
      <c r="AV136" s="121" t="s">
        <v>105</v>
      </c>
      <c r="AW136" s="121" t="s">
        <v>105</v>
      </c>
      <c r="AX136" s="121" t="s">
        <v>105</v>
      </c>
      <c r="AY136" s="121" t="s">
        <v>105</v>
      </c>
      <c r="AZ136" s="121" t="s">
        <v>105</v>
      </c>
      <c r="BA136" s="121" t="s">
        <v>105</v>
      </c>
      <c r="BB136" s="121" t="s">
        <v>105</v>
      </c>
      <c r="BC136" s="121" t="s">
        <v>105</v>
      </c>
      <c r="BD136" s="121" t="s">
        <v>105</v>
      </c>
      <c r="BE136" s="121" t="s">
        <v>105</v>
      </c>
      <c r="BF136" s="121" t="s">
        <v>105</v>
      </c>
      <c r="BG136" s="121" t="s">
        <v>105</v>
      </c>
      <c r="BH136" s="121" t="s">
        <v>105</v>
      </c>
      <c r="BI136" s="121" t="s">
        <v>105</v>
      </c>
      <c r="BJ136" s="121" t="s">
        <v>105</v>
      </c>
      <c r="BK136" s="121" t="s">
        <v>105</v>
      </c>
      <c r="BL136" s="121" t="s">
        <v>105</v>
      </c>
      <c r="BM136" s="121" t="s">
        <v>105</v>
      </c>
      <c r="BN136" s="121" t="s">
        <v>105</v>
      </c>
      <c r="BO136" s="121" t="s">
        <v>105</v>
      </c>
      <c r="BP136" s="121" t="s">
        <v>105</v>
      </c>
      <c r="BQ136" s="121" t="s">
        <v>105</v>
      </c>
      <c r="BR136" s="121" t="s">
        <v>105</v>
      </c>
      <c r="BS136" s="121" t="s">
        <v>105</v>
      </c>
      <c r="BT136" s="121" t="s">
        <v>105</v>
      </c>
      <c r="BU136" s="121" t="s">
        <v>105</v>
      </c>
      <c r="BV136" s="121" t="s">
        <v>105</v>
      </c>
      <c r="BW136" s="121" t="s">
        <v>105</v>
      </c>
      <c r="BX136" s="121" t="s">
        <v>105</v>
      </c>
      <c r="BY136" s="121" t="s">
        <v>105</v>
      </c>
      <c r="BZ136" s="121" t="s">
        <v>105</v>
      </c>
      <c r="CA136" s="121" t="s">
        <v>105</v>
      </c>
      <c r="CB136" s="121" t="s">
        <v>105</v>
      </c>
      <c r="CC136" s="121" t="s">
        <v>105</v>
      </c>
      <c r="CD136" s="121" t="s">
        <v>105</v>
      </c>
      <c r="CE136" s="121" t="s">
        <v>105</v>
      </c>
      <c r="CF136" s="121" t="s">
        <v>105</v>
      </c>
      <c r="CG136" s="121" t="s">
        <v>105</v>
      </c>
      <c r="CH136" s="121" t="s">
        <v>105</v>
      </c>
      <c r="CI136" s="121" t="s">
        <v>105</v>
      </c>
      <c r="CJ136" s="121" t="s">
        <v>105</v>
      </c>
      <c r="CK136" s="121" t="s">
        <v>105</v>
      </c>
      <c r="CL136" s="121" t="s">
        <v>105</v>
      </c>
      <c r="CM136" s="121" t="s">
        <v>105</v>
      </c>
      <c r="CN136" s="121" t="s">
        <v>105</v>
      </c>
      <c r="CO136" s="121" t="s">
        <v>105</v>
      </c>
      <c r="CP136" s="121" t="s">
        <v>105</v>
      </c>
      <c r="CQ136" s="121" t="s">
        <v>105</v>
      </c>
      <c r="CR136" s="121" t="s">
        <v>105</v>
      </c>
      <c r="CS136" s="121" t="s">
        <v>105</v>
      </c>
      <c r="CT136" s="121" t="s">
        <v>105</v>
      </c>
      <c r="CU136" s="121" t="s">
        <v>105</v>
      </c>
      <c r="CV136" s="121" t="s">
        <v>105</v>
      </c>
      <c r="CW136" s="121" t="s">
        <v>105</v>
      </c>
      <c r="CX136" s="121" t="s">
        <v>105</v>
      </c>
      <c r="CY136" s="121" t="s">
        <v>105</v>
      </c>
      <c r="CZ136" s="121" t="s">
        <v>105</v>
      </c>
      <c r="DA136" s="121" t="s">
        <v>105</v>
      </c>
      <c r="DB136" s="121" t="s">
        <v>105</v>
      </c>
      <c r="DC136" s="121" t="s">
        <v>105</v>
      </c>
      <c r="DD136" s="121" t="s">
        <v>105</v>
      </c>
      <c r="DE136" s="121" t="s">
        <v>105</v>
      </c>
      <c r="DF136" s="121" t="s">
        <v>105</v>
      </c>
      <c r="DG136" s="121" t="s">
        <v>105</v>
      </c>
      <c r="DH136" s="121" t="s">
        <v>105</v>
      </c>
      <c r="DI136" s="121" t="s">
        <v>105</v>
      </c>
      <c r="DJ136" s="121" t="s">
        <v>105</v>
      </c>
      <c r="DK136" s="121" t="s">
        <v>105</v>
      </c>
      <c r="DL136" s="121" t="s">
        <v>105</v>
      </c>
      <c r="DM136" s="121" t="s">
        <v>105</v>
      </c>
      <c r="DN136" s="121" t="s">
        <v>105</v>
      </c>
    </row>
    <row r="137" spans="1:118" ht="15" customHeight="1">
      <c r="A137" s="121" t="s">
        <v>106</v>
      </c>
      <c r="B137" s="169">
        <v>125608875</v>
      </c>
      <c r="C137" s="29" t="s">
        <v>105</v>
      </c>
      <c r="D137" s="29" t="s">
        <v>105</v>
      </c>
      <c r="E137" s="29" t="s">
        <v>73</v>
      </c>
      <c r="F137" s="3" t="s">
        <v>19</v>
      </c>
      <c r="G137" s="3" t="s">
        <v>30</v>
      </c>
      <c r="H137" s="55">
        <v>46147</v>
      </c>
      <c r="I137" s="55">
        <v>46149</v>
      </c>
      <c r="J137" s="55">
        <v>46177</v>
      </c>
      <c r="K137" s="41" t="s">
        <v>105</v>
      </c>
      <c r="L137" s="41" t="s">
        <v>9</v>
      </c>
      <c r="M137" s="41" t="s">
        <v>105</v>
      </c>
      <c r="N137" s="41">
        <v>105</v>
      </c>
      <c r="O137" s="121" t="s">
        <v>105</v>
      </c>
      <c r="P137" s="121" t="s">
        <v>105</v>
      </c>
      <c r="Q137" s="121" t="s">
        <v>105</v>
      </c>
      <c r="R137" s="121" t="s">
        <v>105</v>
      </c>
      <c r="S137" s="121" t="s">
        <v>105</v>
      </c>
      <c r="T137" s="121" t="s">
        <v>105</v>
      </c>
      <c r="U137" s="121" t="s">
        <v>105</v>
      </c>
      <c r="V137" s="121" t="s">
        <v>105</v>
      </c>
      <c r="W137" s="121" t="s">
        <v>105</v>
      </c>
      <c r="X137" s="121" t="s">
        <v>105</v>
      </c>
      <c r="Y137" s="121" t="s">
        <v>105</v>
      </c>
      <c r="Z137" s="121" t="s">
        <v>105</v>
      </c>
      <c r="AA137" s="121" t="s">
        <v>105</v>
      </c>
      <c r="AB137" s="121" t="s">
        <v>105</v>
      </c>
      <c r="AC137" s="121" t="s">
        <v>105</v>
      </c>
      <c r="AD137" s="121" t="s">
        <v>105</v>
      </c>
      <c r="AE137" s="121" t="s">
        <v>105</v>
      </c>
      <c r="AF137" s="121" t="s">
        <v>105</v>
      </c>
      <c r="AG137" s="121" t="s">
        <v>105</v>
      </c>
      <c r="AH137" s="121" t="s">
        <v>105</v>
      </c>
      <c r="AI137" s="121" t="s">
        <v>105</v>
      </c>
      <c r="AJ137" s="121" t="s">
        <v>105</v>
      </c>
      <c r="AK137" s="121" t="s">
        <v>105</v>
      </c>
      <c r="AL137" s="121" t="s">
        <v>105</v>
      </c>
      <c r="AM137" s="121" t="s">
        <v>105</v>
      </c>
      <c r="AN137" s="121" t="s">
        <v>105</v>
      </c>
      <c r="AO137" s="121" t="s">
        <v>105</v>
      </c>
      <c r="AP137" s="121" t="s">
        <v>105</v>
      </c>
      <c r="AQ137" s="121" t="s">
        <v>105</v>
      </c>
      <c r="AR137" s="121" t="s">
        <v>105</v>
      </c>
      <c r="AS137" s="121" t="s">
        <v>105</v>
      </c>
      <c r="AT137" s="121" t="s">
        <v>105</v>
      </c>
      <c r="AU137" s="121" t="s">
        <v>105</v>
      </c>
      <c r="AV137" s="121" t="s">
        <v>105</v>
      </c>
      <c r="AW137" s="121" t="s">
        <v>105</v>
      </c>
      <c r="AX137" s="121" t="s">
        <v>105</v>
      </c>
      <c r="AY137" s="121" t="s">
        <v>105</v>
      </c>
      <c r="AZ137" s="121" t="s">
        <v>105</v>
      </c>
      <c r="BA137" s="121" t="s">
        <v>105</v>
      </c>
      <c r="BB137" s="121" t="s">
        <v>105</v>
      </c>
      <c r="BC137" s="121" t="s">
        <v>105</v>
      </c>
      <c r="BD137" s="121" t="s">
        <v>105</v>
      </c>
      <c r="BE137" s="121" t="s">
        <v>105</v>
      </c>
      <c r="BF137" s="121" t="s">
        <v>105</v>
      </c>
      <c r="BG137" s="121" t="s">
        <v>105</v>
      </c>
      <c r="BH137" s="121" t="s">
        <v>105</v>
      </c>
      <c r="BI137" s="121" t="s">
        <v>105</v>
      </c>
      <c r="BJ137" s="121" t="s">
        <v>105</v>
      </c>
      <c r="BK137" s="121" t="s">
        <v>105</v>
      </c>
      <c r="BL137" s="121" t="s">
        <v>105</v>
      </c>
      <c r="BM137" s="121" t="s">
        <v>105</v>
      </c>
      <c r="BN137" s="121" t="s">
        <v>105</v>
      </c>
      <c r="BO137" s="121" t="s">
        <v>105</v>
      </c>
      <c r="BP137" s="121" t="s">
        <v>105</v>
      </c>
      <c r="BQ137" s="121" t="s">
        <v>105</v>
      </c>
      <c r="BR137" s="121" t="s">
        <v>105</v>
      </c>
      <c r="BS137" s="121" t="s">
        <v>105</v>
      </c>
      <c r="BT137" s="121" t="s">
        <v>105</v>
      </c>
      <c r="BU137" s="121" t="s">
        <v>105</v>
      </c>
      <c r="BV137" s="121" t="s">
        <v>105</v>
      </c>
      <c r="BW137" s="121" t="s">
        <v>105</v>
      </c>
      <c r="BX137" s="121" t="s">
        <v>105</v>
      </c>
      <c r="BY137" s="121" t="s">
        <v>105</v>
      </c>
      <c r="BZ137" s="121" t="s">
        <v>105</v>
      </c>
      <c r="CA137" s="121" t="s">
        <v>105</v>
      </c>
      <c r="CB137" s="121" t="s">
        <v>105</v>
      </c>
      <c r="CC137" s="121" t="s">
        <v>105</v>
      </c>
      <c r="CD137" s="121" t="s">
        <v>105</v>
      </c>
      <c r="CE137" s="121" t="s">
        <v>105</v>
      </c>
      <c r="CF137" s="121" t="s">
        <v>105</v>
      </c>
      <c r="CG137" s="121" t="s">
        <v>105</v>
      </c>
      <c r="CH137" s="121" t="s">
        <v>105</v>
      </c>
      <c r="CI137" s="121" t="s">
        <v>105</v>
      </c>
      <c r="CJ137" s="121" t="s">
        <v>105</v>
      </c>
      <c r="CK137" s="121" t="s">
        <v>105</v>
      </c>
      <c r="CL137" s="121" t="s">
        <v>105</v>
      </c>
      <c r="CM137" s="121" t="s">
        <v>105</v>
      </c>
      <c r="CN137" s="121" t="s">
        <v>105</v>
      </c>
      <c r="CO137" s="121" t="s">
        <v>105</v>
      </c>
      <c r="CP137" s="121" t="s">
        <v>105</v>
      </c>
      <c r="CQ137" s="121" t="s">
        <v>105</v>
      </c>
      <c r="CR137" s="121" t="s">
        <v>105</v>
      </c>
      <c r="CS137" s="121" t="s">
        <v>105</v>
      </c>
      <c r="CT137" s="121" t="s">
        <v>105</v>
      </c>
      <c r="CU137" s="121" t="s">
        <v>105</v>
      </c>
      <c r="CV137" s="121" t="s">
        <v>105</v>
      </c>
      <c r="CW137" s="121" t="s">
        <v>105</v>
      </c>
      <c r="CX137" s="121" t="s">
        <v>105</v>
      </c>
      <c r="CY137" s="121" t="s">
        <v>105</v>
      </c>
      <c r="CZ137" s="121" t="s">
        <v>105</v>
      </c>
      <c r="DA137" s="121" t="s">
        <v>105</v>
      </c>
      <c r="DB137" s="121" t="s">
        <v>105</v>
      </c>
      <c r="DC137" s="121" t="s">
        <v>105</v>
      </c>
      <c r="DD137" s="121" t="s">
        <v>105</v>
      </c>
      <c r="DE137" s="121" t="s">
        <v>105</v>
      </c>
      <c r="DF137" s="121" t="s">
        <v>105</v>
      </c>
      <c r="DG137" s="121" t="s">
        <v>105</v>
      </c>
      <c r="DH137" s="121" t="s">
        <v>105</v>
      </c>
      <c r="DI137" s="121" t="s">
        <v>105</v>
      </c>
      <c r="DJ137" s="121" t="s">
        <v>105</v>
      </c>
      <c r="DK137" s="121" t="s">
        <v>105</v>
      </c>
      <c r="DL137" s="121" t="s">
        <v>105</v>
      </c>
      <c r="DM137" s="121" t="s">
        <v>105</v>
      </c>
      <c r="DN137" s="121" t="s">
        <v>105</v>
      </c>
    </row>
    <row r="138" spans="1:118" ht="15" customHeight="1">
      <c r="A138" s="121" t="s">
        <v>107</v>
      </c>
      <c r="B138" s="169">
        <v>125608565</v>
      </c>
      <c r="C138" s="29" t="s">
        <v>105</v>
      </c>
      <c r="D138" s="29" t="s">
        <v>105</v>
      </c>
      <c r="E138" s="29" t="s">
        <v>73</v>
      </c>
      <c r="F138" s="3" t="s">
        <v>19</v>
      </c>
      <c r="G138" s="3" t="s">
        <v>30</v>
      </c>
      <c r="H138" s="55">
        <v>46147</v>
      </c>
      <c r="I138" s="55">
        <v>46149</v>
      </c>
      <c r="J138" s="55">
        <v>46177</v>
      </c>
      <c r="K138" s="41" t="s">
        <v>105</v>
      </c>
      <c r="L138" s="41" t="s">
        <v>9</v>
      </c>
      <c r="M138" s="41" t="s">
        <v>105</v>
      </c>
      <c r="N138" s="41">
        <v>560</v>
      </c>
      <c r="O138" s="121" t="s">
        <v>105</v>
      </c>
      <c r="P138" s="121" t="s">
        <v>105</v>
      </c>
      <c r="Q138" s="121" t="s">
        <v>105</v>
      </c>
      <c r="R138" s="121" t="s">
        <v>105</v>
      </c>
      <c r="S138" s="121" t="s">
        <v>105</v>
      </c>
      <c r="T138" s="121" t="s">
        <v>105</v>
      </c>
      <c r="U138" s="121" t="s">
        <v>105</v>
      </c>
      <c r="V138" s="121" t="s">
        <v>105</v>
      </c>
      <c r="W138" s="121" t="s">
        <v>105</v>
      </c>
      <c r="X138" s="121" t="s">
        <v>105</v>
      </c>
      <c r="Y138" s="121" t="s">
        <v>105</v>
      </c>
      <c r="Z138" s="121" t="s">
        <v>105</v>
      </c>
      <c r="AA138" s="121" t="s">
        <v>105</v>
      </c>
      <c r="AB138" s="121" t="s">
        <v>105</v>
      </c>
      <c r="AC138" s="121" t="s">
        <v>105</v>
      </c>
      <c r="AD138" s="121" t="s">
        <v>105</v>
      </c>
      <c r="AE138" s="121" t="s">
        <v>105</v>
      </c>
      <c r="AF138" s="121" t="s">
        <v>105</v>
      </c>
      <c r="AG138" s="121" t="s">
        <v>105</v>
      </c>
      <c r="AH138" s="121" t="s">
        <v>105</v>
      </c>
      <c r="AI138" s="121" t="s">
        <v>105</v>
      </c>
      <c r="AJ138" s="121" t="s">
        <v>105</v>
      </c>
      <c r="AK138" s="121" t="s">
        <v>105</v>
      </c>
      <c r="AL138" s="121" t="s">
        <v>105</v>
      </c>
      <c r="AM138" s="121" t="s">
        <v>105</v>
      </c>
      <c r="AN138" s="121" t="s">
        <v>105</v>
      </c>
      <c r="AO138" s="121" t="s">
        <v>105</v>
      </c>
      <c r="AP138" s="121" t="s">
        <v>105</v>
      </c>
      <c r="AQ138" s="121" t="s">
        <v>105</v>
      </c>
      <c r="AR138" s="121" t="s">
        <v>105</v>
      </c>
      <c r="AS138" s="121" t="s">
        <v>105</v>
      </c>
      <c r="AT138" s="121" t="s">
        <v>105</v>
      </c>
      <c r="AU138" s="121" t="s">
        <v>105</v>
      </c>
      <c r="AV138" s="121" t="s">
        <v>105</v>
      </c>
      <c r="AW138" s="121" t="s">
        <v>105</v>
      </c>
      <c r="AX138" s="121" t="s">
        <v>105</v>
      </c>
      <c r="AY138" s="121" t="s">
        <v>105</v>
      </c>
      <c r="AZ138" s="121" t="s">
        <v>105</v>
      </c>
      <c r="BA138" s="121" t="s">
        <v>105</v>
      </c>
      <c r="BB138" s="121" t="s">
        <v>105</v>
      </c>
      <c r="BC138" s="121" t="s">
        <v>105</v>
      </c>
      <c r="BD138" s="121" t="s">
        <v>105</v>
      </c>
      <c r="BE138" s="121" t="s">
        <v>105</v>
      </c>
      <c r="BF138" s="121" t="s">
        <v>105</v>
      </c>
      <c r="BG138" s="121" t="s">
        <v>105</v>
      </c>
      <c r="BH138" s="121" t="s">
        <v>105</v>
      </c>
      <c r="BI138" s="121" t="s">
        <v>105</v>
      </c>
      <c r="BJ138" s="121" t="s">
        <v>105</v>
      </c>
      <c r="BK138" s="121" t="s">
        <v>105</v>
      </c>
      <c r="BL138" s="121" t="s">
        <v>105</v>
      </c>
      <c r="BM138" s="121" t="s">
        <v>105</v>
      </c>
      <c r="BN138" s="121" t="s">
        <v>105</v>
      </c>
      <c r="BO138" s="121" t="s">
        <v>105</v>
      </c>
      <c r="BP138" s="121" t="s">
        <v>105</v>
      </c>
      <c r="BQ138" s="121" t="s">
        <v>105</v>
      </c>
      <c r="BR138" s="121" t="s">
        <v>105</v>
      </c>
      <c r="BS138" s="121" t="s">
        <v>105</v>
      </c>
      <c r="BT138" s="121" t="s">
        <v>105</v>
      </c>
      <c r="BU138" s="121" t="s">
        <v>105</v>
      </c>
      <c r="BV138" s="121" t="s">
        <v>105</v>
      </c>
      <c r="BW138" s="121" t="s">
        <v>105</v>
      </c>
      <c r="BX138" s="121" t="s">
        <v>105</v>
      </c>
      <c r="BY138" s="121" t="s">
        <v>105</v>
      </c>
      <c r="BZ138" s="121" t="s">
        <v>105</v>
      </c>
      <c r="CA138" s="121" t="s">
        <v>105</v>
      </c>
      <c r="CB138" s="121" t="s">
        <v>105</v>
      </c>
      <c r="CC138" s="121" t="s">
        <v>105</v>
      </c>
      <c r="CD138" s="121" t="s">
        <v>105</v>
      </c>
      <c r="CE138" s="121" t="s">
        <v>105</v>
      </c>
      <c r="CF138" s="121" t="s">
        <v>105</v>
      </c>
      <c r="CG138" s="121" t="s">
        <v>105</v>
      </c>
      <c r="CH138" s="121" t="s">
        <v>105</v>
      </c>
      <c r="CI138" s="121" t="s">
        <v>105</v>
      </c>
      <c r="CJ138" s="121" t="s">
        <v>105</v>
      </c>
      <c r="CK138" s="121" t="s">
        <v>105</v>
      </c>
      <c r="CL138" s="121" t="s">
        <v>105</v>
      </c>
      <c r="CM138" s="121" t="s">
        <v>105</v>
      </c>
      <c r="CN138" s="121" t="s">
        <v>105</v>
      </c>
      <c r="CO138" s="121" t="s">
        <v>105</v>
      </c>
      <c r="CP138" s="121" t="s">
        <v>105</v>
      </c>
      <c r="CQ138" s="121" t="s">
        <v>105</v>
      </c>
      <c r="CR138" s="121" t="s">
        <v>105</v>
      </c>
      <c r="CS138" s="121" t="s">
        <v>105</v>
      </c>
      <c r="CT138" s="121" t="s">
        <v>105</v>
      </c>
      <c r="CU138" s="121" t="s">
        <v>105</v>
      </c>
      <c r="CV138" s="121" t="s">
        <v>105</v>
      </c>
      <c r="CW138" s="121" t="s">
        <v>105</v>
      </c>
      <c r="CX138" s="121" t="s">
        <v>105</v>
      </c>
      <c r="CY138" s="121" t="s">
        <v>105</v>
      </c>
      <c r="CZ138" s="121" t="s">
        <v>105</v>
      </c>
      <c r="DA138" s="121" t="s">
        <v>105</v>
      </c>
      <c r="DB138" s="121" t="s">
        <v>105</v>
      </c>
      <c r="DC138" s="121" t="s">
        <v>105</v>
      </c>
      <c r="DD138" s="121" t="s">
        <v>105</v>
      </c>
      <c r="DE138" s="121" t="s">
        <v>105</v>
      </c>
      <c r="DF138" s="121" t="s">
        <v>105</v>
      </c>
      <c r="DG138" s="121" t="s">
        <v>105</v>
      </c>
      <c r="DH138" s="121" t="s">
        <v>105</v>
      </c>
      <c r="DI138" s="121" t="s">
        <v>105</v>
      </c>
      <c r="DJ138" s="121" t="s">
        <v>105</v>
      </c>
      <c r="DK138" s="121" t="s">
        <v>105</v>
      </c>
      <c r="DL138" s="121" t="s">
        <v>105</v>
      </c>
      <c r="DM138" s="121" t="s">
        <v>105</v>
      </c>
      <c r="DN138" s="121" t="s">
        <v>105</v>
      </c>
    </row>
    <row r="139" spans="1:118" ht="15" customHeight="1">
      <c r="A139" s="121" t="s">
        <v>107</v>
      </c>
      <c r="B139" s="169">
        <v>125608765</v>
      </c>
      <c r="C139" s="29" t="s">
        <v>105</v>
      </c>
      <c r="D139" s="29" t="s">
        <v>105</v>
      </c>
      <c r="E139" s="29" t="s">
        <v>73</v>
      </c>
      <c r="F139" s="3" t="s">
        <v>19</v>
      </c>
      <c r="G139" s="3" t="s">
        <v>30</v>
      </c>
      <c r="H139" s="55">
        <v>46147</v>
      </c>
      <c r="I139" s="55">
        <v>46149</v>
      </c>
      <c r="J139" s="55">
        <v>46177</v>
      </c>
      <c r="K139" s="41" t="s">
        <v>105</v>
      </c>
      <c r="L139" s="41" t="s">
        <v>9</v>
      </c>
      <c r="M139" s="41" t="s">
        <v>105</v>
      </c>
      <c r="N139" s="41">
        <v>80</v>
      </c>
      <c r="O139" s="121" t="s">
        <v>105</v>
      </c>
      <c r="P139" s="121" t="s">
        <v>105</v>
      </c>
      <c r="Q139" s="121" t="s">
        <v>105</v>
      </c>
      <c r="R139" s="121" t="s">
        <v>105</v>
      </c>
      <c r="S139" s="121" t="s">
        <v>105</v>
      </c>
      <c r="T139" s="121" t="s">
        <v>105</v>
      </c>
      <c r="U139" s="121" t="s">
        <v>105</v>
      </c>
      <c r="V139" s="121" t="s">
        <v>105</v>
      </c>
      <c r="W139" s="121" t="s">
        <v>105</v>
      </c>
      <c r="X139" s="121" t="s">
        <v>105</v>
      </c>
      <c r="Y139" s="121" t="s">
        <v>105</v>
      </c>
      <c r="Z139" s="121" t="s">
        <v>105</v>
      </c>
      <c r="AA139" s="121" t="s">
        <v>105</v>
      </c>
      <c r="AB139" s="121" t="s">
        <v>105</v>
      </c>
      <c r="AC139" s="121" t="s">
        <v>105</v>
      </c>
      <c r="AD139" s="121" t="s">
        <v>105</v>
      </c>
      <c r="AE139" s="121" t="s">
        <v>105</v>
      </c>
      <c r="AF139" s="121" t="s">
        <v>105</v>
      </c>
      <c r="AG139" s="121" t="s">
        <v>105</v>
      </c>
      <c r="AH139" s="121" t="s">
        <v>105</v>
      </c>
      <c r="AI139" s="121" t="s">
        <v>105</v>
      </c>
      <c r="AJ139" s="121" t="s">
        <v>105</v>
      </c>
      <c r="AK139" s="121" t="s">
        <v>105</v>
      </c>
      <c r="AL139" s="121" t="s">
        <v>105</v>
      </c>
      <c r="AM139" s="121" t="s">
        <v>105</v>
      </c>
      <c r="AN139" s="121" t="s">
        <v>105</v>
      </c>
      <c r="AO139" s="121" t="s">
        <v>105</v>
      </c>
      <c r="AP139" s="121" t="s">
        <v>105</v>
      </c>
      <c r="AQ139" s="121" t="s">
        <v>105</v>
      </c>
      <c r="AR139" s="121" t="s">
        <v>105</v>
      </c>
      <c r="AS139" s="121" t="s">
        <v>105</v>
      </c>
      <c r="AT139" s="121" t="s">
        <v>105</v>
      </c>
      <c r="AU139" s="121" t="s">
        <v>105</v>
      </c>
      <c r="AV139" s="121" t="s">
        <v>105</v>
      </c>
      <c r="AW139" s="121" t="s">
        <v>105</v>
      </c>
      <c r="AX139" s="121" t="s">
        <v>105</v>
      </c>
      <c r="AY139" s="121" t="s">
        <v>105</v>
      </c>
      <c r="AZ139" s="121" t="s">
        <v>105</v>
      </c>
      <c r="BA139" s="121" t="s">
        <v>105</v>
      </c>
      <c r="BB139" s="121" t="s">
        <v>105</v>
      </c>
      <c r="BC139" s="121" t="s">
        <v>105</v>
      </c>
      <c r="BD139" s="121" t="s">
        <v>105</v>
      </c>
      <c r="BE139" s="121" t="s">
        <v>105</v>
      </c>
      <c r="BF139" s="121" t="s">
        <v>105</v>
      </c>
      <c r="BG139" s="121" t="s">
        <v>105</v>
      </c>
      <c r="BH139" s="121" t="s">
        <v>105</v>
      </c>
      <c r="BI139" s="121" t="s">
        <v>105</v>
      </c>
      <c r="BJ139" s="121" t="s">
        <v>105</v>
      </c>
      <c r="BK139" s="121" t="s">
        <v>105</v>
      </c>
      <c r="BL139" s="121" t="s">
        <v>105</v>
      </c>
      <c r="BM139" s="121" t="s">
        <v>105</v>
      </c>
      <c r="BN139" s="121" t="s">
        <v>105</v>
      </c>
      <c r="BO139" s="121" t="s">
        <v>105</v>
      </c>
      <c r="BP139" s="121" t="s">
        <v>105</v>
      </c>
      <c r="BQ139" s="121" t="s">
        <v>105</v>
      </c>
      <c r="BR139" s="121" t="s">
        <v>105</v>
      </c>
      <c r="BS139" s="121" t="s">
        <v>105</v>
      </c>
      <c r="BT139" s="121" t="s">
        <v>105</v>
      </c>
      <c r="BU139" s="121" t="s">
        <v>105</v>
      </c>
      <c r="BV139" s="121" t="s">
        <v>105</v>
      </c>
      <c r="BW139" s="121" t="s">
        <v>105</v>
      </c>
      <c r="BX139" s="121" t="s">
        <v>105</v>
      </c>
      <c r="BY139" s="121" t="s">
        <v>105</v>
      </c>
      <c r="BZ139" s="121" t="s">
        <v>105</v>
      </c>
      <c r="CA139" s="121" t="s">
        <v>105</v>
      </c>
      <c r="CB139" s="121" t="s">
        <v>105</v>
      </c>
      <c r="CC139" s="121" t="s">
        <v>105</v>
      </c>
      <c r="CD139" s="121" t="s">
        <v>105</v>
      </c>
      <c r="CE139" s="121" t="s">
        <v>105</v>
      </c>
      <c r="CF139" s="121" t="s">
        <v>105</v>
      </c>
      <c r="CG139" s="121" t="s">
        <v>105</v>
      </c>
      <c r="CH139" s="121" t="s">
        <v>105</v>
      </c>
      <c r="CI139" s="121" t="s">
        <v>105</v>
      </c>
      <c r="CJ139" s="121" t="s">
        <v>105</v>
      </c>
      <c r="CK139" s="121" t="s">
        <v>105</v>
      </c>
      <c r="CL139" s="121" t="s">
        <v>105</v>
      </c>
      <c r="CM139" s="121" t="s">
        <v>105</v>
      </c>
      <c r="CN139" s="121" t="s">
        <v>105</v>
      </c>
      <c r="CO139" s="121" t="s">
        <v>105</v>
      </c>
      <c r="CP139" s="121" t="s">
        <v>105</v>
      </c>
      <c r="CQ139" s="121" t="s">
        <v>105</v>
      </c>
      <c r="CR139" s="121" t="s">
        <v>105</v>
      </c>
      <c r="CS139" s="121" t="s">
        <v>105</v>
      </c>
      <c r="CT139" s="121" t="s">
        <v>105</v>
      </c>
      <c r="CU139" s="121" t="s">
        <v>105</v>
      </c>
      <c r="CV139" s="121" t="s">
        <v>105</v>
      </c>
      <c r="CW139" s="121" t="s">
        <v>105</v>
      </c>
      <c r="CX139" s="121" t="s">
        <v>105</v>
      </c>
      <c r="CY139" s="121" t="s">
        <v>105</v>
      </c>
      <c r="CZ139" s="121" t="s">
        <v>105</v>
      </c>
      <c r="DA139" s="121" t="s">
        <v>105</v>
      </c>
      <c r="DB139" s="121" t="s">
        <v>105</v>
      </c>
      <c r="DC139" s="121" t="s">
        <v>105</v>
      </c>
      <c r="DD139" s="121" t="s">
        <v>105</v>
      </c>
      <c r="DE139" s="121" t="s">
        <v>105</v>
      </c>
      <c r="DF139" s="121" t="s">
        <v>105</v>
      </c>
      <c r="DG139" s="121" t="s">
        <v>105</v>
      </c>
      <c r="DH139" s="121" t="s">
        <v>105</v>
      </c>
      <c r="DI139" s="121" t="s">
        <v>105</v>
      </c>
      <c r="DJ139" s="121" t="s">
        <v>105</v>
      </c>
      <c r="DK139" s="121" t="s">
        <v>105</v>
      </c>
      <c r="DL139" s="121" t="s">
        <v>105</v>
      </c>
      <c r="DM139" s="121" t="s">
        <v>105</v>
      </c>
      <c r="DN139" s="121" t="s">
        <v>105</v>
      </c>
    </row>
    <row r="140" spans="1:118" ht="15" customHeight="1">
      <c r="A140" s="121" t="s">
        <v>107</v>
      </c>
      <c r="B140" s="169">
        <v>125608701</v>
      </c>
      <c r="C140" s="29" t="s">
        <v>105</v>
      </c>
      <c r="D140" s="29" t="s">
        <v>105</v>
      </c>
      <c r="E140" s="29" t="s">
        <v>73</v>
      </c>
      <c r="F140" s="3" t="s">
        <v>19</v>
      </c>
      <c r="G140" s="3" t="s">
        <v>30</v>
      </c>
      <c r="H140" s="55">
        <v>46147</v>
      </c>
      <c r="I140" s="55">
        <v>46149</v>
      </c>
      <c r="J140" s="55">
        <v>46177</v>
      </c>
      <c r="K140" s="41" t="s">
        <v>105</v>
      </c>
      <c r="L140" s="41" t="s">
        <v>9</v>
      </c>
      <c r="M140" s="41" t="s">
        <v>105</v>
      </c>
      <c r="N140" s="41">
        <v>260</v>
      </c>
      <c r="O140" s="121" t="s">
        <v>105</v>
      </c>
      <c r="P140" s="121" t="s">
        <v>105</v>
      </c>
      <c r="Q140" s="121" t="s">
        <v>105</v>
      </c>
      <c r="R140" s="121" t="s">
        <v>105</v>
      </c>
      <c r="S140" s="121" t="s">
        <v>105</v>
      </c>
      <c r="T140" s="121" t="s">
        <v>105</v>
      </c>
      <c r="U140" s="121" t="s">
        <v>105</v>
      </c>
      <c r="V140" s="121" t="s">
        <v>105</v>
      </c>
      <c r="W140" s="121" t="s">
        <v>105</v>
      </c>
      <c r="X140" s="121" t="s">
        <v>105</v>
      </c>
      <c r="Y140" s="121" t="s">
        <v>105</v>
      </c>
      <c r="Z140" s="121" t="s">
        <v>105</v>
      </c>
      <c r="AA140" s="121" t="s">
        <v>105</v>
      </c>
      <c r="AB140" s="121" t="s">
        <v>105</v>
      </c>
      <c r="AC140" s="121" t="s">
        <v>105</v>
      </c>
      <c r="AD140" s="121" t="s">
        <v>105</v>
      </c>
      <c r="AE140" s="121" t="s">
        <v>105</v>
      </c>
      <c r="AF140" s="121" t="s">
        <v>105</v>
      </c>
      <c r="AG140" s="121" t="s">
        <v>105</v>
      </c>
      <c r="AH140" s="121" t="s">
        <v>105</v>
      </c>
      <c r="AI140" s="121" t="s">
        <v>105</v>
      </c>
      <c r="AJ140" s="121" t="s">
        <v>105</v>
      </c>
      <c r="AK140" s="121" t="s">
        <v>105</v>
      </c>
      <c r="AL140" s="121" t="s">
        <v>105</v>
      </c>
      <c r="AM140" s="121" t="s">
        <v>105</v>
      </c>
      <c r="AN140" s="121" t="s">
        <v>105</v>
      </c>
      <c r="AO140" s="121" t="s">
        <v>105</v>
      </c>
      <c r="AP140" s="121" t="s">
        <v>105</v>
      </c>
      <c r="AQ140" s="121" t="s">
        <v>105</v>
      </c>
      <c r="AR140" s="121" t="s">
        <v>105</v>
      </c>
      <c r="AS140" s="121" t="s">
        <v>105</v>
      </c>
      <c r="AT140" s="121" t="s">
        <v>105</v>
      </c>
      <c r="AU140" s="121" t="s">
        <v>105</v>
      </c>
      <c r="AV140" s="121" t="s">
        <v>105</v>
      </c>
      <c r="AW140" s="121" t="s">
        <v>105</v>
      </c>
      <c r="AX140" s="121" t="s">
        <v>105</v>
      </c>
      <c r="AY140" s="121" t="s">
        <v>105</v>
      </c>
      <c r="AZ140" s="121" t="s">
        <v>105</v>
      </c>
      <c r="BA140" s="121" t="s">
        <v>105</v>
      </c>
      <c r="BB140" s="121" t="s">
        <v>105</v>
      </c>
      <c r="BC140" s="121" t="s">
        <v>105</v>
      </c>
      <c r="BD140" s="121" t="s">
        <v>105</v>
      </c>
      <c r="BE140" s="121" t="s">
        <v>105</v>
      </c>
      <c r="BF140" s="121" t="s">
        <v>105</v>
      </c>
      <c r="BG140" s="121" t="s">
        <v>105</v>
      </c>
      <c r="BH140" s="121" t="s">
        <v>105</v>
      </c>
      <c r="BI140" s="121" t="s">
        <v>105</v>
      </c>
      <c r="BJ140" s="121" t="s">
        <v>105</v>
      </c>
      <c r="BK140" s="121" t="s">
        <v>105</v>
      </c>
      <c r="BL140" s="121" t="s">
        <v>105</v>
      </c>
      <c r="BM140" s="121" t="s">
        <v>105</v>
      </c>
      <c r="BN140" s="121" t="s">
        <v>105</v>
      </c>
      <c r="BO140" s="121" t="s">
        <v>105</v>
      </c>
      <c r="BP140" s="121" t="s">
        <v>105</v>
      </c>
      <c r="BQ140" s="121" t="s">
        <v>105</v>
      </c>
      <c r="BR140" s="121" t="s">
        <v>105</v>
      </c>
      <c r="BS140" s="121" t="s">
        <v>105</v>
      </c>
      <c r="BT140" s="121" t="s">
        <v>105</v>
      </c>
      <c r="BU140" s="121" t="s">
        <v>105</v>
      </c>
      <c r="BV140" s="121" t="s">
        <v>105</v>
      </c>
      <c r="BW140" s="121" t="s">
        <v>105</v>
      </c>
      <c r="BX140" s="121" t="s">
        <v>105</v>
      </c>
      <c r="BY140" s="121" t="s">
        <v>105</v>
      </c>
      <c r="BZ140" s="121" t="s">
        <v>105</v>
      </c>
      <c r="CA140" s="121" t="s">
        <v>105</v>
      </c>
      <c r="CB140" s="121" t="s">
        <v>105</v>
      </c>
      <c r="CC140" s="121" t="s">
        <v>105</v>
      </c>
      <c r="CD140" s="121" t="s">
        <v>105</v>
      </c>
      <c r="CE140" s="121" t="s">
        <v>105</v>
      </c>
      <c r="CF140" s="121" t="s">
        <v>105</v>
      </c>
      <c r="CG140" s="121" t="s">
        <v>105</v>
      </c>
      <c r="CH140" s="121" t="s">
        <v>105</v>
      </c>
      <c r="CI140" s="121" t="s">
        <v>105</v>
      </c>
      <c r="CJ140" s="121" t="s">
        <v>105</v>
      </c>
      <c r="CK140" s="121" t="s">
        <v>105</v>
      </c>
      <c r="CL140" s="121" t="s">
        <v>105</v>
      </c>
      <c r="CM140" s="121" t="s">
        <v>105</v>
      </c>
      <c r="CN140" s="121" t="s">
        <v>105</v>
      </c>
      <c r="CO140" s="121" t="s">
        <v>105</v>
      </c>
      <c r="CP140" s="121" t="s">
        <v>105</v>
      </c>
      <c r="CQ140" s="121" t="s">
        <v>105</v>
      </c>
      <c r="CR140" s="121" t="s">
        <v>105</v>
      </c>
      <c r="CS140" s="121" t="s">
        <v>105</v>
      </c>
      <c r="CT140" s="121" t="s">
        <v>105</v>
      </c>
      <c r="CU140" s="121" t="s">
        <v>105</v>
      </c>
      <c r="CV140" s="121" t="s">
        <v>105</v>
      </c>
      <c r="CW140" s="121" t="s">
        <v>105</v>
      </c>
      <c r="CX140" s="121" t="s">
        <v>105</v>
      </c>
      <c r="CY140" s="121" t="s">
        <v>105</v>
      </c>
      <c r="CZ140" s="121" t="s">
        <v>105</v>
      </c>
      <c r="DA140" s="121" t="s">
        <v>105</v>
      </c>
      <c r="DB140" s="121" t="s">
        <v>105</v>
      </c>
      <c r="DC140" s="121" t="s">
        <v>105</v>
      </c>
      <c r="DD140" s="121" t="s">
        <v>105</v>
      </c>
      <c r="DE140" s="121" t="s">
        <v>105</v>
      </c>
      <c r="DF140" s="121" t="s">
        <v>105</v>
      </c>
      <c r="DG140" s="121" t="s">
        <v>105</v>
      </c>
      <c r="DH140" s="121" t="s">
        <v>105</v>
      </c>
      <c r="DI140" s="121" t="s">
        <v>105</v>
      </c>
      <c r="DJ140" s="121" t="s">
        <v>105</v>
      </c>
      <c r="DK140" s="121" t="s">
        <v>105</v>
      </c>
      <c r="DL140" s="121" t="s">
        <v>105</v>
      </c>
      <c r="DM140" s="121" t="s">
        <v>105</v>
      </c>
      <c r="DN140" s="121" t="s">
        <v>105</v>
      </c>
    </row>
    <row r="141" spans="1:118" ht="15" customHeight="1">
      <c r="A141" s="173" t="s">
        <v>108</v>
      </c>
      <c r="B141" s="169">
        <v>127606368</v>
      </c>
      <c r="E141" s="29" t="s">
        <v>109</v>
      </c>
      <c r="F141" s="3" t="s">
        <v>79</v>
      </c>
      <c r="G141" s="3" t="s">
        <v>110</v>
      </c>
      <c r="H141" s="55">
        <v>46149</v>
      </c>
      <c r="I141" s="55">
        <v>46153</v>
      </c>
      <c r="J141" s="55">
        <v>46181</v>
      </c>
      <c r="L141" s="3" t="s">
        <v>9</v>
      </c>
    </row>
    <row r="142" spans="1:118" ht="15" customHeight="1">
      <c r="A142" s="173" t="s">
        <v>108</v>
      </c>
      <c r="B142" s="169">
        <v>127606356</v>
      </c>
      <c r="E142" s="29" t="s">
        <v>109</v>
      </c>
      <c r="F142" s="3" t="s">
        <v>79</v>
      </c>
      <c r="G142" s="3" t="s">
        <v>110</v>
      </c>
      <c r="H142" s="55">
        <v>46149</v>
      </c>
      <c r="I142" s="55">
        <v>46153</v>
      </c>
      <c r="J142" s="55">
        <v>46181</v>
      </c>
      <c r="L142" s="3" t="s">
        <v>9</v>
      </c>
    </row>
    <row r="143" spans="1:118" ht="15" customHeight="1">
      <c r="A143" s="173" t="s">
        <v>108</v>
      </c>
      <c r="B143" s="169">
        <v>127606321</v>
      </c>
      <c r="E143" s="29" t="s">
        <v>109</v>
      </c>
      <c r="F143" s="3" t="s">
        <v>79</v>
      </c>
      <c r="G143" s="3" t="s">
        <v>110</v>
      </c>
      <c r="H143" s="55">
        <v>46149</v>
      </c>
      <c r="I143" s="55">
        <v>46153</v>
      </c>
      <c r="J143" s="55">
        <v>46181</v>
      </c>
      <c r="L143" s="3" t="s">
        <v>9</v>
      </c>
    </row>
    <row r="144" spans="1:118" ht="15" customHeight="1">
      <c r="A144" s="173" t="s">
        <v>108</v>
      </c>
      <c r="B144" s="169">
        <v>127606213</v>
      </c>
      <c r="E144" s="29" t="s">
        <v>109</v>
      </c>
      <c r="F144" s="3" t="s">
        <v>79</v>
      </c>
      <c r="G144" s="3" t="s">
        <v>110</v>
      </c>
      <c r="H144" s="55">
        <v>46149</v>
      </c>
      <c r="I144" s="55">
        <v>46153</v>
      </c>
      <c r="J144" s="55">
        <v>46181</v>
      </c>
      <c r="L144" s="3" t="s">
        <v>9</v>
      </c>
    </row>
    <row r="145" spans="1:12" ht="15" customHeight="1">
      <c r="A145" s="173" t="s">
        <v>108</v>
      </c>
      <c r="B145" s="169">
        <v>127606291</v>
      </c>
      <c r="E145" s="29" t="s">
        <v>109</v>
      </c>
      <c r="F145" s="3" t="s">
        <v>79</v>
      </c>
      <c r="G145" s="3" t="s">
        <v>110</v>
      </c>
      <c r="H145" s="55">
        <v>46149</v>
      </c>
      <c r="I145" s="55">
        <v>46153</v>
      </c>
      <c r="J145" s="55">
        <v>46181</v>
      </c>
      <c r="L145" s="3" t="s">
        <v>9</v>
      </c>
    </row>
    <row r="146" spans="1:12" ht="15" customHeight="1">
      <c r="A146" s="173" t="s">
        <v>108</v>
      </c>
      <c r="B146" s="169">
        <v>127606103</v>
      </c>
      <c r="E146" s="29" t="s">
        <v>109</v>
      </c>
      <c r="F146" s="3" t="s">
        <v>79</v>
      </c>
      <c r="G146" s="3" t="s">
        <v>110</v>
      </c>
      <c r="H146" s="55">
        <v>46149</v>
      </c>
      <c r="I146" s="55">
        <v>46153</v>
      </c>
      <c r="J146" s="55">
        <v>46181</v>
      </c>
      <c r="L146" s="3" t="s">
        <v>9</v>
      </c>
    </row>
    <row r="147" spans="1:12" ht="15" customHeight="1">
      <c r="A147" s="173" t="s">
        <v>108</v>
      </c>
      <c r="B147" s="169">
        <v>127606237</v>
      </c>
      <c r="E147" s="29" t="s">
        <v>109</v>
      </c>
      <c r="F147" s="3" t="s">
        <v>79</v>
      </c>
      <c r="G147" s="3" t="s">
        <v>110</v>
      </c>
      <c r="H147" s="55">
        <v>46149</v>
      </c>
      <c r="I147" s="55">
        <v>46153</v>
      </c>
      <c r="J147" s="55">
        <v>46181</v>
      </c>
      <c r="L147" s="3" t="s">
        <v>9</v>
      </c>
    </row>
    <row r="148" spans="1:12" ht="15" customHeight="1">
      <c r="A148" s="173" t="s">
        <v>108</v>
      </c>
      <c r="B148" s="169">
        <v>127606183</v>
      </c>
      <c r="E148" s="29" t="s">
        <v>109</v>
      </c>
      <c r="F148" s="3" t="s">
        <v>79</v>
      </c>
      <c r="G148" s="3" t="s">
        <v>110</v>
      </c>
      <c r="H148" s="55">
        <v>46149</v>
      </c>
      <c r="I148" s="55">
        <v>46153</v>
      </c>
      <c r="J148" s="55">
        <v>46181</v>
      </c>
      <c r="L148" s="3" t="s">
        <v>9</v>
      </c>
    </row>
    <row r="149" spans="1:12" ht="15" customHeight="1">
      <c r="A149" s="173" t="s">
        <v>108</v>
      </c>
      <c r="B149" s="169">
        <v>127606155</v>
      </c>
      <c r="E149" s="29" t="s">
        <v>109</v>
      </c>
      <c r="F149" s="3" t="s">
        <v>79</v>
      </c>
      <c r="G149" s="3" t="s">
        <v>110</v>
      </c>
      <c r="H149" s="55">
        <v>46149</v>
      </c>
      <c r="I149" s="55">
        <v>46153</v>
      </c>
      <c r="J149" s="55">
        <v>46181</v>
      </c>
      <c r="L149" s="3" t="s">
        <v>9</v>
      </c>
    </row>
    <row r="150" spans="1:12" ht="15" customHeight="1">
      <c r="A150" s="173" t="s">
        <v>108</v>
      </c>
      <c r="B150" s="169">
        <v>127606136</v>
      </c>
      <c r="E150" s="29" t="s">
        <v>109</v>
      </c>
      <c r="F150" s="3" t="s">
        <v>79</v>
      </c>
      <c r="G150" s="3" t="s">
        <v>110</v>
      </c>
      <c r="H150" s="55">
        <v>46149</v>
      </c>
      <c r="I150" s="55">
        <v>46153</v>
      </c>
      <c r="J150" s="55">
        <v>46181</v>
      </c>
      <c r="L150" s="3" t="s">
        <v>9</v>
      </c>
    </row>
    <row r="151" spans="1:12" ht="15" customHeight="1">
      <c r="A151" s="173" t="s">
        <v>108</v>
      </c>
      <c r="B151" s="169">
        <v>127606076</v>
      </c>
      <c r="E151" s="29" t="s">
        <v>109</v>
      </c>
      <c r="F151" s="3" t="s">
        <v>79</v>
      </c>
      <c r="G151" s="3" t="s">
        <v>110</v>
      </c>
      <c r="H151" s="55">
        <v>46149</v>
      </c>
      <c r="I151" s="55">
        <v>46153</v>
      </c>
      <c r="J151" s="55">
        <v>46181</v>
      </c>
      <c r="L151" s="3" t="s">
        <v>9</v>
      </c>
    </row>
    <row r="152" spans="1:12" ht="15" customHeight="1">
      <c r="A152" s="173" t="s">
        <v>108</v>
      </c>
      <c r="B152" s="169">
        <v>127606028</v>
      </c>
      <c r="E152" s="29" t="s">
        <v>109</v>
      </c>
      <c r="F152" s="3" t="s">
        <v>79</v>
      </c>
      <c r="G152" s="3" t="s">
        <v>110</v>
      </c>
      <c r="H152" s="55">
        <v>46149</v>
      </c>
      <c r="I152" s="55">
        <v>46153</v>
      </c>
      <c r="J152" s="55">
        <v>46181</v>
      </c>
      <c r="L152" s="3" t="s">
        <v>9</v>
      </c>
    </row>
    <row r="153" spans="1:12" ht="15" customHeight="1">
      <c r="A153" s="173" t="s">
        <v>108</v>
      </c>
      <c r="B153" s="169">
        <v>127606006</v>
      </c>
      <c r="E153" s="29" t="s">
        <v>109</v>
      </c>
      <c r="F153" s="3" t="s">
        <v>79</v>
      </c>
      <c r="G153" s="3" t="s">
        <v>110</v>
      </c>
      <c r="H153" s="55">
        <v>46149</v>
      </c>
      <c r="I153" s="55">
        <v>46153</v>
      </c>
      <c r="J153" s="55">
        <v>46181</v>
      </c>
      <c r="L153" s="3" t="s">
        <v>9</v>
      </c>
    </row>
    <row r="154" spans="1:12" ht="15" customHeight="1">
      <c r="A154" s="173" t="s">
        <v>108</v>
      </c>
      <c r="B154" s="169">
        <v>127605976</v>
      </c>
      <c r="E154" s="29" t="s">
        <v>109</v>
      </c>
      <c r="F154" s="3" t="s">
        <v>79</v>
      </c>
      <c r="G154" s="3" t="s">
        <v>110</v>
      </c>
      <c r="H154" s="55">
        <v>46149</v>
      </c>
      <c r="I154" s="55">
        <v>46153</v>
      </c>
      <c r="J154" s="55">
        <v>46181</v>
      </c>
      <c r="L154" s="3" t="s">
        <v>9</v>
      </c>
    </row>
    <row r="155" spans="1:12" ht="15" customHeight="1">
      <c r="A155" s="173" t="s">
        <v>111</v>
      </c>
      <c r="B155" s="169">
        <v>122600393</v>
      </c>
      <c r="E155" s="29" t="s">
        <v>109</v>
      </c>
      <c r="F155" s="3" t="s">
        <v>16</v>
      </c>
      <c r="G155" s="3" t="s">
        <v>110</v>
      </c>
      <c r="H155" s="55">
        <v>46144</v>
      </c>
      <c r="I155" s="55">
        <v>46147</v>
      </c>
      <c r="J155" s="55">
        <v>46174</v>
      </c>
      <c r="L155" s="3" t="s">
        <v>9</v>
      </c>
    </row>
    <row r="156" spans="1:12" ht="15" customHeight="1">
      <c r="A156" s="173" t="s">
        <v>111</v>
      </c>
      <c r="B156" s="169">
        <v>122600399</v>
      </c>
      <c r="E156" s="29" t="s">
        <v>109</v>
      </c>
      <c r="F156" s="3" t="s">
        <v>16</v>
      </c>
      <c r="G156" s="3" t="s">
        <v>110</v>
      </c>
      <c r="H156" s="55">
        <v>46144</v>
      </c>
      <c r="I156" s="55">
        <v>46147</v>
      </c>
      <c r="J156" s="55">
        <v>46174</v>
      </c>
      <c r="L156" s="3" t="s">
        <v>9</v>
      </c>
    </row>
    <row r="157" spans="1:12" ht="15" customHeight="1">
      <c r="A157" s="173" t="s">
        <v>111</v>
      </c>
      <c r="B157" s="169">
        <v>122600415</v>
      </c>
      <c r="E157" s="29" t="s">
        <v>109</v>
      </c>
      <c r="F157" s="3" t="s">
        <v>16</v>
      </c>
      <c r="G157" s="3" t="s">
        <v>110</v>
      </c>
      <c r="H157" s="55">
        <v>46144</v>
      </c>
      <c r="I157" s="55">
        <v>46147</v>
      </c>
      <c r="J157" s="55">
        <v>46174</v>
      </c>
      <c r="L157" s="3" t="s">
        <v>9</v>
      </c>
    </row>
    <row r="158" spans="1:12" ht="15" customHeight="1">
      <c r="A158" s="173" t="s">
        <v>111</v>
      </c>
      <c r="B158" s="169">
        <v>122600429</v>
      </c>
      <c r="E158" s="29" t="s">
        <v>109</v>
      </c>
      <c r="F158" s="3" t="s">
        <v>16</v>
      </c>
      <c r="G158" s="3" t="s">
        <v>110</v>
      </c>
      <c r="H158" s="55">
        <v>46144</v>
      </c>
      <c r="I158" s="55">
        <v>46147</v>
      </c>
      <c r="J158" s="55">
        <v>46174</v>
      </c>
      <c r="L158" s="3" t="s">
        <v>9</v>
      </c>
    </row>
    <row r="159" spans="1:12" ht="15" customHeight="1">
      <c r="A159" s="173" t="s">
        <v>111</v>
      </c>
      <c r="B159" s="169">
        <v>122600433</v>
      </c>
      <c r="E159" s="29" t="s">
        <v>109</v>
      </c>
      <c r="F159" s="3" t="s">
        <v>16</v>
      </c>
      <c r="G159" s="3" t="s">
        <v>110</v>
      </c>
      <c r="H159" s="55">
        <v>46144</v>
      </c>
      <c r="I159" s="55">
        <v>46147</v>
      </c>
      <c r="J159" s="55">
        <v>46174</v>
      </c>
      <c r="L159" s="3" t="s">
        <v>9</v>
      </c>
    </row>
    <row r="160" spans="1:12" ht="15" customHeight="1">
      <c r="A160" s="173" t="s">
        <v>112</v>
      </c>
      <c r="B160" s="169">
        <v>122600510</v>
      </c>
      <c r="E160" s="29" t="s">
        <v>109</v>
      </c>
      <c r="F160" s="3" t="s">
        <v>16</v>
      </c>
      <c r="G160" s="3" t="s">
        <v>110</v>
      </c>
      <c r="H160" s="55">
        <v>46144</v>
      </c>
      <c r="I160" s="55">
        <v>46147</v>
      </c>
      <c r="J160" s="55">
        <v>46174</v>
      </c>
      <c r="L160" s="3" t="s">
        <v>9</v>
      </c>
    </row>
    <row r="161" spans="1:12" ht="15" customHeight="1">
      <c r="A161" s="173" t="s">
        <v>112</v>
      </c>
      <c r="B161" s="169">
        <v>122600512</v>
      </c>
      <c r="E161" s="29" t="s">
        <v>109</v>
      </c>
      <c r="F161" s="3" t="s">
        <v>16</v>
      </c>
      <c r="G161" s="3" t="s">
        <v>110</v>
      </c>
      <c r="H161" s="55">
        <v>46144</v>
      </c>
      <c r="I161" s="55">
        <v>46147</v>
      </c>
      <c r="J161" s="55">
        <v>46174</v>
      </c>
      <c r="L161" s="3" t="s">
        <v>9</v>
      </c>
    </row>
    <row r="162" spans="1:12" ht="15" customHeight="1">
      <c r="A162" s="173" t="s">
        <v>112</v>
      </c>
      <c r="B162" s="169">
        <v>122600514</v>
      </c>
      <c r="E162" s="29" t="s">
        <v>109</v>
      </c>
      <c r="F162" s="3" t="s">
        <v>16</v>
      </c>
      <c r="G162" s="3" t="s">
        <v>110</v>
      </c>
      <c r="H162" s="55">
        <v>46144</v>
      </c>
      <c r="I162" s="55">
        <v>46147</v>
      </c>
      <c r="J162" s="55">
        <v>46174</v>
      </c>
      <c r="L162" s="3" t="s">
        <v>9</v>
      </c>
    </row>
    <row r="163" spans="1:12" ht="15" customHeight="1">
      <c r="A163" s="173" t="s">
        <v>112</v>
      </c>
      <c r="B163" s="169">
        <v>122600515</v>
      </c>
      <c r="E163" s="29" t="s">
        <v>109</v>
      </c>
      <c r="F163" s="3" t="s">
        <v>16</v>
      </c>
      <c r="G163" s="3" t="s">
        <v>110</v>
      </c>
      <c r="H163" s="55">
        <v>46144</v>
      </c>
      <c r="I163" s="55">
        <v>46147</v>
      </c>
      <c r="J163" s="55">
        <v>46174</v>
      </c>
      <c r="L163" s="3" t="s">
        <v>9</v>
      </c>
    </row>
    <row r="164" spans="1:12" ht="15" customHeight="1">
      <c r="A164" s="173" t="s">
        <v>112</v>
      </c>
      <c r="B164" s="169">
        <v>122600518</v>
      </c>
      <c r="E164" s="29" t="s">
        <v>109</v>
      </c>
      <c r="F164" s="3" t="s">
        <v>16</v>
      </c>
      <c r="G164" s="3" t="s">
        <v>110</v>
      </c>
      <c r="H164" s="55">
        <v>46144</v>
      </c>
      <c r="I164" s="55">
        <v>46147</v>
      </c>
      <c r="J164" s="55">
        <v>46174</v>
      </c>
      <c r="L164" s="3" t="s">
        <v>9</v>
      </c>
    </row>
    <row r="165" spans="1:12" ht="15" customHeight="1">
      <c r="A165" s="173" t="s">
        <v>112</v>
      </c>
      <c r="B165" s="169">
        <v>122600529</v>
      </c>
      <c r="E165" s="29" t="s">
        <v>109</v>
      </c>
      <c r="F165" s="3" t="s">
        <v>16</v>
      </c>
      <c r="G165" s="3" t="s">
        <v>110</v>
      </c>
      <c r="H165" s="55">
        <v>46144</v>
      </c>
      <c r="I165" s="55">
        <v>46147</v>
      </c>
      <c r="J165" s="55">
        <v>46174</v>
      </c>
      <c r="L165" s="3" t="s">
        <v>9</v>
      </c>
    </row>
    <row r="166" spans="1:12" ht="15" customHeight="1">
      <c r="A166" s="173" t="s">
        <v>112</v>
      </c>
      <c r="B166" s="169">
        <v>122600530</v>
      </c>
      <c r="E166" s="29" t="s">
        <v>109</v>
      </c>
      <c r="F166" s="3" t="s">
        <v>16</v>
      </c>
      <c r="G166" s="3" t="s">
        <v>110</v>
      </c>
      <c r="H166" s="55">
        <v>46144</v>
      </c>
      <c r="I166" s="55">
        <v>46147</v>
      </c>
      <c r="J166" s="55">
        <v>46174</v>
      </c>
      <c r="L166" s="3" t="s">
        <v>9</v>
      </c>
    </row>
    <row r="167" spans="1:12" ht="15" customHeight="1">
      <c r="A167" s="173" t="s">
        <v>113</v>
      </c>
      <c r="B167" s="169">
        <v>122600536</v>
      </c>
      <c r="E167" s="29" t="s">
        <v>109</v>
      </c>
      <c r="F167" s="3" t="s">
        <v>16</v>
      </c>
      <c r="G167" s="3" t="s">
        <v>110</v>
      </c>
      <c r="H167" s="55">
        <v>46144</v>
      </c>
      <c r="I167" s="55">
        <v>46147</v>
      </c>
      <c r="J167" s="55">
        <v>46174</v>
      </c>
      <c r="L167" s="3" t="s">
        <v>9</v>
      </c>
    </row>
    <row r="168" spans="1:12" ht="15" customHeight="1">
      <c r="A168" s="173" t="s">
        <v>113</v>
      </c>
      <c r="B168" s="169">
        <v>122600538</v>
      </c>
      <c r="E168" s="29" t="s">
        <v>109</v>
      </c>
      <c r="F168" s="3" t="s">
        <v>16</v>
      </c>
      <c r="G168" s="3" t="s">
        <v>110</v>
      </c>
      <c r="H168" s="55">
        <v>46144</v>
      </c>
      <c r="I168" s="55">
        <v>46147</v>
      </c>
      <c r="J168" s="55">
        <v>46174</v>
      </c>
      <c r="L168" s="3" t="s">
        <v>9</v>
      </c>
    </row>
    <row r="169" spans="1:12" ht="15" customHeight="1">
      <c r="A169" s="173" t="s">
        <v>113</v>
      </c>
      <c r="B169" s="169">
        <v>122600546</v>
      </c>
      <c r="E169" s="29" t="s">
        <v>109</v>
      </c>
      <c r="F169" s="3" t="s">
        <v>16</v>
      </c>
      <c r="G169" s="3" t="s">
        <v>110</v>
      </c>
      <c r="H169" s="55">
        <v>46144</v>
      </c>
      <c r="I169" s="55">
        <v>46147</v>
      </c>
      <c r="J169" s="55">
        <v>46174</v>
      </c>
      <c r="L169" s="3" t="s">
        <v>9</v>
      </c>
    </row>
    <row r="170" spans="1:12" ht="15" customHeight="1">
      <c r="A170" s="173" t="s">
        <v>113</v>
      </c>
      <c r="B170" s="169">
        <v>122600549</v>
      </c>
      <c r="E170" s="29" t="s">
        <v>109</v>
      </c>
      <c r="F170" s="3" t="s">
        <v>16</v>
      </c>
      <c r="G170" s="3" t="s">
        <v>110</v>
      </c>
      <c r="H170" s="55">
        <v>46144</v>
      </c>
      <c r="I170" s="55">
        <v>46147</v>
      </c>
      <c r="J170" s="55">
        <v>46174</v>
      </c>
      <c r="L170" s="3" t="s">
        <v>9</v>
      </c>
    </row>
    <row r="171" spans="1:12" ht="15" customHeight="1">
      <c r="A171" s="173" t="s">
        <v>113</v>
      </c>
      <c r="B171" s="169">
        <v>122600551</v>
      </c>
      <c r="E171" s="29" t="s">
        <v>109</v>
      </c>
      <c r="F171" s="3" t="s">
        <v>16</v>
      </c>
      <c r="G171" s="3" t="s">
        <v>110</v>
      </c>
      <c r="H171" s="55">
        <v>46144</v>
      </c>
      <c r="I171" s="55">
        <v>46147</v>
      </c>
      <c r="J171" s="55">
        <v>46174</v>
      </c>
      <c r="L171" s="3" t="s">
        <v>9</v>
      </c>
    </row>
    <row r="172" spans="1:12" ht="15" customHeight="1">
      <c r="A172" s="173" t="s">
        <v>113</v>
      </c>
      <c r="B172" s="169">
        <v>122600553</v>
      </c>
      <c r="E172" s="29" t="s">
        <v>109</v>
      </c>
      <c r="F172" s="3" t="s">
        <v>16</v>
      </c>
      <c r="G172" s="3" t="s">
        <v>110</v>
      </c>
      <c r="H172" s="55">
        <v>46144</v>
      </c>
      <c r="I172" s="55">
        <v>46147</v>
      </c>
      <c r="J172" s="55">
        <v>46174</v>
      </c>
      <c r="L172" s="3" t="s">
        <v>9</v>
      </c>
    </row>
    <row r="173" spans="1:12" ht="15" customHeight="1">
      <c r="A173" s="173" t="s">
        <v>114</v>
      </c>
      <c r="B173" s="169">
        <v>126606406</v>
      </c>
      <c r="E173" s="29" t="s">
        <v>115</v>
      </c>
      <c r="F173" s="3" t="s">
        <v>59</v>
      </c>
      <c r="G173" s="3" t="s">
        <v>116</v>
      </c>
      <c r="H173" s="55">
        <v>46148</v>
      </c>
      <c r="I173" s="55">
        <v>46150</v>
      </c>
      <c r="J173" s="55">
        <v>46178</v>
      </c>
      <c r="L173" s="3" t="s">
        <v>9</v>
      </c>
    </row>
    <row r="174" spans="1:12" ht="15" customHeight="1">
      <c r="A174" s="173" t="s">
        <v>114</v>
      </c>
      <c r="B174" s="169">
        <v>126606421</v>
      </c>
      <c r="E174" s="29" t="s">
        <v>115</v>
      </c>
      <c r="F174" s="3" t="s">
        <v>59</v>
      </c>
      <c r="G174" s="3" t="s">
        <v>116</v>
      </c>
      <c r="H174" s="55">
        <v>46148</v>
      </c>
      <c r="I174" s="55">
        <v>46150</v>
      </c>
      <c r="J174" s="55">
        <v>46178</v>
      </c>
      <c r="L174" s="3" t="s">
        <v>9</v>
      </c>
    </row>
    <row r="175" spans="1:12" ht="15" customHeight="1">
      <c r="A175" s="173" t="s">
        <v>114</v>
      </c>
      <c r="B175" s="169">
        <v>126606439</v>
      </c>
      <c r="E175" s="29" t="s">
        <v>115</v>
      </c>
      <c r="F175" s="3" t="s">
        <v>59</v>
      </c>
      <c r="G175" s="3" t="s">
        <v>116</v>
      </c>
      <c r="H175" s="55">
        <v>46148</v>
      </c>
      <c r="I175" s="55">
        <v>46150</v>
      </c>
      <c r="J175" s="55">
        <v>46178</v>
      </c>
      <c r="L175" s="3" t="s">
        <v>9</v>
      </c>
    </row>
    <row r="176" spans="1:12" ht="15" customHeight="1">
      <c r="A176" s="173" t="s">
        <v>114</v>
      </c>
      <c r="B176" s="169">
        <v>126606457</v>
      </c>
      <c r="E176" s="29" t="s">
        <v>115</v>
      </c>
      <c r="F176" s="3" t="s">
        <v>59</v>
      </c>
      <c r="G176" s="3" t="s">
        <v>116</v>
      </c>
      <c r="H176" s="55">
        <v>46148</v>
      </c>
      <c r="I176" s="55">
        <v>46150</v>
      </c>
      <c r="J176" s="55">
        <v>46178</v>
      </c>
      <c r="L176" s="3" t="s">
        <v>9</v>
      </c>
    </row>
    <row r="177" spans="1:12" ht="15" customHeight="1">
      <c r="A177" s="173" t="s">
        <v>114</v>
      </c>
      <c r="B177" s="169">
        <v>126606473</v>
      </c>
      <c r="E177" s="29" t="s">
        <v>115</v>
      </c>
      <c r="F177" s="3" t="s">
        <v>59</v>
      </c>
      <c r="G177" s="3" t="s">
        <v>116</v>
      </c>
      <c r="H177" s="55">
        <v>46148</v>
      </c>
      <c r="I177" s="55">
        <v>46150</v>
      </c>
      <c r="J177" s="55">
        <v>46178</v>
      </c>
      <c r="L177" s="3" t="s">
        <v>9</v>
      </c>
    </row>
    <row r="178" spans="1:12" ht="15" customHeight="1">
      <c r="A178" s="173" t="s">
        <v>117</v>
      </c>
      <c r="B178" s="121">
        <v>125609879</v>
      </c>
      <c r="E178" s="29" t="s">
        <v>58</v>
      </c>
      <c r="F178" s="3" t="s">
        <v>19</v>
      </c>
      <c r="G178" s="3" t="s">
        <v>118</v>
      </c>
      <c r="H178" s="175">
        <v>46147</v>
      </c>
      <c r="I178" s="55">
        <v>46149</v>
      </c>
      <c r="J178" s="55">
        <v>46177</v>
      </c>
      <c r="L178" s="3" t="s">
        <v>9</v>
      </c>
    </row>
    <row r="179" spans="1:12" ht="15" customHeight="1">
      <c r="A179" s="173" t="s">
        <v>117</v>
      </c>
      <c r="B179" s="121">
        <v>125609886</v>
      </c>
      <c r="E179" s="29" t="s">
        <v>58</v>
      </c>
      <c r="F179" s="3" t="s">
        <v>19</v>
      </c>
      <c r="G179" s="3" t="s">
        <v>118</v>
      </c>
      <c r="H179" s="175">
        <v>46147</v>
      </c>
      <c r="I179" s="55">
        <v>46149</v>
      </c>
      <c r="J179" s="55">
        <v>46177</v>
      </c>
      <c r="L179" s="3" t="s">
        <v>9</v>
      </c>
    </row>
    <row r="180" spans="1:12" ht="15" customHeight="1">
      <c r="A180" s="173" t="s">
        <v>117</v>
      </c>
      <c r="B180" s="121">
        <v>125609892</v>
      </c>
      <c r="E180" s="29" t="s">
        <v>58</v>
      </c>
      <c r="F180" s="3" t="s">
        <v>19</v>
      </c>
      <c r="G180" s="3" t="s">
        <v>118</v>
      </c>
      <c r="H180" s="175">
        <v>46147</v>
      </c>
      <c r="I180" s="55">
        <v>46149</v>
      </c>
      <c r="J180" s="55">
        <v>46177</v>
      </c>
      <c r="L180" s="3" t="s">
        <v>9</v>
      </c>
    </row>
    <row r="181" spans="1:12" ht="15" customHeight="1">
      <c r="A181" s="173" t="s">
        <v>117</v>
      </c>
      <c r="B181" s="121">
        <v>125609903</v>
      </c>
      <c r="E181" s="29" t="s">
        <v>58</v>
      </c>
      <c r="F181" s="3" t="s">
        <v>19</v>
      </c>
      <c r="G181" s="3" t="s">
        <v>118</v>
      </c>
      <c r="H181" s="175">
        <v>46147</v>
      </c>
      <c r="I181" s="55">
        <v>46149</v>
      </c>
      <c r="J181" s="55">
        <v>46177</v>
      </c>
      <c r="L181" s="3" t="s">
        <v>9</v>
      </c>
    </row>
    <row r="182" spans="1:12" ht="15" customHeight="1">
      <c r="A182" s="173" t="s">
        <v>117</v>
      </c>
      <c r="B182" s="121">
        <v>125609909</v>
      </c>
      <c r="E182" s="29" t="s">
        <v>58</v>
      </c>
      <c r="F182" s="3" t="s">
        <v>19</v>
      </c>
      <c r="G182" s="3" t="s">
        <v>118</v>
      </c>
      <c r="H182" s="175">
        <v>46147</v>
      </c>
      <c r="I182" s="55">
        <v>46149</v>
      </c>
      <c r="J182" s="55">
        <v>46177</v>
      </c>
      <c r="L182" s="3" t="s">
        <v>9</v>
      </c>
    </row>
    <row r="183" spans="1:12" ht="15" customHeight="1">
      <c r="A183" s="173" t="s">
        <v>117</v>
      </c>
      <c r="B183" s="121">
        <v>125609916</v>
      </c>
      <c r="E183" s="29" t="s">
        <v>58</v>
      </c>
      <c r="F183" s="3" t="s">
        <v>19</v>
      </c>
      <c r="G183" s="3" t="s">
        <v>118</v>
      </c>
      <c r="H183" s="175">
        <v>46147</v>
      </c>
      <c r="I183" s="55">
        <v>46149</v>
      </c>
      <c r="J183" s="55">
        <v>46177</v>
      </c>
      <c r="L183" s="3" t="s">
        <v>9</v>
      </c>
    </row>
    <row r="184" spans="1:12" ht="15" customHeight="1">
      <c r="A184" s="173" t="s">
        <v>117</v>
      </c>
      <c r="B184" s="121">
        <v>125609927</v>
      </c>
      <c r="E184" s="29" t="s">
        <v>58</v>
      </c>
      <c r="F184" s="3" t="s">
        <v>19</v>
      </c>
      <c r="G184" s="3" t="s">
        <v>118</v>
      </c>
      <c r="H184" s="175">
        <v>46147</v>
      </c>
      <c r="I184" s="55">
        <v>46149</v>
      </c>
      <c r="J184" s="55">
        <v>46177</v>
      </c>
      <c r="L184" s="3" t="s">
        <v>9</v>
      </c>
    </row>
    <row r="185" spans="1:12" ht="15" customHeight="1">
      <c r="A185" s="173" t="s">
        <v>117</v>
      </c>
      <c r="B185" s="121">
        <v>125609931</v>
      </c>
      <c r="E185" s="29" t="s">
        <v>58</v>
      </c>
      <c r="F185" s="3" t="s">
        <v>19</v>
      </c>
      <c r="G185" s="3" t="s">
        <v>118</v>
      </c>
      <c r="H185" s="175">
        <v>46147</v>
      </c>
      <c r="I185" s="55">
        <v>46149</v>
      </c>
      <c r="J185" s="55">
        <v>46177</v>
      </c>
      <c r="L185" s="3" t="s">
        <v>9</v>
      </c>
    </row>
    <row r="186" spans="1:12" ht="15" customHeight="1">
      <c r="A186" s="173" t="s">
        <v>117</v>
      </c>
      <c r="B186" s="121">
        <v>125609934</v>
      </c>
      <c r="E186" s="29" t="s">
        <v>58</v>
      </c>
      <c r="F186" s="3" t="s">
        <v>19</v>
      </c>
      <c r="G186" s="3" t="s">
        <v>118</v>
      </c>
      <c r="H186" s="175">
        <v>46147</v>
      </c>
      <c r="I186" s="55">
        <v>46149</v>
      </c>
      <c r="J186" s="55">
        <v>46177</v>
      </c>
      <c r="L186" s="3" t="s">
        <v>9</v>
      </c>
    </row>
    <row r="187" spans="1:12" ht="15" customHeight="1">
      <c r="A187" s="173" t="s">
        <v>117</v>
      </c>
      <c r="B187" s="121">
        <v>125609937</v>
      </c>
      <c r="E187" s="29" t="s">
        <v>58</v>
      </c>
      <c r="F187" s="3" t="s">
        <v>19</v>
      </c>
      <c r="G187" s="3" t="s">
        <v>118</v>
      </c>
      <c r="H187" s="175">
        <v>46147</v>
      </c>
      <c r="I187" s="55">
        <v>46149</v>
      </c>
      <c r="J187" s="55">
        <v>46177</v>
      </c>
      <c r="L187" s="3" t="s">
        <v>9</v>
      </c>
    </row>
    <row r="188" spans="1:12" ht="15" customHeight="1">
      <c r="A188" s="173" t="s">
        <v>117</v>
      </c>
      <c r="B188" s="121">
        <v>125609942</v>
      </c>
      <c r="E188" s="29" t="s">
        <v>58</v>
      </c>
      <c r="F188" s="3" t="s">
        <v>19</v>
      </c>
      <c r="G188" s="3" t="s">
        <v>118</v>
      </c>
      <c r="H188" s="175">
        <v>46147</v>
      </c>
      <c r="I188" s="55">
        <v>46149</v>
      </c>
      <c r="J188" s="55">
        <v>46177</v>
      </c>
      <c r="L188" s="3" t="s">
        <v>9</v>
      </c>
    </row>
    <row r="189" spans="1:12" ht="15" customHeight="1">
      <c r="A189" s="173" t="s">
        <v>117</v>
      </c>
      <c r="B189" s="121">
        <v>125609947</v>
      </c>
      <c r="E189" s="29" t="s">
        <v>58</v>
      </c>
      <c r="F189" s="3" t="s">
        <v>19</v>
      </c>
      <c r="G189" s="3" t="s">
        <v>118</v>
      </c>
      <c r="H189" s="175">
        <v>46147</v>
      </c>
      <c r="I189" s="55">
        <v>46149</v>
      </c>
      <c r="J189" s="55">
        <v>46177</v>
      </c>
      <c r="L189" s="3" t="s">
        <v>9</v>
      </c>
    </row>
    <row r="190" spans="1:12" ht="15" customHeight="1">
      <c r="A190" s="173" t="s">
        <v>117</v>
      </c>
      <c r="B190" s="121">
        <v>125609949</v>
      </c>
      <c r="E190" s="29" t="s">
        <v>58</v>
      </c>
      <c r="F190" s="3" t="s">
        <v>19</v>
      </c>
      <c r="G190" s="3" t="s">
        <v>118</v>
      </c>
      <c r="H190" s="175">
        <v>46147</v>
      </c>
      <c r="I190" s="55">
        <v>46149</v>
      </c>
      <c r="J190" s="55">
        <v>46177</v>
      </c>
      <c r="L190" s="3" t="s">
        <v>9</v>
      </c>
    </row>
    <row r="191" spans="1:12" ht="15" customHeight="1">
      <c r="A191" s="173" t="s">
        <v>117</v>
      </c>
      <c r="B191" s="121">
        <v>126600004</v>
      </c>
      <c r="E191" s="29" t="s">
        <v>58</v>
      </c>
      <c r="F191" s="3" t="s">
        <v>19</v>
      </c>
      <c r="G191" s="3" t="s">
        <v>118</v>
      </c>
      <c r="H191" s="175">
        <v>46148</v>
      </c>
      <c r="I191" s="55">
        <v>46150</v>
      </c>
      <c r="J191" s="55">
        <v>46178</v>
      </c>
      <c r="L191" s="3" t="s">
        <v>9</v>
      </c>
    </row>
    <row r="192" spans="1:12" ht="15" customHeight="1">
      <c r="A192" s="173" t="s">
        <v>117</v>
      </c>
      <c r="B192" s="121">
        <v>126600007</v>
      </c>
      <c r="E192" s="29" t="s">
        <v>58</v>
      </c>
      <c r="F192" s="3" t="s">
        <v>19</v>
      </c>
      <c r="G192" s="3" t="s">
        <v>118</v>
      </c>
      <c r="H192" s="175">
        <v>46148</v>
      </c>
      <c r="I192" s="55">
        <v>46150</v>
      </c>
      <c r="J192" s="55">
        <v>46178</v>
      </c>
      <c r="L192" s="3" t="s">
        <v>9</v>
      </c>
    </row>
    <row r="193" spans="1:12" ht="15" customHeight="1">
      <c r="A193" s="173" t="s">
        <v>117</v>
      </c>
      <c r="B193" s="121">
        <v>126600008</v>
      </c>
      <c r="E193" s="29" t="s">
        <v>58</v>
      </c>
      <c r="F193" s="3" t="s">
        <v>19</v>
      </c>
      <c r="G193" s="3" t="s">
        <v>118</v>
      </c>
      <c r="H193" s="175">
        <v>46148</v>
      </c>
      <c r="I193" s="55">
        <v>46150</v>
      </c>
      <c r="J193" s="55">
        <v>46178</v>
      </c>
      <c r="L193" s="3" t="s">
        <v>9</v>
      </c>
    </row>
    <row r="194" spans="1:12" ht="15" customHeight="1">
      <c r="A194" s="173" t="s">
        <v>117</v>
      </c>
      <c r="B194" s="121">
        <v>126600010</v>
      </c>
      <c r="E194" s="29" t="s">
        <v>58</v>
      </c>
      <c r="F194" s="3" t="s">
        <v>19</v>
      </c>
      <c r="G194" s="3" t="s">
        <v>118</v>
      </c>
      <c r="H194" s="175">
        <v>46148</v>
      </c>
      <c r="I194" s="55">
        <v>46150</v>
      </c>
      <c r="J194" s="55">
        <v>46178</v>
      </c>
      <c r="L194" s="3" t="s">
        <v>9</v>
      </c>
    </row>
    <row r="195" spans="1:12" ht="15" customHeight="1">
      <c r="A195" s="173" t="s">
        <v>117</v>
      </c>
      <c r="B195" s="121">
        <v>126600013</v>
      </c>
      <c r="E195" s="29" t="s">
        <v>58</v>
      </c>
      <c r="F195" s="3" t="s">
        <v>19</v>
      </c>
      <c r="G195" s="3" t="s">
        <v>118</v>
      </c>
      <c r="H195" s="175">
        <v>46148</v>
      </c>
      <c r="I195" s="55">
        <v>46150</v>
      </c>
      <c r="J195" s="55">
        <v>46178</v>
      </c>
      <c r="L195" s="3" t="s">
        <v>9</v>
      </c>
    </row>
    <row r="196" spans="1:12" ht="15" customHeight="1">
      <c r="A196" s="173" t="s">
        <v>117</v>
      </c>
      <c r="B196" s="121">
        <v>126600015</v>
      </c>
      <c r="E196" s="29" t="s">
        <v>58</v>
      </c>
      <c r="F196" s="3" t="s">
        <v>19</v>
      </c>
      <c r="G196" s="3" t="s">
        <v>118</v>
      </c>
      <c r="H196" s="175">
        <v>46148</v>
      </c>
      <c r="I196" s="55">
        <v>46150</v>
      </c>
      <c r="J196" s="55">
        <v>46178</v>
      </c>
      <c r="L196" s="3" t="s">
        <v>9</v>
      </c>
    </row>
    <row r="197" spans="1:12" ht="15" customHeight="1">
      <c r="A197" s="173" t="s">
        <v>117</v>
      </c>
      <c r="B197" s="121">
        <v>126600018</v>
      </c>
      <c r="E197" s="29" t="s">
        <v>58</v>
      </c>
      <c r="F197" s="3" t="s">
        <v>19</v>
      </c>
      <c r="G197" s="3" t="s">
        <v>118</v>
      </c>
      <c r="H197" s="175">
        <v>46148</v>
      </c>
      <c r="I197" s="55">
        <v>46150</v>
      </c>
      <c r="J197" s="55">
        <v>46178</v>
      </c>
      <c r="L197" s="3" t="s">
        <v>9</v>
      </c>
    </row>
    <row r="198" spans="1:12" ht="15" customHeight="1">
      <c r="A198" s="173" t="s">
        <v>117</v>
      </c>
      <c r="B198" s="121">
        <v>126600020</v>
      </c>
      <c r="E198" s="29" t="s">
        <v>58</v>
      </c>
      <c r="F198" s="3" t="s">
        <v>19</v>
      </c>
      <c r="G198" s="3" t="s">
        <v>118</v>
      </c>
      <c r="H198" s="175">
        <v>46148</v>
      </c>
      <c r="I198" s="55">
        <v>46150</v>
      </c>
      <c r="J198" s="55">
        <v>46178</v>
      </c>
      <c r="L198" s="3" t="s">
        <v>9</v>
      </c>
    </row>
    <row r="199" spans="1:12" ht="15" customHeight="1">
      <c r="A199" s="173" t="s">
        <v>117</v>
      </c>
      <c r="B199" s="121">
        <v>126600021</v>
      </c>
      <c r="E199" s="29" t="s">
        <v>58</v>
      </c>
      <c r="F199" s="3" t="s">
        <v>19</v>
      </c>
      <c r="G199" s="3" t="s">
        <v>118</v>
      </c>
      <c r="H199" s="175">
        <v>46148</v>
      </c>
      <c r="I199" s="55">
        <v>46150</v>
      </c>
      <c r="J199" s="55">
        <v>46178</v>
      </c>
      <c r="L199" s="3" t="s">
        <v>9</v>
      </c>
    </row>
    <row r="200" spans="1:12" ht="15" customHeight="1">
      <c r="A200" s="173" t="s">
        <v>117</v>
      </c>
      <c r="B200" s="121">
        <v>126600022</v>
      </c>
      <c r="E200" s="29" t="s">
        <v>58</v>
      </c>
      <c r="F200" s="3" t="s">
        <v>19</v>
      </c>
      <c r="G200" s="3" t="s">
        <v>118</v>
      </c>
      <c r="H200" s="175">
        <v>46148</v>
      </c>
      <c r="I200" s="55">
        <v>46150</v>
      </c>
      <c r="J200" s="55">
        <v>46178</v>
      </c>
      <c r="L200" s="3" t="s">
        <v>9</v>
      </c>
    </row>
    <row r="201" spans="1:12" ht="15" customHeight="1">
      <c r="A201" s="173" t="s">
        <v>117</v>
      </c>
      <c r="B201" s="121">
        <v>126600023</v>
      </c>
      <c r="E201" s="29" t="s">
        <v>58</v>
      </c>
      <c r="F201" s="3" t="s">
        <v>19</v>
      </c>
      <c r="G201" s="3" t="s">
        <v>118</v>
      </c>
      <c r="H201" s="175">
        <v>46148</v>
      </c>
      <c r="I201" s="55">
        <v>46150</v>
      </c>
      <c r="J201" s="55">
        <v>46178</v>
      </c>
      <c r="L201" s="3"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109</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109</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109</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109</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109</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109</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109</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109</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109</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109</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109</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109</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109</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109</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109</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109</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109</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109</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109</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109</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109</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109</v>
      </c>
      <c r="F1543" s="29" t="s">
        <v>131</v>
      </c>
      <c r="G1543" s="29" t="s">
        <v>110</v>
      </c>
      <c r="H1543" s="122">
        <v>45744</v>
      </c>
      <c r="I1543" s="122">
        <f t="shared" si="15"/>
        <v>45749</v>
      </c>
      <c r="J1543" s="29"/>
      <c r="K1543" s="29"/>
      <c r="L1543" s="121" t="s">
        <v>785</v>
      </c>
      <c r="M1543" s="29"/>
      <c r="N1543" s="81"/>
    </row>
    <row r="1544" spans="1:15">
      <c r="A1544" s="136" t="s">
        <v>967</v>
      </c>
      <c r="B1544" s="29">
        <v>87506617</v>
      </c>
      <c r="C1544" s="29"/>
      <c r="E1544" s="29" t="s">
        <v>109</v>
      </c>
      <c r="F1544" s="29" t="s">
        <v>131</v>
      </c>
      <c r="G1544" s="29" t="s">
        <v>110</v>
      </c>
      <c r="H1544" s="122">
        <v>45744</v>
      </c>
      <c r="I1544" s="122">
        <f t="shared" si="15"/>
        <v>45749</v>
      </c>
      <c r="J1544" s="29"/>
      <c r="K1544" s="29"/>
      <c r="L1544" s="121" t="s">
        <v>785</v>
      </c>
      <c r="M1544" s="29"/>
      <c r="N1544" s="81"/>
    </row>
    <row r="1545" spans="1:15">
      <c r="A1545" s="136" t="s">
        <v>967</v>
      </c>
      <c r="B1545" s="29">
        <v>87506654</v>
      </c>
      <c r="C1545" s="29"/>
      <c r="E1545" s="29" t="s">
        <v>109</v>
      </c>
      <c r="F1545" s="29" t="s">
        <v>131</v>
      </c>
      <c r="G1545" s="29" t="s">
        <v>110</v>
      </c>
      <c r="H1545" s="122">
        <v>45744</v>
      </c>
      <c r="I1545" s="122">
        <f t="shared" si="15"/>
        <v>45749</v>
      </c>
      <c r="J1545" s="29"/>
      <c r="K1545" s="29"/>
      <c r="L1545" s="121" t="s">
        <v>785</v>
      </c>
      <c r="M1545" s="29"/>
      <c r="N1545" s="81"/>
    </row>
    <row r="1546" spans="1:15">
      <c r="A1546" s="136" t="s">
        <v>967</v>
      </c>
      <c r="B1546" s="29">
        <v>87506683</v>
      </c>
      <c r="C1546" s="29"/>
      <c r="E1546" s="29" t="s">
        <v>109</v>
      </c>
      <c r="F1546" s="29" t="s">
        <v>131</v>
      </c>
      <c r="G1546" s="29" t="s">
        <v>110</v>
      </c>
      <c r="H1546" s="122">
        <v>45744</v>
      </c>
      <c r="I1546" s="122">
        <f t="shared" si="15"/>
        <v>45749</v>
      </c>
      <c r="J1546" s="29"/>
      <c r="K1546" s="29"/>
      <c r="L1546" s="121" t="s">
        <v>785</v>
      </c>
      <c r="M1546" s="29"/>
      <c r="N1546" s="81"/>
    </row>
    <row r="1547" spans="1:15">
      <c r="A1547" s="136" t="s">
        <v>967</v>
      </c>
      <c r="B1547" s="29">
        <v>87506708</v>
      </c>
      <c r="C1547" s="29"/>
      <c r="E1547" s="29" t="s">
        <v>109</v>
      </c>
      <c r="F1547" s="29" t="s">
        <v>131</v>
      </c>
      <c r="G1547" s="29" t="s">
        <v>110</v>
      </c>
      <c r="H1547" s="122">
        <v>45744</v>
      </c>
      <c r="I1547" s="122">
        <f t="shared" si="15"/>
        <v>45749</v>
      </c>
      <c r="J1547" s="29"/>
      <c r="K1547" s="29"/>
      <c r="L1547" s="121" t="s">
        <v>785</v>
      </c>
      <c r="M1547" s="29"/>
      <c r="N1547" s="81"/>
    </row>
    <row r="1548" spans="1:15">
      <c r="A1548" s="136" t="s">
        <v>967</v>
      </c>
      <c r="B1548" s="29">
        <v>87506735</v>
      </c>
      <c r="C1548" s="29"/>
      <c r="E1548" s="29" t="s">
        <v>109</v>
      </c>
      <c r="F1548" s="29" t="s">
        <v>131</v>
      </c>
      <c r="G1548" s="29" t="s">
        <v>110</v>
      </c>
      <c r="H1548" s="122">
        <v>45744</v>
      </c>
      <c r="I1548" s="122">
        <f t="shared" ref="I1548:I1611" si="16">WORKDAY(H1548, 3)</f>
        <v>45749</v>
      </c>
      <c r="J1548" s="29"/>
      <c r="K1548" s="29"/>
      <c r="L1548" s="121" t="s">
        <v>785</v>
      </c>
      <c r="M1548" s="29"/>
      <c r="N1548" s="81"/>
    </row>
    <row r="1549" spans="1:15">
      <c r="A1549" s="136" t="s">
        <v>967</v>
      </c>
      <c r="B1549" s="29">
        <v>87506758</v>
      </c>
      <c r="C1549" s="29"/>
      <c r="E1549" s="29" t="s">
        <v>109</v>
      </c>
      <c r="F1549" s="29" t="s">
        <v>131</v>
      </c>
      <c r="G1549" s="29" t="s">
        <v>110</v>
      </c>
      <c r="H1549" s="122">
        <v>45744</v>
      </c>
      <c r="I1549" s="122">
        <f t="shared" si="16"/>
        <v>45749</v>
      </c>
      <c r="J1549" s="29"/>
      <c r="K1549" s="29"/>
      <c r="L1549" s="121" t="s">
        <v>785</v>
      </c>
      <c r="M1549" s="29"/>
      <c r="N1549" s="81"/>
    </row>
    <row r="1550" spans="1:15">
      <c r="A1550" s="136" t="s">
        <v>967</v>
      </c>
      <c r="B1550" s="29">
        <v>87506784</v>
      </c>
      <c r="C1550" s="29"/>
      <c r="E1550" s="29" t="s">
        <v>109</v>
      </c>
      <c r="F1550" s="29" t="s">
        <v>131</v>
      </c>
      <c r="G1550" s="29" t="s">
        <v>110</v>
      </c>
      <c r="H1550" s="122">
        <v>45744</v>
      </c>
      <c r="I1550" s="122">
        <f t="shared" si="16"/>
        <v>45749</v>
      </c>
      <c r="J1550" s="29"/>
      <c r="K1550" s="29"/>
      <c r="L1550" s="121" t="s">
        <v>785</v>
      </c>
      <c r="M1550" s="29"/>
      <c r="N1550" s="81"/>
    </row>
    <row r="1551" spans="1:15">
      <c r="A1551" s="136" t="s">
        <v>967</v>
      </c>
      <c r="B1551" s="29">
        <v>87506834</v>
      </c>
      <c r="C1551" s="29"/>
      <c r="E1551" s="29" t="s">
        <v>109</v>
      </c>
      <c r="F1551" s="29" t="s">
        <v>131</v>
      </c>
      <c r="G1551" s="29" t="s">
        <v>110</v>
      </c>
      <c r="H1551" s="122">
        <v>45744</v>
      </c>
      <c r="I1551" s="122">
        <f t="shared" si="16"/>
        <v>45749</v>
      </c>
      <c r="J1551" s="29"/>
      <c r="K1551" s="29"/>
      <c r="L1551" s="121" t="s">
        <v>785</v>
      </c>
      <c r="M1551" s="29"/>
      <c r="N1551" s="81"/>
    </row>
    <row r="1552" spans="1:15">
      <c r="A1552" s="136" t="s">
        <v>967</v>
      </c>
      <c r="B1552" s="29">
        <v>87506851</v>
      </c>
      <c r="C1552" s="29"/>
      <c r="E1552" s="29" t="s">
        <v>109</v>
      </c>
      <c r="F1552" s="29" t="s">
        <v>131</v>
      </c>
      <c r="G1552" s="29" t="s">
        <v>110</v>
      </c>
      <c r="H1552" s="122">
        <v>45744</v>
      </c>
      <c r="I1552" s="122">
        <f t="shared" si="16"/>
        <v>45749</v>
      </c>
      <c r="J1552" s="29"/>
      <c r="K1552" s="29"/>
      <c r="L1552" s="121" t="s">
        <v>785</v>
      </c>
      <c r="M1552" s="29"/>
      <c r="N1552" s="81"/>
    </row>
    <row r="1553" spans="1:14">
      <c r="A1553" s="136" t="s">
        <v>968</v>
      </c>
      <c r="B1553" s="29">
        <v>87504795</v>
      </c>
      <c r="C1553" s="29"/>
      <c r="E1553" s="29" t="s">
        <v>109</v>
      </c>
      <c r="F1553" s="29" t="s">
        <v>131</v>
      </c>
      <c r="G1553" s="29" t="s">
        <v>110</v>
      </c>
      <c r="H1553" s="122">
        <v>45744</v>
      </c>
      <c r="I1553" s="122">
        <f t="shared" si="16"/>
        <v>45749</v>
      </c>
      <c r="J1553" s="122">
        <v>45748</v>
      </c>
      <c r="K1553" s="29"/>
      <c r="L1553" s="121" t="s">
        <v>966</v>
      </c>
      <c r="M1553" s="29"/>
      <c r="N1553" s="81"/>
    </row>
    <row r="1554" spans="1:14">
      <c r="A1554" s="136" t="s">
        <v>968</v>
      </c>
      <c r="B1554" s="29">
        <v>87504939</v>
      </c>
      <c r="C1554" s="29"/>
      <c r="E1554" s="29" t="s">
        <v>109</v>
      </c>
      <c r="F1554" s="29" t="s">
        <v>131</v>
      </c>
      <c r="G1554" s="29" t="s">
        <v>110</v>
      </c>
      <c r="H1554" s="122">
        <v>45744</v>
      </c>
      <c r="I1554" s="122">
        <f t="shared" si="16"/>
        <v>45749</v>
      </c>
      <c r="J1554" s="122">
        <v>45748</v>
      </c>
      <c r="K1554" s="29"/>
      <c r="L1554" s="121" t="s">
        <v>966</v>
      </c>
      <c r="M1554" s="29"/>
      <c r="N1554" s="81"/>
    </row>
    <row r="1555" spans="1:14">
      <c r="A1555" s="136" t="s">
        <v>968</v>
      </c>
      <c r="B1555" s="29">
        <v>87505022</v>
      </c>
      <c r="C1555" s="29"/>
      <c r="E1555" s="29" t="s">
        <v>109</v>
      </c>
      <c r="F1555" s="29" t="s">
        <v>131</v>
      </c>
      <c r="G1555" s="29" t="s">
        <v>110</v>
      </c>
      <c r="H1555" s="122">
        <v>45744</v>
      </c>
      <c r="I1555" s="122">
        <f t="shared" si="16"/>
        <v>45749</v>
      </c>
      <c r="J1555" s="122">
        <v>45748</v>
      </c>
      <c r="K1555" s="29"/>
      <c r="L1555" s="121" t="s">
        <v>966</v>
      </c>
      <c r="M1555" s="29"/>
      <c r="N1555" s="81"/>
    </row>
    <row r="1556" spans="1:14">
      <c r="A1556" s="136" t="s">
        <v>968</v>
      </c>
      <c r="B1556" s="29">
        <v>87505104</v>
      </c>
      <c r="C1556" s="29"/>
      <c r="E1556" s="29" t="s">
        <v>109</v>
      </c>
      <c r="F1556" s="29" t="s">
        <v>131</v>
      </c>
      <c r="G1556" s="29" t="s">
        <v>110</v>
      </c>
      <c r="H1556" s="122">
        <v>45744</v>
      </c>
      <c r="I1556" s="122">
        <f t="shared" si="16"/>
        <v>45749</v>
      </c>
      <c r="J1556" s="122">
        <v>45748</v>
      </c>
      <c r="K1556" s="29"/>
      <c r="L1556" s="121" t="s">
        <v>966</v>
      </c>
      <c r="M1556" s="29"/>
      <c r="N1556" s="81"/>
    </row>
    <row r="1557" spans="1:14">
      <c r="A1557" s="136" t="s">
        <v>968</v>
      </c>
      <c r="B1557" s="29">
        <v>87505161</v>
      </c>
      <c r="C1557" s="29"/>
      <c r="E1557" s="29" t="s">
        <v>109</v>
      </c>
      <c r="F1557" s="29" t="s">
        <v>131</v>
      </c>
      <c r="G1557" s="29" t="s">
        <v>110</v>
      </c>
      <c r="H1557" s="122">
        <v>45744</v>
      </c>
      <c r="I1557" s="122">
        <f t="shared" si="16"/>
        <v>45749</v>
      </c>
      <c r="J1557" s="122">
        <v>45748</v>
      </c>
      <c r="K1557" s="29"/>
      <c r="L1557" s="121" t="s">
        <v>966</v>
      </c>
      <c r="M1557" s="29"/>
      <c r="N1557" s="81"/>
    </row>
    <row r="1558" spans="1:14">
      <c r="A1558" s="136" t="s">
        <v>968</v>
      </c>
      <c r="B1558" s="29">
        <v>87505202</v>
      </c>
      <c r="C1558" s="29"/>
      <c r="E1558" s="29" t="s">
        <v>109</v>
      </c>
      <c r="F1558" s="29" t="s">
        <v>131</v>
      </c>
      <c r="G1558" s="29" t="s">
        <v>110</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109</v>
      </c>
      <c r="F1624" s="29" t="s">
        <v>131</v>
      </c>
      <c r="G1624" s="29" t="s">
        <v>110</v>
      </c>
      <c r="H1624" s="122">
        <v>45743</v>
      </c>
      <c r="I1624" s="122">
        <f t="shared" si="17"/>
        <v>45748</v>
      </c>
      <c r="J1624" s="29" t="s">
        <v>983</v>
      </c>
      <c r="K1624" s="29"/>
      <c r="L1624" s="121" t="s">
        <v>785</v>
      </c>
      <c r="M1624" s="29"/>
      <c r="N1624" s="81"/>
    </row>
    <row r="1625" spans="1:20">
      <c r="A1625" s="136" t="s">
        <v>982</v>
      </c>
      <c r="B1625" s="29">
        <v>86505671</v>
      </c>
      <c r="C1625" s="29"/>
      <c r="E1625" s="29" t="s">
        <v>109</v>
      </c>
      <c r="F1625" s="29" t="s">
        <v>131</v>
      </c>
      <c r="G1625" s="29" t="s">
        <v>110</v>
      </c>
      <c r="H1625" s="122">
        <v>45743</v>
      </c>
      <c r="I1625" s="122">
        <f t="shared" si="17"/>
        <v>45748</v>
      </c>
      <c r="J1625" s="29" t="s">
        <v>983</v>
      </c>
      <c r="K1625" s="29"/>
      <c r="L1625" s="121" t="s">
        <v>785</v>
      </c>
      <c r="M1625" s="29"/>
      <c r="N1625" s="81"/>
    </row>
    <row r="1626" spans="1:20">
      <c r="A1626" s="136" t="s">
        <v>982</v>
      </c>
      <c r="B1626" s="29">
        <v>86505989</v>
      </c>
      <c r="C1626" s="29"/>
      <c r="E1626" s="29" t="s">
        <v>109</v>
      </c>
      <c r="F1626" s="29" t="s">
        <v>131</v>
      </c>
      <c r="G1626" s="29" t="s">
        <v>110</v>
      </c>
      <c r="H1626" s="122">
        <v>45743</v>
      </c>
      <c r="I1626" s="122">
        <f t="shared" si="17"/>
        <v>45748</v>
      </c>
      <c r="J1626" s="29" t="s">
        <v>983</v>
      </c>
      <c r="K1626" s="29"/>
      <c r="L1626" s="121" t="s">
        <v>785</v>
      </c>
      <c r="M1626" s="29"/>
      <c r="N1626" s="81"/>
    </row>
    <row r="1627" spans="1:20">
      <c r="A1627" s="136" t="s">
        <v>982</v>
      </c>
      <c r="B1627" s="29">
        <v>86508156</v>
      </c>
      <c r="C1627" s="29"/>
      <c r="E1627" s="29" t="s">
        <v>109</v>
      </c>
      <c r="F1627" s="29" t="s">
        <v>131</v>
      </c>
      <c r="G1627" s="29" t="s">
        <v>110</v>
      </c>
      <c r="H1627" s="122">
        <v>45743</v>
      </c>
      <c r="I1627" s="122">
        <f t="shared" si="17"/>
        <v>45748</v>
      </c>
      <c r="J1627" s="29" t="s">
        <v>983</v>
      </c>
      <c r="K1627" s="29"/>
      <c r="L1627" s="121" t="s">
        <v>785</v>
      </c>
      <c r="M1627" s="29"/>
      <c r="N1627" s="81"/>
    </row>
    <row r="1628" spans="1:20">
      <c r="A1628" s="136" t="s">
        <v>982</v>
      </c>
      <c r="B1628" s="29">
        <v>86508338</v>
      </c>
      <c r="C1628" s="29"/>
      <c r="E1628" s="29" t="s">
        <v>109</v>
      </c>
      <c r="F1628" s="29" t="s">
        <v>131</v>
      </c>
      <c r="G1628" s="29" t="s">
        <v>110</v>
      </c>
      <c r="H1628" s="122">
        <v>45743</v>
      </c>
      <c r="I1628" s="122">
        <f t="shared" si="17"/>
        <v>45748</v>
      </c>
      <c r="J1628" s="29" t="s">
        <v>983</v>
      </c>
      <c r="K1628" s="29"/>
      <c r="L1628" s="121" t="s">
        <v>785</v>
      </c>
      <c r="M1628" s="29"/>
      <c r="N1628" s="81"/>
    </row>
    <row r="1629" spans="1:20">
      <c r="A1629" s="136" t="s">
        <v>982</v>
      </c>
      <c r="B1629" s="29">
        <v>86508420</v>
      </c>
      <c r="C1629" s="29"/>
      <c r="E1629" s="29" t="s">
        <v>109</v>
      </c>
      <c r="F1629" s="29" t="s">
        <v>131</v>
      </c>
      <c r="G1629" s="29" t="s">
        <v>110</v>
      </c>
      <c r="H1629" s="122">
        <v>45743</v>
      </c>
      <c r="I1629" s="122">
        <f t="shared" si="17"/>
        <v>45748</v>
      </c>
      <c r="J1629" s="29" t="s">
        <v>983</v>
      </c>
      <c r="K1629" s="122">
        <v>45752</v>
      </c>
      <c r="L1629" s="121" t="s">
        <v>665</v>
      </c>
      <c r="M1629" s="29"/>
      <c r="N1629" s="81"/>
    </row>
    <row r="1630" spans="1:20">
      <c r="A1630" s="136" t="s">
        <v>982</v>
      </c>
      <c r="B1630" s="29">
        <v>86508380</v>
      </c>
      <c r="C1630" s="29"/>
      <c r="E1630" s="29" t="s">
        <v>109</v>
      </c>
      <c r="F1630" s="29" t="s">
        <v>131</v>
      </c>
      <c r="G1630" s="29" t="s">
        <v>110</v>
      </c>
      <c r="H1630" s="122">
        <v>45743</v>
      </c>
      <c r="I1630" s="122">
        <f t="shared" si="17"/>
        <v>45748</v>
      </c>
      <c r="J1630" s="29" t="s">
        <v>983</v>
      </c>
      <c r="K1630" s="29"/>
      <c r="L1630" s="121" t="s">
        <v>785</v>
      </c>
      <c r="M1630" s="29"/>
      <c r="N1630" s="81"/>
    </row>
    <row r="1631" spans="1:20">
      <c r="A1631" s="136" t="s">
        <v>982</v>
      </c>
      <c r="B1631" s="29">
        <v>86508535</v>
      </c>
      <c r="C1631" s="29"/>
      <c r="E1631" s="29" t="s">
        <v>109</v>
      </c>
      <c r="F1631" s="29" t="s">
        <v>131</v>
      </c>
      <c r="G1631" s="29" t="s">
        <v>110</v>
      </c>
      <c r="H1631" s="122">
        <v>45743</v>
      </c>
      <c r="I1631" s="122">
        <f t="shared" si="17"/>
        <v>45748</v>
      </c>
      <c r="J1631" s="29" t="s">
        <v>983</v>
      </c>
      <c r="K1631" s="29"/>
      <c r="L1631" s="121" t="s">
        <v>785</v>
      </c>
      <c r="M1631" s="29"/>
      <c r="N1631" s="81"/>
    </row>
    <row r="1632" spans="1:20">
      <c r="A1632" s="136" t="s">
        <v>982</v>
      </c>
      <c r="B1632" s="29">
        <v>86508522</v>
      </c>
      <c r="C1632" s="29"/>
      <c r="E1632" s="29" t="s">
        <v>109</v>
      </c>
      <c r="F1632" s="29" t="s">
        <v>131</v>
      </c>
      <c r="G1632" s="29" t="s">
        <v>110</v>
      </c>
      <c r="H1632" s="122">
        <v>45743</v>
      </c>
      <c r="I1632" s="122">
        <f t="shared" si="17"/>
        <v>45748</v>
      </c>
      <c r="J1632" s="29" t="s">
        <v>983</v>
      </c>
      <c r="K1632" s="29"/>
      <c r="L1632" s="121" t="s">
        <v>984</v>
      </c>
      <c r="M1632" s="29"/>
      <c r="N1632" s="81"/>
    </row>
    <row r="1633" spans="1:15">
      <c r="A1633" s="136" t="s">
        <v>982</v>
      </c>
      <c r="B1633" s="29">
        <v>86507888</v>
      </c>
      <c r="C1633" s="29"/>
      <c r="E1633" s="29" t="s">
        <v>109</v>
      </c>
      <c r="F1633" s="29" t="s">
        <v>131</v>
      </c>
      <c r="G1633" s="29" t="s">
        <v>110</v>
      </c>
      <c r="H1633" s="122">
        <v>45743</v>
      </c>
      <c r="I1633" s="122">
        <f t="shared" si="17"/>
        <v>45748</v>
      </c>
      <c r="J1633" s="29" t="s">
        <v>983</v>
      </c>
      <c r="K1633" s="29"/>
      <c r="L1633" s="121" t="s">
        <v>984</v>
      </c>
      <c r="M1633" s="29"/>
      <c r="N1633" s="81"/>
    </row>
    <row r="1634" spans="1:15">
      <c r="A1634" s="136" t="s">
        <v>982</v>
      </c>
      <c r="B1634" s="29">
        <v>86508569</v>
      </c>
      <c r="C1634" s="29"/>
      <c r="E1634" s="29" t="s">
        <v>109</v>
      </c>
      <c r="F1634" s="29" t="s">
        <v>131</v>
      </c>
      <c r="G1634" s="29" t="s">
        <v>110</v>
      </c>
      <c r="H1634" s="122">
        <v>45743</v>
      </c>
      <c r="I1634" s="122">
        <f t="shared" si="17"/>
        <v>45748</v>
      </c>
      <c r="J1634" s="29" t="s">
        <v>983</v>
      </c>
      <c r="K1634" s="29"/>
      <c r="L1634" s="121" t="s">
        <v>984</v>
      </c>
      <c r="M1634" s="29"/>
      <c r="N1634" s="81"/>
    </row>
    <row r="1635" spans="1:15">
      <c r="A1635" s="136" t="s">
        <v>982</v>
      </c>
      <c r="B1635" s="29">
        <v>86508454</v>
      </c>
      <c r="C1635" s="29"/>
      <c r="E1635" s="29" t="s">
        <v>109</v>
      </c>
      <c r="F1635" s="29" t="s">
        <v>131</v>
      </c>
      <c r="G1635" s="29" t="s">
        <v>110</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109</v>
      </c>
      <c r="F1693" s="29" t="s">
        <v>131</v>
      </c>
      <c r="G1693" s="29" t="s">
        <v>110</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109</v>
      </c>
      <c r="F1694" s="29" t="s">
        <v>131</v>
      </c>
      <c r="G1694" s="29" t="s">
        <v>110</v>
      </c>
      <c r="H1694" s="122">
        <v>45743</v>
      </c>
      <c r="I1694" s="122">
        <f t="shared" si="18"/>
        <v>45748</v>
      </c>
      <c r="J1694" s="122">
        <v>45748</v>
      </c>
      <c r="K1694" s="122">
        <v>45756</v>
      </c>
      <c r="L1694" s="121" t="s">
        <v>785</v>
      </c>
      <c r="M1694" s="29"/>
      <c r="N1694" s="81"/>
    </row>
    <row r="1695" spans="1:15">
      <c r="A1695" s="136" t="s">
        <v>982</v>
      </c>
      <c r="B1695" s="29">
        <v>86507992</v>
      </c>
      <c r="C1695" s="29"/>
      <c r="E1695" s="29" t="s">
        <v>109</v>
      </c>
      <c r="F1695" s="29" t="s">
        <v>131</v>
      </c>
      <c r="G1695" s="29" t="s">
        <v>110</v>
      </c>
      <c r="H1695" s="122">
        <v>45743</v>
      </c>
      <c r="I1695" s="122">
        <f t="shared" si="18"/>
        <v>45748</v>
      </c>
      <c r="J1695" s="122">
        <v>45748</v>
      </c>
      <c r="K1695" s="122">
        <v>45756</v>
      </c>
      <c r="L1695" s="121" t="s">
        <v>785</v>
      </c>
      <c r="M1695" s="29"/>
      <c r="N1695" s="81"/>
    </row>
    <row r="1696" spans="1:15">
      <c r="A1696" s="136" t="s">
        <v>982</v>
      </c>
      <c r="B1696" s="29">
        <v>86508250</v>
      </c>
      <c r="C1696" s="29"/>
      <c r="E1696" s="29" t="s">
        <v>109</v>
      </c>
      <c r="F1696" s="29" t="s">
        <v>131</v>
      </c>
      <c r="G1696" s="29" t="s">
        <v>110</v>
      </c>
      <c r="H1696" s="122">
        <v>45743</v>
      </c>
      <c r="I1696" s="122">
        <f t="shared" si="18"/>
        <v>45748</v>
      </c>
      <c r="J1696" s="122">
        <v>45748</v>
      </c>
      <c r="K1696" s="122">
        <v>45756</v>
      </c>
      <c r="L1696" s="121" t="s">
        <v>785</v>
      </c>
      <c r="M1696" s="29"/>
      <c r="N1696" s="81"/>
    </row>
    <row r="1697" spans="1:16">
      <c r="A1697" s="136" t="s">
        <v>982</v>
      </c>
      <c r="B1697" s="29">
        <v>86506614</v>
      </c>
      <c r="C1697" s="29"/>
      <c r="E1697" s="29" t="s">
        <v>109</v>
      </c>
      <c r="F1697" s="29" t="s">
        <v>131</v>
      </c>
      <c r="G1697" s="29" t="s">
        <v>110</v>
      </c>
      <c r="H1697" s="122">
        <v>45743</v>
      </c>
      <c r="I1697" s="122">
        <f t="shared" si="18"/>
        <v>45748</v>
      </c>
      <c r="J1697" s="122">
        <v>45748</v>
      </c>
      <c r="K1697" s="122">
        <v>45756</v>
      </c>
      <c r="L1697" s="121" t="s">
        <v>785</v>
      </c>
      <c r="M1697" s="29"/>
      <c r="N1697" s="81"/>
    </row>
    <row r="1698" spans="1:16">
      <c r="A1698" s="136" t="s">
        <v>982</v>
      </c>
      <c r="B1698" s="29">
        <v>86508468</v>
      </c>
      <c r="C1698" s="29"/>
      <c r="E1698" s="29" t="s">
        <v>109</v>
      </c>
      <c r="F1698" s="29" t="s">
        <v>131</v>
      </c>
      <c r="G1698" s="29" t="s">
        <v>110</v>
      </c>
      <c r="H1698" s="122">
        <v>45743</v>
      </c>
      <c r="I1698" s="122">
        <f t="shared" si="18"/>
        <v>45748</v>
      </c>
      <c r="J1698" s="122">
        <v>45748</v>
      </c>
      <c r="K1698" s="122">
        <v>45756</v>
      </c>
      <c r="L1698" s="121" t="s">
        <v>785</v>
      </c>
      <c r="M1698" s="29"/>
      <c r="N1698" s="81"/>
    </row>
    <row r="1699" spans="1:16">
      <c r="A1699" s="136" t="s">
        <v>982</v>
      </c>
      <c r="B1699" s="29">
        <v>86508488</v>
      </c>
      <c r="C1699" s="29"/>
      <c r="E1699" s="29" t="s">
        <v>109</v>
      </c>
      <c r="F1699" s="29" t="s">
        <v>131</v>
      </c>
      <c r="G1699" s="29" t="s">
        <v>110</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93</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86</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86</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99</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84</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95</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28C2A06-85DE-48F4-83E6-AF7439FB1A77}"/>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2026-05-11T19:13:51Z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