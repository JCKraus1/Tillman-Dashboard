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34" documentId="8_{7F841BAC-E3D2-4E4B-A3CA-97B4D46101DD}" xr6:coauthVersionLast="47" xr6:coauthVersionMax="47" xr10:uidLastSave="{57B9C5A6-FC5D-4DF0-9071-B52616B752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<sst xmlns="http://schemas.openxmlformats.org/spreadsheetml/2006/main" count="32352" uniqueCount="2097">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</sst>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5" fillId="0" borderId="0" xfId="0" applyFont="1"/>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34" fillId="0" borderId="0" xfId="0" applyFont="1"/>
    <xf numFmtId="0" fontId="32"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SUMPRODUCT((UPPER(Master!O2:O4409)="PENDING")*1)</f>
        <v>167</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6">
        <f>COUNTA(Master!C2:C4409)</f>
        <v>686</v>
      </c>
      <c r="B3" s="246"/>
      <c r="C3" s="246"/>
      <c r="D3" s="249" cm="1">
        <f t="array" ref="D3">SUMPRODUCT((UPPER(Master!O2:O4409)="PENDING")*1)</f>
        <v>167</v>
      </c>
      <c r="E3" s="249"/>
      <c r="F3" s="249"/>
      <c r="G3" s="241" cm="1">
        <f t="array" ref="G3">SUMPRODUCT((UPPER(Master!O2:O4409)="CLEAR")*1)</f>
        <v>519</v>
      </c>
      <c r="H3" s="241"/>
      <c r="I3" s="241"/>
      <c r="J3" s="244" cm="1">
        <f t="array" ref="J3">SUMPRODUCT((UPPER(Master!O2:O4409)="EXPIRED")*1)</f>
        <v>0</v>
      </c>
      <c r="K3" s="244"/>
      <c r="L3" s="244"/>
      <c r="O3" s="170"/>
      <c r="P3" s="169" t="s">
        <v>10</v>
      </c>
      <c r="Q3" s="169" cm="1">
        <f t="array" ref="Q3">SUMPRODUCT((UPPER(Master!O2:O4409)="CLEAR")*1)</f>
        <v>519</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39</v>
      </c>
      <c r="C27" s="111" cm="1">
        <f t="array" ref="C27">IF(A27="","",SUMPRODUCT((UPPER(Master!G2:G4409)=A27)*(UPPER(Master!O2:O4409)="CLEAR")))</f>
        <v>103</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167</v>
      </c>
      <c r="C39" s="91">
        <f>SUMIF(A24:A38,"&lt;&gt;",C24:C38)</f>
        <v>519</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334</v>
      </c>
    </row>
    <row r="55" spans="1:2" hidden="1">
      <c r="A55" t="s">
        <v>10</v>
      </c>
      <c r="B55">
        <f>COUNTIF(Master!O2:O4409,"Clear")+COUNTIF(Master!O2:O4409,"clear")+COUNTIF(Master!O2:O4409,"CLEAR")</f>
        <v>1557</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B634" activePane="topRight" state="frozen"/>
      <selection pane="topRight" activeCell="C647" sqref="C64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7">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4">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4">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4">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4">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4">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4">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4">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4">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4">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4">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3">
        <v>223603368</v>
      </c>
      <c r="E351" s="184"/>
      <c r="F351" s="233">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3">
        <v>223603352</v>
      </c>
      <c r="F352" s="233">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6">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195">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8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183"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183"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183"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183"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8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183"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183"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183"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183"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183"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183" t="s">
        <v>273</v>
      </c>
      <c r="B673" s="183"/>
      <c r="C673" s="235">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183"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183"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183" t="s">
        <v>274</v>
      </c>
      <c r="B676" s="183"/>
      <c r="C676" s="218">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183" t="s">
        <v>274</v>
      </c>
      <c r="B677" s="183"/>
      <c r="C677" s="218">
        <v>203603750</v>
      </c>
      <c r="D677" s="203"/>
      <c r="E677" s="184"/>
      <c r="F677" s="29" t="s">
        <v>76</v>
      </c>
      <c r="G677" s="3" t="s">
        <v>64</v>
      </c>
      <c r="H677" s="45" t="s">
        <v>77</v>
      </c>
      <c r="I677" s="55">
        <v>46225</v>
      </c>
      <c r="J677" s="55">
        <v>46228</v>
      </c>
      <c r="K677" s="55">
        <v>46256</v>
      </c>
      <c r="L677" s="45"/>
      <c r="M677" s="45"/>
      <c r="N677" s="45"/>
      <c r="O677" s="45" t="s">
        <v>226</v>
      </c>
      <c r="P677" s="45"/>
      <c r="Q677" s="185"/>
      <c r="R677" s="186"/>
    </row>
    <row r="678" spans="1:18" ht="15" customHeight="1">
      <c r="A678" s="183" t="s">
        <v>275</v>
      </c>
      <c r="B678" s="173"/>
      <c r="C678" s="218">
        <v>203604789</v>
      </c>
      <c r="D678" s="168"/>
      <c r="F678" s="29" t="s">
        <v>76</v>
      </c>
      <c r="G678" s="3" t="s">
        <v>64</v>
      </c>
      <c r="H678" s="3" t="s">
        <v>77</v>
      </c>
      <c r="I678" s="55">
        <v>46225</v>
      </c>
      <c r="J678" s="55">
        <v>46228</v>
      </c>
      <c r="K678" s="55">
        <v>46256</v>
      </c>
      <c r="O678" s="45" t="s">
        <v>226</v>
      </c>
      <c r="R678" s="177"/>
    </row>
    <row r="679" spans="1:18" ht="15" customHeight="1">
      <c r="A679" s="183" t="s">
        <v>275</v>
      </c>
      <c r="B679" s="173"/>
      <c r="C679" s="218">
        <v>203604830</v>
      </c>
      <c r="D679" s="168"/>
      <c r="F679" s="29" t="s">
        <v>76</v>
      </c>
      <c r="G679" s="3" t="s">
        <v>64</v>
      </c>
      <c r="H679" s="3" t="s">
        <v>77</v>
      </c>
      <c r="I679" s="55">
        <v>46225</v>
      </c>
      <c r="J679" s="55">
        <v>46228</v>
      </c>
      <c r="K679" s="55">
        <v>46256</v>
      </c>
      <c r="O679" s="45" t="s">
        <v>226</v>
      </c>
      <c r="R679" s="177"/>
    </row>
    <row r="680" spans="1:18" ht="15" customHeight="1">
      <c r="A680" s="173" t="s">
        <v>275</v>
      </c>
      <c r="B680" s="173"/>
      <c r="C680" s="218">
        <v>203604853</v>
      </c>
      <c r="D680" s="168"/>
      <c r="F680" s="29" t="s">
        <v>76</v>
      </c>
      <c r="G680" s="3" t="s">
        <v>64</v>
      </c>
      <c r="H680" s="3" t="s">
        <v>77</v>
      </c>
      <c r="I680" s="55">
        <v>46225</v>
      </c>
      <c r="J680" s="55">
        <v>46228</v>
      </c>
      <c r="K680" s="55">
        <v>46256</v>
      </c>
      <c r="O680" s="45" t="s">
        <v>226</v>
      </c>
      <c r="R680" s="177"/>
    </row>
    <row r="681" spans="1:18" ht="15" customHeight="1">
      <c r="A681" s="173" t="s">
        <v>275</v>
      </c>
      <c r="B681" s="173"/>
      <c r="C681" s="218">
        <v>203604887</v>
      </c>
      <c r="D681" s="168"/>
      <c r="F681" s="29" t="s">
        <v>76</v>
      </c>
      <c r="G681" s="3" t="s">
        <v>64</v>
      </c>
      <c r="H681" s="3" t="s">
        <v>77</v>
      </c>
      <c r="I681" s="55">
        <v>46225</v>
      </c>
      <c r="J681" s="55">
        <v>46228</v>
      </c>
      <c r="K681" s="55">
        <v>46256</v>
      </c>
      <c r="O681" s="45" t="s">
        <v>226</v>
      </c>
      <c r="R681" s="177"/>
    </row>
    <row r="682" spans="1:18" ht="15" customHeight="1">
      <c r="A682" s="173" t="s">
        <v>276</v>
      </c>
      <c r="B682" s="173"/>
      <c r="C682" s="218">
        <v>203603876</v>
      </c>
      <c r="D682" s="168"/>
      <c r="F682" s="29" t="s">
        <v>76</v>
      </c>
      <c r="G682" s="3" t="s">
        <v>64</v>
      </c>
      <c r="H682" s="3" t="s">
        <v>77</v>
      </c>
      <c r="I682" s="55">
        <v>46225</v>
      </c>
      <c r="J682" s="55">
        <v>46228</v>
      </c>
      <c r="K682" s="55">
        <v>46256</v>
      </c>
      <c r="O682" s="45" t="s">
        <v>226</v>
      </c>
      <c r="R682" s="177"/>
    </row>
    <row r="683" spans="1:18" ht="15" customHeight="1">
      <c r="A683" s="173" t="s">
        <v>276</v>
      </c>
      <c r="B683" s="173"/>
      <c r="C683" s="218">
        <v>203603927</v>
      </c>
      <c r="D683" s="168"/>
      <c r="F683" s="29" t="s">
        <v>76</v>
      </c>
      <c r="G683" s="3" t="s">
        <v>64</v>
      </c>
      <c r="H683" s="3" t="s">
        <v>77</v>
      </c>
      <c r="I683" s="55">
        <v>46225</v>
      </c>
      <c r="J683" s="55">
        <v>46228</v>
      </c>
      <c r="K683" s="55">
        <v>46256</v>
      </c>
      <c r="O683" s="45" t="s">
        <v>226</v>
      </c>
      <c r="R683" s="177"/>
    </row>
    <row r="684" spans="1:18" ht="15" customHeight="1">
      <c r="A684" s="173" t="s">
        <v>276</v>
      </c>
      <c r="B684" s="183"/>
      <c r="C684" s="218">
        <v>203603988</v>
      </c>
      <c r="D684" s="203"/>
      <c r="E684" s="184"/>
      <c r="F684" s="184" t="s">
        <v>76</v>
      </c>
      <c r="G684" s="45" t="s">
        <v>64</v>
      </c>
      <c r="H684" s="45" t="s">
        <v>77</v>
      </c>
      <c r="I684" s="59">
        <v>46225</v>
      </c>
      <c r="J684" s="59">
        <v>46228</v>
      </c>
      <c r="K684" s="59">
        <v>46256</v>
      </c>
      <c r="L684" s="45"/>
      <c r="M684" s="45"/>
      <c r="N684" s="45"/>
      <c r="O684" s="45" t="s">
        <v>226</v>
      </c>
      <c r="P684" s="45"/>
      <c r="Q684" s="185"/>
      <c r="R684" s="186"/>
    </row>
    <row r="685" spans="1:18" ht="15" customHeight="1">
      <c r="A685" s="173" t="s">
        <v>276</v>
      </c>
      <c r="B685" s="183"/>
      <c r="C685" s="218">
        <v>203604025</v>
      </c>
      <c r="D685" s="168"/>
      <c r="F685" s="184" t="s">
        <v>76</v>
      </c>
      <c r="G685" s="45" t="s">
        <v>64</v>
      </c>
      <c r="H685" s="45" t="s">
        <v>77</v>
      </c>
      <c r="I685" s="59">
        <v>46225</v>
      </c>
      <c r="J685" s="59">
        <v>46228</v>
      </c>
      <c r="K685" s="59">
        <v>46256</v>
      </c>
      <c r="O685" s="45" t="s">
        <v>226</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226</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226</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226</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226</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226</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226</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226</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226</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226</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226</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226</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226</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226</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226</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226</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226</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226</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226</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226</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226</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226</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226</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226</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226</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226</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226</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226</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226</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226</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226</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226</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226</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226</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226</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226</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226</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226</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226</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226</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226</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226</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226</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226</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226</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226</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226</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226</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226</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226</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226</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226</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226</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226</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226</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226</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226</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226</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226</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226</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226</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226</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226</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226</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226</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226</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226</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226</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226</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226</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226</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226</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226</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226</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226</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226</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226</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226</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226</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226</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226</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226</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226</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226</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226</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226</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226</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226</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226</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226</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226</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226</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226</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226</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226</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226</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226</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226</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226</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226</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226</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226</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226</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226</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226</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226</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226</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226</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226</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226</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226</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226</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226</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226</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226</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226</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226</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226</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226</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226</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226</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226</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226</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226</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226</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226</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226</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226</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226</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226</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226</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226</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226</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226</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226</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226</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226</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226</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226</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226</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226</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226</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226</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226</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226</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226</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226</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226</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226</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226</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226</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226</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226</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226</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226</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226</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226</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226</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226</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226</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226</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226</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226</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226</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226</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226</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226</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226</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226</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226</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240</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240</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8">
      <c r="A4721" s="134" t="s">
        <v>2095</v>
      </c>
      <c r="C4721" s="195">
        <v>182606945</v>
      </c>
      <c r="F4721" s="134" t="s">
        <v>130</v>
      </c>
      <c r="G4721" s="134" t="s">
        <v>2096</v>
      </c>
      <c r="H4721" s="3" t="s">
        <v>30</v>
      </c>
      <c r="I4721" s="191">
        <v>46204</v>
      </c>
      <c r="J4721" s="191">
        <v>46207</v>
      </c>
      <c r="K4721" s="191">
        <v>46235</v>
      </c>
      <c r="O4721" s="119" t="s">
        <v>170</v>
      </c>
    </row>
    <row r="4722" spans="1:18">
      <c r="A4722" s="134" t="s">
        <v>2095</v>
      </c>
      <c r="C4722" s="195">
        <v>182606900</v>
      </c>
      <c r="F4722" s="134" t="s">
        <v>130</v>
      </c>
      <c r="G4722" s="134" t="s">
        <v>2096</v>
      </c>
      <c r="H4722" s="3" t="s">
        <v>30</v>
      </c>
      <c r="I4722" s="191">
        <v>46204</v>
      </c>
      <c r="J4722" s="191">
        <v>46207</v>
      </c>
      <c r="K4722" s="191">
        <v>46235</v>
      </c>
      <c r="O4722" s="119" t="s">
        <v>170</v>
      </c>
    </row>
    <row r="4723" spans="1:18">
      <c r="A4723" s="134" t="s">
        <v>2095</v>
      </c>
      <c r="C4723" s="195">
        <v>182606876</v>
      </c>
      <c r="F4723" s="134" t="s">
        <v>130</v>
      </c>
      <c r="G4723" s="134" t="s">
        <v>2096</v>
      </c>
      <c r="H4723" s="3" t="s">
        <v>30</v>
      </c>
      <c r="I4723" s="191">
        <v>46204</v>
      </c>
      <c r="J4723" s="191">
        <v>46207</v>
      </c>
      <c r="K4723" s="191">
        <v>46235</v>
      </c>
      <c r="O4723" s="119" t="s">
        <v>170</v>
      </c>
    </row>
    <row r="4724" spans="1:18">
      <c r="A4724" s="134" t="s">
        <v>2095</v>
      </c>
      <c r="C4724" s="195">
        <v>182606744</v>
      </c>
      <c r="F4724" s="134" t="s">
        <v>130</v>
      </c>
      <c r="G4724" s="134" t="s">
        <v>2096</v>
      </c>
      <c r="H4724" s="3" t="s">
        <v>30</v>
      </c>
      <c r="I4724" s="191">
        <v>46204</v>
      </c>
      <c r="J4724" s="191">
        <v>46207</v>
      </c>
      <c r="K4724" s="191">
        <v>46235</v>
      </c>
      <c r="O4724" s="119" t="s">
        <v>170</v>
      </c>
    </row>
    <row r="4725" spans="1:18">
      <c r="A4725" s="134" t="s">
        <v>2095</v>
      </c>
      <c r="C4725" s="195">
        <v>182606664</v>
      </c>
      <c r="F4725" s="134" t="s">
        <v>130</v>
      </c>
      <c r="G4725" s="134" t="s">
        <v>2096</v>
      </c>
      <c r="H4725" s="3" t="s">
        <v>30</v>
      </c>
      <c r="I4725" s="191">
        <v>46204</v>
      </c>
      <c r="J4725" s="191">
        <v>46207</v>
      </c>
      <c r="K4725" s="191">
        <v>46235</v>
      </c>
      <c r="O4725" s="119" t="s">
        <v>170</v>
      </c>
    </row>
    <row r="4726" spans="1:18">
      <c r="A4726" s="134" t="s">
        <v>2095</v>
      </c>
      <c r="C4726" s="195">
        <v>182606489</v>
      </c>
      <c r="F4726" s="134" t="s">
        <v>130</v>
      </c>
      <c r="G4726" s="134" t="s">
        <v>2096</v>
      </c>
      <c r="H4726" s="3" t="s">
        <v>30</v>
      </c>
      <c r="I4726" s="191">
        <v>46204</v>
      </c>
      <c r="J4726" s="191">
        <v>46207</v>
      </c>
      <c r="K4726" s="191">
        <v>46235</v>
      </c>
      <c r="O4726" s="119" t="s">
        <v>170</v>
      </c>
    </row>
    <row r="4727" spans="1:18">
      <c r="A4727" s="134" t="s">
        <v>2095</v>
      </c>
      <c r="C4727" s="195">
        <v>182606315</v>
      </c>
      <c r="F4727" s="134" t="s">
        <v>130</v>
      </c>
      <c r="G4727" s="134" t="s">
        <v>2096</v>
      </c>
      <c r="H4727" s="3" t="s">
        <v>30</v>
      </c>
      <c r="I4727" s="191">
        <v>46204</v>
      </c>
      <c r="J4727" s="191">
        <v>46207</v>
      </c>
      <c r="K4727" s="191">
        <v>46235</v>
      </c>
      <c r="O4727" s="119" t="s">
        <v>170</v>
      </c>
    </row>
    <row r="4728" spans="1:18">
      <c r="A4728" s="134" t="s">
        <v>2040</v>
      </c>
      <c r="C4728" s="195">
        <v>209608534</v>
      </c>
      <c r="F4728" s="29" t="s">
        <v>76</v>
      </c>
      <c r="G4728" s="3" t="s">
        <v>64</v>
      </c>
      <c r="H4728" s="3" t="s">
        <v>77</v>
      </c>
      <c r="I4728" s="191">
        <v>46231</v>
      </c>
      <c r="J4728" s="191">
        <v>46234</v>
      </c>
      <c r="K4728" s="191">
        <v>46262</v>
      </c>
      <c r="O4728" s="119" t="s">
        <v>170</v>
      </c>
    </row>
    <row r="4729" spans="1:18">
      <c r="A4729" s="134" t="s">
        <v>2040</v>
      </c>
      <c r="C4729" s="195">
        <v>-209608543</v>
      </c>
      <c r="F4729" s="29" t="s">
        <v>76</v>
      </c>
      <c r="G4729" s="3" t="s">
        <v>64</v>
      </c>
      <c r="H4729" s="3" t="s">
        <v>77</v>
      </c>
      <c r="I4729" s="191">
        <v>46231</v>
      </c>
      <c r="J4729" s="191">
        <v>46234</v>
      </c>
      <c r="K4729" s="191">
        <v>46262</v>
      </c>
      <c r="O4729" s="119" t="s">
        <v>170</v>
      </c>
    </row>
    <row r="4730" spans="1:18">
      <c r="A4730" s="134" t="s">
        <v>2040</v>
      </c>
      <c r="C4730" s="195">
        <v>-209608549</v>
      </c>
      <c r="F4730" s="29" t="s">
        <v>76</v>
      </c>
      <c r="G4730" s="3" t="s">
        <v>64</v>
      </c>
      <c r="H4730" s="3" t="s">
        <v>77</v>
      </c>
      <c r="I4730" s="191">
        <v>46231</v>
      </c>
      <c r="J4730" s="191">
        <v>46234</v>
      </c>
      <c r="K4730" s="191">
        <v>46262</v>
      </c>
      <c r="O4730" s="119" t="s">
        <v>170</v>
      </c>
    </row>
    <row r="4731" spans="1:18">
      <c r="A4731" s="134" t="s">
        <v>2040</v>
      </c>
      <c r="C4731" s="195">
        <v>-209608567</v>
      </c>
      <c r="F4731" s="29" t="s">
        <v>76</v>
      </c>
      <c r="G4731" s="3" t="s">
        <v>64</v>
      </c>
      <c r="H4731" s="3" t="s">
        <v>77</v>
      </c>
      <c r="I4731" s="191">
        <v>46231</v>
      </c>
      <c r="J4731" s="191">
        <v>46234</v>
      </c>
      <c r="K4731" s="191">
        <v>46262</v>
      </c>
      <c r="O4731" s="119" t="s">
        <v>170</v>
      </c>
    </row>
    <row r="4732" spans="1:18">
      <c r="A4732" s="134" t="s">
        <v>2040</v>
      </c>
      <c r="C4732" s="195">
        <v>-209608563</v>
      </c>
      <c r="F4732" s="29" t="s">
        <v>76</v>
      </c>
      <c r="G4732" s="3" t="s">
        <v>64</v>
      </c>
      <c r="H4732" s="3" t="s">
        <v>77</v>
      </c>
      <c r="I4732" s="191">
        <v>46231</v>
      </c>
      <c r="J4732" s="191">
        <v>46234</v>
      </c>
      <c r="K4732" s="191">
        <v>46262</v>
      </c>
      <c r="O4732" s="119" t="s">
        <v>170</v>
      </c>
    </row>
    <row r="4733" spans="1:18">
      <c r="A4733" s="134" t="s">
        <v>2040</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D4774C-3328-4184-A5B4-C6A85E32D70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2026-08-19T17:26:50Z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