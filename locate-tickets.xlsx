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5" documentId="8_{7F841BAC-E3D2-4E4B-A3CA-97B4D46101DD}" xr6:coauthVersionLast="47" xr6:coauthVersionMax="47" xr10:uidLastSave="{AD7606D5-6392-49C5-9559-56E269B9B0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<sst xmlns="http://schemas.openxmlformats.org/spreadsheetml/2006/main" count="27611" uniqueCount="1909">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</sst>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394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255</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148</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325</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325</v>
      </c>
      <c r="E3" s="222"/>
      <c r="F3" s="222"/>
      <c r="G3" s="214" cm="1">
        <f t="array" ref="G3">SUMPRODUCT((UPPER(Master!N2:N4996)="CLEAR")*1)</f>
        <v>394</v>
      </c>
      <c r="H3" s="214"/>
      <c r="I3" s="214"/>
      <c r="J3" s="217" cm="1">
        <f t="array" ref="J3">SUMPRODUCT((UPPER(Master!N2:N4996)="EXPIRED")*1)</f>
        <v>0</v>
      </c>
      <c r="K3" s="217"/>
      <c r="L3" s="217"/>
      <c r="O3" s="172"/>
      <c r="P3" s="171" t="s">
        <v>10</v>
      </c>
      <c r="Q3" s="171" cm="1">
        <f t="array" ref="Q3">SUMPRODUCT((UPPER(Master!N2:N4996)="CLEAR")*1)</f>
        <v>394</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255</v>
      </c>
      <c r="C25" s="111" cm="1">
        <f t="array" ref="C25">IF(A25="","",SUMPRODUCT((UPPER(Master!F2:F4996)=A25)*(UPPER(Master!N2:N4996)="CLEAR")))</f>
        <v>148</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325</v>
      </c>
      <c r="C39" s="91">
        <f>SUMIF(A24:A38,"&lt;&gt;",C24:C38)</f>
        <v>394</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325</v>
      </c>
      <c r="D43" t="s">
        <v>16</v>
      </c>
      <c r="E43">
        <f>E27</f>
        <v>52</v>
      </c>
      <c r="G43" t="s">
        <v>29</v>
      </c>
      <c r="H43">
        <f>H27</f>
        <v>114</v>
      </c>
    </row>
    <row r="44" spans="1:12" hidden="1">
      <c r="A44" t="s">
        <v>10</v>
      </c>
      <c r="B44">
        <f>G3</f>
        <v>394</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1832</v>
      </c>
      <c r="C48">
        <f>B55</f>
        <v>1182</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650</v>
      </c>
    </row>
    <row r="55" spans="1:2" hidden="1">
      <c r="A55" t="s">
        <v>10</v>
      </c>
      <c r="B55">
        <f>COUNTIF(Master!N2:N4996,"Clear")+COUNTIF(Master!N2:N4996,"clear")+COUNTIF(Master!N2:N4996,"CLEAR")</f>
        <v>1182</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I477" activePane="topRight" state="frozen"/>
      <selection pane="topRight" activeCell="O504" sqref="O504:O50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2622D06-8D2B-4992-AA56-B55AEB470C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