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79" documentId="8_{7F841BAC-E3D2-4E4B-A3CA-97B4D46101DD}" xr6:coauthVersionLast="47" xr6:coauthVersionMax="47" xr10:uidLastSave="{C52FB4CB-2AFE-407F-A2F9-D4D4305FB40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<sst xmlns="http://schemas.openxmlformats.org/spreadsheetml/2006/main" count="30466" uniqueCount="2035">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</sst>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247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28</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2</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125</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125</v>
      </c>
      <c r="E3" s="231"/>
      <c r="F3" s="231"/>
      <c r="G3" s="223" cm="1">
        <f t="array" ref="G3">SUMPRODUCT((UPPER(Master!O2:O4315)="CLEAR")*1)</f>
        <v>247</v>
      </c>
      <c r="H3" s="223"/>
      <c r="I3" s="223"/>
      <c r="J3" s="226" cm="1">
        <f t="array" ref="J3">SUMPRODUCT((UPPER(Master!O2:O4315)="EXPIRED")*1)</f>
        <v>0</v>
      </c>
      <c r="K3" s="226"/>
      <c r="L3" s="226"/>
      <c r="O3" s="170"/>
      <c r="P3" s="169" t="s">
        <v>10</v>
      </c>
      <c r="Q3" s="169" cm="1">
        <f t="array" ref="Q3">SUMPRODUCT((UPPER(Master!O2:O4315)="CLEAR")*1)</f>
        <v>247</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125</v>
      </c>
      <c r="C39" s="91">
        <f>SUMIF(A24:A38,"&lt;&gt;",C24:C38)</f>
        <v>247</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125</v>
      </c>
      <c r="D43" t="s">
        <v>16</v>
      </c>
      <c r="E43">
        <f>E27</f>
        <v>65</v>
      </c>
      <c r="G43" t="s">
        <v>29</v>
      </c>
      <c r="H43">
        <f>H27</f>
        <v>2</v>
      </c>
    </row>
    <row r="44" spans="1:12" hidden="1">
      <c r="A44" t="s">
        <v>10</v>
      </c>
      <c r="B44">
        <f>G3</f>
        <v>247</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991</v>
      </c>
      <c r="C48">
        <f>B55</f>
        <v>741</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250</v>
      </c>
    </row>
    <row r="55" spans="1:2" hidden="1">
      <c r="A55" t="s">
        <v>10</v>
      </c>
      <c r="B55">
        <f>COUNTIF(Master!O2:O4315,"Clear")+COUNTIF(Master!O2:O4315,"clear")+COUNTIF(Master!O2:O4315,"CLEAR")</f>
        <v>741</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M314" activePane="topRight" state="frozen"/>
      <selection pane="topRight" activeCell="O337" sqref="O3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B41C0D6-D078-44B4-BA4C-6ABF2D2F0A7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2026-07-27T21:02:22Z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