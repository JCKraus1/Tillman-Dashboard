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44" documentId="8_{7F841BAC-E3D2-4E4B-A3CA-97B4D46101DD}" xr6:coauthVersionLast="47" xr6:coauthVersionMax="47" xr10:uidLastSave="{95DC7896-3F8C-477E-935E-6C0F90A0B7C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<sst xmlns="http://schemas.openxmlformats.org/spreadsheetml/2006/main" count="27611" uniqueCount="1909">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</sst>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341</c:v>
                </c:pt>
                <c:pt idx="1">
                  <c:v>378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271</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132</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341</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341</v>
      </c>
      <c r="E3" s="222"/>
      <c r="F3" s="222"/>
      <c r="G3" s="214" cm="1">
        <f t="array" ref="G3">SUMPRODUCT((UPPER(Master!N2:N4996)="CLEAR")*1)</f>
        <v>378</v>
      </c>
      <c r="H3" s="214"/>
      <c r="I3" s="214"/>
      <c r="J3" s="217" cm="1">
        <f t="array" ref="J3">SUMPRODUCT((UPPER(Master!N2:N4996)="EXPIRED")*1)</f>
        <v>0</v>
      </c>
      <c r="K3" s="217"/>
      <c r="L3" s="217"/>
      <c r="O3" s="172"/>
      <c r="P3" s="171" t="s">
        <v>10</v>
      </c>
      <c r="Q3" s="171" cm="1">
        <f t="array" ref="Q3">SUMPRODUCT((UPPER(Master!N2:N4996)="CLEAR")*1)</f>
        <v>378</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271</v>
      </c>
      <c r="C25" s="111" cm="1">
        <f t="array" ref="C25">IF(A25="","",SUMPRODUCT((UPPER(Master!F2:F4996)=A25)*(UPPER(Master!N2:N4996)="CLEAR")))</f>
        <v>132</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341</v>
      </c>
      <c r="C39" s="91">
        <f>SUMIF(A24:A38,"&lt;&gt;",C24:C38)</f>
        <v>378</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341</v>
      </c>
      <c r="D43" t="s">
        <v>16</v>
      </c>
      <c r="E43">
        <f>E27</f>
        <v>52</v>
      </c>
      <c r="G43" t="s">
        <v>29</v>
      </c>
      <c r="H43">
        <f>H27</f>
        <v>114</v>
      </c>
    </row>
    <row r="44" spans="1:12" hidden="1">
      <c r="A44" t="s">
        <v>10</v>
      </c>
      <c r="B44">
        <f>G3</f>
        <v>378</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1816</v>
      </c>
      <c r="C48">
        <f>B55</f>
        <v>1134</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682</v>
      </c>
    </row>
    <row r="55" spans="1:2" hidden="1">
      <c r="A55" t="s">
        <v>10</v>
      </c>
      <c r="B55">
        <f>COUNTIF(Master!N2:N4996,"Clear")+COUNTIF(Master!N2:N4996,"clear")+COUNTIF(Master!N2:N4996,"CLEAR")</f>
        <v>1134</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04" activePane="topRight" state="frozen"/>
      <selection pane="topRight" activeCell="G612" sqref="G612:G637"/>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9</v>
      </c>
      <c r="Q460" s="186"/>
    </row>
    <row r="461" spans="1:17" ht="15" customHeight="1">
      <c r="A461" s="182" t="s">
        <v>154</v>
      </c>
      <c r="B461" s="168">
        <v>155606473</v>
      </c>
      <c r="E461" s="29" t="s">
        <v>93</v>
      </c>
      <c r="F461" s="3" t="s">
        <v>64</v>
      </c>
      <c r="G461" s="3" t="s">
        <v>94</v>
      </c>
      <c r="H461" s="55">
        <v>46177</v>
      </c>
      <c r="I461" s="55">
        <v>46181</v>
      </c>
      <c r="J461" s="55">
        <v>46207</v>
      </c>
      <c r="N461" s="3" t="s">
        <v>9</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9</v>
      </c>
      <c r="Q478" s="186"/>
    </row>
    <row r="479" spans="1:17" ht="15" customHeight="1">
      <c r="A479" s="182" t="s">
        <v>156</v>
      </c>
      <c r="B479" s="168">
        <v>156607718</v>
      </c>
      <c r="E479" s="29" t="s">
        <v>157</v>
      </c>
      <c r="F479" s="3" t="s">
        <v>64</v>
      </c>
      <c r="G479" s="3" t="s">
        <v>158</v>
      </c>
      <c r="H479" s="55">
        <v>46178</v>
      </c>
      <c r="J479" s="55">
        <v>46208</v>
      </c>
      <c r="N479" s="3" t="s">
        <v>9</v>
      </c>
      <c r="Q479" s="186"/>
    </row>
    <row r="480" spans="1:17" ht="15" customHeight="1">
      <c r="A480" s="182" t="s">
        <v>156</v>
      </c>
      <c r="B480" s="168">
        <v>156607724</v>
      </c>
      <c r="E480" s="29" t="s">
        <v>157</v>
      </c>
      <c r="F480" s="3" t="s">
        <v>64</v>
      </c>
      <c r="G480" s="3" t="s">
        <v>158</v>
      </c>
      <c r="H480" s="55">
        <v>46178</v>
      </c>
      <c r="J480" s="55">
        <v>46208</v>
      </c>
      <c r="N480" s="3" t="s">
        <v>9</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9</v>
      </c>
      <c r="Q483" s="186"/>
    </row>
    <row r="484" spans="1:17" ht="15" customHeight="1">
      <c r="A484" s="182" t="s">
        <v>159</v>
      </c>
      <c r="B484" s="168">
        <v>156607606</v>
      </c>
      <c r="E484" s="29" t="s">
        <v>157</v>
      </c>
      <c r="F484" s="3" t="s">
        <v>64</v>
      </c>
      <c r="G484" s="3" t="s">
        <v>158</v>
      </c>
      <c r="H484" s="55">
        <v>46178</v>
      </c>
      <c r="J484" s="55">
        <v>46208</v>
      </c>
      <c r="N484" s="3" t="s">
        <v>9</v>
      </c>
      <c r="Q484" s="186"/>
    </row>
    <row r="485" spans="1:17" ht="15" customHeight="1">
      <c r="A485" s="182" t="s">
        <v>159</v>
      </c>
      <c r="B485" s="168">
        <v>156607616</v>
      </c>
      <c r="E485" s="29" t="s">
        <v>157</v>
      </c>
      <c r="F485" s="3" t="s">
        <v>64</v>
      </c>
      <c r="G485" s="3" t="s">
        <v>158</v>
      </c>
      <c r="H485" s="55">
        <v>46178</v>
      </c>
      <c r="J485" s="55">
        <v>46208</v>
      </c>
      <c r="N485" s="3" t="s">
        <v>9</v>
      </c>
      <c r="Q485" s="186"/>
    </row>
    <row r="486" spans="1:17" ht="15" customHeight="1">
      <c r="A486" s="182" t="s">
        <v>159</v>
      </c>
      <c r="B486" s="168">
        <v>156607631</v>
      </c>
      <c r="E486" s="29" t="s">
        <v>157</v>
      </c>
      <c r="F486" s="3" t="s">
        <v>64</v>
      </c>
      <c r="G486" s="3" t="s">
        <v>158</v>
      </c>
      <c r="H486" s="55">
        <v>46178</v>
      </c>
      <c r="J486" s="55">
        <v>46208</v>
      </c>
      <c r="N486" s="3" t="s">
        <v>9</v>
      </c>
      <c r="Q486" s="186"/>
    </row>
    <row r="487" spans="1:17" ht="15" customHeight="1">
      <c r="A487" s="182" t="s">
        <v>160</v>
      </c>
      <c r="B487" s="199">
        <v>156607756</v>
      </c>
      <c r="E487" s="29" t="s">
        <v>157</v>
      </c>
      <c r="F487" s="3" t="s">
        <v>64</v>
      </c>
      <c r="G487" s="3" t="s">
        <v>158</v>
      </c>
      <c r="H487" s="55">
        <v>46178</v>
      </c>
      <c r="J487" s="55">
        <v>46208</v>
      </c>
      <c r="N487" s="3" t="s">
        <v>9</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9</v>
      </c>
      <c r="Q504" s="186"/>
    </row>
    <row r="505" spans="1:17" ht="15" customHeight="1">
      <c r="A505" s="193" t="s">
        <v>128</v>
      </c>
      <c r="B505" s="176">
        <v>160608116</v>
      </c>
      <c r="E505" s="29" t="s">
        <v>117</v>
      </c>
      <c r="F505" s="3" t="s">
        <v>64</v>
      </c>
      <c r="G505" s="3" t="s">
        <v>118</v>
      </c>
      <c r="H505" s="55">
        <v>46182</v>
      </c>
      <c r="I505" s="55">
        <v>46185</v>
      </c>
      <c r="J505" s="55">
        <v>46212</v>
      </c>
      <c r="N505" s="3" t="s">
        <v>9</v>
      </c>
      <c r="Q505" s="186"/>
    </row>
    <row r="506" spans="1:17" ht="15" customHeight="1">
      <c r="A506" s="193" t="s">
        <v>128</v>
      </c>
      <c r="B506" s="176">
        <v>160608125</v>
      </c>
      <c r="E506" s="29" t="s">
        <v>117</v>
      </c>
      <c r="F506" s="3" t="s">
        <v>64</v>
      </c>
      <c r="G506" s="3" t="s">
        <v>118</v>
      </c>
      <c r="H506" s="55">
        <v>46182</v>
      </c>
      <c r="I506" s="55">
        <v>46185</v>
      </c>
      <c r="J506" s="55">
        <v>46212</v>
      </c>
      <c r="N506" s="3" t="s">
        <v>9</v>
      </c>
      <c r="Q506" s="186"/>
    </row>
    <row r="507" spans="1:17" ht="15" customHeight="1">
      <c r="A507" s="193" t="s">
        <v>128</v>
      </c>
      <c r="B507" s="176">
        <v>160608137</v>
      </c>
      <c r="E507" s="29" t="s">
        <v>117</v>
      </c>
      <c r="F507" s="3" t="s">
        <v>64</v>
      </c>
      <c r="G507" s="3" t="s">
        <v>118</v>
      </c>
      <c r="H507" s="55">
        <v>46182</v>
      </c>
      <c r="I507" s="55">
        <v>46185</v>
      </c>
      <c r="J507" s="55">
        <v>46212</v>
      </c>
      <c r="N507" s="3" t="s">
        <v>9</v>
      </c>
      <c r="Q507" s="186"/>
    </row>
    <row r="508" spans="1:17" ht="15" customHeight="1">
      <c r="A508" s="193" t="s">
        <v>128</v>
      </c>
      <c r="B508" s="176">
        <v>160608169</v>
      </c>
      <c r="E508" s="29" t="s">
        <v>117</v>
      </c>
      <c r="F508" s="3" t="s">
        <v>64</v>
      </c>
      <c r="G508" s="3" t="s">
        <v>118</v>
      </c>
      <c r="H508" s="55">
        <v>46182</v>
      </c>
      <c r="I508" s="55">
        <v>46185</v>
      </c>
      <c r="J508" s="55">
        <v>46212</v>
      </c>
      <c r="N508" s="3" t="s">
        <v>9</v>
      </c>
      <c r="Q508" s="186"/>
    </row>
    <row r="509" spans="1:17" ht="15" customHeight="1">
      <c r="A509" s="193" t="s">
        <v>128</v>
      </c>
      <c r="B509" s="176">
        <v>160608177</v>
      </c>
      <c r="E509" s="29" t="s">
        <v>117</v>
      </c>
      <c r="F509" s="3" t="s">
        <v>64</v>
      </c>
      <c r="G509" s="3" t="s">
        <v>118</v>
      </c>
      <c r="H509" s="55">
        <v>46182</v>
      </c>
      <c r="I509" s="55">
        <v>46185</v>
      </c>
      <c r="J509" s="55">
        <v>46212</v>
      </c>
      <c r="N509" s="3" t="s">
        <v>9</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BFB4D24-8476-495F-B7B4-06C586B614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2026-06-18T14:00:37Z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