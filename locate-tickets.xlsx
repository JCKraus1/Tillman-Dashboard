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52" documentId="8_{7F841BAC-E3D2-4E4B-A3CA-97B4D46101DD}" xr6:coauthVersionLast="47" xr6:coauthVersionMax="47" xr10:uidLastSave="{1FBA665F-9870-47E2-9B3E-BFBE3F0F0B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<sst xmlns="http://schemas.openxmlformats.org/spreadsheetml/2006/main" count="25316" uniqueCount="1826">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</sst>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95</c:v>
                </c:pt>
                <c:pt idx="1">
                  <c:v>173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95</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95</v>
      </c>
      <c r="E3" s="199"/>
      <c r="F3" s="199"/>
      <c r="G3" s="191" cm="1">
        <f t="array" ref="G3">SUMPRODUCT((UPPER(Master!L2:L352)="CLEAR")*1)</f>
        <v>173</v>
      </c>
      <c r="H3" s="191"/>
      <c r="I3" s="191"/>
      <c r="J3" s="194" cm="1">
        <f t="array" ref="J3">SUMPRODUCT((UPPER(Master!L2:L352)="EXPIRED")*1)</f>
        <v>0</v>
      </c>
      <c r="K3" s="194"/>
      <c r="L3" s="194"/>
      <c r="P3" s="181" t="s">
        <v>10</v>
      </c>
      <c r="Q3" s="181" cm="1">
        <f t="array" ref="Q3">SUMPRODUCT((UPPER(Master!L2:L352)="CLEAR")*1)</f>
        <v>173</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1</v>
      </c>
      <c r="C24" s="110" cm="1">
        <f t="array" ref="C24">IF(A24="","",SUMPRODUCT((UPPER(Master!F2:F352)=A24)*(UPPER(Master!L2:L352)="CLEAR")))</f>
        <v>19</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3</v>
      </c>
      <c r="C26" s="110" cm="1">
        <f t="array" ref="C26">IF(A26="","",SUMPRODUCT((UPPER(Master!F2:F352)=A26)*(UPPER(Master!L2:L352)="CLEAR")))</f>
        <v>67</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95</v>
      </c>
      <c r="C39" s="91">
        <f>SUMIF(A24:A38,"&lt;&gt;",C24:C38)</f>
        <v>173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95</v>
      </c>
      <c r="D47" t="s">
        <v>16</v>
      </c>
      <c r="E47">
        <f>E27</f>
        <v>83</v>
      </c>
      <c r="G47" t="s">
        <v>29</v>
      </c>
      <c r="H47">
        <f>H27</f>
        <v>25</v>
      </c>
    </row>
    <row r="48" spans="1:12" hidden="1">
      <c r="A48" t="s">
        <v>10</v>
      </c>
      <c r="B48">
        <f>G3</f>
        <v>173</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69"/>
  <sheetViews>
    <sheetView tabSelected="1" zoomScale="90" zoomScaleNormal="90" workbookViewId="0">
      <pane xSplit="1" topLeftCell="B165" activePane="topRight" state="frozen"/>
      <selection pane="topRight" activeCell="B269" sqref="B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69"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6D6364F-90F5-49D1-BB5B-66158F1D17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2026-06-01T11:58:32Z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