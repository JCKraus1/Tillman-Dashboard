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77" documentId="8_{7F841BAC-E3D2-4E4B-A3CA-97B4D46101DD}" xr6:coauthVersionLast="47" xr6:coauthVersionMax="47" xr10:uidLastSave="{2C7953A6-9887-4815-A254-AD9BDDEF2F4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<sst xmlns="http://schemas.openxmlformats.org/spreadsheetml/2006/main" count="27855" uniqueCount="1910">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</sst>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xf>
    <xf numFmtId="0" fontId="2" fillId="2" borderId="1" xfId="0" applyFont="1" applyFill="1" applyBorder="1" applyAlignment="1">
      <alignment horizontal="right"/>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4" xfId="0" applyFont="1" applyBorder="1" applyAlignment="1">
      <alignment horizontal="right" indent="1"/>
    </xf>
    <xf numFmtId="0" fontId="33" fillId="0" borderId="1" xfId="0" applyFont="1" applyBorder="1" applyAlignment="1">
      <alignment horizontal="right" indent="1"/>
    </xf>
    <xf numFmtId="0" fontId="33" fillId="2" borderId="1" xfId="0" applyFont="1" applyFill="1" applyBorder="1" applyAlignment="1">
      <alignment horizontal="right" indent="1"/>
    </xf>
    <xf numFmtId="0" fontId="33" fillId="0" borderId="12"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6" tableId="2"/>
  </namedSheetView>
  <namedSheetView name="View2" id="{5C55A572-B441-4CF5-BE17-145477518499}">
    <nsvFilter filterId="{BB0ACC31-0A2E-46B2-8451-25A295C87F01}" ref="A1:R9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6" totalsRowShown="0" headerRowDxfId="25" dataDxfId="24" headerRowBorderDxfId="22" tableBorderDxfId="23">
  <autoFilter ref="A1:R986"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SUMPRODUCT((UPPER(Master!O2:O4884)="PENDING")*1)</f>
        <v>329</v>
      </c>
      <c r="R2" s="170" t="str" cm="1">
        <f t="array" ref="R2:R9">IFERROR(_xlfn._xlws.SORT(_xlfn.UNIQUE(_xlfn._xlws.FILTER(UPPER(Master!G2:G4884),Master!G2:G4884&lt;&gt;""))),"")</f>
        <v>BRADENTON</v>
      </c>
      <c r="S2" s="170" t="str" cm="1">
        <f t="array" ref="S2:S19">IFERROR(_xlfn._xlws.SORT(_xlfn.UNIQUE(_xlfn._xlws.FILTER(Master!H2:H4884,Master!H2:H4884&lt;&gt;""))),"")</f>
        <v>ALPHA OMEGA</v>
      </c>
      <c r="T2" s="170"/>
    </row>
    <row r="3" spans="1:20" ht="45" customHeight="1">
      <c r="A3" s="207">
        <f>COUNTA(Master!C2:C4884)</f>
        <v>628</v>
      </c>
      <c r="B3" s="207"/>
      <c r="C3" s="207"/>
      <c r="D3" s="210" cm="1">
        <f t="array" ref="D3">SUMPRODUCT((UPPER(Master!O2:O4884)="PENDING")*1)</f>
        <v>329</v>
      </c>
      <c r="E3" s="210"/>
      <c r="F3" s="210"/>
      <c r="G3" s="202" cm="1">
        <f t="array" ref="G3">SUMPRODUCT((UPPER(Master!O2:O4884)="CLEAR")*1)</f>
        <v>299</v>
      </c>
      <c r="H3" s="202"/>
      <c r="I3" s="202"/>
      <c r="J3" s="205" cm="1">
        <f t="array" ref="J3">SUMPRODUCT((UPPER(Master!O2:O4884)="EXPIRED")*1)</f>
        <v>0</v>
      </c>
      <c r="K3" s="205"/>
      <c r="L3" s="205"/>
      <c r="O3" s="170"/>
      <c r="P3" s="169" t="s">
        <v>10</v>
      </c>
      <c r="Q3" s="169" cm="1">
        <f t="array" ref="Q3">SUMPRODUCT((UPPER(Master!O2:O4884)="CLEAR")*1)</f>
        <v>299</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SUMPRODUCT((UPPER(Master!G2:G4884)="BRADENTON")*1)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SUMPRODUCT((UPPER(Master!G2:G4884)="ST.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SUMPRODUCT((UPPER(Master!G2:G4884)="PUNTA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SUMPRODUCT((UPPER(Master!G2:G4884)="SARASOTA")*1)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SUMPRODUCT((UPPER(Master!G2:G4884)="PORT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IF(P14="","",SUMPRODUCT((UPPER(Master!H2:H4884)=UPPER(P14))*1))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IF(P15="","",SUMPRODUCT((UPPER(Master!H2:H4884)=UPPER(P15))*1))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IF(P16="","",SUMPRODUCT((UPPER(Master!H2:H4884)=UPPER(P16))*1))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IF(P17="","",SUMPRODUCT((UPPER(Master!H2:H4884)=UPPER(P17))*1))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IF(P18="","",SUMPRODUCT((UPPER(Master!H2:H4884)=UPPER(P18))*1))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IF(P19="","",SUMPRODUCT((UPPER(Master!H2:H4884)=UPPER(P19))*1))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IF(P20="","",SUMPRODUCT((UPPER(Master!H2:H4884)=UPPER(P20))*1))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IF(P21="","",SUMPRODUCT((UPPER(Master!H2:H4884)=UPPER(P21))*1))</f>
        <v>7</v>
      </c>
      <c r="R21" s="170"/>
      <c r="S21" s="170"/>
      <c r="T21" s="170"/>
    </row>
    <row r="22" spans="1:20" ht="20.25" customHeight="1">
      <c r="A22" s="216" t="s">
        <v>24</v>
      </c>
      <c r="B22" s="216"/>
      <c r="C22" s="216"/>
      <c r="D22" s="216"/>
      <c r="E22" s="216"/>
      <c r="G22" s="217" t="s">
        <v>25</v>
      </c>
      <c r="H22" s="218"/>
      <c r="O22" s="170"/>
      <c r="P22" s="169" t="str">
        <f>IFERROR(INDEX(_xlfn.ANCHORARRAY(S2),9),"")</f>
        <v>LEGANT</v>
      </c>
      <c r="Q22" s="169" cm="1">
        <f t="array" ref="Q22">IF(P22="","",SUMPRODUCT((UPPER(Master!H2:H4884)=UPPER(P22))*1))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IF(P23="","",SUMPRODUCT((UPPER(Master!H2:H4884)=UPPER(P23))*1))</f>
        <v>52</v>
      </c>
      <c r="R23" s="170"/>
      <c r="S23" s="170"/>
      <c r="T23" s="170"/>
    </row>
    <row r="24" spans="1:20" ht="15.75" customHeight="1">
      <c r="A24" s="107" t="str">
        <f>IFERROR(INDEX(_xlfn.ANCHORARRAY(R2),1),"")</f>
        <v>BRADENTON</v>
      </c>
      <c r="B24" s="108" cm="1">
        <f t="array" ref="B24">IF(A24="","",SUMPRODUCT((UPPER(Master!G2:G4884)=A24)*(UPPER(Master!O2:O4884)="PENDING")))</f>
        <v>18</v>
      </c>
      <c r="C24" s="108" cm="1">
        <f t="array" ref="C24">IF(A24="","",SUMPRODUCT((UPPER(Master!G2:G4884)=A24)*(UPPER(Master!O2:O4884)="CLEAR")))</f>
        <v>1</v>
      </c>
      <c r="D24" s="108" cm="1">
        <f t="array" ref="D24">IF(A24="","",SUMPRODUCT((UPPER(Master!G2:G4884)=A24)*(UPPER(Master!O2:O4884)="EXPIRED")))</f>
        <v>0</v>
      </c>
      <c r="E24" s="109">
        <f>IF(A24="","",B24+C24+D24)</f>
        <v>19</v>
      </c>
      <c r="G24" s="114" t="str">
        <f>IFERROR(INDEX(_xlfn.ANCHORARRAY(S2),1),"")</f>
        <v>ALPHA OMEGA</v>
      </c>
      <c r="H24" s="113" cm="1">
        <f t="array" ref="H24">IF(G24="","",SUMPRODUCT((UPPER(Master!H2:H4884)=UPPER(G24))*1))</f>
        <v>3</v>
      </c>
      <c r="O24" s="170"/>
      <c r="P24" s="169"/>
      <c r="Q24" s="169"/>
      <c r="R24" s="170"/>
      <c r="S24" s="170"/>
      <c r="T24" s="170"/>
    </row>
    <row r="25" spans="1:20" ht="15.75" customHeight="1">
      <c r="A25" s="110" t="str">
        <f>IFERROR(INDEX(_xlfn.ANCHORARRAY(R2),2),"")</f>
        <v>CLEARWATER</v>
      </c>
      <c r="B25" s="111" cm="1">
        <f t="array" ref="B25">IF(A25="","",SUMPRODUCT((UPPER(Master!G2:G4884)=A25)*(UPPER(Master!O2:O4884)="PENDING")))</f>
        <v>243</v>
      </c>
      <c r="C25" s="111" cm="1">
        <f t="array" ref="C25">IF(A25="","",SUMPRODUCT((UPPER(Master!G2:G4884)=A25)*(UPPER(Master!O2:O4884)="CLEAR")))</f>
        <v>149</v>
      </c>
      <c r="D25" s="111" cm="1">
        <f t="array" ref="D25">IF(A25="","",SUMPRODUCT((UPPER(Master!G2:G4884)=A25)*(UPPER(Master!O2:O4884)="EXPIRED")))</f>
        <v>0</v>
      </c>
      <c r="E25" s="112">
        <f>IF(A25="","",B25+C25+D25)</f>
        <v>392</v>
      </c>
      <c r="G25" s="110" t="str">
        <f>IFERROR(INDEX(_xlfn.ANCHORARRAY(S2),2),"")</f>
        <v>APT</v>
      </c>
      <c r="H25" s="112" cm="1">
        <f t="array" ref="H25">IF(G25="","",SUMPRODUCT((UPPER(Master!H2:H4884)=UPPER(G25))*1))</f>
        <v>14</v>
      </c>
      <c r="O25" s="170"/>
      <c r="P25" s="169"/>
      <c r="Q25" s="169"/>
      <c r="R25" s="170"/>
      <c r="S25" s="170"/>
      <c r="T25" s="170"/>
    </row>
    <row r="26" spans="1:20" ht="15.75" customHeight="1">
      <c r="A26" s="107" t="str">
        <f>IFERROR(INDEX(_xlfn.ANCHORARRAY(R2),3),"")</f>
        <v>FORT MYERS</v>
      </c>
      <c r="B26" s="108" cm="1">
        <f t="array" ref="B26">IF(A26="","",SUMPRODUCT((UPPER(Master!G2:G4884)=A26)*(UPPER(Master!O2:O4884)="PENDING")))</f>
        <v>26</v>
      </c>
      <c r="C26" s="108" cm="1">
        <f t="array" ref="C26">IF(A26="","",SUMPRODUCT((UPPER(Master!G2:G4884)=A26)*(UPPER(Master!O2:O4884)="CLEAR")))</f>
        <v>56</v>
      </c>
      <c r="D26" s="108" cm="1">
        <f t="array" ref="D26">IF(A26="","",SUMPRODUCT((UPPER(Master!G2:G4884)=A26)*(UPPER(Master!O2:O4884)="EXPIRED")))</f>
        <v>0</v>
      </c>
      <c r="E26" s="109">
        <f>IF(A26="","",B26+C26+D26)</f>
        <v>82</v>
      </c>
      <c r="G26" s="107" t="str">
        <f>IFERROR(INDEX(_xlfn.ANCHORARRAY(S2),3),"")</f>
        <v>BROTHERS</v>
      </c>
      <c r="H26" s="109" cm="1">
        <f t="array" ref="H26">IF(G26="","",SUMPRODUCT((UPPER(Master!H2:H4884)=UPPER(G26))*1))</f>
        <v>97</v>
      </c>
    </row>
    <row r="27" spans="1:20" ht="15.75" customHeight="1">
      <c r="A27" s="110" t="str">
        <f>IFERROR(INDEX(_xlfn.ANCHORARRAY(R2),4),"")</f>
        <v>FT MYERS</v>
      </c>
      <c r="B27" s="111" cm="1">
        <f t="array" ref="B27">IF(A27="","",SUMPRODUCT((UPPER(Master!G2:G4884)=A27)*(UPPER(Master!O2:O4884)="PENDING")))</f>
        <v>0</v>
      </c>
      <c r="C27" s="111" cm="1">
        <f t="array" ref="C27">IF(A27="","",SUMPRODUCT((UPPER(Master!G2:G4884)=A27)*(UPPER(Master!O2:O4884)="CLEAR")))</f>
        <v>49</v>
      </c>
      <c r="D27" s="111" cm="1">
        <f t="array" ref="D27">IF(A27="","",SUMPRODUCT((UPPER(Master!G2:G4884)=A27)*(UPPER(Master!O2:O4884)="EXPIRED")))</f>
        <v>0</v>
      </c>
      <c r="E27" s="112">
        <f>IF(A27="","",B27+C27+D27)</f>
        <v>49</v>
      </c>
      <c r="G27" s="110" t="str">
        <f>IFERROR(INDEX(_xlfn.ANCHORARRAY(S2),4),"")</f>
        <v>GN Systems</v>
      </c>
      <c r="H27" s="112" cm="1">
        <f t="array" ref="H27">IF(G27="","",SUMPRODUCT((UPPER(Master!H2:H4884)=UPPER(G27))*1))</f>
        <v>72</v>
      </c>
    </row>
    <row r="28" spans="1:20" ht="15.75" customHeight="1">
      <c r="A28" s="107" t="str">
        <f>IFERROR(INDEX(_xlfn.ANCHORARRAY(R2),5),"")</f>
        <v>LAKELAND</v>
      </c>
      <c r="B28" s="108" cm="1">
        <f t="array" ref="B28">IF(A28="","",SUMPRODUCT((UPPER(Master!G2:G4884)=A28)*(UPPER(Master!O2:O4884)="PENDING")))</f>
        <v>7</v>
      </c>
      <c r="C28" s="108" cm="1">
        <f t="array" ref="C28">IF(A28="","",SUMPRODUCT((UPPER(Master!G2:G4884)=A28)*(UPPER(Master!O2:O4884)="CLEAR")))</f>
        <v>0</v>
      </c>
      <c r="D28" s="108" cm="1">
        <f t="array" ref="D28">IF(A28="","",SUMPRODUCT((UPPER(Master!G2:G4884)=A28)*(UPPER(Master!O2:O4884)="EXPIRED")))</f>
        <v>0</v>
      </c>
      <c r="E28" s="109">
        <f>IF(A28="","",B28+C28+D28)</f>
        <v>7</v>
      </c>
      <c r="G28" s="107" t="str">
        <f>IFERROR(INDEX(_xlfn.ANCHORARRAY(S2),5),"")</f>
        <v>HAS</v>
      </c>
      <c r="H28" s="109" cm="1">
        <f t="array" ref="H28">IF(G28="","",SUMPRODUCT((UPPER(Master!H2:H4884)=UPPER(G28))*1))</f>
        <v>7</v>
      </c>
    </row>
    <row r="29" spans="1:20" ht="15.75" customHeight="1">
      <c r="A29" s="110" t="str">
        <f>IFERROR(INDEX(_xlfn.ANCHORARRAY(R2),6),"")</f>
        <v>MIAMI</v>
      </c>
      <c r="B29" s="111" cm="1">
        <f t="array" ref="B29">IF(A29="","",SUMPRODUCT((UPPER(Master!G2:G4884)=A29)*(UPPER(Master!O2:O4884)="PENDING")))</f>
        <v>12</v>
      </c>
      <c r="C29" s="111" cm="1">
        <f t="array" ref="C29">IF(A29="","",SUMPRODUCT((UPPER(Master!G2:G4884)=A29)*(UPPER(Master!O2:O4884)="CLEAR")))</f>
        <v>32</v>
      </c>
      <c r="D29" s="111" cm="1">
        <f t="array" ref="D29">IF(A29="","",SUMPRODUCT((UPPER(Master!G2:G4884)=A29)*(UPPER(Master!O2:O4884)="EXPIRED")))</f>
        <v>0</v>
      </c>
      <c r="E29" s="112">
        <f>IF(A29="","",B29+C29+D29)</f>
        <v>44</v>
      </c>
      <c r="G29" s="110" t="str">
        <f>IFERROR(INDEX(_xlfn.ANCHORARRAY(S2),6),"")</f>
        <v>HDD</v>
      </c>
      <c r="H29" s="112" cm="1">
        <f t="array" ref="H29">IF(G29="","",SUMPRODUCT((UPPER(Master!H2:H4884)=UPPER(G29))*1))</f>
        <v>14</v>
      </c>
    </row>
    <row r="30" spans="1:20" ht="15.75" customHeight="1">
      <c r="A30" s="107" t="str">
        <f>IFERROR(INDEX(_xlfn.ANCHORARRAY(R2),7),"")</f>
        <v>PUNTA GORDA</v>
      </c>
      <c r="B30" s="108" cm="1">
        <f t="array" ref="B30">IF(A30="","",SUMPRODUCT((UPPER(Master!G2:G4884)=A30)*(UPPER(Master!O2:O4884)="PENDING")))</f>
        <v>22</v>
      </c>
      <c r="C30" s="108" cm="1">
        <f t="array" ref="C30">IF(A30="","",SUMPRODUCT((UPPER(Master!G2:G4884)=A30)*(UPPER(Master!O2:O4884)="CLEAR")))</f>
        <v>12</v>
      </c>
      <c r="D30" s="108" cm="1">
        <f t="array" ref="D30">IF(A30="","",SUMPRODUCT((UPPER(Master!G2:G4884)=A30)*(UPPER(Master!O2:O4884)="EXPIRED")))</f>
        <v>0</v>
      </c>
      <c r="E30" s="109">
        <f>IF(A30="","",B30+C30+D30)</f>
        <v>34</v>
      </c>
      <c r="G30" s="107" t="str">
        <f>IFERROR(INDEX(_xlfn.ANCHORARRAY(S2),7),"")</f>
        <v>HNC</v>
      </c>
      <c r="H30" s="109" cm="1">
        <f t="array" ref="H30">IF(G30="","",SUMPRODUCT((UPPER(Master!H2:H4884)=UPPER(G30))*1))</f>
        <v>12</v>
      </c>
    </row>
    <row r="31" spans="1:20" ht="15.75" customHeight="1">
      <c r="A31" s="110" t="str">
        <f>IFERROR(INDEX(_xlfn.ANCHORARRAY(R2),8),"")</f>
        <v>ST. PETERSBURG</v>
      </c>
      <c r="B31" s="111" cm="1">
        <f t="array" ref="B31">IF(A31="","",SUMPRODUCT((UPPER(Master!G2:G4884)=A31)*(UPPER(Master!O2:O4884)="PENDING")))</f>
        <v>1</v>
      </c>
      <c r="C31" s="111" cm="1">
        <f t="array" ref="C31">IF(A31="","",SUMPRODUCT((UPPER(Master!G2:G4884)=A31)*(UPPER(Master!O2:O4884)="CLEAR")))</f>
        <v>0</v>
      </c>
      <c r="D31" s="111" cm="1">
        <f t="array" ref="D31">IF(A31="","",SUMPRODUCT((UPPER(Master!G2:G4884)=A31)*(UPPER(Master!O2:O4884)="EXPIRED")))</f>
        <v>0</v>
      </c>
      <c r="E31" s="112">
        <f>IF(A31="","",B31+C31+D31)</f>
        <v>1</v>
      </c>
      <c r="G31" s="110" t="str">
        <f>IFERROR(INDEX(_xlfn.ANCHORARRAY(S2),8),"")</f>
        <v>J. GARCIA</v>
      </c>
      <c r="H31" s="112" cm="1">
        <f t="array" ref="H31">IF(G31="","",SUMPRODUCT((UPPER(Master!H2:H4884)=UPPER(G31))*1))</f>
        <v>7</v>
      </c>
    </row>
    <row r="32" spans="1:20" ht="15.75" customHeight="1">
      <c r="A32" s="107" t="str">
        <f>IFERROR(INDEX(_xlfn.ANCHORARRAY(R2),9),"")</f>
        <v/>
      </c>
      <c r="B32" s="108" t="str" cm="1">
        <f t="array" ref="B32">IF(A32="","",SUMPRODUCT((UPPER(Master!G2:G4884)=A32)*(UPPER(Master!O2:O4884)="PENDING")))</f>
        <v/>
      </c>
      <c r="C32" s="108" t="str" cm="1">
        <f t="array" ref="C32">IF(A32="","",SUMPRODUCT((UPPER(Master!G2:G4884)=A32)*(UPPER(Master!O2:O4884)="CLEAR")))</f>
        <v/>
      </c>
      <c r="D32" s="108" t="str" cm="1">
        <f t="array" ref="D32">IF(A32="","",SUMPRODUCT((UPPER(Master!G2:G4884)=A32)*(UPPER(Master!O2:O4884)="EXPIRED")))</f>
        <v/>
      </c>
      <c r="E32" s="109" t="str">
        <f>IF(A32="","",B32+C32+D32)</f>
        <v/>
      </c>
      <c r="G32" s="107" t="str">
        <f>IFERROR(INDEX(_xlfn.ANCHORARRAY(S2),9),"")</f>
        <v>LEGANT</v>
      </c>
      <c r="H32" s="109" cm="1">
        <f t="array" ref="H32">IF(G32="","",SUMPRODUCT((UPPER(Master!H2:H4884)=UPPER(G32))*1))</f>
        <v>14</v>
      </c>
    </row>
    <row r="33" spans="1:12" ht="15.75" customHeight="1">
      <c r="A33" s="110" t="str">
        <f>IFERROR(INDEX(_xlfn.ANCHORARRAY(R2),10),"")</f>
        <v/>
      </c>
      <c r="B33" s="111" t="str" cm="1">
        <f t="array" ref="B33">IF(A33="","",SUMPRODUCT((UPPER(Master!G2:G4884)=A33)*(UPPER(Master!O2:O4884)="PENDING")))</f>
        <v/>
      </c>
      <c r="C33" s="111" t="str" cm="1">
        <f t="array" ref="C33">IF(A33="","",SUMPRODUCT((UPPER(Master!G2:G4884)=A33)*(UPPER(Master!O2:O4884)="CLEAR")))</f>
        <v/>
      </c>
      <c r="D33" s="111" t="str" cm="1">
        <f t="array" ref="D33">IF(A33="","",SUMPRODUCT((UPPER(Master!G2:G4884)=A33)*(UPPER(Master!O2:O4884)="EXPIRED")))</f>
        <v/>
      </c>
      <c r="E33" s="112" t="str">
        <f>IF(A33="","",B33+C33+D33)</f>
        <v/>
      </c>
      <c r="G33" s="110" t="str">
        <f>IFERROR(INDEX(_xlfn.ANCHORARRAY(S2),10),"")</f>
        <v>LOPEZ</v>
      </c>
      <c r="H33" s="112" cm="1">
        <f t="array" ref="H33">IF(G33="","",SUMPRODUCT((UPPER(Master!H2:H4884)=UPPER(G33))*1))</f>
        <v>52</v>
      </c>
    </row>
    <row r="34" spans="1:12" ht="15.75" customHeight="1">
      <c r="A34" s="107" t="str">
        <f>IFERROR(INDEX(_xlfn.ANCHORARRAY(R2),11),"")</f>
        <v/>
      </c>
      <c r="B34" s="108" t="str" cm="1">
        <f t="array" ref="B34">IF(A34="","",SUMPRODUCT((UPPER(Master!G2:G4884)=A34)*(UPPER(Master!O2:O4884)="PENDING")))</f>
        <v/>
      </c>
      <c r="C34" s="108" t="str" cm="1">
        <f t="array" ref="C34">IF(A34="","",SUMPRODUCT((UPPER(Master!G2:G4884)=A34)*(UPPER(Master!O2:O4884)="CLEAR")))</f>
        <v/>
      </c>
      <c r="D34" s="108" t="str" cm="1">
        <f t="array" ref="D34">IF(A34="","",SUMPRODUCT((UPPER(Master!G2:G4884)=A34)*(UPPER(Master!O2:O4884)="EXPIRED")))</f>
        <v/>
      </c>
      <c r="E34" s="109" t="str">
        <f>IF(A34="","",B34+C34+D34)</f>
        <v/>
      </c>
      <c r="G34" s="107" t="str">
        <f>IFERROR(INDEX(_xlfn.ANCHORARRAY(S2),11),"")</f>
        <v>LOPEZ UNDERGROUND</v>
      </c>
      <c r="H34" s="109" cm="1">
        <f t="array" ref="H34">IF(G34="","",SUMPRODUCT((UPPER(Master!H2:H4884)=UPPER(G34))*1))</f>
        <v>25</v>
      </c>
    </row>
    <row r="35" spans="1:12" ht="15.75" customHeight="1">
      <c r="A35" s="110" t="str">
        <f>IFERROR(INDEX(_xlfn.ANCHORARRAY(R2),12),"")</f>
        <v/>
      </c>
      <c r="B35" s="111" t="str" cm="1">
        <f t="array" ref="B35">IF(A35="","",SUMPRODUCT((UPPER(Master!G2:G4884)=A35)*(UPPER(Master!O2:O4884)="PENDING")))</f>
        <v/>
      </c>
      <c r="C35" s="111" t="str" cm="1">
        <f t="array" ref="C35">IF(A35="","",SUMPRODUCT((UPPER(Master!G2:G4884)=A35)*(UPPER(Master!O2:O4884)="CLEAR")))</f>
        <v/>
      </c>
      <c r="D35" s="111" t="str" cm="1">
        <f t="array" ref="D35">IF(A35="","",SUMPRODUCT((UPPER(Master!G2:G4884)=A35)*(UPPER(Master!O2:O4884)="EXPIRED")))</f>
        <v/>
      </c>
      <c r="E35" s="112" t="str">
        <f>IF(A35="","",B35+C35+D35)</f>
        <v/>
      </c>
      <c r="G35" s="110" t="str">
        <f>IFERROR(INDEX(_xlfn.ANCHORARRAY(S2),12),"")</f>
        <v>LSCG</v>
      </c>
      <c r="H35" s="112" cm="1">
        <f t="array" ref="H35">IF(G35="","",SUMPRODUCT((UPPER(Master!H2:H4884)=UPPER(G35))*1))</f>
        <v>152</v>
      </c>
    </row>
    <row r="36" spans="1:12" ht="15.75" customHeight="1">
      <c r="A36" s="107" t="str">
        <f>IFERROR(INDEX(_xlfn.ANCHORARRAY(R2),13),"")</f>
        <v/>
      </c>
      <c r="B36" s="108" t="str" cm="1">
        <f t="array" ref="B36">IF(A36="","",SUMPRODUCT((UPPER(Master!G2:G4884)=A36)*(UPPER(Master!O2:O4884)="PENDING")))</f>
        <v/>
      </c>
      <c r="C36" s="108" t="str" cm="1">
        <f t="array" ref="C36">IF(A36="","",SUMPRODUCT((UPPER(Master!G2:G4884)=A36)*(UPPER(Master!O2:O4884)="CLEAR")))</f>
        <v/>
      </c>
      <c r="D36" s="108" t="str" cm="1">
        <f t="array" ref="D36">IF(A36="","",SUMPRODUCT((UPPER(Master!G2:G4884)=A36)*(UPPER(Master!O2:O4884)="EXPIRED")))</f>
        <v/>
      </c>
      <c r="E36" s="109" t="str">
        <f>IF(A36="","",B36+C36+D36)</f>
        <v/>
      </c>
      <c r="G36" s="114" t="str">
        <f>IFERROR(INDEX(_xlfn.ANCHORARRAY(S2),13),"")</f>
        <v>MID FL</v>
      </c>
      <c r="H36" s="113" cm="1">
        <f t="array" ref="H36">IF(G36="","",SUMPRODUCT((UPPER(Master!H2:H4884)=UPPER(G36))*1))</f>
        <v>30</v>
      </c>
    </row>
    <row r="37" spans="1:12" ht="15.75" customHeight="1">
      <c r="A37" s="110" t="str">
        <f>IFERROR(INDEX(_xlfn.ANCHORARRAY(R2),14),"")</f>
        <v/>
      </c>
      <c r="B37" s="111" t="str" cm="1">
        <f t="array" ref="B37">IF(A37="","",SUMPRODUCT((UPPER(Master!G2:G4884)=A37)*(UPPER(Master!O2:O4884)="PENDING")))</f>
        <v/>
      </c>
      <c r="C37" s="111" t="str" cm="1">
        <f t="array" ref="C37">IF(A37="","",SUMPRODUCT((UPPER(Master!G2:G4884)=A37)*(UPPER(Master!O2:O4884)="CLEAR")))</f>
        <v/>
      </c>
      <c r="D37" s="111" t="str" cm="1">
        <f t="array" ref="D37">IF(A37="","",SUMPRODUCT((UPPER(Master!G2:G4884)=A37)*(UPPER(Master!O2:O4884)="EXPIRED")))</f>
        <v/>
      </c>
      <c r="E37" s="112" t="str">
        <f>IF(A37="","",B37+C37+D37)</f>
        <v/>
      </c>
      <c r="F37" s="95"/>
      <c r="G37" s="110" t="str">
        <f>IFERROR(INDEX(_xlfn.ANCHORARRAY(S2),14),"")</f>
        <v>NIA UNDERGROUND</v>
      </c>
      <c r="H37" s="112" cm="1">
        <f t="array" ref="H37">IF(G37="","",SUMPRODUCT((UPPER(Master!H2:H4884)=UPPER(G37))*1))</f>
        <v>10</v>
      </c>
      <c r="I37" s="95"/>
      <c r="J37" s="95"/>
      <c r="K37" s="95"/>
      <c r="L37" s="95"/>
    </row>
    <row r="38" spans="1:12" ht="15.75" customHeight="1">
      <c r="A38" s="115" t="str">
        <f>IFERROR(INDEX(_xlfn.ANCHORARRAY(R2),15),"")</f>
        <v/>
      </c>
      <c r="B38" s="93" t="str" cm="1">
        <f t="array" ref="B38">IF(A38="","",SUMPRODUCT((UPPER(Master!G2:G4884)=A38)*(UPPER(Master!O2:O4884)="PENDING")))</f>
        <v/>
      </c>
      <c r="C38" s="93" t="str" cm="1">
        <f t="array" ref="C38">IF(A38="","",SUMPRODUCT((UPPER(Master!G2:G4884)=A38)*(UPPER(Master!O2:O4884)="CLEAR")))</f>
        <v/>
      </c>
      <c r="D38" s="93" t="str" cm="1">
        <f t="array" ref="D38">IF(A38="","",SUMPRODUCT((UPPER(Master!G2:G4884)=A38)*(UPPER(Master!O2:O4884)="EXPIRED")))</f>
        <v/>
      </c>
      <c r="E38" s="103" t="str">
        <f>IF(A38="","",B38+C38+D38)</f>
        <v/>
      </c>
      <c r="F38" s="95"/>
      <c r="G38" s="114" t="str">
        <f>IFERROR(INDEX(_xlfn.ANCHORARRAY(S2),15),"")</f>
        <v>NORTH PATH</v>
      </c>
      <c r="H38" s="113" cm="1">
        <f t="array" ref="H38">IF(G38="","",SUMPRODUCT((UPPER(Master!H2:H4884)=UPPER(G38))*1))</f>
        <v>18</v>
      </c>
      <c r="I38" s="95"/>
      <c r="J38" s="95"/>
      <c r="K38" s="95"/>
      <c r="L38" s="95"/>
    </row>
    <row r="39" spans="1:12" ht="15.75" customHeight="1">
      <c r="A39" s="116" t="s">
        <v>28</v>
      </c>
      <c r="B39" s="91">
        <f>SUMIF(A24:A38,"&lt;&gt;",B24:B38)</f>
        <v>329</v>
      </c>
      <c r="C39" s="91">
        <f>SUMIF(A24:A38,"&lt;&gt;",C24:C38)</f>
        <v>299</v>
      </c>
      <c r="D39" s="91">
        <f>SUMIF(A24:A38,"&lt;&gt;",D24:D38)</f>
        <v>0</v>
      </c>
      <c r="E39" s="92">
        <f>SUMIF(A24:A38,"&lt;&gt;",E24:E38)</f>
        <v>628</v>
      </c>
      <c r="G39" s="110" t="str">
        <f>IFERROR(INDEX(_xlfn.ANCHORARRAY(S2),16),"")</f>
        <v>PATRIOT</v>
      </c>
      <c r="H39" s="112" cm="1">
        <f t="array" ref="H39">IF(G39="","",SUMPRODUCT((UPPER(Master!H2:H4884)=UPPER(G39))*1))</f>
        <v>32</v>
      </c>
    </row>
    <row r="40" spans="1:12">
      <c r="G40" s="114" t="str">
        <f>IFERROR(INDEX(_xlfn.ANCHORARRAY(S2),17),"")</f>
        <v>POWER CONNECT</v>
      </c>
      <c r="H40" s="113" cm="1">
        <f t="array" ref="H40">IF(G40="","",SUMPRODUCT((UPPER(Master!H2:H4884)=UPPER(G40))*1))</f>
        <v>31</v>
      </c>
    </row>
    <row r="41" spans="1:12" ht="17.25" customHeight="1">
      <c r="G41" s="192" t="s">
        <v>28</v>
      </c>
      <c r="H41" s="193">
        <f>SUM(H24:H40)</f>
        <v>590</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COUNTA(Master!C2:C4884)</f>
        <v>628</v>
      </c>
      <c r="B48">
        <f>B54+B55</f>
        <v>1555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COUNTIF(Master!O2:O4884,"Pending")+COUNTIF(Master!O2:O4884,"PENDING")</f>
        <v>658</v>
      </c>
    </row>
    <row r="55" spans="1:2" hidden="1">
      <c r="A55" t="s">
        <v>10</v>
      </c>
      <c r="B55">
        <f>COUNTIF(Master!O2:O4884,"Clear")+COUNTIF(Master!O2:O4884,"clear")+COUNTIF(Master!O2:O4884,"CLEAR")</f>
        <v>897</v>
      </c>
    </row>
    <row r="56" spans="1:2" hidden="1">
      <c r="A56" t="s">
        <v>15</v>
      </c>
      <c r="B56">
        <f>COUNTIF(Master!O2:O4884,"Expired")+COUNTIF(Master!O2:O4884,"expired")+COUNTIF(Master!O2:O4884,"EXPIRED")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COUNTIF(Master!G2:G4884,"BRADENTON")</f>
        <v>19</v>
      </c>
    </row>
    <row r="65" spans="1:2" hidden="1">
      <c r="A65" t="s">
        <v>18</v>
      </c>
      <c r="B65">
        <f>COUNTIF(Master!G2:G4884,"ST. PETERSBURG")</f>
        <v>1</v>
      </c>
    </row>
    <row r="66" spans="1:2" hidden="1">
      <c r="A66" t="s">
        <v>19</v>
      </c>
      <c r="B66">
        <f>COUNTIF(Master!G2:G4884,"PUNTA GORDA")</f>
        <v>34</v>
      </c>
    </row>
    <row r="67" spans="1:2" hidden="1">
      <c r="A67" t="s">
        <v>34</v>
      </c>
      <c r="B67">
        <f>COUNTIF(Master!G2:G4884,"Sarasota")</f>
        <v>0</v>
      </c>
    </row>
    <row r="68" spans="1:2" hidden="1">
      <c r="A68" t="s">
        <v>35</v>
      </c>
      <c r="B68">
        <f>COUNTIF(Master!G2:G4884,"Port Charlotte")</f>
        <v>0</v>
      </c>
    </row>
    <row r="69" spans="1:2" hidden="1">
      <c r="A69" t="s">
        <v>36</v>
      </c>
      <c r="B69">
        <f>COUNTIF(Master!G2:G4884,"ST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COUNTIF(Master!H2:H4884,"GN Systems")</f>
        <v>72</v>
      </c>
    </row>
    <row r="77" spans="1:2" hidden="1">
      <c r="A77" t="s">
        <v>22</v>
      </c>
      <c r="B77">
        <f>COUNTIF(Master!H2:H4884,"Lightspeed")</f>
        <v>0</v>
      </c>
    </row>
    <row r="78" spans="1:2" hidden="1">
      <c r="A78" t="s">
        <v>38</v>
      </c>
      <c r="B78">
        <f>COUNTIF(Master!H2:H4884,"LIGHTSPEED")</f>
        <v>0</v>
      </c>
    </row>
    <row r="79" spans="1:2" hidden="1">
      <c r="A79" t="s">
        <v>30</v>
      </c>
      <c r="B79">
        <f>COUNTIF(Master!H2:H4884,"LSCG")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6"/>
  <sheetViews>
    <sheetView tabSelected="1" zoomScale="90" zoomScaleNormal="90" workbookViewId="0">
      <pane xSplit="1" topLeftCell="I1" activePane="topRight" state="frozen"/>
      <selection pane="topRight" activeCell="D990" sqref="D990"/>
    </sheetView>
  </sheetViews>
  <sheetFormatPr defaultColWidth="9.140625" defaultRowHeight="15" customHeight="1"/>
  <cols>
    <col min="1" max="2" width="25.7109375" style="166" customWidth="1"/>
    <col min="3" max="3" width="22.7109375" style="213"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3" t="s">
        <v>39</v>
      </c>
      <c r="B1" s="183" t="s">
        <v>40</v>
      </c>
      <c r="C1" s="212" t="s">
        <v>41</v>
      </c>
      <c r="D1" s="184" t="s">
        <v>42</v>
      </c>
      <c r="E1" s="184" t="s">
        <v>43</v>
      </c>
      <c r="F1" s="184" t="s">
        <v>44</v>
      </c>
      <c r="G1" s="184" t="s">
        <v>45</v>
      </c>
      <c r="H1" s="184" t="s">
        <v>46</v>
      </c>
      <c r="I1" s="184" t="s">
        <v>47</v>
      </c>
      <c r="J1" s="184" t="s">
        <v>48</v>
      </c>
      <c r="K1" s="184" t="s">
        <v>49</v>
      </c>
      <c r="L1" s="184" t="s">
        <v>50</v>
      </c>
      <c r="M1" s="184" t="s">
        <v>51</v>
      </c>
      <c r="N1" s="184" t="s">
        <v>52</v>
      </c>
      <c r="O1" s="184" t="s">
        <v>53</v>
      </c>
      <c r="P1" s="184" t="s">
        <v>54</v>
      </c>
      <c r="Q1" s="185" t="s">
        <v>55</v>
      </c>
      <c r="R1" s="186" t="s">
        <v>56</v>
      </c>
    </row>
    <row r="2" spans="1:18" ht="15" customHeight="1">
      <c r="A2" s="177" t="s">
        <v>57</v>
      </c>
      <c r="B2" s="177"/>
      <c r="C2" s="213">
        <v>104610067</v>
      </c>
      <c r="D2" s="168">
        <v>134609282</v>
      </c>
      <c r="F2" s="29" t="s">
        <v>58</v>
      </c>
      <c r="G2" s="3" t="s">
        <v>59</v>
      </c>
      <c r="H2" s="3" t="s">
        <v>29</v>
      </c>
      <c r="I2" s="55">
        <v>46126</v>
      </c>
      <c r="J2" s="55">
        <v>46129</v>
      </c>
      <c r="K2" s="55">
        <v>46156</v>
      </c>
      <c r="L2" s="55"/>
      <c r="M2" s="55"/>
      <c r="O2" s="3" t="s">
        <v>10</v>
      </c>
      <c r="P2" s="55">
        <v>46185</v>
      </c>
      <c r="R2" s="181" t="s">
        <v>60</v>
      </c>
    </row>
    <row r="3" spans="1:18" ht="15" customHeight="1">
      <c r="A3" s="177" t="s">
        <v>57</v>
      </c>
      <c r="B3" s="177"/>
      <c r="C3" s="213">
        <v>104610075</v>
      </c>
      <c r="D3" s="168">
        <v>134609284</v>
      </c>
      <c r="F3" s="29" t="s">
        <v>58</v>
      </c>
      <c r="G3" s="3" t="s">
        <v>59</v>
      </c>
      <c r="H3" s="3" t="s">
        <v>29</v>
      </c>
      <c r="I3" s="55">
        <v>46126</v>
      </c>
      <c r="J3" s="55">
        <v>46129</v>
      </c>
      <c r="K3" s="55">
        <v>46156</v>
      </c>
      <c r="L3" s="55"/>
      <c r="M3" s="55"/>
      <c r="O3" s="3" t="s">
        <v>10</v>
      </c>
      <c r="P3" s="55">
        <v>46185</v>
      </c>
      <c r="R3" s="181" t="s">
        <v>60</v>
      </c>
    </row>
    <row r="4" spans="1:18" ht="15" customHeight="1">
      <c r="A4" s="177" t="s">
        <v>57</v>
      </c>
      <c r="B4" s="177"/>
      <c r="C4" s="213">
        <v>104610080</v>
      </c>
      <c r="D4" s="168">
        <v>134609285</v>
      </c>
      <c r="F4" s="29" t="s">
        <v>58</v>
      </c>
      <c r="G4" s="3" t="s">
        <v>59</v>
      </c>
      <c r="H4" s="3" t="s">
        <v>29</v>
      </c>
      <c r="I4" s="55">
        <v>46126</v>
      </c>
      <c r="J4" s="55">
        <v>46129</v>
      </c>
      <c r="K4" s="55">
        <v>46156</v>
      </c>
      <c r="L4" s="55"/>
      <c r="M4" s="55"/>
      <c r="O4" s="3" t="s">
        <v>10</v>
      </c>
      <c r="P4" s="55">
        <v>46185</v>
      </c>
      <c r="R4" s="181" t="s">
        <v>60</v>
      </c>
    </row>
    <row r="5" spans="1:18" ht="15" customHeight="1">
      <c r="A5" s="177" t="s">
        <v>57</v>
      </c>
      <c r="B5" s="177"/>
      <c r="C5" s="213">
        <v>104610092</v>
      </c>
      <c r="D5" s="168">
        <v>134609288</v>
      </c>
      <c r="F5" s="29" t="s">
        <v>58</v>
      </c>
      <c r="G5" s="3" t="s">
        <v>59</v>
      </c>
      <c r="H5" s="3" t="s">
        <v>29</v>
      </c>
      <c r="I5" s="55">
        <v>46126</v>
      </c>
      <c r="J5" s="55">
        <v>46129</v>
      </c>
      <c r="K5" s="55">
        <v>46156</v>
      </c>
      <c r="L5" s="55"/>
      <c r="M5" s="55"/>
      <c r="O5" s="3" t="s">
        <v>10</v>
      </c>
      <c r="P5" s="55">
        <v>46185</v>
      </c>
      <c r="R5" s="181" t="s">
        <v>60</v>
      </c>
    </row>
    <row r="6" spans="1:18" ht="15" customHeight="1">
      <c r="A6" s="177" t="s">
        <v>57</v>
      </c>
      <c r="B6" s="177"/>
      <c r="C6" s="213">
        <v>104610098</v>
      </c>
      <c r="D6" s="168">
        <v>134609290</v>
      </c>
      <c r="F6" s="29" t="s">
        <v>58</v>
      </c>
      <c r="G6" s="3" t="s">
        <v>59</v>
      </c>
      <c r="H6" s="3" t="s">
        <v>29</v>
      </c>
      <c r="I6" s="55">
        <v>46126</v>
      </c>
      <c r="J6" s="55">
        <v>46129</v>
      </c>
      <c r="K6" s="55">
        <v>46156</v>
      </c>
      <c r="L6" s="55"/>
      <c r="M6" s="55"/>
      <c r="O6" s="3" t="s">
        <v>10</v>
      </c>
      <c r="P6" s="55">
        <v>46185</v>
      </c>
      <c r="R6" s="181" t="s">
        <v>60</v>
      </c>
    </row>
    <row r="7" spans="1:18" ht="15" customHeight="1">
      <c r="A7" s="177" t="s">
        <v>57</v>
      </c>
      <c r="B7" s="177"/>
      <c r="C7" s="213">
        <v>104610100</v>
      </c>
      <c r="D7" s="168">
        <v>134609292</v>
      </c>
      <c r="F7" s="29" t="s">
        <v>58</v>
      </c>
      <c r="G7" s="3" t="s">
        <v>59</v>
      </c>
      <c r="H7" s="3" t="s">
        <v>29</v>
      </c>
      <c r="I7" s="55">
        <v>46126</v>
      </c>
      <c r="J7" s="55">
        <v>46129</v>
      </c>
      <c r="K7" s="55">
        <v>46156</v>
      </c>
      <c r="L7" s="55"/>
      <c r="M7" s="55"/>
      <c r="O7" s="3" t="s">
        <v>10</v>
      </c>
      <c r="P7" s="55">
        <v>46185</v>
      </c>
      <c r="R7" s="181" t="s">
        <v>60</v>
      </c>
    </row>
    <row r="8" spans="1:18" ht="15" customHeight="1">
      <c r="A8" s="177" t="s">
        <v>57</v>
      </c>
      <c r="B8" s="177"/>
      <c r="C8" s="213">
        <v>104610107</v>
      </c>
      <c r="D8" s="168">
        <v>134609293</v>
      </c>
      <c r="F8" s="29" t="s">
        <v>58</v>
      </c>
      <c r="G8" s="3" t="s">
        <v>59</v>
      </c>
      <c r="H8" s="3" t="s">
        <v>29</v>
      </c>
      <c r="I8" s="55">
        <v>46126</v>
      </c>
      <c r="J8" s="55">
        <v>46129</v>
      </c>
      <c r="K8" s="55">
        <v>46156</v>
      </c>
      <c r="L8" s="55"/>
      <c r="M8" s="55"/>
      <c r="O8" s="3" t="s">
        <v>10</v>
      </c>
      <c r="P8" s="55">
        <v>46174</v>
      </c>
      <c r="R8" s="181" t="s">
        <v>60</v>
      </c>
    </row>
    <row r="9" spans="1:18" ht="15" customHeight="1">
      <c r="A9" s="177" t="s">
        <v>57</v>
      </c>
      <c r="B9" s="177"/>
      <c r="C9" s="213">
        <v>104610123</v>
      </c>
      <c r="D9" s="168">
        <v>134609294</v>
      </c>
      <c r="F9" s="29" t="s">
        <v>58</v>
      </c>
      <c r="G9" s="3" t="s">
        <v>59</v>
      </c>
      <c r="H9" s="3" t="s">
        <v>29</v>
      </c>
      <c r="I9" s="55">
        <v>46126</v>
      </c>
      <c r="J9" s="55">
        <v>46129</v>
      </c>
      <c r="K9" s="55">
        <v>46156</v>
      </c>
      <c r="L9" s="55"/>
      <c r="M9" s="55"/>
      <c r="O9" s="3" t="s">
        <v>10</v>
      </c>
      <c r="P9" s="55">
        <v>46174</v>
      </c>
      <c r="R9" s="181" t="s">
        <v>60</v>
      </c>
    </row>
    <row r="10" spans="1:18" ht="15" customHeight="1">
      <c r="A10" s="177" t="s">
        <v>57</v>
      </c>
      <c r="B10" s="177"/>
      <c r="C10" s="213">
        <v>104610138</v>
      </c>
      <c r="D10" s="168">
        <v>134609295</v>
      </c>
      <c r="F10" s="29" t="s">
        <v>58</v>
      </c>
      <c r="G10" s="3" t="s">
        <v>59</v>
      </c>
      <c r="H10" s="3" t="s">
        <v>29</v>
      </c>
      <c r="I10" s="55">
        <v>46126</v>
      </c>
      <c r="J10" s="55">
        <v>46129</v>
      </c>
      <c r="K10" s="55">
        <v>46156</v>
      </c>
      <c r="L10" s="55"/>
      <c r="M10" s="55"/>
      <c r="O10" s="3" t="s">
        <v>10</v>
      </c>
      <c r="P10" s="55">
        <v>46174</v>
      </c>
      <c r="R10" s="181" t="s">
        <v>60</v>
      </c>
    </row>
    <row r="11" spans="1:18" ht="15" customHeight="1">
      <c r="A11" s="177" t="s">
        <v>57</v>
      </c>
      <c r="B11" s="177"/>
      <c r="C11" s="213">
        <v>104610144</v>
      </c>
      <c r="D11" s="168">
        <v>134609296</v>
      </c>
      <c r="F11" s="29" t="s">
        <v>58</v>
      </c>
      <c r="G11" s="3" t="s">
        <v>59</v>
      </c>
      <c r="H11" s="3" t="s">
        <v>29</v>
      </c>
      <c r="I11" s="55">
        <v>46126</v>
      </c>
      <c r="J11" s="55">
        <v>46129</v>
      </c>
      <c r="K11" s="55">
        <v>46156</v>
      </c>
      <c r="L11" s="55"/>
      <c r="M11" s="55"/>
      <c r="O11" s="3" t="s">
        <v>10</v>
      </c>
      <c r="P11" s="55">
        <v>46174</v>
      </c>
      <c r="R11" s="181" t="s">
        <v>60</v>
      </c>
    </row>
    <row r="12" spans="1:18" ht="15" customHeight="1">
      <c r="A12" s="177" t="s">
        <v>57</v>
      </c>
      <c r="B12" s="177"/>
      <c r="C12" s="213">
        <v>104610148</v>
      </c>
      <c r="D12" s="168">
        <v>134609298</v>
      </c>
      <c r="F12" s="29" t="s">
        <v>58</v>
      </c>
      <c r="G12" s="3" t="s">
        <v>59</v>
      </c>
      <c r="H12" s="3" t="s">
        <v>29</v>
      </c>
      <c r="I12" s="55">
        <v>46126</v>
      </c>
      <c r="J12" s="55">
        <v>46129</v>
      </c>
      <c r="K12" s="55">
        <v>46156</v>
      </c>
      <c r="L12" s="55"/>
      <c r="M12" s="55"/>
      <c r="O12" s="3" t="s">
        <v>10</v>
      </c>
      <c r="P12" s="55">
        <v>46174</v>
      </c>
      <c r="R12" s="181" t="s">
        <v>60</v>
      </c>
    </row>
    <row r="13" spans="1:18" ht="15" customHeight="1">
      <c r="A13" s="177" t="s">
        <v>57</v>
      </c>
      <c r="B13" s="177"/>
      <c r="C13" s="213">
        <v>104610154</v>
      </c>
      <c r="D13" s="168">
        <v>134609299</v>
      </c>
      <c r="F13" s="29" t="s">
        <v>58</v>
      </c>
      <c r="G13" s="3" t="s">
        <v>59</v>
      </c>
      <c r="H13" s="3" t="s">
        <v>29</v>
      </c>
      <c r="I13" s="55">
        <v>46126</v>
      </c>
      <c r="J13" s="55">
        <v>46129</v>
      </c>
      <c r="K13" s="55">
        <v>46156</v>
      </c>
      <c r="L13" s="55"/>
      <c r="M13" s="55"/>
      <c r="O13" s="3" t="s">
        <v>9</v>
      </c>
      <c r="R13" s="181" t="s">
        <v>60</v>
      </c>
    </row>
    <row r="14" spans="1:18" ht="15" customHeight="1">
      <c r="A14" s="177" t="s">
        <v>57</v>
      </c>
      <c r="B14" s="177"/>
      <c r="C14" s="213">
        <v>104610160</v>
      </c>
      <c r="D14" s="168">
        <v>134609300</v>
      </c>
      <c r="F14" s="29" t="s">
        <v>58</v>
      </c>
      <c r="G14" s="3" t="s">
        <v>59</v>
      </c>
      <c r="H14" s="3" t="s">
        <v>29</v>
      </c>
      <c r="I14" s="55">
        <v>46126</v>
      </c>
      <c r="J14" s="55">
        <v>46129</v>
      </c>
      <c r="K14" s="55">
        <v>46156</v>
      </c>
      <c r="L14" s="55"/>
      <c r="M14" s="55"/>
      <c r="O14" s="3" t="s">
        <v>9</v>
      </c>
      <c r="R14" s="181" t="s">
        <v>60</v>
      </c>
    </row>
    <row r="15" spans="1:18" ht="15" customHeight="1">
      <c r="A15" s="177" t="s">
        <v>57</v>
      </c>
      <c r="B15" s="177"/>
      <c r="C15" s="213">
        <v>104610171</v>
      </c>
      <c r="D15" s="168">
        <v>134609303</v>
      </c>
      <c r="F15" s="29" t="s">
        <v>58</v>
      </c>
      <c r="G15" s="3" t="s">
        <v>59</v>
      </c>
      <c r="H15" s="3" t="s">
        <v>29</v>
      </c>
      <c r="I15" s="55">
        <v>46126</v>
      </c>
      <c r="J15" s="55">
        <v>46129</v>
      </c>
      <c r="K15" s="55">
        <v>46156</v>
      </c>
      <c r="L15" s="55"/>
      <c r="M15" s="55"/>
      <c r="O15" s="3" t="s">
        <v>9</v>
      </c>
      <c r="R15" s="181" t="s">
        <v>60</v>
      </c>
    </row>
    <row r="16" spans="1:18" ht="15" customHeight="1">
      <c r="A16" s="177" t="s">
        <v>57</v>
      </c>
      <c r="B16" s="177"/>
      <c r="C16" s="213">
        <v>104610177</v>
      </c>
      <c r="D16" s="168">
        <v>134609306</v>
      </c>
      <c r="F16" s="29" t="s">
        <v>58</v>
      </c>
      <c r="G16" s="3" t="s">
        <v>59</v>
      </c>
      <c r="H16" s="3" t="s">
        <v>29</v>
      </c>
      <c r="I16" s="55">
        <v>46126</v>
      </c>
      <c r="J16" s="55">
        <v>46129</v>
      </c>
      <c r="K16" s="55">
        <v>46156</v>
      </c>
      <c r="L16" s="55"/>
      <c r="M16" s="55"/>
      <c r="O16" s="3" t="s">
        <v>10</v>
      </c>
      <c r="P16" s="55">
        <v>46174</v>
      </c>
      <c r="R16" s="181" t="s">
        <v>60</v>
      </c>
    </row>
    <row r="17" spans="1:18" ht="15" customHeight="1">
      <c r="A17" s="177" t="s">
        <v>57</v>
      </c>
      <c r="B17" s="177"/>
      <c r="C17" s="213">
        <v>104610186</v>
      </c>
      <c r="D17" s="168">
        <v>134609307</v>
      </c>
      <c r="F17" s="29" t="s">
        <v>58</v>
      </c>
      <c r="G17" s="3" t="s">
        <v>59</v>
      </c>
      <c r="H17" s="3" t="s">
        <v>29</v>
      </c>
      <c r="I17" s="55">
        <v>46126</v>
      </c>
      <c r="J17" s="55">
        <v>46129</v>
      </c>
      <c r="K17" s="55">
        <v>46156</v>
      </c>
      <c r="L17" s="55"/>
      <c r="M17" s="55"/>
      <c r="O17" s="3" t="s">
        <v>9</v>
      </c>
      <c r="R17" s="181" t="s">
        <v>60</v>
      </c>
    </row>
    <row r="18" spans="1:18" ht="15" customHeight="1">
      <c r="A18" s="177" t="s">
        <v>57</v>
      </c>
      <c r="B18" s="177"/>
      <c r="C18" s="213">
        <v>104610188</v>
      </c>
      <c r="D18" s="168">
        <v>134609308</v>
      </c>
      <c r="F18" s="29" t="s">
        <v>58</v>
      </c>
      <c r="G18" s="3" t="s">
        <v>59</v>
      </c>
      <c r="H18" s="3" t="s">
        <v>29</v>
      </c>
      <c r="I18" s="55">
        <v>46126</v>
      </c>
      <c r="J18" s="55">
        <v>46129</v>
      </c>
      <c r="K18" s="55">
        <v>46156</v>
      </c>
      <c r="L18" s="55"/>
      <c r="M18" s="55"/>
      <c r="O18" s="3" t="s">
        <v>9</v>
      </c>
      <c r="R18" s="181" t="s">
        <v>60</v>
      </c>
    </row>
    <row r="19" spans="1:18" ht="15" customHeight="1">
      <c r="A19" s="177" t="s">
        <v>57</v>
      </c>
      <c r="B19" s="177"/>
      <c r="C19" s="213">
        <v>104610195</v>
      </c>
      <c r="D19" s="168">
        <v>134609310</v>
      </c>
      <c r="F19" s="29" t="s">
        <v>58</v>
      </c>
      <c r="G19" s="3" t="s">
        <v>59</v>
      </c>
      <c r="H19" s="3" t="s">
        <v>29</v>
      </c>
      <c r="I19" s="55">
        <v>46126</v>
      </c>
      <c r="J19" s="55">
        <v>46129</v>
      </c>
      <c r="K19" s="55">
        <v>46156</v>
      </c>
      <c r="L19" s="55"/>
      <c r="M19" s="55"/>
      <c r="O19" s="3" t="s">
        <v>9</v>
      </c>
      <c r="R19" s="181" t="s">
        <v>60</v>
      </c>
    </row>
    <row r="20" spans="1:18" ht="15" customHeight="1">
      <c r="A20" s="177" t="s">
        <v>57</v>
      </c>
      <c r="B20" s="177"/>
      <c r="C20" s="213">
        <v>104610201</v>
      </c>
      <c r="D20" s="168">
        <v>134609311</v>
      </c>
      <c r="F20" s="29" t="s">
        <v>58</v>
      </c>
      <c r="G20" s="3" t="s">
        <v>59</v>
      </c>
      <c r="H20" s="3" t="s">
        <v>29</v>
      </c>
      <c r="I20" s="55">
        <v>46126</v>
      </c>
      <c r="J20" s="55">
        <v>46129</v>
      </c>
      <c r="K20" s="55">
        <v>46156</v>
      </c>
      <c r="L20" s="55"/>
      <c r="M20" s="55"/>
      <c r="O20" s="3" t="s">
        <v>9</v>
      </c>
      <c r="R20" s="181" t="s">
        <v>60</v>
      </c>
    </row>
    <row r="21" spans="1:18" ht="15" customHeight="1">
      <c r="A21" s="177" t="s">
        <v>57</v>
      </c>
      <c r="B21" s="177"/>
      <c r="C21" s="213">
        <v>104610204</v>
      </c>
      <c r="D21" s="168">
        <v>134609312</v>
      </c>
      <c r="F21" s="29" t="s">
        <v>58</v>
      </c>
      <c r="G21" s="3" t="s">
        <v>59</v>
      </c>
      <c r="H21" s="3" t="s">
        <v>29</v>
      </c>
      <c r="I21" s="55">
        <v>46126</v>
      </c>
      <c r="J21" s="55">
        <v>46129</v>
      </c>
      <c r="K21" s="55">
        <v>46156</v>
      </c>
      <c r="L21" s="55"/>
      <c r="M21" s="55"/>
      <c r="O21" s="3" t="s">
        <v>9</v>
      </c>
      <c r="R21" s="181" t="s">
        <v>60</v>
      </c>
    </row>
    <row r="22" spans="1:18" ht="15" customHeight="1">
      <c r="A22" s="177" t="s">
        <v>57</v>
      </c>
      <c r="B22" s="177"/>
      <c r="C22" s="213">
        <v>104610207</v>
      </c>
      <c r="D22" s="168">
        <v>134609325</v>
      </c>
      <c r="F22" s="29" t="s">
        <v>58</v>
      </c>
      <c r="G22" s="3" t="s">
        <v>59</v>
      </c>
      <c r="H22" s="3" t="s">
        <v>29</v>
      </c>
      <c r="I22" s="55">
        <v>46126</v>
      </c>
      <c r="J22" s="55">
        <v>46129</v>
      </c>
      <c r="K22" s="55">
        <v>46156</v>
      </c>
      <c r="L22" s="55"/>
      <c r="M22" s="55"/>
      <c r="O22" s="3" t="s">
        <v>9</v>
      </c>
      <c r="R22" s="181" t="s">
        <v>60</v>
      </c>
    </row>
    <row r="23" spans="1:18" ht="15" customHeight="1">
      <c r="A23" s="177" t="s">
        <v>57</v>
      </c>
      <c r="B23" s="177"/>
      <c r="C23" s="213">
        <v>104610210</v>
      </c>
      <c r="D23" s="168">
        <v>134609330</v>
      </c>
      <c r="F23" s="29" t="s">
        <v>58</v>
      </c>
      <c r="G23" s="3" t="s">
        <v>59</v>
      </c>
      <c r="H23" s="3" t="s">
        <v>29</v>
      </c>
      <c r="I23" s="55">
        <v>46126</v>
      </c>
      <c r="J23" s="55">
        <v>46129</v>
      </c>
      <c r="K23" s="55">
        <v>46156</v>
      </c>
      <c r="L23" s="55"/>
      <c r="M23" s="55"/>
      <c r="O23" s="3" t="s">
        <v>9</v>
      </c>
      <c r="R23" s="181" t="s">
        <v>60</v>
      </c>
    </row>
    <row r="24" spans="1:18" ht="15" customHeight="1">
      <c r="A24" s="177" t="s">
        <v>57</v>
      </c>
      <c r="B24" s="177"/>
      <c r="C24" s="213">
        <v>104610214</v>
      </c>
      <c r="D24" s="168">
        <v>134609334</v>
      </c>
      <c r="F24" s="29" t="s">
        <v>58</v>
      </c>
      <c r="G24" s="3" t="s">
        <v>59</v>
      </c>
      <c r="H24" s="3" t="s">
        <v>29</v>
      </c>
      <c r="I24" s="55">
        <v>46126</v>
      </c>
      <c r="J24" s="55">
        <v>46129</v>
      </c>
      <c r="K24" s="55">
        <v>46156</v>
      </c>
      <c r="L24" s="55"/>
      <c r="M24" s="55"/>
      <c r="O24" s="3" t="s">
        <v>10</v>
      </c>
      <c r="P24" s="55">
        <v>46174</v>
      </c>
      <c r="R24" s="181" t="s">
        <v>60</v>
      </c>
    </row>
    <row r="25" spans="1:18" ht="15" customHeight="1">
      <c r="A25" s="177" t="s">
        <v>57</v>
      </c>
      <c r="B25" s="177"/>
      <c r="C25" s="213">
        <v>104610215</v>
      </c>
      <c r="D25" s="168">
        <v>134609338</v>
      </c>
      <c r="F25" s="29" t="s">
        <v>58</v>
      </c>
      <c r="G25" s="3" t="s">
        <v>59</v>
      </c>
      <c r="H25" s="3" t="s">
        <v>29</v>
      </c>
      <c r="I25" s="55">
        <v>46126</v>
      </c>
      <c r="J25" s="55">
        <v>46129</v>
      </c>
      <c r="K25" s="55">
        <v>46156</v>
      </c>
      <c r="L25" s="55"/>
      <c r="M25" s="55"/>
      <c r="O25" s="3" t="s">
        <v>9</v>
      </c>
      <c r="R25" s="181" t="s">
        <v>60</v>
      </c>
    </row>
    <row r="26" spans="1:18" ht="15" customHeight="1">
      <c r="A26" s="177" t="s">
        <v>57</v>
      </c>
      <c r="B26" s="177"/>
      <c r="C26" s="213">
        <v>104610220</v>
      </c>
      <c r="D26" s="168">
        <v>134609342</v>
      </c>
      <c r="F26" s="29" t="s">
        <v>58</v>
      </c>
      <c r="G26" s="3" t="s">
        <v>59</v>
      </c>
      <c r="H26" s="3" t="s">
        <v>29</v>
      </c>
      <c r="I26" s="55">
        <v>46126</v>
      </c>
      <c r="J26" s="55">
        <v>46129</v>
      </c>
      <c r="K26" s="55">
        <v>46156</v>
      </c>
      <c r="L26" s="55"/>
      <c r="M26" s="55"/>
      <c r="O26" s="3" t="s">
        <v>9</v>
      </c>
      <c r="R26" s="181" t="s">
        <v>60</v>
      </c>
    </row>
    <row r="27" spans="1:18" ht="15" customHeight="1">
      <c r="A27" s="177" t="s">
        <v>57</v>
      </c>
      <c r="B27" s="177"/>
      <c r="C27" s="213">
        <v>104610223</v>
      </c>
      <c r="D27" s="168">
        <v>134609343</v>
      </c>
      <c r="F27" s="29" t="s">
        <v>58</v>
      </c>
      <c r="G27" s="3" t="s">
        <v>59</v>
      </c>
      <c r="H27" s="3" t="s">
        <v>29</v>
      </c>
      <c r="I27" s="55">
        <v>46126</v>
      </c>
      <c r="J27" s="55">
        <v>46129</v>
      </c>
      <c r="K27" s="55">
        <v>46156</v>
      </c>
      <c r="L27" s="55"/>
      <c r="M27" s="55"/>
      <c r="O27" s="3" t="s">
        <v>10</v>
      </c>
      <c r="P27" s="55">
        <v>46174</v>
      </c>
      <c r="R27" s="181" t="s">
        <v>60</v>
      </c>
    </row>
    <row r="28" spans="1:18" ht="15" customHeight="1">
      <c r="A28" s="177" t="s">
        <v>57</v>
      </c>
      <c r="B28" s="177"/>
      <c r="C28" s="213">
        <v>104610229</v>
      </c>
      <c r="D28" s="168"/>
      <c r="F28" s="29" t="s">
        <v>58</v>
      </c>
      <c r="G28" s="3" t="s">
        <v>59</v>
      </c>
      <c r="H28" s="3" t="s">
        <v>29</v>
      </c>
      <c r="I28" s="55">
        <v>46126</v>
      </c>
      <c r="J28" s="55">
        <v>46129</v>
      </c>
      <c r="K28" s="55">
        <v>46156</v>
      </c>
      <c r="L28" s="55"/>
      <c r="M28" s="55"/>
      <c r="O28" s="3" t="s">
        <v>10</v>
      </c>
      <c r="P28" s="55">
        <v>46156</v>
      </c>
      <c r="R28" s="181"/>
    </row>
    <row r="29" spans="1:18" ht="15" customHeight="1">
      <c r="A29" s="177" t="s">
        <v>57</v>
      </c>
      <c r="B29" s="177"/>
      <c r="C29" s="213">
        <v>105600011</v>
      </c>
      <c r="D29" s="168"/>
      <c r="F29" s="29" t="s">
        <v>58</v>
      </c>
      <c r="G29" s="3" t="s">
        <v>59</v>
      </c>
      <c r="H29" s="3" t="s">
        <v>29</v>
      </c>
      <c r="I29" s="55">
        <v>46126</v>
      </c>
      <c r="J29" s="55">
        <v>46129</v>
      </c>
      <c r="K29" s="55">
        <v>46156</v>
      </c>
      <c r="L29" s="55"/>
      <c r="M29" s="55"/>
      <c r="O29" s="3" t="s">
        <v>10</v>
      </c>
      <c r="P29" s="55">
        <v>46156</v>
      </c>
      <c r="R29" s="181"/>
    </row>
    <row r="30" spans="1:18" ht="15" customHeight="1">
      <c r="A30" s="177" t="s">
        <v>57</v>
      </c>
      <c r="B30" s="177"/>
      <c r="C30" s="213">
        <v>105600014</v>
      </c>
      <c r="D30" s="168"/>
      <c r="F30" s="29" t="s">
        <v>58</v>
      </c>
      <c r="G30" s="3" t="s">
        <v>59</v>
      </c>
      <c r="H30" s="3" t="s">
        <v>29</v>
      </c>
      <c r="I30" s="55">
        <v>46126</v>
      </c>
      <c r="J30" s="55">
        <v>46129</v>
      </c>
      <c r="K30" s="55">
        <v>46156</v>
      </c>
      <c r="L30" s="55"/>
      <c r="M30" s="55"/>
      <c r="O30" s="3" t="s">
        <v>10</v>
      </c>
      <c r="P30" s="55">
        <v>46156</v>
      </c>
      <c r="R30" s="181"/>
    </row>
    <row r="31" spans="1:18" ht="15" customHeight="1">
      <c r="A31" s="177" t="s">
        <v>57</v>
      </c>
      <c r="B31" s="177"/>
      <c r="C31" s="213">
        <v>105600017</v>
      </c>
      <c r="F31" s="29" t="s">
        <v>58</v>
      </c>
      <c r="G31" s="3" t="s">
        <v>59</v>
      </c>
      <c r="H31" s="3" t="s">
        <v>29</v>
      </c>
      <c r="I31" s="55">
        <v>46126</v>
      </c>
      <c r="J31" s="55">
        <v>46129</v>
      </c>
      <c r="K31" s="55">
        <v>46156</v>
      </c>
      <c r="L31" s="55"/>
      <c r="M31" s="55"/>
      <c r="O31" s="3" t="s">
        <v>10</v>
      </c>
      <c r="P31" s="55">
        <v>46156</v>
      </c>
      <c r="R31" s="181"/>
    </row>
    <row r="32" spans="1:18" ht="15" customHeight="1">
      <c r="A32" s="177" t="s">
        <v>57</v>
      </c>
      <c r="B32" s="177"/>
      <c r="C32" s="213">
        <v>105600021</v>
      </c>
      <c r="F32" s="29" t="s">
        <v>58</v>
      </c>
      <c r="G32" s="3" t="s">
        <v>59</v>
      </c>
      <c r="H32" s="3" t="s">
        <v>29</v>
      </c>
      <c r="I32" s="55">
        <v>46126</v>
      </c>
      <c r="J32" s="55">
        <v>46129</v>
      </c>
      <c r="K32" s="55">
        <v>46156</v>
      </c>
      <c r="L32" s="55"/>
      <c r="M32" s="55"/>
      <c r="O32" s="3" t="s">
        <v>10</v>
      </c>
      <c r="P32" s="55">
        <v>46156</v>
      </c>
      <c r="R32" s="181"/>
    </row>
    <row r="33" spans="1:18" ht="15" customHeight="1">
      <c r="A33" s="177" t="s">
        <v>57</v>
      </c>
      <c r="B33" s="177"/>
      <c r="C33" s="213">
        <v>105600022</v>
      </c>
      <c r="F33" s="29" t="s">
        <v>58</v>
      </c>
      <c r="G33" s="3" t="s">
        <v>59</v>
      </c>
      <c r="H33" s="3" t="s">
        <v>29</v>
      </c>
      <c r="I33" s="55">
        <v>46126</v>
      </c>
      <c r="J33" s="55">
        <v>46129</v>
      </c>
      <c r="K33" s="55">
        <v>46156</v>
      </c>
      <c r="L33" s="55"/>
      <c r="M33" s="55"/>
      <c r="O33" s="3" t="s">
        <v>10</v>
      </c>
      <c r="P33" s="55">
        <v>46156</v>
      </c>
      <c r="R33" s="181"/>
    </row>
    <row r="34" spans="1:18" ht="15" customHeight="1">
      <c r="A34" s="177" t="s">
        <v>57</v>
      </c>
      <c r="B34" s="177"/>
      <c r="C34" s="213">
        <v>105600024</v>
      </c>
      <c r="F34" s="29" t="s">
        <v>58</v>
      </c>
      <c r="G34" s="3" t="s">
        <v>59</v>
      </c>
      <c r="H34" s="3" t="s">
        <v>29</v>
      </c>
      <c r="I34" s="55">
        <v>46126</v>
      </c>
      <c r="J34" s="55">
        <v>46129</v>
      </c>
      <c r="K34" s="55">
        <v>46156</v>
      </c>
      <c r="L34" s="55"/>
      <c r="M34" s="55"/>
      <c r="O34" s="3" t="s">
        <v>10</v>
      </c>
      <c r="P34" s="55">
        <v>46156</v>
      </c>
      <c r="R34" s="181"/>
    </row>
    <row r="35" spans="1:18" ht="15" customHeight="1">
      <c r="A35" s="177" t="s">
        <v>57</v>
      </c>
      <c r="B35" s="177"/>
      <c r="C35" s="213">
        <v>105600026</v>
      </c>
      <c r="F35" s="29" t="s">
        <v>58</v>
      </c>
      <c r="G35" s="3" t="s">
        <v>59</v>
      </c>
      <c r="H35" s="3" t="s">
        <v>29</v>
      </c>
      <c r="I35" s="55">
        <v>46126</v>
      </c>
      <c r="J35" s="55">
        <v>46129</v>
      </c>
      <c r="K35" s="55">
        <v>46156</v>
      </c>
      <c r="L35" s="55"/>
      <c r="M35" s="55"/>
      <c r="O35" s="3" t="s">
        <v>10</v>
      </c>
      <c r="P35" s="55">
        <v>46156</v>
      </c>
      <c r="R35" s="181"/>
    </row>
    <row r="36" spans="1:18" ht="15" customHeight="1">
      <c r="A36" s="177" t="s">
        <v>57</v>
      </c>
      <c r="B36" s="177"/>
      <c r="C36" s="213">
        <v>105600029</v>
      </c>
      <c r="F36" s="29" t="s">
        <v>58</v>
      </c>
      <c r="G36" s="3" t="s">
        <v>59</v>
      </c>
      <c r="H36" s="3" t="s">
        <v>29</v>
      </c>
      <c r="I36" s="55">
        <v>46126</v>
      </c>
      <c r="J36" s="55">
        <v>46129</v>
      </c>
      <c r="K36" s="55">
        <v>46156</v>
      </c>
      <c r="L36" s="55"/>
      <c r="M36" s="55"/>
      <c r="O36" s="3" t="s">
        <v>10</v>
      </c>
      <c r="P36" s="55">
        <v>46156</v>
      </c>
      <c r="R36" s="181"/>
    </row>
    <row r="37" spans="1:18" ht="15" customHeight="1">
      <c r="A37" s="177" t="s">
        <v>57</v>
      </c>
      <c r="B37" s="177"/>
      <c r="C37" s="213">
        <v>105600031</v>
      </c>
      <c r="F37" s="29" t="s">
        <v>58</v>
      </c>
      <c r="G37" s="3" t="s">
        <v>59</v>
      </c>
      <c r="H37" s="3" t="s">
        <v>29</v>
      </c>
      <c r="I37" s="55">
        <v>46126</v>
      </c>
      <c r="J37" s="55">
        <v>46129</v>
      </c>
      <c r="K37" s="55">
        <v>46156</v>
      </c>
      <c r="L37" s="55"/>
      <c r="M37" s="55"/>
      <c r="O37" s="3" t="s">
        <v>10</v>
      </c>
      <c r="P37" s="55">
        <v>46156</v>
      </c>
      <c r="R37" s="181"/>
    </row>
    <row r="38" spans="1:18" ht="15" customHeight="1">
      <c r="A38" s="177" t="s">
        <v>57</v>
      </c>
      <c r="B38" s="177"/>
      <c r="C38" s="213">
        <v>105600034</v>
      </c>
      <c r="F38" s="29" t="s">
        <v>58</v>
      </c>
      <c r="G38" s="3" t="s">
        <v>59</v>
      </c>
      <c r="H38" s="3" t="s">
        <v>29</v>
      </c>
      <c r="I38" s="55">
        <v>46126</v>
      </c>
      <c r="J38" s="55">
        <v>46129</v>
      </c>
      <c r="K38" s="55">
        <v>46156</v>
      </c>
      <c r="L38" s="55"/>
      <c r="M38" s="55"/>
      <c r="O38" s="3" t="s">
        <v>10</v>
      </c>
      <c r="P38" s="55">
        <v>46156</v>
      </c>
      <c r="R38" s="181"/>
    </row>
    <row r="39" spans="1:18" ht="15" customHeight="1">
      <c r="A39" s="177" t="s">
        <v>57</v>
      </c>
      <c r="B39" s="177"/>
      <c r="C39" s="213">
        <v>105600037</v>
      </c>
      <c r="F39" s="29" t="s">
        <v>58</v>
      </c>
      <c r="G39" s="3" t="s">
        <v>59</v>
      </c>
      <c r="H39" s="3" t="s">
        <v>29</v>
      </c>
      <c r="I39" s="55">
        <v>46126</v>
      </c>
      <c r="J39" s="55">
        <v>46129</v>
      </c>
      <c r="K39" s="55">
        <v>46156</v>
      </c>
      <c r="L39" s="55"/>
      <c r="M39" s="55"/>
      <c r="O39" s="3" t="s">
        <v>10</v>
      </c>
      <c r="P39" s="55">
        <v>46156</v>
      </c>
      <c r="R39" s="181"/>
    </row>
    <row r="40" spans="1:18" ht="15" customHeight="1">
      <c r="A40" s="177" t="s">
        <v>57</v>
      </c>
      <c r="B40" s="177"/>
      <c r="C40" s="213">
        <v>105600039</v>
      </c>
      <c r="F40" s="29" t="s">
        <v>58</v>
      </c>
      <c r="G40" s="3" t="s">
        <v>59</v>
      </c>
      <c r="H40" s="3" t="s">
        <v>29</v>
      </c>
      <c r="I40" s="55">
        <v>46126</v>
      </c>
      <c r="J40" s="55">
        <v>46129</v>
      </c>
      <c r="K40" s="55">
        <v>46156</v>
      </c>
      <c r="L40" s="55"/>
      <c r="M40" s="55"/>
      <c r="O40" s="3" t="s">
        <v>10</v>
      </c>
      <c r="P40" s="55">
        <v>46156</v>
      </c>
      <c r="R40" s="181"/>
    </row>
    <row r="41" spans="1:18" ht="15" customHeight="1">
      <c r="A41" s="177" t="s">
        <v>57</v>
      </c>
      <c r="B41" s="177"/>
      <c r="C41" s="213">
        <v>105600043</v>
      </c>
      <c r="F41" s="29" t="s">
        <v>58</v>
      </c>
      <c r="G41" s="3" t="s">
        <v>59</v>
      </c>
      <c r="H41" s="3" t="s">
        <v>29</v>
      </c>
      <c r="I41" s="55">
        <v>46126</v>
      </c>
      <c r="J41" s="55">
        <v>46129</v>
      </c>
      <c r="K41" s="55">
        <v>46156</v>
      </c>
      <c r="L41" s="55"/>
      <c r="M41" s="55"/>
      <c r="O41" s="3" t="s">
        <v>10</v>
      </c>
      <c r="P41" s="55">
        <v>46156</v>
      </c>
      <c r="R41" s="181"/>
    </row>
    <row r="42" spans="1:18" ht="15" customHeight="1">
      <c r="A42" s="177" t="s">
        <v>57</v>
      </c>
      <c r="B42" s="177"/>
      <c r="C42" s="213">
        <v>105600046</v>
      </c>
      <c r="F42" s="29" t="s">
        <v>58</v>
      </c>
      <c r="G42" s="3" t="s">
        <v>59</v>
      </c>
      <c r="H42" s="3" t="s">
        <v>29</v>
      </c>
      <c r="I42" s="55">
        <v>46126</v>
      </c>
      <c r="J42" s="55">
        <v>46129</v>
      </c>
      <c r="K42" s="55">
        <v>46156</v>
      </c>
      <c r="L42" s="55"/>
      <c r="M42" s="55"/>
      <c r="O42" s="3" t="s">
        <v>10</v>
      </c>
      <c r="P42" s="55">
        <v>46156</v>
      </c>
      <c r="R42" s="181"/>
    </row>
    <row r="43" spans="1:18" ht="15" customHeight="1">
      <c r="A43" s="177" t="s">
        <v>57</v>
      </c>
      <c r="B43" s="177"/>
      <c r="C43" s="213">
        <v>105600048</v>
      </c>
      <c r="F43" s="29" t="s">
        <v>58</v>
      </c>
      <c r="G43" s="3" t="s">
        <v>59</v>
      </c>
      <c r="H43" s="3" t="s">
        <v>29</v>
      </c>
      <c r="I43" s="55">
        <v>46126</v>
      </c>
      <c r="J43" s="55">
        <v>46129</v>
      </c>
      <c r="K43" s="55">
        <v>46156</v>
      </c>
      <c r="L43" s="55"/>
      <c r="M43" s="55"/>
      <c r="O43" s="3" t="s">
        <v>10</v>
      </c>
      <c r="P43" s="55">
        <v>46156</v>
      </c>
      <c r="R43" s="181"/>
    </row>
    <row r="44" spans="1:18" ht="15" customHeight="1">
      <c r="A44" s="177" t="s">
        <v>57</v>
      </c>
      <c r="B44" s="177"/>
      <c r="C44" s="213">
        <v>105600049</v>
      </c>
      <c r="F44" s="29" t="s">
        <v>58</v>
      </c>
      <c r="G44" s="3" t="s">
        <v>59</v>
      </c>
      <c r="H44" s="3" t="s">
        <v>29</v>
      </c>
      <c r="I44" s="55">
        <v>46126</v>
      </c>
      <c r="J44" s="55">
        <v>46129</v>
      </c>
      <c r="K44" s="55">
        <v>46156</v>
      </c>
      <c r="L44" s="55"/>
      <c r="M44" s="55"/>
      <c r="O44" s="3" t="s">
        <v>10</v>
      </c>
      <c r="P44" s="55">
        <v>46156</v>
      </c>
      <c r="R44" s="181"/>
    </row>
    <row r="45" spans="1:18" ht="15" customHeight="1">
      <c r="A45" s="177" t="s">
        <v>57</v>
      </c>
      <c r="B45" s="177"/>
      <c r="C45" s="213">
        <v>105600051</v>
      </c>
      <c r="F45" s="29" t="s">
        <v>58</v>
      </c>
      <c r="G45" s="3" t="s">
        <v>59</v>
      </c>
      <c r="H45" s="3" t="s">
        <v>29</v>
      </c>
      <c r="I45" s="55">
        <v>46126</v>
      </c>
      <c r="J45" s="55">
        <v>46129</v>
      </c>
      <c r="K45" s="55">
        <v>46156</v>
      </c>
      <c r="L45" s="55"/>
      <c r="M45" s="55"/>
      <c r="O45" s="3" t="s">
        <v>10</v>
      </c>
      <c r="P45" s="55">
        <v>46156</v>
      </c>
      <c r="R45" s="181"/>
    </row>
    <row r="46" spans="1:18" ht="15" customHeight="1">
      <c r="A46" s="177" t="s">
        <v>61</v>
      </c>
      <c r="B46" s="177"/>
      <c r="C46" s="213">
        <v>118606531</v>
      </c>
      <c r="F46" s="29" t="s">
        <v>62</v>
      </c>
      <c r="G46" s="3" t="s">
        <v>19</v>
      </c>
      <c r="H46" s="3" t="s">
        <v>30</v>
      </c>
      <c r="I46" s="55">
        <v>46140</v>
      </c>
      <c r="J46" s="55">
        <v>46142</v>
      </c>
      <c r="K46" s="55">
        <v>46170</v>
      </c>
      <c r="L46" s="55"/>
      <c r="M46" s="55"/>
      <c r="O46" s="3" t="s">
        <v>10</v>
      </c>
      <c r="P46" s="55">
        <v>46143</v>
      </c>
      <c r="R46" s="181"/>
    </row>
    <row r="47" spans="1:18" ht="15" customHeight="1">
      <c r="A47" s="177" t="s">
        <v>61</v>
      </c>
      <c r="B47" s="177"/>
      <c r="C47" s="213">
        <v>118606665</v>
      </c>
      <c r="F47" s="29" t="s">
        <v>62</v>
      </c>
      <c r="G47" s="3" t="s">
        <v>19</v>
      </c>
      <c r="H47" s="3" t="s">
        <v>30</v>
      </c>
      <c r="I47" s="55">
        <v>46140</v>
      </c>
      <c r="J47" s="55">
        <v>46142</v>
      </c>
      <c r="K47" s="55">
        <v>46170</v>
      </c>
      <c r="L47" s="55"/>
      <c r="M47" s="55"/>
      <c r="O47" s="3" t="s">
        <v>10</v>
      </c>
      <c r="P47" s="55">
        <v>46143</v>
      </c>
      <c r="R47" s="181"/>
    </row>
    <row r="48" spans="1:18" ht="15" customHeight="1">
      <c r="A48" s="177" t="s">
        <v>61</v>
      </c>
      <c r="B48" s="177"/>
      <c r="C48" s="213">
        <v>118606742</v>
      </c>
      <c r="F48" s="29" t="s">
        <v>62</v>
      </c>
      <c r="G48" s="3" t="s">
        <v>19</v>
      </c>
      <c r="H48" s="3" t="s">
        <v>30</v>
      </c>
      <c r="I48" s="55">
        <v>46140</v>
      </c>
      <c r="J48" s="55">
        <v>46142</v>
      </c>
      <c r="K48" s="55">
        <v>46170</v>
      </c>
      <c r="L48" s="55"/>
      <c r="M48" s="55"/>
      <c r="O48" s="3" t="s">
        <v>10</v>
      </c>
      <c r="P48" s="55">
        <v>46143</v>
      </c>
      <c r="R48" s="181"/>
    </row>
    <row r="49" spans="1:18" ht="15" customHeight="1">
      <c r="A49" s="177" t="s">
        <v>61</v>
      </c>
      <c r="B49" s="177"/>
      <c r="C49" s="213">
        <v>118606767</v>
      </c>
      <c r="F49" s="29" t="s">
        <v>62</v>
      </c>
      <c r="G49" s="3" t="s">
        <v>19</v>
      </c>
      <c r="H49" s="3" t="s">
        <v>30</v>
      </c>
      <c r="I49" s="55">
        <v>46140</v>
      </c>
      <c r="J49" s="55">
        <v>46142</v>
      </c>
      <c r="K49" s="55">
        <v>46170</v>
      </c>
      <c r="L49" s="55"/>
      <c r="M49" s="55"/>
      <c r="O49" s="3" t="s">
        <v>10</v>
      </c>
      <c r="P49" s="55">
        <v>46143</v>
      </c>
      <c r="R49" s="181"/>
    </row>
    <row r="50" spans="1:18" ht="15" customHeight="1">
      <c r="A50" s="177" t="s">
        <v>61</v>
      </c>
      <c r="B50" s="177"/>
      <c r="C50" s="213">
        <v>118606787</v>
      </c>
      <c r="F50" s="29" t="s">
        <v>62</v>
      </c>
      <c r="G50" s="3" t="s">
        <v>19</v>
      </c>
      <c r="H50" s="3" t="s">
        <v>30</v>
      </c>
      <c r="I50" s="55">
        <v>46140</v>
      </c>
      <c r="J50" s="55">
        <v>46142</v>
      </c>
      <c r="K50" s="55">
        <v>46170</v>
      </c>
      <c r="L50" s="55"/>
      <c r="M50" s="55"/>
      <c r="O50" s="3" t="s">
        <v>10</v>
      </c>
      <c r="P50" s="55">
        <v>46143</v>
      </c>
      <c r="R50" s="181"/>
    </row>
    <row r="51" spans="1:18" ht="15" customHeight="1">
      <c r="A51" s="177" t="s">
        <v>61</v>
      </c>
      <c r="B51" s="177"/>
      <c r="C51" s="213">
        <v>118606804</v>
      </c>
      <c r="F51" s="29" t="s">
        <v>62</v>
      </c>
      <c r="G51" s="3" t="s">
        <v>19</v>
      </c>
      <c r="H51" s="3" t="s">
        <v>30</v>
      </c>
      <c r="I51" s="55">
        <v>46140</v>
      </c>
      <c r="J51" s="55">
        <v>46142</v>
      </c>
      <c r="K51" s="55">
        <v>46170</v>
      </c>
      <c r="L51" s="55"/>
      <c r="M51" s="55"/>
      <c r="O51" s="3" t="s">
        <v>10</v>
      </c>
      <c r="P51" s="55">
        <v>46143</v>
      </c>
      <c r="R51" s="181"/>
    </row>
    <row r="52" spans="1:18" ht="15" customHeight="1">
      <c r="A52" s="177" t="s">
        <v>63</v>
      </c>
      <c r="B52" s="177"/>
      <c r="C52" s="213">
        <v>124604303</v>
      </c>
      <c r="F52" s="29" t="s">
        <v>64</v>
      </c>
      <c r="G52" s="3" t="s">
        <v>65</v>
      </c>
      <c r="H52" s="3" t="s">
        <v>30</v>
      </c>
      <c r="I52" s="55">
        <v>46146</v>
      </c>
      <c r="J52" s="55">
        <v>46149</v>
      </c>
      <c r="K52" s="55">
        <v>46176</v>
      </c>
      <c r="L52" s="55"/>
      <c r="M52" s="55"/>
      <c r="O52" s="3" t="s">
        <v>10</v>
      </c>
      <c r="P52" s="55">
        <v>46154</v>
      </c>
      <c r="Q52" s="167" t="s">
        <v>66</v>
      </c>
      <c r="R52" s="181" t="s">
        <v>67</v>
      </c>
    </row>
    <row r="53" spans="1:18" ht="15" customHeight="1">
      <c r="A53" s="177" t="s">
        <v>63</v>
      </c>
      <c r="B53" s="177"/>
      <c r="C53" s="213">
        <v>124604370</v>
      </c>
      <c r="F53" s="29" t="s">
        <v>64</v>
      </c>
      <c r="G53" s="3" t="s">
        <v>65</v>
      </c>
      <c r="H53" s="3" t="s">
        <v>30</v>
      </c>
      <c r="I53" s="55">
        <v>46146</v>
      </c>
      <c r="J53" s="55">
        <v>46149</v>
      </c>
      <c r="K53" s="55">
        <v>46176</v>
      </c>
      <c r="L53" s="55"/>
      <c r="M53" s="55"/>
      <c r="O53" s="3" t="s">
        <v>10</v>
      </c>
      <c r="P53" s="55">
        <v>46154</v>
      </c>
      <c r="Q53" s="167" t="s">
        <v>68</v>
      </c>
      <c r="R53" s="181" t="s">
        <v>67</v>
      </c>
    </row>
    <row r="54" spans="1:18" ht="15" customHeight="1">
      <c r="A54" s="177" t="s">
        <v>63</v>
      </c>
      <c r="B54" s="177"/>
      <c r="C54" s="213">
        <v>124604548</v>
      </c>
      <c r="F54" s="29" t="s">
        <v>64</v>
      </c>
      <c r="G54" s="3" t="s">
        <v>65</v>
      </c>
      <c r="H54" s="3" t="s">
        <v>30</v>
      </c>
      <c r="I54" s="55">
        <v>46146</v>
      </c>
      <c r="J54" s="55">
        <v>46149</v>
      </c>
      <c r="K54" s="55">
        <v>46176</v>
      </c>
      <c r="L54" s="55"/>
      <c r="M54" s="55"/>
      <c r="O54" s="3" t="s">
        <v>10</v>
      </c>
      <c r="P54" s="55">
        <v>46154</v>
      </c>
      <c r="Q54" s="167" t="s">
        <v>69</v>
      </c>
      <c r="R54" s="181" t="s">
        <v>67</v>
      </c>
    </row>
    <row r="55" spans="1:18" ht="15" customHeight="1">
      <c r="A55" s="177" t="s">
        <v>63</v>
      </c>
      <c r="B55" s="177"/>
      <c r="C55" s="213">
        <v>124604489</v>
      </c>
      <c r="F55" s="29" t="s">
        <v>64</v>
      </c>
      <c r="G55" s="3" t="s">
        <v>65</v>
      </c>
      <c r="H55" s="3" t="s">
        <v>30</v>
      </c>
      <c r="I55" s="55">
        <v>46146</v>
      </c>
      <c r="J55" s="55">
        <v>46149</v>
      </c>
      <c r="K55" s="55">
        <v>46176</v>
      </c>
      <c r="L55" s="55"/>
      <c r="M55" s="55"/>
      <c r="O55" s="3" t="s">
        <v>10</v>
      </c>
      <c r="P55" s="55">
        <v>46154</v>
      </c>
      <c r="Q55" s="167" t="s">
        <v>69</v>
      </c>
      <c r="R55" s="181" t="s">
        <v>67</v>
      </c>
    </row>
    <row r="56" spans="1:18" ht="15" customHeight="1">
      <c r="A56" s="177" t="s">
        <v>63</v>
      </c>
      <c r="B56" s="177"/>
      <c r="C56" s="213">
        <v>124604660</v>
      </c>
      <c r="F56" s="29" t="s">
        <v>64</v>
      </c>
      <c r="G56" s="3" t="s">
        <v>65</v>
      </c>
      <c r="H56" s="3" t="s">
        <v>30</v>
      </c>
      <c r="I56" s="55">
        <v>46146</v>
      </c>
      <c r="J56" s="55">
        <v>46149</v>
      </c>
      <c r="K56" s="55">
        <v>46176</v>
      </c>
      <c r="L56" s="55"/>
      <c r="M56" s="55"/>
      <c r="O56" s="3" t="s">
        <v>10</v>
      </c>
      <c r="P56" s="55">
        <v>46154</v>
      </c>
      <c r="Q56" s="167" t="s">
        <v>70</v>
      </c>
      <c r="R56" s="181" t="s">
        <v>67</v>
      </c>
    </row>
    <row r="57" spans="1:18" ht="15" customHeight="1">
      <c r="A57" s="177" t="s">
        <v>63</v>
      </c>
      <c r="B57" s="177"/>
      <c r="C57" s="213">
        <v>124604927</v>
      </c>
      <c r="F57" s="29" t="s">
        <v>64</v>
      </c>
      <c r="G57" s="3" t="s">
        <v>65</v>
      </c>
      <c r="H57" s="3" t="s">
        <v>30</v>
      </c>
      <c r="I57" s="55">
        <v>46146</v>
      </c>
      <c r="J57" s="55">
        <v>46149</v>
      </c>
      <c r="K57" s="55">
        <v>46176</v>
      </c>
      <c r="L57" s="55"/>
      <c r="M57" s="55"/>
      <c r="O57" s="3" t="s">
        <v>10</v>
      </c>
      <c r="P57" s="55">
        <v>46155</v>
      </c>
      <c r="Q57" s="167" t="s">
        <v>71</v>
      </c>
      <c r="R57" s="181" t="s">
        <v>67</v>
      </c>
    </row>
    <row r="58" spans="1:18" ht="15" customHeight="1">
      <c r="A58" s="177" t="s">
        <v>63</v>
      </c>
      <c r="B58" s="177"/>
      <c r="C58" s="213">
        <v>124605013</v>
      </c>
      <c r="F58" s="29" t="s">
        <v>64</v>
      </c>
      <c r="G58" s="3" t="s">
        <v>65</v>
      </c>
      <c r="H58" s="3" t="s">
        <v>30</v>
      </c>
      <c r="I58" s="55">
        <v>46146</v>
      </c>
      <c r="J58" s="55">
        <v>46149</v>
      </c>
      <c r="K58" s="3" t="s">
        <v>72</v>
      </c>
      <c r="O58" s="3" t="s">
        <v>10</v>
      </c>
      <c r="P58" s="55">
        <v>46155</v>
      </c>
      <c r="Q58" s="167" t="s">
        <v>70</v>
      </c>
      <c r="R58" s="181" t="s">
        <v>67</v>
      </c>
    </row>
    <row r="59" spans="1:18" ht="15" customHeight="1">
      <c r="A59" s="177" t="s">
        <v>63</v>
      </c>
      <c r="B59" s="177"/>
      <c r="C59" s="213">
        <v>124605062</v>
      </c>
      <c r="F59" s="29" t="s">
        <v>64</v>
      </c>
      <c r="G59" s="3" t="s">
        <v>65</v>
      </c>
      <c r="H59" s="3" t="s">
        <v>30</v>
      </c>
      <c r="I59" s="55">
        <v>46146</v>
      </c>
      <c r="J59" s="55">
        <v>46149</v>
      </c>
      <c r="K59" s="3" t="s">
        <v>72</v>
      </c>
      <c r="O59" s="3" t="s">
        <v>10</v>
      </c>
      <c r="P59" s="55">
        <v>46155</v>
      </c>
      <c r="Q59" s="167" t="s">
        <v>69</v>
      </c>
      <c r="R59" s="181" t="s">
        <v>67</v>
      </c>
    </row>
    <row r="60" spans="1:18" ht="15" customHeight="1">
      <c r="A60" s="177" t="s">
        <v>63</v>
      </c>
      <c r="B60" s="177"/>
      <c r="C60" s="213">
        <v>124605123</v>
      </c>
      <c r="F60" s="29" t="s">
        <v>64</v>
      </c>
      <c r="G60" s="3" t="s">
        <v>65</v>
      </c>
      <c r="H60" s="3" t="s">
        <v>30</v>
      </c>
      <c r="I60" s="55">
        <v>46146</v>
      </c>
      <c r="J60" s="55">
        <v>46149</v>
      </c>
      <c r="K60" s="55">
        <v>46176</v>
      </c>
      <c r="L60" s="55"/>
      <c r="M60" s="55"/>
      <c r="O60" s="3" t="s">
        <v>10</v>
      </c>
      <c r="P60" s="55">
        <v>46155</v>
      </c>
      <c r="Q60" s="167" t="s">
        <v>69</v>
      </c>
      <c r="R60" s="181" t="s">
        <v>67</v>
      </c>
    </row>
    <row r="61" spans="1:18" ht="15" customHeight="1">
      <c r="A61" s="177" t="s">
        <v>63</v>
      </c>
      <c r="B61" s="177"/>
      <c r="C61" s="213">
        <v>124605193</v>
      </c>
      <c r="F61" s="29" t="s">
        <v>64</v>
      </c>
      <c r="G61" s="3" t="s">
        <v>65</v>
      </c>
      <c r="H61" s="3" t="s">
        <v>30</v>
      </c>
      <c r="I61" s="55">
        <v>46146</v>
      </c>
      <c r="J61" s="55">
        <v>46149</v>
      </c>
      <c r="K61" s="55">
        <v>46176</v>
      </c>
      <c r="L61" s="55"/>
      <c r="M61" s="55"/>
      <c r="O61" s="3" t="s">
        <v>10</v>
      </c>
      <c r="P61" s="55">
        <v>46154</v>
      </c>
      <c r="Q61" s="167" t="s">
        <v>70</v>
      </c>
      <c r="R61" s="181" t="s">
        <v>67</v>
      </c>
    </row>
    <row r="62" spans="1:18" s="172" customFormat="1" ht="15" customHeight="1">
      <c r="A62" s="178" t="s">
        <v>63</v>
      </c>
      <c r="B62" s="178"/>
      <c r="C62" s="214">
        <v>124605304</v>
      </c>
      <c r="D62" s="14"/>
      <c r="E62" s="14"/>
      <c r="F62" s="14" t="s">
        <v>64</v>
      </c>
      <c r="G62" s="10" t="s">
        <v>65</v>
      </c>
      <c r="H62" s="10" t="s">
        <v>30</v>
      </c>
      <c r="I62" s="9">
        <v>46146</v>
      </c>
      <c r="J62" s="9">
        <v>46149</v>
      </c>
      <c r="K62" s="9">
        <v>46176</v>
      </c>
      <c r="L62" s="9"/>
      <c r="M62" s="9"/>
      <c r="N62" s="10"/>
      <c r="O62" s="10" t="s">
        <v>10</v>
      </c>
      <c r="P62" s="9">
        <v>46154</v>
      </c>
      <c r="Q62" s="15" t="s">
        <v>73</v>
      </c>
      <c r="R62" s="181" t="s">
        <v>67</v>
      </c>
    </row>
    <row r="63" spans="1:18" ht="15" customHeight="1">
      <c r="A63" s="177" t="s">
        <v>63</v>
      </c>
      <c r="B63" s="177"/>
      <c r="C63" s="213">
        <v>124605462</v>
      </c>
      <c r="F63" s="29" t="s">
        <v>64</v>
      </c>
      <c r="G63" s="3" t="s">
        <v>65</v>
      </c>
      <c r="H63" s="3" t="s">
        <v>30</v>
      </c>
      <c r="I63" s="55">
        <v>46146</v>
      </c>
      <c r="J63" s="55">
        <v>46149</v>
      </c>
      <c r="K63" s="55">
        <v>46176</v>
      </c>
      <c r="L63" s="55"/>
      <c r="M63" s="55"/>
      <c r="O63" s="3" t="s">
        <v>10</v>
      </c>
      <c r="P63" s="55">
        <v>46158</v>
      </c>
      <c r="Q63" s="167" t="s">
        <v>74</v>
      </c>
      <c r="R63" s="181" t="s">
        <v>67</v>
      </c>
    </row>
    <row r="64" spans="1:18" ht="15" customHeight="1">
      <c r="A64" s="177" t="s">
        <v>63</v>
      </c>
      <c r="B64" s="177"/>
      <c r="C64" s="213">
        <v>124605550</v>
      </c>
      <c r="F64" s="29" t="s">
        <v>64</v>
      </c>
      <c r="G64" s="3" t="s">
        <v>65</v>
      </c>
      <c r="H64" s="3" t="s">
        <v>30</v>
      </c>
      <c r="I64" s="55">
        <v>46146</v>
      </c>
      <c r="J64" s="55">
        <v>46149</v>
      </c>
      <c r="K64" s="55">
        <v>46176</v>
      </c>
      <c r="L64" s="55"/>
      <c r="M64" s="55"/>
      <c r="O64" s="3" t="s">
        <v>10</v>
      </c>
      <c r="P64" s="55">
        <v>46174</v>
      </c>
      <c r="Q64" s="167" t="s">
        <v>68</v>
      </c>
      <c r="R64" s="181" t="s">
        <v>67</v>
      </c>
    </row>
    <row r="65" spans="1:18" ht="15" customHeight="1">
      <c r="A65" s="177" t="s">
        <v>63</v>
      </c>
      <c r="B65" s="177"/>
      <c r="C65" s="213">
        <v>124605681</v>
      </c>
      <c r="F65" s="29" t="s">
        <v>64</v>
      </c>
      <c r="G65" s="3" t="s">
        <v>65</v>
      </c>
      <c r="H65" s="3" t="s">
        <v>30</v>
      </c>
      <c r="I65" s="55">
        <v>46146</v>
      </c>
      <c r="J65" s="55">
        <v>46149</v>
      </c>
      <c r="K65" s="55">
        <v>46176</v>
      </c>
      <c r="L65" s="55"/>
      <c r="M65" s="55"/>
      <c r="O65" s="3" t="s">
        <v>10</v>
      </c>
      <c r="P65" s="55">
        <v>46154</v>
      </c>
      <c r="Q65" s="167" t="s">
        <v>75</v>
      </c>
      <c r="R65" s="181" t="s">
        <v>67</v>
      </c>
    </row>
    <row r="66" spans="1:18" ht="15" customHeight="1">
      <c r="A66" s="177" t="s">
        <v>63</v>
      </c>
      <c r="B66" s="177"/>
      <c r="C66" s="213">
        <v>124605758</v>
      </c>
      <c r="F66" s="29" t="s">
        <v>64</v>
      </c>
      <c r="G66" s="3" t="s">
        <v>65</v>
      </c>
      <c r="H66" s="3" t="s">
        <v>30</v>
      </c>
      <c r="I66" s="55">
        <v>46146</v>
      </c>
      <c r="J66" s="55">
        <v>46149</v>
      </c>
      <c r="K66" s="55">
        <v>46176</v>
      </c>
      <c r="L66" s="55"/>
      <c r="M66" s="55"/>
      <c r="O66" s="3" t="s">
        <v>10</v>
      </c>
      <c r="P66" s="55">
        <v>46154</v>
      </c>
      <c r="Q66" s="167" t="s">
        <v>76</v>
      </c>
      <c r="R66" s="181" t="s">
        <v>67</v>
      </c>
    </row>
    <row r="67" spans="1:18" ht="15" customHeight="1">
      <c r="A67" s="177" t="s">
        <v>63</v>
      </c>
      <c r="B67" s="177"/>
      <c r="C67" s="213">
        <v>124605874</v>
      </c>
      <c r="F67" s="29" t="s">
        <v>64</v>
      </c>
      <c r="G67" s="3" t="s">
        <v>65</v>
      </c>
      <c r="H67" s="3" t="s">
        <v>30</v>
      </c>
      <c r="I67" s="55">
        <v>46146</v>
      </c>
      <c r="J67" s="55">
        <v>46149</v>
      </c>
      <c r="K67" s="55">
        <v>46176</v>
      </c>
      <c r="L67" s="55"/>
      <c r="M67" s="55"/>
      <c r="O67" s="3" t="s">
        <v>10</v>
      </c>
      <c r="P67" s="55">
        <v>46160</v>
      </c>
      <c r="Q67" s="167" t="s">
        <v>77</v>
      </c>
      <c r="R67" s="181" t="s">
        <v>67</v>
      </c>
    </row>
    <row r="68" spans="1:18" ht="15" customHeight="1">
      <c r="A68" s="177" t="s">
        <v>63</v>
      </c>
      <c r="B68" s="177"/>
      <c r="C68" s="213">
        <v>124605947</v>
      </c>
      <c r="F68" s="29" t="s">
        <v>64</v>
      </c>
      <c r="G68" s="3" t="s">
        <v>65</v>
      </c>
      <c r="H68" s="3" t="s">
        <v>30</v>
      </c>
      <c r="I68" s="55">
        <v>46146</v>
      </c>
      <c r="J68" s="55">
        <v>46149</v>
      </c>
      <c r="K68" s="55">
        <v>46176</v>
      </c>
      <c r="L68" s="55"/>
      <c r="M68" s="55"/>
      <c r="O68" s="3" t="s">
        <v>10</v>
      </c>
      <c r="P68" s="55">
        <v>46160</v>
      </c>
      <c r="Q68" s="167" t="s">
        <v>77</v>
      </c>
      <c r="R68" s="181" t="s">
        <v>67</v>
      </c>
    </row>
    <row r="69" spans="1:18" s="172" customFormat="1" ht="15" customHeight="1">
      <c r="A69" s="178" t="s">
        <v>63</v>
      </c>
      <c r="B69" s="178"/>
      <c r="C69" s="214">
        <v>124606040</v>
      </c>
      <c r="D69" s="14"/>
      <c r="E69" s="14"/>
      <c r="F69" s="14" t="s">
        <v>64</v>
      </c>
      <c r="G69" s="10" t="s">
        <v>65</v>
      </c>
      <c r="H69" s="10" t="s">
        <v>30</v>
      </c>
      <c r="I69" s="9">
        <v>46146</v>
      </c>
      <c r="J69" s="9">
        <v>46149</v>
      </c>
      <c r="K69" s="9">
        <v>46176</v>
      </c>
      <c r="L69" s="9"/>
      <c r="M69" s="9"/>
      <c r="N69" s="10"/>
      <c r="O69" s="3" t="s">
        <v>10</v>
      </c>
      <c r="P69" s="55">
        <v>46160</v>
      </c>
      <c r="Q69" s="15" t="s">
        <v>78</v>
      </c>
      <c r="R69" s="181" t="s">
        <v>67</v>
      </c>
    </row>
    <row r="70" spans="1:18" ht="15" customHeight="1">
      <c r="A70" s="177" t="s">
        <v>63</v>
      </c>
      <c r="B70" s="177"/>
      <c r="C70" s="213">
        <v>124606101</v>
      </c>
      <c r="F70" s="29" t="s">
        <v>64</v>
      </c>
      <c r="G70" s="3" t="s">
        <v>65</v>
      </c>
      <c r="H70" s="3" t="s">
        <v>30</v>
      </c>
      <c r="I70" s="55">
        <v>46146</v>
      </c>
      <c r="J70" s="55">
        <v>46149</v>
      </c>
      <c r="K70" s="55">
        <v>46176</v>
      </c>
      <c r="L70" s="55"/>
      <c r="M70" s="55"/>
      <c r="O70" s="3" t="s">
        <v>10</v>
      </c>
      <c r="P70" s="55">
        <v>46160</v>
      </c>
      <c r="Q70" s="167" t="s">
        <v>79</v>
      </c>
      <c r="R70" s="181" t="s">
        <v>67</v>
      </c>
    </row>
    <row r="71" spans="1:18" ht="15" customHeight="1">
      <c r="A71" s="177" t="s">
        <v>80</v>
      </c>
      <c r="B71" s="177"/>
      <c r="C71" s="213">
        <v>124607312</v>
      </c>
      <c r="D71" s="168">
        <v>169601069</v>
      </c>
      <c r="F71" s="29" t="s">
        <v>64</v>
      </c>
      <c r="G71" s="3" t="s">
        <v>18</v>
      </c>
      <c r="H71" s="3" t="s">
        <v>30</v>
      </c>
      <c r="I71" s="55">
        <v>46191</v>
      </c>
      <c r="J71" s="55">
        <v>46195</v>
      </c>
      <c r="K71" s="55">
        <v>46223</v>
      </c>
      <c r="L71" s="55"/>
      <c r="M71" s="55"/>
      <c r="O71" s="3" t="s">
        <v>9</v>
      </c>
      <c r="P71" s="55">
        <v>46154</v>
      </c>
      <c r="Q71" s="167" t="s">
        <v>81</v>
      </c>
      <c r="R71" s="181" t="s">
        <v>82</v>
      </c>
    </row>
    <row r="72" spans="1:18" ht="15" customHeight="1">
      <c r="A72" s="177" t="s">
        <v>83</v>
      </c>
      <c r="B72" s="177"/>
      <c r="C72" s="213">
        <v>125601212</v>
      </c>
      <c r="D72" s="174">
        <v>154600874</v>
      </c>
      <c r="F72" s="29" t="s">
        <v>64</v>
      </c>
      <c r="G72" s="3" t="s">
        <v>65</v>
      </c>
      <c r="H72" s="3" t="s">
        <v>30</v>
      </c>
      <c r="I72" s="55">
        <v>46147</v>
      </c>
      <c r="J72" s="55">
        <v>46150</v>
      </c>
      <c r="K72" s="55">
        <v>46177</v>
      </c>
      <c r="L72" s="55"/>
      <c r="M72" s="55"/>
      <c r="O72" s="3" t="s">
        <v>9</v>
      </c>
      <c r="Q72" s="167" t="s">
        <v>84</v>
      </c>
      <c r="R72" s="181" t="s">
        <v>85</v>
      </c>
    </row>
    <row r="73" spans="1:18" ht="15" customHeight="1">
      <c r="A73" s="177" t="s">
        <v>86</v>
      </c>
      <c r="B73" s="177"/>
      <c r="C73" s="213">
        <v>125602262</v>
      </c>
      <c r="D73" s="29">
        <v>169601105</v>
      </c>
      <c r="F73" s="29" t="s">
        <v>64</v>
      </c>
      <c r="G73" s="3" t="s">
        <v>16</v>
      </c>
      <c r="H73" s="3" t="s">
        <v>30</v>
      </c>
      <c r="I73" s="55">
        <v>46147</v>
      </c>
      <c r="J73" s="55">
        <v>46150</v>
      </c>
      <c r="K73" s="55">
        <v>46177</v>
      </c>
      <c r="L73" s="55"/>
      <c r="M73" s="55"/>
      <c r="O73" s="3" t="s">
        <v>10</v>
      </c>
      <c r="P73" s="55">
        <v>46177</v>
      </c>
      <c r="R73" s="181"/>
    </row>
    <row r="74" spans="1:18" ht="15" customHeight="1">
      <c r="A74" s="177" t="s">
        <v>83</v>
      </c>
      <c r="B74" s="177"/>
      <c r="C74" s="213">
        <v>125603710</v>
      </c>
      <c r="D74" s="175">
        <v>154600780</v>
      </c>
      <c r="F74" s="29" t="s">
        <v>64</v>
      </c>
      <c r="G74" s="3" t="s">
        <v>65</v>
      </c>
      <c r="H74" s="3" t="s">
        <v>30</v>
      </c>
      <c r="I74" s="55">
        <v>46176</v>
      </c>
      <c r="J74" s="55">
        <v>46150</v>
      </c>
      <c r="K74" s="55">
        <v>46177</v>
      </c>
      <c r="L74" s="55"/>
      <c r="M74" s="55"/>
      <c r="O74" s="3" t="s">
        <v>9</v>
      </c>
      <c r="Q74" s="167">
        <v>250</v>
      </c>
      <c r="R74" s="181" t="s">
        <v>87</v>
      </c>
    </row>
    <row r="75" spans="1:18" ht="15" customHeight="1">
      <c r="A75" s="177" t="s">
        <v>83</v>
      </c>
      <c r="B75" s="177"/>
      <c r="C75" s="213">
        <v>125603846</v>
      </c>
      <c r="D75" s="175">
        <v>154600795</v>
      </c>
      <c r="F75" s="29" t="s">
        <v>64</v>
      </c>
      <c r="G75" s="3" t="s">
        <v>65</v>
      </c>
      <c r="H75" s="3" t="s">
        <v>30</v>
      </c>
      <c r="I75" s="55">
        <v>46176</v>
      </c>
      <c r="J75" s="55">
        <v>46150</v>
      </c>
      <c r="K75" s="55">
        <v>46177</v>
      </c>
      <c r="L75" s="55"/>
      <c r="M75" s="55"/>
      <c r="O75" s="3" t="s">
        <v>9</v>
      </c>
      <c r="Q75" s="167">
        <v>425</v>
      </c>
      <c r="R75" s="181" t="s">
        <v>87</v>
      </c>
    </row>
    <row r="76" spans="1:18" ht="15" customHeight="1">
      <c r="A76" s="177" t="s">
        <v>83</v>
      </c>
      <c r="B76" s="177"/>
      <c r="C76" s="213">
        <v>125603896</v>
      </c>
      <c r="D76" s="175">
        <v>154600805</v>
      </c>
      <c r="F76" s="29" t="s">
        <v>64</v>
      </c>
      <c r="G76" s="3" t="s">
        <v>65</v>
      </c>
      <c r="H76" s="3" t="s">
        <v>30</v>
      </c>
      <c r="I76" s="55">
        <v>46176</v>
      </c>
      <c r="J76" s="55">
        <v>46150</v>
      </c>
      <c r="K76" s="55">
        <v>46177</v>
      </c>
      <c r="L76" s="55"/>
      <c r="M76" s="55"/>
      <c r="O76" s="3" t="s">
        <v>9</v>
      </c>
      <c r="Q76" s="167">
        <v>500</v>
      </c>
      <c r="R76" s="181" t="s">
        <v>85</v>
      </c>
    </row>
    <row r="77" spans="1:18" ht="15" customHeight="1">
      <c r="A77" s="177" t="s">
        <v>83</v>
      </c>
      <c r="B77" s="177"/>
      <c r="C77" s="213">
        <v>125603978</v>
      </c>
      <c r="D77" s="175">
        <v>154600815</v>
      </c>
      <c r="F77" s="29" t="s">
        <v>64</v>
      </c>
      <c r="G77" s="3" t="s">
        <v>65</v>
      </c>
      <c r="H77" s="3" t="s">
        <v>30</v>
      </c>
      <c r="I77" s="55">
        <v>46176</v>
      </c>
      <c r="J77" s="55">
        <v>46150</v>
      </c>
      <c r="K77" s="55">
        <v>46177</v>
      </c>
      <c r="L77" s="55"/>
      <c r="M77" s="55"/>
      <c r="O77" s="3" t="s">
        <v>9</v>
      </c>
      <c r="Q77" s="167">
        <v>300</v>
      </c>
      <c r="R77" s="181" t="s">
        <v>85</v>
      </c>
    </row>
    <row r="78" spans="1:18" ht="15" customHeight="1">
      <c r="A78" s="177" t="s">
        <v>83</v>
      </c>
      <c r="B78" s="177"/>
      <c r="C78" s="213">
        <v>125604026</v>
      </c>
      <c r="D78" s="175">
        <v>154600822</v>
      </c>
      <c r="F78" s="29" t="s">
        <v>64</v>
      </c>
      <c r="G78" s="3" t="s">
        <v>65</v>
      </c>
      <c r="H78" s="3" t="s">
        <v>30</v>
      </c>
      <c r="I78" s="55">
        <v>46176</v>
      </c>
      <c r="J78" s="55">
        <v>46150</v>
      </c>
      <c r="K78" s="55">
        <v>46177</v>
      </c>
      <c r="L78" s="55"/>
      <c r="M78" s="55"/>
      <c r="O78" s="3" t="s">
        <v>9</v>
      </c>
      <c r="Q78" s="167">
        <v>60</v>
      </c>
      <c r="R78" s="181" t="s">
        <v>85</v>
      </c>
    </row>
    <row r="79" spans="1:18" ht="15" customHeight="1">
      <c r="A79" s="177" t="s">
        <v>83</v>
      </c>
      <c r="B79" s="177"/>
      <c r="C79" s="213">
        <v>125604081</v>
      </c>
      <c r="D79" s="176">
        <v>154600836</v>
      </c>
      <c r="F79" s="29" t="s">
        <v>64</v>
      </c>
      <c r="G79" s="3" t="s">
        <v>65</v>
      </c>
      <c r="H79" s="3" t="s">
        <v>30</v>
      </c>
      <c r="I79" s="55">
        <v>46176</v>
      </c>
      <c r="J79" s="55">
        <v>46150</v>
      </c>
      <c r="K79" s="55">
        <v>46177</v>
      </c>
      <c r="L79" s="55"/>
      <c r="M79" s="55"/>
      <c r="O79" s="3" t="s">
        <v>9</v>
      </c>
      <c r="Q79" s="167">
        <v>490</v>
      </c>
      <c r="R79" s="181" t="s">
        <v>85</v>
      </c>
    </row>
    <row r="80" spans="1:18" ht="15" customHeight="1">
      <c r="A80" s="177" t="s">
        <v>83</v>
      </c>
      <c r="B80" s="177"/>
      <c r="C80" s="213">
        <v>125604820</v>
      </c>
      <c r="D80" s="175">
        <v>154600851</v>
      </c>
      <c r="F80" s="29" t="s">
        <v>64</v>
      </c>
      <c r="G80" s="3" t="s">
        <v>65</v>
      </c>
      <c r="H80" s="3" t="s">
        <v>30</v>
      </c>
      <c r="I80" s="55">
        <v>46176</v>
      </c>
      <c r="J80" s="55">
        <v>46150</v>
      </c>
      <c r="K80" s="55">
        <v>46177</v>
      </c>
      <c r="L80" s="55"/>
      <c r="M80" s="55"/>
      <c r="O80" s="3" t="s">
        <v>9</v>
      </c>
      <c r="Q80" s="167">
        <v>250</v>
      </c>
      <c r="R80" s="181" t="s">
        <v>85</v>
      </c>
    </row>
    <row r="81" spans="1:18" ht="15" customHeight="1">
      <c r="A81" s="177" t="s">
        <v>83</v>
      </c>
      <c r="B81" s="177"/>
      <c r="C81" s="213">
        <v>125604870</v>
      </c>
      <c r="D81" s="175">
        <v>154600853</v>
      </c>
      <c r="F81" s="29" t="s">
        <v>64</v>
      </c>
      <c r="G81" s="3" t="s">
        <v>65</v>
      </c>
      <c r="H81" s="3" t="s">
        <v>30</v>
      </c>
      <c r="I81" s="55">
        <v>46176</v>
      </c>
      <c r="J81" s="3" t="s">
        <v>88</v>
      </c>
      <c r="K81" s="55">
        <v>46177</v>
      </c>
      <c r="L81" s="55"/>
      <c r="M81" s="55"/>
      <c r="O81" s="3" t="s">
        <v>9</v>
      </c>
      <c r="Q81" s="167">
        <v>350</v>
      </c>
      <c r="R81" s="181" t="s">
        <v>85</v>
      </c>
    </row>
    <row r="82" spans="1:18" ht="15" customHeight="1">
      <c r="A82" s="177" t="s">
        <v>83</v>
      </c>
      <c r="B82" s="177"/>
      <c r="C82" s="213">
        <v>125604951</v>
      </c>
      <c r="D82" s="175">
        <v>154600861</v>
      </c>
      <c r="F82" s="29" t="s">
        <v>64</v>
      </c>
      <c r="G82" s="3" t="s">
        <v>65</v>
      </c>
      <c r="H82" s="3" t="s">
        <v>30</v>
      </c>
      <c r="I82" s="55">
        <v>46176</v>
      </c>
      <c r="J82" s="55">
        <v>46150</v>
      </c>
      <c r="K82" s="55">
        <v>46177</v>
      </c>
      <c r="L82" s="55"/>
      <c r="M82" s="55"/>
      <c r="O82" s="3" t="s">
        <v>9</v>
      </c>
      <c r="Q82" s="167">
        <v>65</v>
      </c>
      <c r="R82" s="181" t="s">
        <v>85</v>
      </c>
    </row>
    <row r="83" spans="1:18" ht="15" customHeight="1">
      <c r="A83" s="177" t="s">
        <v>83</v>
      </c>
      <c r="B83" s="177"/>
      <c r="C83" s="213">
        <v>125604992</v>
      </c>
      <c r="D83" s="175">
        <v>154600868</v>
      </c>
      <c r="F83" s="29" t="s">
        <v>64</v>
      </c>
      <c r="G83" s="3" t="s">
        <v>65</v>
      </c>
      <c r="H83" s="3" t="s">
        <v>30</v>
      </c>
      <c r="I83" s="55">
        <v>46176</v>
      </c>
      <c r="J83" s="55">
        <v>46150</v>
      </c>
      <c r="K83" s="55">
        <v>46177</v>
      </c>
      <c r="L83" s="55"/>
      <c r="M83" s="55"/>
      <c r="O83" s="3" t="s">
        <v>9</v>
      </c>
      <c r="Q83" s="167">
        <v>300</v>
      </c>
      <c r="R83" s="181" t="s">
        <v>85</v>
      </c>
    </row>
    <row r="84" spans="1:18" ht="15" customHeight="1">
      <c r="A84" s="177" t="s">
        <v>83</v>
      </c>
      <c r="B84" s="177"/>
      <c r="C84" s="213">
        <v>125605026</v>
      </c>
      <c r="F84" s="29" t="s">
        <v>64</v>
      </c>
      <c r="G84" s="3" t="s">
        <v>65</v>
      </c>
      <c r="H84" s="3" t="s">
        <v>30</v>
      </c>
      <c r="I84" s="55">
        <v>46147</v>
      </c>
      <c r="J84" s="55">
        <v>46150</v>
      </c>
      <c r="K84" s="55">
        <v>46177</v>
      </c>
      <c r="L84" s="55"/>
      <c r="M84" s="55"/>
      <c r="O84" s="3" t="s">
        <v>10</v>
      </c>
      <c r="P84" s="55">
        <v>46169</v>
      </c>
      <c r="Q84" s="167">
        <v>300</v>
      </c>
      <c r="R84" s="181"/>
    </row>
    <row r="85" spans="1:18" ht="15" customHeight="1">
      <c r="A85" s="177" t="s">
        <v>83</v>
      </c>
      <c r="B85" s="177"/>
      <c r="C85" s="213">
        <v>125605075</v>
      </c>
      <c r="F85" s="29" t="s">
        <v>64</v>
      </c>
      <c r="G85" s="3" t="s">
        <v>65</v>
      </c>
      <c r="H85" s="3" t="s">
        <v>30</v>
      </c>
      <c r="I85" s="55">
        <v>46147</v>
      </c>
      <c r="J85" s="55">
        <v>46150</v>
      </c>
      <c r="K85" s="55">
        <v>46177</v>
      </c>
      <c r="L85" s="55"/>
      <c r="M85" s="55"/>
      <c r="O85" s="3" t="s">
        <v>10</v>
      </c>
      <c r="P85" s="55">
        <v>46169</v>
      </c>
      <c r="Q85" s="167">
        <v>200</v>
      </c>
      <c r="R85" s="181"/>
    </row>
    <row r="86" spans="1:18" ht="15" customHeight="1">
      <c r="A86" s="177" t="s">
        <v>83</v>
      </c>
      <c r="B86" s="177"/>
      <c r="C86" s="213">
        <v>125605126</v>
      </c>
      <c r="F86" s="29" t="s">
        <v>64</v>
      </c>
      <c r="G86" s="3" t="s">
        <v>65</v>
      </c>
      <c r="H86" s="3" t="s">
        <v>30</v>
      </c>
      <c r="I86" s="55">
        <v>46147</v>
      </c>
      <c r="J86" s="55">
        <v>46150</v>
      </c>
      <c r="K86" s="55">
        <v>46177</v>
      </c>
      <c r="L86" s="55"/>
      <c r="M86" s="55"/>
      <c r="O86" s="3" t="s">
        <v>10</v>
      </c>
      <c r="P86" s="55">
        <v>46169</v>
      </c>
      <c r="Q86" s="167">
        <v>500</v>
      </c>
      <c r="R86" s="181" t="s">
        <v>89</v>
      </c>
    </row>
    <row r="87" spans="1:18" ht="15" customHeight="1">
      <c r="A87" s="177" t="s">
        <v>83</v>
      </c>
      <c r="B87" s="177"/>
      <c r="C87" s="213">
        <v>125605184</v>
      </c>
      <c r="F87" s="29" t="s">
        <v>64</v>
      </c>
      <c r="G87" s="3" t="s">
        <v>65</v>
      </c>
      <c r="H87" s="3" t="s">
        <v>30</v>
      </c>
      <c r="I87" s="55">
        <v>46147</v>
      </c>
      <c r="J87" s="55">
        <v>46150</v>
      </c>
      <c r="K87" s="55">
        <v>46177</v>
      </c>
      <c r="L87" s="55"/>
      <c r="M87" s="55"/>
      <c r="O87" s="3" t="s">
        <v>10</v>
      </c>
      <c r="P87" s="55">
        <v>46169</v>
      </c>
      <c r="Q87" s="167">
        <v>470</v>
      </c>
      <c r="R87" s="181" t="s">
        <v>89</v>
      </c>
    </row>
    <row r="88" spans="1:18" ht="15" customHeight="1">
      <c r="A88" s="177" t="s">
        <v>83</v>
      </c>
      <c r="B88" s="177"/>
      <c r="C88" s="213">
        <v>125605210</v>
      </c>
      <c r="F88" s="29" t="s">
        <v>64</v>
      </c>
      <c r="G88" s="3" t="s">
        <v>65</v>
      </c>
      <c r="H88" s="3" t="s">
        <v>30</v>
      </c>
      <c r="I88" s="55">
        <v>46147</v>
      </c>
      <c r="J88" s="55">
        <v>46150</v>
      </c>
      <c r="K88" s="55">
        <v>46177</v>
      </c>
      <c r="L88" s="55"/>
      <c r="M88" s="55"/>
      <c r="O88" s="3" t="s">
        <v>10</v>
      </c>
      <c r="P88" s="55">
        <v>46170</v>
      </c>
      <c r="Q88" s="167">
        <v>350</v>
      </c>
      <c r="R88" s="181" t="s">
        <v>89</v>
      </c>
    </row>
    <row r="89" spans="1:18" ht="15" customHeight="1">
      <c r="A89" s="177" t="s">
        <v>83</v>
      </c>
      <c r="B89" s="177"/>
      <c r="C89" s="213">
        <v>125605234</v>
      </c>
      <c r="F89" s="29" t="s">
        <v>64</v>
      </c>
      <c r="G89" s="3" t="s">
        <v>65</v>
      </c>
      <c r="H89" s="3" t="s">
        <v>30</v>
      </c>
      <c r="I89" s="55">
        <v>46147</v>
      </c>
      <c r="J89" s="55">
        <v>46150</v>
      </c>
      <c r="K89" s="55">
        <v>46177</v>
      </c>
      <c r="L89" s="55"/>
      <c r="M89" s="55"/>
      <c r="O89" s="3" t="s">
        <v>10</v>
      </c>
      <c r="P89" s="55">
        <v>46170</v>
      </c>
      <c r="Q89" s="167">
        <v>520</v>
      </c>
      <c r="R89" s="181" t="s">
        <v>89</v>
      </c>
    </row>
    <row r="90" spans="1:18" ht="15" customHeight="1">
      <c r="A90" s="177" t="s">
        <v>90</v>
      </c>
      <c r="B90" s="177"/>
      <c r="C90" s="213">
        <v>127606368</v>
      </c>
      <c r="F90" s="29" t="s">
        <v>91</v>
      </c>
      <c r="G90" s="3" t="s">
        <v>65</v>
      </c>
      <c r="H90" s="3" t="s">
        <v>92</v>
      </c>
      <c r="I90" s="55">
        <v>46149</v>
      </c>
      <c r="J90" s="55">
        <v>46153</v>
      </c>
      <c r="K90" s="55">
        <v>46181</v>
      </c>
      <c r="L90" s="55"/>
      <c r="M90" s="55"/>
      <c r="O90" s="3" t="s">
        <v>10</v>
      </c>
      <c r="P90" s="55">
        <v>46174</v>
      </c>
      <c r="R90" s="181"/>
    </row>
    <row r="91" spans="1:18" ht="15" customHeight="1">
      <c r="A91" s="177" t="s">
        <v>90</v>
      </c>
      <c r="B91" s="177"/>
      <c r="C91" s="213">
        <v>127606356</v>
      </c>
      <c r="F91" s="29" t="s">
        <v>91</v>
      </c>
      <c r="G91" s="3" t="s">
        <v>65</v>
      </c>
      <c r="H91" s="3" t="s">
        <v>92</v>
      </c>
      <c r="I91" s="55">
        <v>46149</v>
      </c>
      <c r="J91" s="55">
        <v>46153</v>
      </c>
      <c r="K91" s="55">
        <v>46181</v>
      </c>
      <c r="L91" s="55"/>
      <c r="M91" s="55"/>
      <c r="O91" s="3" t="s">
        <v>10</v>
      </c>
      <c r="P91" s="55">
        <v>46174</v>
      </c>
      <c r="R91" s="181"/>
    </row>
    <row r="92" spans="1:18" ht="15" customHeight="1">
      <c r="A92" s="177" t="s">
        <v>90</v>
      </c>
      <c r="B92" s="177"/>
      <c r="C92" s="213">
        <v>127606321</v>
      </c>
      <c r="F92" s="29" t="s">
        <v>91</v>
      </c>
      <c r="G92" s="3" t="s">
        <v>65</v>
      </c>
      <c r="H92" s="3" t="s">
        <v>92</v>
      </c>
      <c r="I92" s="55">
        <v>46149</v>
      </c>
      <c r="J92" s="55">
        <v>46153</v>
      </c>
      <c r="K92" s="55">
        <v>46181</v>
      </c>
      <c r="L92" s="55"/>
      <c r="M92" s="55"/>
      <c r="O92" s="3" t="s">
        <v>10</v>
      </c>
      <c r="P92" s="55">
        <v>46174</v>
      </c>
      <c r="R92" s="181"/>
    </row>
    <row r="93" spans="1:18" ht="15" customHeight="1">
      <c r="A93" s="177" t="s">
        <v>90</v>
      </c>
      <c r="B93" s="177"/>
      <c r="C93" s="213">
        <v>127606213</v>
      </c>
      <c r="F93" s="29" t="s">
        <v>91</v>
      </c>
      <c r="G93" s="3" t="s">
        <v>65</v>
      </c>
      <c r="H93" s="3" t="s">
        <v>92</v>
      </c>
      <c r="I93" s="55">
        <v>46149</v>
      </c>
      <c r="J93" s="55">
        <v>46153</v>
      </c>
      <c r="K93" s="55">
        <v>46181</v>
      </c>
      <c r="L93" s="55"/>
      <c r="M93" s="55"/>
      <c r="O93" s="3" t="s">
        <v>9</v>
      </c>
      <c r="R93" s="181"/>
    </row>
    <row r="94" spans="1:18" ht="15" customHeight="1">
      <c r="A94" s="177" t="s">
        <v>90</v>
      </c>
      <c r="B94" s="177"/>
      <c r="C94" s="213">
        <v>127606291</v>
      </c>
      <c r="F94" s="29" t="s">
        <v>91</v>
      </c>
      <c r="G94" s="3" t="s">
        <v>65</v>
      </c>
      <c r="H94" s="3" t="s">
        <v>92</v>
      </c>
      <c r="I94" s="55">
        <v>46149</v>
      </c>
      <c r="J94" s="55">
        <v>46153</v>
      </c>
      <c r="K94" s="55">
        <v>46181</v>
      </c>
      <c r="L94" s="55"/>
      <c r="M94" s="55"/>
      <c r="O94" s="3" t="s">
        <v>10</v>
      </c>
      <c r="P94" s="55">
        <v>46174</v>
      </c>
      <c r="R94" s="181"/>
    </row>
    <row r="95" spans="1:18" ht="15" customHeight="1">
      <c r="A95" s="177" t="s">
        <v>90</v>
      </c>
      <c r="B95" s="177"/>
      <c r="C95" s="213">
        <v>127606103</v>
      </c>
      <c r="F95" s="29" t="s">
        <v>91</v>
      </c>
      <c r="G95" s="3" t="s">
        <v>65</v>
      </c>
      <c r="H95" s="3" t="s">
        <v>92</v>
      </c>
      <c r="I95" s="55">
        <v>46149</v>
      </c>
      <c r="J95" s="55">
        <v>46153</v>
      </c>
      <c r="K95" s="55">
        <v>46181</v>
      </c>
      <c r="L95" s="55"/>
      <c r="M95" s="55"/>
      <c r="O95" s="3" t="s">
        <v>9</v>
      </c>
      <c r="R95" s="181"/>
    </row>
    <row r="96" spans="1:18" ht="15" customHeight="1">
      <c r="A96" s="177" t="s">
        <v>90</v>
      </c>
      <c r="B96" s="177"/>
      <c r="C96" s="213">
        <v>127606237</v>
      </c>
      <c r="F96" s="29" t="s">
        <v>91</v>
      </c>
      <c r="G96" s="3" t="s">
        <v>65</v>
      </c>
      <c r="H96" s="3" t="s">
        <v>92</v>
      </c>
      <c r="I96" s="55">
        <v>46149</v>
      </c>
      <c r="J96" s="55">
        <v>46153</v>
      </c>
      <c r="K96" s="55">
        <v>46181</v>
      </c>
      <c r="L96" s="55"/>
      <c r="M96" s="55"/>
      <c r="O96" s="3" t="s">
        <v>10</v>
      </c>
      <c r="P96" s="55">
        <v>46174</v>
      </c>
      <c r="R96" s="181"/>
    </row>
    <row r="97" spans="1:18" ht="15" customHeight="1">
      <c r="A97" s="177" t="s">
        <v>90</v>
      </c>
      <c r="B97" s="177"/>
      <c r="C97" s="213">
        <v>127606183</v>
      </c>
      <c r="F97" s="29" t="s">
        <v>91</v>
      </c>
      <c r="G97" s="3" t="s">
        <v>65</v>
      </c>
      <c r="H97" s="3" t="s">
        <v>92</v>
      </c>
      <c r="I97" s="55">
        <v>46149</v>
      </c>
      <c r="J97" s="55">
        <v>46153</v>
      </c>
      <c r="K97" s="55">
        <v>46181</v>
      </c>
      <c r="L97" s="55"/>
      <c r="M97" s="55"/>
      <c r="O97" s="3" t="s">
        <v>10</v>
      </c>
      <c r="P97" s="55">
        <v>46169</v>
      </c>
      <c r="R97" s="181"/>
    </row>
    <row r="98" spans="1:18" ht="15" customHeight="1">
      <c r="A98" s="177" t="s">
        <v>90</v>
      </c>
      <c r="B98" s="177"/>
      <c r="C98" s="213">
        <v>127606155</v>
      </c>
      <c r="F98" s="29" t="s">
        <v>91</v>
      </c>
      <c r="G98" s="3" t="s">
        <v>65</v>
      </c>
      <c r="H98" s="3" t="s">
        <v>92</v>
      </c>
      <c r="I98" s="55">
        <v>46149</v>
      </c>
      <c r="J98" s="55">
        <v>46153</v>
      </c>
      <c r="K98" s="55">
        <v>46181</v>
      </c>
      <c r="L98" s="55"/>
      <c r="M98" s="55"/>
      <c r="O98" s="3" t="s">
        <v>10</v>
      </c>
      <c r="P98" s="55">
        <v>46179</v>
      </c>
      <c r="R98" s="181"/>
    </row>
    <row r="99" spans="1:18" ht="15" customHeight="1">
      <c r="A99" s="177" t="s">
        <v>90</v>
      </c>
      <c r="B99" s="177"/>
      <c r="C99" s="213">
        <v>127606136</v>
      </c>
      <c r="F99" s="29" t="s">
        <v>91</v>
      </c>
      <c r="G99" s="3" t="s">
        <v>65</v>
      </c>
      <c r="H99" s="3" t="s">
        <v>92</v>
      </c>
      <c r="I99" s="55">
        <v>46149</v>
      </c>
      <c r="J99" s="55">
        <v>46153</v>
      </c>
      <c r="K99" s="55">
        <v>46181</v>
      </c>
      <c r="L99" s="55"/>
      <c r="M99" s="55"/>
      <c r="O99" s="3" t="s">
        <v>10</v>
      </c>
      <c r="P99" s="55">
        <v>46176</v>
      </c>
      <c r="R99" s="181"/>
    </row>
    <row r="100" spans="1:18" ht="15" customHeight="1">
      <c r="A100" s="177" t="s">
        <v>90</v>
      </c>
      <c r="B100" s="177"/>
      <c r="C100" s="213">
        <v>127606076</v>
      </c>
      <c r="F100" s="29" t="s">
        <v>91</v>
      </c>
      <c r="G100" s="3" t="s">
        <v>65</v>
      </c>
      <c r="H100" s="3" t="s">
        <v>92</v>
      </c>
      <c r="I100" s="55">
        <v>46149</v>
      </c>
      <c r="J100" s="55">
        <v>46153</v>
      </c>
      <c r="K100" s="55">
        <v>46181</v>
      </c>
      <c r="L100" s="55"/>
      <c r="M100" s="55"/>
      <c r="O100" s="3" t="s">
        <v>10</v>
      </c>
      <c r="P100" s="55">
        <v>46174</v>
      </c>
      <c r="R100" s="181"/>
    </row>
    <row r="101" spans="1:18" ht="15" customHeight="1">
      <c r="A101" s="177" t="s">
        <v>90</v>
      </c>
      <c r="B101" s="177"/>
      <c r="C101" s="213">
        <v>127606028</v>
      </c>
      <c r="F101" s="29" t="s">
        <v>91</v>
      </c>
      <c r="G101" s="3" t="s">
        <v>65</v>
      </c>
      <c r="H101" s="3" t="s">
        <v>92</v>
      </c>
      <c r="I101" s="55">
        <v>46149</v>
      </c>
      <c r="J101" s="55">
        <v>46153</v>
      </c>
      <c r="K101" s="55">
        <v>46181</v>
      </c>
      <c r="L101" s="55"/>
      <c r="M101" s="55"/>
      <c r="O101" s="3" t="s">
        <v>10</v>
      </c>
      <c r="P101" s="55">
        <v>46179</v>
      </c>
      <c r="R101" s="181"/>
    </row>
    <row r="102" spans="1:18" ht="15" customHeight="1">
      <c r="A102" s="177" t="s">
        <v>90</v>
      </c>
      <c r="B102" s="177"/>
      <c r="C102" s="213">
        <v>127606006</v>
      </c>
      <c r="F102" s="29" t="s">
        <v>91</v>
      </c>
      <c r="G102" s="3" t="s">
        <v>65</v>
      </c>
      <c r="H102" s="3" t="s">
        <v>92</v>
      </c>
      <c r="I102" s="55">
        <v>46149</v>
      </c>
      <c r="J102" s="55">
        <v>46153</v>
      </c>
      <c r="K102" s="55">
        <v>46181</v>
      </c>
      <c r="L102" s="55"/>
      <c r="M102" s="55"/>
      <c r="O102" s="3" t="s">
        <v>10</v>
      </c>
      <c r="P102" s="55">
        <v>46179</v>
      </c>
      <c r="R102" s="181"/>
    </row>
    <row r="103" spans="1:18" ht="15" customHeight="1">
      <c r="A103" s="177" t="s">
        <v>90</v>
      </c>
      <c r="B103" s="177"/>
      <c r="C103" s="213">
        <v>127605976</v>
      </c>
      <c r="F103" s="29" t="s">
        <v>91</v>
      </c>
      <c r="G103" s="3" t="s">
        <v>65</v>
      </c>
      <c r="H103" s="3" t="s">
        <v>92</v>
      </c>
      <c r="I103" s="55">
        <v>46149</v>
      </c>
      <c r="J103" s="55">
        <v>46153</v>
      </c>
      <c r="K103" s="55">
        <v>46181</v>
      </c>
      <c r="L103" s="55"/>
      <c r="M103" s="55"/>
      <c r="O103" s="3" t="s">
        <v>10</v>
      </c>
      <c r="P103" s="55">
        <v>46182</v>
      </c>
      <c r="R103" s="181"/>
    </row>
    <row r="104" spans="1:18" ht="15" customHeight="1">
      <c r="A104" s="177" t="s">
        <v>93</v>
      </c>
      <c r="B104" s="177"/>
      <c r="C104" s="213">
        <v>135601046</v>
      </c>
      <c r="D104" s="29">
        <v>173601039</v>
      </c>
      <c r="F104" s="29" t="s">
        <v>64</v>
      </c>
      <c r="G104" s="3" t="s">
        <v>65</v>
      </c>
      <c r="H104" s="3" t="s">
        <v>30</v>
      </c>
      <c r="I104" s="55">
        <v>46157</v>
      </c>
      <c r="J104" s="55">
        <v>46160</v>
      </c>
      <c r="K104" s="55">
        <v>46188</v>
      </c>
      <c r="L104" s="55"/>
      <c r="M104" s="55"/>
      <c r="O104" s="3" t="s">
        <v>9</v>
      </c>
      <c r="Q104" s="167">
        <v>470</v>
      </c>
      <c r="R104" s="181" t="s">
        <v>94</v>
      </c>
    </row>
    <row r="105" spans="1:18" ht="15" customHeight="1">
      <c r="A105" s="177" t="s">
        <v>93</v>
      </c>
      <c r="B105" s="177"/>
      <c r="C105" s="213">
        <v>135601101</v>
      </c>
      <c r="F105" s="29" t="s">
        <v>64</v>
      </c>
      <c r="G105" s="3" t="s">
        <v>65</v>
      </c>
      <c r="H105" s="3" t="s">
        <v>30</v>
      </c>
      <c r="I105" s="55">
        <v>46157</v>
      </c>
      <c r="J105" s="55">
        <v>46160</v>
      </c>
      <c r="K105" s="55">
        <v>46188</v>
      </c>
      <c r="L105" s="55"/>
      <c r="M105" s="55"/>
      <c r="O105" s="3" t="s">
        <v>10</v>
      </c>
      <c r="P105" s="55">
        <v>46188</v>
      </c>
      <c r="Q105" s="167">
        <v>450</v>
      </c>
      <c r="R105" s="181" t="s">
        <v>94</v>
      </c>
    </row>
    <row r="106" spans="1:18" ht="15" customHeight="1">
      <c r="A106" s="177" t="s">
        <v>93</v>
      </c>
      <c r="B106" s="177"/>
      <c r="C106" s="213">
        <v>135601133</v>
      </c>
      <c r="F106" s="29" t="s">
        <v>64</v>
      </c>
      <c r="G106" s="3" t="s">
        <v>65</v>
      </c>
      <c r="H106" s="3" t="s">
        <v>30</v>
      </c>
      <c r="I106" s="55">
        <v>46157</v>
      </c>
      <c r="J106" s="55">
        <v>46160</v>
      </c>
      <c r="K106" s="55">
        <v>46188</v>
      </c>
      <c r="L106" s="55"/>
      <c r="M106" s="55"/>
      <c r="O106" s="3" t="s">
        <v>10</v>
      </c>
      <c r="P106" s="55">
        <v>46188</v>
      </c>
      <c r="Q106" s="167">
        <v>460</v>
      </c>
      <c r="R106" s="181" t="s">
        <v>94</v>
      </c>
    </row>
    <row r="107" spans="1:18" ht="15" customHeight="1">
      <c r="A107" s="177" t="s">
        <v>93</v>
      </c>
      <c r="B107" s="177"/>
      <c r="C107" s="213">
        <v>135601153</v>
      </c>
      <c r="F107" s="29" t="s">
        <v>64</v>
      </c>
      <c r="G107" s="3" t="s">
        <v>65</v>
      </c>
      <c r="H107" s="3" t="s">
        <v>30</v>
      </c>
      <c r="I107" s="55">
        <v>46157</v>
      </c>
      <c r="J107" s="55">
        <v>46160</v>
      </c>
      <c r="K107" s="55">
        <v>46188</v>
      </c>
      <c r="L107" s="55"/>
      <c r="M107" s="55"/>
      <c r="O107" s="3" t="s">
        <v>10</v>
      </c>
      <c r="P107" s="55">
        <v>46188</v>
      </c>
      <c r="Q107" s="167">
        <v>450</v>
      </c>
      <c r="R107" s="181" t="s">
        <v>94</v>
      </c>
    </row>
    <row r="108" spans="1:18" ht="15" customHeight="1">
      <c r="A108" s="177" t="s">
        <v>93</v>
      </c>
      <c r="B108" s="177"/>
      <c r="C108" s="213">
        <v>135601180</v>
      </c>
      <c r="F108" s="29" t="s">
        <v>64</v>
      </c>
      <c r="G108" s="3" t="s">
        <v>65</v>
      </c>
      <c r="H108" s="3" t="s">
        <v>30</v>
      </c>
      <c r="I108" s="55">
        <v>46157</v>
      </c>
      <c r="J108" s="55">
        <v>46160</v>
      </c>
      <c r="K108" s="55">
        <v>46188</v>
      </c>
      <c r="L108" s="55"/>
      <c r="M108" s="55"/>
      <c r="O108" s="3" t="s">
        <v>10</v>
      </c>
      <c r="P108" s="55">
        <v>46188</v>
      </c>
      <c r="Q108" s="167">
        <v>510</v>
      </c>
      <c r="R108" s="181" t="s">
        <v>94</v>
      </c>
    </row>
    <row r="109" spans="1:18" ht="15" customHeight="1">
      <c r="A109" s="177" t="s">
        <v>93</v>
      </c>
      <c r="B109" s="177"/>
      <c r="C109" s="213">
        <v>135602106</v>
      </c>
      <c r="F109" s="29" t="s">
        <v>64</v>
      </c>
      <c r="G109" s="3" t="s">
        <v>65</v>
      </c>
      <c r="H109" s="3" t="s">
        <v>30</v>
      </c>
      <c r="I109" s="55">
        <v>46157</v>
      </c>
      <c r="J109" s="55">
        <v>46160</v>
      </c>
      <c r="K109" s="55">
        <v>46188</v>
      </c>
      <c r="L109" s="55"/>
      <c r="M109" s="55"/>
      <c r="O109" s="3" t="s">
        <v>10</v>
      </c>
      <c r="P109" s="55">
        <v>46188</v>
      </c>
      <c r="Q109" s="167">
        <v>490</v>
      </c>
      <c r="R109" s="181" t="s">
        <v>94</v>
      </c>
    </row>
    <row r="110" spans="1:18" ht="15" customHeight="1">
      <c r="A110" s="177" t="s">
        <v>93</v>
      </c>
      <c r="B110" s="177"/>
      <c r="C110" s="213">
        <v>135602164</v>
      </c>
      <c r="F110" s="29" t="s">
        <v>64</v>
      </c>
      <c r="G110" s="3" t="s">
        <v>65</v>
      </c>
      <c r="H110" s="3" t="s">
        <v>30</v>
      </c>
      <c r="I110" s="55">
        <v>46157</v>
      </c>
      <c r="J110" s="55">
        <v>46160</v>
      </c>
      <c r="K110" s="55">
        <v>46188</v>
      </c>
      <c r="L110" s="55"/>
      <c r="M110" s="55"/>
      <c r="O110" s="3" t="s">
        <v>10</v>
      </c>
      <c r="P110" s="55">
        <v>46188</v>
      </c>
      <c r="Q110" s="167">
        <v>450</v>
      </c>
      <c r="R110" s="181" t="s">
        <v>94</v>
      </c>
    </row>
    <row r="111" spans="1:18" ht="15" customHeight="1">
      <c r="A111" s="177" t="s">
        <v>93</v>
      </c>
      <c r="B111" s="177"/>
      <c r="C111" s="213">
        <v>135602186</v>
      </c>
      <c r="F111" s="29" t="s">
        <v>64</v>
      </c>
      <c r="G111" s="3" t="s">
        <v>65</v>
      </c>
      <c r="H111" s="3" t="s">
        <v>30</v>
      </c>
      <c r="I111" s="55">
        <v>46157</v>
      </c>
      <c r="J111" s="55">
        <v>46160</v>
      </c>
      <c r="K111" s="55">
        <v>46188</v>
      </c>
      <c r="L111" s="55"/>
      <c r="M111" s="55"/>
      <c r="O111" s="3" t="s">
        <v>10</v>
      </c>
      <c r="P111" s="55">
        <v>46188</v>
      </c>
      <c r="Q111" s="167">
        <v>675</v>
      </c>
      <c r="R111" s="181" t="s">
        <v>94</v>
      </c>
    </row>
    <row r="112" spans="1:18" ht="15" customHeight="1">
      <c r="A112" s="177" t="s">
        <v>93</v>
      </c>
      <c r="B112" s="177"/>
      <c r="C112" s="213">
        <v>135602208</v>
      </c>
      <c r="D112" s="29">
        <v>173601046</v>
      </c>
      <c r="F112" s="29" t="s">
        <v>64</v>
      </c>
      <c r="G112" s="3" t="s">
        <v>65</v>
      </c>
      <c r="H112" s="3" t="s">
        <v>30</v>
      </c>
      <c r="I112" s="55">
        <v>46157</v>
      </c>
      <c r="J112" s="55">
        <v>46160</v>
      </c>
      <c r="K112" s="55">
        <v>46188</v>
      </c>
      <c r="L112" s="55"/>
      <c r="M112" s="55"/>
      <c r="O112" s="3" t="s">
        <v>9</v>
      </c>
      <c r="Q112" s="167">
        <v>640</v>
      </c>
      <c r="R112" s="181" t="s">
        <v>94</v>
      </c>
    </row>
    <row r="113" spans="1:18" ht="15" customHeight="1">
      <c r="A113" s="177" t="s">
        <v>93</v>
      </c>
      <c r="B113" s="177"/>
      <c r="C113" s="213">
        <v>135602272</v>
      </c>
      <c r="D113" s="29">
        <v>173601055</v>
      </c>
      <c r="F113" s="29" t="s">
        <v>64</v>
      </c>
      <c r="G113" s="3" t="s">
        <v>65</v>
      </c>
      <c r="H113" s="3" t="s">
        <v>30</v>
      </c>
      <c r="I113" s="55">
        <v>46157</v>
      </c>
      <c r="J113" s="55">
        <v>46160</v>
      </c>
      <c r="K113" s="55">
        <v>46188</v>
      </c>
      <c r="L113" s="55"/>
      <c r="M113" s="55"/>
      <c r="O113" s="3" t="s">
        <v>9</v>
      </c>
      <c r="Q113" s="167">
        <v>325</v>
      </c>
      <c r="R113" s="181" t="s">
        <v>94</v>
      </c>
    </row>
    <row r="114" spans="1:18" ht="15" customHeight="1">
      <c r="A114" s="177" t="s">
        <v>95</v>
      </c>
      <c r="B114" s="177"/>
      <c r="C114" s="213">
        <v>121600011</v>
      </c>
      <c r="F114" s="29" t="s">
        <v>96</v>
      </c>
      <c r="G114" s="3" t="s">
        <v>59</v>
      </c>
      <c r="H114" s="3" t="s">
        <v>97</v>
      </c>
      <c r="I114" s="55">
        <v>46143</v>
      </c>
      <c r="J114" s="55">
        <v>46146</v>
      </c>
      <c r="K114" s="55">
        <v>46178</v>
      </c>
      <c r="L114" s="55"/>
      <c r="M114" s="55"/>
      <c r="O114" s="3" t="s">
        <v>10</v>
      </c>
      <c r="P114" s="55">
        <v>46163</v>
      </c>
      <c r="R114" s="181"/>
    </row>
    <row r="115" spans="1:18" ht="15" customHeight="1">
      <c r="A115" s="177" t="s">
        <v>95</v>
      </c>
      <c r="B115" s="177"/>
      <c r="C115" s="213">
        <v>121600014</v>
      </c>
      <c r="F115" s="29" t="s">
        <v>96</v>
      </c>
      <c r="G115" s="3" t="s">
        <v>59</v>
      </c>
      <c r="H115" s="3" t="s">
        <v>97</v>
      </c>
      <c r="I115" s="55">
        <v>46143</v>
      </c>
      <c r="J115" s="55">
        <v>46146</v>
      </c>
      <c r="K115" s="55">
        <v>46178</v>
      </c>
      <c r="L115" s="55"/>
      <c r="M115" s="55"/>
      <c r="O115" s="3" t="s">
        <v>10</v>
      </c>
      <c r="P115" s="55">
        <v>46163</v>
      </c>
      <c r="R115" s="181"/>
    </row>
    <row r="116" spans="1:18" ht="15" customHeight="1">
      <c r="A116" s="177" t="s">
        <v>95</v>
      </c>
      <c r="B116" s="177"/>
      <c r="C116" s="213">
        <v>121600018</v>
      </c>
      <c r="F116" s="29" t="s">
        <v>96</v>
      </c>
      <c r="G116" s="3" t="s">
        <v>59</v>
      </c>
      <c r="H116" s="3" t="s">
        <v>97</v>
      </c>
      <c r="I116" s="55">
        <v>46143</v>
      </c>
      <c r="J116" s="55">
        <v>46146</v>
      </c>
      <c r="K116" s="55">
        <v>46178</v>
      </c>
      <c r="L116" s="55"/>
      <c r="M116" s="55"/>
      <c r="O116" s="3" t="s">
        <v>10</v>
      </c>
      <c r="P116" s="55">
        <v>46163</v>
      </c>
      <c r="R116" s="181"/>
    </row>
    <row r="117" spans="1:18" ht="15" customHeight="1">
      <c r="A117" s="177" t="s">
        <v>95</v>
      </c>
      <c r="B117" s="177"/>
      <c r="C117" s="213">
        <v>121600019</v>
      </c>
      <c r="F117" s="29" t="s">
        <v>96</v>
      </c>
      <c r="G117" s="3" t="s">
        <v>59</v>
      </c>
      <c r="H117" s="3" t="s">
        <v>97</v>
      </c>
      <c r="I117" s="55">
        <v>46143</v>
      </c>
      <c r="J117" s="55">
        <v>46146</v>
      </c>
      <c r="K117" s="55">
        <v>46178</v>
      </c>
      <c r="L117" s="55"/>
      <c r="M117" s="55"/>
      <c r="O117" s="3" t="s">
        <v>10</v>
      </c>
      <c r="P117" s="55">
        <v>46163</v>
      </c>
      <c r="R117" s="181"/>
    </row>
    <row r="118" spans="1:18" ht="15" customHeight="1">
      <c r="A118" s="177" t="s">
        <v>95</v>
      </c>
      <c r="B118" s="177"/>
      <c r="C118" s="213">
        <v>121600023</v>
      </c>
      <c r="F118" s="29" t="s">
        <v>96</v>
      </c>
      <c r="G118" s="3" t="s">
        <v>59</v>
      </c>
      <c r="H118" s="3" t="s">
        <v>97</v>
      </c>
      <c r="I118" s="55">
        <v>46143</v>
      </c>
      <c r="J118" s="55">
        <v>46146</v>
      </c>
      <c r="K118" s="55">
        <v>46178</v>
      </c>
      <c r="L118" s="55"/>
      <c r="M118" s="55"/>
      <c r="O118" s="3" t="s">
        <v>10</v>
      </c>
      <c r="P118" s="55">
        <v>46163</v>
      </c>
      <c r="R118" s="181"/>
    </row>
    <row r="119" spans="1:18" ht="15" customHeight="1">
      <c r="A119" s="177" t="s">
        <v>95</v>
      </c>
      <c r="B119" s="177"/>
      <c r="C119" s="213">
        <v>121600024</v>
      </c>
      <c r="F119" s="29" t="s">
        <v>96</v>
      </c>
      <c r="G119" s="3" t="s">
        <v>59</v>
      </c>
      <c r="H119" s="3" t="s">
        <v>97</v>
      </c>
      <c r="I119" s="55">
        <v>46143</v>
      </c>
      <c r="J119" s="55">
        <v>46146</v>
      </c>
      <c r="K119" s="55">
        <v>46178</v>
      </c>
      <c r="L119" s="55"/>
      <c r="M119" s="55"/>
      <c r="O119" s="3" t="s">
        <v>10</v>
      </c>
      <c r="P119" s="55">
        <v>46163</v>
      </c>
      <c r="R119" s="181"/>
    </row>
    <row r="120" spans="1:18" ht="15" customHeight="1">
      <c r="A120" s="177" t="s">
        <v>95</v>
      </c>
      <c r="B120" s="177"/>
      <c r="C120" s="213">
        <v>121600026</v>
      </c>
      <c r="F120" s="29" t="s">
        <v>96</v>
      </c>
      <c r="G120" s="3" t="s">
        <v>59</v>
      </c>
      <c r="H120" s="3" t="s">
        <v>97</v>
      </c>
      <c r="I120" s="55">
        <v>46143</v>
      </c>
      <c r="J120" s="55">
        <v>46146</v>
      </c>
      <c r="K120" s="55">
        <v>46178</v>
      </c>
      <c r="L120" s="55"/>
      <c r="M120" s="55"/>
      <c r="O120" s="3" t="s">
        <v>10</v>
      </c>
      <c r="P120" s="55">
        <v>46163</v>
      </c>
      <c r="R120" s="181"/>
    </row>
    <row r="121" spans="1:18" ht="15" customHeight="1">
      <c r="A121" s="177" t="s">
        <v>95</v>
      </c>
      <c r="B121" s="177"/>
      <c r="C121" s="213">
        <v>121600029</v>
      </c>
      <c r="F121" s="29" t="s">
        <v>96</v>
      </c>
      <c r="G121" s="3" t="s">
        <v>59</v>
      </c>
      <c r="H121" s="3" t="s">
        <v>97</v>
      </c>
      <c r="I121" s="55">
        <v>46143</v>
      </c>
      <c r="J121" s="55">
        <v>46146</v>
      </c>
      <c r="K121" s="55">
        <v>46178</v>
      </c>
      <c r="L121" s="55"/>
      <c r="M121" s="55"/>
      <c r="O121" s="3" t="s">
        <v>10</v>
      </c>
      <c r="P121" s="55">
        <v>46163</v>
      </c>
      <c r="R121" s="181"/>
    </row>
    <row r="122" spans="1:18" ht="15" customHeight="1">
      <c r="A122" s="177" t="s">
        <v>98</v>
      </c>
      <c r="B122" s="177"/>
      <c r="C122" s="213">
        <v>134609116</v>
      </c>
      <c r="F122" s="29" t="s">
        <v>96</v>
      </c>
      <c r="G122" s="3" t="s">
        <v>59</v>
      </c>
      <c r="H122" s="3" t="s">
        <v>97</v>
      </c>
      <c r="I122" s="55">
        <v>46156</v>
      </c>
      <c r="J122" s="55">
        <v>46160</v>
      </c>
      <c r="K122" s="55">
        <v>46188</v>
      </c>
      <c r="L122" s="55"/>
      <c r="M122" s="55"/>
      <c r="O122" s="3" t="s">
        <v>9</v>
      </c>
      <c r="R122" s="181"/>
    </row>
    <row r="123" spans="1:18" ht="15" customHeight="1">
      <c r="A123" s="177" t="s">
        <v>98</v>
      </c>
      <c r="B123" s="177"/>
      <c r="C123" s="213">
        <v>134609137</v>
      </c>
      <c r="F123" s="29" t="s">
        <v>96</v>
      </c>
      <c r="G123" s="3" t="s">
        <v>59</v>
      </c>
      <c r="H123" s="3" t="s">
        <v>97</v>
      </c>
      <c r="I123" s="55">
        <v>46156</v>
      </c>
      <c r="J123" s="55">
        <v>46160</v>
      </c>
      <c r="K123" s="55">
        <v>46188</v>
      </c>
      <c r="L123" s="55"/>
      <c r="M123" s="55"/>
      <c r="O123" s="3" t="s">
        <v>10</v>
      </c>
      <c r="P123" s="55">
        <v>46162</v>
      </c>
      <c r="R123" s="181"/>
    </row>
    <row r="124" spans="1:18" ht="15" customHeight="1">
      <c r="A124" s="177" t="s">
        <v>98</v>
      </c>
      <c r="B124" s="177"/>
      <c r="C124" s="213">
        <v>134609155</v>
      </c>
      <c r="F124" s="29" t="s">
        <v>96</v>
      </c>
      <c r="G124" s="3" t="s">
        <v>59</v>
      </c>
      <c r="H124" s="3" t="s">
        <v>97</v>
      </c>
      <c r="I124" s="55">
        <v>46156</v>
      </c>
      <c r="J124" s="55">
        <v>46160</v>
      </c>
      <c r="K124" s="55">
        <v>46188</v>
      </c>
      <c r="L124" s="55"/>
      <c r="M124" s="55"/>
      <c r="O124" s="3" t="s">
        <v>10</v>
      </c>
      <c r="P124" s="55">
        <v>46162</v>
      </c>
      <c r="R124" s="181"/>
    </row>
    <row r="125" spans="1:18" ht="15" customHeight="1">
      <c r="A125" s="177" t="s">
        <v>98</v>
      </c>
      <c r="B125" s="177"/>
      <c r="C125" s="213">
        <v>134609174</v>
      </c>
      <c r="F125" s="29" t="s">
        <v>96</v>
      </c>
      <c r="G125" s="3" t="s">
        <v>59</v>
      </c>
      <c r="H125" s="3" t="s">
        <v>97</v>
      </c>
      <c r="I125" s="55">
        <v>46156</v>
      </c>
      <c r="J125" s="55">
        <v>46160</v>
      </c>
      <c r="K125" s="55">
        <v>46188</v>
      </c>
      <c r="L125" s="55"/>
      <c r="M125" s="55"/>
      <c r="O125" s="3" t="s">
        <v>10</v>
      </c>
      <c r="P125" s="55">
        <v>46162</v>
      </c>
      <c r="R125" s="181"/>
    </row>
    <row r="126" spans="1:18" ht="15" customHeight="1">
      <c r="A126" s="177" t="s">
        <v>98</v>
      </c>
      <c r="B126" s="177"/>
      <c r="C126" s="213">
        <v>134609180</v>
      </c>
      <c r="F126" s="29" t="s">
        <v>96</v>
      </c>
      <c r="G126" s="3" t="s">
        <v>59</v>
      </c>
      <c r="H126" s="3" t="s">
        <v>97</v>
      </c>
      <c r="I126" s="55">
        <v>46156</v>
      </c>
      <c r="J126" s="55">
        <v>46160</v>
      </c>
      <c r="K126" s="55">
        <v>46188</v>
      </c>
      <c r="L126" s="55"/>
      <c r="M126" s="55"/>
      <c r="O126" s="3" t="s">
        <v>10</v>
      </c>
      <c r="P126" s="55">
        <v>46162</v>
      </c>
      <c r="R126" s="181"/>
    </row>
    <row r="127" spans="1:18" ht="15" customHeight="1">
      <c r="A127" s="177" t="s">
        <v>98</v>
      </c>
      <c r="B127" s="177"/>
      <c r="C127" s="213">
        <v>134609183</v>
      </c>
      <c r="F127" s="29" t="s">
        <v>96</v>
      </c>
      <c r="G127" s="3" t="s">
        <v>59</v>
      </c>
      <c r="H127" s="3" t="s">
        <v>97</v>
      </c>
      <c r="I127" s="55">
        <v>46156</v>
      </c>
      <c r="J127" s="55">
        <v>46160</v>
      </c>
      <c r="K127" s="55">
        <v>46188</v>
      </c>
      <c r="L127" s="55"/>
      <c r="M127" s="55"/>
      <c r="O127" s="3" t="s">
        <v>10</v>
      </c>
      <c r="P127" s="55">
        <v>46162</v>
      </c>
      <c r="R127" s="181"/>
    </row>
    <row r="128" spans="1:18" ht="15" customHeight="1">
      <c r="A128" s="177" t="s">
        <v>98</v>
      </c>
      <c r="B128" s="177"/>
      <c r="C128" s="213">
        <v>134609195</v>
      </c>
      <c r="F128" s="29" t="s">
        <v>96</v>
      </c>
      <c r="G128" s="3" t="s">
        <v>59</v>
      </c>
      <c r="H128" s="3" t="s">
        <v>97</v>
      </c>
      <c r="I128" s="55">
        <v>46156</v>
      </c>
      <c r="J128" s="55">
        <v>46160</v>
      </c>
      <c r="K128" s="55">
        <v>46188</v>
      </c>
      <c r="L128" s="55"/>
      <c r="M128" s="55"/>
      <c r="O128" s="3" t="s">
        <v>10</v>
      </c>
      <c r="P128" s="55">
        <v>46162</v>
      </c>
      <c r="R128" s="181"/>
    </row>
    <row r="129" spans="1:18" ht="15" customHeight="1">
      <c r="A129" s="177" t="s">
        <v>98</v>
      </c>
      <c r="B129" s="177"/>
      <c r="C129" s="213">
        <v>134609201</v>
      </c>
      <c r="F129" s="29" t="s">
        <v>96</v>
      </c>
      <c r="G129" s="3" t="s">
        <v>59</v>
      </c>
      <c r="H129" s="3" t="s">
        <v>97</v>
      </c>
      <c r="I129" s="55">
        <v>46156</v>
      </c>
      <c r="J129" s="55">
        <v>46160</v>
      </c>
      <c r="K129" s="55">
        <v>46188</v>
      </c>
      <c r="L129" s="55"/>
      <c r="M129" s="55"/>
      <c r="O129" s="3" t="s">
        <v>10</v>
      </c>
      <c r="P129" s="55">
        <v>46162</v>
      </c>
      <c r="R129" s="181"/>
    </row>
    <row r="130" spans="1:18" ht="15" customHeight="1">
      <c r="A130" s="177" t="s">
        <v>98</v>
      </c>
      <c r="B130" s="177"/>
      <c r="C130" s="213">
        <v>134609207</v>
      </c>
      <c r="F130" s="29" t="s">
        <v>96</v>
      </c>
      <c r="G130" s="3" t="s">
        <v>59</v>
      </c>
      <c r="H130" s="3" t="s">
        <v>97</v>
      </c>
      <c r="I130" s="55">
        <v>46156</v>
      </c>
      <c r="J130" s="55">
        <v>46160</v>
      </c>
      <c r="K130" s="55">
        <v>46188</v>
      </c>
      <c r="L130" s="55"/>
      <c r="M130" s="55"/>
      <c r="O130" s="3" t="s">
        <v>10</v>
      </c>
      <c r="P130" s="55">
        <v>46162</v>
      </c>
      <c r="R130" s="181"/>
    </row>
    <row r="131" spans="1:18" ht="15" customHeight="1">
      <c r="A131" s="177" t="s">
        <v>98</v>
      </c>
      <c r="B131" s="177"/>
      <c r="C131" s="213">
        <v>134609213</v>
      </c>
      <c r="F131" s="29" t="s">
        <v>96</v>
      </c>
      <c r="G131" s="3" t="s">
        <v>59</v>
      </c>
      <c r="H131" s="3" t="s">
        <v>97</v>
      </c>
      <c r="I131" s="55">
        <v>46156</v>
      </c>
      <c r="J131" s="55">
        <v>46160</v>
      </c>
      <c r="K131" s="55">
        <v>46188</v>
      </c>
      <c r="L131" s="55"/>
      <c r="M131" s="55"/>
      <c r="O131" s="3" t="s">
        <v>10</v>
      </c>
      <c r="P131" s="55">
        <v>46162</v>
      </c>
      <c r="R131" s="181"/>
    </row>
    <row r="132" spans="1:18" ht="15" customHeight="1">
      <c r="A132" s="177" t="s">
        <v>99</v>
      </c>
      <c r="B132" s="177"/>
      <c r="C132" s="213">
        <v>134609381</v>
      </c>
      <c r="F132" s="29" t="s">
        <v>96</v>
      </c>
      <c r="G132" s="3" t="s">
        <v>59</v>
      </c>
      <c r="H132" s="3" t="s">
        <v>97</v>
      </c>
      <c r="I132" s="55">
        <v>46156</v>
      </c>
      <c r="J132" s="55">
        <v>46160</v>
      </c>
      <c r="K132" s="55">
        <v>46188</v>
      </c>
      <c r="L132" s="55"/>
      <c r="M132" s="55"/>
      <c r="O132" s="3" t="s">
        <v>10</v>
      </c>
      <c r="P132" s="55">
        <v>46161</v>
      </c>
      <c r="R132" s="181"/>
    </row>
    <row r="133" spans="1:18" ht="15" customHeight="1">
      <c r="A133" s="177" t="s">
        <v>99</v>
      </c>
      <c r="B133" s="177"/>
      <c r="C133" s="213">
        <v>134609384</v>
      </c>
      <c r="F133" s="29" t="s">
        <v>96</v>
      </c>
      <c r="G133" s="3" t="s">
        <v>59</v>
      </c>
      <c r="H133" s="3" t="s">
        <v>97</v>
      </c>
      <c r="I133" s="55">
        <v>46156</v>
      </c>
      <c r="J133" s="55">
        <v>46160</v>
      </c>
      <c r="K133" s="55">
        <v>46188</v>
      </c>
      <c r="L133" s="55"/>
      <c r="M133" s="55"/>
      <c r="O133" s="3" t="s">
        <v>10</v>
      </c>
      <c r="P133" s="55">
        <v>46161</v>
      </c>
      <c r="R133" s="181"/>
    </row>
    <row r="134" spans="1:18" ht="15" customHeight="1">
      <c r="A134" s="177" t="s">
        <v>99</v>
      </c>
      <c r="B134" s="177"/>
      <c r="C134" s="213">
        <v>134609389</v>
      </c>
      <c r="F134" s="29" t="s">
        <v>96</v>
      </c>
      <c r="G134" s="3" t="s">
        <v>59</v>
      </c>
      <c r="H134" s="3" t="s">
        <v>97</v>
      </c>
      <c r="I134" s="55">
        <v>46156</v>
      </c>
      <c r="J134" s="55">
        <v>46160</v>
      </c>
      <c r="K134" s="55">
        <v>46188</v>
      </c>
      <c r="L134" s="55"/>
      <c r="M134" s="55"/>
      <c r="O134" s="3" t="s">
        <v>10</v>
      </c>
      <c r="P134" s="55">
        <v>46161</v>
      </c>
      <c r="R134" s="181"/>
    </row>
    <row r="135" spans="1:18" ht="15" customHeight="1">
      <c r="A135" s="177" t="s">
        <v>99</v>
      </c>
      <c r="B135" s="177"/>
      <c r="C135" s="213">
        <v>134609392</v>
      </c>
      <c r="F135" s="29" t="s">
        <v>96</v>
      </c>
      <c r="G135" s="3" t="s">
        <v>59</v>
      </c>
      <c r="H135" s="3" t="s">
        <v>97</v>
      </c>
      <c r="I135" s="55">
        <v>46156</v>
      </c>
      <c r="J135" s="55">
        <v>46160</v>
      </c>
      <c r="K135" s="55">
        <v>46188</v>
      </c>
      <c r="L135" s="55"/>
      <c r="M135" s="55"/>
      <c r="O135" s="3" t="s">
        <v>10</v>
      </c>
      <c r="P135" s="55">
        <v>46161</v>
      </c>
      <c r="R135" s="181"/>
    </row>
    <row r="136" spans="1:18" ht="15" customHeight="1">
      <c r="A136" s="177" t="s">
        <v>99</v>
      </c>
      <c r="B136" s="177"/>
      <c r="C136" s="213">
        <v>134609397</v>
      </c>
      <c r="F136" s="29" t="s">
        <v>96</v>
      </c>
      <c r="G136" s="3" t="s">
        <v>59</v>
      </c>
      <c r="H136" s="3" t="s">
        <v>97</v>
      </c>
      <c r="I136" s="55">
        <v>46156</v>
      </c>
      <c r="J136" s="55">
        <v>46160</v>
      </c>
      <c r="K136" s="55">
        <v>46188</v>
      </c>
      <c r="L136" s="55"/>
      <c r="M136" s="55"/>
      <c r="O136" s="3" t="s">
        <v>10</v>
      </c>
      <c r="P136" s="55">
        <v>46161</v>
      </c>
      <c r="R136" s="181"/>
    </row>
    <row r="137" spans="1:18" ht="15" customHeight="1">
      <c r="A137" s="177" t="s">
        <v>99</v>
      </c>
      <c r="B137" s="177"/>
      <c r="C137" s="213">
        <v>134609401</v>
      </c>
      <c r="F137" s="29" t="s">
        <v>96</v>
      </c>
      <c r="G137" s="3" t="s">
        <v>59</v>
      </c>
      <c r="H137" s="3" t="s">
        <v>97</v>
      </c>
      <c r="I137" s="55">
        <v>46156</v>
      </c>
      <c r="J137" s="55">
        <v>46160</v>
      </c>
      <c r="K137" s="55">
        <v>46188</v>
      </c>
      <c r="L137" s="55"/>
      <c r="M137" s="55"/>
      <c r="O137" s="3" t="s">
        <v>10</v>
      </c>
      <c r="P137" s="55">
        <v>46161</v>
      </c>
      <c r="R137" s="181"/>
    </row>
    <row r="138" spans="1:18" ht="15" customHeight="1">
      <c r="A138" s="177" t="s">
        <v>99</v>
      </c>
      <c r="B138" s="177"/>
      <c r="C138" s="213">
        <v>135600005</v>
      </c>
      <c r="F138" s="29" t="s">
        <v>96</v>
      </c>
      <c r="G138" s="3" t="s">
        <v>59</v>
      </c>
      <c r="H138" s="3" t="s">
        <v>97</v>
      </c>
      <c r="I138" s="55">
        <v>46156</v>
      </c>
      <c r="J138" s="55">
        <v>46160</v>
      </c>
      <c r="K138" s="55">
        <v>46188</v>
      </c>
      <c r="L138" s="55"/>
      <c r="M138" s="55"/>
      <c r="O138" s="3" t="s">
        <v>10</v>
      </c>
      <c r="P138" s="55">
        <v>46161</v>
      </c>
      <c r="R138" s="181"/>
    </row>
    <row r="139" spans="1:18" ht="15" customHeight="1">
      <c r="A139" s="177" t="s">
        <v>100</v>
      </c>
      <c r="B139" s="177"/>
      <c r="C139" s="213">
        <v>138607831</v>
      </c>
      <c r="F139" s="29" t="s">
        <v>101</v>
      </c>
      <c r="G139" s="3" t="s">
        <v>65</v>
      </c>
      <c r="H139" s="3" t="s">
        <v>102</v>
      </c>
      <c r="I139" s="55">
        <v>46160</v>
      </c>
      <c r="J139" s="55">
        <v>46162</v>
      </c>
      <c r="K139" s="55">
        <v>46190</v>
      </c>
      <c r="L139" s="55"/>
      <c r="M139" s="55"/>
      <c r="O139" s="3" t="s">
        <v>10</v>
      </c>
      <c r="P139" s="55">
        <v>46177</v>
      </c>
      <c r="R139" s="181"/>
    </row>
    <row r="140" spans="1:18" ht="15" customHeight="1">
      <c r="A140" s="177" t="s">
        <v>100</v>
      </c>
      <c r="B140" s="177"/>
      <c r="C140" s="213">
        <v>138607813</v>
      </c>
      <c r="F140" s="29" t="s">
        <v>101</v>
      </c>
      <c r="G140" s="3" t="s">
        <v>65</v>
      </c>
      <c r="H140" s="3" t="s">
        <v>102</v>
      </c>
      <c r="I140" s="55">
        <v>46160</v>
      </c>
      <c r="J140" s="55">
        <v>46162</v>
      </c>
      <c r="K140" s="55">
        <v>46190</v>
      </c>
      <c r="L140" s="55"/>
      <c r="M140" s="55"/>
      <c r="O140" s="3" t="s">
        <v>10</v>
      </c>
      <c r="P140" s="55">
        <v>46177</v>
      </c>
      <c r="R140" s="181"/>
    </row>
    <row r="141" spans="1:18" ht="15" customHeight="1">
      <c r="A141" s="177" t="s">
        <v>100</v>
      </c>
      <c r="B141" s="177"/>
      <c r="C141" s="213">
        <v>138607799</v>
      </c>
      <c r="F141" s="29" t="s">
        <v>101</v>
      </c>
      <c r="G141" s="3" t="s">
        <v>65</v>
      </c>
      <c r="H141" s="3" t="s">
        <v>102</v>
      </c>
      <c r="I141" s="55">
        <v>46160</v>
      </c>
      <c r="J141" s="55">
        <v>46162</v>
      </c>
      <c r="K141" s="55">
        <v>46190</v>
      </c>
      <c r="L141" s="55"/>
      <c r="M141" s="55"/>
      <c r="O141" s="3" t="s">
        <v>10</v>
      </c>
      <c r="P141" s="55">
        <v>46177</v>
      </c>
      <c r="R141" s="181"/>
    </row>
    <row r="142" spans="1:18" ht="15" customHeight="1">
      <c r="A142" s="177" t="s">
        <v>100</v>
      </c>
      <c r="B142" s="177"/>
      <c r="C142" s="213">
        <v>138607791</v>
      </c>
      <c r="F142" s="29" t="s">
        <v>101</v>
      </c>
      <c r="G142" s="3" t="s">
        <v>65</v>
      </c>
      <c r="H142" s="3" t="s">
        <v>102</v>
      </c>
      <c r="I142" s="55">
        <v>46160</v>
      </c>
      <c r="J142" s="55">
        <v>46162</v>
      </c>
      <c r="K142" s="55">
        <v>46190</v>
      </c>
      <c r="L142" s="55"/>
      <c r="M142" s="55"/>
      <c r="O142" s="3" t="s">
        <v>9</v>
      </c>
      <c r="R142" s="181"/>
    </row>
    <row r="143" spans="1:18" ht="15" customHeight="1">
      <c r="A143" s="177" t="s">
        <v>100</v>
      </c>
      <c r="B143" s="177"/>
      <c r="C143" s="213">
        <v>138607782</v>
      </c>
      <c r="F143" s="29" t="s">
        <v>101</v>
      </c>
      <c r="G143" s="3" t="s">
        <v>65</v>
      </c>
      <c r="H143" s="3" t="s">
        <v>102</v>
      </c>
      <c r="I143" s="55">
        <v>46160</v>
      </c>
      <c r="J143" s="55">
        <v>46162</v>
      </c>
      <c r="K143" s="55">
        <v>46190</v>
      </c>
      <c r="L143" s="55"/>
      <c r="M143" s="55"/>
      <c r="O143" s="3" t="s">
        <v>10</v>
      </c>
      <c r="P143" s="55">
        <v>46185</v>
      </c>
      <c r="R143" s="181"/>
    </row>
    <row r="144" spans="1:18" ht="15" customHeight="1">
      <c r="A144" s="177" t="s">
        <v>100</v>
      </c>
      <c r="B144" s="177"/>
      <c r="C144" s="213">
        <v>138607760</v>
      </c>
      <c r="F144" s="29" t="s">
        <v>101</v>
      </c>
      <c r="G144" s="3" t="s">
        <v>65</v>
      </c>
      <c r="H144" s="3" t="s">
        <v>102</v>
      </c>
      <c r="I144" s="55">
        <v>46160</v>
      </c>
      <c r="J144" s="55">
        <v>46162</v>
      </c>
      <c r="K144" s="55">
        <v>46190</v>
      </c>
      <c r="L144" s="55"/>
      <c r="M144" s="55"/>
      <c r="O144" s="3" t="s">
        <v>10</v>
      </c>
      <c r="P144" s="55">
        <v>46178</v>
      </c>
      <c r="R144" s="181"/>
    </row>
    <row r="145" spans="1:18" ht="15" customHeight="1">
      <c r="A145" s="177" t="s">
        <v>100</v>
      </c>
      <c r="B145" s="177"/>
      <c r="C145" s="213">
        <v>138607742</v>
      </c>
      <c r="F145" s="29" t="s">
        <v>101</v>
      </c>
      <c r="G145" s="3" t="s">
        <v>65</v>
      </c>
      <c r="H145" s="3" t="s">
        <v>102</v>
      </c>
      <c r="I145" s="55">
        <v>46160</v>
      </c>
      <c r="J145" s="55">
        <v>46162</v>
      </c>
      <c r="K145" s="55">
        <v>46190</v>
      </c>
      <c r="L145" s="55"/>
      <c r="M145" s="55"/>
      <c r="O145" s="3" t="s">
        <v>10</v>
      </c>
      <c r="P145" s="55">
        <v>46178</v>
      </c>
      <c r="R145" s="181"/>
    </row>
    <row r="146" spans="1:18" ht="15" customHeight="1">
      <c r="A146" s="177" t="s">
        <v>100</v>
      </c>
      <c r="B146" s="177"/>
      <c r="C146" s="213">
        <v>138607618</v>
      </c>
      <c r="F146" s="29" t="s">
        <v>101</v>
      </c>
      <c r="G146" s="3" t="s">
        <v>65</v>
      </c>
      <c r="H146" s="3" t="s">
        <v>102</v>
      </c>
      <c r="I146" s="55">
        <v>46160</v>
      </c>
      <c r="J146" s="55">
        <v>46162</v>
      </c>
      <c r="K146" s="55">
        <v>46190</v>
      </c>
      <c r="L146" s="55"/>
      <c r="M146" s="55"/>
      <c r="O146" s="3" t="s">
        <v>9</v>
      </c>
      <c r="R146" s="181"/>
    </row>
    <row r="147" spans="1:18" ht="15" customHeight="1">
      <c r="A147" s="177" t="s">
        <v>100</v>
      </c>
      <c r="B147" s="177"/>
      <c r="C147" s="213">
        <v>138607664</v>
      </c>
      <c r="F147" s="29" t="s">
        <v>101</v>
      </c>
      <c r="G147" s="3" t="s">
        <v>65</v>
      </c>
      <c r="H147" s="3" t="s">
        <v>102</v>
      </c>
      <c r="I147" s="55">
        <v>46160</v>
      </c>
      <c r="J147" s="55">
        <v>46162</v>
      </c>
      <c r="K147" s="55">
        <v>46190</v>
      </c>
      <c r="L147" s="55"/>
      <c r="M147" s="55"/>
      <c r="O147" s="3" t="s">
        <v>10</v>
      </c>
      <c r="P147" s="55">
        <v>46175</v>
      </c>
      <c r="R147" s="181"/>
    </row>
    <row r="148" spans="1:18" ht="15" customHeight="1">
      <c r="A148" s="177" t="s">
        <v>100</v>
      </c>
      <c r="B148" s="177"/>
      <c r="C148" s="213">
        <v>138607656</v>
      </c>
      <c r="F148" s="29" t="s">
        <v>101</v>
      </c>
      <c r="G148" s="3" t="s">
        <v>65</v>
      </c>
      <c r="H148" s="3" t="s">
        <v>102</v>
      </c>
      <c r="I148" s="55">
        <v>46160</v>
      </c>
      <c r="J148" s="55">
        <v>46162</v>
      </c>
      <c r="K148" s="55">
        <v>46190</v>
      </c>
      <c r="L148" s="55"/>
      <c r="M148" s="55"/>
      <c r="O148" s="3" t="s">
        <v>10</v>
      </c>
      <c r="P148" s="55">
        <v>46175</v>
      </c>
      <c r="R148" s="181"/>
    </row>
    <row r="149" spans="1:18" ht="15" customHeight="1">
      <c r="A149" s="177" t="s">
        <v>103</v>
      </c>
      <c r="B149" s="177"/>
      <c r="C149" s="213">
        <v>140601444</v>
      </c>
      <c r="D149" s="29">
        <v>167600215</v>
      </c>
      <c r="F149" s="29" t="s">
        <v>104</v>
      </c>
      <c r="G149" s="3" t="s">
        <v>65</v>
      </c>
      <c r="H149" s="3" t="s">
        <v>105</v>
      </c>
      <c r="I149" s="55">
        <v>46162</v>
      </c>
      <c r="J149" s="55">
        <v>46164</v>
      </c>
      <c r="K149" s="55">
        <v>46192</v>
      </c>
      <c r="L149" s="55"/>
      <c r="M149" s="55"/>
      <c r="O149" s="3" t="s">
        <v>9</v>
      </c>
      <c r="R149" s="181"/>
    </row>
    <row r="150" spans="1:18" ht="15" customHeight="1">
      <c r="A150" s="177" t="s">
        <v>103</v>
      </c>
      <c r="B150" s="177"/>
      <c r="C150" s="213">
        <v>140601573</v>
      </c>
      <c r="D150" s="29">
        <v>167600220</v>
      </c>
      <c r="F150" s="29" t="s">
        <v>104</v>
      </c>
      <c r="G150" s="3" t="s">
        <v>65</v>
      </c>
      <c r="H150" s="3" t="s">
        <v>105</v>
      </c>
      <c r="I150" s="55">
        <v>46162</v>
      </c>
      <c r="J150" s="55">
        <v>46164</v>
      </c>
      <c r="K150" s="55">
        <v>46192</v>
      </c>
      <c r="L150" s="55"/>
      <c r="M150" s="55"/>
      <c r="O150" s="3" t="s">
        <v>9</v>
      </c>
      <c r="R150" s="181"/>
    </row>
    <row r="151" spans="1:18" ht="15" customHeight="1">
      <c r="A151" s="177" t="s">
        <v>103</v>
      </c>
      <c r="B151" s="177"/>
      <c r="C151" s="213">
        <v>140601821</v>
      </c>
      <c r="D151" s="29">
        <v>167600224</v>
      </c>
      <c r="F151" s="29" t="s">
        <v>104</v>
      </c>
      <c r="G151" s="3" t="s">
        <v>65</v>
      </c>
      <c r="H151" s="3" t="s">
        <v>105</v>
      </c>
      <c r="I151" s="55">
        <v>46162</v>
      </c>
      <c r="J151" s="55">
        <v>46164</v>
      </c>
      <c r="K151" s="55">
        <v>46192</v>
      </c>
      <c r="L151" s="55"/>
      <c r="M151" s="55"/>
      <c r="O151" s="3" t="s">
        <v>9</v>
      </c>
      <c r="R151" s="181"/>
    </row>
    <row r="152" spans="1:18" ht="15" customHeight="1">
      <c r="A152" s="177" t="s">
        <v>103</v>
      </c>
      <c r="B152" s="177"/>
      <c r="C152" s="213">
        <v>140601934</v>
      </c>
      <c r="D152" s="29">
        <v>167600227</v>
      </c>
      <c r="F152" s="29" t="s">
        <v>104</v>
      </c>
      <c r="G152" s="3" t="s">
        <v>65</v>
      </c>
      <c r="H152" s="3" t="s">
        <v>105</v>
      </c>
      <c r="I152" s="55">
        <v>46162</v>
      </c>
      <c r="J152" s="55">
        <v>46164</v>
      </c>
      <c r="K152" s="55">
        <v>46192</v>
      </c>
      <c r="L152" s="55"/>
      <c r="M152" s="55"/>
      <c r="O152" s="3" t="s">
        <v>9</v>
      </c>
      <c r="R152" s="181"/>
    </row>
    <row r="153" spans="1:18" ht="15" customHeight="1">
      <c r="A153" s="177" t="s">
        <v>103</v>
      </c>
      <c r="B153" s="177"/>
      <c r="C153" s="213">
        <v>140602057</v>
      </c>
      <c r="D153" s="29">
        <v>167600229</v>
      </c>
      <c r="F153" s="29" t="s">
        <v>104</v>
      </c>
      <c r="G153" s="3" t="s">
        <v>65</v>
      </c>
      <c r="H153" s="3" t="s">
        <v>105</v>
      </c>
      <c r="I153" s="55">
        <v>46162</v>
      </c>
      <c r="J153" s="55">
        <v>46164</v>
      </c>
      <c r="K153" s="55">
        <v>46192</v>
      </c>
      <c r="L153" s="55"/>
      <c r="M153" s="55"/>
      <c r="O153" s="3" t="s">
        <v>9</v>
      </c>
      <c r="R153" s="181"/>
    </row>
    <row r="154" spans="1:18" ht="15" customHeight="1">
      <c r="A154" s="177" t="s">
        <v>103</v>
      </c>
      <c r="B154" s="187"/>
      <c r="C154" s="215">
        <v>140602116</v>
      </c>
      <c r="D154" s="29">
        <v>167600205</v>
      </c>
      <c r="F154" s="29" t="s">
        <v>104</v>
      </c>
      <c r="G154" s="3" t="s">
        <v>65</v>
      </c>
      <c r="H154" s="3" t="s">
        <v>105</v>
      </c>
      <c r="I154" s="55">
        <v>46162</v>
      </c>
      <c r="J154" s="55">
        <v>46164</v>
      </c>
      <c r="K154" s="55">
        <v>46192</v>
      </c>
      <c r="L154" s="55"/>
      <c r="M154" s="55"/>
      <c r="O154" s="3" t="s">
        <v>9</v>
      </c>
      <c r="R154" s="181"/>
    </row>
    <row r="155" spans="1:18" ht="15" customHeight="1">
      <c r="A155" s="180" t="s">
        <v>103</v>
      </c>
      <c r="B155" s="180"/>
      <c r="C155" s="213">
        <v>140602202</v>
      </c>
      <c r="D155" s="29">
        <v>167600215</v>
      </c>
      <c r="F155" s="29" t="s">
        <v>104</v>
      </c>
      <c r="G155" s="3" t="s">
        <v>65</v>
      </c>
      <c r="H155" s="3" t="s">
        <v>105</v>
      </c>
      <c r="I155" s="55">
        <v>46162</v>
      </c>
      <c r="J155" s="55">
        <v>46164</v>
      </c>
      <c r="K155" s="55">
        <v>46192</v>
      </c>
      <c r="L155" s="55"/>
      <c r="M155" s="55"/>
      <c r="O155" s="3" t="s">
        <v>9</v>
      </c>
      <c r="R155" s="181"/>
    </row>
    <row r="156" spans="1:18" ht="15" customHeight="1">
      <c r="A156" s="180" t="s">
        <v>106</v>
      </c>
      <c r="B156" s="180"/>
      <c r="C156" s="213">
        <v>147606910</v>
      </c>
      <c r="D156" s="29">
        <v>167600220</v>
      </c>
      <c r="F156" s="29" t="s">
        <v>58</v>
      </c>
      <c r="G156" s="3" t="s">
        <v>19</v>
      </c>
      <c r="H156" s="3" t="s">
        <v>29</v>
      </c>
      <c r="I156" s="55">
        <v>46167</v>
      </c>
      <c r="J156" s="55">
        <v>46169</v>
      </c>
      <c r="K156" s="55">
        <v>46198</v>
      </c>
      <c r="L156" s="55"/>
      <c r="M156" s="55"/>
      <c r="O156" s="3" t="s">
        <v>9</v>
      </c>
      <c r="R156" s="181"/>
    </row>
    <row r="157" spans="1:18" ht="15" customHeight="1">
      <c r="A157" s="180" t="s">
        <v>106</v>
      </c>
      <c r="B157" s="180"/>
      <c r="C157" s="213">
        <v>147607045</v>
      </c>
      <c r="D157" s="29">
        <v>167600224</v>
      </c>
      <c r="F157" s="29" t="s">
        <v>58</v>
      </c>
      <c r="G157" s="3" t="s">
        <v>19</v>
      </c>
      <c r="H157" s="3" t="s">
        <v>29</v>
      </c>
      <c r="I157" s="55">
        <v>46167</v>
      </c>
      <c r="J157" s="55">
        <v>46169</v>
      </c>
      <c r="K157" s="55">
        <v>46198</v>
      </c>
      <c r="L157" s="55"/>
      <c r="M157" s="55"/>
      <c r="O157" s="3" t="s">
        <v>9</v>
      </c>
      <c r="R157" s="181"/>
    </row>
    <row r="158" spans="1:18" ht="15" customHeight="1">
      <c r="A158" s="180" t="s">
        <v>106</v>
      </c>
      <c r="B158" s="180"/>
      <c r="C158" s="213">
        <v>147607078</v>
      </c>
      <c r="D158" s="29">
        <v>167600227</v>
      </c>
      <c r="F158" s="29" t="s">
        <v>58</v>
      </c>
      <c r="G158" s="3" t="s">
        <v>19</v>
      </c>
      <c r="H158" s="3" t="s">
        <v>29</v>
      </c>
      <c r="I158" s="55">
        <v>46167</v>
      </c>
      <c r="J158" s="55">
        <v>46169</v>
      </c>
      <c r="K158" s="55">
        <v>46198</v>
      </c>
      <c r="L158" s="55"/>
      <c r="M158" s="55"/>
      <c r="O158" s="3" t="s">
        <v>9</v>
      </c>
      <c r="R158" s="181"/>
    </row>
    <row r="159" spans="1:18" ht="15" customHeight="1">
      <c r="A159" s="180" t="s">
        <v>106</v>
      </c>
      <c r="B159" s="180"/>
      <c r="C159" s="213">
        <v>147607193</v>
      </c>
      <c r="D159" s="29">
        <v>167600229</v>
      </c>
      <c r="F159" s="29" t="s">
        <v>58</v>
      </c>
      <c r="G159" s="3" t="s">
        <v>19</v>
      </c>
      <c r="H159" s="3" t="s">
        <v>29</v>
      </c>
      <c r="I159" s="55">
        <v>46167</v>
      </c>
      <c r="J159" s="55">
        <v>46169</v>
      </c>
      <c r="K159" s="55">
        <v>46198</v>
      </c>
      <c r="L159" s="55"/>
      <c r="M159" s="55"/>
      <c r="O159" s="3" t="s">
        <v>9</v>
      </c>
      <c r="R159" s="181"/>
    </row>
    <row r="160" spans="1:18" ht="15" customHeight="1">
      <c r="A160" s="180" t="s">
        <v>106</v>
      </c>
      <c r="B160" s="180"/>
      <c r="C160" s="213">
        <v>147607247</v>
      </c>
      <c r="D160" s="74"/>
      <c r="F160" s="29" t="s">
        <v>58</v>
      </c>
      <c r="G160" s="3" t="s">
        <v>19</v>
      </c>
      <c r="H160" s="3" t="s">
        <v>29</v>
      </c>
      <c r="I160" s="55">
        <v>46167</v>
      </c>
      <c r="J160" s="55">
        <v>46169</v>
      </c>
      <c r="K160" s="55">
        <v>46198</v>
      </c>
      <c r="L160" s="55"/>
      <c r="M160" s="55"/>
      <c r="O160" s="3" t="s">
        <v>9</v>
      </c>
      <c r="R160" s="181"/>
    </row>
    <row r="161" spans="1:18" ht="15" customHeight="1">
      <c r="A161" s="180" t="s">
        <v>106</v>
      </c>
      <c r="B161" s="180"/>
      <c r="C161" s="213">
        <v>147607291</v>
      </c>
      <c r="D161" s="74"/>
      <c r="F161" s="29" t="s">
        <v>58</v>
      </c>
      <c r="G161" s="3" t="s">
        <v>19</v>
      </c>
      <c r="H161" s="3" t="s">
        <v>29</v>
      </c>
      <c r="I161" s="55">
        <v>46167</v>
      </c>
      <c r="J161" s="55">
        <v>46169</v>
      </c>
      <c r="K161" s="55">
        <v>46198</v>
      </c>
      <c r="L161" s="55"/>
      <c r="M161" s="55"/>
      <c r="O161" s="3" t="s">
        <v>9</v>
      </c>
      <c r="R161" s="181"/>
    </row>
    <row r="162" spans="1:18" ht="15" customHeight="1">
      <c r="A162" s="180" t="s">
        <v>106</v>
      </c>
      <c r="B162" s="180"/>
      <c r="C162" s="213">
        <v>147607340</v>
      </c>
      <c r="D162" s="74"/>
      <c r="F162" s="29" t="s">
        <v>58</v>
      </c>
      <c r="G162" s="3" t="s">
        <v>19</v>
      </c>
      <c r="H162" s="3" t="s">
        <v>29</v>
      </c>
      <c r="I162" s="55">
        <v>46167</v>
      </c>
      <c r="J162" s="55">
        <v>46169</v>
      </c>
      <c r="K162" s="55">
        <v>46198</v>
      </c>
      <c r="L162" s="55"/>
      <c r="M162" s="55"/>
      <c r="O162" s="3" t="s">
        <v>9</v>
      </c>
      <c r="R162" s="181"/>
    </row>
    <row r="163" spans="1:18" ht="15" customHeight="1">
      <c r="A163" s="180" t="s">
        <v>106</v>
      </c>
      <c r="B163" s="180"/>
      <c r="C163" s="213">
        <v>147607386</v>
      </c>
      <c r="D163" s="74"/>
      <c r="F163" s="29" t="s">
        <v>58</v>
      </c>
      <c r="G163" s="3" t="s">
        <v>19</v>
      </c>
      <c r="H163" s="3" t="s">
        <v>29</v>
      </c>
      <c r="I163" s="55">
        <v>46167</v>
      </c>
      <c r="J163" s="55">
        <v>46169</v>
      </c>
      <c r="K163" s="55">
        <v>46198</v>
      </c>
      <c r="L163" s="55"/>
      <c r="M163" s="55"/>
      <c r="O163" s="3" t="s">
        <v>9</v>
      </c>
      <c r="R163" s="181"/>
    </row>
    <row r="164" spans="1:18" ht="15" customHeight="1">
      <c r="A164" s="180" t="s">
        <v>106</v>
      </c>
      <c r="B164" s="180"/>
      <c r="C164" s="213">
        <v>147607486</v>
      </c>
      <c r="D164" s="74"/>
      <c r="F164" s="29" t="s">
        <v>58</v>
      </c>
      <c r="G164" s="3" t="s">
        <v>19</v>
      </c>
      <c r="H164" s="3" t="s">
        <v>29</v>
      </c>
      <c r="I164" s="55">
        <v>46167</v>
      </c>
      <c r="J164" s="55">
        <v>46169</v>
      </c>
      <c r="K164" s="55">
        <v>46198</v>
      </c>
      <c r="L164" s="55"/>
      <c r="M164" s="55"/>
      <c r="O164" s="3" t="s">
        <v>9</v>
      </c>
      <c r="R164" s="181"/>
    </row>
    <row r="165" spans="1:18" ht="15" customHeight="1">
      <c r="A165" s="180" t="s">
        <v>106</v>
      </c>
      <c r="B165" s="180"/>
      <c r="C165" s="213">
        <v>147607584</v>
      </c>
      <c r="D165" s="74"/>
      <c r="F165" s="29" t="s">
        <v>58</v>
      </c>
      <c r="G165" s="3" t="s">
        <v>19</v>
      </c>
      <c r="H165" s="3" t="s">
        <v>29</v>
      </c>
      <c r="I165" s="55">
        <v>46167</v>
      </c>
      <c r="J165" s="55">
        <v>46169</v>
      </c>
      <c r="K165" s="55">
        <v>46198</v>
      </c>
      <c r="L165" s="55"/>
      <c r="M165" s="55"/>
      <c r="O165" s="3" t="s">
        <v>9</v>
      </c>
      <c r="R165" s="181"/>
    </row>
    <row r="166" spans="1:18" ht="15" customHeight="1">
      <c r="A166" s="180" t="s">
        <v>106</v>
      </c>
      <c r="B166" s="180"/>
      <c r="C166" s="213">
        <v>147607619</v>
      </c>
      <c r="D166" s="74"/>
      <c r="F166" s="29" t="s">
        <v>58</v>
      </c>
      <c r="G166" s="3" t="s">
        <v>19</v>
      </c>
      <c r="H166" s="3" t="s">
        <v>29</v>
      </c>
      <c r="I166" s="55">
        <v>46167</v>
      </c>
      <c r="J166" s="55">
        <v>46169</v>
      </c>
      <c r="K166" s="55">
        <v>46198</v>
      </c>
      <c r="L166" s="55"/>
      <c r="M166" s="55"/>
      <c r="O166" s="3" t="s">
        <v>9</v>
      </c>
      <c r="R166" s="181"/>
    </row>
    <row r="167" spans="1:18" ht="15" customHeight="1">
      <c r="A167" s="180" t="s">
        <v>106</v>
      </c>
      <c r="B167" s="180"/>
      <c r="C167" s="213">
        <v>147607686</v>
      </c>
      <c r="D167" s="74"/>
      <c r="F167" s="29" t="s">
        <v>58</v>
      </c>
      <c r="G167" s="3" t="s">
        <v>19</v>
      </c>
      <c r="H167" s="3" t="s">
        <v>29</v>
      </c>
      <c r="I167" s="55">
        <v>46167</v>
      </c>
      <c r="J167" s="55">
        <v>46169</v>
      </c>
      <c r="K167" s="55">
        <v>46198</v>
      </c>
      <c r="L167" s="55"/>
      <c r="M167" s="55"/>
      <c r="O167" s="3" t="s">
        <v>9</v>
      </c>
      <c r="R167" s="181"/>
    </row>
    <row r="168" spans="1:18" ht="15" customHeight="1">
      <c r="A168" s="180" t="s">
        <v>106</v>
      </c>
      <c r="B168" s="180"/>
      <c r="C168" s="213">
        <v>147607723</v>
      </c>
      <c r="D168" s="74"/>
      <c r="F168" s="29" t="s">
        <v>58</v>
      </c>
      <c r="G168" s="3" t="s">
        <v>19</v>
      </c>
      <c r="H168" s="3" t="s">
        <v>29</v>
      </c>
      <c r="I168" s="55">
        <v>46167</v>
      </c>
      <c r="J168" s="55">
        <v>46169</v>
      </c>
      <c r="K168" s="55">
        <v>46198</v>
      </c>
      <c r="L168" s="55"/>
      <c r="M168" s="55"/>
      <c r="O168" s="3" t="s">
        <v>9</v>
      </c>
      <c r="R168" s="181"/>
    </row>
    <row r="169" spans="1:18" ht="15" customHeight="1">
      <c r="A169" s="180" t="s">
        <v>106</v>
      </c>
      <c r="B169" s="180"/>
      <c r="C169" s="213">
        <v>147607743</v>
      </c>
      <c r="D169" s="74"/>
      <c r="F169" s="29" t="s">
        <v>58</v>
      </c>
      <c r="G169" s="3" t="s">
        <v>19</v>
      </c>
      <c r="H169" s="3" t="s">
        <v>29</v>
      </c>
      <c r="I169" s="55">
        <v>46167</v>
      </c>
      <c r="J169" s="55">
        <v>46169</v>
      </c>
      <c r="K169" s="55">
        <v>46198</v>
      </c>
      <c r="L169" s="55"/>
      <c r="M169" s="55"/>
      <c r="O169" s="3" t="s">
        <v>9</v>
      </c>
      <c r="R169" s="181"/>
    </row>
    <row r="170" spans="1:18" ht="15" customHeight="1">
      <c r="A170" s="180" t="s">
        <v>106</v>
      </c>
      <c r="B170" s="180"/>
      <c r="C170" s="213">
        <v>147607786</v>
      </c>
      <c r="D170" s="74"/>
      <c r="F170" s="29" t="s">
        <v>58</v>
      </c>
      <c r="G170" s="3" t="s">
        <v>19</v>
      </c>
      <c r="H170" s="3" t="s">
        <v>29</v>
      </c>
      <c r="I170" s="55">
        <v>46167</v>
      </c>
      <c r="J170" s="55">
        <v>46169</v>
      </c>
      <c r="K170" s="55">
        <v>46198</v>
      </c>
      <c r="L170" s="55"/>
      <c r="M170" s="55"/>
      <c r="O170" s="3" t="s">
        <v>9</v>
      </c>
      <c r="R170" s="181"/>
    </row>
    <row r="171" spans="1:18" ht="15" customHeight="1">
      <c r="A171" s="180" t="s">
        <v>106</v>
      </c>
      <c r="B171" s="180"/>
      <c r="C171" s="213">
        <v>147607834</v>
      </c>
      <c r="D171" s="74"/>
      <c r="F171" s="29" t="s">
        <v>58</v>
      </c>
      <c r="G171" s="3" t="s">
        <v>19</v>
      </c>
      <c r="H171" s="3" t="s">
        <v>29</v>
      </c>
      <c r="I171" s="55">
        <v>46167</v>
      </c>
      <c r="J171" s="55">
        <v>46169</v>
      </c>
      <c r="K171" s="55">
        <v>46198</v>
      </c>
      <c r="L171" s="55"/>
      <c r="M171" s="55"/>
      <c r="O171" s="3" t="s">
        <v>9</v>
      </c>
      <c r="R171" s="181"/>
    </row>
    <row r="172" spans="1:18" ht="15" customHeight="1">
      <c r="A172" s="180" t="s">
        <v>106</v>
      </c>
      <c r="B172" s="180"/>
      <c r="C172" s="213">
        <v>147607859</v>
      </c>
      <c r="D172" s="74"/>
      <c r="F172" s="29" t="s">
        <v>58</v>
      </c>
      <c r="G172" s="3" t="s">
        <v>19</v>
      </c>
      <c r="H172" s="3" t="s">
        <v>29</v>
      </c>
      <c r="I172" s="55">
        <v>46167</v>
      </c>
      <c r="J172" s="55">
        <v>46169</v>
      </c>
      <c r="K172" s="55">
        <v>46198</v>
      </c>
      <c r="L172" s="55"/>
      <c r="M172" s="55"/>
      <c r="O172" s="3" t="s">
        <v>9</v>
      </c>
      <c r="R172" s="181"/>
    </row>
    <row r="173" spans="1:18" ht="15" customHeight="1">
      <c r="A173" s="180" t="s">
        <v>106</v>
      </c>
      <c r="B173" s="180"/>
      <c r="C173" s="213">
        <v>147607890</v>
      </c>
      <c r="D173" s="74"/>
      <c r="F173" s="29" t="s">
        <v>58</v>
      </c>
      <c r="G173" s="3" t="s">
        <v>19</v>
      </c>
      <c r="H173" s="3" t="s">
        <v>29</v>
      </c>
      <c r="I173" s="55">
        <v>46167</v>
      </c>
      <c r="J173" s="55">
        <v>46169</v>
      </c>
      <c r="K173" s="55">
        <v>46198</v>
      </c>
      <c r="L173" s="55"/>
      <c r="M173" s="55"/>
      <c r="O173" s="3" t="s">
        <v>9</v>
      </c>
      <c r="R173" s="181"/>
    </row>
    <row r="174" spans="1:18" ht="15" customHeight="1">
      <c r="A174" s="180" t="s">
        <v>106</v>
      </c>
      <c r="B174" s="180"/>
      <c r="C174" s="213">
        <v>147607923</v>
      </c>
      <c r="D174" s="74"/>
      <c r="F174" s="29" t="s">
        <v>58</v>
      </c>
      <c r="G174" s="3" t="s">
        <v>19</v>
      </c>
      <c r="H174" s="3" t="s">
        <v>29</v>
      </c>
      <c r="I174" s="55">
        <v>46167</v>
      </c>
      <c r="J174" s="55">
        <v>46169</v>
      </c>
      <c r="K174" s="55">
        <v>46198</v>
      </c>
      <c r="L174" s="55"/>
      <c r="M174" s="55"/>
      <c r="O174" s="3" t="s">
        <v>9</v>
      </c>
      <c r="R174" s="181"/>
    </row>
    <row r="175" spans="1:18" ht="15" customHeight="1">
      <c r="A175" s="180" t="s">
        <v>106</v>
      </c>
      <c r="B175" s="180"/>
      <c r="C175" s="213">
        <v>147607958</v>
      </c>
      <c r="D175" s="74"/>
      <c r="F175" s="29" t="s">
        <v>58</v>
      </c>
      <c r="G175" s="3" t="s">
        <v>19</v>
      </c>
      <c r="H175" s="3" t="s">
        <v>29</v>
      </c>
      <c r="I175" s="55">
        <v>46167</v>
      </c>
      <c r="J175" s="55">
        <v>46169</v>
      </c>
      <c r="K175" s="55">
        <v>46198</v>
      </c>
      <c r="L175" s="55"/>
      <c r="M175" s="55"/>
      <c r="O175" s="3" t="s">
        <v>9</v>
      </c>
      <c r="R175" s="181"/>
    </row>
    <row r="176" spans="1:18" ht="15" customHeight="1">
      <c r="A176" s="180" t="s">
        <v>106</v>
      </c>
      <c r="B176" s="180"/>
      <c r="C176" s="213">
        <v>147608000</v>
      </c>
      <c r="D176" s="74"/>
      <c r="F176" s="29" t="s">
        <v>58</v>
      </c>
      <c r="G176" s="3" t="s">
        <v>19</v>
      </c>
      <c r="H176" s="3" t="s">
        <v>29</v>
      </c>
      <c r="I176" s="55">
        <v>46167</v>
      </c>
      <c r="J176" s="55">
        <v>46169</v>
      </c>
      <c r="K176" s="55">
        <v>46198</v>
      </c>
      <c r="L176" s="55"/>
      <c r="M176" s="55"/>
      <c r="O176" s="3" t="s">
        <v>9</v>
      </c>
      <c r="R176" s="181"/>
    </row>
    <row r="177" spans="1:18" ht="15" customHeight="1">
      <c r="A177" s="180" t="s">
        <v>106</v>
      </c>
      <c r="B177" s="180"/>
      <c r="C177" s="213">
        <v>147608064</v>
      </c>
      <c r="D177" s="74"/>
      <c r="F177" s="29" t="s">
        <v>58</v>
      </c>
      <c r="G177" s="3" t="s">
        <v>19</v>
      </c>
      <c r="H177" s="3" t="s">
        <v>29</v>
      </c>
      <c r="I177" s="55">
        <v>46167</v>
      </c>
      <c r="J177" s="55">
        <v>46169</v>
      </c>
      <c r="K177" s="55">
        <v>46198</v>
      </c>
      <c r="L177" s="55"/>
      <c r="M177" s="55"/>
      <c r="O177" s="3" t="s">
        <v>9</v>
      </c>
      <c r="R177" s="181"/>
    </row>
    <row r="178" spans="1:18" ht="15" customHeight="1">
      <c r="A178" s="180" t="s">
        <v>106</v>
      </c>
      <c r="B178" s="180"/>
      <c r="C178" s="213">
        <v>147608472</v>
      </c>
      <c r="D178" s="74"/>
      <c r="F178" s="29" t="s">
        <v>58</v>
      </c>
      <c r="G178" s="3" t="s">
        <v>19</v>
      </c>
      <c r="H178" s="3" t="s">
        <v>29</v>
      </c>
      <c r="I178" s="55">
        <v>46167</v>
      </c>
      <c r="J178" s="55">
        <v>46169</v>
      </c>
      <c r="K178" s="55">
        <v>46198</v>
      </c>
      <c r="L178" s="55"/>
      <c r="M178" s="55"/>
      <c r="O178" s="3" t="s">
        <v>10</v>
      </c>
      <c r="P178" s="55">
        <v>46179</v>
      </c>
      <c r="R178" s="181"/>
    </row>
    <row r="179" spans="1:18" ht="15" customHeight="1">
      <c r="A179" s="180" t="s">
        <v>106</v>
      </c>
      <c r="B179" s="180"/>
      <c r="C179" s="213">
        <v>147608503</v>
      </c>
      <c r="D179" s="74"/>
      <c r="F179" s="29" t="s">
        <v>58</v>
      </c>
      <c r="G179" s="3" t="s">
        <v>19</v>
      </c>
      <c r="H179" s="3" t="s">
        <v>29</v>
      </c>
      <c r="I179" s="55">
        <v>46167</v>
      </c>
      <c r="J179" s="55">
        <v>46169</v>
      </c>
      <c r="K179" s="55">
        <v>46198</v>
      </c>
      <c r="L179" s="55"/>
      <c r="M179" s="55"/>
      <c r="O179" s="3" t="s">
        <v>10</v>
      </c>
      <c r="P179" s="55">
        <v>46179</v>
      </c>
      <c r="R179" s="181"/>
    </row>
    <row r="180" spans="1:18" ht="15" customHeight="1">
      <c r="A180" s="180" t="s">
        <v>106</v>
      </c>
      <c r="B180" s="180"/>
      <c r="C180" s="213">
        <v>147608615</v>
      </c>
      <c r="D180" s="74"/>
      <c r="F180" s="29" t="s">
        <v>58</v>
      </c>
      <c r="G180" s="3" t="s">
        <v>19</v>
      </c>
      <c r="H180" s="3" t="s">
        <v>29</v>
      </c>
      <c r="I180" s="55">
        <v>46167</v>
      </c>
      <c r="J180" s="55">
        <v>46169</v>
      </c>
      <c r="K180" s="55">
        <v>46198</v>
      </c>
      <c r="L180" s="55"/>
      <c r="M180" s="55"/>
      <c r="O180" s="3" t="s">
        <v>10</v>
      </c>
      <c r="P180" s="55">
        <v>46179</v>
      </c>
      <c r="R180" s="181"/>
    </row>
    <row r="181" spans="1:18" ht="15" customHeight="1">
      <c r="A181" s="180" t="s">
        <v>106</v>
      </c>
      <c r="B181" s="180"/>
      <c r="C181" s="213">
        <v>147608636</v>
      </c>
      <c r="D181" s="74"/>
      <c r="F181" s="29" t="s">
        <v>58</v>
      </c>
      <c r="G181" s="3" t="s">
        <v>19</v>
      </c>
      <c r="H181" s="3" t="s">
        <v>29</v>
      </c>
      <c r="I181" s="55">
        <v>46167</v>
      </c>
      <c r="J181" s="55">
        <v>46169</v>
      </c>
      <c r="K181" s="55">
        <v>46198</v>
      </c>
      <c r="L181" s="55"/>
      <c r="M181" s="55"/>
      <c r="O181" s="3" t="s">
        <v>10</v>
      </c>
      <c r="P181" s="55">
        <v>46179</v>
      </c>
      <c r="R181" s="181"/>
    </row>
    <row r="182" spans="1:18" ht="15" customHeight="1">
      <c r="A182" s="180" t="s">
        <v>106</v>
      </c>
      <c r="B182" s="180"/>
      <c r="C182" s="213">
        <v>147608661</v>
      </c>
      <c r="D182" s="74"/>
      <c r="F182" s="29" t="s">
        <v>58</v>
      </c>
      <c r="G182" s="3" t="s">
        <v>19</v>
      </c>
      <c r="H182" s="3" t="s">
        <v>29</v>
      </c>
      <c r="I182" s="55">
        <v>46167</v>
      </c>
      <c r="J182" s="55">
        <v>46169</v>
      </c>
      <c r="K182" s="55">
        <v>46198</v>
      </c>
      <c r="L182" s="55"/>
      <c r="M182" s="55"/>
      <c r="O182" s="3" t="s">
        <v>10</v>
      </c>
      <c r="P182" s="55">
        <v>46179</v>
      </c>
      <c r="R182" s="181"/>
    </row>
    <row r="183" spans="1:18" ht="15" customHeight="1">
      <c r="A183" s="180" t="s">
        <v>106</v>
      </c>
      <c r="B183" s="180"/>
      <c r="C183" s="213">
        <v>147608687</v>
      </c>
      <c r="D183" s="74"/>
      <c r="F183" s="29" t="s">
        <v>58</v>
      </c>
      <c r="G183" s="3" t="s">
        <v>19</v>
      </c>
      <c r="H183" s="3" t="s">
        <v>29</v>
      </c>
      <c r="I183" s="55">
        <v>46167</v>
      </c>
      <c r="J183" s="55">
        <v>46169</v>
      </c>
      <c r="K183" s="55">
        <v>46198</v>
      </c>
      <c r="L183" s="55"/>
      <c r="M183" s="55"/>
      <c r="O183" s="3" t="s">
        <v>10</v>
      </c>
      <c r="P183" s="55">
        <v>46179</v>
      </c>
      <c r="R183" s="181"/>
    </row>
    <row r="184" spans="1:18" ht="15" customHeight="1">
      <c r="A184" s="180" t="s">
        <v>107</v>
      </c>
      <c r="B184" s="180"/>
      <c r="C184" s="213">
        <v>149603325</v>
      </c>
      <c r="F184" s="29" t="s">
        <v>108</v>
      </c>
      <c r="G184" s="3" t="s">
        <v>65</v>
      </c>
      <c r="H184" s="3" t="s">
        <v>109</v>
      </c>
      <c r="I184" s="55">
        <v>46171</v>
      </c>
      <c r="J184" s="55">
        <v>46175</v>
      </c>
      <c r="K184" s="55">
        <v>46202</v>
      </c>
      <c r="L184" s="55"/>
      <c r="M184" s="55"/>
      <c r="N184" s="55">
        <v>46176</v>
      </c>
      <c r="O184" s="3" t="s">
        <v>10</v>
      </c>
      <c r="P184" s="55">
        <v>46176</v>
      </c>
      <c r="R184" s="80"/>
    </row>
    <row r="185" spans="1:18" ht="15" customHeight="1">
      <c r="A185" s="180" t="s">
        <v>107</v>
      </c>
      <c r="B185" s="180"/>
      <c r="C185" s="213">
        <v>149603353</v>
      </c>
      <c r="F185" s="29" t="s">
        <v>108</v>
      </c>
      <c r="G185" s="3" t="s">
        <v>65</v>
      </c>
      <c r="H185" s="3" t="s">
        <v>109</v>
      </c>
      <c r="I185" s="55">
        <v>46171</v>
      </c>
      <c r="J185" s="55">
        <v>46175</v>
      </c>
      <c r="K185" s="55">
        <v>46202</v>
      </c>
      <c r="L185" s="55"/>
      <c r="M185" s="55"/>
      <c r="N185" s="55">
        <v>46176</v>
      </c>
      <c r="O185" s="3" t="s">
        <v>10</v>
      </c>
      <c r="P185" s="55">
        <v>46179</v>
      </c>
      <c r="R185" s="80"/>
    </row>
    <row r="186" spans="1:18" ht="15" customHeight="1">
      <c r="A186" s="180" t="s">
        <v>107</v>
      </c>
      <c r="B186" s="180"/>
      <c r="C186" s="213">
        <v>149603371</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0" t="s">
        <v>107</v>
      </c>
      <c r="B187" s="180"/>
      <c r="C187" s="213">
        <v>149603378</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0" t="s">
        <v>107</v>
      </c>
      <c r="B188" s="180"/>
      <c r="C188" s="213">
        <v>149603400</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0" t="s">
        <v>107</v>
      </c>
      <c r="B189" s="180"/>
      <c r="C189" s="213">
        <v>149603414</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0" t="s">
        <v>107</v>
      </c>
      <c r="B190" s="180"/>
      <c r="C190" s="213">
        <v>149603430</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0" t="s">
        <v>110</v>
      </c>
      <c r="B191" s="180"/>
      <c r="C191" s="213">
        <v>149603474</v>
      </c>
      <c r="F191" s="29" t="s">
        <v>108</v>
      </c>
      <c r="G191" s="3" t="s">
        <v>65</v>
      </c>
      <c r="H191" s="3" t="s">
        <v>109</v>
      </c>
      <c r="I191" s="55">
        <v>46171</v>
      </c>
      <c r="J191" s="55">
        <v>46175</v>
      </c>
      <c r="K191" s="55">
        <v>46202</v>
      </c>
      <c r="L191" s="55"/>
      <c r="M191" s="55"/>
      <c r="N191" s="55">
        <v>46176</v>
      </c>
      <c r="O191" s="3" t="s">
        <v>10</v>
      </c>
      <c r="P191" s="55">
        <v>46184</v>
      </c>
      <c r="R191" s="80"/>
    </row>
    <row r="192" spans="1:18" ht="15" customHeight="1">
      <c r="A192" s="180" t="s">
        <v>110</v>
      </c>
      <c r="B192" s="180"/>
      <c r="C192" s="213">
        <v>149603502</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0" t="s">
        <v>110</v>
      </c>
      <c r="B193" s="180"/>
      <c r="C193" s="213">
        <v>149603522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0" t="s">
        <v>110</v>
      </c>
      <c r="B194" s="180"/>
      <c r="C194" s="213">
        <v>149603547</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0" t="s">
        <v>110</v>
      </c>
      <c r="B195" s="180"/>
      <c r="C195" s="213">
        <v>149603564</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0" t="s">
        <v>110</v>
      </c>
      <c r="B196" s="180"/>
      <c r="C196" s="213">
        <v>149603578</v>
      </c>
      <c r="F196" s="29" t="s">
        <v>108</v>
      </c>
      <c r="G196" s="3" t="s">
        <v>65</v>
      </c>
      <c r="H196" s="3" t="s">
        <v>109</v>
      </c>
      <c r="I196" s="55">
        <v>46171</v>
      </c>
      <c r="J196" s="55">
        <v>46175</v>
      </c>
      <c r="K196" s="55">
        <v>46202</v>
      </c>
      <c r="L196" s="55"/>
      <c r="M196" s="55"/>
      <c r="N196" s="55">
        <v>46176</v>
      </c>
      <c r="O196" s="3" t="s">
        <v>10</v>
      </c>
      <c r="P196" s="55">
        <v>46185</v>
      </c>
      <c r="R196" s="80"/>
    </row>
    <row r="197" spans="1:18" ht="15" customHeight="1">
      <c r="A197" s="180" t="s">
        <v>110</v>
      </c>
      <c r="B197" s="180"/>
      <c r="C197" s="213">
        <v>149603631</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0" t="s">
        <v>110</v>
      </c>
      <c r="B198" s="180"/>
      <c r="C198" s="213">
        <v>149603647</v>
      </c>
      <c r="F198" s="29" t="s">
        <v>108</v>
      </c>
      <c r="G198" s="3" t="s">
        <v>65</v>
      </c>
      <c r="H198" s="3" t="s">
        <v>109</v>
      </c>
      <c r="I198" s="55">
        <v>46171</v>
      </c>
      <c r="J198" s="55">
        <v>46175</v>
      </c>
      <c r="K198" s="55">
        <v>46202</v>
      </c>
      <c r="L198" s="55"/>
      <c r="M198" s="55"/>
      <c r="N198" s="55">
        <v>46176</v>
      </c>
      <c r="O198" s="3" t="s">
        <v>10</v>
      </c>
      <c r="P198" s="55">
        <v>46188</v>
      </c>
      <c r="R198" s="80"/>
    </row>
    <row r="199" spans="1:18" ht="15" customHeight="1">
      <c r="A199" s="177" t="s">
        <v>111</v>
      </c>
      <c r="B199" s="177"/>
      <c r="C199" s="213">
        <v>149606102</v>
      </c>
      <c r="F199" s="29" t="s">
        <v>112</v>
      </c>
      <c r="G199" s="3" t="s">
        <v>65</v>
      </c>
      <c r="H199" s="3" t="s">
        <v>30</v>
      </c>
      <c r="I199" s="55">
        <v>46171</v>
      </c>
      <c r="J199" s="55">
        <v>46176</v>
      </c>
      <c r="K199" s="55">
        <v>46202</v>
      </c>
      <c r="L199" s="55"/>
      <c r="M199" s="55"/>
      <c r="O199" s="3" t="s">
        <v>9</v>
      </c>
      <c r="Q199" s="167" t="s">
        <v>113</v>
      </c>
      <c r="R199" s="191" t="s">
        <v>114</v>
      </c>
    </row>
    <row r="200" spans="1:18" ht="15" customHeight="1">
      <c r="A200" s="177" t="s">
        <v>111</v>
      </c>
      <c r="B200" s="177"/>
      <c r="C200" s="213">
        <v>149605915</v>
      </c>
      <c r="F200" s="29" t="s">
        <v>112</v>
      </c>
      <c r="G200" s="3" t="s">
        <v>65</v>
      </c>
      <c r="H200" s="3" t="s">
        <v>30</v>
      </c>
      <c r="I200" s="55">
        <v>46171</v>
      </c>
      <c r="J200" s="55">
        <v>46176</v>
      </c>
      <c r="K200" s="55">
        <v>46202</v>
      </c>
      <c r="L200" s="55"/>
      <c r="M200" s="55"/>
      <c r="O200" s="3" t="s">
        <v>9</v>
      </c>
      <c r="Q200" s="167" t="s">
        <v>76</v>
      </c>
      <c r="R200" s="191" t="s">
        <v>114</v>
      </c>
    </row>
    <row r="201" spans="1:18" ht="15" customHeight="1">
      <c r="A201" s="177" t="s">
        <v>111</v>
      </c>
      <c r="B201" s="177"/>
      <c r="C201" s="213">
        <v>149605949</v>
      </c>
      <c r="F201" s="29" t="s">
        <v>112</v>
      </c>
      <c r="G201" s="3" t="s">
        <v>65</v>
      </c>
      <c r="H201" s="3" t="s">
        <v>30</v>
      </c>
      <c r="I201" s="55">
        <v>46171</v>
      </c>
      <c r="J201" s="55">
        <v>46176</v>
      </c>
      <c r="K201" s="55">
        <v>46202</v>
      </c>
      <c r="L201" s="55"/>
      <c r="M201" s="55"/>
      <c r="O201" s="3" t="s">
        <v>9</v>
      </c>
      <c r="Q201" s="167" t="s">
        <v>115</v>
      </c>
      <c r="R201" s="191" t="s">
        <v>114</v>
      </c>
    </row>
    <row r="202" spans="1:18" ht="15" customHeight="1">
      <c r="A202" s="177" t="s">
        <v>111</v>
      </c>
      <c r="B202" s="177"/>
      <c r="C202" s="213">
        <v>149605839</v>
      </c>
      <c r="F202" s="29" t="s">
        <v>112</v>
      </c>
      <c r="G202" s="3" t="s">
        <v>65</v>
      </c>
      <c r="H202" s="3" t="s">
        <v>30</v>
      </c>
      <c r="I202" s="55">
        <v>46171</v>
      </c>
      <c r="J202" s="55">
        <v>46176</v>
      </c>
      <c r="K202" s="55">
        <v>46202</v>
      </c>
      <c r="L202" s="55"/>
      <c r="M202" s="55"/>
      <c r="O202" s="3" t="s">
        <v>9</v>
      </c>
      <c r="Q202" s="167" t="s">
        <v>76</v>
      </c>
      <c r="R202" s="191" t="s">
        <v>114</v>
      </c>
    </row>
    <row r="203" spans="1:18" ht="15" customHeight="1">
      <c r="A203" s="177" t="s">
        <v>111</v>
      </c>
      <c r="B203" s="177"/>
      <c r="C203" s="213">
        <v>149605888</v>
      </c>
      <c r="F203" s="29" t="s">
        <v>112</v>
      </c>
      <c r="G203" s="3" t="s">
        <v>65</v>
      </c>
      <c r="H203" s="3" t="s">
        <v>30</v>
      </c>
      <c r="I203" s="55">
        <v>46171</v>
      </c>
      <c r="J203" s="55">
        <v>46176</v>
      </c>
      <c r="K203" s="55">
        <v>46202</v>
      </c>
      <c r="L203" s="55"/>
      <c r="M203" s="55"/>
      <c r="O203" s="3" t="s">
        <v>9</v>
      </c>
      <c r="Q203" s="167" t="s">
        <v>115</v>
      </c>
      <c r="R203" s="191" t="s">
        <v>114</v>
      </c>
    </row>
    <row r="204" spans="1:18" ht="15" customHeight="1">
      <c r="A204" s="177" t="s">
        <v>111</v>
      </c>
      <c r="B204" s="177"/>
      <c r="C204" s="213">
        <v>149605739</v>
      </c>
      <c r="F204" s="29" t="s">
        <v>112</v>
      </c>
      <c r="G204" s="3" t="s">
        <v>65</v>
      </c>
      <c r="H204" s="3" t="s">
        <v>30</v>
      </c>
      <c r="I204" s="55">
        <v>46171</v>
      </c>
      <c r="J204" s="55">
        <v>46176</v>
      </c>
      <c r="K204" s="55">
        <v>46202</v>
      </c>
      <c r="L204" s="55"/>
      <c r="M204" s="55"/>
      <c r="O204" s="3" t="s">
        <v>9</v>
      </c>
      <c r="Q204" s="167" t="s">
        <v>113</v>
      </c>
      <c r="R204" s="191" t="s">
        <v>114</v>
      </c>
    </row>
    <row r="205" spans="1:18" ht="15" customHeight="1">
      <c r="A205" s="177" t="s">
        <v>111</v>
      </c>
      <c r="B205" s="177"/>
      <c r="C205" s="213">
        <v>149606173</v>
      </c>
      <c r="F205" s="29" t="s">
        <v>112</v>
      </c>
      <c r="G205" s="3" t="s">
        <v>65</v>
      </c>
      <c r="H205" s="3" t="s">
        <v>30</v>
      </c>
      <c r="I205" s="55">
        <v>46171</v>
      </c>
      <c r="J205" s="55">
        <v>46176</v>
      </c>
      <c r="K205" s="55">
        <v>46202</v>
      </c>
      <c r="L205" s="55"/>
      <c r="M205" s="55"/>
      <c r="O205" s="3" t="s">
        <v>9</v>
      </c>
      <c r="Q205" s="167" t="s">
        <v>116</v>
      </c>
      <c r="R205" s="191" t="s">
        <v>114</v>
      </c>
    </row>
    <row r="206" spans="1:18" ht="15" customHeight="1">
      <c r="A206" s="177" t="s">
        <v>111</v>
      </c>
      <c r="B206" s="177"/>
      <c r="C206" s="213">
        <v>149606196</v>
      </c>
      <c r="F206" s="29" t="s">
        <v>112</v>
      </c>
      <c r="G206" s="3" t="s">
        <v>65</v>
      </c>
      <c r="H206" s="3" t="s">
        <v>30</v>
      </c>
      <c r="I206" s="55">
        <v>46171</v>
      </c>
      <c r="J206" s="55">
        <v>46176</v>
      </c>
      <c r="K206" s="55">
        <v>46202</v>
      </c>
      <c r="L206" s="55"/>
      <c r="M206" s="55"/>
      <c r="O206" s="3" t="s">
        <v>9</v>
      </c>
      <c r="Q206" s="167" t="s">
        <v>116</v>
      </c>
      <c r="R206" s="191" t="s">
        <v>114</v>
      </c>
    </row>
    <row r="207" spans="1:18" ht="15" customHeight="1">
      <c r="A207" s="177" t="s">
        <v>117</v>
      </c>
      <c r="B207" s="177"/>
      <c r="C207" s="213">
        <v>152603151</v>
      </c>
      <c r="F207" s="29" t="s">
        <v>62</v>
      </c>
      <c r="G207" s="3" t="s">
        <v>65</v>
      </c>
      <c r="H207" s="3" t="s">
        <v>30</v>
      </c>
      <c r="I207" s="55">
        <v>46174</v>
      </c>
      <c r="J207" s="55">
        <v>46177</v>
      </c>
      <c r="K207" s="55">
        <v>46204</v>
      </c>
      <c r="L207" s="55"/>
      <c r="M207" s="55"/>
      <c r="O207" s="3" t="s">
        <v>9</v>
      </c>
      <c r="R207" s="181"/>
    </row>
    <row r="208" spans="1:18" ht="15" customHeight="1">
      <c r="A208" s="177" t="s">
        <v>117</v>
      </c>
      <c r="B208" s="177"/>
      <c r="C208" s="213">
        <v>152603240</v>
      </c>
      <c r="F208" s="29" t="s">
        <v>62</v>
      </c>
      <c r="G208" s="3" t="s">
        <v>65</v>
      </c>
      <c r="H208" s="3" t="s">
        <v>30</v>
      </c>
      <c r="I208" s="55">
        <v>46174</v>
      </c>
      <c r="J208" s="55">
        <v>46177</v>
      </c>
      <c r="K208" s="55">
        <v>46204</v>
      </c>
      <c r="L208" s="55"/>
      <c r="M208" s="55"/>
      <c r="O208" s="3" t="s">
        <v>9</v>
      </c>
      <c r="R208" s="181"/>
    </row>
    <row r="209" spans="1:18" ht="15" customHeight="1">
      <c r="A209" s="177" t="s">
        <v>117</v>
      </c>
      <c r="B209" s="177"/>
      <c r="C209" s="213">
        <v>152603298</v>
      </c>
      <c r="F209" s="29" t="s">
        <v>62</v>
      </c>
      <c r="G209" s="3" t="s">
        <v>65</v>
      </c>
      <c r="H209" s="3" t="s">
        <v>30</v>
      </c>
      <c r="I209" s="55">
        <v>46174</v>
      </c>
      <c r="J209" s="55">
        <v>46177</v>
      </c>
      <c r="K209" s="55">
        <v>46204</v>
      </c>
      <c r="L209" s="55"/>
      <c r="M209" s="55"/>
      <c r="O209" s="3" t="s">
        <v>9</v>
      </c>
      <c r="R209" s="181"/>
    </row>
    <row r="210" spans="1:18" ht="15" customHeight="1">
      <c r="A210" s="177" t="s">
        <v>117</v>
      </c>
      <c r="B210" s="177"/>
      <c r="C210" s="213">
        <v>152603335</v>
      </c>
      <c r="F210" s="29" t="s">
        <v>62</v>
      </c>
      <c r="G210" s="3" t="s">
        <v>65</v>
      </c>
      <c r="H210" s="3" t="s">
        <v>30</v>
      </c>
      <c r="I210" s="55">
        <v>46174</v>
      </c>
      <c r="J210" s="55">
        <v>46177</v>
      </c>
      <c r="K210" s="55">
        <v>46204</v>
      </c>
      <c r="L210" s="55"/>
      <c r="M210" s="55"/>
      <c r="O210" s="3" t="s">
        <v>9</v>
      </c>
      <c r="R210" s="181"/>
    </row>
    <row r="211" spans="1:18" ht="15" customHeight="1">
      <c r="A211" s="177" t="s">
        <v>117</v>
      </c>
      <c r="B211" s="177"/>
      <c r="C211" s="213">
        <v>152603375</v>
      </c>
      <c r="F211" s="29" t="s">
        <v>62</v>
      </c>
      <c r="G211" s="3" t="s">
        <v>65</v>
      </c>
      <c r="H211" s="3" t="s">
        <v>30</v>
      </c>
      <c r="I211" s="55">
        <v>46174</v>
      </c>
      <c r="J211" s="55">
        <v>46177</v>
      </c>
      <c r="K211" s="55">
        <v>46204</v>
      </c>
      <c r="L211" s="55"/>
      <c r="M211" s="55"/>
      <c r="O211" s="3" t="s">
        <v>9</v>
      </c>
      <c r="R211" s="181"/>
    </row>
    <row r="212" spans="1:18" ht="15" customHeight="1">
      <c r="A212" s="177" t="s">
        <v>117</v>
      </c>
      <c r="B212" s="177"/>
      <c r="C212" s="213">
        <v>152603411</v>
      </c>
      <c r="F212" s="29" t="s">
        <v>62</v>
      </c>
      <c r="G212" s="3" t="s">
        <v>65</v>
      </c>
      <c r="H212" s="3" t="s">
        <v>30</v>
      </c>
      <c r="I212" s="55">
        <v>46174</v>
      </c>
      <c r="J212" s="55">
        <v>46177</v>
      </c>
      <c r="K212" s="55">
        <v>46204</v>
      </c>
      <c r="L212" s="55"/>
      <c r="M212" s="55"/>
      <c r="O212" s="3" t="s">
        <v>9</v>
      </c>
      <c r="R212" s="181"/>
    </row>
    <row r="213" spans="1:18" ht="15" customHeight="1">
      <c r="A213" s="177" t="s">
        <v>117</v>
      </c>
      <c r="B213" s="177"/>
      <c r="C213" s="213">
        <v>152603428</v>
      </c>
      <c r="F213" s="29" t="s">
        <v>62</v>
      </c>
      <c r="G213" s="3" t="s">
        <v>65</v>
      </c>
      <c r="H213" s="3" t="s">
        <v>30</v>
      </c>
      <c r="I213" s="55">
        <v>46174</v>
      </c>
      <c r="J213" s="55">
        <v>46177</v>
      </c>
      <c r="K213" s="55">
        <v>46204</v>
      </c>
      <c r="L213" s="55"/>
      <c r="M213" s="55"/>
      <c r="O213" s="3" t="s">
        <v>9</v>
      </c>
      <c r="R213" s="181"/>
    </row>
    <row r="214" spans="1:18" ht="15" customHeight="1">
      <c r="A214" s="177" t="s">
        <v>118</v>
      </c>
      <c r="B214" s="177"/>
      <c r="C214" s="213">
        <v>149605638</v>
      </c>
      <c r="F214" s="29" t="s">
        <v>108</v>
      </c>
      <c r="G214" s="3" t="s">
        <v>65</v>
      </c>
      <c r="H214" s="3" t="s">
        <v>109</v>
      </c>
      <c r="I214" s="55">
        <v>46171</v>
      </c>
      <c r="J214" s="55">
        <v>46175</v>
      </c>
      <c r="K214" s="55">
        <v>46202</v>
      </c>
      <c r="L214" s="55"/>
      <c r="M214" s="55"/>
      <c r="O214" s="3" t="s">
        <v>10</v>
      </c>
      <c r="P214" s="55">
        <v>46182</v>
      </c>
      <c r="R214" s="181"/>
    </row>
    <row r="215" spans="1:18" ht="15" customHeight="1">
      <c r="A215" s="177" t="s">
        <v>118</v>
      </c>
      <c r="B215" s="177"/>
      <c r="C215" s="213">
        <v>149605666</v>
      </c>
      <c r="F215" s="29" t="s">
        <v>108</v>
      </c>
      <c r="G215" s="3" t="s">
        <v>65</v>
      </c>
      <c r="H215" s="3" t="s">
        <v>109</v>
      </c>
      <c r="I215" s="55">
        <v>46171</v>
      </c>
      <c r="J215" s="55">
        <v>46175</v>
      </c>
      <c r="K215" s="55">
        <v>46202</v>
      </c>
      <c r="L215" s="55"/>
      <c r="M215" s="55"/>
      <c r="O215" s="3" t="s">
        <v>10</v>
      </c>
      <c r="P215" s="55">
        <v>46181</v>
      </c>
      <c r="R215" s="181"/>
    </row>
    <row r="216" spans="1:18" ht="15" customHeight="1">
      <c r="A216" s="177" t="s">
        <v>118</v>
      </c>
      <c r="B216" s="177"/>
      <c r="C216" s="213">
        <v>149605712</v>
      </c>
      <c r="F216" s="29" t="s">
        <v>108</v>
      </c>
      <c r="G216" s="3" t="s">
        <v>65</v>
      </c>
      <c r="H216" s="3" t="s">
        <v>109</v>
      </c>
      <c r="I216" s="55">
        <v>46171</v>
      </c>
      <c r="J216" s="55">
        <v>46175</v>
      </c>
      <c r="K216" s="55">
        <v>46202</v>
      </c>
      <c r="L216" s="55"/>
      <c r="M216" s="55"/>
      <c r="O216" s="3" t="s">
        <v>10</v>
      </c>
      <c r="P216" s="55">
        <v>46181</v>
      </c>
      <c r="R216" s="181"/>
    </row>
    <row r="217" spans="1:18" ht="15" customHeight="1">
      <c r="A217" s="177" t="s">
        <v>118</v>
      </c>
      <c r="B217" s="177"/>
      <c r="C217" s="213">
        <v>149605734</v>
      </c>
      <c r="F217" s="29" t="s">
        <v>108</v>
      </c>
      <c r="G217" s="3" t="s">
        <v>65</v>
      </c>
      <c r="H217" s="3" t="s">
        <v>109</v>
      </c>
      <c r="I217" s="55">
        <v>46171</v>
      </c>
      <c r="J217" s="55">
        <v>46175</v>
      </c>
      <c r="K217" s="55">
        <v>46202</v>
      </c>
      <c r="L217" s="55"/>
      <c r="M217" s="55"/>
      <c r="O217" s="3" t="s">
        <v>10</v>
      </c>
      <c r="P217" s="55">
        <v>46182</v>
      </c>
      <c r="R217" s="181"/>
    </row>
    <row r="218" spans="1:18" ht="15" customHeight="1">
      <c r="A218" s="177" t="s">
        <v>118</v>
      </c>
      <c r="B218" s="177"/>
      <c r="C218" s="213">
        <v>149605753</v>
      </c>
      <c r="F218" s="29" t="s">
        <v>108</v>
      </c>
      <c r="G218" s="3" t="s">
        <v>65</v>
      </c>
      <c r="H218" s="3" t="s">
        <v>109</v>
      </c>
      <c r="I218" s="55">
        <v>46171</v>
      </c>
      <c r="J218" s="55">
        <v>46175</v>
      </c>
      <c r="K218" s="55">
        <v>46202</v>
      </c>
      <c r="L218" s="55"/>
      <c r="M218" s="55"/>
      <c r="O218" s="3" t="s">
        <v>10</v>
      </c>
      <c r="P218" s="55">
        <v>46182</v>
      </c>
      <c r="R218" s="181"/>
    </row>
    <row r="219" spans="1:18" ht="15" customHeight="1">
      <c r="A219" s="177" t="s">
        <v>118</v>
      </c>
      <c r="B219" s="177"/>
      <c r="C219" s="213">
        <v>149605799</v>
      </c>
      <c r="F219" s="29" t="s">
        <v>108</v>
      </c>
      <c r="G219" s="3" t="s">
        <v>65</v>
      </c>
      <c r="H219" s="3" t="s">
        <v>109</v>
      </c>
      <c r="I219" s="55">
        <v>46171</v>
      </c>
      <c r="J219" s="55">
        <v>46175</v>
      </c>
      <c r="K219" s="55">
        <v>46202</v>
      </c>
      <c r="L219" s="55"/>
      <c r="M219" s="55"/>
      <c r="O219" s="3" t="s">
        <v>10</v>
      </c>
      <c r="P219" s="55">
        <v>46182</v>
      </c>
      <c r="R219" s="181"/>
    </row>
    <row r="220" spans="1:18" ht="15" customHeight="1">
      <c r="A220" s="177" t="s">
        <v>118</v>
      </c>
      <c r="B220" s="177"/>
      <c r="C220" s="213">
        <v>149605824</v>
      </c>
      <c r="F220" s="29" t="s">
        <v>108</v>
      </c>
      <c r="G220" s="3" t="s">
        <v>65</v>
      </c>
      <c r="H220" s="3" t="s">
        <v>109</v>
      </c>
      <c r="I220" s="55">
        <v>46171</v>
      </c>
      <c r="J220" s="55">
        <v>46175</v>
      </c>
      <c r="K220" s="55">
        <v>46202</v>
      </c>
      <c r="L220" s="55"/>
      <c r="M220" s="55"/>
      <c r="O220" s="3" t="s">
        <v>10</v>
      </c>
      <c r="P220" s="55">
        <v>46182</v>
      </c>
      <c r="R220" s="181"/>
    </row>
    <row r="221" spans="1:18" ht="15" customHeight="1">
      <c r="A221" s="177" t="s">
        <v>118</v>
      </c>
      <c r="B221" s="177"/>
      <c r="C221" s="213">
        <v>149605889</v>
      </c>
      <c r="F221" s="29" t="s">
        <v>108</v>
      </c>
      <c r="G221" s="3" t="s">
        <v>65</v>
      </c>
      <c r="H221" s="3" t="s">
        <v>109</v>
      </c>
      <c r="I221" s="55">
        <v>46171</v>
      </c>
      <c r="J221" s="55">
        <v>46175</v>
      </c>
      <c r="K221" s="55">
        <v>46202</v>
      </c>
      <c r="L221" s="55"/>
      <c r="M221" s="55"/>
      <c r="O221" s="3" t="s">
        <v>10</v>
      </c>
      <c r="P221" s="55">
        <v>46183</v>
      </c>
      <c r="R221" s="181"/>
    </row>
    <row r="222" spans="1:18" ht="15" customHeight="1">
      <c r="A222" s="177" t="s">
        <v>119</v>
      </c>
      <c r="B222" s="177"/>
      <c r="C222" s="213">
        <v>149605911</v>
      </c>
      <c r="F222" s="29" t="s">
        <v>108</v>
      </c>
      <c r="G222" s="3" t="s">
        <v>65</v>
      </c>
      <c r="H222" s="3" t="s">
        <v>109</v>
      </c>
      <c r="I222" s="55">
        <v>46171</v>
      </c>
      <c r="J222" s="55">
        <v>46175</v>
      </c>
      <c r="K222" s="55">
        <v>46202</v>
      </c>
      <c r="L222" s="55"/>
      <c r="M222" s="55"/>
      <c r="O222" s="3" t="s">
        <v>10</v>
      </c>
      <c r="P222" s="55">
        <v>46183</v>
      </c>
      <c r="R222" s="181"/>
    </row>
    <row r="223" spans="1:18" ht="15" customHeight="1">
      <c r="A223" s="177" t="s">
        <v>119</v>
      </c>
      <c r="B223" s="177"/>
      <c r="C223" s="213">
        <v>149605929</v>
      </c>
      <c r="F223" s="29" t="s">
        <v>108</v>
      </c>
      <c r="G223" s="3" t="s">
        <v>65</v>
      </c>
      <c r="H223" s="3" t="s">
        <v>109</v>
      </c>
      <c r="I223" s="55">
        <v>46171</v>
      </c>
      <c r="J223" s="55">
        <v>46175</v>
      </c>
      <c r="K223" s="55">
        <v>46202</v>
      </c>
      <c r="L223" s="55"/>
      <c r="M223" s="55"/>
      <c r="O223" s="3" t="s">
        <v>10</v>
      </c>
      <c r="P223" s="55">
        <v>46184</v>
      </c>
      <c r="R223" s="181"/>
    </row>
    <row r="224" spans="1:18" ht="15" customHeight="1">
      <c r="A224" s="177" t="s">
        <v>119</v>
      </c>
      <c r="B224" s="177"/>
      <c r="C224" s="213">
        <v>149605941</v>
      </c>
      <c r="F224" s="29" t="s">
        <v>108</v>
      </c>
      <c r="G224" s="3" t="s">
        <v>65</v>
      </c>
      <c r="H224" s="3" t="s">
        <v>109</v>
      </c>
      <c r="I224" s="55">
        <v>46171</v>
      </c>
      <c r="J224" s="55">
        <v>46175</v>
      </c>
      <c r="K224" s="55">
        <v>46202</v>
      </c>
      <c r="L224" s="55"/>
      <c r="M224" s="55"/>
      <c r="O224" s="3" t="s">
        <v>9</v>
      </c>
      <c r="R224" s="181"/>
    </row>
    <row r="225" spans="1:18" ht="15" customHeight="1">
      <c r="A225" s="177" t="s">
        <v>119</v>
      </c>
      <c r="B225" s="177"/>
      <c r="C225" s="213">
        <v>149605974</v>
      </c>
      <c r="F225" s="29" t="s">
        <v>108</v>
      </c>
      <c r="G225" s="3" t="s">
        <v>65</v>
      </c>
      <c r="H225" s="3" t="s">
        <v>109</v>
      </c>
      <c r="I225" s="55">
        <v>46171</v>
      </c>
      <c r="J225" s="55">
        <v>46175</v>
      </c>
      <c r="K225" s="55">
        <v>46202</v>
      </c>
      <c r="L225" s="55"/>
      <c r="M225" s="55"/>
      <c r="O225" s="3" t="s">
        <v>10</v>
      </c>
      <c r="P225" s="55">
        <v>46184</v>
      </c>
      <c r="R225" s="181"/>
    </row>
    <row r="226" spans="1:18" ht="15" customHeight="1">
      <c r="A226" s="177" t="s">
        <v>120</v>
      </c>
      <c r="B226" s="177"/>
      <c r="C226" s="213">
        <v>152610523</v>
      </c>
      <c r="F226" s="29" t="s">
        <v>108</v>
      </c>
      <c r="G226" s="3" t="s">
        <v>65</v>
      </c>
      <c r="H226" s="3" t="s">
        <v>109</v>
      </c>
      <c r="I226" s="55">
        <v>46174</v>
      </c>
      <c r="J226" s="55">
        <v>46177</v>
      </c>
      <c r="K226" s="55">
        <v>46204</v>
      </c>
      <c r="L226" s="55"/>
      <c r="M226" s="55"/>
      <c r="O226" s="3" t="s">
        <v>9</v>
      </c>
      <c r="R226" s="181"/>
    </row>
    <row r="227" spans="1:18" ht="15" customHeight="1">
      <c r="A227" s="177" t="s">
        <v>120</v>
      </c>
      <c r="B227" s="177"/>
      <c r="C227" s="213">
        <v>152610766</v>
      </c>
      <c r="F227" s="29" t="s">
        <v>108</v>
      </c>
      <c r="G227" s="3" t="s">
        <v>65</v>
      </c>
      <c r="H227" s="3" t="s">
        <v>109</v>
      </c>
      <c r="I227" s="55">
        <v>46174</v>
      </c>
      <c r="J227" s="55">
        <v>46177</v>
      </c>
      <c r="K227" s="55">
        <v>46204</v>
      </c>
      <c r="L227" s="55"/>
      <c r="M227" s="55"/>
      <c r="O227" s="3" t="s">
        <v>9</v>
      </c>
      <c r="R227" s="181"/>
    </row>
    <row r="228" spans="1:18" ht="15" customHeight="1">
      <c r="A228" s="177" t="s">
        <v>120</v>
      </c>
      <c r="B228" s="177"/>
      <c r="C228" s="213">
        <v>152609726</v>
      </c>
      <c r="F228" s="29" t="s">
        <v>108</v>
      </c>
      <c r="G228" s="3" t="s">
        <v>65</v>
      </c>
      <c r="H228" s="3" t="s">
        <v>109</v>
      </c>
      <c r="I228" s="55">
        <v>46174</v>
      </c>
      <c r="J228" s="55">
        <v>46177</v>
      </c>
      <c r="K228" s="55">
        <v>46204</v>
      </c>
      <c r="L228" s="55"/>
      <c r="M228" s="55"/>
      <c r="O228" s="3" t="s">
        <v>9</v>
      </c>
      <c r="R228" s="181"/>
    </row>
    <row r="229" spans="1:18" ht="15" customHeight="1">
      <c r="A229" s="177" t="s">
        <v>120</v>
      </c>
      <c r="B229" s="177"/>
      <c r="C229" s="213">
        <v>152609673</v>
      </c>
      <c r="F229" s="29" t="s">
        <v>108</v>
      </c>
      <c r="G229" s="3" t="s">
        <v>65</v>
      </c>
      <c r="H229" s="3" t="s">
        <v>109</v>
      </c>
      <c r="I229" s="55">
        <v>46174</v>
      </c>
      <c r="J229" s="55">
        <v>46177</v>
      </c>
      <c r="K229" s="55">
        <v>46204</v>
      </c>
      <c r="L229" s="55"/>
      <c r="M229" s="55"/>
      <c r="O229" s="3" t="s">
        <v>10</v>
      </c>
      <c r="P229" s="55">
        <v>46188</v>
      </c>
      <c r="R229" s="181"/>
    </row>
    <row r="230" spans="1:18" ht="15" customHeight="1">
      <c r="A230" s="177" t="s">
        <v>120</v>
      </c>
      <c r="B230" s="177"/>
      <c r="C230" s="213">
        <v>152608041</v>
      </c>
      <c r="F230" s="29" t="s">
        <v>108</v>
      </c>
      <c r="G230" s="3" t="s">
        <v>65</v>
      </c>
      <c r="H230" s="3" t="s">
        <v>109</v>
      </c>
      <c r="I230" s="55">
        <v>46174</v>
      </c>
      <c r="J230" s="55">
        <v>46177</v>
      </c>
      <c r="K230" s="55">
        <v>46204</v>
      </c>
      <c r="L230" s="55"/>
      <c r="M230" s="55"/>
      <c r="O230" s="3" t="s">
        <v>9</v>
      </c>
      <c r="R230" s="181"/>
    </row>
    <row r="231" spans="1:18" ht="15" customHeight="1">
      <c r="A231" s="177" t="s">
        <v>121</v>
      </c>
      <c r="B231" s="177"/>
      <c r="C231" s="213">
        <v>154602583</v>
      </c>
      <c r="F231" s="29" t="s">
        <v>64</v>
      </c>
      <c r="G231" s="3" t="s">
        <v>65</v>
      </c>
      <c r="H231" s="3" t="s">
        <v>30</v>
      </c>
      <c r="I231" s="55">
        <v>46176</v>
      </c>
      <c r="J231" s="55">
        <v>46179</v>
      </c>
      <c r="K231" s="55">
        <v>46206</v>
      </c>
      <c r="O231" s="3" t="s">
        <v>10</v>
      </c>
      <c r="P231" s="55">
        <v>46183</v>
      </c>
      <c r="Q231" s="167" t="s">
        <v>122</v>
      </c>
      <c r="R231" s="181"/>
    </row>
    <row r="232" spans="1:18" ht="15" customHeight="1">
      <c r="A232" s="180" t="s">
        <v>123</v>
      </c>
      <c r="B232" s="180"/>
      <c r="C232" s="213">
        <v>154601048</v>
      </c>
      <c r="F232" s="29" t="s">
        <v>108</v>
      </c>
      <c r="G232" s="3" t="s">
        <v>65</v>
      </c>
      <c r="H232" s="3" t="s">
        <v>109</v>
      </c>
      <c r="I232" s="55">
        <v>46176</v>
      </c>
      <c r="J232" s="55">
        <v>46179</v>
      </c>
      <c r="K232" s="55">
        <v>46206</v>
      </c>
      <c r="O232" s="3" t="s">
        <v>9</v>
      </c>
      <c r="R232" s="181"/>
    </row>
    <row r="233" spans="1:18" ht="15" customHeight="1">
      <c r="A233" s="180" t="s">
        <v>123</v>
      </c>
      <c r="B233" s="180"/>
      <c r="C233" s="213">
        <v>154601119</v>
      </c>
      <c r="F233" s="29" t="s">
        <v>108</v>
      </c>
      <c r="G233" s="3" t="s">
        <v>65</v>
      </c>
      <c r="H233" s="3" t="s">
        <v>109</v>
      </c>
      <c r="I233" s="55">
        <v>46176</v>
      </c>
      <c r="J233" s="55">
        <v>46179</v>
      </c>
      <c r="K233" s="55">
        <v>46206</v>
      </c>
      <c r="O233" s="3" t="s">
        <v>9</v>
      </c>
      <c r="R233" s="181"/>
    </row>
    <row r="234" spans="1:18" ht="15" customHeight="1">
      <c r="A234" s="180" t="s">
        <v>123</v>
      </c>
      <c r="B234" s="180"/>
      <c r="C234" s="213">
        <v>154601168</v>
      </c>
      <c r="F234" s="29" t="s">
        <v>108</v>
      </c>
      <c r="G234" s="3" t="s">
        <v>65</v>
      </c>
      <c r="H234" s="3" t="s">
        <v>109</v>
      </c>
      <c r="I234" s="55">
        <v>46176</v>
      </c>
      <c r="J234" s="55">
        <v>46179</v>
      </c>
      <c r="K234" s="55">
        <v>46206</v>
      </c>
      <c r="O234" s="3" t="s">
        <v>9</v>
      </c>
      <c r="R234" s="181"/>
    </row>
    <row r="235" spans="1:18" ht="15" customHeight="1">
      <c r="A235" s="180" t="s">
        <v>123</v>
      </c>
      <c r="B235" s="180"/>
      <c r="C235" s="213">
        <v>154601187</v>
      </c>
      <c r="F235" s="29" t="s">
        <v>108</v>
      </c>
      <c r="G235" s="3" t="s">
        <v>65</v>
      </c>
      <c r="H235" s="3" t="s">
        <v>109</v>
      </c>
      <c r="I235" s="55">
        <v>46176</v>
      </c>
      <c r="J235" s="55">
        <v>46179</v>
      </c>
      <c r="K235" s="55">
        <v>46206</v>
      </c>
      <c r="O235" s="3" t="s">
        <v>9</v>
      </c>
      <c r="R235" s="181"/>
    </row>
    <row r="236" spans="1:18" ht="15" customHeight="1">
      <c r="A236" s="180" t="s">
        <v>123</v>
      </c>
      <c r="B236" s="180"/>
      <c r="C236" s="213">
        <v>154601241</v>
      </c>
      <c r="F236" s="29" t="s">
        <v>108</v>
      </c>
      <c r="G236" s="3" t="s">
        <v>65</v>
      </c>
      <c r="H236" s="3" t="s">
        <v>109</v>
      </c>
      <c r="I236" s="55">
        <v>46176</v>
      </c>
      <c r="J236" s="55">
        <v>46179</v>
      </c>
      <c r="K236" s="55">
        <v>46206</v>
      </c>
      <c r="O236" s="3" t="s">
        <v>9</v>
      </c>
      <c r="R236" s="181"/>
    </row>
    <row r="237" spans="1:18" ht="15" customHeight="1">
      <c r="A237" s="180" t="s">
        <v>123</v>
      </c>
      <c r="B237" s="180"/>
      <c r="C237" s="213">
        <v>154601267</v>
      </c>
      <c r="F237" s="29" t="s">
        <v>108</v>
      </c>
      <c r="G237" s="3" t="s">
        <v>65</v>
      </c>
      <c r="H237" s="3" t="s">
        <v>109</v>
      </c>
      <c r="I237" s="55">
        <v>46176</v>
      </c>
      <c r="J237" s="55">
        <v>46179</v>
      </c>
      <c r="K237" s="55">
        <v>46206</v>
      </c>
      <c r="O237" s="3" t="s">
        <v>9</v>
      </c>
      <c r="R237" s="181"/>
    </row>
    <row r="238" spans="1:18" ht="15" customHeight="1">
      <c r="A238" s="180" t="s">
        <v>123</v>
      </c>
      <c r="B238" s="180"/>
      <c r="C238" s="213">
        <v>154601307</v>
      </c>
      <c r="F238" s="29" t="s">
        <v>108</v>
      </c>
      <c r="G238" s="3" t="s">
        <v>65</v>
      </c>
      <c r="H238" s="3" t="s">
        <v>109</v>
      </c>
      <c r="I238" s="55">
        <v>46176</v>
      </c>
      <c r="J238" s="55">
        <v>46179</v>
      </c>
      <c r="K238" s="55">
        <v>46206</v>
      </c>
      <c r="O238" s="3" t="s">
        <v>9</v>
      </c>
      <c r="R238" s="181"/>
    </row>
    <row r="239" spans="1:18" ht="15" customHeight="1">
      <c r="A239" s="180" t="s">
        <v>123</v>
      </c>
      <c r="B239" s="180"/>
      <c r="C239" s="213">
        <v>154601333</v>
      </c>
      <c r="F239" s="29" t="s">
        <v>108</v>
      </c>
      <c r="G239" s="3" t="s">
        <v>65</v>
      </c>
      <c r="H239" s="3" t="s">
        <v>109</v>
      </c>
      <c r="I239" s="55">
        <v>46176</v>
      </c>
      <c r="J239" s="55">
        <v>46179</v>
      </c>
      <c r="K239" s="55">
        <v>46206</v>
      </c>
      <c r="O239" s="3" t="s">
        <v>9</v>
      </c>
      <c r="R239" s="181"/>
    </row>
    <row r="240" spans="1:18" ht="15" customHeight="1">
      <c r="A240" s="177" t="s">
        <v>123</v>
      </c>
      <c r="B240" s="177"/>
      <c r="C240" s="213">
        <v>154601621</v>
      </c>
      <c r="F240" s="29" t="s">
        <v>108</v>
      </c>
      <c r="G240" s="3" t="s">
        <v>65</v>
      </c>
      <c r="H240" s="3" t="s">
        <v>109</v>
      </c>
      <c r="I240" s="55">
        <v>46176</v>
      </c>
      <c r="J240" s="55">
        <v>46179</v>
      </c>
      <c r="K240" s="55">
        <v>46206</v>
      </c>
      <c r="O240" s="3" t="s">
        <v>9</v>
      </c>
      <c r="R240" s="181"/>
    </row>
    <row r="241" spans="1:18" ht="15" customHeight="1">
      <c r="A241" s="177" t="s">
        <v>123</v>
      </c>
      <c r="B241" s="177"/>
      <c r="C241" s="213">
        <v>154601655</v>
      </c>
      <c r="F241" s="29" t="s">
        <v>108</v>
      </c>
      <c r="G241" s="3" t="s">
        <v>65</v>
      </c>
      <c r="H241" s="3" t="s">
        <v>109</v>
      </c>
      <c r="I241" s="55">
        <v>46176</v>
      </c>
      <c r="J241" s="55">
        <v>46179</v>
      </c>
      <c r="K241" s="55">
        <v>46206</v>
      </c>
      <c r="O241" s="3" t="s">
        <v>9</v>
      </c>
      <c r="R241" s="181"/>
    </row>
    <row r="242" spans="1:18" ht="15" customHeight="1">
      <c r="A242" s="177" t="s">
        <v>123</v>
      </c>
      <c r="B242" s="177"/>
      <c r="C242" s="213">
        <v>154601680</v>
      </c>
      <c r="F242" s="29" t="s">
        <v>108</v>
      </c>
      <c r="G242" s="3" t="s">
        <v>65</v>
      </c>
      <c r="H242" s="3" t="s">
        <v>109</v>
      </c>
      <c r="I242" s="55">
        <v>46176</v>
      </c>
      <c r="J242" s="55">
        <v>46179</v>
      </c>
      <c r="K242" s="55">
        <v>46206</v>
      </c>
      <c r="O242" s="3" t="s">
        <v>9</v>
      </c>
      <c r="R242" s="181"/>
    </row>
    <row r="243" spans="1:18" ht="15" customHeight="1">
      <c r="A243" s="177" t="s">
        <v>124</v>
      </c>
      <c r="B243" s="177"/>
      <c r="C243" s="213">
        <v>154601794</v>
      </c>
      <c r="F243" s="29" t="s">
        <v>108</v>
      </c>
      <c r="G243" s="3" t="s">
        <v>65</v>
      </c>
      <c r="H243" s="3" t="s">
        <v>109</v>
      </c>
      <c r="I243" s="55">
        <v>46176</v>
      </c>
      <c r="J243" s="55">
        <v>46179</v>
      </c>
      <c r="K243" s="55">
        <v>46206</v>
      </c>
      <c r="O243" s="3" t="s">
        <v>9</v>
      </c>
      <c r="R243" s="181"/>
    </row>
    <row r="244" spans="1:18" ht="15" customHeight="1">
      <c r="A244" s="177" t="s">
        <v>124</v>
      </c>
      <c r="B244" s="177"/>
      <c r="C244" s="213">
        <v>154601884</v>
      </c>
      <c r="F244" s="29" t="s">
        <v>108</v>
      </c>
      <c r="G244" s="3" t="s">
        <v>65</v>
      </c>
      <c r="H244" s="3" t="s">
        <v>109</v>
      </c>
      <c r="I244" s="55">
        <v>46176</v>
      </c>
      <c r="J244" s="55">
        <v>46179</v>
      </c>
      <c r="K244" s="55">
        <v>46206</v>
      </c>
      <c r="O244" s="3" t="s">
        <v>9</v>
      </c>
      <c r="R244" s="181"/>
    </row>
    <row r="245" spans="1:18" ht="15" customHeight="1">
      <c r="A245" s="177" t="s">
        <v>124</v>
      </c>
      <c r="B245" s="177"/>
      <c r="C245" s="213">
        <v>154601907</v>
      </c>
      <c r="F245" s="29" t="s">
        <v>108</v>
      </c>
      <c r="G245" s="3" t="s">
        <v>65</v>
      </c>
      <c r="H245" s="3" t="s">
        <v>109</v>
      </c>
      <c r="I245" s="55">
        <v>46176</v>
      </c>
      <c r="J245" s="55">
        <v>46179</v>
      </c>
      <c r="K245" s="55">
        <v>46206</v>
      </c>
      <c r="O245" s="3" t="s">
        <v>9</v>
      </c>
      <c r="R245" s="181"/>
    </row>
    <row r="246" spans="1:18" ht="15" customHeight="1">
      <c r="A246" s="177" t="s">
        <v>124</v>
      </c>
      <c r="B246" s="177"/>
      <c r="C246" s="213">
        <v>154601923</v>
      </c>
      <c r="F246" s="29" t="s">
        <v>108</v>
      </c>
      <c r="G246" s="3" t="s">
        <v>65</v>
      </c>
      <c r="H246" s="3" t="s">
        <v>109</v>
      </c>
      <c r="I246" s="55">
        <v>46176</v>
      </c>
      <c r="J246" s="55">
        <v>46179</v>
      </c>
      <c r="K246" s="55">
        <v>46206</v>
      </c>
      <c r="O246" s="3" t="s">
        <v>9</v>
      </c>
      <c r="R246" s="181"/>
    </row>
    <row r="247" spans="1:18" ht="15" customHeight="1">
      <c r="A247" s="177" t="s">
        <v>124</v>
      </c>
      <c r="B247" s="177"/>
      <c r="C247" s="213">
        <v>154601944</v>
      </c>
      <c r="F247" s="29" t="s">
        <v>108</v>
      </c>
      <c r="G247" s="3" t="s">
        <v>65</v>
      </c>
      <c r="H247" s="3" t="s">
        <v>109</v>
      </c>
      <c r="I247" s="55">
        <v>46176</v>
      </c>
      <c r="J247" s="55">
        <v>46179</v>
      </c>
      <c r="K247" s="55">
        <v>46206</v>
      </c>
      <c r="O247" s="3" t="s">
        <v>9</v>
      </c>
      <c r="R247" s="181"/>
    </row>
    <row r="248" spans="1:18" ht="15" customHeight="1">
      <c r="A248" s="177" t="s">
        <v>124</v>
      </c>
      <c r="B248" s="177"/>
      <c r="C248" s="213">
        <v>154601971</v>
      </c>
      <c r="F248" s="29" t="s">
        <v>108</v>
      </c>
      <c r="G248" s="3" t="s">
        <v>65</v>
      </c>
      <c r="H248" s="3" t="s">
        <v>109</v>
      </c>
      <c r="I248" s="55">
        <v>46176</v>
      </c>
      <c r="J248" s="55">
        <v>46179</v>
      </c>
      <c r="K248" s="55">
        <v>46206</v>
      </c>
      <c r="O248" s="3" t="s">
        <v>9</v>
      </c>
      <c r="R248" s="181"/>
    </row>
    <row r="249" spans="1:18" ht="15" customHeight="1">
      <c r="A249" s="177" t="s">
        <v>124</v>
      </c>
      <c r="B249" s="177"/>
      <c r="C249" s="213">
        <v>154601994</v>
      </c>
      <c r="F249" s="29" t="s">
        <v>108</v>
      </c>
      <c r="G249" s="3" t="s">
        <v>65</v>
      </c>
      <c r="H249" s="3" t="s">
        <v>109</v>
      </c>
      <c r="I249" s="55">
        <v>46176</v>
      </c>
      <c r="J249" s="55">
        <v>46179</v>
      </c>
      <c r="K249" s="55">
        <v>46206</v>
      </c>
      <c r="O249" s="3" t="s">
        <v>9</v>
      </c>
      <c r="R249" s="181"/>
    </row>
    <row r="250" spans="1:18" ht="15" customHeight="1">
      <c r="A250" s="177" t="s">
        <v>124</v>
      </c>
      <c r="B250" s="177"/>
      <c r="C250" s="213">
        <v>154602019</v>
      </c>
      <c r="F250" s="29" t="s">
        <v>108</v>
      </c>
      <c r="G250" s="3" t="s">
        <v>65</v>
      </c>
      <c r="H250" s="3" t="s">
        <v>109</v>
      </c>
      <c r="I250" s="55">
        <v>46176</v>
      </c>
      <c r="J250" s="55">
        <v>46179</v>
      </c>
      <c r="K250" s="55">
        <v>46206</v>
      </c>
      <c r="O250" s="3" t="s">
        <v>9</v>
      </c>
      <c r="R250" s="181"/>
    </row>
    <row r="251" spans="1:18" ht="15" customHeight="1">
      <c r="A251" s="177" t="s">
        <v>124</v>
      </c>
      <c r="B251" s="177"/>
      <c r="C251" s="213">
        <v>154602039</v>
      </c>
      <c r="F251" s="29" t="s">
        <v>108</v>
      </c>
      <c r="G251" s="3" t="s">
        <v>65</v>
      </c>
      <c r="H251" s="3" t="s">
        <v>109</v>
      </c>
      <c r="I251" s="55">
        <v>46176</v>
      </c>
      <c r="J251" s="55">
        <v>46179</v>
      </c>
      <c r="K251" s="55">
        <v>46206</v>
      </c>
      <c r="O251" s="3" t="s">
        <v>9</v>
      </c>
      <c r="R251" s="181"/>
    </row>
    <row r="252" spans="1:18" ht="15" customHeight="1">
      <c r="A252" s="177" t="s">
        <v>124</v>
      </c>
      <c r="B252" s="177"/>
      <c r="C252" s="213">
        <v>154602070</v>
      </c>
      <c r="F252" s="29" t="s">
        <v>108</v>
      </c>
      <c r="G252" s="3" t="s">
        <v>65</v>
      </c>
      <c r="H252" s="3" t="s">
        <v>109</v>
      </c>
      <c r="I252" s="55">
        <v>46176</v>
      </c>
      <c r="J252" s="55">
        <v>46179</v>
      </c>
      <c r="K252" s="55">
        <v>46206</v>
      </c>
      <c r="O252" s="3" t="s">
        <v>9</v>
      </c>
      <c r="R252" s="181"/>
    </row>
    <row r="253" spans="1:18" ht="15" customHeight="1">
      <c r="A253" s="177" t="s">
        <v>124</v>
      </c>
      <c r="B253" s="177"/>
      <c r="C253" s="213">
        <v>154602111</v>
      </c>
      <c r="F253" s="29" t="s">
        <v>108</v>
      </c>
      <c r="G253" s="3" t="s">
        <v>65</v>
      </c>
      <c r="H253" s="3" t="s">
        <v>109</v>
      </c>
      <c r="I253" s="55">
        <v>46176</v>
      </c>
      <c r="J253" s="55">
        <v>46179</v>
      </c>
      <c r="K253" s="55">
        <v>46206</v>
      </c>
      <c r="O253" s="3" t="s">
        <v>9</v>
      </c>
      <c r="R253" s="181"/>
    </row>
    <row r="254" spans="1:18" ht="15" customHeight="1">
      <c r="A254" s="177" t="s">
        <v>125</v>
      </c>
      <c r="B254" s="177"/>
      <c r="C254" s="213">
        <v>154602163</v>
      </c>
      <c r="F254" s="29" t="s">
        <v>108</v>
      </c>
      <c r="G254" s="3" t="s">
        <v>65</v>
      </c>
      <c r="H254" s="3" t="s">
        <v>109</v>
      </c>
      <c r="I254" s="55">
        <v>46176</v>
      </c>
      <c r="J254" s="55">
        <v>46179</v>
      </c>
      <c r="K254" s="55">
        <v>46206</v>
      </c>
      <c r="O254" s="3" t="s">
        <v>9</v>
      </c>
      <c r="R254" s="181"/>
    </row>
    <row r="255" spans="1:18" ht="15" customHeight="1">
      <c r="A255" s="177" t="s">
        <v>125</v>
      </c>
      <c r="B255" s="177"/>
      <c r="C255" s="213">
        <v>154602181</v>
      </c>
      <c r="F255" s="29" t="s">
        <v>108</v>
      </c>
      <c r="G255" s="3" t="s">
        <v>65</v>
      </c>
      <c r="H255" s="3" t="s">
        <v>109</v>
      </c>
      <c r="I255" s="55">
        <v>46176</v>
      </c>
      <c r="J255" s="55">
        <v>46179</v>
      </c>
      <c r="K255" s="55">
        <v>46206</v>
      </c>
      <c r="O255" s="3" t="s">
        <v>9</v>
      </c>
      <c r="R255" s="181"/>
    </row>
    <row r="256" spans="1:18" ht="15" customHeight="1">
      <c r="A256" s="180" t="s">
        <v>125</v>
      </c>
      <c r="B256" s="180"/>
      <c r="C256" s="213">
        <v>154602300</v>
      </c>
      <c r="F256" s="29" t="s">
        <v>108</v>
      </c>
      <c r="G256" s="3" t="s">
        <v>65</v>
      </c>
      <c r="H256" s="3" t="s">
        <v>109</v>
      </c>
      <c r="I256" s="55">
        <v>46176</v>
      </c>
      <c r="J256" s="55">
        <v>46179</v>
      </c>
      <c r="K256" s="55">
        <v>46206</v>
      </c>
      <c r="O256" s="3" t="s">
        <v>9</v>
      </c>
      <c r="R256" s="181"/>
    </row>
    <row r="257" spans="1:18" ht="15" customHeight="1">
      <c r="A257" s="180" t="s">
        <v>125</v>
      </c>
      <c r="B257" s="180"/>
      <c r="C257" s="213">
        <v>154602321</v>
      </c>
      <c r="F257" s="29" t="s">
        <v>108</v>
      </c>
      <c r="G257" s="3" t="s">
        <v>65</v>
      </c>
      <c r="H257" s="3" t="s">
        <v>109</v>
      </c>
      <c r="I257" s="55">
        <v>46176</v>
      </c>
      <c r="J257" s="55">
        <v>46179</v>
      </c>
      <c r="K257" s="55">
        <v>46206</v>
      </c>
      <c r="O257" s="3" t="s">
        <v>9</v>
      </c>
      <c r="R257" s="181"/>
    </row>
    <row r="258" spans="1:18" ht="15" customHeight="1">
      <c r="A258" s="180" t="s">
        <v>125</v>
      </c>
      <c r="B258" s="180"/>
      <c r="C258" s="213">
        <v>154602375</v>
      </c>
      <c r="F258" s="29" t="s">
        <v>108</v>
      </c>
      <c r="G258" s="3" t="s">
        <v>65</v>
      </c>
      <c r="H258" s="3" t="s">
        <v>109</v>
      </c>
      <c r="I258" s="55">
        <v>46176</v>
      </c>
      <c r="J258" s="55">
        <v>46179</v>
      </c>
      <c r="K258" s="55">
        <v>46206</v>
      </c>
      <c r="O258" s="3" t="s">
        <v>9</v>
      </c>
      <c r="R258" s="181"/>
    </row>
    <row r="259" spans="1:18" ht="15" customHeight="1">
      <c r="A259" s="180" t="s">
        <v>125</v>
      </c>
      <c r="B259" s="180"/>
      <c r="C259" s="213">
        <v>154602400</v>
      </c>
      <c r="F259" s="29" t="s">
        <v>108</v>
      </c>
      <c r="G259" s="3" t="s">
        <v>65</v>
      </c>
      <c r="H259" s="3" t="s">
        <v>109</v>
      </c>
      <c r="I259" s="55">
        <v>46176</v>
      </c>
      <c r="J259" s="55">
        <v>46179</v>
      </c>
      <c r="K259" s="55">
        <v>46206</v>
      </c>
      <c r="O259" s="3" t="s">
        <v>9</v>
      </c>
      <c r="R259" s="181"/>
    </row>
    <row r="260" spans="1:18" ht="15" customHeight="1">
      <c r="A260" s="180" t="s">
        <v>125</v>
      </c>
      <c r="B260" s="180"/>
      <c r="C260" s="213">
        <v>154602427</v>
      </c>
      <c r="F260" s="29" t="s">
        <v>108</v>
      </c>
      <c r="G260" s="3" t="s">
        <v>65</v>
      </c>
      <c r="H260" s="3" t="s">
        <v>109</v>
      </c>
      <c r="I260" s="55">
        <v>46176</v>
      </c>
      <c r="J260" s="55">
        <v>46179</v>
      </c>
      <c r="K260" s="55">
        <v>46206</v>
      </c>
      <c r="O260" s="3" t="s">
        <v>9</v>
      </c>
      <c r="R260" s="181"/>
    </row>
    <row r="261" spans="1:18" ht="15" customHeight="1">
      <c r="A261" s="180" t="s">
        <v>125</v>
      </c>
      <c r="B261" s="180"/>
      <c r="C261" s="213">
        <v>154602446</v>
      </c>
      <c r="F261" s="29" t="s">
        <v>108</v>
      </c>
      <c r="G261" s="3" t="s">
        <v>65</v>
      </c>
      <c r="H261" s="3" t="s">
        <v>109</v>
      </c>
      <c r="I261" s="55">
        <v>46176</v>
      </c>
      <c r="J261" s="55">
        <v>46179</v>
      </c>
      <c r="K261" s="55">
        <v>46206</v>
      </c>
      <c r="O261" s="3" t="s">
        <v>9</v>
      </c>
      <c r="R261" s="181"/>
    </row>
    <row r="262" spans="1:18" ht="15" customHeight="1">
      <c r="A262" s="180" t="s">
        <v>125</v>
      </c>
      <c r="B262" s="180"/>
      <c r="C262" s="213">
        <v>154602469</v>
      </c>
      <c r="F262" s="29" t="s">
        <v>108</v>
      </c>
      <c r="G262" s="3" t="s">
        <v>65</v>
      </c>
      <c r="H262" s="3" t="s">
        <v>109</v>
      </c>
      <c r="I262" s="55">
        <v>46176</v>
      </c>
      <c r="J262" s="55">
        <v>46179</v>
      </c>
      <c r="K262" s="55">
        <v>46206</v>
      </c>
      <c r="O262" s="3" t="s">
        <v>9</v>
      </c>
      <c r="R262" s="181"/>
    </row>
    <row r="263" spans="1:18" ht="15" customHeight="1">
      <c r="A263" s="180" t="s">
        <v>125</v>
      </c>
      <c r="B263" s="180"/>
      <c r="C263" s="213">
        <v>154602532</v>
      </c>
      <c r="F263" s="29" t="s">
        <v>108</v>
      </c>
      <c r="G263" s="3" t="s">
        <v>65</v>
      </c>
      <c r="H263" s="3" t="s">
        <v>109</v>
      </c>
      <c r="I263" s="55">
        <v>46176</v>
      </c>
      <c r="J263" s="55">
        <v>46179</v>
      </c>
      <c r="K263" s="55">
        <v>46206</v>
      </c>
      <c r="O263" s="3" t="s">
        <v>9</v>
      </c>
      <c r="R263" s="181"/>
    </row>
    <row r="264" spans="1:18" ht="15" customHeight="1">
      <c r="A264" s="177" t="s">
        <v>125</v>
      </c>
      <c r="B264" s="177"/>
      <c r="C264" s="213">
        <v>154602585</v>
      </c>
      <c r="F264" s="29" t="s">
        <v>108</v>
      </c>
      <c r="G264" s="3" t="s">
        <v>65</v>
      </c>
      <c r="H264" s="3" t="s">
        <v>109</v>
      </c>
      <c r="I264" s="55">
        <v>46176</v>
      </c>
      <c r="J264" s="55">
        <v>46179</v>
      </c>
      <c r="K264" s="55">
        <v>46206</v>
      </c>
      <c r="O264" s="3" t="s">
        <v>9</v>
      </c>
      <c r="R264" s="181"/>
    </row>
    <row r="265" spans="1:18" ht="15" customHeight="1">
      <c r="A265" s="177" t="s">
        <v>125</v>
      </c>
      <c r="B265" s="177"/>
      <c r="C265" s="213">
        <v>154602624</v>
      </c>
      <c r="F265" s="29" t="s">
        <v>108</v>
      </c>
      <c r="G265" s="3" t="s">
        <v>65</v>
      </c>
      <c r="H265" s="3" t="s">
        <v>109</v>
      </c>
      <c r="I265" s="55">
        <v>46176</v>
      </c>
      <c r="J265" s="55">
        <v>46179</v>
      </c>
      <c r="K265" s="55">
        <v>46206</v>
      </c>
      <c r="O265" s="3" t="s">
        <v>9</v>
      </c>
      <c r="R265" s="181"/>
    </row>
    <row r="266" spans="1:18" ht="15" customHeight="1">
      <c r="A266" s="177" t="s">
        <v>125</v>
      </c>
      <c r="B266" s="177"/>
      <c r="C266" s="213">
        <v>154602668</v>
      </c>
      <c r="F266" s="29" t="s">
        <v>108</v>
      </c>
      <c r="G266" s="3" t="s">
        <v>65</v>
      </c>
      <c r="H266" s="3" t="s">
        <v>109</v>
      </c>
      <c r="I266" s="55">
        <v>46176</v>
      </c>
      <c r="J266" s="55">
        <v>46179</v>
      </c>
      <c r="K266" s="55">
        <v>46206</v>
      </c>
      <c r="O266" s="3" t="s">
        <v>9</v>
      </c>
      <c r="R266" s="181"/>
    </row>
    <row r="267" spans="1:18" ht="15" customHeight="1">
      <c r="A267" s="177" t="s">
        <v>126</v>
      </c>
      <c r="B267" s="177"/>
      <c r="C267" s="213">
        <v>154608232</v>
      </c>
      <c r="F267" s="29" t="s">
        <v>108</v>
      </c>
      <c r="G267" s="3" t="s">
        <v>65</v>
      </c>
      <c r="H267" s="3" t="s">
        <v>109</v>
      </c>
      <c r="I267" s="55">
        <v>46176</v>
      </c>
      <c r="J267" s="55">
        <v>46179</v>
      </c>
      <c r="K267" s="55">
        <v>46206</v>
      </c>
      <c r="O267" s="3" t="s">
        <v>9</v>
      </c>
      <c r="R267" s="181"/>
    </row>
    <row r="268" spans="1:18" ht="15" customHeight="1">
      <c r="A268" s="177" t="s">
        <v>126</v>
      </c>
      <c r="B268" s="177"/>
      <c r="C268" s="213">
        <v>154607886</v>
      </c>
      <c r="F268" s="29" t="s">
        <v>108</v>
      </c>
      <c r="G268" s="3" t="s">
        <v>65</v>
      </c>
      <c r="H268" s="3" t="s">
        <v>109</v>
      </c>
      <c r="I268" s="55">
        <v>46176</v>
      </c>
      <c r="J268" s="55">
        <v>46179</v>
      </c>
      <c r="K268" s="55">
        <v>46206</v>
      </c>
      <c r="O268" s="3" t="s">
        <v>9</v>
      </c>
      <c r="R268" s="181"/>
    </row>
    <row r="269" spans="1:18" ht="15" customHeight="1">
      <c r="A269" s="177" t="s">
        <v>126</v>
      </c>
      <c r="B269" s="177"/>
      <c r="C269" s="213">
        <v>154607798</v>
      </c>
      <c r="F269" s="29" t="s">
        <v>108</v>
      </c>
      <c r="G269" s="3" t="s">
        <v>65</v>
      </c>
      <c r="H269" s="3" t="s">
        <v>109</v>
      </c>
      <c r="I269" s="55">
        <v>46176</v>
      </c>
      <c r="J269" s="55">
        <v>46179</v>
      </c>
      <c r="K269" s="55">
        <v>46206</v>
      </c>
      <c r="O269" s="3" t="s">
        <v>9</v>
      </c>
      <c r="R269" s="181"/>
    </row>
    <row r="270" spans="1:18" ht="15" customHeight="1">
      <c r="A270" s="177" t="s">
        <v>126</v>
      </c>
      <c r="B270" s="177"/>
      <c r="C270" s="213">
        <v>154607775</v>
      </c>
      <c r="F270" s="29" t="s">
        <v>108</v>
      </c>
      <c r="G270" s="3" t="s">
        <v>65</v>
      </c>
      <c r="H270" s="3" t="s">
        <v>109</v>
      </c>
      <c r="I270" s="55">
        <v>46176</v>
      </c>
      <c r="J270" s="55">
        <v>46179</v>
      </c>
      <c r="K270" s="55">
        <v>46206</v>
      </c>
      <c r="O270" s="3" t="s">
        <v>9</v>
      </c>
      <c r="R270" s="181"/>
    </row>
    <row r="271" spans="1:18" ht="15" customHeight="1">
      <c r="A271" s="177" t="s">
        <v>126</v>
      </c>
      <c r="B271" s="177"/>
      <c r="C271" s="213">
        <v>154607734</v>
      </c>
      <c r="F271" s="29" t="s">
        <v>108</v>
      </c>
      <c r="G271" s="3" t="s">
        <v>65</v>
      </c>
      <c r="H271" s="3" t="s">
        <v>109</v>
      </c>
      <c r="I271" s="55">
        <v>46176</v>
      </c>
      <c r="J271" s="55">
        <v>46179</v>
      </c>
      <c r="K271" s="55">
        <v>46206</v>
      </c>
      <c r="O271" s="3" t="s">
        <v>9</v>
      </c>
      <c r="R271" s="181"/>
    </row>
    <row r="272" spans="1:18" ht="15" customHeight="1">
      <c r="A272" s="177" t="s">
        <v>126</v>
      </c>
      <c r="B272" s="177"/>
      <c r="C272" s="213">
        <v>154607525</v>
      </c>
      <c r="F272" s="29" t="s">
        <v>108</v>
      </c>
      <c r="G272" s="3" t="s">
        <v>65</v>
      </c>
      <c r="H272" s="3" t="s">
        <v>109</v>
      </c>
      <c r="I272" s="55">
        <v>46176</v>
      </c>
      <c r="J272" s="55">
        <v>46179</v>
      </c>
      <c r="K272" s="55">
        <v>46206</v>
      </c>
      <c r="O272" s="3" t="s">
        <v>9</v>
      </c>
      <c r="R272" s="181"/>
    </row>
    <row r="273" spans="1:18" ht="15" customHeight="1">
      <c r="A273" s="177" t="s">
        <v>126</v>
      </c>
      <c r="B273" s="177"/>
      <c r="C273" s="213">
        <v>152610727</v>
      </c>
      <c r="F273" s="29" t="s">
        <v>108</v>
      </c>
      <c r="G273" s="3" t="s">
        <v>65</v>
      </c>
      <c r="H273" s="3" t="s">
        <v>109</v>
      </c>
      <c r="I273" s="55">
        <v>46176</v>
      </c>
      <c r="J273" s="55">
        <v>46179</v>
      </c>
      <c r="K273" s="55">
        <v>46206</v>
      </c>
      <c r="O273" s="3" t="s">
        <v>9</v>
      </c>
      <c r="R273" s="181"/>
    </row>
    <row r="274" spans="1:18" ht="15" customHeight="1">
      <c r="A274" s="177" t="s">
        <v>127</v>
      </c>
      <c r="B274" s="177"/>
      <c r="C274" s="213">
        <v>150600275</v>
      </c>
      <c r="F274" s="29" t="s">
        <v>128</v>
      </c>
      <c r="G274" s="3" t="s">
        <v>65</v>
      </c>
      <c r="H274" s="3" t="s">
        <v>129</v>
      </c>
      <c r="I274" s="55">
        <v>46172</v>
      </c>
      <c r="J274" s="55">
        <v>46175</v>
      </c>
      <c r="K274" s="55">
        <v>46202</v>
      </c>
      <c r="O274" s="3" t="s">
        <v>10</v>
      </c>
      <c r="P274" s="55">
        <v>46177</v>
      </c>
      <c r="R274" s="181"/>
    </row>
    <row r="275" spans="1:18" ht="15" customHeight="1">
      <c r="A275" s="177" t="s">
        <v>127</v>
      </c>
      <c r="B275" s="89"/>
      <c r="C275" s="213">
        <v>150600280</v>
      </c>
      <c r="F275" s="29" t="s">
        <v>128</v>
      </c>
      <c r="G275" s="3" t="s">
        <v>65</v>
      </c>
      <c r="H275" s="3" t="s">
        <v>129</v>
      </c>
      <c r="I275" s="55">
        <v>46172</v>
      </c>
      <c r="J275" s="55">
        <v>46175</v>
      </c>
      <c r="K275" s="55">
        <v>46202</v>
      </c>
      <c r="O275" s="3" t="s">
        <v>10</v>
      </c>
      <c r="P275" s="55">
        <v>46177</v>
      </c>
      <c r="R275" s="181"/>
    </row>
    <row r="276" spans="1:18" ht="15" customHeight="1">
      <c r="A276" s="177" t="s">
        <v>127</v>
      </c>
      <c r="B276" s="177"/>
      <c r="C276" s="213">
        <v>150600268</v>
      </c>
      <c r="F276" s="29" t="s">
        <v>128</v>
      </c>
      <c r="G276" s="3" t="s">
        <v>65</v>
      </c>
      <c r="H276" s="3" t="s">
        <v>129</v>
      </c>
      <c r="I276" s="55">
        <v>46172</v>
      </c>
      <c r="J276" s="55">
        <v>46175</v>
      </c>
      <c r="K276" s="55">
        <v>46202</v>
      </c>
      <c r="O276" s="3" t="s">
        <v>10</v>
      </c>
      <c r="P276" s="55">
        <v>46177</v>
      </c>
      <c r="R276" s="181"/>
    </row>
    <row r="277" spans="1:18" ht="15" customHeight="1">
      <c r="A277" s="177" t="s">
        <v>127</v>
      </c>
      <c r="B277" s="177"/>
      <c r="C277" s="213">
        <v>150600282</v>
      </c>
      <c r="F277" s="29" t="s">
        <v>128</v>
      </c>
      <c r="G277" s="3" t="s">
        <v>65</v>
      </c>
      <c r="H277" s="3" t="s">
        <v>129</v>
      </c>
      <c r="I277" s="55">
        <v>46172</v>
      </c>
      <c r="J277" s="55">
        <v>46175</v>
      </c>
      <c r="K277" s="55">
        <v>46202</v>
      </c>
      <c r="O277" s="3" t="s">
        <v>10</v>
      </c>
      <c r="P277" s="55">
        <v>46177</v>
      </c>
      <c r="R277" s="181"/>
    </row>
    <row r="278" spans="1:18" ht="15" customHeight="1">
      <c r="A278" s="177" t="s">
        <v>127</v>
      </c>
      <c r="B278" s="177"/>
      <c r="C278" s="213">
        <v>150600288</v>
      </c>
      <c r="F278" s="29" t="s">
        <v>128</v>
      </c>
      <c r="G278" s="3" t="s">
        <v>65</v>
      </c>
      <c r="H278" s="3" t="s">
        <v>129</v>
      </c>
      <c r="I278" s="55">
        <v>46172</v>
      </c>
      <c r="J278" s="55">
        <v>46175</v>
      </c>
      <c r="K278" s="55">
        <v>46202</v>
      </c>
      <c r="O278" s="3" t="s">
        <v>10</v>
      </c>
      <c r="P278" s="55">
        <v>46177</v>
      </c>
      <c r="R278" s="181"/>
    </row>
    <row r="279" spans="1:18" ht="15" customHeight="1">
      <c r="A279" s="177" t="s">
        <v>127</v>
      </c>
      <c r="B279" s="177"/>
      <c r="C279" s="213">
        <v>150600220</v>
      </c>
      <c r="F279" s="29" t="s">
        <v>128</v>
      </c>
      <c r="G279" s="3" t="s">
        <v>65</v>
      </c>
      <c r="H279" s="3" t="s">
        <v>129</v>
      </c>
      <c r="I279" s="55">
        <v>46172</v>
      </c>
      <c r="J279" s="55">
        <v>46175</v>
      </c>
      <c r="K279" s="55">
        <v>46202</v>
      </c>
      <c r="O279" s="3" t="s">
        <v>10</v>
      </c>
      <c r="P279" s="55">
        <v>46183</v>
      </c>
      <c r="R279" s="181"/>
    </row>
    <row r="280" spans="1:18" ht="15" customHeight="1">
      <c r="A280" s="177" t="s">
        <v>127</v>
      </c>
      <c r="B280" s="89"/>
      <c r="C280" s="213">
        <v>150600229</v>
      </c>
      <c r="F280" s="29" t="s">
        <v>128</v>
      </c>
      <c r="G280" s="3" t="s">
        <v>65</v>
      </c>
      <c r="H280" s="3" t="s">
        <v>129</v>
      </c>
      <c r="I280" s="55">
        <v>46172</v>
      </c>
      <c r="J280" s="55">
        <v>46175</v>
      </c>
      <c r="K280" s="55">
        <v>46202</v>
      </c>
      <c r="O280" s="3" t="s">
        <v>10</v>
      </c>
      <c r="P280" s="55">
        <v>46183</v>
      </c>
      <c r="R280" s="181"/>
    </row>
    <row r="281" spans="1:18" ht="15" customHeight="1">
      <c r="A281" s="177" t="s">
        <v>127</v>
      </c>
      <c r="B281" s="177"/>
      <c r="C281" s="213">
        <v>150600233</v>
      </c>
      <c r="F281" s="29" t="s">
        <v>128</v>
      </c>
      <c r="G281" s="3" t="s">
        <v>65</v>
      </c>
      <c r="H281" s="3" t="s">
        <v>129</v>
      </c>
      <c r="I281" s="55">
        <v>46172</v>
      </c>
      <c r="J281" s="55">
        <v>46175</v>
      </c>
      <c r="K281" s="55">
        <v>46202</v>
      </c>
      <c r="O281" s="3" t="s">
        <v>10</v>
      </c>
      <c r="P281" s="55">
        <v>46183</v>
      </c>
      <c r="R281" s="181"/>
    </row>
    <row r="282" spans="1:18" ht="15" customHeight="1">
      <c r="A282" s="177" t="s">
        <v>127</v>
      </c>
      <c r="B282" s="177"/>
      <c r="C282" s="213">
        <v>150600239</v>
      </c>
      <c r="F282" s="29" t="s">
        <v>128</v>
      </c>
      <c r="G282" s="3" t="s">
        <v>65</v>
      </c>
      <c r="H282" s="3" t="s">
        <v>129</v>
      </c>
      <c r="I282" s="55">
        <v>46172</v>
      </c>
      <c r="J282" s="55">
        <v>46175</v>
      </c>
      <c r="K282" s="55">
        <v>46202</v>
      </c>
      <c r="O282" s="3" t="s">
        <v>10</v>
      </c>
      <c r="P282" s="55">
        <v>46183</v>
      </c>
      <c r="R282" s="181"/>
    </row>
    <row r="283" spans="1:18" ht="15" customHeight="1">
      <c r="A283" s="177" t="s">
        <v>127</v>
      </c>
      <c r="B283" s="177"/>
      <c r="C283" s="213">
        <v>150600244</v>
      </c>
      <c r="F283" s="29" t="s">
        <v>128</v>
      </c>
      <c r="G283" s="3" t="s">
        <v>65</v>
      </c>
      <c r="H283" s="3" t="s">
        <v>129</v>
      </c>
      <c r="I283" s="55">
        <v>46172</v>
      </c>
      <c r="J283" s="55">
        <v>46175</v>
      </c>
      <c r="K283" s="55">
        <v>46202</v>
      </c>
      <c r="O283" s="3" t="s">
        <v>10</v>
      </c>
      <c r="P283" s="55">
        <v>46183</v>
      </c>
      <c r="R283" s="181"/>
    </row>
    <row r="284" spans="1:18" ht="15" customHeight="1">
      <c r="A284" s="177" t="s">
        <v>127</v>
      </c>
      <c r="B284" s="177"/>
      <c r="C284" s="213">
        <v>150600243</v>
      </c>
      <c r="F284" s="29" t="s">
        <v>128</v>
      </c>
      <c r="G284" s="3" t="s">
        <v>65</v>
      </c>
      <c r="H284" s="3" t="s">
        <v>129</v>
      </c>
      <c r="I284" s="55">
        <v>46172</v>
      </c>
      <c r="J284" s="55">
        <v>46175</v>
      </c>
      <c r="K284" s="55">
        <v>46202</v>
      </c>
      <c r="O284" s="3" t="s">
        <v>10</v>
      </c>
      <c r="P284" s="55">
        <v>46183</v>
      </c>
      <c r="R284" s="181"/>
    </row>
    <row r="285" spans="1:18" ht="15" customHeight="1">
      <c r="A285" s="177" t="s">
        <v>127</v>
      </c>
      <c r="B285" s="177"/>
      <c r="C285" s="213">
        <v>150600267</v>
      </c>
      <c r="F285" s="29" t="s">
        <v>128</v>
      </c>
      <c r="G285" s="3" t="s">
        <v>65</v>
      </c>
      <c r="H285" s="3" t="s">
        <v>129</v>
      </c>
      <c r="I285" s="55">
        <v>46172</v>
      </c>
      <c r="J285" s="55">
        <v>46175</v>
      </c>
      <c r="K285" s="55">
        <v>46202</v>
      </c>
      <c r="O285" s="3" t="s">
        <v>10</v>
      </c>
      <c r="P285" s="55">
        <v>46183</v>
      </c>
      <c r="R285" s="181"/>
    </row>
    <row r="286" spans="1:18" ht="15" customHeight="1">
      <c r="A286" s="177" t="s">
        <v>127</v>
      </c>
      <c r="B286" s="177"/>
      <c r="C286" s="213">
        <v>150600241</v>
      </c>
      <c r="F286" s="29" t="s">
        <v>128</v>
      </c>
      <c r="G286" s="3" t="s">
        <v>65</v>
      </c>
      <c r="H286" s="3" t="s">
        <v>129</v>
      </c>
      <c r="I286" s="55">
        <v>46172</v>
      </c>
      <c r="J286" s="55">
        <v>46175</v>
      </c>
      <c r="K286" s="55">
        <v>46202</v>
      </c>
      <c r="O286" s="3" t="s">
        <v>10</v>
      </c>
      <c r="P286" s="55">
        <v>46188</v>
      </c>
      <c r="R286" s="181"/>
    </row>
    <row r="287" spans="1:18" ht="15" customHeight="1">
      <c r="A287" s="177" t="s">
        <v>130</v>
      </c>
      <c r="B287" s="177"/>
      <c r="C287" s="213">
        <v>156607832</v>
      </c>
      <c r="F287" s="29" t="s">
        <v>131</v>
      </c>
      <c r="G287" s="3" t="s">
        <v>65</v>
      </c>
      <c r="H287" s="3" t="s">
        <v>132</v>
      </c>
      <c r="I287" s="55">
        <v>46178</v>
      </c>
      <c r="J287" s="55">
        <v>46182</v>
      </c>
      <c r="K287" s="55">
        <v>46209</v>
      </c>
      <c r="O287" s="3" t="s">
        <v>9</v>
      </c>
      <c r="R287" s="181"/>
    </row>
    <row r="288" spans="1:18" ht="15" customHeight="1">
      <c r="A288" s="177" t="s">
        <v>130</v>
      </c>
      <c r="B288" s="177"/>
      <c r="C288" s="213">
        <v>156607833</v>
      </c>
      <c r="F288" s="29" t="s">
        <v>131</v>
      </c>
      <c r="G288" s="3" t="s">
        <v>65</v>
      </c>
      <c r="H288" s="3" t="s">
        <v>132</v>
      </c>
      <c r="I288" s="55">
        <v>46178</v>
      </c>
      <c r="J288" s="55">
        <v>46182</v>
      </c>
      <c r="K288" s="55">
        <v>46209</v>
      </c>
      <c r="O288" s="3" t="s">
        <v>9</v>
      </c>
      <c r="R288" s="181"/>
    </row>
    <row r="289" spans="1:18" ht="15" customHeight="1">
      <c r="A289" s="177" t="s">
        <v>130</v>
      </c>
      <c r="B289" s="177"/>
      <c r="C289" s="213">
        <v>156607834</v>
      </c>
      <c r="F289" s="29" t="s">
        <v>131</v>
      </c>
      <c r="G289" s="3" t="s">
        <v>65</v>
      </c>
      <c r="H289" s="3" t="s">
        <v>132</v>
      </c>
      <c r="I289" s="55">
        <v>46178</v>
      </c>
      <c r="J289" s="55">
        <v>46182</v>
      </c>
      <c r="K289" s="55">
        <v>46209</v>
      </c>
      <c r="O289" s="3" t="s">
        <v>9</v>
      </c>
      <c r="R289" s="181"/>
    </row>
    <row r="290" spans="1:18" ht="15" customHeight="1">
      <c r="A290" s="177" t="s">
        <v>130</v>
      </c>
      <c r="B290" s="177"/>
      <c r="C290" s="213">
        <v>156607835</v>
      </c>
      <c r="F290" s="29" t="s">
        <v>131</v>
      </c>
      <c r="G290" s="3" t="s">
        <v>65</v>
      </c>
      <c r="H290" s="3" t="s">
        <v>132</v>
      </c>
      <c r="I290" s="55">
        <v>46178</v>
      </c>
      <c r="J290" s="55">
        <v>46182</v>
      </c>
      <c r="K290" s="55">
        <v>46209</v>
      </c>
      <c r="O290" s="3" t="s">
        <v>10</v>
      </c>
      <c r="P290" s="55">
        <v>46184</v>
      </c>
      <c r="R290" s="181"/>
    </row>
    <row r="291" spans="1:18" ht="15" customHeight="1">
      <c r="A291" s="177" t="s">
        <v>130</v>
      </c>
      <c r="B291" s="177"/>
      <c r="C291" s="213">
        <v>156607836</v>
      </c>
      <c r="F291" s="29" t="s">
        <v>131</v>
      </c>
      <c r="G291" s="3" t="s">
        <v>65</v>
      </c>
      <c r="H291" s="3" t="s">
        <v>132</v>
      </c>
      <c r="I291" s="55">
        <v>46178</v>
      </c>
      <c r="J291" s="55">
        <v>46182</v>
      </c>
      <c r="K291" s="55">
        <v>46209</v>
      </c>
      <c r="O291" s="3" t="s">
        <v>9</v>
      </c>
      <c r="R291" s="181"/>
    </row>
    <row r="292" spans="1:18" ht="15" customHeight="1">
      <c r="A292" s="177" t="s">
        <v>130</v>
      </c>
      <c r="B292" s="177"/>
      <c r="C292" s="213">
        <v>156607839</v>
      </c>
      <c r="F292" s="29" t="s">
        <v>131</v>
      </c>
      <c r="G292" s="3" t="s">
        <v>65</v>
      </c>
      <c r="H292" s="3" t="s">
        <v>132</v>
      </c>
      <c r="I292" s="55">
        <v>46178</v>
      </c>
      <c r="J292" s="55">
        <v>46182</v>
      </c>
      <c r="K292" s="55">
        <v>46209</v>
      </c>
      <c r="O292" s="3" t="s">
        <v>10</v>
      </c>
      <c r="P292" s="55">
        <v>46184</v>
      </c>
      <c r="R292" s="181"/>
    </row>
    <row r="293" spans="1:18" ht="15" customHeight="1">
      <c r="A293" s="177" t="s">
        <v>130</v>
      </c>
      <c r="B293" s="177"/>
      <c r="C293" s="213">
        <v>156607840</v>
      </c>
      <c r="F293" s="29" t="s">
        <v>131</v>
      </c>
      <c r="G293" s="3" t="s">
        <v>65</v>
      </c>
      <c r="H293" s="3" t="s">
        <v>132</v>
      </c>
      <c r="I293" s="55">
        <v>46178</v>
      </c>
      <c r="J293" s="55">
        <v>46182</v>
      </c>
      <c r="K293" s="55">
        <v>46209</v>
      </c>
      <c r="O293" s="3" t="s">
        <v>9</v>
      </c>
      <c r="R293" s="181"/>
    </row>
    <row r="294" spans="1:18" ht="15" customHeight="1">
      <c r="A294" s="177" t="s">
        <v>130</v>
      </c>
      <c r="B294" s="177"/>
      <c r="C294" s="213">
        <v>156607841</v>
      </c>
      <c r="F294" s="29" t="s">
        <v>131</v>
      </c>
      <c r="G294" s="3" t="s">
        <v>65</v>
      </c>
      <c r="H294" s="3" t="s">
        <v>132</v>
      </c>
      <c r="I294" s="55">
        <v>46178</v>
      </c>
      <c r="J294" s="55">
        <v>46182</v>
      </c>
      <c r="K294" s="55">
        <v>46209</v>
      </c>
      <c r="O294" s="3" t="s">
        <v>9</v>
      </c>
      <c r="R294" s="181"/>
    </row>
    <row r="295" spans="1:18" ht="15" customHeight="1">
      <c r="A295" s="177" t="s">
        <v>130</v>
      </c>
      <c r="B295" s="177"/>
      <c r="C295" s="213">
        <v>156607842</v>
      </c>
      <c r="F295" s="29" t="s">
        <v>131</v>
      </c>
      <c r="G295" s="3" t="s">
        <v>65</v>
      </c>
      <c r="H295" s="3" t="s">
        <v>132</v>
      </c>
      <c r="I295" s="55">
        <v>46178</v>
      </c>
      <c r="J295" s="55">
        <v>46182</v>
      </c>
      <c r="K295" s="55">
        <v>46209</v>
      </c>
      <c r="O295" s="3" t="s">
        <v>10</v>
      </c>
      <c r="P295" s="55">
        <v>46184</v>
      </c>
      <c r="R295" s="181"/>
    </row>
    <row r="296" spans="1:18" ht="15" customHeight="1">
      <c r="A296" s="177" t="s">
        <v>130</v>
      </c>
      <c r="B296" s="177"/>
      <c r="C296" s="213">
        <v>156607844</v>
      </c>
      <c r="F296" s="29" t="s">
        <v>131</v>
      </c>
      <c r="G296" s="3" t="s">
        <v>65</v>
      </c>
      <c r="H296" s="3" t="s">
        <v>132</v>
      </c>
      <c r="I296" s="55">
        <v>46178</v>
      </c>
      <c r="J296" s="55">
        <v>46182</v>
      </c>
      <c r="K296" s="55">
        <v>46209</v>
      </c>
      <c r="O296" s="3" t="s">
        <v>10</v>
      </c>
      <c r="P296" s="55">
        <v>46184</v>
      </c>
      <c r="R296" s="181"/>
    </row>
    <row r="297" spans="1:18" ht="15" customHeight="1">
      <c r="A297" s="177" t="s">
        <v>130</v>
      </c>
      <c r="B297" s="177"/>
      <c r="C297" s="213">
        <v>156607846</v>
      </c>
      <c r="F297" s="29" t="s">
        <v>131</v>
      </c>
      <c r="G297" s="3" t="s">
        <v>65</v>
      </c>
      <c r="H297" s="3" t="s">
        <v>132</v>
      </c>
      <c r="I297" s="55">
        <v>46178</v>
      </c>
      <c r="J297" s="55">
        <v>46182</v>
      </c>
      <c r="K297" s="55">
        <v>46209</v>
      </c>
      <c r="O297" s="3" t="s">
        <v>10</v>
      </c>
      <c r="P297" s="55">
        <v>46184</v>
      </c>
      <c r="R297" s="181"/>
    </row>
    <row r="298" spans="1:18" ht="15" customHeight="1">
      <c r="A298" s="177" t="s">
        <v>130</v>
      </c>
      <c r="B298" s="177"/>
      <c r="C298" s="213">
        <v>156607848</v>
      </c>
      <c r="F298" s="29" t="s">
        <v>131</v>
      </c>
      <c r="G298" s="3" t="s">
        <v>65</v>
      </c>
      <c r="H298" s="3" t="s">
        <v>132</v>
      </c>
      <c r="I298" s="55">
        <v>46178</v>
      </c>
      <c r="J298" s="55">
        <v>46182</v>
      </c>
      <c r="K298" s="55">
        <v>46209</v>
      </c>
      <c r="O298" s="3" t="s">
        <v>10</v>
      </c>
      <c r="P298" s="55">
        <v>46184</v>
      </c>
      <c r="R298" s="181"/>
    </row>
    <row r="299" spans="1:18" ht="15" customHeight="1">
      <c r="A299" s="177" t="s">
        <v>130</v>
      </c>
      <c r="B299" s="177"/>
      <c r="C299" s="213">
        <v>156607849</v>
      </c>
      <c r="F299" s="29" t="s">
        <v>131</v>
      </c>
      <c r="G299" s="3" t="s">
        <v>65</v>
      </c>
      <c r="H299" s="3" t="s">
        <v>132</v>
      </c>
      <c r="I299" s="55">
        <v>46178</v>
      </c>
      <c r="J299" s="55">
        <v>46182</v>
      </c>
      <c r="K299" s="55">
        <v>46209</v>
      </c>
      <c r="O299" s="3" t="s">
        <v>10</v>
      </c>
      <c r="P299" s="55">
        <v>46184</v>
      </c>
      <c r="R299" s="181"/>
    </row>
    <row r="300" spans="1:18" ht="15" customHeight="1">
      <c r="A300" s="177" t="s">
        <v>130</v>
      </c>
      <c r="B300" s="177"/>
      <c r="C300" s="213">
        <v>156607851</v>
      </c>
      <c r="F300" s="29" t="s">
        <v>131</v>
      </c>
      <c r="G300" s="3" t="s">
        <v>65</v>
      </c>
      <c r="H300" s="3" t="s">
        <v>132</v>
      </c>
      <c r="I300" s="55">
        <v>46178</v>
      </c>
      <c r="J300" s="55">
        <v>46182</v>
      </c>
      <c r="K300" s="55">
        <v>46209</v>
      </c>
      <c r="O300" s="3" t="s">
        <v>10</v>
      </c>
      <c r="P300" s="55">
        <v>46184</v>
      </c>
      <c r="R300" s="181"/>
    </row>
    <row r="301" spans="1:18" ht="15" customHeight="1">
      <c r="A301" s="177" t="s">
        <v>133</v>
      </c>
      <c r="B301" s="177"/>
      <c r="C301" s="213">
        <v>156604289</v>
      </c>
      <c r="F301" s="29" t="s">
        <v>101</v>
      </c>
      <c r="G301" s="3" t="s">
        <v>65</v>
      </c>
      <c r="H301" s="3" t="s">
        <v>134</v>
      </c>
      <c r="I301" s="55">
        <v>46178</v>
      </c>
      <c r="J301" s="55">
        <v>46182</v>
      </c>
      <c r="K301" s="55">
        <v>46209</v>
      </c>
      <c r="O301" s="3" t="s">
        <v>10</v>
      </c>
      <c r="P301" s="55">
        <v>46183</v>
      </c>
      <c r="R301" s="181"/>
    </row>
    <row r="302" spans="1:18" ht="15" customHeight="1">
      <c r="A302" s="177" t="s">
        <v>133</v>
      </c>
      <c r="B302" s="177"/>
      <c r="C302" s="213">
        <v>156604249</v>
      </c>
      <c r="F302" s="29" t="s">
        <v>101</v>
      </c>
      <c r="G302" s="3" t="s">
        <v>65</v>
      </c>
      <c r="H302" s="3" t="s">
        <v>134</v>
      </c>
      <c r="I302" s="55">
        <v>46178</v>
      </c>
      <c r="J302" s="55">
        <v>46182</v>
      </c>
      <c r="K302" s="55">
        <v>46209</v>
      </c>
      <c r="O302" s="3" t="s">
        <v>10</v>
      </c>
      <c r="P302" s="55">
        <v>46183</v>
      </c>
      <c r="R302" s="181"/>
    </row>
    <row r="303" spans="1:18" ht="15" customHeight="1">
      <c r="A303" s="177" t="s">
        <v>133</v>
      </c>
      <c r="B303" s="177"/>
      <c r="C303" s="213">
        <v>156604240</v>
      </c>
      <c r="F303" s="29" t="s">
        <v>101</v>
      </c>
      <c r="G303" s="3" t="s">
        <v>65</v>
      </c>
      <c r="H303" s="3" t="s">
        <v>134</v>
      </c>
      <c r="I303" s="55">
        <v>46178</v>
      </c>
      <c r="J303" s="55">
        <v>46182</v>
      </c>
      <c r="K303" s="55">
        <v>46209</v>
      </c>
      <c r="O303" s="3" t="s">
        <v>10</v>
      </c>
      <c r="P303" s="55">
        <v>46183</v>
      </c>
      <c r="R303" s="181"/>
    </row>
    <row r="304" spans="1:18" ht="15" customHeight="1">
      <c r="A304" s="177" t="s">
        <v>133</v>
      </c>
      <c r="B304" s="177"/>
      <c r="C304" s="213">
        <v>156604237</v>
      </c>
      <c r="F304" s="29" t="s">
        <v>101</v>
      </c>
      <c r="G304" s="3" t="s">
        <v>65</v>
      </c>
      <c r="H304" s="3" t="s">
        <v>134</v>
      </c>
      <c r="I304" s="55">
        <v>46178</v>
      </c>
      <c r="J304" s="55">
        <v>46182</v>
      </c>
      <c r="K304" s="55">
        <v>46209</v>
      </c>
      <c r="O304" s="3" t="s">
        <v>10</v>
      </c>
      <c r="P304" s="55">
        <v>46183</v>
      </c>
      <c r="R304" s="181"/>
    </row>
    <row r="305" spans="1:18" ht="15" customHeight="1">
      <c r="A305" s="177" t="s">
        <v>133</v>
      </c>
      <c r="B305" s="177"/>
      <c r="C305" s="213">
        <v>156604228</v>
      </c>
      <c r="F305" s="29" t="s">
        <v>101</v>
      </c>
      <c r="G305" s="3" t="s">
        <v>65</v>
      </c>
      <c r="H305" s="3" t="s">
        <v>134</v>
      </c>
      <c r="I305" s="55">
        <v>46178</v>
      </c>
      <c r="J305" s="55">
        <v>46182</v>
      </c>
      <c r="K305" s="55">
        <v>46209</v>
      </c>
      <c r="O305" s="3" t="s">
        <v>10</v>
      </c>
      <c r="P305" s="55">
        <v>46183</v>
      </c>
      <c r="R305" s="181"/>
    </row>
    <row r="306" spans="1:18" ht="15" customHeight="1">
      <c r="A306" s="177" t="s">
        <v>133</v>
      </c>
      <c r="B306" s="177"/>
      <c r="C306" s="213">
        <v>156604219</v>
      </c>
      <c r="F306" s="29" t="s">
        <v>101</v>
      </c>
      <c r="G306" s="3" t="s">
        <v>65</v>
      </c>
      <c r="H306" s="3" t="s">
        <v>134</v>
      </c>
      <c r="I306" s="55">
        <v>46178</v>
      </c>
      <c r="J306" s="55">
        <v>46182</v>
      </c>
      <c r="K306" s="55">
        <v>46209</v>
      </c>
      <c r="O306" s="3" t="s">
        <v>10</v>
      </c>
      <c r="P306" s="55">
        <v>46183</v>
      </c>
      <c r="R306" s="181"/>
    </row>
    <row r="307" spans="1:18" ht="15" customHeight="1">
      <c r="A307" s="177" t="s">
        <v>133</v>
      </c>
      <c r="B307" s="177"/>
      <c r="C307" s="213">
        <v>156604216</v>
      </c>
      <c r="F307" s="29" t="s">
        <v>101</v>
      </c>
      <c r="G307" s="3" t="s">
        <v>65</v>
      </c>
      <c r="H307" s="3" t="s">
        <v>134</v>
      </c>
      <c r="I307" s="55">
        <v>46178</v>
      </c>
      <c r="J307" s="55">
        <v>46182</v>
      </c>
      <c r="K307" s="55">
        <v>46209</v>
      </c>
      <c r="O307" s="3" t="s">
        <v>10</v>
      </c>
      <c r="P307" s="55">
        <v>46183</v>
      </c>
      <c r="R307" s="181"/>
    </row>
    <row r="308" spans="1:18" ht="15" customHeight="1">
      <c r="A308" s="177" t="s">
        <v>133</v>
      </c>
      <c r="B308" s="177"/>
      <c r="C308" s="213">
        <v>156604195</v>
      </c>
      <c r="F308" s="29" t="s">
        <v>101</v>
      </c>
      <c r="G308" s="3" t="s">
        <v>65</v>
      </c>
      <c r="H308" s="3" t="s">
        <v>134</v>
      </c>
      <c r="I308" s="55">
        <v>46178</v>
      </c>
      <c r="J308" s="55">
        <v>46182</v>
      </c>
      <c r="K308" s="55">
        <v>46209</v>
      </c>
      <c r="O308" s="3" t="s">
        <v>10</v>
      </c>
      <c r="P308" s="55">
        <v>46183</v>
      </c>
      <c r="R308" s="181"/>
    </row>
    <row r="309" spans="1:18" ht="15" customHeight="1">
      <c r="A309" s="177" t="s">
        <v>133</v>
      </c>
      <c r="B309" s="177"/>
      <c r="C309" s="213">
        <v>156604178</v>
      </c>
      <c r="F309" s="29" t="s">
        <v>101</v>
      </c>
      <c r="G309" s="3" t="s">
        <v>65</v>
      </c>
      <c r="H309" s="3" t="s">
        <v>134</v>
      </c>
      <c r="I309" s="55">
        <v>46178</v>
      </c>
      <c r="J309" s="55">
        <v>46182</v>
      </c>
      <c r="K309" s="55">
        <v>46209</v>
      </c>
      <c r="O309" s="3" t="s">
        <v>10</v>
      </c>
      <c r="P309" s="55">
        <v>46183</v>
      </c>
      <c r="R309" s="181"/>
    </row>
    <row r="310" spans="1:18" ht="15" customHeight="1">
      <c r="A310" s="177" t="s">
        <v>133</v>
      </c>
      <c r="B310" s="177"/>
      <c r="C310" s="213">
        <v>156604141</v>
      </c>
      <c r="F310" s="29" t="s">
        <v>101</v>
      </c>
      <c r="G310" s="3" t="s">
        <v>65</v>
      </c>
      <c r="H310" s="3" t="s">
        <v>134</v>
      </c>
      <c r="I310" s="55">
        <v>46178</v>
      </c>
      <c r="J310" s="55">
        <v>46182</v>
      </c>
      <c r="K310" s="55">
        <v>46209</v>
      </c>
      <c r="O310" s="3" t="s">
        <v>10</v>
      </c>
      <c r="P310" s="55">
        <v>46183</v>
      </c>
      <c r="R310" s="181"/>
    </row>
    <row r="311" spans="1:18" ht="15" customHeight="1">
      <c r="A311" s="177" t="s">
        <v>133</v>
      </c>
      <c r="B311" s="177"/>
      <c r="C311" s="213">
        <v>156604124</v>
      </c>
      <c r="F311" s="29" t="s">
        <v>101</v>
      </c>
      <c r="G311" s="3" t="s">
        <v>65</v>
      </c>
      <c r="H311" s="3" t="s">
        <v>134</v>
      </c>
      <c r="I311" s="55">
        <v>46178</v>
      </c>
      <c r="J311" s="55">
        <v>46182</v>
      </c>
      <c r="K311" s="55">
        <v>46209</v>
      </c>
      <c r="O311" s="3" t="s">
        <v>10</v>
      </c>
      <c r="P311" s="55">
        <v>46183</v>
      </c>
      <c r="R311" s="181"/>
    </row>
    <row r="312" spans="1:18" ht="15" customHeight="1">
      <c r="A312" s="177" t="s">
        <v>133</v>
      </c>
      <c r="B312" s="177"/>
      <c r="C312" s="213">
        <v>156604111</v>
      </c>
      <c r="F312" s="29" t="s">
        <v>101</v>
      </c>
      <c r="G312" s="3" t="s">
        <v>65</v>
      </c>
      <c r="H312" s="3" t="s">
        <v>134</v>
      </c>
      <c r="I312" s="55">
        <v>46178</v>
      </c>
      <c r="J312" s="55">
        <v>46182</v>
      </c>
      <c r="K312" s="55">
        <v>46209</v>
      </c>
      <c r="O312" s="3" t="s">
        <v>10</v>
      </c>
      <c r="P312" s="55">
        <v>46183</v>
      </c>
      <c r="R312" s="181"/>
    </row>
    <row r="313" spans="1:18" ht="15" customHeight="1">
      <c r="A313" s="177" t="s">
        <v>135</v>
      </c>
      <c r="B313" s="177"/>
      <c r="C313" s="213">
        <v>156601125</v>
      </c>
      <c r="F313" s="29" t="s">
        <v>108</v>
      </c>
      <c r="G313" s="3" t="s">
        <v>65</v>
      </c>
      <c r="H313" s="3" t="s">
        <v>109</v>
      </c>
      <c r="I313" s="55">
        <v>46178</v>
      </c>
      <c r="J313" s="55">
        <v>46182</v>
      </c>
      <c r="K313" s="55">
        <v>46209</v>
      </c>
      <c r="O313" s="3" t="s">
        <v>9</v>
      </c>
      <c r="R313" s="181"/>
    </row>
    <row r="314" spans="1:18" ht="15" customHeight="1">
      <c r="A314" s="177" t="s">
        <v>135</v>
      </c>
      <c r="B314" s="177"/>
      <c r="C314" s="213">
        <v>156601175</v>
      </c>
      <c r="F314" s="29" t="s">
        <v>108</v>
      </c>
      <c r="G314" s="3" t="s">
        <v>65</v>
      </c>
      <c r="H314" s="3" t="s">
        <v>109</v>
      </c>
      <c r="I314" s="55">
        <v>46178</v>
      </c>
      <c r="J314" s="55">
        <v>46182</v>
      </c>
      <c r="K314" s="55">
        <v>46209</v>
      </c>
      <c r="O314" s="3" t="s">
        <v>9</v>
      </c>
      <c r="R314" s="181"/>
    </row>
    <row r="315" spans="1:18" ht="15" customHeight="1">
      <c r="A315" s="177" t="s">
        <v>135</v>
      </c>
      <c r="B315" s="177"/>
      <c r="C315" s="213">
        <v>156601251</v>
      </c>
      <c r="F315" s="29" t="s">
        <v>108</v>
      </c>
      <c r="G315" s="3" t="s">
        <v>65</v>
      </c>
      <c r="H315" s="3" t="s">
        <v>109</v>
      </c>
      <c r="I315" s="55">
        <v>46178</v>
      </c>
      <c r="J315" s="55">
        <v>46182</v>
      </c>
      <c r="K315" s="55">
        <v>46209</v>
      </c>
      <c r="O315" s="3" t="s">
        <v>9</v>
      </c>
      <c r="R315" s="181"/>
    </row>
    <row r="316" spans="1:18" ht="15" customHeight="1">
      <c r="A316" s="177" t="s">
        <v>135</v>
      </c>
      <c r="B316" s="177"/>
      <c r="C316" s="213">
        <v>156601350</v>
      </c>
      <c r="F316" s="29" t="s">
        <v>108</v>
      </c>
      <c r="G316" s="3" t="s">
        <v>65</v>
      </c>
      <c r="H316" s="3" t="s">
        <v>109</v>
      </c>
      <c r="I316" s="55">
        <v>46178</v>
      </c>
      <c r="J316" s="55">
        <v>46182</v>
      </c>
      <c r="K316" s="55">
        <v>46209</v>
      </c>
      <c r="O316" s="3" t="s">
        <v>9</v>
      </c>
      <c r="R316" s="181"/>
    </row>
    <row r="317" spans="1:18" ht="15" customHeight="1">
      <c r="A317" s="177" t="s">
        <v>135</v>
      </c>
      <c r="B317" s="177"/>
      <c r="C317" s="213">
        <v>156601416</v>
      </c>
      <c r="F317" s="29" t="s">
        <v>108</v>
      </c>
      <c r="G317" s="3" t="s">
        <v>65</v>
      </c>
      <c r="H317" s="3" t="s">
        <v>109</v>
      </c>
      <c r="I317" s="55">
        <v>46178</v>
      </c>
      <c r="J317" s="55">
        <v>46182</v>
      </c>
      <c r="K317" s="55">
        <v>46209</v>
      </c>
      <c r="O317" s="3" t="s">
        <v>9</v>
      </c>
      <c r="R317" s="181"/>
    </row>
    <row r="318" spans="1:18" ht="15" customHeight="1">
      <c r="A318" s="177" t="s">
        <v>135</v>
      </c>
      <c r="B318" s="177"/>
      <c r="C318" s="213">
        <v>156601549</v>
      </c>
      <c r="F318" s="29" t="s">
        <v>108</v>
      </c>
      <c r="G318" s="3" t="s">
        <v>65</v>
      </c>
      <c r="H318" s="3" t="s">
        <v>109</v>
      </c>
      <c r="I318" s="55">
        <v>46178</v>
      </c>
      <c r="J318" s="55">
        <v>46182</v>
      </c>
      <c r="K318" s="55">
        <v>46209</v>
      </c>
      <c r="O318" s="3" t="s">
        <v>9</v>
      </c>
      <c r="R318" s="181"/>
    </row>
    <row r="319" spans="1:18" ht="15" customHeight="1">
      <c r="A319" s="177" t="s">
        <v>135</v>
      </c>
      <c r="B319" s="177"/>
      <c r="C319" s="213">
        <v>156601694</v>
      </c>
      <c r="F319" s="29" t="s">
        <v>108</v>
      </c>
      <c r="G319" s="3" t="s">
        <v>65</v>
      </c>
      <c r="H319" s="3" t="s">
        <v>109</v>
      </c>
      <c r="I319" s="55">
        <v>46178</v>
      </c>
      <c r="J319" s="55">
        <v>46182</v>
      </c>
      <c r="K319" s="55">
        <v>46209</v>
      </c>
      <c r="O319" s="3" t="s">
        <v>9</v>
      </c>
      <c r="R319" s="181"/>
    </row>
    <row r="320" spans="1:18" ht="15" customHeight="1">
      <c r="A320" s="177" t="s">
        <v>135</v>
      </c>
      <c r="B320" s="177"/>
      <c r="C320" s="213">
        <v>156601628</v>
      </c>
      <c r="F320" s="29" t="s">
        <v>108</v>
      </c>
      <c r="G320" s="3" t="s">
        <v>65</v>
      </c>
      <c r="H320" s="3" t="s">
        <v>109</v>
      </c>
      <c r="I320" s="55">
        <v>46178</v>
      </c>
      <c r="J320" s="55">
        <v>46182</v>
      </c>
      <c r="K320" s="55">
        <v>46209</v>
      </c>
      <c r="O320" s="3" t="s">
        <v>9</v>
      </c>
      <c r="R320" s="181"/>
    </row>
    <row r="321" spans="1:18" ht="15" customHeight="1">
      <c r="A321" s="177" t="s">
        <v>136</v>
      </c>
      <c r="B321" s="177"/>
      <c r="C321" s="213">
        <v>155607032</v>
      </c>
      <c r="F321" s="29" t="s">
        <v>108</v>
      </c>
      <c r="G321" s="3" t="s">
        <v>65</v>
      </c>
      <c r="H321" s="3" t="s">
        <v>109</v>
      </c>
      <c r="I321" s="55">
        <v>46178</v>
      </c>
      <c r="J321" s="55">
        <v>46182</v>
      </c>
      <c r="K321" s="55">
        <v>46209</v>
      </c>
      <c r="O321" s="3" t="s">
        <v>9</v>
      </c>
      <c r="R321" s="181"/>
    </row>
    <row r="322" spans="1:18" ht="15" customHeight="1">
      <c r="A322" s="177" t="s">
        <v>136</v>
      </c>
      <c r="B322" s="177"/>
      <c r="C322" s="213">
        <v>155607087</v>
      </c>
      <c r="F322" s="29" t="s">
        <v>108</v>
      </c>
      <c r="G322" s="3" t="s">
        <v>65</v>
      </c>
      <c r="H322" s="3" t="s">
        <v>109</v>
      </c>
      <c r="I322" s="55">
        <v>46178</v>
      </c>
      <c r="J322" s="55">
        <v>46182</v>
      </c>
      <c r="K322" s="55">
        <v>46209</v>
      </c>
      <c r="O322" s="3" t="s">
        <v>9</v>
      </c>
      <c r="R322" s="181"/>
    </row>
    <row r="323" spans="1:18" ht="15" customHeight="1">
      <c r="A323" s="177" t="s">
        <v>136</v>
      </c>
      <c r="B323" s="177"/>
      <c r="C323" s="213">
        <v>155606943</v>
      </c>
      <c r="F323" s="29" t="s">
        <v>108</v>
      </c>
      <c r="G323" s="3" t="s">
        <v>65</v>
      </c>
      <c r="H323" s="3" t="s">
        <v>109</v>
      </c>
      <c r="I323" s="55">
        <v>46178</v>
      </c>
      <c r="J323" s="55">
        <v>46182</v>
      </c>
      <c r="K323" s="55">
        <v>46209</v>
      </c>
      <c r="O323" s="3" t="s">
        <v>9</v>
      </c>
      <c r="R323" s="181"/>
    </row>
    <row r="324" spans="1:18" ht="15" customHeight="1">
      <c r="A324" s="177" t="s">
        <v>136</v>
      </c>
      <c r="B324" s="177"/>
      <c r="C324" s="213">
        <v>155607218</v>
      </c>
      <c r="F324" s="29" t="s">
        <v>108</v>
      </c>
      <c r="G324" s="3" t="s">
        <v>65</v>
      </c>
      <c r="H324" s="3" t="s">
        <v>109</v>
      </c>
      <c r="I324" s="55">
        <v>46178</v>
      </c>
      <c r="J324" s="55">
        <v>46182</v>
      </c>
      <c r="K324" s="55">
        <v>46209</v>
      </c>
      <c r="O324" s="3" t="s">
        <v>9</v>
      </c>
      <c r="R324" s="181"/>
    </row>
    <row r="325" spans="1:18" ht="15" customHeight="1">
      <c r="A325" s="177" t="s">
        <v>136</v>
      </c>
      <c r="B325" s="177"/>
      <c r="C325" s="213">
        <v>155607262</v>
      </c>
      <c r="F325" s="29" t="s">
        <v>108</v>
      </c>
      <c r="G325" s="3" t="s">
        <v>65</v>
      </c>
      <c r="H325" s="3" t="s">
        <v>109</v>
      </c>
      <c r="I325" s="55">
        <v>46178</v>
      </c>
      <c r="J325" s="55">
        <v>46182</v>
      </c>
      <c r="K325" s="55">
        <v>46209</v>
      </c>
      <c r="O325" s="3" t="s">
        <v>9</v>
      </c>
      <c r="R325" s="181"/>
    </row>
    <row r="326" spans="1:18" ht="15" customHeight="1">
      <c r="A326" s="177" t="s">
        <v>136</v>
      </c>
      <c r="B326" s="177"/>
      <c r="C326" s="213">
        <v>155607293</v>
      </c>
      <c r="F326" s="29" t="s">
        <v>108</v>
      </c>
      <c r="G326" s="3" t="s">
        <v>65</v>
      </c>
      <c r="H326" s="3" t="s">
        <v>109</v>
      </c>
      <c r="I326" s="55">
        <v>46178</v>
      </c>
      <c r="J326" s="55">
        <v>46182</v>
      </c>
      <c r="K326" s="55">
        <v>46209</v>
      </c>
      <c r="O326" s="3" t="s">
        <v>9</v>
      </c>
      <c r="R326" s="181"/>
    </row>
    <row r="327" spans="1:18" ht="15" customHeight="1">
      <c r="A327" s="177" t="s">
        <v>136</v>
      </c>
      <c r="B327" s="177"/>
      <c r="C327" s="213">
        <v>155607324</v>
      </c>
      <c r="F327" s="29" t="s">
        <v>108</v>
      </c>
      <c r="G327" s="3" t="s">
        <v>65</v>
      </c>
      <c r="H327" s="3" t="s">
        <v>109</v>
      </c>
      <c r="I327" s="55">
        <v>46178</v>
      </c>
      <c r="J327" s="55">
        <v>46182</v>
      </c>
      <c r="K327" s="55">
        <v>46209</v>
      </c>
      <c r="O327" s="3" t="s">
        <v>9</v>
      </c>
      <c r="R327" s="181"/>
    </row>
    <row r="328" spans="1:18" ht="15" customHeight="1">
      <c r="A328" s="177" t="s">
        <v>136</v>
      </c>
      <c r="B328" s="177"/>
      <c r="C328" s="213">
        <v>155607356</v>
      </c>
      <c r="F328" s="29" t="s">
        <v>108</v>
      </c>
      <c r="G328" s="3" t="s">
        <v>65</v>
      </c>
      <c r="H328" s="3" t="s">
        <v>109</v>
      </c>
      <c r="I328" s="55">
        <v>46178</v>
      </c>
      <c r="J328" s="55">
        <v>46182</v>
      </c>
      <c r="K328" s="55">
        <v>46209</v>
      </c>
      <c r="O328" s="3" t="s">
        <v>9</v>
      </c>
      <c r="R328" s="181"/>
    </row>
    <row r="329" spans="1:18" ht="15" customHeight="1">
      <c r="A329" s="177" t="s">
        <v>137</v>
      </c>
      <c r="B329" s="177"/>
      <c r="C329" s="213">
        <v>159602064</v>
      </c>
      <c r="F329" s="29" t="s">
        <v>138</v>
      </c>
      <c r="G329" s="3" t="s">
        <v>65</v>
      </c>
      <c r="H329" s="3" t="s">
        <v>30</v>
      </c>
      <c r="I329" s="55">
        <v>46181</v>
      </c>
      <c r="J329" s="55">
        <v>46184</v>
      </c>
      <c r="K329" s="55">
        <v>46211</v>
      </c>
      <c r="O329" s="3" t="s">
        <v>9</v>
      </c>
      <c r="R329" s="181"/>
    </row>
    <row r="330" spans="1:18" ht="15" customHeight="1">
      <c r="A330" s="177" t="s">
        <v>137</v>
      </c>
      <c r="B330" s="177"/>
      <c r="C330" s="213">
        <v>159602101</v>
      </c>
      <c r="F330" s="29" t="s">
        <v>138</v>
      </c>
      <c r="G330" s="3" t="s">
        <v>65</v>
      </c>
      <c r="H330" s="3" t="s">
        <v>30</v>
      </c>
      <c r="I330" s="55">
        <v>46181</v>
      </c>
      <c r="J330" s="55">
        <v>46184</v>
      </c>
      <c r="K330" s="55">
        <v>46211</v>
      </c>
      <c r="O330" s="3" t="s">
        <v>9</v>
      </c>
      <c r="R330" s="181"/>
    </row>
    <row r="331" spans="1:18" ht="15" customHeight="1">
      <c r="A331" s="177" t="s">
        <v>137</v>
      </c>
      <c r="B331" s="177"/>
      <c r="C331" s="213">
        <v>159602163</v>
      </c>
      <c r="F331" s="29" t="s">
        <v>138</v>
      </c>
      <c r="G331" s="3" t="s">
        <v>65</v>
      </c>
      <c r="H331" s="3" t="s">
        <v>30</v>
      </c>
      <c r="I331" s="55">
        <v>46181</v>
      </c>
      <c r="J331" s="55">
        <v>46184</v>
      </c>
      <c r="K331" s="55">
        <v>46211</v>
      </c>
      <c r="O331" s="3" t="s">
        <v>9</v>
      </c>
      <c r="R331" s="181"/>
    </row>
    <row r="332" spans="1:18" ht="15" customHeight="1">
      <c r="A332" s="177" t="s">
        <v>137</v>
      </c>
      <c r="B332" s="177"/>
      <c r="C332" s="213">
        <v>159602230</v>
      </c>
      <c r="F332" s="29" t="s">
        <v>138</v>
      </c>
      <c r="G332" s="3" t="s">
        <v>65</v>
      </c>
      <c r="H332" s="3" t="s">
        <v>30</v>
      </c>
      <c r="I332" s="55">
        <v>46181</v>
      </c>
      <c r="J332" s="55">
        <v>46184</v>
      </c>
      <c r="K332" s="55">
        <v>46211</v>
      </c>
      <c r="O332" s="3" t="s">
        <v>9</v>
      </c>
      <c r="R332" s="181"/>
    </row>
    <row r="333" spans="1:18" ht="15" customHeight="1">
      <c r="A333" s="177" t="s">
        <v>137</v>
      </c>
      <c r="B333" s="177"/>
      <c r="C333" s="213">
        <v>159602265</v>
      </c>
      <c r="F333" s="29" t="s">
        <v>138</v>
      </c>
      <c r="G333" s="3" t="s">
        <v>65</v>
      </c>
      <c r="H333" s="3" t="s">
        <v>30</v>
      </c>
      <c r="I333" s="55">
        <v>46181</v>
      </c>
      <c r="J333" s="55">
        <v>46184</v>
      </c>
      <c r="K333" s="55">
        <v>46211</v>
      </c>
      <c r="O333" s="3" t="s">
        <v>9</v>
      </c>
      <c r="R333" s="181"/>
    </row>
    <row r="334" spans="1:18" ht="15" customHeight="1">
      <c r="A334" s="177" t="s">
        <v>137</v>
      </c>
      <c r="B334" s="177"/>
      <c r="C334" s="213">
        <v>159602287</v>
      </c>
      <c r="F334" s="29" t="s">
        <v>138</v>
      </c>
      <c r="G334" s="3" t="s">
        <v>65</v>
      </c>
      <c r="H334" s="3" t="s">
        <v>30</v>
      </c>
      <c r="I334" s="55">
        <v>46181</v>
      </c>
      <c r="J334" s="55">
        <v>46184</v>
      </c>
      <c r="K334" s="55">
        <v>46211</v>
      </c>
      <c r="O334" s="3" t="s">
        <v>9</v>
      </c>
      <c r="R334" s="181"/>
    </row>
    <row r="335" spans="1:18" ht="15" customHeight="1">
      <c r="A335" s="177" t="s">
        <v>137</v>
      </c>
      <c r="B335" s="177"/>
      <c r="C335" s="213">
        <v>159602309</v>
      </c>
      <c r="F335" s="29" t="s">
        <v>138</v>
      </c>
      <c r="G335" s="3" t="s">
        <v>65</v>
      </c>
      <c r="H335" s="3" t="s">
        <v>30</v>
      </c>
      <c r="I335" s="55">
        <v>46181</v>
      </c>
      <c r="J335" s="55">
        <v>46184</v>
      </c>
      <c r="K335" s="55">
        <v>46211</v>
      </c>
      <c r="O335" s="3" t="s">
        <v>9</v>
      </c>
      <c r="R335" s="181"/>
    </row>
    <row r="336" spans="1:18" ht="15" customHeight="1">
      <c r="A336" s="177" t="s">
        <v>137</v>
      </c>
      <c r="B336" s="177"/>
      <c r="C336" s="213">
        <v>159602365</v>
      </c>
      <c r="F336" s="29" t="s">
        <v>138</v>
      </c>
      <c r="G336" s="3" t="s">
        <v>65</v>
      </c>
      <c r="H336" s="3" t="s">
        <v>30</v>
      </c>
      <c r="I336" s="55">
        <v>46181</v>
      </c>
      <c r="J336" s="55">
        <v>46184</v>
      </c>
      <c r="K336" s="55">
        <v>46211</v>
      </c>
      <c r="O336" s="3" t="s">
        <v>9</v>
      </c>
      <c r="R336" s="181"/>
    </row>
    <row r="337" spans="1:18" ht="15" customHeight="1">
      <c r="A337" s="177" t="s">
        <v>137</v>
      </c>
      <c r="B337" s="177"/>
      <c r="C337" s="213">
        <v>159602378</v>
      </c>
      <c r="F337" s="29" t="s">
        <v>138</v>
      </c>
      <c r="G337" s="3" t="s">
        <v>65</v>
      </c>
      <c r="H337" s="3" t="s">
        <v>30</v>
      </c>
      <c r="I337" s="55">
        <v>46181</v>
      </c>
      <c r="J337" s="55">
        <v>46184</v>
      </c>
      <c r="K337" s="55">
        <v>46211</v>
      </c>
      <c r="O337" s="3" t="s">
        <v>9</v>
      </c>
      <c r="R337" s="181"/>
    </row>
    <row r="338" spans="1:18" ht="15" customHeight="1">
      <c r="A338" s="177" t="s">
        <v>137</v>
      </c>
      <c r="B338" s="177"/>
      <c r="C338" s="213">
        <v>159602452</v>
      </c>
      <c r="F338" s="29" t="s">
        <v>138</v>
      </c>
      <c r="G338" s="3" t="s">
        <v>65</v>
      </c>
      <c r="H338" s="3" t="s">
        <v>30</v>
      </c>
      <c r="I338" s="55">
        <v>46181</v>
      </c>
      <c r="J338" s="55">
        <v>46184</v>
      </c>
      <c r="K338" s="55">
        <v>46211</v>
      </c>
      <c r="O338" s="3" t="s">
        <v>9</v>
      </c>
      <c r="R338" s="181"/>
    </row>
    <row r="339" spans="1:18" ht="15" customHeight="1">
      <c r="A339" s="177" t="s">
        <v>137</v>
      </c>
      <c r="B339" s="177"/>
      <c r="C339" s="213">
        <v>159602544</v>
      </c>
      <c r="F339" s="29" t="s">
        <v>138</v>
      </c>
      <c r="G339" s="3" t="s">
        <v>65</v>
      </c>
      <c r="H339" s="3" t="s">
        <v>30</v>
      </c>
      <c r="I339" s="55">
        <v>46181</v>
      </c>
      <c r="J339" s="55">
        <v>46184</v>
      </c>
      <c r="K339" s="55">
        <v>46211</v>
      </c>
      <c r="O339" s="3" t="s">
        <v>9</v>
      </c>
      <c r="R339" s="181"/>
    </row>
    <row r="340" spans="1:18" ht="15" customHeight="1">
      <c r="A340" s="177" t="s">
        <v>137</v>
      </c>
      <c r="B340" s="177"/>
      <c r="C340" s="213">
        <v>159602563</v>
      </c>
      <c r="F340" s="29" t="s">
        <v>138</v>
      </c>
      <c r="G340" s="3" t="s">
        <v>65</v>
      </c>
      <c r="H340" s="3" t="s">
        <v>30</v>
      </c>
      <c r="I340" s="55">
        <v>46181</v>
      </c>
      <c r="J340" s="55">
        <v>46184</v>
      </c>
      <c r="K340" s="55">
        <v>46211</v>
      </c>
      <c r="O340" s="3" t="s">
        <v>9</v>
      </c>
      <c r="R340" s="181"/>
    </row>
    <row r="341" spans="1:18" ht="15" customHeight="1">
      <c r="A341" s="177" t="s">
        <v>137</v>
      </c>
      <c r="B341" s="177"/>
      <c r="C341" s="213">
        <v>159602656</v>
      </c>
      <c r="F341" s="29" t="s">
        <v>138</v>
      </c>
      <c r="G341" s="3" t="s">
        <v>65</v>
      </c>
      <c r="H341" s="3" t="s">
        <v>30</v>
      </c>
      <c r="I341" s="55">
        <v>46181</v>
      </c>
      <c r="J341" s="55">
        <v>46184</v>
      </c>
      <c r="K341" s="55">
        <v>46211</v>
      </c>
      <c r="O341" s="3" t="s">
        <v>9</v>
      </c>
      <c r="R341" s="181"/>
    </row>
    <row r="342" spans="1:18" ht="15" customHeight="1">
      <c r="A342" s="177" t="s">
        <v>137</v>
      </c>
      <c r="B342" s="177"/>
      <c r="C342" s="213">
        <v>159602706</v>
      </c>
      <c r="F342" s="29" t="s">
        <v>138</v>
      </c>
      <c r="G342" s="3" t="s">
        <v>65</v>
      </c>
      <c r="H342" s="3" t="s">
        <v>30</v>
      </c>
      <c r="I342" s="55">
        <v>46181</v>
      </c>
      <c r="J342" s="55">
        <v>46184</v>
      </c>
      <c r="K342" s="55">
        <v>46211</v>
      </c>
      <c r="O342" s="3" t="s">
        <v>9</v>
      </c>
      <c r="R342" s="181"/>
    </row>
    <row r="343" spans="1:18" ht="15" customHeight="1">
      <c r="A343" s="177" t="s">
        <v>137</v>
      </c>
      <c r="B343" s="177"/>
      <c r="C343" s="213">
        <v>159602740</v>
      </c>
      <c r="F343" s="29" t="s">
        <v>138</v>
      </c>
      <c r="G343" s="3" t="s">
        <v>65</v>
      </c>
      <c r="H343" s="3" t="s">
        <v>30</v>
      </c>
      <c r="I343" s="55">
        <v>46181</v>
      </c>
      <c r="J343" s="55">
        <v>46184</v>
      </c>
      <c r="K343" s="55">
        <v>46211</v>
      </c>
      <c r="O343" s="3" t="s">
        <v>9</v>
      </c>
      <c r="R343" s="181"/>
    </row>
    <row r="344" spans="1:18" ht="15" customHeight="1">
      <c r="A344" s="177" t="s">
        <v>137</v>
      </c>
      <c r="B344" s="177"/>
      <c r="C344" s="213">
        <v>159602756</v>
      </c>
      <c r="F344" s="29" t="s">
        <v>138</v>
      </c>
      <c r="G344" s="3" t="s">
        <v>65</v>
      </c>
      <c r="H344" s="3" t="s">
        <v>30</v>
      </c>
      <c r="I344" s="55">
        <v>46181</v>
      </c>
      <c r="J344" s="55">
        <v>46184</v>
      </c>
      <c r="K344" s="55">
        <v>46211</v>
      </c>
      <c r="O344" s="3" t="s">
        <v>9</v>
      </c>
      <c r="R344" s="181"/>
    </row>
    <row r="345" spans="1:18" ht="15" customHeight="1">
      <c r="A345" s="177" t="s">
        <v>137</v>
      </c>
      <c r="B345" s="177"/>
      <c r="C345" s="213">
        <v>159602798</v>
      </c>
      <c r="F345" s="29" t="s">
        <v>138</v>
      </c>
      <c r="G345" s="3" t="s">
        <v>65</v>
      </c>
      <c r="H345" s="3" t="s">
        <v>30</v>
      </c>
      <c r="I345" s="55">
        <v>46181</v>
      </c>
      <c r="J345" s="55">
        <v>46184</v>
      </c>
      <c r="K345" s="55">
        <v>46211</v>
      </c>
      <c r="O345" s="3" t="s">
        <v>9</v>
      </c>
      <c r="R345" s="181"/>
    </row>
    <row r="346" spans="1:18" ht="15" customHeight="1">
      <c r="A346" s="177" t="s">
        <v>139</v>
      </c>
      <c r="B346" s="177"/>
      <c r="C346" s="213">
        <v>159603272</v>
      </c>
      <c r="F346" s="29" t="s">
        <v>138</v>
      </c>
      <c r="G346" s="3" t="s">
        <v>65</v>
      </c>
      <c r="H346" s="3" t="s">
        <v>30</v>
      </c>
      <c r="I346" s="55">
        <v>46181</v>
      </c>
      <c r="J346" s="55">
        <v>46184</v>
      </c>
      <c r="K346" s="55">
        <v>46211</v>
      </c>
      <c r="O346" s="3" t="s">
        <v>10</v>
      </c>
      <c r="P346" s="55">
        <v>46186</v>
      </c>
      <c r="R346" s="181"/>
    </row>
    <row r="347" spans="1:18" ht="15" customHeight="1">
      <c r="A347" s="177" t="s">
        <v>139</v>
      </c>
      <c r="B347" s="177"/>
      <c r="C347" s="213">
        <v>159603337</v>
      </c>
      <c r="F347" s="29" t="s">
        <v>138</v>
      </c>
      <c r="G347" s="3" t="s">
        <v>65</v>
      </c>
      <c r="H347" s="3" t="s">
        <v>30</v>
      </c>
      <c r="I347" s="55">
        <v>46181</v>
      </c>
      <c r="J347" s="55">
        <v>46184</v>
      </c>
      <c r="K347" s="55">
        <v>46211</v>
      </c>
      <c r="O347" s="3" t="s">
        <v>10</v>
      </c>
      <c r="P347" s="55">
        <v>46190</v>
      </c>
      <c r="R347" s="181"/>
    </row>
    <row r="348" spans="1:18" ht="15" customHeight="1">
      <c r="A348" s="177" t="s">
        <v>139</v>
      </c>
      <c r="B348" s="177"/>
      <c r="C348" s="213">
        <v>159603381</v>
      </c>
      <c r="F348" s="29" t="s">
        <v>138</v>
      </c>
      <c r="G348" s="3" t="s">
        <v>65</v>
      </c>
      <c r="H348" s="3" t="s">
        <v>30</v>
      </c>
      <c r="I348" s="55">
        <v>46181</v>
      </c>
      <c r="J348" s="55">
        <v>46184</v>
      </c>
      <c r="K348" s="55">
        <v>46211</v>
      </c>
      <c r="O348" s="3" t="s">
        <v>10</v>
      </c>
      <c r="P348" s="55">
        <v>46188</v>
      </c>
      <c r="R348" s="181"/>
    </row>
    <row r="349" spans="1:18" ht="15" customHeight="1">
      <c r="A349" s="177" t="s">
        <v>139</v>
      </c>
      <c r="B349" s="177"/>
      <c r="C349" s="213">
        <v>159603420</v>
      </c>
      <c r="F349" s="29" t="s">
        <v>138</v>
      </c>
      <c r="G349" s="3" t="s">
        <v>65</v>
      </c>
      <c r="H349" s="3" t="s">
        <v>30</v>
      </c>
      <c r="I349" s="55">
        <v>46181</v>
      </c>
      <c r="J349" s="55">
        <v>46184</v>
      </c>
      <c r="K349" s="55">
        <v>46211</v>
      </c>
      <c r="O349" s="3" t="s">
        <v>10</v>
      </c>
      <c r="P349" s="55">
        <v>46188</v>
      </c>
      <c r="R349" s="181"/>
    </row>
    <row r="350" spans="1:18" ht="15" customHeight="1">
      <c r="A350" s="177" t="s">
        <v>139</v>
      </c>
      <c r="B350" s="177"/>
      <c r="C350" s="213">
        <v>159603461</v>
      </c>
      <c r="F350" s="29" t="s">
        <v>138</v>
      </c>
      <c r="G350" s="3" t="s">
        <v>65</v>
      </c>
      <c r="H350" s="3" t="s">
        <v>30</v>
      </c>
      <c r="I350" s="55">
        <v>46181</v>
      </c>
      <c r="J350" s="55">
        <v>46184</v>
      </c>
      <c r="K350" s="55">
        <v>46211</v>
      </c>
      <c r="O350" s="3" t="s">
        <v>9</v>
      </c>
      <c r="R350" s="181"/>
    </row>
    <row r="351" spans="1:18" ht="15" customHeight="1">
      <c r="A351" s="177" t="s">
        <v>139</v>
      </c>
      <c r="B351" s="177"/>
      <c r="C351" s="213">
        <v>159603495</v>
      </c>
      <c r="F351" s="29" t="s">
        <v>138</v>
      </c>
      <c r="G351" s="3" t="s">
        <v>65</v>
      </c>
      <c r="H351" s="3" t="s">
        <v>30</v>
      </c>
      <c r="I351" s="55">
        <v>46181</v>
      </c>
      <c r="J351" s="55">
        <v>46184</v>
      </c>
      <c r="K351" s="55">
        <v>46211</v>
      </c>
      <c r="O351" s="3" t="s">
        <v>10</v>
      </c>
      <c r="P351" s="55">
        <v>46184</v>
      </c>
      <c r="R351" s="181"/>
    </row>
    <row r="352" spans="1:18" ht="15" customHeight="1">
      <c r="A352" s="177" t="s">
        <v>139</v>
      </c>
      <c r="B352" s="177"/>
      <c r="C352" s="213">
        <v>159603511</v>
      </c>
      <c r="F352" s="29" t="s">
        <v>138</v>
      </c>
      <c r="G352" s="3" t="s">
        <v>65</v>
      </c>
      <c r="H352" s="3" t="s">
        <v>30</v>
      </c>
      <c r="I352" s="55">
        <v>46181</v>
      </c>
      <c r="J352" s="55">
        <v>46184</v>
      </c>
      <c r="K352" s="55">
        <v>46211</v>
      </c>
      <c r="O352" s="3" t="s">
        <v>10</v>
      </c>
      <c r="P352" s="55">
        <v>46184</v>
      </c>
      <c r="R352" s="181"/>
    </row>
    <row r="353" spans="1:18" ht="15" customHeight="1">
      <c r="A353" s="177" t="s">
        <v>139</v>
      </c>
      <c r="B353" s="177"/>
      <c r="C353" s="213">
        <v>159603538</v>
      </c>
      <c r="F353" s="29" t="s">
        <v>138</v>
      </c>
      <c r="G353" s="3" t="s">
        <v>65</v>
      </c>
      <c r="H353" s="3" t="s">
        <v>30</v>
      </c>
      <c r="I353" s="55">
        <v>46181</v>
      </c>
      <c r="J353" s="55">
        <v>46184</v>
      </c>
      <c r="K353" s="55">
        <v>46211</v>
      </c>
      <c r="O353" s="3" t="s">
        <v>9</v>
      </c>
      <c r="R353" s="181"/>
    </row>
    <row r="354" spans="1:18" ht="15" customHeight="1">
      <c r="A354" s="177" t="s">
        <v>139</v>
      </c>
      <c r="B354" s="177"/>
      <c r="C354" s="213">
        <v>159603593</v>
      </c>
      <c r="F354" s="29" t="s">
        <v>138</v>
      </c>
      <c r="G354" s="3" t="s">
        <v>65</v>
      </c>
      <c r="H354" s="3" t="s">
        <v>30</v>
      </c>
      <c r="I354" s="55">
        <v>46181</v>
      </c>
      <c r="J354" s="55">
        <v>46184</v>
      </c>
      <c r="K354" s="55">
        <v>46211</v>
      </c>
      <c r="O354" s="3" t="s">
        <v>10</v>
      </c>
      <c r="P354" s="55">
        <v>46188</v>
      </c>
      <c r="R354" s="181"/>
    </row>
    <row r="355" spans="1:18" ht="15" customHeight="1">
      <c r="A355" s="177" t="s">
        <v>139</v>
      </c>
      <c r="B355" s="177"/>
      <c r="C355" s="213">
        <v>159603634</v>
      </c>
      <c r="F355" s="29" t="s">
        <v>138</v>
      </c>
      <c r="G355" s="3" t="s">
        <v>65</v>
      </c>
      <c r="H355" s="3" t="s">
        <v>30</v>
      </c>
      <c r="I355" s="55">
        <v>46181</v>
      </c>
      <c r="J355" s="55">
        <v>46184</v>
      </c>
      <c r="K355" s="55">
        <v>46211</v>
      </c>
      <c r="O355" s="3" t="s">
        <v>10</v>
      </c>
      <c r="P355" s="55">
        <v>46188</v>
      </c>
      <c r="R355" s="181"/>
    </row>
    <row r="356" spans="1:18" ht="15" customHeight="1">
      <c r="A356" s="177" t="s">
        <v>139</v>
      </c>
      <c r="B356" s="177"/>
      <c r="C356" s="213">
        <v>159603674</v>
      </c>
      <c r="F356" s="29" t="s">
        <v>138</v>
      </c>
      <c r="G356" s="3" t="s">
        <v>65</v>
      </c>
      <c r="H356" s="3" t="s">
        <v>30</v>
      </c>
      <c r="I356" s="55">
        <v>46181</v>
      </c>
      <c r="J356" s="55">
        <v>46184</v>
      </c>
      <c r="K356" s="55">
        <v>46211</v>
      </c>
      <c r="O356" s="3" t="s">
        <v>10</v>
      </c>
      <c r="P356" s="55">
        <v>46188</v>
      </c>
      <c r="R356" s="181"/>
    </row>
    <row r="357" spans="1:18" ht="15" customHeight="1">
      <c r="A357" s="177" t="s">
        <v>139</v>
      </c>
      <c r="B357" s="177"/>
      <c r="C357" s="213">
        <v>159603696</v>
      </c>
      <c r="F357" s="29" t="s">
        <v>138</v>
      </c>
      <c r="G357" s="3" t="s">
        <v>65</v>
      </c>
      <c r="H357" s="3" t="s">
        <v>30</v>
      </c>
      <c r="I357" s="55">
        <v>46181</v>
      </c>
      <c r="J357" s="55">
        <v>46184</v>
      </c>
      <c r="K357" s="55">
        <v>46211</v>
      </c>
      <c r="O357" s="3" t="s">
        <v>10</v>
      </c>
      <c r="P357" s="55">
        <v>46188</v>
      </c>
      <c r="R357" s="181"/>
    </row>
    <row r="358" spans="1:18" ht="15" customHeight="1">
      <c r="A358" s="177" t="s">
        <v>139</v>
      </c>
      <c r="B358" s="177"/>
      <c r="C358" s="213">
        <v>159603745</v>
      </c>
      <c r="F358" s="29" t="s">
        <v>138</v>
      </c>
      <c r="G358" s="3" t="s">
        <v>65</v>
      </c>
      <c r="H358" s="3" t="s">
        <v>30</v>
      </c>
      <c r="I358" s="55">
        <v>46181</v>
      </c>
      <c r="J358" s="55">
        <v>46184</v>
      </c>
      <c r="K358" s="55">
        <v>46211</v>
      </c>
      <c r="O358" s="3" t="s">
        <v>9</v>
      </c>
      <c r="R358" s="181"/>
    </row>
    <row r="359" spans="1:18" ht="15" customHeight="1">
      <c r="A359" s="177" t="s">
        <v>139</v>
      </c>
      <c r="B359" s="177"/>
      <c r="C359" s="213">
        <v>159603777</v>
      </c>
      <c r="F359" s="29" t="s">
        <v>138</v>
      </c>
      <c r="G359" s="3" t="s">
        <v>65</v>
      </c>
      <c r="H359" s="3" t="s">
        <v>30</v>
      </c>
      <c r="I359" s="55">
        <v>46181</v>
      </c>
      <c r="J359" s="55">
        <v>46184</v>
      </c>
      <c r="K359" s="55">
        <v>46211</v>
      </c>
      <c r="O359" s="3" t="s">
        <v>9</v>
      </c>
      <c r="R359" s="181"/>
    </row>
    <row r="360" spans="1:18" ht="15" customHeight="1">
      <c r="A360" s="177" t="s">
        <v>140</v>
      </c>
      <c r="B360" s="177"/>
      <c r="C360" s="213">
        <v>155606002</v>
      </c>
      <c r="F360" s="29" t="s">
        <v>91</v>
      </c>
      <c r="G360" s="3" t="s">
        <v>65</v>
      </c>
      <c r="H360" s="3" t="s">
        <v>92</v>
      </c>
      <c r="I360" s="55">
        <v>46177</v>
      </c>
      <c r="J360" s="55">
        <v>46181</v>
      </c>
      <c r="K360" s="55">
        <v>46207</v>
      </c>
      <c r="O360" s="3" t="s">
        <v>10</v>
      </c>
      <c r="P360" s="55">
        <v>46183</v>
      </c>
      <c r="R360" s="181"/>
    </row>
    <row r="361" spans="1:18" ht="15" customHeight="1">
      <c r="A361" s="177" t="s">
        <v>140</v>
      </c>
      <c r="B361" s="177"/>
      <c r="C361" s="213">
        <v>155606124</v>
      </c>
      <c r="F361" s="29" t="s">
        <v>91</v>
      </c>
      <c r="G361" s="3" t="s">
        <v>65</v>
      </c>
      <c r="H361" s="3" t="s">
        <v>92</v>
      </c>
      <c r="I361" s="55">
        <v>46177</v>
      </c>
      <c r="J361" s="55">
        <v>46181</v>
      </c>
      <c r="K361" s="55">
        <v>46207</v>
      </c>
      <c r="O361" s="3" t="s">
        <v>10</v>
      </c>
      <c r="P361" s="55">
        <v>46183</v>
      </c>
      <c r="R361" s="181"/>
    </row>
    <row r="362" spans="1:18" ht="15" customHeight="1">
      <c r="A362" s="177" t="s">
        <v>140</v>
      </c>
      <c r="B362" s="177"/>
      <c r="C362" s="213">
        <v>155606226</v>
      </c>
      <c r="F362" s="29" t="s">
        <v>91</v>
      </c>
      <c r="G362" s="3" t="s">
        <v>65</v>
      </c>
      <c r="H362" s="3" t="s">
        <v>92</v>
      </c>
      <c r="I362" s="55">
        <v>46177</v>
      </c>
      <c r="J362" s="55">
        <v>46181</v>
      </c>
      <c r="K362" s="55">
        <v>46207</v>
      </c>
      <c r="O362" s="3" t="s">
        <v>10</v>
      </c>
      <c r="P362" s="55">
        <v>46183</v>
      </c>
      <c r="R362" s="181"/>
    </row>
    <row r="363" spans="1:18" ht="15" customHeight="1">
      <c r="A363" s="177" t="s">
        <v>140</v>
      </c>
      <c r="B363" s="177"/>
      <c r="C363" s="213">
        <v>155606313</v>
      </c>
      <c r="F363" s="29" t="s">
        <v>91</v>
      </c>
      <c r="G363" s="3" t="s">
        <v>65</v>
      </c>
      <c r="H363" s="3" t="s">
        <v>92</v>
      </c>
      <c r="I363" s="55">
        <v>46177</v>
      </c>
      <c r="J363" s="55">
        <v>46181</v>
      </c>
      <c r="K363" s="55">
        <v>46207</v>
      </c>
      <c r="O363" s="3" t="s">
        <v>10</v>
      </c>
      <c r="P363" s="55">
        <v>46190</v>
      </c>
      <c r="R363" s="181"/>
    </row>
    <row r="364" spans="1:18" ht="15" customHeight="1">
      <c r="A364" s="177" t="s">
        <v>140</v>
      </c>
      <c r="B364" s="177"/>
      <c r="C364" s="213">
        <v>155606473</v>
      </c>
      <c r="F364" s="29" t="s">
        <v>91</v>
      </c>
      <c r="G364" s="3" t="s">
        <v>65</v>
      </c>
      <c r="H364" s="3" t="s">
        <v>92</v>
      </c>
      <c r="I364" s="55">
        <v>46177</v>
      </c>
      <c r="J364" s="55">
        <v>46181</v>
      </c>
      <c r="K364" s="55">
        <v>46207</v>
      </c>
      <c r="O364" s="3" t="s">
        <v>10</v>
      </c>
      <c r="P364" s="55">
        <v>46190</v>
      </c>
      <c r="R364" s="181"/>
    </row>
    <row r="365" spans="1:18" ht="15" customHeight="1">
      <c r="A365" s="177" t="s">
        <v>140</v>
      </c>
      <c r="B365" s="177"/>
      <c r="C365" s="213">
        <v>155606598</v>
      </c>
      <c r="F365" s="29" t="s">
        <v>91</v>
      </c>
      <c r="G365" s="3" t="s">
        <v>65</v>
      </c>
      <c r="H365" s="3" t="s">
        <v>92</v>
      </c>
      <c r="I365" s="55">
        <v>46177</v>
      </c>
      <c r="J365" s="55">
        <v>46181</v>
      </c>
      <c r="K365" s="55">
        <v>46207</v>
      </c>
      <c r="O365" s="3" t="s">
        <v>10</v>
      </c>
      <c r="P365" s="55">
        <v>46183</v>
      </c>
      <c r="R365" s="181"/>
    </row>
    <row r="366" spans="1:18" ht="15" customHeight="1">
      <c r="A366" s="177" t="s">
        <v>140</v>
      </c>
      <c r="B366" s="177"/>
      <c r="C366" s="213">
        <v>155606693</v>
      </c>
      <c r="F366" s="29" t="s">
        <v>91</v>
      </c>
      <c r="G366" s="3" t="s">
        <v>65</v>
      </c>
      <c r="H366" s="3" t="s">
        <v>92</v>
      </c>
      <c r="I366" s="55">
        <v>46177</v>
      </c>
      <c r="J366" s="55">
        <v>46181</v>
      </c>
      <c r="K366" s="55">
        <v>46207</v>
      </c>
      <c r="O366" s="3" t="s">
        <v>10</v>
      </c>
      <c r="R366" s="181"/>
    </row>
    <row r="367" spans="1:18" ht="15" customHeight="1">
      <c r="A367" s="177" t="s">
        <v>141</v>
      </c>
      <c r="B367" s="177"/>
      <c r="C367" s="213">
        <v>155606980</v>
      </c>
      <c r="F367" s="29" t="s">
        <v>91</v>
      </c>
      <c r="G367" s="3" t="s">
        <v>65</v>
      </c>
      <c r="H367" s="3" t="s">
        <v>92</v>
      </c>
      <c r="I367" s="55">
        <v>46177</v>
      </c>
      <c r="J367" s="55">
        <v>46181</v>
      </c>
      <c r="K367" s="55">
        <v>46207</v>
      </c>
      <c r="O367" s="3" t="s">
        <v>9</v>
      </c>
      <c r="R367" s="181"/>
    </row>
    <row r="368" spans="1:18" ht="15" customHeight="1">
      <c r="A368" s="177" t="s">
        <v>141</v>
      </c>
      <c r="B368" s="177"/>
      <c r="C368" s="213">
        <v>155607049</v>
      </c>
      <c r="F368" s="29" t="s">
        <v>91</v>
      </c>
      <c r="G368" s="3" t="s">
        <v>65</v>
      </c>
      <c r="H368" s="3" t="s">
        <v>92</v>
      </c>
      <c r="I368" s="55">
        <v>46177</v>
      </c>
      <c r="J368" s="55">
        <v>46181</v>
      </c>
      <c r="K368" s="55">
        <v>46207</v>
      </c>
      <c r="O368" s="3" t="s">
        <v>9</v>
      </c>
      <c r="R368" s="181"/>
    </row>
    <row r="369" spans="1:18" ht="15" customHeight="1">
      <c r="A369" s="177" t="s">
        <v>141</v>
      </c>
      <c r="B369" s="177"/>
      <c r="C369" s="213">
        <v>155607167</v>
      </c>
      <c r="F369" s="29" t="s">
        <v>91</v>
      </c>
      <c r="G369" s="3" t="s">
        <v>65</v>
      </c>
      <c r="H369" s="3" t="s">
        <v>92</v>
      </c>
      <c r="I369" s="55">
        <v>46177</v>
      </c>
      <c r="J369" s="55">
        <v>46181</v>
      </c>
      <c r="K369" s="55">
        <v>46207</v>
      </c>
      <c r="O369" s="3" t="s">
        <v>9</v>
      </c>
      <c r="R369" s="181"/>
    </row>
    <row r="370" spans="1:18" ht="15" customHeight="1">
      <c r="A370" s="177" t="s">
        <v>141</v>
      </c>
      <c r="B370" s="177"/>
      <c r="C370" s="213">
        <v>155607257</v>
      </c>
      <c r="F370" s="29" t="s">
        <v>91</v>
      </c>
      <c r="G370" s="3" t="s">
        <v>65</v>
      </c>
      <c r="H370" s="3" t="s">
        <v>92</v>
      </c>
      <c r="I370" s="55">
        <v>46177</v>
      </c>
      <c r="J370" s="55">
        <v>46181</v>
      </c>
      <c r="K370" s="55">
        <v>46207</v>
      </c>
      <c r="O370" s="3" t="s">
        <v>9</v>
      </c>
      <c r="R370" s="181"/>
    </row>
    <row r="371" spans="1:18" ht="15" customHeight="1">
      <c r="A371" s="177" t="s">
        <v>141</v>
      </c>
      <c r="B371" s="177"/>
      <c r="C371" s="213">
        <v>155607368</v>
      </c>
      <c r="F371" s="29" t="s">
        <v>91</v>
      </c>
      <c r="G371" s="3" t="s">
        <v>65</v>
      </c>
      <c r="H371" s="3" t="s">
        <v>92</v>
      </c>
      <c r="I371" s="55">
        <v>46177</v>
      </c>
      <c r="J371" s="55">
        <v>46181</v>
      </c>
      <c r="K371" s="55">
        <v>46207</v>
      </c>
      <c r="O371" s="3" t="s">
        <v>9</v>
      </c>
      <c r="R371" s="181"/>
    </row>
    <row r="372" spans="1:18" ht="15" customHeight="1">
      <c r="A372" s="177" t="s">
        <v>141</v>
      </c>
      <c r="B372" s="177"/>
      <c r="C372" s="213">
        <v>155607436</v>
      </c>
      <c r="F372" s="29" t="s">
        <v>91</v>
      </c>
      <c r="G372" s="3" t="s">
        <v>65</v>
      </c>
      <c r="H372" s="3" t="s">
        <v>92</v>
      </c>
      <c r="I372" s="55">
        <v>46177</v>
      </c>
      <c r="J372" s="55">
        <v>46181</v>
      </c>
      <c r="K372" s="55">
        <v>46207</v>
      </c>
      <c r="O372" s="3" t="s">
        <v>9</v>
      </c>
      <c r="R372" s="181"/>
    </row>
    <row r="373" spans="1:18" ht="15" customHeight="1">
      <c r="A373" s="177" t="s">
        <v>141</v>
      </c>
      <c r="B373" s="177"/>
      <c r="C373" s="213">
        <v>155607502</v>
      </c>
      <c r="F373" s="29" t="s">
        <v>91</v>
      </c>
      <c r="G373" s="3" t="s">
        <v>65</v>
      </c>
      <c r="H373" s="3" t="s">
        <v>92</v>
      </c>
      <c r="I373" s="55">
        <v>46177</v>
      </c>
      <c r="J373" s="55">
        <v>46181</v>
      </c>
      <c r="K373" s="55">
        <v>46207</v>
      </c>
      <c r="O373" s="3" t="s">
        <v>9</v>
      </c>
      <c r="R373" s="181"/>
    </row>
    <row r="374" spans="1:18" ht="15" customHeight="1">
      <c r="A374" s="177" t="s">
        <v>141</v>
      </c>
      <c r="B374" s="177"/>
      <c r="C374" s="213">
        <v>155607599</v>
      </c>
      <c r="F374" s="29" t="s">
        <v>91</v>
      </c>
      <c r="G374" s="3" t="s">
        <v>65</v>
      </c>
      <c r="H374" s="3" t="s">
        <v>92</v>
      </c>
      <c r="I374" s="55">
        <v>46177</v>
      </c>
      <c r="J374" s="55">
        <v>46181</v>
      </c>
      <c r="K374" s="55">
        <v>46207</v>
      </c>
      <c r="O374" s="3" t="s">
        <v>9</v>
      </c>
      <c r="R374" s="181"/>
    </row>
    <row r="375" spans="1:18" ht="15" customHeight="1">
      <c r="A375" s="177" t="s">
        <v>141</v>
      </c>
      <c r="B375" s="177"/>
      <c r="C375" s="213">
        <v>155607633</v>
      </c>
      <c r="F375" s="29" t="s">
        <v>91</v>
      </c>
      <c r="G375" s="3" t="s">
        <v>65</v>
      </c>
      <c r="H375" s="3" t="s">
        <v>92</v>
      </c>
      <c r="I375" s="55">
        <v>46177</v>
      </c>
      <c r="J375" s="55">
        <v>46181</v>
      </c>
      <c r="K375" s="55">
        <v>46207</v>
      </c>
      <c r="O375" s="3" t="s">
        <v>9</v>
      </c>
      <c r="R375" s="181"/>
    </row>
    <row r="376" spans="1:18" ht="15" customHeight="1">
      <c r="A376" s="177" t="s">
        <v>141</v>
      </c>
      <c r="B376" s="177"/>
      <c r="C376" s="213">
        <v>155607725</v>
      </c>
      <c r="F376" s="29" t="s">
        <v>91</v>
      </c>
      <c r="G376" s="3" t="s">
        <v>65</v>
      </c>
      <c r="H376" s="3" t="s">
        <v>92</v>
      </c>
      <c r="I376" s="55">
        <v>46177</v>
      </c>
      <c r="J376" s="55">
        <v>46181</v>
      </c>
      <c r="K376" s="55">
        <v>46207</v>
      </c>
      <c r="O376" s="3" t="s">
        <v>9</v>
      </c>
      <c r="R376" s="181"/>
    </row>
    <row r="377" spans="1:18" ht="15" customHeight="1">
      <c r="A377" s="177" t="s">
        <v>142</v>
      </c>
      <c r="B377" s="177"/>
      <c r="C377" s="213">
        <v>156607682</v>
      </c>
      <c r="F377" s="29" t="s">
        <v>143</v>
      </c>
      <c r="G377" s="3" t="s">
        <v>65</v>
      </c>
      <c r="H377" s="3" t="s">
        <v>144</v>
      </c>
      <c r="I377" s="55">
        <v>46178</v>
      </c>
      <c r="K377" s="55">
        <v>46208</v>
      </c>
      <c r="O377" s="3" t="s">
        <v>9</v>
      </c>
      <c r="R377" s="181"/>
    </row>
    <row r="378" spans="1:18" ht="15" customHeight="1">
      <c r="A378" s="177" t="s">
        <v>142</v>
      </c>
      <c r="B378" s="177"/>
      <c r="C378" s="213">
        <v>156607684</v>
      </c>
      <c r="F378" s="29" t="s">
        <v>143</v>
      </c>
      <c r="G378" s="3" t="s">
        <v>65</v>
      </c>
      <c r="H378" s="3" t="s">
        <v>144</v>
      </c>
      <c r="I378" s="55">
        <v>46178</v>
      </c>
      <c r="K378" s="55">
        <v>46208</v>
      </c>
      <c r="O378" s="3" t="s">
        <v>9</v>
      </c>
      <c r="R378" s="181"/>
    </row>
    <row r="379" spans="1:18" ht="15" customHeight="1">
      <c r="A379" s="177" t="s">
        <v>142</v>
      </c>
      <c r="B379" s="177"/>
      <c r="C379" s="213">
        <v>156607693</v>
      </c>
      <c r="F379" s="29" t="s">
        <v>143</v>
      </c>
      <c r="G379" s="3" t="s">
        <v>65</v>
      </c>
      <c r="H379" s="3" t="s">
        <v>144</v>
      </c>
      <c r="I379" s="55">
        <v>46178</v>
      </c>
      <c r="K379" s="55">
        <v>46208</v>
      </c>
      <c r="O379" s="3" t="s">
        <v>9</v>
      </c>
      <c r="R379" s="181"/>
    </row>
    <row r="380" spans="1:18" ht="15" customHeight="1">
      <c r="A380" s="177" t="s">
        <v>142</v>
      </c>
      <c r="B380" s="177"/>
      <c r="C380" s="213">
        <v>156607708</v>
      </c>
      <c r="F380" s="29" t="s">
        <v>143</v>
      </c>
      <c r="G380" s="3" t="s">
        <v>65</v>
      </c>
      <c r="H380" s="3" t="s">
        <v>144</v>
      </c>
      <c r="I380" s="55">
        <v>46178</v>
      </c>
      <c r="K380" s="55">
        <v>46208</v>
      </c>
      <c r="O380" s="3" t="s">
        <v>10</v>
      </c>
      <c r="P380" s="55">
        <v>46188</v>
      </c>
      <c r="R380" s="181"/>
    </row>
    <row r="381" spans="1:18" ht="15" customHeight="1">
      <c r="A381" s="177" t="s">
        <v>142</v>
      </c>
      <c r="B381" s="177"/>
      <c r="C381" s="213">
        <v>156607717</v>
      </c>
      <c r="F381" s="29" t="s">
        <v>143</v>
      </c>
      <c r="G381" s="3" t="s">
        <v>65</v>
      </c>
      <c r="H381" s="3" t="s">
        <v>144</v>
      </c>
      <c r="I381" s="55">
        <v>46178</v>
      </c>
      <c r="K381" s="55">
        <v>46208</v>
      </c>
      <c r="O381" s="3" t="s">
        <v>10</v>
      </c>
      <c r="P381" s="55">
        <v>46190</v>
      </c>
      <c r="R381" s="181"/>
    </row>
    <row r="382" spans="1:18" ht="15" customHeight="1">
      <c r="A382" s="177" t="s">
        <v>142</v>
      </c>
      <c r="B382" s="177"/>
      <c r="C382" s="213">
        <v>156607718</v>
      </c>
      <c r="F382" s="29" t="s">
        <v>143</v>
      </c>
      <c r="G382" s="3" t="s">
        <v>65</v>
      </c>
      <c r="H382" s="3" t="s">
        <v>144</v>
      </c>
      <c r="I382" s="55">
        <v>46178</v>
      </c>
      <c r="K382" s="55">
        <v>46208</v>
      </c>
      <c r="O382" s="3" t="s">
        <v>10</v>
      </c>
      <c r="P382" s="55">
        <v>46190</v>
      </c>
      <c r="R382" s="181"/>
    </row>
    <row r="383" spans="1:18" ht="15" customHeight="1">
      <c r="A383" s="177" t="s">
        <v>142</v>
      </c>
      <c r="B383" s="177"/>
      <c r="C383" s="213">
        <v>156607724</v>
      </c>
      <c r="F383" s="29" t="s">
        <v>143</v>
      </c>
      <c r="G383" s="3" t="s">
        <v>65</v>
      </c>
      <c r="H383" s="3" t="s">
        <v>144</v>
      </c>
      <c r="I383" s="55">
        <v>46178</v>
      </c>
      <c r="K383" s="55">
        <v>46208</v>
      </c>
      <c r="O383" s="3" t="s">
        <v>10</v>
      </c>
      <c r="P383" s="55">
        <v>46190</v>
      </c>
      <c r="R383" s="181"/>
    </row>
    <row r="384" spans="1:18" ht="15" customHeight="1">
      <c r="A384" s="177" t="s">
        <v>145</v>
      </c>
      <c r="B384" s="177"/>
      <c r="C384" s="213">
        <v>156607585</v>
      </c>
      <c r="F384" s="29" t="s">
        <v>143</v>
      </c>
      <c r="G384" s="3" t="s">
        <v>65</v>
      </c>
      <c r="H384" s="3" t="s">
        <v>144</v>
      </c>
      <c r="I384" s="55">
        <v>46178</v>
      </c>
      <c r="K384" s="55">
        <v>46208</v>
      </c>
      <c r="O384" s="3" t="s">
        <v>10</v>
      </c>
      <c r="P384" s="55">
        <v>46186</v>
      </c>
      <c r="R384" s="181"/>
    </row>
    <row r="385" spans="1:18" ht="15" customHeight="1">
      <c r="A385" s="177" t="s">
        <v>145</v>
      </c>
      <c r="B385" s="177"/>
      <c r="C385" s="213">
        <v>156607574</v>
      </c>
      <c r="F385" s="29" t="s">
        <v>143</v>
      </c>
      <c r="G385" s="3" t="s">
        <v>65</v>
      </c>
      <c r="H385" s="3" t="s">
        <v>144</v>
      </c>
      <c r="I385" s="55">
        <v>46178</v>
      </c>
      <c r="K385" s="55">
        <v>46208</v>
      </c>
      <c r="O385" s="3" t="s">
        <v>10</v>
      </c>
      <c r="P385" s="55">
        <v>46186</v>
      </c>
      <c r="R385" s="181"/>
    </row>
    <row r="386" spans="1:18" ht="15" customHeight="1">
      <c r="A386" s="177" t="s">
        <v>145</v>
      </c>
      <c r="B386" s="177"/>
      <c r="C386" s="213">
        <v>156607594</v>
      </c>
      <c r="F386" s="29" t="s">
        <v>143</v>
      </c>
      <c r="G386" s="3" t="s">
        <v>65</v>
      </c>
      <c r="H386" s="3" t="s">
        <v>144</v>
      </c>
      <c r="I386" s="55">
        <v>46178</v>
      </c>
      <c r="K386" s="55">
        <v>46208</v>
      </c>
      <c r="O386" s="3" t="s">
        <v>10</v>
      </c>
      <c r="P386" s="55">
        <v>46190</v>
      </c>
      <c r="R386" s="181"/>
    </row>
    <row r="387" spans="1:18" ht="15" customHeight="1">
      <c r="A387" s="177" t="s">
        <v>145</v>
      </c>
      <c r="B387" s="177"/>
      <c r="C387" s="213">
        <v>156607606</v>
      </c>
      <c r="F387" s="29" t="s">
        <v>143</v>
      </c>
      <c r="G387" s="3" t="s">
        <v>65</v>
      </c>
      <c r="H387" s="3" t="s">
        <v>144</v>
      </c>
      <c r="I387" s="55">
        <v>46178</v>
      </c>
      <c r="K387" s="55">
        <v>46208</v>
      </c>
      <c r="O387" s="3" t="s">
        <v>10</v>
      </c>
      <c r="P387" s="55">
        <v>46190</v>
      </c>
      <c r="R387" s="181"/>
    </row>
    <row r="388" spans="1:18" ht="15" customHeight="1">
      <c r="A388" s="177" t="s">
        <v>145</v>
      </c>
      <c r="B388" s="177"/>
      <c r="C388" s="213">
        <v>156607616</v>
      </c>
      <c r="F388" s="29" t="s">
        <v>143</v>
      </c>
      <c r="G388" s="3" t="s">
        <v>65</v>
      </c>
      <c r="H388" s="3" t="s">
        <v>144</v>
      </c>
      <c r="I388" s="55">
        <v>46178</v>
      </c>
      <c r="K388" s="55">
        <v>46208</v>
      </c>
      <c r="O388" s="3" t="s">
        <v>10</v>
      </c>
      <c r="P388" s="55">
        <v>46190</v>
      </c>
      <c r="R388" s="181"/>
    </row>
    <row r="389" spans="1:18" ht="15" customHeight="1">
      <c r="A389" s="177" t="s">
        <v>145</v>
      </c>
      <c r="B389" s="177"/>
      <c r="C389" s="213">
        <v>156607631</v>
      </c>
      <c r="F389" s="29" t="s">
        <v>143</v>
      </c>
      <c r="G389" s="3" t="s">
        <v>65</v>
      </c>
      <c r="H389" s="3" t="s">
        <v>144</v>
      </c>
      <c r="I389" s="55">
        <v>46178</v>
      </c>
      <c r="K389" s="55">
        <v>46208</v>
      </c>
      <c r="O389" s="3" t="s">
        <v>10</v>
      </c>
      <c r="P389" s="55">
        <v>46190</v>
      </c>
      <c r="R389" s="181"/>
    </row>
    <row r="390" spans="1:18" ht="15" customHeight="1">
      <c r="A390" s="177" t="s">
        <v>146</v>
      </c>
      <c r="B390" s="89"/>
      <c r="C390" s="213">
        <v>156607756</v>
      </c>
      <c r="F390" s="29" t="s">
        <v>143</v>
      </c>
      <c r="G390" s="3" t="s">
        <v>65</v>
      </c>
      <c r="H390" s="3" t="s">
        <v>144</v>
      </c>
      <c r="I390" s="55">
        <v>46178</v>
      </c>
      <c r="K390" s="55">
        <v>46208</v>
      </c>
      <c r="O390" s="3" t="s">
        <v>10</v>
      </c>
      <c r="P390" s="55">
        <v>46190</v>
      </c>
      <c r="R390" s="181"/>
    </row>
    <row r="391" spans="1:18" ht="15" customHeight="1">
      <c r="A391" s="187" t="s">
        <v>147</v>
      </c>
      <c r="B391" s="187"/>
      <c r="C391" s="213">
        <v>154607232</v>
      </c>
      <c r="D391" s="188"/>
      <c r="E391" s="188"/>
      <c r="F391" s="188" t="s">
        <v>148</v>
      </c>
      <c r="G391" s="3" t="s">
        <v>65</v>
      </c>
      <c r="H391" s="45" t="s">
        <v>149</v>
      </c>
      <c r="I391" s="55">
        <v>46176</v>
      </c>
      <c r="J391" s="59">
        <v>46181</v>
      </c>
      <c r="K391" s="55">
        <v>46206</v>
      </c>
      <c r="O391" s="3" t="s">
        <v>9</v>
      </c>
      <c r="R391" s="181"/>
    </row>
    <row r="392" spans="1:18" ht="15" customHeight="1">
      <c r="A392" s="187" t="s">
        <v>147</v>
      </c>
      <c r="B392" s="187"/>
      <c r="C392" s="213">
        <v>154607203</v>
      </c>
      <c r="D392" s="188"/>
      <c r="E392" s="188"/>
      <c r="F392" s="188" t="s">
        <v>148</v>
      </c>
      <c r="G392" s="3" t="s">
        <v>65</v>
      </c>
      <c r="H392" s="45" t="s">
        <v>149</v>
      </c>
      <c r="I392" s="55">
        <v>46176</v>
      </c>
      <c r="J392" s="59">
        <v>46181</v>
      </c>
      <c r="K392" s="55">
        <v>46206</v>
      </c>
      <c r="O392" s="3" t="s">
        <v>9</v>
      </c>
      <c r="R392" s="181"/>
    </row>
    <row r="393" spans="1:18" ht="15" customHeight="1">
      <c r="A393" s="187" t="s">
        <v>147</v>
      </c>
      <c r="B393" s="187"/>
      <c r="C393" s="213">
        <v>154607174</v>
      </c>
      <c r="D393" s="188"/>
      <c r="E393" s="188"/>
      <c r="F393" s="188" t="s">
        <v>148</v>
      </c>
      <c r="G393" s="3" t="s">
        <v>65</v>
      </c>
      <c r="H393" s="45" t="s">
        <v>149</v>
      </c>
      <c r="I393" s="55">
        <v>46176</v>
      </c>
      <c r="J393" s="59">
        <v>46181</v>
      </c>
      <c r="K393" s="55">
        <v>46206</v>
      </c>
      <c r="O393" s="3" t="s">
        <v>9</v>
      </c>
      <c r="R393" s="181"/>
    </row>
    <row r="394" spans="1:18" ht="15" customHeight="1">
      <c r="A394" s="187" t="s">
        <v>147</v>
      </c>
      <c r="B394" s="187"/>
      <c r="C394" s="213">
        <v>154607164</v>
      </c>
      <c r="D394" s="188"/>
      <c r="E394" s="188"/>
      <c r="F394" s="188" t="s">
        <v>148</v>
      </c>
      <c r="G394" s="3" t="s">
        <v>65</v>
      </c>
      <c r="H394" s="45" t="s">
        <v>149</v>
      </c>
      <c r="I394" s="55">
        <v>46176</v>
      </c>
      <c r="J394" s="59">
        <v>46181</v>
      </c>
      <c r="K394" s="55">
        <v>46206</v>
      </c>
      <c r="O394" s="3" t="s">
        <v>9</v>
      </c>
      <c r="R394" s="181"/>
    </row>
    <row r="395" spans="1:18" ht="15" customHeight="1">
      <c r="A395" s="187" t="s">
        <v>147</v>
      </c>
      <c r="B395" s="187"/>
      <c r="C395" s="213">
        <v>154607146</v>
      </c>
      <c r="D395" s="188"/>
      <c r="E395" s="188"/>
      <c r="F395" s="188" t="s">
        <v>148</v>
      </c>
      <c r="G395" s="3" t="s">
        <v>65</v>
      </c>
      <c r="H395" s="45" t="s">
        <v>149</v>
      </c>
      <c r="I395" s="55">
        <v>46176</v>
      </c>
      <c r="J395" s="59">
        <v>46181</v>
      </c>
      <c r="K395" s="55">
        <v>46206</v>
      </c>
      <c r="O395" s="3" t="s">
        <v>9</v>
      </c>
      <c r="R395" s="181"/>
    </row>
    <row r="396" spans="1:18" ht="15" customHeight="1">
      <c r="A396" s="187" t="s">
        <v>147</v>
      </c>
      <c r="B396" s="187"/>
      <c r="C396" s="213">
        <v>154607111</v>
      </c>
      <c r="D396" s="188"/>
      <c r="E396" s="188"/>
      <c r="F396" s="188" t="s">
        <v>148</v>
      </c>
      <c r="G396" s="3" t="s">
        <v>65</v>
      </c>
      <c r="H396" s="45" t="s">
        <v>149</v>
      </c>
      <c r="I396" s="55">
        <v>46176</v>
      </c>
      <c r="J396" s="59">
        <v>46181</v>
      </c>
      <c r="K396" s="55">
        <v>46206</v>
      </c>
      <c r="O396" s="3" t="s">
        <v>9</v>
      </c>
      <c r="R396" s="181"/>
    </row>
    <row r="397" spans="1:18" ht="15" customHeight="1">
      <c r="A397" s="187" t="s">
        <v>147</v>
      </c>
      <c r="B397" s="187"/>
      <c r="C397" s="213">
        <v>154607103</v>
      </c>
      <c r="D397" s="188"/>
      <c r="E397" s="188"/>
      <c r="F397" s="188" t="s">
        <v>148</v>
      </c>
      <c r="G397" s="3" t="s">
        <v>65</v>
      </c>
      <c r="H397" s="45" t="s">
        <v>149</v>
      </c>
      <c r="I397" s="55">
        <v>46176</v>
      </c>
      <c r="J397" s="59">
        <v>46181</v>
      </c>
      <c r="K397" s="55">
        <v>46206</v>
      </c>
      <c r="O397" s="3" t="s">
        <v>9</v>
      </c>
      <c r="R397" s="181"/>
    </row>
    <row r="398" spans="1:18" ht="15" customHeight="1">
      <c r="A398" s="187" t="s">
        <v>147</v>
      </c>
      <c r="B398" s="187"/>
      <c r="C398" s="213">
        <v>154607087</v>
      </c>
      <c r="D398" s="188"/>
      <c r="E398" s="188"/>
      <c r="F398" s="188" t="s">
        <v>148</v>
      </c>
      <c r="G398" s="3" t="s">
        <v>65</v>
      </c>
      <c r="H398" s="45" t="s">
        <v>149</v>
      </c>
      <c r="I398" s="55">
        <v>46176</v>
      </c>
      <c r="J398" s="59">
        <v>46181</v>
      </c>
      <c r="K398" s="55">
        <v>46206</v>
      </c>
      <c r="O398" s="3" t="s">
        <v>9</v>
      </c>
      <c r="R398" s="181"/>
    </row>
    <row r="399" spans="1:18" ht="15" customHeight="1">
      <c r="A399" s="187" t="s">
        <v>150</v>
      </c>
      <c r="B399" s="187"/>
      <c r="C399" s="213">
        <v>154607495</v>
      </c>
      <c r="D399" s="188"/>
      <c r="E399" s="188"/>
      <c r="F399" s="188" t="s">
        <v>148</v>
      </c>
      <c r="G399" s="3" t="s">
        <v>65</v>
      </c>
      <c r="H399" s="45" t="s">
        <v>149</v>
      </c>
      <c r="I399" s="55">
        <v>46176</v>
      </c>
      <c r="J399" s="59">
        <v>46181</v>
      </c>
      <c r="K399" s="55">
        <v>46206</v>
      </c>
      <c r="O399" s="3" t="s">
        <v>9</v>
      </c>
      <c r="R399" s="181"/>
    </row>
    <row r="400" spans="1:18" ht="15" customHeight="1">
      <c r="A400" s="187" t="s">
        <v>150</v>
      </c>
      <c r="B400" s="187"/>
      <c r="C400" s="213">
        <v>154607470</v>
      </c>
      <c r="D400" s="188"/>
      <c r="E400" s="188"/>
      <c r="F400" s="188" t="s">
        <v>148</v>
      </c>
      <c r="G400" s="3" t="s">
        <v>65</v>
      </c>
      <c r="H400" s="45" t="s">
        <v>149</v>
      </c>
      <c r="I400" s="55">
        <v>46176</v>
      </c>
      <c r="J400" s="59">
        <v>46181</v>
      </c>
      <c r="K400" s="55">
        <v>46206</v>
      </c>
      <c r="O400" s="3" t="s">
        <v>9</v>
      </c>
      <c r="R400" s="181"/>
    </row>
    <row r="401" spans="1:18" ht="15" customHeight="1">
      <c r="A401" s="187" t="s">
        <v>150</v>
      </c>
      <c r="B401" s="187"/>
      <c r="C401" s="213">
        <v>154607435</v>
      </c>
      <c r="D401" s="188"/>
      <c r="E401" s="188"/>
      <c r="F401" s="188" t="s">
        <v>148</v>
      </c>
      <c r="G401" s="3" t="s">
        <v>65</v>
      </c>
      <c r="H401" s="45" t="s">
        <v>149</v>
      </c>
      <c r="I401" s="55">
        <v>46176</v>
      </c>
      <c r="J401" s="59">
        <v>46181</v>
      </c>
      <c r="K401" s="55">
        <v>46206</v>
      </c>
      <c r="O401" s="3" t="s">
        <v>9</v>
      </c>
      <c r="R401" s="181"/>
    </row>
    <row r="402" spans="1:18" ht="15" customHeight="1">
      <c r="A402" s="187" t="s">
        <v>150</v>
      </c>
      <c r="B402" s="187"/>
      <c r="C402" s="213">
        <v>154607415</v>
      </c>
      <c r="D402" s="188"/>
      <c r="E402" s="188"/>
      <c r="F402" s="188" t="s">
        <v>148</v>
      </c>
      <c r="G402" s="3" t="s">
        <v>65</v>
      </c>
      <c r="H402" s="45" t="s">
        <v>149</v>
      </c>
      <c r="I402" s="55">
        <v>46176</v>
      </c>
      <c r="J402" s="59">
        <v>46181</v>
      </c>
      <c r="K402" s="55">
        <v>46206</v>
      </c>
      <c r="O402" s="3" t="s">
        <v>9</v>
      </c>
      <c r="R402" s="181"/>
    </row>
    <row r="403" spans="1:18" ht="15" customHeight="1">
      <c r="A403" s="187" t="s">
        <v>150</v>
      </c>
      <c r="B403" s="187"/>
      <c r="C403" s="213">
        <v>154607403</v>
      </c>
      <c r="D403" s="188"/>
      <c r="E403" s="188"/>
      <c r="F403" s="188" t="s">
        <v>148</v>
      </c>
      <c r="G403" s="3" t="s">
        <v>65</v>
      </c>
      <c r="H403" s="45" t="s">
        <v>149</v>
      </c>
      <c r="I403" s="55">
        <v>46176</v>
      </c>
      <c r="J403" s="59">
        <v>46181</v>
      </c>
      <c r="K403" s="55">
        <v>46206</v>
      </c>
      <c r="O403" s="3" t="s">
        <v>9</v>
      </c>
      <c r="R403" s="181"/>
    </row>
    <row r="404" spans="1:18" ht="15" customHeight="1">
      <c r="A404" s="187" t="s">
        <v>150</v>
      </c>
      <c r="B404" s="187"/>
      <c r="C404" s="213">
        <v>154607387</v>
      </c>
      <c r="D404" s="188"/>
      <c r="E404" s="188"/>
      <c r="F404" s="188" t="s">
        <v>148</v>
      </c>
      <c r="G404" s="3" t="s">
        <v>65</v>
      </c>
      <c r="H404" s="45" t="s">
        <v>149</v>
      </c>
      <c r="I404" s="55">
        <v>46176</v>
      </c>
      <c r="J404" s="59">
        <v>46181</v>
      </c>
      <c r="K404" s="55">
        <v>46206</v>
      </c>
      <c r="O404" s="3" t="s">
        <v>9</v>
      </c>
      <c r="R404" s="181"/>
    </row>
    <row r="405" spans="1:18" ht="15" customHeight="1">
      <c r="A405" s="187" t="s">
        <v>150</v>
      </c>
      <c r="B405" s="187"/>
      <c r="C405" s="213">
        <v>154607366</v>
      </c>
      <c r="D405" s="188"/>
      <c r="E405" s="188"/>
      <c r="F405" s="188" t="s">
        <v>148</v>
      </c>
      <c r="G405" s="3" t="s">
        <v>65</v>
      </c>
      <c r="H405" s="45" t="s">
        <v>149</v>
      </c>
      <c r="I405" s="55">
        <v>46176</v>
      </c>
      <c r="J405" s="59">
        <v>46181</v>
      </c>
      <c r="K405" s="55">
        <v>46206</v>
      </c>
      <c r="O405" s="3" t="s">
        <v>9</v>
      </c>
      <c r="R405" s="181"/>
    </row>
    <row r="406" spans="1:18" ht="15" customHeight="1">
      <c r="A406" s="187" t="s">
        <v>150</v>
      </c>
      <c r="B406" s="187"/>
      <c r="C406" s="213">
        <v>154607346</v>
      </c>
      <c r="D406" s="188"/>
      <c r="E406" s="188"/>
      <c r="F406" s="188" t="s">
        <v>148</v>
      </c>
      <c r="G406" s="3" t="s">
        <v>65</v>
      </c>
      <c r="H406" s="45" t="s">
        <v>149</v>
      </c>
      <c r="I406" s="55">
        <v>46176</v>
      </c>
      <c r="J406" s="59">
        <v>46181</v>
      </c>
      <c r="K406" s="55">
        <v>46206</v>
      </c>
      <c r="O406" s="3" t="s">
        <v>9</v>
      </c>
      <c r="R406" s="181"/>
    </row>
    <row r="407" spans="1:18" ht="15" customHeight="1">
      <c r="A407" s="187" t="s">
        <v>119</v>
      </c>
      <c r="B407" s="187"/>
      <c r="C407" s="213">
        <v>160608154</v>
      </c>
      <c r="F407" s="29" t="s">
        <v>108</v>
      </c>
      <c r="G407" s="3" t="s">
        <v>65</v>
      </c>
      <c r="H407" s="3" t="s">
        <v>109</v>
      </c>
      <c r="I407" s="55">
        <v>46182</v>
      </c>
      <c r="J407" s="55">
        <v>46185</v>
      </c>
      <c r="K407" s="55">
        <v>46212</v>
      </c>
      <c r="O407" s="3" t="s">
        <v>10</v>
      </c>
      <c r="P407" s="55">
        <v>46190</v>
      </c>
      <c r="R407" s="181"/>
    </row>
    <row r="408" spans="1:18" ht="15" customHeight="1">
      <c r="A408" s="187" t="s">
        <v>119</v>
      </c>
      <c r="B408" s="187"/>
      <c r="C408" s="213">
        <v>160608116</v>
      </c>
      <c r="F408" s="29" t="s">
        <v>108</v>
      </c>
      <c r="G408" s="3" t="s">
        <v>65</v>
      </c>
      <c r="H408" s="3" t="s">
        <v>109</v>
      </c>
      <c r="I408" s="55">
        <v>46182</v>
      </c>
      <c r="J408" s="55">
        <v>46185</v>
      </c>
      <c r="K408" s="55">
        <v>46212</v>
      </c>
      <c r="O408" s="3" t="s">
        <v>10</v>
      </c>
      <c r="P408" s="55">
        <v>46190</v>
      </c>
      <c r="R408" s="181"/>
    </row>
    <row r="409" spans="1:18" ht="15" customHeight="1">
      <c r="A409" s="187" t="s">
        <v>119</v>
      </c>
      <c r="B409" s="187"/>
      <c r="C409" s="213">
        <v>160608125</v>
      </c>
      <c r="F409" s="29" t="s">
        <v>108</v>
      </c>
      <c r="G409" s="3" t="s">
        <v>65</v>
      </c>
      <c r="H409" s="3" t="s">
        <v>109</v>
      </c>
      <c r="I409" s="55">
        <v>46182</v>
      </c>
      <c r="J409" s="55">
        <v>46185</v>
      </c>
      <c r="K409" s="55">
        <v>46212</v>
      </c>
      <c r="O409" s="3" t="s">
        <v>10</v>
      </c>
      <c r="P409" s="55">
        <v>46190</v>
      </c>
      <c r="R409" s="181"/>
    </row>
    <row r="410" spans="1:18" ht="15" customHeight="1">
      <c r="A410" s="187" t="s">
        <v>119</v>
      </c>
      <c r="B410" s="187"/>
      <c r="C410" s="213">
        <v>160608137</v>
      </c>
      <c r="F410" s="29" t="s">
        <v>108</v>
      </c>
      <c r="G410" s="3" t="s">
        <v>65</v>
      </c>
      <c r="H410" s="3" t="s">
        <v>109</v>
      </c>
      <c r="I410" s="55">
        <v>46182</v>
      </c>
      <c r="J410" s="55">
        <v>46185</v>
      </c>
      <c r="K410" s="55">
        <v>46212</v>
      </c>
      <c r="O410" s="3" t="s">
        <v>10</v>
      </c>
      <c r="P410" s="55">
        <v>46190</v>
      </c>
      <c r="R410" s="181"/>
    </row>
    <row r="411" spans="1:18" ht="15" customHeight="1">
      <c r="A411" s="187" t="s">
        <v>119</v>
      </c>
      <c r="B411" s="187"/>
      <c r="C411" s="213">
        <v>160608169</v>
      </c>
      <c r="F411" s="29" t="s">
        <v>108</v>
      </c>
      <c r="G411" s="3" t="s">
        <v>65</v>
      </c>
      <c r="H411" s="3" t="s">
        <v>109</v>
      </c>
      <c r="I411" s="55">
        <v>46182</v>
      </c>
      <c r="J411" s="55">
        <v>46185</v>
      </c>
      <c r="K411" s="55">
        <v>46212</v>
      </c>
      <c r="O411" s="3" t="s">
        <v>10</v>
      </c>
      <c r="P411" s="55">
        <v>46190</v>
      </c>
      <c r="R411" s="181"/>
    </row>
    <row r="412" spans="1:18" ht="15" customHeight="1">
      <c r="A412" s="187" t="s">
        <v>119</v>
      </c>
      <c r="B412" s="187"/>
      <c r="C412" s="213">
        <v>160608177</v>
      </c>
      <c r="F412" s="29" t="s">
        <v>108</v>
      </c>
      <c r="G412" s="3" t="s">
        <v>65</v>
      </c>
      <c r="H412" s="3" t="s">
        <v>109</v>
      </c>
      <c r="I412" s="55">
        <v>46182</v>
      </c>
      <c r="J412" s="55">
        <v>46185</v>
      </c>
      <c r="K412" s="55">
        <v>46212</v>
      </c>
      <c r="O412" s="3" t="s">
        <v>10</v>
      </c>
      <c r="P412" s="55">
        <v>46190</v>
      </c>
      <c r="R412" s="181"/>
    </row>
    <row r="413" spans="1:18" ht="15" customHeight="1">
      <c r="A413" s="187" t="s">
        <v>119</v>
      </c>
      <c r="B413" s="187"/>
      <c r="C413" s="213">
        <v>160608208</v>
      </c>
      <c r="F413" s="29" t="s">
        <v>108</v>
      </c>
      <c r="G413" s="3" t="s">
        <v>65</v>
      </c>
      <c r="H413" s="3" t="s">
        <v>109</v>
      </c>
      <c r="I413" s="55">
        <v>46182</v>
      </c>
      <c r="J413" s="55">
        <v>46185</v>
      </c>
      <c r="K413" s="55">
        <v>46212</v>
      </c>
      <c r="O413" s="3" t="s">
        <v>9</v>
      </c>
      <c r="R413" s="181"/>
    </row>
    <row r="414" spans="1:18" ht="15" customHeight="1">
      <c r="A414" s="187" t="s">
        <v>151</v>
      </c>
      <c r="B414" s="187"/>
      <c r="C414" s="213">
        <v>160609160</v>
      </c>
      <c r="F414" s="29" t="s">
        <v>152</v>
      </c>
      <c r="G414" s="3" t="s">
        <v>65</v>
      </c>
      <c r="H414" s="45" t="s">
        <v>153</v>
      </c>
      <c r="I414" s="55">
        <v>46182</v>
      </c>
      <c r="J414" s="55">
        <v>46185</v>
      </c>
      <c r="K414" s="55">
        <v>46212</v>
      </c>
      <c r="O414" s="3" t="s">
        <v>9</v>
      </c>
      <c r="R414" s="181"/>
    </row>
    <row r="415" spans="1:18" ht="15" customHeight="1">
      <c r="A415" s="187" t="s">
        <v>151</v>
      </c>
      <c r="B415" s="187"/>
      <c r="C415" s="213">
        <v>160609167</v>
      </c>
      <c r="F415" s="29" t="s">
        <v>152</v>
      </c>
      <c r="G415" s="3" t="s">
        <v>65</v>
      </c>
      <c r="H415" s="45" t="s">
        <v>153</v>
      </c>
      <c r="I415" s="55">
        <v>46182</v>
      </c>
      <c r="J415" s="55">
        <v>46185</v>
      </c>
      <c r="K415" s="55">
        <v>46212</v>
      </c>
      <c r="O415" s="3" t="s">
        <v>9</v>
      </c>
      <c r="R415" s="181"/>
    </row>
    <row r="416" spans="1:18" ht="15" customHeight="1">
      <c r="A416" s="187" t="s">
        <v>151</v>
      </c>
      <c r="B416" s="187"/>
      <c r="C416" s="213">
        <v>160609168</v>
      </c>
      <c r="F416" s="29" t="s">
        <v>152</v>
      </c>
      <c r="G416" s="3" t="s">
        <v>65</v>
      </c>
      <c r="H416" s="3" t="s">
        <v>153</v>
      </c>
      <c r="I416" s="55">
        <v>46182</v>
      </c>
      <c r="J416" s="55">
        <v>46185</v>
      </c>
      <c r="K416" s="55">
        <v>46212</v>
      </c>
      <c r="O416" s="3" t="s">
        <v>9</v>
      </c>
      <c r="R416" s="181"/>
    </row>
    <row r="417" spans="1:18" ht="15" customHeight="1">
      <c r="A417" s="187" t="s">
        <v>151</v>
      </c>
      <c r="B417" s="187"/>
      <c r="C417" s="213">
        <v>160609170</v>
      </c>
      <c r="F417" s="29" t="s">
        <v>152</v>
      </c>
      <c r="G417" s="3" t="s">
        <v>65</v>
      </c>
      <c r="H417" s="3" t="s">
        <v>153</v>
      </c>
      <c r="I417" s="55">
        <v>46182</v>
      </c>
      <c r="J417" s="55">
        <v>46185</v>
      </c>
      <c r="K417" s="55">
        <v>46212</v>
      </c>
      <c r="O417" s="3" t="s">
        <v>9</v>
      </c>
      <c r="R417" s="181"/>
    </row>
    <row r="418" spans="1:18" ht="15" customHeight="1">
      <c r="A418" s="187" t="s">
        <v>151</v>
      </c>
      <c r="B418" s="187"/>
      <c r="C418" s="213">
        <v>160609179</v>
      </c>
      <c r="F418" s="29" t="s">
        <v>152</v>
      </c>
      <c r="G418" s="3" t="s">
        <v>65</v>
      </c>
      <c r="H418" s="3" t="s">
        <v>153</v>
      </c>
      <c r="I418" s="55">
        <v>46182</v>
      </c>
      <c r="J418" s="55">
        <v>46185</v>
      </c>
      <c r="K418" s="55">
        <v>46212</v>
      </c>
      <c r="O418" s="3" t="s">
        <v>9</v>
      </c>
      <c r="R418" s="181"/>
    </row>
    <row r="419" spans="1:18" ht="15" customHeight="1">
      <c r="A419" s="187" t="s">
        <v>151</v>
      </c>
      <c r="B419" s="187"/>
      <c r="C419" s="213">
        <v>160609181</v>
      </c>
      <c r="F419" s="29" t="s">
        <v>152</v>
      </c>
      <c r="G419" s="3" t="s">
        <v>65</v>
      </c>
      <c r="H419" s="3" t="s">
        <v>153</v>
      </c>
      <c r="I419" s="55">
        <v>46182</v>
      </c>
      <c r="J419" s="55">
        <v>46185</v>
      </c>
      <c r="K419" s="55">
        <v>46212</v>
      </c>
      <c r="O419" s="3" t="s">
        <v>9</v>
      </c>
      <c r="R419" s="181"/>
    </row>
    <row r="420" spans="1:18" ht="15" customHeight="1">
      <c r="A420" s="187" t="s">
        <v>151</v>
      </c>
      <c r="B420" s="187"/>
      <c r="C420" s="213">
        <v>160609182</v>
      </c>
      <c r="F420" s="29" t="s">
        <v>152</v>
      </c>
      <c r="G420" s="3" t="s">
        <v>65</v>
      </c>
      <c r="H420" s="3" t="s">
        <v>153</v>
      </c>
      <c r="I420" s="55">
        <v>46182</v>
      </c>
      <c r="J420" s="55">
        <v>46185</v>
      </c>
      <c r="K420" s="55">
        <v>46212</v>
      </c>
      <c r="O420" s="3" t="s">
        <v>9</v>
      </c>
      <c r="R420" s="181"/>
    </row>
    <row r="421" spans="1:18" ht="15" customHeight="1">
      <c r="A421" s="187" t="s">
        <v>151</v>
      </c>
      <c r="B421" s="187"/>
      <c r="C421" s="213">
        <v>160609185</v>
      </c>
      <c r="F421" s="29" t="s">
        <v>152</v>
      </c>
      <c r="G421" s="3" t="s">
        <v>65</v>
      </c>
      <c r="H421" s="45" t="s">
        <v>153</v>
      </c>
      <c r="I421" s="55">
        <v>46182</v>
      </c>
      <c r="J421" s="55">
        <v>46185</v>
      </c>
      <c r="K421" s="55">
        <v>46212</v>
      </c>
      <c r="O421" s="3" t="s">
        <v>9</v>
      </c>
      <c r="R421" s="181"/>
    </row>
    <row r="422" spans="1:18" ht="15" customHeight="1">
      <c r="A422" s="187" t="s">
        <v>151</v>
      </c>
      <c r="B422" s="187"/>
      <c r="C422" s="213">
        <v>160609189</v>
      </c>
      <c r="F422" s="29" t="s">
        <v>152</v>
      </c>
      <c r="G422" s="3" t="s">
        <v>65</v>
      </c>
      <c r="H422" s="45" t="s">
        <v>153</v>
      </c>
      <c r="I422" s="55">
        <v>46182</v>
      </c>
      <c r="J422" s="55">
        <v>46185</v>
      </c>
      <c r="K422" s="55">
        <v>46212</v>
      </c>
      <c r="O422" s="3" t="s">
        <v>9</v>
      </c>
      <c r="R422" s="181"/>
    </row>
    <row r="423" spans="1:18" ht="15" customHeight="1">
      <c r="A423" s="187" t="s">
        <v>151</v>
      </c>
      <c r="B423" s="187"/>
      <c r="C423" s="213">
        <v>160609192</v>
      </c>
      <c r="F423" s="29" t="s">
        <v>152</v>
      </c>
      <c r="G423" s="3" t="s">
        <v>65</v>
      </c>
      <c r="H423" s="3" t="s">
        <v>153</v>
      </c>
      <c r="I423" s="55">
        <v>46182</v>
      </c>
      <c r="J423" s="55">
        <v>46185</v>
      </c>
      <c r="K423" s="55">
        <v>46212</v>
      </c>
      <c r="O423" s="3" t="s">
        <v>9</v>
      </c>
      <c r="R423" s="181"/>
    </row>
    <row r="424" spans="1:18" ht="15" customHeight="1">
      <c r="A424" s="187" t="s">
        <v>151</v>
      </c>
      <c r="B424" s="187"/>
      <c r="C424" s="213">
        <v>160609196</v>
      </c>
      <c r="F424" s="29" t="s">
        <v>152</v>
      </c>
      <c r="G424" s="3" t="s">
        <v>65</v>
      </c>
      <c r="H424" s="3" t="s">
        <v>153</v>
      </c>
      <c r="I424" s="55">
        <v>46182</v>
      </c>
      <c r="J424" s="55">
        <v>46185</v>
      </c>
      <c r="K424" s="55">
        <v>46212</v>
      </c>
      <c r="O424" s="3" t="s">
        <v>9</v>
      </c>
      <c r="R424" s="181"/>
    </row>
    <row r="425" spans="1:18" ht="15" customHeight="1">
      <c r="A425" s="187" t="s">
        <v>151</v>
      </c>
      <c r="B425" s="187"/>
      <c r="C425" s="213">
        <v>160609199</v>
      </c>
      <c r="F425" s="29" t="s">
        <v>152</v>
      </c>
      <c r="G425" s="3" t="s">
        <v>65</v>
      </c>
      <c r="H425" s="3" t="s">
        <v>153</v>
      </c>
      <c r="I425" s="55">
        <v>46182</v>
      </c>
      <c r="J425" s="55">
        <v>46185</v>
      </c>
      <c r="K425" s="55">
        <v>46212</v>
      </c>
      <c r="O425" s="3" t="s">
        <v>9</v>
      </c>
      <c r="R425" s="181"/>
    </row>
    <row r="426" spans="1:18" ht="15" customHeight="1">
      <c r="A426" s="177" t="s">
        <v>154</v>
      </c>
      <c r="B426" s="187"/>
      <c r="C426" s="213">
        <v>160606828</v>
      </c>
      <c r="F426" s="29" t="s">
        <v>155</v>
      </c>
      <c r="G426" s="3" t="s">
        <v>65</v>
      </c>
      <c r="H426" s="3" t="s">
        <v>156</v>
      </c>
      <c r="I426" s="55">
        <v>46182</v>
      </c>
      <c r="J426" s="55">
        <v>46185</v>
      </c>
      <c r="K426" s="55">
        <v>46212</v>
      </c>
      <c r="O426" s="3" t="s">
        <v>10</v>
      </c>
      <c r="P426" s="55">
        <v>46188</v>
      </c>
      <c r="R426" s="181"/>
    </row>
    <row r="427" spans="1:18" ht="15" customHeight="1">
      <c r="A427" s="177" t="s">
        <v>154</v>
      </c>
      <c r="B427" s="187"/>
      <c r="C427" s="213">
        <v>160606815</v>
      </c>
      <c r="F427" s="29" t="s">
        <v>155</v>
      </c>
      <c r="G427" s="3" t="s">
        <v>65</v>
      </c>
      <c r="H427" s="3" t="s">
        <v>156</v>
      </c>
      <c r="I427" s="55">
        <v>46182</v>
      </c>
      <c r="J427" s="55">
        <v>46185</v>
      </c>
      <c r="K427" s="55">
        <v>46212</v>
      </c>
      <c r="O427" s="3" t="s">
        <v>10</v>
      </c>
      <c r="P427" s="55">
        <v>46188</v>
      </c>
      <c r="R427" s="181"/>
    </row>
    <row r="428" spans="1:18" ht="15" customHeight="1">
      <c r="A428" s="177" t="s">
        <v>154</v>
      </c>
      <c r="B428" s="187"/>
      <c r="C428" s="213">
        <v>160606651</v>
      </c>
      <c r="F428" s="29" t="s">
        <v>155</v>
      </c>
      <c r="G428" s="3" t="s">
        <v>65</v>
      </c>
      <c r="H428" s="3" t="s">
        <v>156</v>
      </c>
      <c r="I428" s="55">
        <v>46182</v>
      </c>
      <c r="J428" s="55">
        <v>46185</v>
      </c>
      <c r="K428" s="55">
        <v>46212</v>
      </c>
      <c r="O428" s="3" t="s">
        <v>9</v>
      </c>
      <c r="R428" s="181"/>
    </row>
    <row r="429" spans="1:18" ht="15" customHeight="1">
      <c r="A429" s="177" t="s">
        <v>154</v>
      </c>
      <c r="B429" s="187"/>
      <c r="C429" s="213">
        <v>160606724</v>
      </c>
      <c r="F429" s="29" t="s">
        <v>155</v>
      </c>
      <c r="G429" s="3" t="s">
        <v>65</v>
      </c>
      <c r="H429" s="3" t="s">
        <v>156</v>
      </c>
      <c r="I429" s="55">
        <v>46182</v>
      </c>
      <c r="J429" s="55">
        <v>46185</v>
      </c>
      <c r="K429" s="55">
        <v>46212</v>
      </c>
      <c r="O429" s="3" t="s">
        <v>9</v>
      </c>
      <c r="R429" s="181"/>
    </row>
    <row r="430" spans="1:18" ht="15" customHeight="1">
      <c r="A430" s="177" t="s">
        <v>154</v>
      </c>
      <c r="B430" s="187"/>
      <c r="C430" s="213">
        <v>160606696</v>
      </c>
      <c r="F430" s="29" t="s">
        <v>155</v>
      </c>
      <c r="G430" s="3" t="s">
        <v>65</v>
      </c>
      <c r="H430" s="3" t="s">
        <v>156</v>
      </c>
      <c r="I430" s="55">
        <v>46182</v>
      </c>
      <c r="J430" s="55">
        <v>46185</v>
      </c>
      <c r="K430" s="55">
        <v>46212</v>
      </c>
      <c r="O430" s="3" t="s">
        <v>9</v>
      </c>
      <c r="R430" s="181"/>
    </row>
    <row r="431" spans="1:18" ht="15" customHeight="1">
      <c r="A431" s="177" t="s">
        <v>157</v>
      </c>
      <c r="B431" s="187"/>
      <c r="C431" s="213">
        <v>161606497</v>
      </c>
      <c r="F431" s="29" t="s">
        <v>158</v>
      </c>
      <c r="G431" s="3" t="s">
        <v>59</v>
      </c>
      <c r="H431" s="3" t="s">
        <v>159</v>
      </c>
      <c r="I431" s="55">
        <v>46183</v>
      </c>
      <c r="J431" s="55">
        <v>46186</v>
      </c>
      <c r="K431" s="55">
        <v>46213</v>
      </c>
      <c r="O431" s="3" t="s">
        <v>9</v>
      </c>
      <c r="R431" s="181"/>
    </row>
    <row r="432" spans="1:18" ht="15" customHeight="1">
      <c r="A432" s="177" t="s">
        <v>160</v>
      </c>
      <c r="B432" s="187"/>
      <c r="C432" s="213">
        <v>161609123</v>
      </c>
      <c r="F432" s="29" t="s">
        <v>152</v>
      </c>
      <c r="G432" s="3" t="s">
        <v>65</v>
      </c>
      <c r="H432" s="3" t="s">
        <v>153</v>
      </c>
      <c r="I432" s="55">
        <v>46183</v>
      </c>
      <c r="J432" s="55">
        <v>46186</v>
      </c>
      <c r="K432" s="55">
        <v>46213</v>
      </c>
      <c r="O432" s="3" t="s">
        <v>9</v>
      </c>
      <c r="R432" s="181"/>
    </row>
    <row r="433" spans="1:18" ht="15" customHeight="1">
      <c r="A433" s="177" t="s">
        <v>160</v>
      </c>
      <c r="B433" s="187"/>
      <c r="C433" s="213">
        <v>161609129</v>
      </c>
      <c r="F433" s="29" t="s">
        <v>152</v>
      </c>
      <c r="G433" s="3" t="s">
        <v>65</v>
      </c>
      <c r="H433" s="3" t="s">
        <v>153</v>
      </c>
      <c r="I433" s="55">
        <v>46183</v>
      </c>
      <c r="J433" s="55">
        <v>46186</v>
      </c>
      <c r="K433" s="55">
        <v>46213</v>
      </c>
      <c r="O433" s="3" t="s">
        <v>9</v>
      </c>
      <c r="R433" s="181"/>
    </row>
    <row r="434" spans="1:18" ht="15" customHeight="1">
      <c r="A434" s="177" t="s">
        <v>160</v>
      </c>
      <c r="B434" s="187"/>
      <c r="C434" s="213">
        <v>161609138</v>
      </c>
      <c r="F434" s="29" t="s">
        <v>152</v>
      </c>
      <c r="G434" s="3" t="s">
        <v>65</v>
      </c>
      <c r="H434" s="3" t="s">
        <v>153</v>
      </c>
      <c r="I434" s="55">
        <v>46183</v>
      </c>
      <c r="J434" s="55">
        <v>46186</v>
      </c>
      <c r="K434" s="55">
        <v>46213</v>
      </c>
      <c r="O434" s="3" t="s">
        <v>9</v>
      </c>
      <c r="R434" s="181"/>
    </row>
    <row r="435" spans="1:18" ht="15" customHeight="1">
      <c r="A435" s="177" t="s">
        <v>160</v>
      </c>
      <c r="B435" s="187"/>
      <c r="C435" s="213">
        <v>161609144</v>
      </c>
      <c r="F435" s="29" t="s">
        <v>152</v>
      </c>
      <c r="G435" s="3" t="s">
        <v>65</v>
      </c>
      <c r="H435" s="3" t="s">
        <v>153</v>
      </c>
      <c r="I435" s="55">
        <v>46183</v>
      </c>
      <c r="J435" s="55">
        <v>46186</v>
      </c>
      <c r="K435" s="55">
        <v>46213</v>
      </c>
      <c r="O435" s="3" t="s">
        <v>9</v>
      </c>
      <c r="R435" s="181"/>
    </row>
    <row r="436" spans="1:18" ht="15" customHeight="1">
      <c r="A436" s="177" t="s">
        <v>160</v>
      </c>
      <c r="B436" s="187"/>
      <c r="C436" s="213">
        <v>161609152</v>
      </c>
      <c r="F436" s="29" t="s">
        <v>152</v>
      </c>
      <c r="G436" s="3" t="s">
        <v>65</v>
      </c>
      <c r="H436" s="3" t="s">
        <v>153</v>
      </c>
      <c r="I436" s="55">
        <v>46183</v>
      </c>
      <c r="J436" s="55">
        <v>46186</v>
      </c>
      <c r="K436" s="55">
        <v>46213</v>
      </c>
      <c r="O436" s="3" t="s">
        <v>9</v>
      </c>
      <c r="R436" s="181"/>
    </row>
    <row r="437" spans="1:18" ht="15" customHeight="1">
      <c r="A437" s="177" t="s">
        <v>160</v>
      </c>
      <c r="B437" s="187"/>
      <c r="C437" s="213">
        <v>161609156</v>
      </c>
      <c r="F437" s="29" t="s">
        <v>152</v>
      </c>
      <c r="G437" s="3" t="s">
        <v>65</v>
      </c>
      <c r="H437" s="3" t="s">
        <v>153</v>
      </c>
      <c r="I437" s="55">
        <v>46183</v>
      </c>
      <c r="J437" s="55">
        <v>46186</v>
      </c>
      <c r="K437" s="55">
        <v>46213</v>
      </c>
      <c r="O437" s="3" t="s">
        <v>9</v>
      </c>
      <c r="R437" s="181"/>
    </row>
    <row r="438" spans="1:18" ht="15" customHeight="1">
      <c r="A438" s="177" t="s">
        <v>160</v>
      </c>
      <c r="B438" s="187"/>
      <c r="C438" s="213">
        <v>161609172</v>
      </c>
      <c r="F438" s="29" t="s">
        <v>152</v>
      </c>
      <c r="G438" s="3" t="s">
        <v>65</v>
      </c>
      <c r="H438" s="3" t="s">
        <v>153</v>
      </c>
      <c r="I438" s="55">
        <v>46183</v>
      </c>
      <c r="J438" s="55">
        <v>46186</v>
      </c>
      <c r="K438" s="55">
        <v>46213</v>
      </c>
      <c r="O438" s="3" t="s">
        <v>9</v>
      </c>
      <c r="R438" s="181"/>
    </row>
    <row r="439" spans="1:18" ht="15" customHeight="1">
      <c r="A439" s="177" t="s">
        <v>160</v>
      </c>
      <c r="B439" s="187"/>
      <c r="C439" s="213">
        <v>161609176</v>
      </c>
      <c r="F439" s="29" t="s">
        <v>152</v>
      </c>
      <c r="G439" s="3" t="s">
        <v>65</v>
      </c>
      <c r="H439" s="3" t="s">
        <v>153</v>
      </c>
      <c r="I439" s="55">
        <v>46183</v>
      </c>
      <c r="J439" s="55">
        <v>46186</v>
      </c>
      <c r="K439" s="55">
        <v>46213</v>
      </c>
      <c r="O439" s="3" t="s">
        <v>9</v>
      </c>
      <c r="R439" s="181"/>
    </row>
    <row r="440" spans="1:18" ht="15" customHeight="1">
      <c r="A440" s="177" t="s">
        <v>160</v>
      </c>
      <c r="B440" s="187"/>
      <c r="C440" s="213">
        <v>161609182</v>
      </c>
      <c r="F440" s="29" t="s">
        <v>152</v>
      </c>
      <c r="G440" s="3" t="s">
        <v>65</v>
      </c>
      <c r="H440" s="3" t="s">
        <v>153</v>
      </c>
      <c r="I440" s="55">
        <v>46183</v>
      </c>
      <c r="J440" s="55">
        <v>46186</v>
      </c>
      <c r="K440" s="55">
        <v>46213</v>
      </c>
      <c r="O440" s="3" t="s">
        <v>9</v>
      </c>
      <c r="R440" s="181"/>
    </row>
    <row r="441" spans="1:18" ht="15" customHeight="1">
      <c r="A441" s="177" t="s">
        <v>160</v>
      </c>
      <c r="B441" s="187"/>
      <c r="C441" s="213">
        <v>161609185</v>
      </c>
      <c r="F441" s="29" t="s">
        <v>152</v>
      </c>
      <c r="G441" s="3" t="s">
        <v>65</v>
      </c>
      <c r="H441" s="3" t="s">
        <v>153</v>
      </c>
      <c r="I441" s="55">
        <v>46183</v>
      </c>
      <c r="J441" s="55">
        <v>46186</v>
      </c>
      <c r="K441" s="55">
        <v>46213</v>
      </c>
      <c r="O441" s="3" t="s">
        <v>9</v>
      </c>
      <c r="R441" s="181"/>
    </row>
    <row r="442" spans="1:18" ht="15" customHeight="1">
      <c r="A442" s="177" t="s">
        <v>160</v>
      </c>
      <c r="B442" s="187"/>
      <c r="C442" s="213">
        <v>161609191</v>
      </c>
      <c r="F442" s="29" t="s">
        <v>152</v>
      </c>
      <c r="G442" s="3" t="s">
        <v>65</v>
      </c>
      <c r="H442" s="3" t="s">
        <v>153</v>
      </c>
      <c r="I442" s="55">
        <v>46183</v>
      </c>
      <c r="J442" s="55">
        <v>46186</v>
      </c>
      <c r="K442" s="55">
        <v>46213</v>
      </c>
      <c r="O442" s="3" t="s">
        <v>9</v>
      </c>
      <c r="R442" s="181"/>
    </row>
    <row r="443" spans="1:18" ht="15" customHeight="1">
      <c r="A443" s="177" t="s">
        <v>160</v>
      </c>
      <c r="B443" s="187"/>
      <c r="C443" s="213">
        <v>161609197</v>
      </c>
      <c r="F443" s="29" t="s">
        <v>152</v>
      </c>
      <c r="G443" s="3" t="s">
        <v>65</v>
      </c>
      <c r="H443" s="3" t="s">
        <v>153</v>
      </c>
      <c r="I443" s="55">
        <v>46183</v>
      </c>
      <c r="J443" s="55">
        <v>46186</v>
      </c>
      <c r="K443" s="55">
        <v>46213</v>
      </c>
      <c r="O443" s="3" t="s">
        <v>9</v>
      </c>
      <c r="R443" s="181"/>
    </row>
    <row r="444" spans="1:18" ht="15" customHeight="1">
      <c r="A444" s="177" t="s">
        <v>160</v>
      </c>
      <c r="B444" s="187"/>
      <c r="C444" s="213">
        <v>161609200</v>
      </c>
      <c r="F444" s="29" t="s">
        <v>152</v>
      </c>
      <c r="G444" s="3" t="s">
        <v>65</v>
      </c>
      <c r="H444" s="3" t="s">
        <v>153</v>
      </c>
      <c r="I444" s="55">
        <v>46183</v>
      </c>
      <c r="J444" s="55">
        <v>46186</v>
      </c>
      <c r="K444" s="55">
        <v>46213</v>
      </c>
      <c r="O444" s="3" t="s">
        <v>9</v>
      </c>
      <c r="R444" s="181"/>
    </row>
    <row r="445" spans="1:18" ht="15" customHeight="1">
      <c r="A445" s="177" t="s">
        <v>160</v>
      </c>
      <c r="B445" s="187"/>
      <c r="C445" s="213">
        <v>161609202</v>
      </c>
      <c r="F445" s="29" t="s">
        <v>152</v>
      </c>
      <c r="G445" s="3" t="s">
        <v>65</v>
      </c>
      <c r="H445" s="3" t="s">
        <v>153</v>
      </c>
      <c r="I445" s="55">
        <v>46183</v>
      </c>
      <c r="J445" s="55">
        <v>46186</v>
      </c>
      <c r="K445" s="55">
        <v>46213</v>
      </c>
      <c r="O445" s="3" t="s">
        <v>9</v>
      </c>
      <c r="R445" s="181"/>
    </row>
    <row r="446" spans="1:18" ht="15" customHeight="1">
      <c r="A446" s="177" t="s">
        <v>160</v>
      </c>
      <c r="B446" s="187"/>
      <c r="C446" s="213">
        <v>161609205</v>
      </c>
      <c r="F446" s="29" t="s">
        <v>152</v>
      </c>
      <c r="G446" s="3" t="s">
        <v>65</v>
      </c>
      <c r="H446" s="3" t="s">
        <v>153</v>
      </c>
      <c r="I446" s="55">
        <v>46183</v>
      </c>
      <c r="J446" s="55">
        <v>46186</v>
      </c>
      <c r="K446" s="55">
        <v>46213</v>
      </c>
      <c r="O446" s="3" t="s">
        <v>9</v>
      </c>
      <c r="R446" s="181"/>
    </row>
    <row r="447" spans="1:18" ht="15" customHeight="1">
      <c r="A447" s="177" t="s">
        <v>160</v>
      </c>
      <c r="B447" s="187"/>
      <c r="C447" s="213">
        <v>161609209</v>
      </c>
      <c r="F447" s="29" t="s">
        <v>152</v>
      </c>
      <c r="G447" s="3" t="s">
        <v>65</v>
      </c>
      <c r="H447" s="3" t="s">
        <v>153</v>
      </c>
      <c r="I447" s="55">
        <v>46183</v>
      </c>
      <c r="J447" s="55">
        <v>46186</v>
      </c>
      <c r="K447" s="55">
        <v>46213</v>
      </c>
      <c r="O447" s="3" t="s">
        <v>9</v>
      </c>
      <c r="R447" s="181"/>
    </row>
    <row r="448" spans="1:18" ht="15" customHeight="1">
      <c r="A448" s="177" t="s">
        <v>160</v>
      </c>
      <c r="B448" s="187"/>
      <c r="C448" s="213">
        <v>161609213</v>
      </c>
      <c r="F448" s="29" t="s">
        <v>152</v>
      </c>
      <c r="G448" s="3" t="s">
        <v>65</v>
      </c>
      <c r="H448" s="3" t="s">
        <v>153</v>
      </c>
      <c r="I448" s="55">
        <v>46183</v>
      </c>
      <c r="J448" s="55">
        <v>46186</v>
      </c>
      <c r="K448" s="55">
        <v>46213</v>
      </c>
      <c r="O448" s="3" t="s">
        <v>9</v>
      </c>
      <c r="R448" s="181"/>
    </row>
    <row r="449" spans="1:18" ht="15" customHeight="1">
      <c r="A449" s="177" t="s">
        <v>160</v>
      </c>
      <c r="B449" s="187"/>
      <c r="C449" s="213">
        <v>161609221</v>
      </c>
      <c r="F449" s="29" t="s">
        <v>152</v>
      </c>
      <c r="G449" s="3" t="s">
        <v>65</v>
      </c>
      <c r="H449" s="3" t="s">
        <v>153</v>
      </c>
      <c r="I449" s="55">
        <v>46183</v>
      </c>
      <c r="J449" s="55">
        <v>46186</v>
      </c>
      <c r="K449" s="55">
        <v>46213</v>
      </c>
      <c r="O449" s="3" t="s">
        <v>9</v>
      </c>
      <c r="R449" s="181"/>
    </row>
    <row r="450" spans="1:18" ht="15" customHeight="1">
      <c r="A450" s="177" t="s">
        <v>127</v>
      </c>
      <c r="B450" s="187"/>
      <c r="C450" s="213">
        <v>161609290</v>
      </c>
      <c r="F450" s="29" t="s">
        <v>128</v>
      </c>
      <c r="G450" s="3" t="s">
        <v>65</v>
      </c>
      <c r="H450" s="3" t="s">
        <v>129</v>
      </c>
      <c r="I450" s="55">
        <v>46183</v>
      </c>
      <c r="J450" s="55">
        <v>46186</v>
      </c>
      <c r="K450" s="55">
        <v>46213</v>
      </c>
      <c r="O450" s="3" t="s">
        <v>9</v>
      </c>
      <c r="R450" s="181"/>
    </row>
    <row r="451" spans="1:18" ht="15" customHeight="1">
      <c r="A451" s="177" t="s">
        <v>127</v>
      </c>
      <c r="B451" s="187"/>
      <c r="C451" s="213">
        <v>161609305</v>
      </c>
      <c r="F451" s="29" t="s">
        <v>128</v>
      </c>
      <c r="G451" s="3" t="s">
        <v>65</v>
      </c>
      <c r="H451" s="3" t="s">
        <v>129</v>
      </c>
      <c r="I451" s="55">
        <v>46183</v>
      </c>
      <c r="J451" s="55">
        <v>46186</v>
      </c>
      <c r="K451" s="55">
        <v>46213</v>
      </c>
      <c r="O451" s="3" t="s">
        <v>9</v>
      </c>
      <c r="R451" s="181"/>
    </row>
    <row r="452" spans="1:18" ht="15" customHeight="1">
      <c r="A452" s="177" t="s">
        <v>127</v>
      </c>
      <c r="B452" s="187"/>
      <c r="C452" s="213">
        <v>161609313</v>
      </c>
      <c r="F452" s="29" t="s">
        <v>128</v>
      </c>
      <c r="G452" s="3" t="s">
        <v>65</v>
      </c>
      <c r="H452" s="3" t="s">
        <v>129</v>
      </c>
      <c r="I452" s="55">
        <v>46183</v>
      </c>
      <c r="J452" s="55">
        <v>46186</v>
      </c>
      <c r="K452" s="55">
        <v>46213</v>
      </c>
      <c r="O452" s="3" t="s">
        <v>9</v>
      </c>
      <c r="R452" s="181"/>
    </row>
    <row r="453" spans="1:18" ht="15" customHeight="1">
      <c r="A453" s="177" t="s">
        <v>127</v>
      </c>
      <c r="B453" s="187"/>
      <c r="C453" s="213">
        <v>161609321</v>
      </c>
      <c r="F453" s="29" t="s">
        <v>128</v>
      </c>
      <c r="G453" s="3" t="s">
        <v>65</v>
      </c>
      <c r="H453" s="3" t="s">
        <v>129</v>
      </c>
      <c r="I453" s="55">
        <v>46183</v>
      </c>
      <c r="J453" s="55">
        <v>46186</v>
      </c>
      <c r="K453" s="55">
        <v>46213</v>
      </c>
      <c r="O453" s="3" t="s">
        <v>9</v>
      </c>
      <c r="R453" s="181"/>
    </row>
    <row r="454" spans="1:18" ht="15" customHeight="1">
      <c r="A454" s="177" t="s">
        <v>127</v>
      </c>
      <c r="B454" s="187"/>
      <c r="C454" s="213">
        <v>161609332</v>
      </c>
      <c r="F454" s="29" t="s">
        <v>128</v>
      </c>
      <c r="G454" s="3" t="s">
        <v>65</v>
      </c>
      <c r="H454" s="3" t="s">
        <v>129</v>
      </c>
      <c r="I454" s="55">
        <v>46183</v>
      </c>
      <c r="J454" s="55">
        <v>46186</v>
      </c>
      <c r="K454" s="55">
        <v>46213</v>
      </c>
      <c r="O454" s="3" t="s">
        <v>9</v>
      </c>
      <c r="R454" s="181"/>
    </row>
    <row r="455" spans="1:18" ht="15" customHeight="1">
      <c r="A455" s="177" t="s">
        <v>127</v>
      </c>
      <c r="B455" s="187"/>
      <c r="C455" s="213">
        <v>161609339</v>
      </c>
      <c r="F455" s="29" t="s">
        <v>128</v>
      </c>
      <c r="G455" s="3" t="s">
        <v>65</v>
      </c>
      <c r="H455" s="3" t="s">
        <v>129</v>
      </c>
      <c r="I455" s="55">
        <v>46183</v>
      </c>
      <c r="J455" s="55">
        <v>46186</v>
      </c>
      <c r="K455" s="55">
        <v>46213</v>
      </c>
      <c r="O455" s="3" t="s">
        <v>9</v>
      </c>
      <c r="R455" s="181"/>
    </row>
    <row r="456" spans="1:18" ht="15" customHeight="1">
      <c r="A456" s="177" t="s">
        <v>127</v>
      </c>
      <c r="B456" s="187"/>
      <c r="C456" s="213">
        <v>161609352</v>
      </c>
      <c r="F456" s="29" t="s">
        <v>128</v>
      </c>
      <c r="G456" s="3" t="s">
        <v>65</v>
      </c>
      <c r="H456" s="3" t="s">
        <v>129</v>
      </c>
      <c r="I456" s="55">
        <v>46183</v>
      </c>
      <c r="J456" s="55">
        <v>46186</v>
      </c>
      <c r="K456" s="55">
        <v>46213</v>
      </c>
      <c r="O456" s="3" t="s">
        <v>9</v>
      </c>
      <c r="R456" s="181"/>
    </row>
    <row r="457" spans="1:18" ht="15" customHeight="1">
      <c r="A457" s="177" t="s">
        <v>127</v>
      </c>
      <c r="B457" s="187"/>
      <c r="C457" s="213">
        <v>161609368</v>
      </c>
      <c r="F457" s="29" t="s">
        <v>128</v>
      </c>
      <c r="G457" s="3" t="s">
        <v>65</v>
      </c>
      <c r="H457" s="3" t="s">
        <v>129</v>
      </c>
      <c r="I457" s="55">
        <v>46183</v>
      </c>
      <c r="J457" s="55">
        <v>46186</v>
      </c>
      <c r="K457" s="55">
        <v>46213</v>
      </c>
      <c r="O457" s="3" t="s">
        <v>9</v>
      </c>
      <c r="R457" s="181"/>
    </row>
    <row r="458" spans="1:18" ht="15" customHeight="1">
      <c r="A458" s="177" t="s">
        <v>127</v>
      </c>
      <c r="B458" s="187"/>
      <c r="C458" s="213">
        <v>161609383</v>
      </c>
      <c r="F458" s="29" t="s">
        <v>128</v>
      </c>
      <c r="G458" s="3" t="s">
        <v>65</v>
      </c>
      <c r="H458" s="3" t="s">
        <v>129</v>
      </c>
      <c r="I458" s="55">
        <v>46183</v>
      </c>
      <c r="J458" s="55">
        <v>46186</v>
      </c>
      <c r="K458" s="55">
        <v>46213</v>
      </c>
      <c r="O458" s="3" t="s">
        <v>9</v>
      </c>
      <c r="R458" s="181"/>
    </row>
    <row r="459" spans="1:18" ht="15" customHeight="1">
      <c r="A459" s="177" t="s">
        <v>127</v>
      </c>
      <c r="B459" s="187"/>
      <c r="C459" s="213">
        <v>161609391</v>
      </c>
      <c r="F459" s="29" t="s">
        <v>128</v>
      </c>
      <c r="G459" s="3" t="s">
        <v>65</v>
      </c>
      <c r="H459" s="3" t="s">
        <v>129</v>
      </c>
      <c r="I459" s="55">
        <v>46183</v>
      </c>
      <c r="J459" s="55">
        <v>46186</v>
      </c>
      <c r="K459" s="55">
        <v>46213</v>
      </c>
      <c r="O459" s="3" t="s">
        <v>9</v>
      </c>
      <c r="R459" s="181"/>
    </row>
    <row r="460" spans="1:18" ht="15" customHeight="1">
      <c r="A460" s="177" t="s">
        <v>127</v>
      </c>
      <c r="B460" s="187"/>
      <c r="C460" s="213">
        <v>161609417</v>
      </c>
      <c r="F460" s="29" t="s">
        <v>128</v>
      </c>
      <c r="G460" s="3" t="s">
        <v>65</v>
      </c>
      <c r="H460" s="3" t="s">
        <v>129</v>
      </c>
      <c r="I460" s="55">
        <v>46183</v>
      </c>
      <c r="J460" s="55">
        <v>46186</v>
      </c>
      <c r="K460" s="55">
        <v>46213</v>
      </c>
      <c r="O460" s="3" t="s">
        <v>9</v>
      </c>
      <c r="R460" s="181"/>
    </row>
    <row r="461" spans="1:18" ht="15" customHeight="1">
      <c r="A461" s="177" t="s">
        <v>127</v>
      </c>
      <c r="B461" s="187"/>
      <c r="C461" s="213">
        <v>161609426</v>
      </c>
      <c r="F461" s="29" t="s">
        <v>128</v>
      </c>
      <c r="G461" s="3" t="s">
        <v>65</v>
      </c>
      <c r="H461" s="3" t="s">
        <v>129</v>
      </c>
      <c r="I461" s="55">
        <v>46183</v>
      </c>
      <c r="J461" s="55">
        <v>46186</v>
      </c>
      <c r="K461" s="55">
        <v>46213</v>
      </c>
      <c r="O461" s="3" t="s">
        <v>9</v>
      </c>
      <c r="R461" s="181"/>
    </row>
    <row r="462" spans="1:18" ht="15" customHeight="1">
      <c r="A462" s="177" t="s">
        <v>127</v>
      </c>
      <c r="B462" s="187"/>
      <c r="C462" s="213">
        <v>161609453</v>
      </c>
      <c r="F462" s="29" t="s">
        <v>128</v>
      </c>
      <c r="G462" s="3" t="s">
        <v>65</v>
      </c>
      <c r="H462" s="3" t="s">
        <v>129</v>
      </c>
      <c r="I462" s="55">
        <v>46183</v>
      </c>
      <c r="J462" s="55">
        <v>46186</v>
      </c>
      <c r="K462" s="55">
        <v>46213</v>
      </c>
      <c r="O462" s="3" t="s">
        <v>9</v>
      </c>
      <c r="R462" s="181"/>
    </row>
    <row r="463" spans="1:18" ht="15" customHeight="1">
      <c r="A463" s="177" t="s">
        <v>127</v>
      </c>
      <c r="B463" s="187"/>
      <c r="C463" s="213">
        <v>161609485</v>
      </c>
      <c r="F463" s="29" t="s">
        <v>128</v>
      </c>
      <c r="G463" s="3" t="s">
        <v>65</v>
      </c>
      <c r="H463" s="3" t="s">
        <v>129</v>
      </c>
      <c r="I463" s="55">
        <v>46183</v>
      </c>
      <c r="J463" s="55">
        <v>46186</v>
      </c>
      <c r="K463" s="55">
        <v>46213</v>
      </c>
      <c r="O463" s="3" t="s">
        <v>9</v>
      </c>
      <c r="R463" s="181"/>
    </row>
    <row r="464" spans="1:18" ht="15" customHeight="1">
      <c r="A464" s="177" t="s">
        <v>127</v>
      </c>
      <c r="B464" s="187"/>
      <c r="C464" s="213">
        <v>161609490</v>
      </c>
      <c r="F464" s="29" t="s">
        <v>128</v>
      </c>
      <c r="G464" s="3" t="s">
        <v>65</v>
      </c>
      <c r="H464" s="3" t="s">
        <v>129</v>
      </c>
      <c r="I464" s="55">
        <v>46183</v>
      </c>
      <c r="J464" s="55">
        <v>46186</v>
      </c>
      <c r="K464" s="55">
        <v>46213</v>
      </c>
      <c r="O464" s="3" t="s">
        <v>9</v>
      </c>
      <c r="R464" s="181"/>
    </row>
    <row r="465" spans="1:18" ht="15" customHeight="1">
      <c r="A465" s="177" t="s">
        <v>127</v>
      </c>
      <c r="B465" s="187"/>
      <c r="C465" s="213">
        <v>161609496</v>
      </c>
      <c r="F465" s="29" t="s">
        <v>128</v>
      </c>
      <c r="G465" s="3" t="s">
        <v>65</v>
      </c>
      <c r="H465" s="3" t="s">
        <v>129</v>
      </c>
      <c r="I465" s="55">
        <v>46183</v>
      </c>
      <c r="J465" s="55">
        <v>46186</v>
      </c>
      <c r="K465" s="55">
        <v>46213</v>
      </c>
      <c r="O465" s="3" t="s">
        <v>9</v>
      </c>
      <c r="R465" s="181"/>
    </row>
    <row r="466" spans="1:18" ht="15" customHeight="1">
      <c r="A466" s="177" t="s">
        <v>127</v>
      </c>
      <c r="B466" s="187"/>
      <c r="C466" s="213">
        <v>161609504</v>
      </c>
      <c r="F466" s="29" t="s">
        <v>128</v>
      </c>
      <c r="G466" s="3" t="s">
        <v>65</v>
      </c>
      <c r="H466" s="3" t="s">
        <v>129</v>
      </c>
      <c r="I466" s="55">
        <v>46183</v>
      </c>
      <c r="J466" s="55">
        <v>46186</v>
      </c>
      <c r="K466" s="55">
        <v>46213</v>
      </c>
      <c r="O466" s="3" t="s">
        <v>9</v>
      </c>
      <c r="R466" s="181"/>
    </row>
    <row r="467" spans="1:18" ht="15" customHeight="1">
      <c r="A467" s="177" t="s">
        <v>127</v>
      </c>
      <c r="B467" s="187"/>
      <c r="C467" s="213">
        <v>161609507</v>
      </c>
      <c r="F467" s="29" t="s">
        <v>128</v>
      </c>
      <c r="G467" s="3" t="s">
        <v>65</v>
      </c>
      <c r="H467" s="3" t="s">
        <v>129</v>
      </c>
      <c r="I467" s="55">
        <v>46183</v>
      </c>
      <c r="J467" s="55">
        <v>46186</v>
      </c>
      <c r="K467" s="55">
        <v>46213</v>
      </c>
      <c r="O467" s="3" t="s">
        <v>9</v>
      </c>
      <c r="R467" s="181"/>
    </row>
    <row r="468" spans="1:18" ht="15" customHeight="1">
      <c r="A468" s="177" t="s">
        <v>127</v>
      </c>
      <c r="B468" s="187"/>
      <c r="C468" s="213">
        <v>161609512</v>
      </c>
      <c r="F468" s="29" t="s">
        <v>128</v>
      </c>
      <c r="G468" s="3" t="s">
        <v>65</v>
      </c>
      <c r="H468" s="3" t="s">
        <v>129</v>
      </c>
      <c r="I468" s="55">
        <v>46183</v>
      </c>
      <c r="J468" s="55">
        <v>46186</v>
      </c>
      <c r="K468" s="55">
        <v>46213</v>
      </c>
      <c r="O468" s="3" t="s">
        <v>9</v>
      </c>
      <c r="R468" s="181"/>
    </row>
    <row r="469" spans="1:18" ht="15" customHeight="1">
      <c r="A469" s="177" t="s">
        <v>127</v>
      </c>
      <c r="B469" s="187"/>
      <c r="C469" s="213">
        <v>161609516</v>
      </c>
      <c r="F469" s="29" t="s">
        <v>128</v>
      </c>
      <c r="G469" s="3" t="s">
        <v>65</v>
      </c>
      <c r="H469" s="3" t="s">
        <v>129</v>
      </c>
      <c r="I469" s="55">
        <v>46183</v>
      </c>
      <c r="J469" s="55">
        <v>46186</v>
      </c>
      <c r="K469" s="55">
        <v>46213</v>
      </c>
      <c r="O469" s="3" t="s">
        <v>9</v>
      </c>
      <c r="R469" s="181"/>
    </row>
    <row r="470" spans="1:18" ht="15" customHeight="1">
      <c r="A470" s="177" t="s">
        <v>127</v>
      </c>
      <c r="B470" s="187"/>
      <c r="C470" s="213">
        <v>161609519</v>
      </c>
      <c r="F470" s="29" t="s">
        <v>128</v>
      </c>
      <c r="G470" s="3" t="s">
        <v>65</v>
      </c>
      <c r="H470" s="3" t="s">
        <v>129</v>
      </c>
      <c r="I470" s="55">
        <v>46183</v>
      </c>
      <c r="J470" s="55">
        <v>46186</v>
      </c>
      <c r="K470" s="55">
        <v>46213</v>
      </c>
      <c r="O470" s="3" t="s">
        <v>9</v>
      </c>
      <c r="R470" s="181"/>
    </row>
    <row r="471" spans="1:18" ht="15" customHeight="1">
      <c r="A471" s="177" t="s">
        <v>127</v>
      </c>
      <c r="B471" s="187"/>
      <c r="C471" s="213">
        <v>161609521</v>
      </c>
      <c r="F471" s="29" t="s">
        <v>128</v>
      </c>
      <c r="G471" s="3" t="s">
        <v>65</v>
      </c>
      <c r="H471" s="3" t="s">
        <v>129</v>
      </c>
      <c r="I471" s="55">
        <v>46183</v>
      </c>
      <c r="J471" s="55">
        <v>46186</v>
      </c>
      <c r="K471" s="55">
        <v>46213</v>
      </c>
      <c r="O471" s="3" t="s">
        <v>9</v>
      </c>
      <c r="R471" s="181"/>
    </row>
    <row r="472" spans="1:18" ht="15" customHeight="1">
      <c r="A472" s="177" t="s">
        <v>127</v>
      </c>
      <c r="B472" s="187"/>
      <c r="C472" s="213">
        <v>161609524</v>
      </c>
      <c r="F472" s="29" t="s">
        <v>128</v>
      </c>
      <c r="G472" s="3" t="s">
        <v>65</v>
      </c>
      <c r="H472" s="3" t="s">
        <v>129</v>
      </c>
      <c r="I472" s="55">
        <v>46183</v>
      </c>
      <c r="J472" s="55">
        <v>46186</v>
      </c>
      <c r="K472" s="55">
        <v>46213</v>
      </c>
      <c r="O472" s="3" t="s">
        <v>9</v>
      </c>
      <c r="R472" s="181"/>
    </row>
    <row r="473" spans="1:18" ht="15" customHeight="1">
      <c r="A473" s="177" t="s">
        <v>127</v>
      </c>
      <c r="B473" s="187"/>
      <c r="C473" s="213">
        <v>161609526</v>
      </c>
      <c r="F473" s="29" t="s">
        <v>128</v>
      </c>
      <c r="G473" s="3" t="s">
        <v>65</v>
      </c>
      <c r="H473" s="3" t="s">
        <v>129</v>
      </c>
      <c r="I473" s="55">
        <v>46183</v>
      </c>
      <c r="J473" s="55">
        <v>46186</v>
      </c>
      <c r="K473" s="55">
        <v>46213</v>
      </c>
      <c r="O473" s="3" t="s">
        <v>9</v>
      </c>
      <c r="R473" s="181"/>
    </row>
    <row r="474" spans="1:18" ht="15" customHeight="1">
      <c r="A474" s="177" t="s">
        <v>127</v>
      </c>
      <c r="B474" s="187"/>
      <c r="C474" s="213">
        <v>161609527</v>
      </c>
      <c r="F474" s="29" t="s">
        <v>128</v>
      </c>
      <c r="G474" s="3" t="s">
        <v>65</v>
      </c>
      <c r="H474" s="3" t="s">
        <v>129</v>
      </c>
      <c r="I474" s="55">
        <v>46183</v>
      </c>
      <c r="J474" s="55">
        <v>46186</v>
      </c>
      <c r="K474" s="55">
        <v>46213</v>
      </c>
      <c r="O474" s="3" t="s">
        <v>9</v>
      </c>
      <c r="R474" s="181"/>
    </row>
    <row r="475" spans="1:18" ht="15" customHeight="1">
      <c r="A475" s="177" t="s">
        <v>161</v>
      </c>
      <c r="B475" s="187"/>
      <c r="C475" s="213">
        <v>147604963</v>
      </c>
      <c r="F475" s="29" t="s">
        <v>162</v>
      </c>
      <c r="G475" s="3" t="s">
        <v>163</v>
      </c>
      <c r="H475" s="3" t="s">
        <v>30</v>
      </c>
      <c r="I475" s="55">
        <v>46168</v>
      </c>
      <c r="J475" s="55">
        <v>46171</v>
      </c>
      <c r="K475" s="55">
        <v>46199</v>
      </c>
      <c r="O475" s="3" t="s">
        <v>9</v>
      </c>
      <c r="R475" s="181"/>
    </row>
    <row r="476" spans="1:18" ht="15" customHeight="1">
      <c r="A476" s="177" t="s">
        <v>161</v>
      </c>
      <c r="B476" s="187"/>
      <c r="C476" s="213">
        <v>147604803</v>
      </c>
      <c r="F476" s="29" t="s">
        <v>162</v>
      </c>
      <c r="G476" s="3" t="s">
        <v>163</v>
      </c>
      <c r="H476" s="3" t="s">
        <v>30</v>
      </c>
      <c r="I476" s="55">
        <v>46168</v>
      </c>
      <c r="J476" s="55">
        <v>46171</v>
      </c>
      <c r="K476" s="55">
        <v>46199</v>
      </c>
      <c r="O476" s="3" t="s">
        <v>9</v>
      </c>
      <c r="R476" s="181"/>
    </row>
    <row r="477" spans="1:18" ht="15" customHeight="1">
      <c r="A477" s="177" t="s">
        <v>161</v>
      </c>
      <c r="B477" s="187"/>
      <c r="C477" s="213">
        <v>147605087</v>
      </c>
      <c r="F477" s="29" t="s">
        <v>162</v>
      </c>
      <c r="G477" s="3" t="s">
        <v>163</v>
      </c>
      <c r="H477" s="3" t="s">
        <v>30</v>
      </c>
      <c r="I477" s="55">
        <v>46168</v>
      </c>
      <c r="J477" s="55">
        <v>46171</v>
      </c>
      <c r="K477" s="55">
        <v>46199</v>
      </c>
      <c r="O477" s="3" t="s">
        <v>9</v>
      </c>
      <c r="R477" s="181"/>
    </row>
    <row r="478" spans="1:18" ht="15" customHeight="1">
      <c r="A478" s="177" t="s">
        <v>161</v>
      </c>
      <c r="B478" s="187"/>
      <c r="C478" s="213">
        <v>147605275</v>
      </c>
      <c r="F478" s="29" t="s">
        <v>162</v>
      </c>
      <c r="G478" s="3" t="s">
        <v>163</v>
      </c>
      <c r="H478" s="3" t="s">
        <v>30</v>
      </c>
      <c r="I478" s="55">
        <v>46168</v>
      </c>
      <c r="J478" s="55">
        <v>46171</v>
      </c>
      <c r="K478" s="55">
        <v>46199</v>
      </c>
      <c r="O478" s="3" t="s">
        <v>9</v>
      </c>
      <c r="R478" s="181"/>
    </row>
    <row r="479" spans="1:18" ht="15" customHeight="1">
      <c r="A479" s="177" t="s">
        <v>161</v>
      </c>
      <c r="B479" s="187"/>
      <c r="C479" s="213">
        <v>147605379</v>
      </c>
      <c r="F479" s="29" t="s">
        <v>162</v>
      </c>
      <c r="G479" s="3" t="s">
        <v>163</v>
      </c>
      <c r="H479" s="3" t="s">
        <v>30</v>
      </c>
      <c r="I479" s="55">
        <v>46168</v>
      </c>
      <c r="J479" s="55">
        <v>46171</v>
      </c>
      <c r="K479" s="55">
        <v>46199</v>
      </c>
      <c r="O479" s="3" t="s">
        <v>9</v>
      </c>
      <c r="R479" s="181"/>
    </row>
    <row r="480" spans="1:18" ht="15" customHeight="1">
      <c r="A480" s="177" t="s">
        <v>164</v>
      </c>
      <c r="B480" s="187"/>
      <c r="C480" s="213">
        <v>139603849</v>
      </c>
      <c r="F480" s="29" t="s">
        <v>165</v>
      </c>
      <c r="G480" s="3" t="s">
        <v>65</v>
      </c>
      <c r="H480" s="3" t="s">
        <v>156</v>
      </c>
      <c r="I480" s="55">
        <v>46175</v>
      </c>
      <c r="J480" s="55">
        <v>46178</v>
      </c>
      <c r="K480" s="55">
        <v>46205</v>
      </c>
      <c r="O480" s="3" t="s">
        <v>9</v>
      </c>
      <c r="R480" s="181"/>
    </row>
    <row r="481" spans="1:18" ht="15" customHeight="1">
      <c r="A481" s="177" t="s">
        <v>164</v>
      </c>
      <c r="B481" s="187"/>
      <c r="C481" s="213">
        <v>139603642</v>
      </c>
      <c r="F481" s="29" t="s">
        <v>165</v>
      </c>
      <c r="G481" s="3" t="s">
        <v>65</v>
      </c>
      <c r="H481" s="3" t="s">
        <v>156</v>
      </c>
      <c r="I481" s="55">
        <v>46175</v>
      </c>
      <c r="J481" s="55">
        <v>46178</v>
      </c>
      <c r="K481" s="55">
        <v>46205</v>
      </c>
      <c r="O481" s="3" t="s">
        <v>9</v>
      </c>
      <c r="R481" s="181"/>
    </row>
    <row r="482" spans="1:18" ht="15" customHeight="1">
      <c r="A482" s="177" t="s">
        <v>164</v>
      </c>
      <c r="B482" s="187"/>
      <c r="C482" s="213">
        <v>139603580</v>
      </c>
      <c r="F482" s="29" t="s">
        <v>165</v>
      </c>
      <c r="G482" s="3" t="s">
        <v>65</v>
      </c>
      <c r="H482" s="3" t="s">
        <v>156</v>
      </c>
      <c r="I482" s="55">
        <v>46175</v>
      </c>
      <c r="J482" s="55">
        <v>46178</v>
      </c>
      <c r="K482" s="55">
        <v>46205</v>
      </c>
      <c r="O482" s="3" t="s">
        <v>9</v>
      </c>
      <c r="R482" s="181"/>
    </row>
    <row r="483" spans="1:18" ht="15" customHeight="1">
      <c r="A483" s="177" t="s">
        <v>164</v>
      </c>
      <c r="B483" s="187"/>
      <c r="C483" s="213">
        <v>139603674</v>
      </c>
      <c r="F483" s="29" t="s">
        <v>165</v>
      </c>
      <c r="G483" s="3" t="s">
        <v>65</v>
      </c>
      <c r="H483" s="3" t="s">
        <v>156</v>
      </c>
      <c r="I483" s="55">
        <v>46175</v>
      </c>
      <c r="J483" s="55">
        <v>46178</v>
      </c>
      <c r="K483" s="55">
        <v>46205</v>
      </c>
      <c r="O483" s="3" t="s">
        <v>9</v>
      </c>
      <c r="R483" s="181"/>
    </row>
    <row r="484" spans="1:18" ht="15" customHeight="1">
      <c r="A484" s="177" t="s">
        <v>164</v>
      </c>
      <c r="B484" s="187"/>
      <c r="C484" s="213">
        <v>139603725</v>
      </c>
      <c r="F484" s="29" t="s">
        <v>165</v>
      </c>
      <c r="G484" s="3" t="s">
        <v>65</v>
      </c>
      <c r="H484" s="3" t="s">
        <v>156</v>
      </c>
      <c r="I484" s="55">
        <v>46175</v>
      </c>
      <c r="J484" s="55">
        <v>46178</v>
      </c>
      <c r="K484" s="55">
        <v>46205</v>
      </c>
      <c r="O484" s="3" t="s">
        <v>9</v>
      </c>
      <c r="R484" s="181"/>
    </row>
    <row r="485" spans="1:18" ht="15" customHeight="1">
      <c r="A485" s="177" t="s">
        <v>164</v>
      </c>
      <c r="B485" s="187"/>
      <c r="C485" s="213">
        <v>139603962</v>
      </c>
      <c r="F485" s="29" t="s">
        <v>165</v>
      </c>
      <c r="G485" s="3" t="s">
        <v>65</v>
      </c>
      <c r="H485" s="3" t="s">
        <v>156</v>
      </c>
      <c r="I485" s="55">
        <v>46175</v>
      </c>
      <c r="J485" s="55">
        <v>46178</v>
      </c>
      <c r="K485" s="55">
        <v>46205</v>
      </c>
      <c r="O485" s="3" t="s">
        <v>9</v>
      </c>
      <c r="R485" s="181"/>
    </row>
    <row r="486" spans="1:18" ht="15" customHeight="1">
      <c r="A486" s="177" t="s">
        <v>164</v>
      </c>
      <c r="B486" s="187"/>
      <c r="C486" s="213">
        <v>139603901</v>
      </c>
      <c r="F486" s="29" t="s">
        <v>165</v>
      </c>
      <c r="G486" s="3" t="s">
        <v>65</v>
      </c>
      <c r="H486" s="3" t="s">
        <v>156</v>
      </c>
      <c r="I486" s="55">
        <v>46175</v>
      </c>
      <c r="J486" s="55">
        <v>46178</v>
      </c>
      <c r="K486" s="55">
        <v>46205</v>
      </c>
      <c r="O486" s="3" t="s">
        <v>9</v>
      </c>
      <c r="R486" s="181"/>
    </row>
    <row r="487" spans="1:18" ht="15" customHeight="1">
      <c r="A487" s="177" t="s">
        <v>164</v>
      </c>
      <c r="B487" s="187"/>
      <c r="C487" s="213">
        <v>139603795</v>
      </c>
      <c r="F487" s="29" t="s">
        <v>165</v>
      </c>
      <c r="G487" s="3" t="s">
        <v>65</v>
      </c>
      <c r="H487" s="3" t="s">
        <v>156</v>
      </c>
      <c r="I487" s="55">
        <v>46175</v>
      </c>
      <c r="J487" s="55">
        <v>46178</v>
      </c>
      <c r="K487" s="55">
        <v>46205</v>
      </c>
      <c r="O487" s="3" t="s">
        <v>9</v>
      </c>
      <c r="R487" s="181"/>
    </row>
    <row r="488" spans="1:18" ht="15" customHeight="1">
      <c r="A488" s="177" t="s">
        <v>164</v>
      </c>
      <c r="B488" s="187"/>
      <c r="C488" s="213">
        <v>139603876</v>
      </c>
      <c r="F488" s="29" t="s">
        <v>165</v>
      </c>
      <c r="G488" s="3" t="s">
        <v>65</v>
      </c>
      <c r="H488" s="3" t="s">
        <v>156</v>
      </c>
      <c r="I488" s="55">
        <v>46175</v>
      </c>
      <c r="J488" s="55">
        <v>46178</v>
      </c>
      <c r="K488" s="55">
        <v>46205</v>
      </c>
      <c r="O488" s="3" t="s">
        <v>9</v>
      </c>
      <c r="R488" s="181"/>
    </row>
    <row r="489" spans="1:18" ht="15" customHeight="1">
      <c r="A489" s="177" t="s">
        <v>166</v>
      </c>
      <c r="B489" s="187"/>
      <c r="C489" s="213">
        <v>155607671</v>
      </c>
      <c r="F489" s="29" t="s">
        <v>167</v>
      </c>
      <c r="G489" s="3" t="s">
        <v>168</v>
      </c>
      <c r="H489" s="3" t="s">
        <v>169</v>
      </c>
      <c r="I489" s="55">
        <v>46175</v>
      </c>
      <c r="J489" s="55">
        <v>46178</v>
      </c>
      <c r="K489" s="55">
        <v>46205</v>
      </c>
      <c r="O489" s="3" t="s">
        <v>10</v>
      </c>
      <c r="P489" s="55">
        <v>46181</v>
      </c>
      <c r="R489" s="181"/>
    </row>
    <row r="490" spans="1:18" ht="15" customHeight="1">
      <c r="A490" s="177" t="s">
        <v>166</v>
      </c>
      <c r="B490" s="187"/>
      <c r="C490" s="213">
        <v>155607621</v>
      </c>
      <c r="F490" s="29" t="s">
        <v>167</v>
      </c>
      <c r="G490" s="3" t="s">
        <v>168</v>
      </c>
      <c r="H490" s="3" t="s">
        <v>169</v>
      </c>
      <c r="I490" s="55">
        <v>46175</v>
      </c>
      <c r="J490" s="55">
        <v>46178</v>
      </c>
      <c r="K490" s="55">
        <v>46205</v>
      </c>
      <c r="O490" s="3" t="s">
        <v>10</v>
      </c>
      <c r="P490" s="55">
        <v>46181</v>
      </c>
      <c r="R490" s="181"/>
    </row>
    <row r="491" spans="1:18" ht="15" customHeight="1">
      <c r="A491" s="177" t="s">
        <v>166</v>
      </c>
      <c r="B491" s="187"/>
      <c r="C491" s="213">
        <v>155607573</v>
      </c>
      <c r="F491" s="29" t="s">
        <v>167</v>
      </c>
      <c r="G491" s="3" t="s">
        <v>59</v>
      </c>
      <c r="H491" s="3" t="s">
        <v>169</v>
      </c>
      <c r="I491" s="55">
        <v>46175</v>
      </c>
      <c r="J491" s="55">
        <v>46178</v>
      </c>
      <c r="K491" s="55">
        <v>46205</v>
      </c>
      <c r="O491" s="3" t="s">
        <v>9</v>
      </c>
      <c r="R491" s="181"/>
    </row>
    <row r="492" spans="1:18" ht="15" customHeight="1">
      <c r="A492" s="177" t="s">
        <v>166</v>
      </c>
      <c r="B492" s="187"/>
      <c r="C492" s="213">
        <v>155607553</v>
      </c>
      <c r="F492" s="29" t="s">
        <v>167</v>
      </c>
      <c r="G492" s="3" t="s">
        <v>168</v>
      </c>
      <c r="H492" s="3" t="s">
        <v>169</v>
      </c>
      <c r="I492" s="55">
        <v>46175</v>
      </c>
      <c r="J492" s="55">
        <v>46178</v>
      </c>
      <c r="K492" s="55">
        <v>46205</v>
      </c>
      <c r="O492" s="3" t="s">
        <v>10</v>
      </c>
      <c r="P492" s="55">
        <v>46181</v>
      </c>
      <c r="R492" s="181"/>
    </row>
    <row r="493" spans="1:18" ht="15" customHeight="1">
      <c r="A493" s="177" t="s">
        <v>170</v>
      </c>
      <c r="B493" s="187"/>
      <c r="C493" s="213">
        <v>153600010</v>
      </c>
      <c r="F493" s="29" t="s">
        <v>167</v>
      </c>
      <c r="G493" s="3" t="s">
        <v>168</v>
      </c>
      <c r="H493" s="3" t="s">
        <v>169</v>
      </c>
      <c r="I493" s="55">
        <v>46175</v>
      </c>
      <c r="J493" s="55">
        <v>46178</v>
      </c>
      <c r="K493" s="55">
        <v>46205</v>
      </c>
      <c r="O493" s="3" t="s">
        <v>10</v>
      </c>
      <c r="P493" s="55">
        <v>46181</v>
      </c>
      <c r="R493" s="181"/>
    </row>
    <row r="494" spans="1:18" ht="15" customHeight="1">
      <c r="A494" s="177" t="s">
        <v>170</v>
      </c>
      <c r="B494" s="187"/>
      <c r="C494" s="213">
        <v>153600007</v>
      </c>
      <c r="F494" s="29" t="s">
        <v>167</v>
      </c>
      <c r="G494" s="3" t="s">
        <v>168</v>
      </c>
      <c r="H494" s="3" t="s">
        <v>169</v>
      </c>
      <c r="I494" s="55">
        <v>46175</v>
      </c>
      <c r="J494" s="55">
        <v>46178</v>
      </c>
      <c r="K494" s="55">
        <v>46205</v>
      </c>
      <c r="O494" s="3" t="s">
        <v>10</v>
      </c>
      <c r="P494" s="55">
        <v>46181</v>
      </c>
      <c r="R494" s="181"/>
    </row>
    <row r="495" spans="1:18" ht="15" customHeight="1">
      <c r="A495" s="177" t="s">
        <v>170</v>
      </c>
      <c r="B495" s="187"/>
      <c r="C495" s="213">
        <v>153600005</v>
      </c>
      <c r="F495" s="29" t="s">
        <v>167</v>
      </c>
      <c r="G495" s="3" t="s">
        <v>168</v>
      </c>
      <c r="H495" s="3" t="s">
        <v>169</v>
      </c>
      <c r="I495" s="55">
        <v>46175</v>
      </c>
      <c r="J495" s="55">
        <v>46178</v>
      </c>
      <c r="K495" s="55">
        <v>46205</v>
      </c>
      <c r="O495" s="3" t="s">
        <v>10</v>
      </c>
      <c r="P495" s="55">
        <v>46181</v>
      </c>
      <c r="R495" s="181"/>
    </row>
    <row r="496" spans="1:18" ht="15" customHeight="1">
      <c r="A496" s="177" t="s">
        <v>170</v>
      </c>
      <c r="B496" s="187"/>
      <c r="C496" s="213">
        <v>153600003</v>
      </c>
      <c r="F496" s="29" t="s">
        <v>167</v>
      </c>
      <c r="G496" s="3" t="s">
        <v>168</v>
      </c>
      <c r="H496" s="3" t="s">
        <v>169</v>
      </c>
      <c r="I496" s="55">
        <v>46175</v>
      </c>
      <c r="J496" s="55">
        <v>46178</v>
      </c>
      <c r="K496" s="55">
        <v>46205</v>
      </c>
      <c r="O496" s="3" t="s">
        <v>10</v>
      </c>
      <c r="P496" s="55">
        <v>46181</v>
      </c>
      <c r="R496" s="181"/>
    </row>
    <row r="497" spans="1:18" ht="15" customHeight="1">
      <c r="A497" s="177" t="s">
        <v>170</v>
      </c>
      <c r="B497" s="187"/>
      <c r="C497" s="213">
        <v>153600001</v>
      </c>
      <c r="F497" s="29" t="s">
        <v>167</v>
      </c>
      <c r="G497" s="3" t="s">
        <v>168</v>
      </c>
      <c r="H497" s="3" t="s">
        <v>169</v>
      </c>
      <c r="I497" s="55">
        <v>46175</v>
      </c>
      <c r="J497" s="55">
        <v>46178</v>
      </c>
      <c r="K497" s="55">
        <v>46205</v>
      </c>
      <c r="O497" s="3" t="s">
        <v>10</v>
      </c>
      <c r="P497" s="55">
        <v>46181</v>
      </c>
      <c r="R497" s="181"/>
    </row>
    <row r="498" spans="1:18" ht="15" customHeight="1">
      <c r="A498" s="177" t="s">
        <v>171</v>
      </c>
      <c r="B498" s="187"/>
      <c r="C498" s="213">
        <v>152611593</v>
      </c>
      <c r="F498" s="29" t="s">
        <v>167</v>
      </c>
      <c r="G498" s="3" t="s">
        <v>168</v>
      </c>
      <c r="H498" s="3" t="s">
        <v>169</v>
      </c>
      <c r="I498" s="55">
        <v>46175</v>
      </c>
      <c r="J498" s="55">
        <v>46178</v>
      </c>
      <c r="K498" s="55">
        <v>46205</v>
      </c>
      <c r="O498" s="3" t="s">
        <v>10</v>
      </c>
      <c r="P498" s="55">
        <v>46181</v>
      </c>
      <c r="R498" s="181"/>
    </row>
    <row r="499" spans="1:18" ht="15" customHeight="1">
      <c r="A499" s="177" t="s">
        <v>171</v>
      </c>
      <c r="B499" s="187"/>
      <c r="C499" s="213">
        <v>152611583</v>
      </c>
      <c r="F499" s="29" t="s">
        <v>167</v>
      </c>
      <c r="G499" s="3" t="s">
        <v>168</v>
      </c>
      <c r="H499" s="3" t="s">
        <v>169</v>
      </c>
      <c r="I499" s="55">
        <v>46175</v>
      </c>
      <c r="J499" s="55">
        <v>46178</v>
      </c>
      <c r="K499" s="55">
        <v>46205</v>
      </c>
      <c r="O499" s="3" t="s">
        <v>10</v>
      </c>
      <c r="P499" s="55">
        <v>46181</v>
      </c>
      <c r="R499" s="181"/>
    </row>
    <row r="500" spans="1:18" ht="15" customHeight="1">
      <c r="A500" s="177" t="s">
        <v>171</v>
      </c>
      <c r="B500" s="187"/>
      <c r="C500" s="213">
        <v>152611578</v>
      </c>
      <c r="F500" s="29" t="s">
        <v>167</v>
      </c>
      <c r="G500" s="3" t="s">
        <v>168</v>
      </c>
      <c r="H500" s="3" t="s">
        <v>169</v>
      </c>
      <c r="I500" s="55">
        <v>46175</v>
      </c>
      <c r="J500" s="55">
        <v>46178</v>
      </c>
      <c r="K500" s="55">
        <v>46205</v>
      </c>
      <c r="O500" s="3" t="s">
        <v>10</v>
      </c>
      <c r="P500" s="55">
        <v>46181</v>
      </c>
      <c r="R500" s="181"/>
    </row>
    <row r="501" spans="1:18" ht="15" customHeight="1">
      <c r="A501" s="177" t="s">
        <v>171</v>
      </c>
      <c r="B501" s="187"/>
      <c r="C501" s="213">
        <v>152611574</v>
      </c>
      <c r="F501" s="29" t="s">
        <v>167</v>
      </c>
      <c r="G501" s="3" t="s">
        <v>168</v>
      </c>
      <c r="H501" s="3" t="s">
        <v>169</v>
      </c>
      <c r="I501" s="55">
        <v>46175</v>
      </c>
      <c r="J501" s="55">
        <v>46178</v>
      </c>
      <c r="K501" s="55">
        <v>46205</v>
      </c>
      <c r="O501" s="3" t="s">
        <v>10</v>
      </c>
      <c r="P501" s="55">
        <v>46181</v>
      </c>
      <c r="R501" s="181"/>
    </row>
    <row r="502" spans="1:18" ht="15" customHeight="1">
      <c r="A502" s="177" t="s">
        <v>171</v>
      </c>
      <c r="B502" s="187"/>
      <c r="C502" s="213">
        <v>152611552</v>
      </c>
      <c r="F502" s="29" t="s">
        <v>167</v>
      </c>
      <c r="G502" s="3" t="s">
        <v>168</v>
      </c>
      <c r="H502" s="3" t="s">
        <v>169</v>
      </c>
      <c r="I502" s="55">
        <v>46175</v>
      </c>
      <c r="J502" s="55">
        <v>46178</v>
      </c>
      <c r="K502" s="55">
        <v>46205</v>
      </c>
      <c r="O502" s="3" t="s">
        <v>10</v>
      </c>
      <c r="P502" s="55">
        <v>46181</v>
      </c>
      <c r="R502" s="181"/>
    </row>
    <row r="503" spans="1:18" ht="15" customHeight="1">
      <c r="A503" s="177" t="s">
        <v>172</v>
      </c>
      <c r="B503" s="187"/>
      <c r="C503" s="213">
        <v>152611543</v>
      </c>
      <c r="F503" s="29" t="s">
        <v>167</v>
      </c>
      <c r="G503" s="3" t="s">
        <v>168</v>
      </c>
      <c r="H503" s="3" t="s">
        <v>169</v>
      </c>
      <c r="I503" s="55">
        <v>46175</v>
      </c>
      <c r="J503" s="55">
        <v>46178</v>
      </c>
      <c r="K503" s="55">
        <v>46205</v>
      </c>
      <c r="O503" s="3" t="s">
        <v>10</v>
      </c>
      <c r="P503" s="55">
        <v>46181</v>
      </c>
      <c r="R503" s="181"/>
    </row>
    <row r="504" spans="1:18" ht="15" customHeight="1">
      <c r="A504" s="177" t="s">
        <v>172</v>
      </c>
      <c r="B504" s="187"/>
      <c r="C504" s="213">
        <v>152611541</v>
      </c>
      <c r="F504" s="29" t="s">
        <v>167</v>
      </c>
      <c r="G504" s="3" t="s">
        <v>168</v>
      </c>
      <c r="H504" s="3" t="s">
        <v>169</v>
      </c>
      <c r="I504" s="55">
        <v>46175</v>
      </c>
      <c r="J504" s="55">
        <v>46178</v>
      </c>
      <c r="K504" s="55">
        <v>46205</v>
      </c>
      <c r="O504" s="3" t="s">
        <v>10</v>
      </c>
      <c r="P504" s="55">
        <v>46181</v>
      </c>
      <c r="R504" s="181"/>
    </row>
    <row r="505" spans="1:18" ht="15" customHeight="1">
      <c r="A505" s="177" t="s">
        <v>172</v>
      </c>
      <c r="B505" s="187"/>
      <c r="C505" s="213">
        <v>152611535</v>
      </c>
      <c r="F505" s="29" t="s">
        <v>167</v>
      </c>
      <c r="G505" s="3" t="s">
        <v>168</v>
      </c>
      <c r="H505" s="3" t="s">
        <v>169</v>
      </c>
      <c r="I505" s="55">
        <v>46175</v>
      </c>
      <c r="J505" s="55">
        <v>46178</v>
      </c>
      <c r="K505" s="55">
        <v>46205</v>
      </c>
      <c r="O505" s="3" t="s">
        <v>10</v>
      </c>
      <c r="P505" s="55">
        <v>46181</v>
      </c>
      <c r="R505" s="181"/>
    </row>
    <row r="506" spans="1:18" ht="15" customHeight="1">
      <c r="A506" s="177" t="s">
        <v>172</v>
      </c>
      <c r="B506" s="187"/>
      <c r="C506" s="213">
        <v>152611533</v>
      </c>
      <c r="F506" s="29" t="s">
        <v>167</v>
      </c>
      <c r="G506" s="3" t="s">
        <v>168</v>
      </c>
      <c r="H506" s="3" t="s">
        <v>169</v>
      </c>
      <c r="I506" s="55">
        <v>46175</v>
      </c>
      <c r="J506" s="55">
        <v>46178</v>
      </c>
      <c r="K506" s="55">
        <v>46205</v>
      </c>
      <c r="O506" s="3" t="s">
        <v>10</v>
      </c>
      <c r="P506" s="55">
        <v>46181</v>
      </c>
      <c r="R506" s="181"/>
    </row>
    <row r="507" spans="1:18" ht="15" customHeight="1">
      <c r="A507" s="177" t="s">
        <v>172</v>
      </c>
      <c r="B507" s="187"/>
      <c r="C507" s="213">
        <v>152611530</v>
      </c>
      <c r="F507" s="29" t="s">
        <v>167</v>
      </c>
      <c r="G507" s="3" t="s">
        <v>168</v>
      </c>
      <c r="H507" s="3" t="s">
        <v>169</v>
      </c>
      <c r="I507" s="55">
        <v>46175</v>
      </c>
      <c r="J507" s="55">
        <v>46178</v>
      </c>
      <c r="K507" s="55">
        <v>46205</v>
      </c>
      <c r="O507" s="3" t="s">
        <v>10</v>
      </c>
      <c r="P507" s="55">
        <v>46181</v>
      </c>
      <c r="R507" s="181"/>
    </row>
    <row r="508" spans="1:18" ht="15" customHeight="1">
      <c r="A508" s="177" t="s">
        <v>173</v>
      </c>
      <c r="B508" s="187"/>
      <c r="C508" s="213">
        <v>151600890</v>
      </c>
      <c r="F508" s="29" t="s">
        <v>167</v>
      </c>
      <c r="G508" s="3" t="s">
        <v>168</v>
      </c>
      <c r="H508" s="3" t="s">
        <v>169</v>
      </c>
      <c r="I508" s="55">
        <v>46175</v>
      </c>
      <c r="J508" s="55">
        <v>46178</v>
      </c>
      <c r="K508" s="55">
        <v>46205</v>
      </c>
      <c r="O508" s="3" t="s">
        <v>10</v>
      </c>
      <c r="P508" s="55">
        <v>46181</v>
      </c>
      <c r="R508" s="181"/>
    </row>
    <row r="509" spans="1:18" ht="15" customHeight="1">
      <c r="A509" s="177" t="s">
        <v>173</v>
      </c>
      <c r="B509" s="187"/>
      <c r="C509" s="213">
        <v>151600886</v>
      </c>
      <c r="F509" s="29" t="s">
        <v>167</v>
      </c>
      <c r="G509" s="3" t="s">
        <v>168</v>
      </c>
      <c r="H509" s="3" t="s">
        <v>169</v>
      </c>
      <c r="I509" s="55">
        <v>46175</v>
      </c>
      <c r="J509" s="55">
        <v>46178</v>
      </c>
      <c r="K509" s="55">
        <v>46205</v>
      </c>
      <c r="O509" s="3" t="s">
        <v>10</v>
      </c>
      <c r="P509" s="55">
        <v>46181</v>
      </c>
      <c r="R509" s="181"/>
    </row>
    <row r="510" spans="1:18" ht="15" customHeight="1">
      <c r="A510" s="177" t="s">
        <v>173</v>
      </c>
      <c r="B510" s="187"/>
      <c r="C510" s="213">
        <v>151600884</v>
      </c>
      <c r="F510" s="29" t="s">
        <v>167</v>
      </c>
      <c r="G510" s="3" t="s">
        <v>168</v>
      </c>
      <c r="H510" s="3" t="s">
        <v>169</v>
      </c>
      <c r="I510" s="55">
        <v>46175</v>
      </c>
      <c r="J510" s="55">
        <v>46178</v>
      </c>
      <c r="K510" s="55">
        <v>46205</v>
      </c>
      <c r="O510" s="3" t="s">
        <v>10</v>
      </c>
      <c r="P510" s="55">
        <v>46181</v>
      </c>
      <c r="R510" s="181"/>
    </row>
    <row r="511" spans="1:18" ht="15" customHeight="1">
      <c r="A511" s="177" t="s">
        <v>173</v>
      </c>
      <c r="B511" s="187"/>
      <c r="C511" s="213">
        <v>151600881</v>
      </c>
      <c r="F511" s="29" t="s">
        <v>167</v>
      </c>
      <c r="G511" s="3" t="s">
        <v>168</v>
      </c>
      <c r="H511" s="3" t="s">
        <v>169</v>
      </c>
      <c r="I511" s="55">
        <v>46175</v>
      </c>
      <c r="J511" s="55">
        <v>46178</v>
      </c>
      <c r="K511" s="55">
        <v>46205</v>
      </c>
      <c r="O511" s="3" t="s">
        <v>10</v>
      </c>
      <c r="P511" s="55">
        <v>46181</v>
      </c>
      <c r="R511" s="181"/>
    </row>
    <row r="512" spans="1:18" ht="15" customHeight="1">
      <c r="A512" s="177" t="s">
        <v>174</v>
      </c>
      <c r="B512" s="187"/>
      <c r="C512" s="213">
        <v>151600871</v>
      </c>
      <c r="F512" s="29" t="s">
        <v>167</v>
      </c>
      <c r="G512" s="3" t="s">
        <v>168</v>
      </c>
      <c r="H512" s="3" t="s">
        <v>169</v>
      </c>
      <c r="I512" s="55">
        <v>46175</v>
      </c>
      <c r="J512" s="55">
        <v>46178</v>
      </c>
      <c r="K512" s="55">
        <v>46205</v>
      </c>
      <c r="O512" s="3" t="s">
        <v>10</v>
      </c>
      <c r="P512" s="55">
        <v>46181</v>
      </c>
      <c r="R512" s="181"/>
    </row>
    <row r="513" spans="1:18" ht="15" customHeight="1">
      <c r="A513" s="177" t="s">
        <v>174</v>
      </c>
      <c r="B513" s="187"/>
      <c r="C513" s="213">
        <v>151600857</v>
      </c>
      <c r="F513" s="29" t="s">
        <v>167</v>
      </c>
      <c r="G513" s="3" t="s">
        <v>168</v>
      </c>
      <c r="H513" s="3" t="s">
        <v>169</v>
      </c>
      <c r="I513" s="55">
        <v>46175</v>
      </c>
      <c r="J513" s="55">
        <v>46178</v>
      </c>
      <c r="K513" s="55">
        <v>46205</v>
      </c>
      <c r="O513" s="3" t="s">
        <v>10</v>
      </c>
      <c r="P513" s="55">
        <v>46181</v>
      </c>
      <c r="R513" s="181"/>
    </row>
    <row r="514" spans="1:18" ht="15" customHeight="1">
      <c r="A514" s="177" t="s">
        <v>174</v>
      </c>
      <c r="B514" s="187"/>
      <c r="C514" s="213">
        <v>151600851</v>
      </c>
      <c r="F514" s="29" t="s">
        <v>167</v>
      </c>
      <c r="G514" s="3" t="s">
        <v>168</v>
      </c>
      <c r="H514" s="3" t="s">
        <v>169</v>
      </c>
      <c r="I514" s="55">
        <v>46175</v>
      </c>
      <c r="J514" s="55">
        <v>46178</v>
      </c>
      <c r="K514" s="55">
        <v>46205</v>
      </c>
      <c r="O514" s="3" t="s">
        <v>10</v>
      </c>
      <c r="P514" s="55">
        <v>46181</v>
      </c>
      <c r="R514" s="181"/>
    </row>
    <row r="515" spans="1:18" ht="15" customHeight="1">
      <c r="A515" s="177" t="s">
        <v>174</v>
      </c>
      <c r="B515" s="187"/>
      <c r="C515" s="213">
        <v>151600831</v>
      </c>
      <c r="F515" s="29" t="s">
        <v>167</v>
      </c>
      <c r="G515" s="3" t="s">
        <v>168</v>
      </c>
      <c r="H515" s="3" t="s">
        <v>169</v>
      </c>
      <c r="I515" s="55">
        <v>46175</v>
      </c>
      <c r="J515" s="55">
        <v>46178</v>
      </c>
      <c r="K515" s="55">
        <v>46205</v>
      </c>
      <c r="O515" s="3" t="s">
        <v>10</v>
      </c>
      <c r="P515" s="55">
        <v>46181</v>
      </c>
      <c r="R515" s="181"/>
    </row>
    <row r="516" spans="1:18" ht="15" customHeight="1">
      <c r="A516" s="177" t="s">
        <v>175</v>
      </c>
      <c r="B516" s="187"/>
      <c r="C516" s="213">
        <v>151600823</v>
      </c>
      <c r="F516" s="29" t="s">
        <v>167</v>
      </c>
      <c r="G516" s="3" t="s">
        <v>168</v>
      </c>
      <c r="H516" s="3" t="s">
        <v>169</v>
      </c>
      <c r="I516" s="55">
        <v>46175</v>
      </c>
      <c r="J516" s="55">
        <v>46178</v>
      </c>
      <c r="K516" s="55">
        <v>46205</v>
      </c>
      <c r="O516" s="3" t="s">
        <v>10</v>
      </c>
      <c r="P516" s="55">
        <v>46181</v>
      </c>
      <c r="R516" s="181"/>
    </row>
    <row r="517" spans="1:18" ht="15" customHeight="1">
      <c r="A517" s="177" t="s">
        <v>175</v>
      </c>
      <c r="B517" s="187"/>
      <c r="C517" s="213">
        <v>151600822</v>
      </c>
      <c r="F517" s="29" t="s">
        <v>167</v>
      </c>
      <c r="G517" s="3" t="s">
        <v>59</v>
      </c>
      <c r="H517" s="3" t="s">
        <v>169</v>
      </c>
      <c r="I517" s="55">
        <v>46175</v>
      </c>
      <c r="J517" s="55">
        <v>46178</v>
      </c>
      <c r="K517" s="55">
        <v>46205</v>
      </c>
      <c r="O517" s="3" t="s">
        <v>9</v>
      </c>
      <c r="R517" s="181"/>
    </row>
    <row r="518" spans="1:18" ht="15" customHeight="1">
      <c r="A518" s="177" t="s">
        <v>175</v>
      </c>
      <c r="B518" s="187"/>
      <c r="C518" s="213">
        <v>151600821</v>
      </c>
      <c r="F518" s="29" t="s">
        <v>167</v>
      </c>
      <c r="G518" s="3" t="s">
        <v>168</v>
      </c>
      <c r="H518" s="3" t="s">
        <v>169</v>
      </c>
      <c r="I518" s="55">
        <v>46175</v>
      </c>
      <c r="J518" s="55">
        <v>46178</v>
      </c>
      <c r="K518" s="55">
        <v>46205</v>
      </c>
      <c r="O518" s="3" t="s">
        <v>10</v>
      </c>
      <c r="P518" s="55">
        <v>46181</v>
      </c>
      <c r="R518" s="181"/>
    </row>
    <row r="519" spans="1:18" ht="15" customHeight="1">
      <c r="A519" s="177" t="s">
        <v>175</v>
      </c>
      <c r="B519" s="187"/>
      <c r="C519" s="213">
        <v>151600818</v>
      </c>
      <c r="F519" s="29" t="s">
        <v>167</v>
      </c>
      <c r="G519" s="3" t="s">
        <v>168</v>
      </c>
      <c r="H519" s="3" t="s">
        <v>169</v>
      </c>
      <c r="I519" s="55">
        <v>46175</v>
      </c>
      <c r="J519" s="55">
        <v>46178</v>
      </c>
      <c r="K519" s="55">
        <v>46205</v>
      </c>
      <c r="O519" s="3" t="s">
        <v>10</v>
      </c>
      <c r="P519" s="55">
        <v>46181</v>
      </c>
      <c r="R519" s="181"/>
    </row>
    <row r="520" spans="1:18" ht="15" customHeight="1">
      <c r="A520" s="177" t="s">
        <v>176</v>
      </c>
      <c r="B520" s="187"/>
      <c r="C520" s="213">
        <v>151600798</v>
      </c>
      <c r="F520" s="29" t="s">
        <v>167</v>
      </c>
      <c r="G520" s="3" t="s">
        <v>168</v>
      </c>
      <c r="H520" s="3" t="s">
        <v>169</v>
      </c>
      <c r="I520" s="55">
        <v>46175</v>
      </c>
      <c r="J520" s="55">
        <v>46178</v>
      </c>
      <c r="K520" s="55">
        <v>46205</v>
      </c>
      <c r="O520" s="3" t="s">
        <v>10</v>
      </c>
      <c r="P520" s="55">
        <v>46181</v>
      </c>
      <c r="R520" s="181"/>
    </row>
    <row r="521" spans="1:18" ht="15" customHeight="1">
      <c r="A521" s="177" t="s">
        <v>176</v>
      </c>
      <c r="B521" s="187"/>
      <c r="C521" s="213">
        <v>151600788</v>
      </c>
      <c r="F521" s="29" t="s">
        <v>167</v>
      </c>
      <c r="G521" s="3" t="s">
        <v>168</v>
      </c>
      <c r="H521" s="3" t="s">
        <v>169</v>
      </c>
      <c r="I521" s="55">
        <v>46175</v>
      </c>
      <c r="J521" s="55">
        <v>46178</v>
      </c>
      <c r="K521" s="55">
        <v>46205</v>
      </c>
      <c r="O521" s="3" t="s">
        <v>10</v>
      </c>
      <c r="P521" s="55">
        <v>46181</v>
      </c>
      <c r="R521" s="181"/>
    </row>
    <row r="522" spans="1:18" ht="15" customHeight="1">
      <c r="A522" s="177" t="s">
        <v>176</v>
      </c>
      <c r="B522" s="187"/>
      <c r="C522" s="213">
        <v>151600787</v>
      </c>
      <c r="F522" s="29" t="s">
        <v>167</v>
      </c>
      <c r="G522" s="3" t="s">
        <v>168</v>
      </c>
      <c r="H522" s="3" t="s">
        <v>169</v>
      </c>
      <c r="I522" s="55">
        <v>46175</v>
      </c>
      <c r="J522" s="55">
        <v>46178</v>
      </c>
      <c r="K522" s="55">
        <v>46205</v>
      </c>
      <c r="O522" s="3" t="s">
        <v>10</v>
      </c>
      <c r="P522" s="55">
        <v>46181</v>
      </c>
      <c r="R522" s="181"/>
    </row>
    <row r="523" spans="1:18" ht="15" customHeight="1">
      <c r="A523" s="177" t="s">
        <v>176</v>
      </c>
      <c r="B523" s="187"/>
      <c r="C523" s="213">
        <v>151600781</v>
      </c>
      <c r="F523" s="29" t="s">
        <v>167</v>
      </c>
      <c r="G523" s="3" t="s">
        <v>168</v>
      </c>
      <c r="H523" s="3" t="s">
        <v>169</v>
      </c>
      <c r="I523" s="55">
        <v>46175</v>
      </c>
      <c r="J523" s="55">
        <v>46178</v>
      </c>
      <c r="K523" s="55">
        <v>46205</v>
      </c>
      <c r="O523" s="3" t="s">
        <v>10</v>
      </c>
      <c r="P523" s="55">
        <v>46181</v>
      </c>
      <c r="R523" s="181"/>
    </row>
    <row r="524" spans="1:18" ht="15" customHeight="1">
      <c r="A524" s="177" t="s">
        <v>176</v>
      </c>
      <c r="B524" s="187"/>
      <c r="C524" s="213">
        <v>151600779</v>
      </c>
      <c r="F524" s="29" t="s">
        <v>167</v>
      </c>
      <c r="G524" s="3" t="s">
        <v>168</v>
      </c>
      <c r="H524" s="3" t="s">
        <v>169</v>
      </c>
      <c r="I524" s="55">
        <v>46175</v>
      </c>
      <c r="J524" s="55">
        <v>46178</v>
      </c>
      <c r="K524" s="55">
        <v>46205</v>
      </c>
      <c r="O524" s="3" t="s">
        <v>10</v>
      </c>
      <c r="P524" s="55">
        <v>46181</v>
      </c>
      <c r="R524" s="181"/>
    </row>
    <row r="525" spans="1:18" ht="15" customHeight="1">
      <c r="A525" s="177" t="s">
        <v>99</v>
      </c>
      <c r="B525" s="187"/>
      <c r="C525" s="213">
        <v>135600005</v>
      </c>
      <c r="F525" s="29" t="s">
        <v>167</v>
      </c>
      <c r="G525" s="3" t="s">
        <v>168</v>
      </c>
      <c r="H525" s="3" t="s">
        <v>169</v>
      </c>
      <c r="I525" s="55">
        <v>46175</v>
      </c>
      <c r="J525" s="55">
        <v>46178</v>
      </c>
      <c r="K525" s="55">
        <v>46205</v>
      </c>
      <c r="O525" s="3" t="s">
        <v>10</v>
      </c>
      <c r="P525" s="55">
        <v>46181</v>
      </c>
      <c r="R525" s="181"/>
    </row>
    <row r="526" spans="1:18" ht="15" customHeight="1">
      <c r="A526" s="177" t="s">
        <v>99</v>
      </c>
      <c r="B526" s="187"/>
      <c r="C526" s="213">
        <v>134609401</v>
      </c>
      <c r="F526" s="29" t="s">
        <v>167</v>
      </c>
      <c r="G526" s="3" t="s">
        <v>168</v>
      </c>
      <c r="H526" s="3" t="s">
        <v>169</v>
      </c>
      <c r="I526" s="55">
        <v>46175</v>
      </c>
      <c r="J526" s="55">
        <v>46178</v>
      </c>
      <c r="K526" s="55">
        <v>46205</v>
      </c>
      <c r="O526" s="3" t="s">
        <v>10</v>
      </c>
      <c r="P526" s="55">
        <v>46181</v>
      </c>
      <c r="R526" s="181"/>
    </row>
    <row r="527" spans="1:18" ht="15" customHeight="1">
      <c r="A527" s="177" t="s">
        <v>99</v>
      </c>
      <c r="B527" s="187"/>
      <c r="C527" s="213">
        <v>134609397</v>
      </c>
      <c r="F527" s="29" t="s">
        <v>167</v>
      </c>
      <c r="G527" s="3" t="s">
        <v>168</v>
      </c>
      <c r="H527" s="3" t="s">
        <v>169</v>
      </c>
      <c r="I527" s="55">
        <v>46175</v>
      </c>
      <c r="J527" s="55">
        <v>46178</v>
      </c>
      <c r="K527" s="55">
        <v>46205</v>
      </c>
      <c r="O527" s="3" t="s">
        <v>10</v>
      </c>
      <c r="P527" s="55">
        <v>46181</v>
      </c>
      <c r="R527" s="181"/>
    </row>
    <row r="528" spans="1:18" ht="15" customHeight="1">
      <c r="A528" s="177" t="s">
        <v>99</v>
      </c>
      <c r="B528" s="187"/>
      <c r="C528" s="213">
        <v>134609392</v>
      </c>
      <c r="F528" s="29" t="s">
        <v>167</v>
      </c>
      <c r="G528" s="3" t="s">
        <v>168</v>
      </c>
      <c r="H528" s="3" t="s">
        <v>169</v>
      </c>
      <c r="I528" s="55">
        <v>46175</v>
      </c>
      <c r="J528" s="55">
        <v>46178</v>
      </c>
      <c r="K528" s="55">
        <v>46205</v>
      </c>
      <c r="O528" s="3" t="s">
        <v>10</v>
      </c>
      <c r="P528" s="55">
        <v>46181</v>
      </c>
      <c r="R528" s="181"/>
    </row>
    <row r="529" spans="1:18" ht="15" customHeight="1">
      <c r="A529" s="177" t="s">
        <v>99</v>
      </c>
      <c r="B529" s="187"/>
      <c r="C529" s="213">
        <v>134609389</v>
      </c>
      <c r="F529" s="29" t="s">
        <v>167</v>
      </c>
      <c r="G529" s="3" t="s">
        <v>168</v>
      </c>
      <c r="H529" s="3" t="s">
        <v>169</v>
      </c>
      <c r="I529" s="55">
        <v>46175</v>
      </c>
      <c r="J529" s="55">
        <v>46178</v>
      </c>
      <c r="K529" s="55">
        <v>46205</v>
      </c>
      <c r="O529" s="3" t="s">
        <v>10</v>
      </c>
      <c r="P529" s="55">
        <v>46181</v>
      </c>
      <c r="R529" s="181"/>
    </row>
    <row r="530" spans="1:18" ht="15" customHeight="1">
      <c r="A530" s="177" t="s">
        <v>99</v>
      </c>
      <c r="B530" s="187"/>
      <c r="C530" s="213">
        <v>134609384</v>
      </c>
      <c r="F530" s="29" t="s">
        <v>167</v>
      </c>
      <c r="G530" s="3" t="s">
        <v>168</v>
      </c>
      <c r="H530" s="3" t="s">
        <v>169</v>
      </c>
      <c r="I530" s="55">
        <v>46175</v>
      </c>
      <c r="J530" s="55">
        <v>46178</v>
      </c>
      <c r="K530" s="55">
        <v>46205</v>
      </c>
      <c r="O530" s="3" t="s">
        <v>10</v>
      </c>
      <c r="P530" s="55">
        <v>46181</v>
      </c>
      <c r="R530" s="181"/>
    </row>
    <row r="531" spans="1:18" ht="15" customHeight="1">
      <c r="A531" s="177" t="s">
        <v>99</v>
      </c>
      <c r="B531" s="187"/>
      <c r="C531" s="213">
        <v>134609381</v>
      </c>
      <c r="F531" s="29" t="s">
        <v>167</v>
      </c>
      <c r="G531" s="3" t="s">
        <v>168</v>
      </c>
      <c r="H531" s="3" t="s">
        <v>169</v>
      </c>
      <c r="I531" s="55">
        <v>46175</v>
      </c>
      <c r="J531" s="55">
        <v>46178</v>
      </c>
      <c r="K531" s="55">
        <v>46205</v>
      </c>
      <c r="O531" s="3" t="s">
        <v>10</v>
      </c>
      <c r="P531" s="55">
        <v>46181</v>
      </c>
      <c r="R531" s="181"/>
    </row>
    <row r="532" spans="1:18" ht="15" customHeight="1">
      <c r="A532" s="177" t="s">
        <v>98</v>
      </c>
      <c r="B532" s="187"/>
      <c r="C532" s="213">
        <v>134609213</v>
      </c>
      <c r="F532" s="29" t="s">
        <v>167</v>
      </c>
      <c r="G532" s="3" t="s">
        <v>168</v>
      </c>
      <c r="H532" s="3" t="s">
        <v>169</v>
      </c>
      <c r="I532" s="55">
        <v>46175</v>
      </c>
      <c r="J532" s="55">
        <v>46178</v>
      </c>
      <c r="K532" s="55">
        <v>46205</v>
      </c>
      <c r="O532" s="3" t="s">
        <v>10</v>
      </c>
      <c r="P532" s="55">
        <v>46175</v>
      </c>
      <c r="R532" s="181"/>
    </row>
    <row r="533" spans="1:18" ht="15" customHeight="1">
      <c r="A533" s="177" t="s">
        <v>98</v>
      </c>
      <c r="B533" s="187"/>
      <c r="C533" s="213">
        <v>134609207</v>
      </c>
      <c r="F533" s="29" t="s">
        <v>167</v>
      </c>
      <c r="G533" s="3" t="s">
        <v>168</v>
      </c>
      <c r="H533" s="3" t="s">
        <v>169</v>
      </c>
      <c r="I533" s="55">
        <v>46175</v>
      </c>
      <c r="J533" s="55">
        <v>46178</v>
      </c>
      <c r="K533" s="55">
        <v>46205</v>
      </c>
      <c r="O533" s="3" t="s">
        <v>10</v>
      </c>
      <c r="P533" s="55">
        <v>46175</v>
      </c>
      <c r="R533" s="181"/>
    </row>
    <row r="534" spans="1:18" ht="15" customHeight="1">
      <c r="A534" s="177" t="s">
        <v>98</v>
      </c>
      <c r="B534" s="187"/>
      <c r="C534" s="213">
        <v>134609201</v>
      </c>
      <c r="F534" s="29" t="s">
        <v>167</v>
      </c>
      <c r="G534" s="3" t="s">
        <v>168</v>
      </c>
      <c r="H534" s="3" t="s">
        <v>169</v>
      </c>
      <c r="I534" s="55">
        <v>46175</v>
      </c>
      <c r="J534" s="55">
        <v>46178</v>
      </c>
      <c r="K534" s="55">
        <v>46205</v>
      </c>
      <c r="O534" s="3" t="s">
        <v>10</v>
      </c>
      <c r="P534" s="55">
        <v>46175</v>
      </c>
      <c r="R534" s="181"/>
    </row>
    <row r="535" spans="1:18" ht="15" customHeight="1">
      <c r="A535" s="177" t="s">
        <v>98</v>
      </c>
      <c r="B535" s="187"/>
      <c r="C535" s="213">
        <v>134609195</v>
      </c>
      <c r="F535" s="29" t="s">
        <v>167</v>
      </c>
      <c r="G535" s="3" t="s">
        <v>168</v>
      </c>
      <c r="H535" s="3" t="s">
        <v>169</v>
      </c>
      <c r="I535" s="55">
        <v>46175</v>
      </c>
      <c r="J535" s="55">
        <v>46178</v>
      </c>
      <c r="K535" s="55">
        <v>46205</v>
      </c>
      <c r="O535" s="3" t="s">
        <v>10</v>
      </c>
      <c r="P535" s="55">
        <v>46175</v>
      </c>
      <c r="R535" s="181"/>
    </row>
    <row r="536" spans="1:18" ht="15" customHeight="1">
      <c r="A536" s="177" t="s">
        <v>98</v>
      </c>
      <c r="B536" s="187"/>
      <c r="C536" s="213">
        <v>134609183</v>
      </c>
      <c r="F536" s="29" t="s">
        <v>167</v>
      </c>
      <c r="G536" s="3" t="s">
        <v>168</v>
      </c>
      <c r="H536" s="3" t="s">
        <v>169</v>
      </c>
      <c r="I536" s="55">
        <v>46175</v>
      </c>
      <c r="J536" s="55">
        <v>46178</v>
      </c>
      <c r="K536" s="55">
        <v>46205</v>
      </c>
      <c r="O536" s="3" t="s">
        <v>10</v>
      </c>
      <c r="P536" s="55">
        <v>46175</v>
      </c>
      <c r="R536" s="181"/>
    </row>
    <row r="537" spans="1:18" ht="15" customHeight="1">
      <c r="A537" s="177" t="s">
        <v>98</v>
      </c>
      <c r="B537" s="187"/>
      <c r="C537" s="213">
        <v>134609180</v>
      </c>
      <c r="F537" s="29" t="s">
        <v>167</v>
      </c>
      <c r="G537" s="3" t="s">
        <v>168</v>
      </c>
      <c r="H537" s="3" t="s">
        <v>169</v>
      </c>
      <c r="I537" s="55">
        <v>46175</v>
      </c>
      <c r="J537" s="55">
        <v>46178</v>
      </c>
      <c r="K537" s="55">
        <v>46205</v>
      </c>
      <c r="O537" s="3" t="s">
        <v>10</v>
      </c>
      <c r="P537" s="55">
        <v>46175</v>
      </c>
      <c r="R537" s="181"/>
    </row>
    <row r="538" spans="1:18" ht="15" customHeight="1">
      <c r="A538" s="177" t="s">
        <v>98</v>
      </c>
      <c r="B538" s="187"/>
      <c r="C538" s="213">
        <v>134609155</v>
      </c>
      <c r="F538" s="29" t="s">
        <v>167</v>
      </c>
      <c r="G538" s="3" t="s">
        <v>168</v>
      </c>
      <c r="H538" s="3" t="s">
        <v>169</v>
      </c>
      <c r="I538" s="55">
        <v>46175</v>
      </c>
      <c r="J538" s="55">
        <v>46178</v>
      </c>
      <c r="K538" s="55">
        <v>46205</v>
      </c>
      <c r="O538" s="3" t="s">
        <v>10</v>
      </c>
      <c r="P538" s="55">
        <v>46175</v>
      </c>
      <c r="R538" s="181"/>
    </row>
    <row r="539" spans="1:18" ht="15" customHeight="1">
      <c r="A539" s="177" t="s">
        <v>98</v>
      </c>
      <c r="B539" s="187"/>
      <c r="C539" s="213">
        <v>134609137</v>
      </c>
      <c r="F539" s="29" t="s">
        <v>167</v>
      </c>
      <c r="G539" s="3" t="s">
        <v>168</v>
      </c>
      <c r="H539" s="3" t="s">
        <v>169</v>
      </c>
      <c r="I539" s="55">
        <v>46175</v>
      </c>
      <c r="J539" s="55">
        <v>46178</v>
      </c>
      <c r="K539" s="55">
        <v>46205</v>
      </c>
      <c r="O539" s="3" t="s">
        <v>10</v>
      </c>
      <c r="P539" s="55">
        <v>46175</v>
      </c>
      <c r="R539" s="181"/>
    </row>
    <row r="540" spans="1:18" ht="15" customHeight="1">
      <c r="A540" s="177" t="s">
        <v>98</v>
      </c>
      <c r="B540" s="187"/>
      <c r="C540" s="213">
        <v>134609116</v>
      </c>
      <c r="F540" s="29" t="s">
        <v>167</v>
      </c>
      <c r="G540" s="3" t="s">
        <v>59</v>
      </c>
      <c r="H540" s="3" t="s">
        <v>169</v>
      </c>
      <c r="I540" s="55">
        <v>46175</v>
      </c>
      <c r="J540" s="55">
        <v>46178</v>
      </c>
      <c r="K540" s="55">
        <v>46205</v>
      </c>
      <c r="O540" s="3" t="s">
        <v>9</v>
      </c>
      <c r="R540" s="181"/>
    </row>
    <row r="541" spans="1:18" ht="15" customHeight="1">
      <c r="A541" s="177" t="s">
        <v>177</v>
      </c>
      <c r="B541" s="187"/>
      <c r="C541" s="213">
        <v>162607701</v>
      </c>
      <c r="F541" s="29" t="s">
        <v>178</v>
      </c>
      <c r="G541" s="3" t="s">
        <v>16</v>
      </c>
      <c r="H541" s="3" t="s">
        <v>179</v>
      </c>
      <c r="I541" s="55">
        <v>46184</v>
      </c>
      <c r="J541" s="55">
        <v>46188</v>
      </c>
      <c r="K541" s="55">
        <v>46216</v>
      </c>
      <c r="O541" s="3" t="s">
        <v>9</v>
      </c>
      <c r="R541" s="181"/>
    </row>
    <row r="542" spans="1:18" ht="15" customHeight="1">
      <c r="A542" s="177" t="s">
        <v>177</v>
      </c>
      <c r="B542" s="187"/>
      <c r="C542" s="213">
        <v>162607790</v>
      </c>
      <c r="F542" s="29" t="s">
        <v>178</v>
      </c>
      <c r="G542" s="3" t="s">
        <v>16</v>
      </c>
      <c r="H542" s="3" t="s">
        <v>179</v>
      </c>
      <c r="I542" s="55">
        <v>46184</v>
      </c>
      <c r="J542" s="55">
        <v>46188</v>
      </c>
      <c r="K542" s="55">
        <v>46216</v>
      </c>
      <c r="O542" s="3" t="s">
        <v>9</v>
      </c>
      <c r="R542" s="181"/>
    </row>
    <row r="543" spans="1:18" ht="15" customHeight="1">
      <c r="A543" s="177" t="s">
        <v>177</v>
      </c>
      <c r="B543" s="187"/>
      <c r="C543" s="213">
        <v>162607889</v>
      </c>
      <c r="F543" s="29" t="s">
        <v>178</v>
      </c>
      <c r="G543" s="3" t="s">
        <v>16</v>
      </c>
      <c r="H543" s="3" t="s">
        <v>179</v>
      </c>
      <c r="I543" s="55">
        <v>46184</v>
      </c>
      <c r="J543" s="55">
        <v>46188</v>
      </c>
      <c r="K543" s="55">
        <v>46216</v>
      </c>
      <c r="O543" s="3" t="s">
        <v>9</v>
      </c>
      <c r="R543" s="181"/>
    </row>
    <row r="544" spans="1:18" ht="15" customHeight="1">
      <c r="A544" s="177" t="s">
        <v>177</v>
      </c>
      <c r="B544" s="187"/>
      <c r="C544" s="213">
        <v>162607954</v>
      </c>
      <c r="F544" s="29" t="s">
        <v>178</v>
      </c>
      <c r="G544" s="3" t="s">
        <v>16</v>
      </c>
      <c r="H544" s="3" t="s">
        <v>179</v>
      </c>
      <c r="I544" s="55">
        <v>46184</v>
      </c>
      <c r="J544" s="55">
        <v>46188</v>
      </c>
      <c r="K544" s="55">
        <v>46216</v>
      </c>
      <c r="O544" s="3" t="s">
        <v>9</v>
      </c>
      <c r="R544" s="181"/>
    </row>
    <row r="545" spans="1:18" ht="15" customHeight="1">
      <c r="A545" s="177" t="s">
        <v>177</v>
      </c>
      <c r="B545" s="187"/>
      <c r="C545" s="213">
        <v>162608425</v>
      </c>
      <c r="F545" s="29" t="s">
        <v>178</v>
      </c>
      <c r="G545" s="3" t="s">
        <v>16</v>
      </c>
      <c r="H545" s="3" t="s">
        <v>179</v>
      </c>
      <c r="I545" s="55">
        <v>46184</v>
      </c>
      <c r="J545" s="55">
        <v>46188</v>
      </c>
      <c r="K545" s="55">
        <v>46216</v>
      </c>
      <c r="O545" s="3" t="s">
        <v>9</v>
      </c>
      <c r="R545" s="181"/>
    </row>
    <row r="546" spans="1:18" ht="15" customHeight="1">
      <c r="A546" s="177" t="s">
        <v>180</v>
      </c>
      <c r="B546" s="187"/>
      <c r="C546" s="213">
        <v>162608219</v>
      </c>
      <c r="F546" s="29" t="s">
        <v>178</v>
      </c>
      <c r="G546" s="3" t="s">
        <v>16</v>
      </c>
      <c r="H546" s="3" t="s">
        <v>179</v>
      </c>
      <c r="I546" s="55">
        <v>46184</v>
      </c>
      <c r="J546" s="55">
        <v>46188</v>
      </c>
      <c r="K546" s="55">
        <v>46216</v>
      </c>
      <c r="O546" s="3" t="s">
        <v>9</v>
      </c>
      <c r="R546" s="181"/>
    </row>
    <row r="547" spans="1:18" ht="15" customHeight="1">
      <c r="A547" s="177" t="s">
        <v>180</v>
      </c>
      <c r="B547" s="187"/>
      <c r="C547" s="213">
        <v>162608238</v>
      </c>
      <c r="F547" s="29" t="s">
        <v>178</v>
      </c>
      <c r="G547" s="3" t="s">
        <v>16</v>
      </c>
      <c r="H547" s="3" t="s">
        <v>179</v>
      </c>
      <c r="I547" s="55">
        <v>46184</v>
      </c>
      <c r="J547" s="55">
        <v>46188</v>
      </c>
      <c r="K547" s="55">
        <v>46216</v>
      </c>
      <c r="O547" s="3" t="s">
        <v>9</v>
      </c>
      <c r="R547" s="181"/>
    </row>
    <row r="548" spans="1:18" ht="15" customHeight="1">
      <c r="A548" s="177" t="s">
        <v>180</v>
      </c>
      <c r="B548" s="187"/>
      <c r="C548" s="213">
        <v>162608253</v>
      </c>
      <c r="F548" s="29" t="s">
        <v>178</v>
      </c>
      <c r="G548" s="3" t="s">
        <v>16</v>
      </c>
      <c r="H548" s="3" t="s">
        <v>179</v>
      </c>
      <c r="I548" s="55">
        <v>46184</v>
      </c>
      <c r="J548" s="55">
        <v>46188</v>
      </c>
      <c r="K548" s="55">
        <v>46216</v>
      </c>
      <c r="O548" s="3" t="s">
        <v>9</v>
      </c>
      <c r="R548" s="181"/>
    </row>
    <row r="549" spans="1:18" ht="15" customHeight="1">
      <c r="A549" s="177" t="s">
        <v>180</v>
      </c>
      <c r="B549" s="187"/>
      <c r="C549" s="213">
        <v>162608456</v>
      </c>
      <c r="F549" s="29" t="s">
        <v>178</v>
      </c>
      <c r="G549" s="3" t="s">
        <v>16</v>
      </c>
      <c r="H549" s="3" t="s">
        <v>179</v>
      </c>
      <c r="I549" s="55">
        <v>46184</v>
      </c>
      <c r="J549" s="55">
        <v>46188</v>
      </c>
      <c r="K549" s="55">
        <v>46216</v>
      </c>
      <c r="O549" s="3" t="s">
        <v>9</v>
      </c>
      <c r="R549" s="181"/>
    </row>
    <row r="550" spans="1:18" ht="15" customHeight="1">
      <c r="A550" s="177" t="s">
        <v>180</v>
      </c>
      <c r="B550" s="187"/>
      <c r="C550" s="213">
        <v>162608311</v>
      </c>
      <c r="F550" s="29" t="s">
        <v>178</v>
      </c>
      <c r="G550" s="3" t="s">
        <v>16</v>
      </c>
      <c r="H550" s="3" t="s">
        <v>179</v>
      </c>
      <c r="I550" s="55">
        <v>46184</v>
      </c>
      <c r="J550" s="55">
        <v>46188</v>
      </c>
      <c r="K550" s="55">
        <v>46216</v>
      </c>
      <c r="O550" s="3" t="s">
        <v>9</v>
      </c>
      <c r="R550" s="181"/>
    </row>
    <row r="551" spans="1:18" ht="15" customHeight="1">
      <c r="A551" s="177" t="s">
        <v>180</v>
      </c>
      <c r="B551" s="187"/>
      <c r="C551" s="213">
        <v>162608329</v>
      </c>
      <c r="F551" s="29" t="s">
        <v>178</v>
      </c>
      <c r="G551" s="3" t="s">
        <v>16</v>
      </c>
      <c r="H551" s="3" t="s">
        <v>179</v>
      </c>
      <c r="I551" s="55">
        <v>46184</v>
      </c>
      <c r="J551" s="55">
        <v>46188</v>
      </c>
      <c r="K551" s="55">
        <v>46216</v>
      </c>
      <c r="O551" s="3" t="s">
        <v>9</v>
      </c>
      <c r="R551" s="181"/>
    </row>
    <row r="552" spans="1:18" ht="15" customHeight="1">
      <c r="A552" s="177" t="s">
        <v>180</v>
      </c>
      <c r="B552" s="187"/>
      <c r="C552" s="213">
        <v>162608468</v>
      </c>
      <c r="D552" s="173"/>
      <c r="F552" s="29" t="s">
        <v>178</v>
      </c>
      <c r="G552" s="3" t="s">
        <v>16</v>
      </c>
      <c r="H552" s="3" t="s">
        <v>179</v>
      </c>
      <c r="I552" s="55">
        <v>46184</v>
      </c>
      <c r="J552" s="55">
        <v>46188</v>
      </c>
      <c r="K552" s="55">
        <v>46216</v>
      </c>
      <c r="O552" s="3" t="s">
        <v>9</v>
      </c>
      <c r="R552" s="181"/>
    </row>
    <row r="553" spans="1:18" ht="15" customHeight="1">
      <c r="A553" s="177" t="s">
        <v>181</v>
      </c>
      <c r="B553" s="187"/>
      <c r="C553" s="213">
        <v>166610847</v>
      </c>
      <c r="D553" s="173"/>
      <c r="F553" s="29" t="s">
        <v>148</v>
      </c>
      <c r="G553" s="3" t="s">
        <v>65</v>
      </c>
      <c r="H553" s="3" t="s">
        <v>149</v>
      </c>
      <c r="I553" s="55">
        <v>46188</v>
      </c>
      <c r="J553" s="55">
        <v>46191</v>
      </c>
      <c r="K553" s="55">
        <v>46221</v>
      </c>
      <c r="O553" s="3" t="s">
        <v>9</v>
      </c>
      <c r="R553" s="181"/>
    </row>
    <row r="554" spans="1:18" ht="15" customHeight="1">
      <c r="A554" s="177" t="s">
        <v>181</v>
      </c>
      <c r="B554" s="187"/>
      <c r="C554" s="213">
        <v>166610846</v>
      </c>
      <c r="D554" s="173"/>
      <c r="F554" s="29" t="s">
        <v>148</v>
      </c>
      <c r="G554" s="3" t="s">
        <v>65</v>
      </c>
      <c r="H554" s="3" t="s">
        <v>149</v>
      </c>
      <c r="I554" s="55">
        <v>46188</v>
      </c>
      <c r="J554" s="55">
        <v>46191</v>
      </c>
      <c r="K554" s="55">
        <v>46221</v>
      </c>
      <c r="O554" s="3" t="s">
        <v>9</v>
      </c>
      <c r="R554" s="181"/>
    </row>
    <row r="555" spans="1:18" ht="15" customHeight="1">
      <c r="A555" s="177" t="s">
        <v>181</v>
      </c>
      <c r="B555" s="187"/>
      <c r="C555" s="213">
        <v>166610845</v>
      </c>
      <c r="D555" s="173"/>
      <c r="F555" s="29" t="s">
        <v>148</v>
      </c>
      <c r="G555" s="3" t="s">
        <v>65</v>
      </c>
      <c r="H555" s="3" t="s">
        <v>149</v>
      </c>
      <c r="I555" s="55">
        <v>46188</v>
      </c>
      <c r="J555" s="55">
        <v>46191</v>
      </c>
      <c r="K555" s="55">
        <v>46221</v>
      </c>
      <c r="O555" s="3" t="s">
        <v>9</v>
      </c>
      <c r="R555" s="181"/>
    </row>
    <row r="556" spans="1:18" ht="15" customHeight="1">
      <c r="A556" s="177" t="s">
        <v>181</v>
      </c>
      <c r="B556" s="187"/>
      <c r="C556" s="213">
        <v>166610843</v>
      </c>
      <c r="D556" s="173"/>
      <c r="F556" s="29" t="s">
        <v>148</v>
      </c>
      <c r="G556" s="3" t="s">
        <v>65</v>
      </c>
      <c r="H556" s="3" t="s">
        <v>149</v>
      </c>
      <c r="I556" s="55">
        <v>46188</v>
      </c>
      <c r="J556" s="55">
        <v>46191</v>
      </c>
      <c r="K556" s="55">
        <v>46221</v>
      </c>
      <c r="O556" s="3" t="s">
        <v>9</v>
      </c>
      <c r="R556" s="181"/>
    </row>
    <row r="557" spans="1:18" ht="15" customHeight="1">
      <c r="A557" s="177" t="s">
        <v>181</v>
      </c>
      <c r="B557" s="187"/>
      <c r="C557" s="213">
        <v>166610841</v>
      </c>
      <c r="D557" s="173"/>
      <c r="F557" s="29" t="s">
        <v>148</v>
      </c>
      <c r="G557" s="3" t="s">
        <v>65</v>
      </c>
      <c r="H557" s="3" t="s">
        <v>149</v>
      </c>
      <c r="I557" s="55">
        <v>46188</v>
      </c>
      <c r="J557" s="55">
        <v>46191</v>
      </c>
      <c r="K557" s="55">
        <v>46221</v>
      </c>
      <c r="O557" s="3" t="s">
        <v>9</v>
      </c>
      <c r="R557" s="181"/>
    </row>
    <row r="558" spans="1:18" ht="15" customHeight="1">
      <c r="A558" s="177" t="s">
        <v>182</v>
      </c>
      <c r="B558" s="187"/>
      <c r="C558" s="213">
        <v>166610818</v>
      </c>
      <c r="F558" s="29" t="s">
        <v>148</v>
      </c>
      <c r="G558" s="3" t="s">
        <v>65</v>
      </c>
      <c r="H558" s="3" t="s">
        <v>149</v>
      </c>
      <c r="I558" s="55">
        <v>46188</v>
      </c>
      <c r="J558" s="55">
        <v>46191</v>
      </c>
      <c r="K558" s="55">
        <v>46221</v>
      </c>
      <c r="O558" s="3" t="s">
        <v>9</v>
      </c>
      <c r="R558" s="181"/>
    </row>
    <row r="559" spans="1:18" ht="15" customHeight="1">
      <c r="A559" s="177" t="s">
        <v>182</v>
      </c>
      <c r="B559" s="187"/>
      <c r="C559" s="213">
        <v>166610816</v>
      </c>
      <c r="F559" s="29" t="s">
        <v>148</v>
      </c>
      <c r="G559" s="3" t="s">
        <v>65</v>
      </c>
      <c r="H559" s="3" t="s">
        <v>149</v>
      </c>
      <c r="I559" s="55">
        <v>46188</v>
      </c>
      <c r="J559" s="55">
        <v>46191</v>
      </c>
      <c r="K559" s="55">
        <v>46221</v>
      </c>
      <c r="O559" s="3" t="s">
        <v>9</v>
      </c>
      <c r="R559" s="181"/>
    </row>
    <row r="560" spans="1:18" ht="15" customHeight="1">
      <c r="A560" s="177" t="s">
        <v>182</v>
      </c>
      <c r="B560" s="187"/>
      <c r="C560" s="213">
        <v>166610815</v>
      </c>
      <c r="F560" s="29" t="s">
        <v>148</v>
      </c>
      <c r="G560" s="3" t="s">
        <v>65</v>
      </c>
      <c r="H560" s="3" t="s">
        <v>149</v>
      </c>
      <c r="I560" s="55">
        <v>46188</v>
      </c>
      <c r="J560" s="55">
        <v>46191</v>
      </c>
      <c r="K560" s="55">
        <v>46221</v>
      </c>
      <c r="O560" s="3" t="s">
        <v>9</v>
      </c>
      <c r="R560" s="181"/>
    </row>
    <row r="561" spans="1:18" ht="15" customHeight="1">
      <c r="A561" s="177" t="s">
        <v>182</v>
      </c>
      <c r="B561" s="187"/>
      <c r="C561" s="213">
        <v>166610812</v>
      </c>
      <c r="F561" s="29" t="s">
        <v>148</v>
      </c>
      <c r="G561" s="3" t="s">
        <v>65</v>
      </c>
      <c r="H561" s="3" t="s">
        <v>149</v>
      </c>
      <c r="I561" s="55">
        <v>46188</v>
      </c>
      <c r="J561" s="55">
        <v>46191</v>
      </c>
      <c r="K561" s="55">
        <v>46221</v>
      </c>
      <c r="O561" s="3" t="s">
        <v>9</v>
      </c>
      <c r="R561" s="181"/>
    </row>
    <row r="562" spans="1:18" ht="15" customHeight="1">
      <c r="A562" s="177" t="s">
        <v>182</v>
      </c>
      <c r="B562" s="187"/>
      <c r="C562" s="213">
        <v>166610809</v>
      </c>
      <c r="F562" s="29" t="s">
        <v>148</v>
      </c>
      <c r="G562" s="3" t="s">
        <v>65</v>
      </c>
      <c r="H562" s="3" t="s">
        <v>149</v>
      </c>
      <c r="I562" s="55">
        <v>46188</v>
      </c>
      <c r="J562" s="55">
        <v>46191</v>
      </c>
      <c r="K562" s="55">
        <v>46221</v>
      </c>
      <c r="O562" s="3" t="s">
        <v>9</v>
      </c>
      <c r="R562" s="181"/>
    </row>
    <row r="563" spans="1:18" ht="15" customHeight="1">
      <c r="A563" s="177" t="s">
        <v>182</v>
      </c>
      <c r="B563" s="187"/>
      <c r="C563" s="213">
        <v>166610807</v>
      </c>
      <c r="F563" s="29" t="s">
        <v>148</v>
      </c>
      <c r="G563" s="3" t="s">
        <v>65</v>
      </c>
      <c r="H563" s="3" t="s">
        <v>149</v>
      </c>
      <c r="I563" s="55">
        <v>46188</v>
      </c>
      <c r="J563" s="55">
        <v>46191</v>
      </c>
      <c r="K563" s="55">
        <v>46221</v>
      </c>
      <c r="O563" s="3" t="s">
        <v>9</v>
      </c>
      <c r="R563" s="181"/>
    </row>
    <row r="564" spans="1:18" ht="15" customHeight="1">
      <c r="A564" s="177" t="s">
        <v>182</v>
      </c>
      <c r="B564" s="187"/>
      <c r="C564" s="213">
        <v>166610805</v>
      </c>
      <c r="F564" s="29" t="s">
        <v>148</v>
      </c>
      <c r="G564" s="3" t="s">
        <v>65</v>
      </c>
      <c r="H564" s="3" t="s">
        <v>149</v>
      </c>
      <c r="I564" s="55">
        <v>46188</v>
      </c>
      <c r="J564" s="55">
        <v>46191</v>
      </c>
      <c r="K564" s="55">
        <v>46221</v>
      </c>
      <c r="O564" s="3" t="s">
        <v>9</v>
      </c>
      <c r="R564" s="181"/>
    </row>
    <row r="565" spans="1:18" ht="15" customHeight="1">
      <c r="A565" s="177" t="s">
        <v>182</v>
      </c>
      <c r="B565" s="187"/>
      <c r="C565" s="213">
        <v>166610800</v>
      </c>
      <c r="F565" s="29" t="s">
        <v>148</v>
      </c>
      <c r="G565" s="3" t="s">
        <v>65</v>
      </c>
      <c r="H565" s="3" t="s">
        <v>149</v>
      </c>
      <c r="I565" s="55">
        <v>46188</v>
      </c>
      <c r="J565" s="55">
        <v>46191</v>
      </c>
      <c r="K565" s="55">
        <v>46221</v>
      </c>
      <c r="O565" s="3" t="s">
        <v>9</v>
      </c>
      <c r="R565" s="181"/>
    </row>
    <row r="566" spans="1:18" ht="15" customHeight="1">
      <c r="A566" s="177" t="s">
        <v>182</v>
      </c>
      <c r="B566" s="187"/>
      <c r="C566" s="213">
        <v>166610794</v>
      </c>
      <c r="F566" s="29" t="s">
        <v>148</v>
      </c>
      <c r="G566" s="3" t="s">
        <v>65</v>
      </c>
      <c r="H566" s="3" t="s">
        <v>149</v>
      </c>
      <c r="I566" s="55">
        <v>46188</v>
      </c>
      <c r="J566" s="55">
        <v>46191</v>
      </c>
      <c r="K566" s="55">
        <v>46221</v>
      </c>
      <c r="O566" s="3" t="s">
        <v>9</v>
      </c>
      <c r="R566" s="181"/>
    </row>
    <row r="567" spans="1:18" ht="15" customHeight="1">
      <c r="A567" s="177" t="s">
        <v>182</v>
      </c>
      <c r="B567" s="187"/>
      <c r="C567" s="213">
        <v>166610788</v>
      </c>
      <c r="F567" s="29" t="s">
        <v>148</v>
      </c>
      <c r="G567" s="3" t="s">
        <v>65</v>
      </c>
      <c r="H567" s="3" t="s">
        <v>149</v>
      </c>
      <c r="I567" s="55">
        <v>46188</v>
      </c>
      <c r="J567" s="55">
        <v>46191</v>
      </c>
      <c r="K567" s="55">
        <v>46221</v>
      </c>
      <c r="O567" s="3" t="s">
        <v>9</v>
      </c>
      <c r="R567" s="181"/>
    </row>
    <row r="568" spans="1:18" ht="15" customHeight="1">
      <c r="A568" s="177" t="s">
        <v>182</v>
      </c>
      <c r="B568" s="187"/>
      <c r="C568" s="213">
        <v>166610784</v>
      </c>
      <c r="F568" s="29" t="s">
        <v>148</v>
      </c>
      <c r="G568" s="3" t="s">
        <v>65</v>
      </c>
      <c r="H568" s="3" t="s">
        <v>149</v>
      </c>
      <c r="I568" s="55">
        <v>46188</v>
      </c>
      <c r="J568" s="55">
        <v>46191</v>
      </c>
      <c r="K568" s="55">
        <v>46221</v>
      </c>
      <c r="O568" s="3" t="s">
        <v>9</v>
      </c>
      <c r="R568" s="181"/>
    </row>
    <row r="569" spans="1:18" ht="15" customHeight="1">
      <c r="A569" s="177" t="s">
        <v>183</v>
      </c>
      <c r="B569" s="187"/>
      <c r="C569" s="213">
        <v>167602591</v>
      </c>
      <c r="F569" s="29" t="s">
        <v>184</v>
      </c>
      <c r="G569" s="3" t="s">
        <v>59</v>
      </c>
      <c r="H569" s="3" t="s">
        <v>185</v>
      </c>
      <c r="I569" s="55">
        <v>46189</v>
      </c>
      <c r="J569" s="55">
        <v>46192</v>
      </c>
      <c r="K569" s="55">
        <v>46219</v>
      </c>
      <c r="O569" s="3" t="s">
        <v>9</v>
      </c>
      <c r="R569" s="181"/>
    </row>
    <row r="570" spans="1:18" ht="15" customHeight="1">
      <c r="A570" s="177" t="s">
        <v>186</v>
      </c>
      <c r="B570" s="187"/>
      <c r="C570" s="213">
        <v>167602359</v>
      </c>
      <c r="F570" s="29" t="s">
        <v>184</v>
      </c>
      <c r="G570" s="3" t="s">
        <v>59</v>
      </c>
      <c r="H570" s="3" t="s">
        <v>185</v>
      </c>
      <c r="I570" s="55">
        <v>46189</v>
      </c>
      <c r="J570" s="55">
        <v>46192</v>
      </c>
      <c r="K570" s="55">
        <v>46219</v>
      </c>
      <c r="O570" s="3" t="s">
        <v>9</v>
      </c>
      <c r="R570" s="181"/>
    </row>
    <row r="571" spans="1:18" ht="15" customHeight="1">
      <c r="A571" s="177" t="s">
        <v>187</v>
      </c>
      <c r="B571" s="187"/>
      <c r="C571" s="213">
        <v>167602890</v>
      </c>
      <c r="F571" s="29" t="s">
        <v>184</v>
      </c>
      <c r="G571" s="3" t="s">
        <v>59</v>
      </c>
      <c r="H571" s="3" t="s">
        <v>185</v>
      </c>
      <c r="I571" s="55">
        <v>46189</v>
      </c>
      <c r="J571" s="55">
        <v>46192</v>
      </c>
      <c r="K571" s="55">
        <v>46219</v>
      </c>
      <c r="O571" s="3" t="s">
        <v>9</v>
      </c>
      <c r="R571" s="181"/>
    </row>
    <row r="572" spans="1:18" ht="15" customHeight="1">
      <c r="A572" s="177" t="s">
        <v>187</v>
      </c>
      <c r="B572" s="187"/>
      <c r="C572" s="213">
        <v>167602799</v>
      </c>
      <c r="F572" s="29" t="s">
        <v>184</v>
      </c>
      <c r="G572" s="3" t="s">
        <v>59</v>
      </c>
      <c r="H572" s="3" t="s">
        <v>185</v>
      </c>
      <c r="I572" s="55">
        <v>46189</v>
      </c>
      <c r="J572" s="55">
        <v>46192</v>
      </c>
      <c r="K572" s="55">
        <v>46219</v>
      </c>
      <c r="O572" s="3" t="s">
        <v>9</v>
      </c>
      <c r="R572" s="181"/>
    </row>
    <row r="573" spans="1:18" ht="15" customHeight="1">
      <c r="A573" s="177" t="s">
        <v>187</v>
      </c>
      <c r="B573" s="187"/>
      <c r="C573" s="213">
        <v>167603058</v>
      </c>
      <c r="F573" s="29" t="s">
        <v>184</v>
      </c>
      <c r="G573" s="3" t="s">
        <v>59</v>
      </c>
      <c r="H573" s="3" t="s">
        <v>185</v>
      </c>
      <c r="I573" s="55">
        <v>46189</v>
      </c>
      <c r="J573" s="55">
        <v>46192</v>
      </c>
      <c r="K573" s="55">
        <v>46219</v>
      </c>
      <c r="O573" s="3" t="s">
        <v>9</v>
      </c>
      <c r="R573" s="181"/>
    </row>
    <row r="574" spans="1:18" ht="15" customHeight="1">
      <c r="A574" s="177" t="s">
        <v>187</v>
      </c>
      <c r="B574" s="187"/>
      <c r="C574" s="213">
        <v>167602832</v>
      </c>
      <c r="F574" s="29" t="s">
        <v>184</v>
      </c>
      <c r="G574" s="3" t="s">
        <v>59</v>
      </c>
      <c r="H574" s="3" t="s">
        <v>185</v>
      </c>
      <c r="I574" s="55">
        <v>46189</v>
      </c>
      <c r="J574" s="55">
        <v>46192</v>
      </c>
      <c r="K574" s="55">
        <v>46219</v>
      </c>
      <c r="O574" s="3" t="s">
        <v>9</v>
      </c>
      <c r="R574" s="181"/>
    </row>
    <row r="575" spans="1:18" ht="15" customHeight="1">
      <c r="A575" s="177" t="s">
        <v>187</v>
      </c>
      <c r="B575" s="187"/>
      <c r="C575" s="213">
        <v>167602733</v>
      </c>
      <c r="F575" s="29" t="s">
        <v>184</v>
      </c>
      <c r="G575" s="3" t="s">
        <v>59</v>
      </c>
      <c r="H575" s="3" t="s">
        <v>185</v>
      </c>
      <c r="I575" s="55">
        <v>46189</v>
      </c>
      <c r="J575" s="55">
        <v>46192</v>
      </c>
      <c r="K575" s="55">
        <v>46219</v>
      </c>
      <c r="O575" s="3" t="s">
        <v>9</v>
      </c>
      <c r="R575" s="181"/>
    </row>
    <row r="576" spans="1:18" ht="15" customHeight="1">
      <c r="A576" s="177" t="s">
        <v>188</v>
      </c>
      <c r="B576" s="187"/>
      <c r="C576" s="213">
        <v>167602953</v>
      </c>
      <c r="F576" s="29" t="s">
        <v>189</v>
      </c>
      <c r="G576" s="3" t="s">
        <v>59</v>
      </c>
      <c r="H576" s="3" t="s">
        <v>159</v>
      </c>
      <c r="I576" s="55">
        <v>46189</v>
      </c>
      <c r="J576" s="55">
        <v>46192</v>
      </c>
      <c r="K576" s="55">
        <v>46219</v>
      </c>
      <c r="O576" s="3" t="s">
        <v>9</v>
      </c>
      <c r="R576" s="181"/>
    </row>
    <row r="577" spans="1:18" ht="15" customHeight="1">
      <c r="A577" s="177" t="s">
        <v>188</v>
      </c>
      <c r="B577" s="187"/>
      <c r="C577" s="213">
        <v>167603084</v>
      </c>
      <c r="F577" s="29" t="s">
        <v>189</v>
      </c>
      <c r="G577" s="3" t="s">
        <v>59</v>
      </c>
      <c r="H577" s="3" t="s">
        <v>159</v>
      </c>
      <c r="I577" s="55">
        <v>46189</v>
      </c>
      <c r="J577" s="55">
        <v>46192</v>
      </c>
      <c r="K577" s="55">
        <v>46219</v>
      </c>
      <c r="O577" s="3" t="s">
        <v>9</v>
      </c>
      <c r="R577" s="181"/>
    </row>
    <row r="578" spans="1:18" ht="15" customHeight="1">
      <c r="A578" s="177" t="s">
        <v>190</v>
      </c>
      <c r="B578" s="187"/>
      <c r="C578" s="213">
        <v>160601983</v>
      </c>
      <c r="F578" s="29" t="s">
        <v>191</v>
      </c>
      <c r="G578" s="3" t="s">
        <v>192</v>
      </c>
      <c r="H578" s="3" t="s">
        <v>30</v>
      </c>
      <c r="I578" s="55">
        <v>46182</v>
      </c>
      <c r="J578" s="55">
        <v>46185</v>
      </c>
      <c r="K578" s="55">
        <v>46212</v>
      </c>
      <c r="O578" s="3" t="s">
        <v>10</v>
      </c>
      <c r="P578" s="55">
        <v>46183</v>
      </c>
      <c r="R578" s="181"/>
    </row>
    <row r="579" spans="1:18" ht="15" customHeight="1">
      <c r="A579" s="177" t="s">
        <v>190</v>
      </c>
      <c r="B579" s="187"/>
      <c r="C579" s="213">
        <v>160601960</v>
      </c>
      <c r="F579" s="29" t="s">
        <v>191</v>
      </c>
      <c r="G579" s="3" t="s">
        <v>192</v>
      </c>
      <c r="H579" s="3" t="s">
        <v>30</v>
      </c>
      <c r="I579" s="55">
        <v>46182</v>
      </c>
      <c r="J579" s="55">
        <v>46185</v>
      </c>
      <c r="K579" s="55">
        <v>46212</v>
      </c>
      <c r="O579" s="3" t="s">
        <v>10</v>
      </c>
      <c r="P579" s="55">
        <v>46183</v>
      </c>
      <c r="R579" s="181"/>
    </row>
    <row r="580" spans="1:18" ht="15" customHeight="1">
      <c r="A580" s="177" t="s">
        <v>190</v>
      </c>
      <c r="B580" s="187"/>
      <c r="C580" s="213">
        <v>160601922</v>
      </c>
      <c r="F580" s="29" t="s">
        <v>191</v>
      </c>
      <c r="G580" s="3" t="s">
        <v>192</v>
      </c>
      <c r="H580" s="3" t="s">
        <v>30</v>
      </c>
      <c r="I580" s="55">
        <v>46182</v>
      </c>
      <c r="J580" s="55">
        <v>46185</v>
      </c>
      <c r="K580" s="55">
        <v>46212</v>
      </c>
      <c r="O580" s="3" t="s">
        <v>10</v>
      </c>
      <c r="P580" s="55">
        <v>46183</v>
      </c>
      <c r="R580" s="181"/>
    </row>
    <row r="581" spans="1:18" ht="15" customHeight="1">
      <c r="A581" s="177" t="s">
        <v>190</v>
      </c>
      <c r="B581" s="187"/>
      <c r="C581" s="213">
        <v>160601871</v>
      </c>
      <c r="F581" s="29" t="s">
        <v>191</v>
      </c>
      <c r="G581" s="3" t="s">
        <v>192</v>
      </c>
      <c r="H581" s="3" t="s">
        <v>30</v>
      </c>
      <c r="I581" s="55">
        <v>46182</v>
      </c>
      <c r="J581" s="55">
        <v>46185</v>
      </c>
      <c r="K581" s="55">
        <v>46212</v>
      </c>
      <c r="O581" s="3" t="s">
        <v>10</v>
      </c>
      <c r="P581" s="55">
        <v>46183</v>
      </c>
      <c r="R581" s="181"/>
    </row>
    <row r="582" spans="1:18" ht="15" customHeight="1">
      <c r="A582" s="177" t="s">
        <v>190</v>
      </c>
      <c r="B582" s="187"/>
      <c r="C582" s="213">
        <v>160601812</v>
      </c>
      <c r="F582" s="29" t="s">
        <v>191</v>
      </c>
      <c r="G582" s="3" t="s">
        <v>192</v>
      </c>
      <c r="H582" s="3" t="s">
        <v>30</v>
      </c>
      <c r="I582" s="55">
        <v>46182</v>
      </c>
      <c r="J582" s="55">
        <v>46185</v>
      </c>
      <c r="K582" s="55">
        <v>46212</v>
      </c>
      <c r="O582" s="3" t="s">
        <v>10</v>
      </c>
      <c r="P582" s="55">
        <v>46183</v>
      </c>
      <c r="R582" s="181"/>
    </row>
    <row r="583" spans="1:18" ht="15" customHeight="1">
      <c r="A583" s="177" t="s">
        <v>190</v>
      </c>
      <c r="B583" s="187"/>
      <c r="C583" s="213">
        <v>160601844</v>
      </c>
      <c r="F583" s="29" t="s">
        <v>191</v>
      </c>
      <c r="G583" s="3" t="s">
        <v>192</v>
      </c>
      <c r="H583" s="3" t="s">
        <v>30</v>
      </c>
      <c r="I583" s="55">
        <v>46182</v>
      </c>
      <c r="J583" s="55">
        <v>46185</v>
      </c>
      <c r="K583" s="55">
        <v>46212</v>
      </c>
      <c r="O583" s="3" t="s">
        <v>10</v>
      </c>
      <c r="P583" s="55">
        <v>46183</v>
      </c>
      <c r="R583" s="181"/>
    </row>
    <row r="584" spans="1:18" ht="15" customHeight="1">
      <c r="A584" s="177" t="s">
        <v>190</v>
      </c>
      <c r="B584" s="187"/>
      <c r="C584" s="213">
        <v>160601705</v>
      </c>
      <c r="F584" s="29" t="s">
        <v>191</v>
      </c>
      <c r="G584" s="3" t="s">
        <v>192</v>
      </c>
      <c r="H584" s="3" t="s">
        <v>30</v>
      </c>
      <c r="I584" s="55">
        <v>46182</v>
      </c>
      <c r="J584" s="55">
        <v>46185</v>
      </c>
      <c r="K584" s="55">
        <v>46212</v>
      </c>
      <c r="O584" s="3" t="s">
        <v>10</v>
      </c>
      <c r="P584" s="55">
        <v>46183</v>
      </c>
      <c r="R584" s="181"/>
    </row>
    <row r="585" spans="1:18" ht="15" customHeight="1">
      <c r="A585" s="177" t="s">
        <v>190</v>
      </c>
      <c r="B585" s="187"/>
      <c r="C585" s="213">
        <v>160602144</v>
      </c>
      <c r="F585" s="29" t="s">
        <v>191</v>
      </c>
      <c r="G585" s="3" t="s">
        <v>192</v>
      </c>
      <c r="H585" s="3" t="s">
        <v>30</v>
      </c>
      <c r="I585" s="55">
        <v>46182</v>
      </c>
      <c r="J585" s="55">
        <v>46185</v>
      </c>
      <c r="K585" s="55">
        <v>46212</v>
      </c>
      <c r="O585" s="3" t="s">
        <v>10</v>
      </c>
      <c r="P585" s="55">
        <v>46183</v>
      </c>
      <c r="R585" s="181"/>
    </row>
    <row r="586" spans="1:18" ht="15" customHeight="1">
      <c r="A586" s="177" t="s">
        <v>190</v>
      </c>
      <c r="B586" s="187"/>
      <c r="C586" s="213">
        <v>160602127</v>
      </c>
      <c r="F586" s="29" t="s">
        <v>191</v>
      </c>
      <c r="G586" s="3" t="s">
        <v>192</v>
      </c>
      <c r="H586" s="3" t="s">
        <v>30</v>
      </c>
      <c r="I586" s="55">
        <v>46182</v>
      </c>
      <c r="J586" s="55">
        <v>46185</v>
      </c>
      <c r="K586" s="55">
        <v>46212</v>
      </c>
      <c r="O586" s="3" t="s">
        <v>10</v>
      </c>
      <c r="P586" s="55">
        <v>46183</v>
      </c>
      <c r="R586" s="181"/>
    </row>
    <row r="587" spans="1:18" ht="15" customHeight="1">
      <c r="A587" s="177" t="s">
        <v>190</v>
      </c>
      <c r="B587" s="187"/>
      <c r="C587" s="213">
        <v>160602105</v>
      </c>
      <c r="F587" s="29" t="s">
        <v>191</v>
      </c>
      <c r="G587" s="3" t="s">
        <v>192</v>
      </c>
      <c r="H587" s="3" t="s">
        <v>30</v>
      </c>
      <c r="I587" s="55">
        <v>46182</v>
      </c>
      <c r="J587" s="55">
        <v>46185</v>
      </c>
      <c r="K587" s="55">
        <v>46212</v>
      </c>
      <c r="O587" s="3" t="s">
        <v>10</v>
      </c>
      <c r="P587" s="55">
        <v>46183</v>
      </c>
      <c r="R587" s="181"/>
    </row>
    <row r="588" spans="1:18" ht="15" customHeight="1">
      <c r="A588" s="177" t="s">
        <v>190</v>
      </c>
      <c r="B588" s="187"/>
      <c r="C588" s="213">
        <v>160602080</v>
      </c>
      <c r="F588" s="29" t="s">
        <v>191</v>
      </c>
      <c r="G588" s="3" t="s">
        <v>192</v>
      </c>
      <c r="H588" s="3" t="s">
        <v>30</v>
      </c>
      <c r="I588" s="55">
        <v>46182</v>
      </c>
      <c r="J588" s="55">
        <v>46185</v>
      </c>
      <c r="K588" s="55">
        <v>46212</v>
      </c>
      <c r="O588" s="3" t="s">
        <v>10</v>
      </c>
      <c r="P588" s="55">
        <v>46183</v>
      </c>
      <c r="R588" s="181"/>
    </row>
    <row r="589" spans="1:18" ht="15" customHeight="1">
      <c r="A589" s="177" t="s">
        <v>190</v>
      </c>
      <c r="B589" s="187"/>
      <c r="C589" s="213">
        <v>160602067</v>
      </c>
      <c r="F589" s="29" t="s">
        <v>191</v>
      </c>
      <c r="G589" s="3" t="s">
        <v>192</v>
      </c>
      <c r="H589" s="3" t="s">
        <v>30</v>
      </c>
      <c r="I589" s="55">
        <v>46182</v>
      </c>
      <c r="J589" s="55">
        <v>46185</v>
      </c>
      <c r="K589" s="55">
        <v>46212</v>
      </c>
      <c r="O589" s="3" t="s">
        <v>10</v>
      </c>
      <c r="P589" s="55">
        <v>46183</v>
      </c>
      <c r="R589" s="181"/>
    </row>
    <row r="590" spans="1:18" ht="15" customHeight="1">
      <c r="A590" s="177" t="s">
        <v>190</v>
      </c>
      <c r="B590" s="187"/>
      <c r="C590" s="213">
        <v>160602020</v>
      </c>
      <c r="F590" s="29" t="s">
        <v>191</v>
      </c>
      <c r="G590" s="3" t="s">
        <v>192</v>
      </c>
      <c r="H590" s="3" t="s">
        <v>30</v>
      </c>
      <c r="I590" s="55">
        <v>46182</v>
      </c>
      <c r="J590" s="55">
        <v>46185</v>
      </c>
      <c r="K590" s="55">
        <v>46212</v>
      </c>
      <c r="O590" s="3" t="s">
        <v>10</v>
      </c>
      <c r="P590" s="55">
        <v>46177</v>
      </c>
      <c r="R590" s="181"/>
    </row>
    <row r="591" spans="1:18" ht="15" customHeight="1">
      <c r="A591" s="177" t="s">
        <v>193</v>
      </c>
      <c r="B591" s="187"/>
      <c r="C591" s="213">
        <v>153602931</v>
      </c>
      <c r="F591" s="29" t="s">
        <v>191</v>
      </c>
      <c r="G591" s="3" t="s">
        <v>192</v>
      </c>
      <c r="H591" s="3" t="s">
        <v>30</v>
      </c>
      <c r="I591" s="55">
        <v>46175</v>
      </c>
      <c r="J591" s="55">
        <v>46178</v>
      </c>
      <c r="K591" s="55">
        <v>46205</v>
      </c>
      <c r="O591" s="3" t="s">
        <v>10</v>
      </c>
      <c r="P591" s="55">
        <v>46177</v>
      </c>
      <c r="R591" s="181"/>
    </row>
    <row r="592" spans="1:18" ht="15" customHeight="1">
      <c r="A592" s="177" t="s">
        <v>193</v>
      </c>
      <c r="B592" s="187"/>
      <c r="C592" s="213">
        <v>153602832</v>
      </c>
      <c r="F592" s="29" t="s">
        <v>191</v>
      </c>
      <c r="G592" s="3" t="s">
        <v>192</v>
      </c>
      <c r="H592" s="3" t="s">
        <v>30</v>
      </c>
      <c r="I592" s="55">
        <v>46175</v>
      </c>
      <c r="J592" s="55">
        <v>46178</v>
      </c>
      <c r="K592" s="55">
        <v>46205</v>
      </c>
      <c r="O592" s="3" t="s">
        <v>10</v>
      </c>
      <c r="P592" s="55">
        <v>46177</v>
      </c>
      <c r="R592" s="181"/>
    </row>
    <row r="593" spans="1:18" ht="15" customHeight="1">
      <c r="A593" s="177" t="s">
        <v>193</v>
      </c>
      <c r="B593" s="187"/>
      <c r="C593" s="213">
        <v>153602810</v>
      </c>
      <c r="F593" s="29" t="s">
        <v>191</v>
      </c>
      <c r="G593" s="3" t="s">
        <v>192</v>
      </c>
      <c r="H593" s="3" t="s">
        <v>30</v>
      </c>
      <c r="I593" s="55">
        <v>46175</v>
      </c>
      <c r="J593" s="55">
        <v>46178</v>
      </c>
      <c r="K593" s="55">
        <v>46205</v>
      </c>
      <c r="O593" s="3" t="s">
        <v>10</v>
      </c>
      <c r="P593" s="55">
        <v>46177</v>
      </c>
      <c r="R593" s="181"/>
    </row>
    <row r="594" spans="1:18" ht="15" customHeight="1">
      <c r="A594" s="177" t="s">
        <v>193</v>
      </c>
      <c r="B594" s="187"/>
      <c r="C594" s="213">
        <v>153602786</v>
      </c>
      <c r="F594" s="29" t="s">
        <v>191</v>
      </c>
      <c r="G594" s="3" t="s">
        <v>192</v>
      </c>
      <c r="H594" s="3" t="s">
        <v>30</v>
      </c>
      <c r="I594" s="55">
        <v>46175</v>
      </c>
      <c r="J594" s="55">
        <v>46178</v>
      </c>
      <c r="K594" s="55">
        <v>46205</v>
      </c>
      <c r="O594" s="3" t="s">
        <v>10</v>
      </c>
      <c r="P594" s="55">
        <v>46177</v>
      </c>
      <c r="R594" s="181"/>
    </row>
    <row r="595" spans="1:18" ht="15" customHeight="1">
      <c r="A595" s="177" t="s">
        <v>193</v>
      </c>
      <c r="B595" s="187"/>
      <c r="C595" s="213">
        <v>153602772</v>
      </c>
      <c r="F595" s="29" t="s">
        <v>191</v>
      </c>
      <c r="G595" s="3" t="s">
        <v>192</v>
      </c>
      <c r="H595" s="3" t="s">
        <v>30</v>
      </c>
      <c r="I595" s="55">
        <v>46175</v>
      </c>
      <c r="J595" s="55">
        <v>46178</v>
      </c>
      <c r="K595" s="55">
        <v>46205</v>
      </c>
      <c r="O595" s="3" t="s">
        <v>10</v>
      </c>
      <c r="P595" s="55">
        <v>46177</v>
      </c>
      <c r="R595" s="181"/>
    </row>
    <row r="596" spans="1:18" ht="15" customHeight="1">
      <c r="A596" s="177" t="s">
        <v>193</v>
      </c>
      <c r="B596" s="187"/>
      <c r="C596" s="213">
        <v>153602759</v>
      </c>
      <c r="F596" s="29" t="s">
        <v>191</v>
      </c>
      <c r="G596" s="3" t="s">
        <v>192</v>
      </c>
      <c r="H596" s="3" t="s">
        <v>30</v>
      </c>
      <c r="I596" s="55">
        <v>46175</v>
      </c>
      <c r="J596" s="55">
        <v>46178</v>
      </c>
      <c r="K596" s="55">
        <v>46205</v>
      </c>
      <c r="O596" s="3" t="s">
        <v>10</v>
      </c>
      <c r="P596" s="55">
        <v>46177</v>
      </c>
      <c r="R596" s="181"/>
    </row>
    <row r="597" spans="1:18" ht="15" customHeight="1">
      <c r="A597" s="177" t="s">
        <v>193</v>
      </c>
      <c r="B597" s="187"/>
      <c r="C597" s="213">
        <v>153602744</v>
      </c>
      <c r="F597" s="29" t="s">
        <v>191</v>
      </c>
      <c r="G597" s="3" t="s">
        <v>192</v>
      </c>
      <c r="H597" s="3" t="s">
        <v>30</v>
      </c>
      <c r="I597" s="55">
        <v>46175</v>
      </c>
      <c r="J597" s="55">
        <v>46178</v>
      </c>
      <c r="K597" s="55">
        <v>46205</v>
      </c>
      <c r="O597" s="3" t="s">
        <v>10</v>
      </c>
      <c r="P597" s="55">
        <v>46177</v>
      </c>
      <c r="R597" s="181"/>
    </row>
    <row r="598" spans="1:18" ht="15" customHeight="1">
      <c r="A598" s="177" t="s">
        <v>193</v>
      </c>
      <c r="B598" s="187"/>
      <c r="C598" s="213">
        <v>153602666</v>
      </c>
      <c r="F598" s="29" t="s">
        <v>191</v>
      </c>
      <c r="G598" s="3" t="s">
        <v>192</v>
      </c>
      <c r="H598" s="3" t="s">
        <v>30</v>
      </c>
      <c r="I598" s="55">
        <v>46175</v>
      </c>
      <c r="J598" s="55">
        <v>46178</v>
      </c>
      <c r="K598" s="55">
        <v>46205</v>
      </c>
      <c r="O598" s="3" t="s">
        <v>10</v>
      </c>
      <c r="P598" s="55">
        <v>46177</v>
      </c>
      <c r="R598" s="181"/>
    </row>
    <row r="599" spans="1:18" ht="15" customHeight="1">
      <c r="A599" s="177" t="s">
        <v>193</v>
      </c>
      <c r="B599" s="187"/>
      <c r="C599" s="213">
        <v>153602570</v>
      </c>
      <c r="F599" s="29" t="s">
        <v>191</v>
      </c>
      <c r="G599" s="3" t="s">
        <v>192</v>
      </c>
      <c r="H599" s="3" t="s">
        <v>30</v>
      </c>
      <c r="I599" s="55">
        <v>46175</v>
      </c>
      <c r="J599" s="55">
        <v>46178</v>
      </c>
      <c r="K599" s="55">
        <v>46205</v>
      </c>
      <c r="O599" s="3" t="s">
        <v>10</v>
      </c>
      <c r="P599" s="55">
        <v>46177</v>
      </c>
      <c r="R599" s="181"/>
    </row>
    <row r="600" spans="1:18" ht="15" customHeight="1">
      <c r="A600" s="177" t="s">
        <v>193</v>
      </c>
      <c r="B600" s="187"/>
      <c r="C600" s="213">
        <v>153602531</v>
      </c>
      <c r="F600" s="29" t="s">
        <v>191</v>
      </c>
      <c r="G600" s="3" t="s">
        <v>192</v>
      </c>
      <c r="H600" s="3" t="s">
        <v>30</v>
      </c>
      <c r="I600" s="55">
        <v>46175</v>
      </c>
      <c r="J600" s="55">
        <v>46178</v>
      </c>
      <c r="K600" s="55">
        <v>46205</v>
      </c>
      <c r="O600" s="3" t="s">
        <v>10</v>
      </c>
      <c r="P600" s="55">
        <v>46177</v>
      </c>
      <c r="R600" s="181"/>
    </row>
    <row r="601" spans="1:18" ht="15" customHeight="1">
      <c r="A601" s="177" t="s">
        <v>193</v>
      </c>
      <c r="B601" s="187"/>
      <c r="C601" s="213">
        <v>153602520</v>
      </c>
      <c r="F601" s="29" t="s">
        <v>191</v>
      </c>
      <c r="G601" s="3" t="s">
        <v>192</v>
      </c>
      <c r="H601" s="3" t="s">
        <v>30</v>
      </c>
      <c r="I601" s="55">
        <v>46175</v>
      </c>
      <c r="J601" s="55">
        <v>46178</v>
      </c>
      <c r="K601" s="55">
        <v>46205</v>
      </c>
      <c r="O601" s="3" t="s">
        <v>10</v>
      </c>
      <c r="P601" s="55">
        <v>46177</v>
      </c>
      <c r="R601" s="181"/>
    </row>
    <row r="602" spans="1:18" ht="15" customHeight="1">
      <c r="A602" s="177" t="s">
        <v>193</v>
      </c>
      <c r="B602" s="187"/>
      <c r="C602" s="213">
        <v>153602498</v>
      </c>
      <c r="F602" s="29" t="s">
        <v>191</v>
      </c>
      <c r="G602" s="3" t="s">
        <v>192</v>
      </c>
      <c r="H602" s="3" t="s">
        <v>30</v>
      </c>
      <c r="I602" s="55">
        <v>46175</v>
      </c>
      <c r="J602" s="55">
        <v>46178</v>
      </c>
      <c r="K602" s="55">
        <v>46205</v>
      </c>
      <c r="O602" s="3" t="s">
        <v>10</v>
      </c>
      <c r="P602" s="55">
        <v>46177</v>
      </c>
      <c r="R602" s="181"/>
    </row>
    <row r="603" spans="1:18" ht="15" customHeight="1">
      <c r="A603" s="177" t="s">
        <v>193</v>
      </c>
      <c r="B603" s="187"/>
      <c r="C603" s="213">
        <v>153602483</v>
      </c>
      <c r="F603" s="29" t="s">
        <v>191</v>
      </c>
      <c r="G603" s="3" t="s">
        <v>192</v>
      </c>
      <c r="H603" s="3" t="s">
        <v>30</v>
      </c>
      <c r="I603" s="55">
        <v>46175</v>
      </c>
      <c r="J603" s="55">
        <v>46178</v>
      </c>
      <c r="K603" s="55">
        <v>46205</v>
      </c>
      <c r="O603" s="3" t="s">
        <v>10</v>
      </c>
      <c r="P603" s="55">
        <v>46177</v>
      </c>
      <c r="R603" s="181"/>
    </row>
    <row r="604" spans="1:18" ht="15" customHeight="1">
      <c r="A604" s="177" t="s">
        <v>193</v>
      </c>
      <c r="B604" s="187"/>
      <c r="C604" s="213">
        <v>153602443</v>
      </c>
      <c r="F604" s="29" t="s">
        <v>191</v>
      </c>
      <c r="G604" s="3" t="s">
        <v>192</v>
      </c>
      <c r="H604" s="3" t="s">
        <v>30</v>
      </c>
      <c r="I604" s="55">
        <v>46175</v>
      </c>
      <c r="J604" s="55">
        <v>46178</v>
      </c>
      <c r="K604" s="55">
        <v>46205</v>
      </c>
      <c r="O604" s="3" t="s">
        <v>10</v>
      </c>
      <c r="P604" s="55">
        <v>46177</v>
      </c>
      <c r="R604" s="181"/>
    </row>
    <row r="605" spans="1:18" ht="15" customHeight="1">
      <c r="A605" s="177" t="s">
        <v>193</v>
      </c>
      <c r="B605" s="187"/>
      <c r="C605" s="213">
        <v>153602392</v>
      </c>
      <c r="F605" s="29" t="s">
        <v>191</v>
      </c>
      <c r="G605" s="3" t="s">
        <v>192</v>
      </c>
      <c r="H605" s="3" t="s">
        <v>30</v>
      </c>
      <c r="I605" s="55">
        <v>46175</v>
      </c>
      <c r="J605" s="55">
        <v>46178</v>
      </c>
      <c r="K605" s="55">
        <v>46205</v>
      </c>
      <c r="O605" s="3" t="s">
        <v>10</v>
      </c>
      <c r="P605" s="55">
        <v>46177</v>
      </c>
      <c r="R605" s="181"/>
    </row>
    <row r="606" spans="1:18" ht="15" customHeight="1">
      <c r="A606" s="177" t="s">
        <v>193</v>
      </c>
      <c r="B606" s="187"/>
      <c r="C606" s="213">
        <v>153602355</v>
      </c>
      <c r="F606" s="29" t="s">
        <v>191</v>
      </c>
      <c r="G606" s="3" t="s">
        <v>192</v>
      </c>
      <c r="H606" s="3" t="s">
        <v>30</v>
      </c>
      <c r="I606" s="55">
        <v>46175</v>
      </c>
      <c r="J606" s="55">
        <v>46178</v>
      </c>
      <c r="K606" s="55">
        <v>46205</v>
      </c>
      <c r="O606" s="3" t="s">
        <v>10</v>
      </c>
      <c r="P606" s="55">
        <v>46177</v>
      </c>
      <c r="R606" s="181"/>
    </row>
    <row r="607" spans="1:18" ht="15" customHeight="1">
      <c r="A607" s="177" t="s">
        <v>193</v>
      </c>
      <c r="B607" s="187"/>
      <c r="C607" s="213">
        <v>153602343</v>
      </c>
      <c r="F607" s="29" t="s">
        <v>191</v>
      </c>
      <c r="G607" s="3" t="s">
        <v>192</v>
      </c>
      <c r="H607" s="3" t="s">
        <v>30</v>
      </c>
      <c r="I607" s="55">
        <v>46175</v>
      </c>
      <c r="J607" s="55">
        <v>46178</v>
      </c>
      <c r="K607" s="55">
        <v>46205</v>
      </c>
      <c r="O607" s="3" t="s">
        <v>10</v>
      </c>
      <c r="P607" s="55">
        <v>46177</v>
      </c>
      <c r="R607" s="181"/>
    </row>
    <row r="608" spans="1:18" ht="15" customHeight="1">
      <c r="A608" s="177" t="s">
        <v>193</v>
      </c>
      <c r="B608" s="187"/>
      <c r="C608" s="213">
        <v>153602300</v>
      </c>
      <c r="F608" s="29" t="s">
        <v>191</v>
      </c>
      <c r="G608" s="3" t="s">
        <v>192</v>
      </c>
      <c r="H608" s="3" t="s">
        <v>30</v>
      </c>
      <c r="I608" s="55">
        <v>46175</v>
      </c>
      <c r="J608" s="55">
        <v>46178</v>
      </c>
      <c r="K608" s="55">
        <v>46205</v>
      </c>
      <c r="O608" s="3" t="s">
        <v>10</v>
      </c>
      <c r="P608" s="55">
        <v>46177</v>
      </c>
      <c r="R608" s="181"/>
    </row>
    <row r="609" spans="1:121" ht="15" customHeight="1">
      <c r="A609" s="177" t="s">
        <v>193</v>
      </c>
      <c r="B609" s="187"/>
      <c r="C609" s="213">
        <v>153602272</v>
      </c>
      <c r="F609" s="29" t="s">
        <v>191</v>
      </c>
      <c r="G609" s="3" t="s">
        <v>192</v>
      </c>
      <c r="H609" s="3" t="s">
        <v>30</v>
      </c>
      <c r="I609" s="55">
        <v>46175</v>
      </c>
      <c r="J609" s="55">
        <v>46178</v>
      </c>
      <c r="K609" s="55">
        <v>46205</v>
      </c>
      <c r="O609" s="3" t="s">
        <v>10</v>
      </c>
      <c r="P609" s="55">
        <v>46177</v>
      </c>
      <c r="R609" s="181"/>
    </row>
    <row r="610" spans="1:121" ht="15" customHeight="1">
      <c r="A610" s="177" t="s">
        <v>194</v>
      </c>
      <c r="B610" s="187"/>
      <c r="C610" s="213">
        <v>168605429</v>
      </c>
      <c r="F610" s="29" t="s">
        <v>191</v>
      </c>
      <c r="G610" s="3" t="s">
        <v>192</v>
      </c>
      <c r="H610" s="3" t="s">
        <v>30</v>
      </c>
      <c r="I610" s="55">
        <v>46190</v>
      </c>
      <c r="J610" s="55">
        <v>46193</v>
      </c>
      <c r="K610" s="55">
        <v>46220</v>
      </c>
      <c r="O610" s="3" t="s">
        <v>9</v>
      </c>
      <c r="R610" s="181"/>
    </row>
    <row r="611" spans="1:121" ht="15" customHeight="1">
      <c r="A611" s="177" t="s">
        <v>194</v>
      </c>
      <c r="B611" s="187"/>
      <c r="C611" s="213">
        <v>168605387</v>
      </c>
      <c r="F611" s="29" t="s">
        <v>191</v>
      </c>
      <c r="G611" s="3" t="s">
        <v>192</v>
      </c>
      <c r="H611" s="3" t="s">
        <v>30</v>
      </c>
      <c r="I611" s="55">
        <v>46190</v>
      </c>
      <c r="J611" s="55">
        <v>46193</v>
      </c>
      <c r="K611" s="55">
        <v>46220</v>
      </c>
      <c r="O611" s="3" t="s">
        <v>9</v>
      </c>
      <c r="R611" s="181"/>
    </row>
    <row r="612" spans="1:121" ht="15" customHeight="1">
      <c r="A612" s="177" t="s">
        <v>194</v>
      </c>
      <c r="B612" s="187"/>
      <c r="C612" s="213">
        <v>168605373</v>
      </c>
      <c r="F612" s="29" t="s">
        <v>191</v>
      </c>
      <c r="G612" s="3" t="s">
        <v>192</v>
      </c>
      <c r="H612" s="3" t="s">
        <v>30</v>
      </c>
      <c r="I612" s="55">
        <v>46190</v>
      </c>
      <c r="J612" s="55">
        <v>46193</v>
      </c>
      <c r="K612" s="55">
        <v>46220</v>
      </c>
      <c r="O612" s="3" t="s">
        <v>9</v>
      </c>
      <c r="R612" s="181"/>
    </row>
    <row r="613" spans="1:121" ht="15" customHeight="1">
      <c r="A613" s="177" t="s">
        <v>194</v>
      </c>
      <c r="B613" s="187"/>
      <c r="C613" s="213">
        <v>168605339</v>
      </c>
      <c r="F613" s="29" t="s">
        <v>191</v>
      </c>
      <c r="G613" s="3" t="s">
        <v>192</v>
      </c>
      <c r="H613" s="3" t="s">
        <v>30</v>
      </c>
      <c r="I613" s="55">
        <v>46190</v>
      </c>
      <c r="J613" s="55">
        <v>46193</v>
      </c>
      <c r="K613" s="55">
        <v>46220</v>
      </c>
      <c r="O613" s="3" t="s">
        <v>9</v>
      </c>
      <c r="R613" s="181"/>
    </row>
    <row r="614" spans="1:121" ht="15" customHeight="1">
      <c r="A614" s="187" t="s">
        <v>194</v>
      </c>
      <c r="B614" s="187"/>
      <c r="C614" s="213">
        <v>168605318</v>
      </c>
      <c r="D614" s="188"/>
      <c r="E614" s="188"/>
      <c r="F614" s="29" t="s">
        <v>191</v>
      </c>
      <c r="G614" s="45" t="s">
        <v>192</v>
      </c>
      <c r="H614" s="45" t="s">
        <v>30</v>
      </c>
      <c r="I614" s="59">
        <v>46190</v>
      </c>
      <c r="J614" s="59">
        <v>46193</v>
      </c>
      <c r="K614" s="59">
        <v>46220</v>
      </c>
      <c r="L614" s="45"/>
      <c r="M614" s="45"/>
      <c r="N614" s="45"/>
      <c r="O614" s="45" t="s">
        <v>9</v>
      </c>
      <c r="P614" s="45"/>
      <c r="Q614" s="189"/>
      <c r="R614" s="181"/>
    </row>
    <row r="615" spans="1:121" ht="15" customHeight="1">
      <c r="A615" s="166" t="s">
        <v>194</v>
      </c>
      <c r="C615" s="213">
        <v>168605266</v>
      </c>
      <c r="F615" s="29" t="s">
        <v>191</v>
      </c>
      <c r="G615" s="3" t="s">
        <v>192</v>
      </c>
      <c r="H615" s="3" t="s">
        <v>30</v>
      </c>
      <c r="I615" s="55">
        <v>46190</v>
      </c>
      <c r="J615" s="55">
        <v>46193</v>
      </c>
      <c r="K615" s="55">
        <v>46220</v>
      </c>
      <c r="O615" s="3" t="s">
        <v>9</v>
      </c>
      <c r="R615" s="194"/>
    </row>
    <row r="616" spans="1:121" ht="15" customHeight="1">
      <c r="A616" s="166" t="s">
        <v>194</v>
      </c>
      <c r="C616" s="213">
        <v>168605224</v>
      </c>
      <c r="F616" s="29" t="s">
        <v>191</v>
      </c>
      <c r="G616" s="3" t="s">
        <v>192</v>
      </c>
      <c r="H616" s="3" t="s">
        <v>30</v>
      </c>
      <c r="I616" s="55">
        <v>46190</v>
      </c>
      <c r="J616" s="55">
        <v>46193</v>
      </c>
      <c r="K616" s="55">
        <v>46220</v>
      </c>
      <c r="O616" s="3" t="s">
        <v>9</v>
      </c>
      <c r="R616" s="194"/>
    </row>
    <row r="617" spans="1:121" ht="15" customHeight="1">
      <c r="A617" s="166" t="s">
        <v>194</v>
      </c>
      <c r="C617" s="213">
        <v>168605167</v>
      </c>
      <c r="F617" s="29" t="s">
        <v>191</v>
      </c>
      <c r="G617" s="3" t="s">
        <v>192</v>
      </c>
      <c r="H617" s="3" t="s">
        <v>30</v>
      </c>
      <c r="I617" s="55">
        <v>46190</v>
      </c>
      <c r="J617" s="55">
        <v>46193</v>
      </c>
      <c r="K617" s="55">
        <v>46220</v>
      </c>
      <c r="O617" s="3" t="s">
        <v>9</v>
      </c>
      <c r="R617" s="194"/>
    </row>
    <row r="618" spans="1:121" ht="15" customHeight="1">
      <c r="A618" s="166" t="s">
        <v>194</v>
      </c>
      <c r="C618" s="213">
        <v>168605090</v>
      </c>
      <c r="F618" s="29" t="s">
        <v>191</v>
      </c>
      <c r="G618" s="3" t="s">
        <v>192</v>
      </c>
      <c r="H618" s="3" t="s">
        <v>30</v>
      </c>
      <c r="I618" s="55">
        <v>46190</v>
      </c>
      <c r="J618" s="55">
        <v>46193</v>
      </c>
      <c r="K618" s="55">
        <v>46220</v>
      </c>
      <c r="O618" s="3" t="s">
        <v>9</v>
      </c>
      <c r="R618" s="194"/>
    </row>
    <row r="619" spans="1:121" ht="15" customHeight="1">
      <c r="A619" s="166" t="s">
        <v>194</v>
      </c>
      <c r="C619" s="213">
        <v>168605878</v>
      </c>
      <c r="F619" s="29" t="s">
        <v>191</v>
      </c>
      <c r="G619" s="3" t="s">
        <v>192</v>
      </c>
      <c r="H619" s="3" t="s">
        <v>30</v>
      </c>
      <c r="I619" s="55">
        <v>46190</v>
      </c>
      <c r="J619" s="55">
        <v>46193</v>
      </c>
      <c r="K619" s="55">
        <v>46220</v>
      </c>
      <c r="O619" s="3" t="s">
        <v>9</v>
      </c>
      <c r="R619" s="194"/>
    </row>
    <row r="620" spans="1:121" ht="15" customHeight="1">
      <c r="A620" s="166" t="s">
        <v>194</v>
      </c>
      <c r="C620" s="213">
        <v>168605847</v>
      </c>
      <c r="F620" s="29" t="s">
        <v>191</v>
      </c>
      <c r="G620" s="3" t="s">
        <v>192</v>
      </c>
      <c r="H620" s="3" t="s">
        <v>30</v>
      </c>
      <c r="I620" s="55">
        <v>46190</v>
      </c>
      <c r="J620" s="55">
        <v>46193</v>
      </c>
      <c r="K620" s="55">
        <v>46220</v>
      </c>
      <c r="O620" s="3" t="s">
        <v>9</v>
      </c>
      <c r="R620" s="194"/>
    </row>
    <row r="621" spans="1:121" ht="15" customHeight="1">
      <c r="A621" s="166" t="s">
        <v>194</v>
      </c>
      <c r="C621" s="213">
        <v>168605769</v>
      </c>
      <c r="F621" s="29" t="s">
        <v>191</v>
      </c>
      <c r="G621" s="3" t="s">
        <v>192</v>
      </c>
      <c r="H621" s="3" t="s">
        <v>30</v>
      </c>
      <c r="I621" s="55">
        <v>46190</v>
      </c>
      <c r="J621" s="55">
        <v>46193</v>
      </c>
      <c r="K621" s="55">
        <v>46220</v>
      </c>
      <c r="O621" s="3" t="s">
        <v>9</v>
      </c>
      <c r="R621" s="194"/>
    </row>
    <row r="622" spans="1:121" ht="15" customHeight="1">
      <c r="A622" s="166" t="s">
        <v>195</v>
      </c>
      <c r="B622" s="166" t="s">
        <v>196</v>
      </c>
      <c r="C622" s="213">
        <v>167609280</v>
      </c>
      <c r="F622" s="29" t="s">
        <v>104</v>
      </c>
      <c r="G622" s="3" t="s">
        <v>163</v>
      </c>
      <c r="H622" s="3" t="s">
        <v>30</v>
      </c>
      <c r="I622" s="55">
        <v>46189</v>
      </c>
      <c r="J622" s="55">
        <v>46192</v>
      </c>
      <c r="K622" s="55">
        <v>46219</v>
      </c>
      <c r="O622" s="3" t="s">
        <v>9</v>
      </c>
      <c r="R622" s="194" t="s">
        <v>196</v>
      </c>
      <c r="S622" s="1" t="s">
        <v>196</v>
      </c>
      <c r="T622" s="1" t="s">
        <v>196</v>
      </c>
      <c r="U622" s="1" t="s">
        <v>196</v>
      </c>
      <c r="V622" s="1" t="s">
        <v>196</v>
      </c>
      <c r="W622" s="1" t="s">
        <v>196</v>
      </c>
      <c r="X622" s="1" t="s">
        <v>196</v>
      </c>
      <c r="Y622" s="1" t="s">
        <v>196</v>
      </c>
      <c r="Z622" s="1" t="s">
        <v>196</v>
      </c>
      <c r="AA622" s="1" t="s">
        <v>196</v>
      </c>
      <c r="AB622" s="1" t="s">
        <v>196</v>
      </c>
      <c r="AC622" s="1" t="s">
        <v>196</v>
      </c>
      <c r="AD622" s="1" t="s">
        <v>196</v>
      </c>
      <c r="AE622" s="1" t="s">
        <v>196</v>
      </c>
      <c r="AF622" s="1" t="s">
        <v>196</v>
      </c>
      <c r="AG622" s="1" t="s">
        <v>196</v>
      </c>
      <c r="AH622" s="1" t="s">
        <v>196</v>
      </c>
      <c r="AI622" s="1" t="s">
        <v>196</v>
      </c>
      <c r="AJ622" s="1" t="s">
        <v>196</v>
      </c>
      <c r="AK622" s="1" t="s">
        <v>196</v>
      </c>
      <c r="AL622" s="1" t="s">
        <v>196</v>
      </c>
      <c r="AM622" s="1" t="s">
        <v>196</v>
      </c>
      <c r="AN622" s="1" t="s">
        <v>196</v>
      </c>
      <c r="AO622" s="1" t="s">
        <v>196</v>
      </c>
      <c r="AP622" s="1" t="s">
        <v>196</v>
      </c>
      <c r="AQ622" s="1" t="s">
        <v>196</v>
      </c>
      <c r="AR622" s="1" t="s">
        <v>196</v>
      </c>
      <c r="AS622" s="1" t="s">
        <v>196</v>
      </c>
      <c r="AT622" s="1" t="s">
        <v>196</v>
      </c>
      <c r="AU622" s="1" t="s">
        <v>196</v>
      </c>
      <c r="AV622" s="1" t="s">
        <v>196</v>
      </c>
      <c r="AW622" s="1" t="s">
        <v>196</v>
      </c>
      <c r="AX622" s="1" t="s">
        <v>196</v>
      </c>
      <c r="AY622" s="1" t="s">
        <v>196</v>
      </c>
      <c r="AZ622" s="1" t="s">
        <v>196</v>
      </c>
      <c r="BA622" s="1" t="s">
        <v>196</v>
      </c>
      <c r="BB622" s="1" t="s">
        <v>196</v>
      </c>
      <c r="BC622" s="1" t="s">
        <v>196</v>
      </c>
      <c r="BD622" s="1" t="s">
        <v>196</v>
      </c>
      <c r="BE622" s="1" t="s">
        <v>196</v>
      </c>
      <c r="BF622" s="1" t="s">
        <v>196</v>
      </c>
      <c r="BG622" s="1" t="s">
        <v>196</v>
      </c>
      <c r="BH622" s="1" t="s">
        <v>196</v>
      </c>
      <c r="BI622" s="1" t="s">
        <v>196</v>
      </c>
      <c r="BJ622" s="1" t="s">
        <v>196</v>
      </c>
      <c r="BK622" s="1" t="s">
        <v>196</v>
      </c>
      <c r="BL622" s="1" t="s">
        <v>196</v>
      </c>
      <c r="BM622" s="1" t="s">
        <v>196</v>
      </c>
      <c r="BN622" s="1" t="s">
        <v>196</v>
      </c>
      <c r="BO622" s="1" t="s">
        <v>196</v>
      </c>
      <c r="BP622" s="1" t="s">
        <v>196</v>
      </c>
      <c r="BQ622" s="1" t="s">
        <v>196</v>
      </c>
      <c r="BR622" s="1" t="s">
        <v>196</v>
      </c>
      <c r="BS622" s="1" t="s">
        <v>196</v>
      </c>
      <c r="BT622" s="1" t="s">
        <v>196</v>
      </c>
      <c r="BU622" s="1" t="s">
        <v>196</v>
      </c>
      <c r="BV622" s="1" t="s">
        <v>196</v>
      </c>
      <c r="BW622" s="1" t="s">
        <v>196</v>
      </c>
      <c r="BX622" s="1" t="s">
        <v>196</v>
      </c>
      <c r="BY622" s="1" t="s">
        <v>196</v>
      </c>
      <c r="BZ622" s="1" t="s">
        <v>196</v>
      </c>
      <c r="CA622" s="1" t="s">
        <v>196</v>
      </c>
      <c r="CB622" s="1" t="s">
        <v>196</v>
      </c>
      <c r="CC622" s="1" t="s">
        <v>196</v>
      </c>
      <c r="CD622" s="1" t="s">
        <v>196</v>
      </c>
      <c r="CE622" s="1" t="s">
        <v>196</v>
      </c>
      <c r="CF622" s="1" t="s">
        <v>196</v>
      </c>
      <c r="CG622" s="1" t="s">
        <v>196</v>
      </c>
      <c r="CH622" s="1" t="s">
        <v>196</v>
      </c>
      <c r="CI622" s="1" t="s">
        <v>196</v>
      </c>
      <c r="CJ622" s="1" t="s">
        <v>196</v>
      </c>
      <c r="CK622" s="1" t="s">
        <v>196</v>
      </c>
      <c r="CL622" s="1" t="s">
        <v>196</v>
      </c>
      <c r="CM622" s="1" t="s">
        <v>196</v>
      </c>
      <c r="CN622" s="1" t="s">
        <v>196</v>
      </c>
      <c r="CO622" s="1" t="s">
        <v>196</v>
      </c>
      <c r="CP622" s="1" t="s">
        <v>196</v>
      </c>
      <c r="CQ622" s="1" t="s">
        <v>196</v>
      </c>
      <c r="CR622" s="1" t="s">
        <v>196</v>
      </c>
      <c r="CS622" s="1" t="s">
        <v>196</v>
      </c>
      <c r="CT622" s="1" t="s">
        <v>196</v>
      </c>
      <c r="CU622" s="1" t="s">
        <v>196</v>
      </c>
      <c r="CV622" s="1" t="s">
        <v>196</v>
      </c>
      <c r="CW622" s="1" t="s">
        <v>196</v>
      </c>
      <c r="CX622" s="1" t="s">
        <v>196</v>
      </c>
      <c r="CY622" s="1" t="s">
        <v>196</v>
      </c>
      <c r="CZ622" s="1" t="s">
        <v>196</v>
      </c>
      <c r="DA622" s="1" t="s">
        <v>196</v>
      </c>
      <c r="DB622" s="1" t="s">
        <v>196</v>
      </c>
      <c r="DC622" s="1" t="s">
        <v>196</v>
      </c>
      <c r="DD622" s="1" t="s">
        <v>196</v>
      </c>
      <c r="DE622" s="1" t="s">
        <v>196</v>
      </c>
      <c r="DF622" s="1" t="s">
        <v>196</v>
      </c>
      <c r="DG622" s="1" t="s">
        <v>196</v>
      </c>
      <c r="DH622" s="1" t="s">
        <v>196</v>
      </c>
      <c r="DI622" s="1" t="s">
        <v>196</v>
      </c>
      <c r="DJ622" s="1" t="s">
        <v>196</v>
      </c>
      <c r="DK622" s="1" t="s">
        <v>196</v>
      </c>
      <c r="DL622" s="1" t="s">
        <v>196</v>
      </c>
      <c r="DM622" s="1" t="s">
        <v>196</v>
      </c>
      <c r="DN622" s="1" t="s">
        <v>196</v>
      </c>
      <c r="DO622" s="1" t="s">
        <v>196</v>
      </c>
      <c r="DP622" s="1" t="s">
        <v>196</v>
      </c>
      <c r="DQ622" s="1" t="s">
        <v>196</v>
      </c>
    </row>
    <row r="623" spans="1:121" ht="15" customHeight="1">
      <c r="A623" s="166" t="s">
        <v>195</v>
      </c>
      <c r="B623" s="166" t="s">
        <v>196</v>
      </c>
      <c r="C623" s="213">
        <v>167609291</v>
      </c>
      <c r="F623" s="29" t="s">
        <v>104</v>
      </c>
      <c r="G623" s="3" t="s">
        <v>163</v>
      </c>
      <c r="H623" s="3" t="s">
        <v>30</v>
      </c>
      <c r="I623" s="55">
        <v>46189</v>
      </c>
      <c r="J623" s="55">
        <v>46192</v>
      </c>
      <c r="K623" s="55">
        <v>46219</v>
      </c>
      <c r="O623" s="3" t="s">
        <v>9</v>
      </c>
      <c r="R623" s="194"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197</v>
      </c>
      <c r="C624" s="213">
        <v>169604002</v>
      </c>
      <c r="F624" s="29" t="s">
        <v>178</v>
      </c>
      <c r="G624" s="3" t="s">
        <v>16</v>
      </c>
      <c r="H624" s="3" t="s">
        <v>179</v>
      </c>
      <c r="I624" s="55">
        <v>46196</v>
      </c>
      <c r="J624" s="55">
        <v>46198</v>
      </c>
      <c r="K624" s="55">
        <v>46223</v>
      </c>
      <c r="L624" s="55"/>
      <c r="O624" s="3" t="s">
        <v>9</v>
      </c>
      <c r="R624" s="194"/>
    </row>
    <row r="625" spans="1:18" ht="15" customHeight="1">
      <c r="A625" s="166" t="s">
        <v>197</v>
      </c>
      <c r="C625" s="213">
        <v>169604108</v>
      </c>
      <c r="F625" s="29" t="s">
        <v>178</v>
      </c>
      <c r="G625" s="3" t="s">
        <v>16</v>
      </c>
      <c r="H625" s="3" t="s">
        <v>179</v>
      </c>
      <c r="I625" s="55">
        <v>46196</v>
      </c>
      <c r="J625" s="55">
        <v>46198</v>
      </c>
      <c r="K625" s="55">
        <v>46223</v>
      </c>
      <c r="L625" s="55"/>
      <c r="O625" s="3" t="s">
        <v>9</v>
      </c>
      <c r="R625" s="194"/>
    </row>
    <row r="626" spans="1:18" ht="15" customHeight="1">
      <c r="A626" s="166" t="s">
        <v>197</v>
      </c>
      <c r="C626" s="213">
        <v>169604401</v>
      </c>
      <c r="F626" s="29" t="s">
        <v>178</v>
      </c>
      <c r="G626" s="3" t="s">
        <v>16</v>
      </c>
      <c r="H626" s="3" t="s">
        <v>179</v>
      </c>
      <c r="I626" s="55">
        <v>46196</v>
      </c>
      <c r="J626" s="55">
        <v>46198</v>
      </c>
      <c r="K626" s="55">
        <v>46223</v>
      </c>
      <c r="L626" s="55"/>
      <c r="O626" s="3" t="s">
        <v>9</v>
      </c>
      <c r="R626" s="194"/>
    </row>
    <row r="627" spans="1:18" ht="15" customHeight="1">
      <c r="A627" s="166" t="s">
        <v>197</v>
      </c>
      <c r="C627" s="213">
        <v>169604462</v>
      </c>
      <c r="F627" s="29" t="s">
        <v>178</v>
      </c>
      <c r="G627" s="3" t="s">
        <v>16</v>
      </c>
      <c r="H627" s="3" t="s">
        <v>179</v>
      </c>
      <c r="I627" s="55">
        <v>46196</v>
      </c>
      <c r="J627" s="55">
        <v>46198</v>
      </c>
      <c r="K627" s="55">
        <v>46223</v>
      </c>
      <c r="L627" s="55"/>
      <c r="O627" s="3" t="s">
        <v>9</v>
      </c>
      <c r="R627" s="194"/>
    </row>
    <row r="628" spans="1:18" ht="15" customHeight="1">
      <c r="A628" s="166" t="s">
        <v>197</v>
      </c>
      <c r="C628" s="213">
        <v>169604556</v>
      </c>
      <c r="F628" s="29" t="s">
        <v>178</v>
      </c>
      <c r="G628" s="3" t="s">
        <v>16</v>
      </c>
      <c r="H628" s="3" t="s">
        <v>179</v>
      </c>
      <c r="I628" s="55">
        <v>46196</v>
      </c>
      <c r="J628" s="55">
        <v>46198</v>
      </c>
      <c r="K628" s="55">
        <v>46223</v>
      </c>
      <c r="L628" s="55"/>
      <c r="O628" s="3" t="s">
        <v>9</v>
      </c>
      <c r="R628" s="194"/>
    </row>
    <row r="629" spans="1:18" ht="15" customHeight="1">
      <c r="A629" s="166" t="s">
        <v>197</v>
      </c>
      <c r="C629" s="213">
        <v>169604586</v>
      </c>
      <c r="F629" s="29" t="s">
        <v>178</v>
      </c>
      <c r="G629" s="3" t="s">
        <v>16</v>
      </c>
      <c r="H629" s="3" t="s">
        <v>179</v>
      </c>
      <c r="I629" s="55">
        <v>46196</v>
      </c>
      <c r="J629" s="55">
        <v>46198</v>
      </c>
      <c r="K629" s="55">
        <v>46223</v>
      </c>
      <c r="L629" s="55"/>
      <c r="O629" s="3" t="s">
        <v>9</v>
      </c>
      <c r="R629" s="194"/>
    </row>
    <row r="630" spans="1:18" ht="15" customHeight="1">
      <c r="I630" s="55"/>
      <c r="J630" s="55"/>
      <c r="K630" s="55"/>
      <c r="R630" s="194"/>
    </row>
    <row r="631" spans="1:18" ht="15" customHeight="1">
      <c r="I631" s="55"/>
      <c r="J631" s="55"/>
      <c r="K631" s="55"/>
      <c r="R631" s="194"/>
    </row>
    <row r="632" spans="1:18" ht="15" customHeight="1">
      <c r="I632" s="55"/>
      <c r="J632" s="55"/>
      <c r="K632" s="55"/>
      <c r="R632" s="194"/>
    </row>
    <row r="633" spans="1:18" ht="15" customHeight="1">
      <c r="I633" s="55"/>
      <c r="J633" s="55"/>
      <c r="K633" s="55"/>
      <c r="R633" s="194"/>
    </row>
    <row r="634" spans="1:18" ht="15" customHeight="1">
      <c r="I634" s="55"/>
      <c r="J634" s="55"/>
      <c r="K634" s="55"/>
      <c r="R634" s="194"/>
    </row>
    <row r="635" spans="1:18" ht="15" customHeight="1">
      <c r="I635" s="55"/>
      <c r="J635" s="55"/>
      <c r="K635" s="55"/>
      <c r="R635" s="194"/>
    </row>
    <row r="636" spans="1:18" ht="15" customHeight="1">
      <c r="I636" s="55"/>
      <c r="J636" s="55"/>
      <c r="K636" s="55"/>
      <c r="R636" s="194"/>
    </row>
    <row r="637" spans="1:18" ht="15" customHeight="1">
      <c r="I637" s="55"/>
      <c r="J637" s="55"/>
      <c r="K637" s="55"/>
      <c r="R637" s="194"/>
    </row>
    <row r="638" spans="1:18" ht="15" customHeight="1">
      <c r="I638" s="55"/>
      <c r="J638" s="55"/>
      <c r="K638" s="55"/>
      <c r="R638" s="194"/>
    </row>
    <row r="639" spans="1:18" ht="15" customHeight="1">
      <c r="I639" s="55"/>
      <c r="J639" s="55"/>
      <c r="K639" s="55"/>
      <c r="R639" s="194"/>
    </row>
    <row r="640" spans="1:18" ht="15" customHeight="1">
      <c r="I640" s="55"/>
      <c r="J640" s="55"/>
      <c r="K640" s="55"/>
      <c r="R640" s="194"/>
    </row>
    <row r="641" spans="9:18" ht="15" customHeight="1">
      <c r="I641" s="55"/>
      <c r="J641" s="55"/>
      <c r="K641" s="55"/>
      <c r="R641" s="194"/>
    </row>
    <row r="642" spans="9:18" ht="15" customHeight="1">
      <c r="I642" s="55"/>
      <c r="J642" s="55"/>
      <c r="K642" s="55"/>
      <c r="R642" s="194"/>
    </row>
    <row r="643" spans="9:18" ht="15" customHeight="1">
      <c r="I643" s="55"/>
      <c r="J643" s="55"/>
      <c r="K643" s="55"/>
      <c r="R643" s="194"/>
    </row>
    <row r="644" spans="9:18" ht="15" customHeight="1">
      <c r="I644" s="55"/>
      <c r="J644" s="55"/>
      <c r="K644" s="55"/>
      <c r="R644" s="194"/>
    </row>
    <row r="645" spans="9:18" ht="15" customHeight="1">
      <c r="I645" s="55"/>
      <c r="J645" s="55"/>
      <c r="K645" s="55"/>
      <c r="R645" s="194"/>
    </row>
    <row r="646" spans="9:18" ht="15" customHeight="1">
      <c r="I646" s="55"/>
      <c r="J646" s="55"/>
      <c r="K646" s="55"/>
      <c r="R646" s="194"/>
    </row>
    <row r="647" spans="9:18" ht="15" customHeight="1">
      <c r="I647" s="55"/>
      <c r="J647" s="55"/>
      <c r="K647" s="55"/>
      <c r="R647" s="194"/>
    </row>
    <row r="648" spans="9:18" ht="15" customHeight="1">
      <c r="I648" s="55"/>
      <c r="J648" s="55"/>
      <c r="K648" s="55"/>
      <c r="R648" s="194"/>
    </row>
    <row r="649" spans="9:18" ht="15" customHeight="1">
      <c r="I649" s="55"/>
      <c r="J649" s="55"/>
      <c r="K649" s="55"/>
      <c r="R649" s="194"/>
    </row>
    <row r="650" spans="9:18" ht="15" customHeight="1">
      <c r="I650" s="55"/>
      <c r="J650" s="55"/>
      <c r="K650" s="55"/>
      <c r="R650" s="194"/>
    </row>
    <row r="651" spans="9:18" ht="15" customHeight="1">
      <c r="I651" s="55"/>
      <c r="J651" s="55"/>
      <c r="K651" s="55"/>
      <c r="R651" s="194"/>
    </row>
    <row r="652" spans="9:18" ht="15" customHeight="1">
      <c r="I652" s="55"/>
      <c r="J652" s="55"/>
      <c r="K652" s="55"/>
      <c r="R652" s="194"/>
    </row>
    <row r="653" spans="9:18" ht="15" customHeight="1">
      <c r="I653" s="55"/>
      <c r="J653" s="55"/>
      <c r="K653" s="55"/>
      <c r="R653" s="194"/>
    </row>
    <row r="654" spans="9:18" ht="15" customHeight="1">
      <c r="I654" s="55"/>
      <c r="J654" s="55"/>
      <c r="K654" s="55"/>
      <c r="R654" s="194"/>
    </row>
    <row r="655" spans="9:18" ht="15" customHeight="1">
      <c r="I655" s="55"/>
      <c r="J655" s="55"/>
      <c r="K655" s="55"/>
      <c r="R655" s="194"/>
    </row>
    <row r="656" spans="9:18" ht="15" customHeight="1">
      <c r="I656" s="55"/>
      <c r="J656" s="55"/>
      <c r="K656" s="55"/>
      <c r="R656" s="194"/>
    </row>
    <row r="657" spans="9:18" ht="15" customHeight="1">
      <c r="I657" s="55"/>
      <c r="J657" s="55"/>
      <c r="K657" s="55"/>
      <c r="R657" s="194"/>
    </row>
    <row r="658" spans="9:18" ht="15" customHeight="1">
      <c r="I658" s="55"/>
      <c r="J658" s="55"/>
      <c r="K658" s="55"/>
      <c r="R658" s="194"/>
    </row>
    <row r="659" spans="9:18" ht="15" customHeight="1">
      <c r="I659" s="55"/>
      <c r="J659" s="55"/>
      <c r="K659" s="55"/>
      <c r="R659" s="194"/>
    </row>
    <row r="660" spans="9:18" ht="15" customHeight="1">
      <c r="I660" s="55"/>
      <c r="J660" s="55"/>
      <c r="K660" s="55"/>
      <c r="R660" s="194"/>
    </row>
    <row r="661" spans="9:18" ht="15" customHeight="1">
      <c r="I661" s="55"/>
      <c r="J661" s="55"/>
      <c r="K661" s="55"/>
      <c r="R661" s="194"/>
    </row>
    <row r="662" spans="9:18" ht="15" customHeight="1">
      <c r="I662" s="55"/>
      <c r="J662" s="55"/>
      <c r="K662" s="55"/>
      <c r="R662" s="194"/>
    </row>
    <row r="663" spans="9:18" ht="15" customHeight="1">
      <c r="I663" s="55"/>
      <c r="J663" s="55"/>
      <c r="K663" s="55"/>
      <c r="R663" s="194"/>
    </row>
    <row r="664" spans="9:18" ht="15" customHeight="1">
      <c r="I664" s="55"/>
      <c r="J664" s="55"/>
      <c r="K664" s="55"/>
      <c r="R664" s="194"/>
    </row>
    <row r="665" spans="9:18" ht="15" customHeight="1">
      <c r="I665" s="55"/>
      <c r="J665" s="55"/>
      <c r="K665" s="55"/>
      <c r="R665" s="194"/>
    </row>
    <row r="666" spans="9:18" ht="15" customHeight="1">
      <c r="I666" s="55"/>
      <c r="J666" s="55"/>
      <c r="K666" s="55"/>
      <c r="R666" s="194"/>
    </row>
    <row r="667" spans="9:18" ht="15" customHeight="1">
      <c r="I667" s="55"/>
      <c r="J667" s="55"/>
      <c r="K667" s="55"/>
      <c r="R667" s="194"/>
    </row>
    <row r="668" spans="9:18" ht="15" customHeight="1">
      <c r="I668" s="55"/>
      <c r="J668" s="55"/>
      <c r="K668" s="55"/>
      <c r="R668" s="194"/>
    </row>
    <row r="669" spans="9:18" ht="15" customHeight="1">
      <c r="I669" s="55"/>
      <c r="J669" s="55"/>
      <c r="K669" s="55"/>
      <c r="R669" s="194"/>
    </row>
    <row r="670" spans="9:18" ht="15" customHeight="1">
      <c r="I670" s="55"/>
      <c r="J670" s="55"/>
      <c r="K670" s="55"/>
      <c r="R670" s="194"/>
    </row>
    <row r="671" spans="9:18" ht="15" customHeight="1">
      <c r="I671" s="55"/>
      <c r="J671" s="55"/>
      <c r="K671" s="55"/>
      <c r="R671" s="194"/>
    </row>
    <row r="672" spans="9:18" ht="15" customHeight="1">
      <c r="I672" s="55"/>
      <c r="J672" s="55"/>
      <c r="K672" s="55"/>
      <c r="R672" s="194"/>
    </row>
    <row r="673" spans="9:18" ht="15" customHeight="1">
      <c r="I673" s="55"/>
      <c r="J673" s="55"/>
      <c r="K673" s="55"/>
      <c r="R673" s="194"/>
    </row>
    <row r="674" spans="9:18" ht="15" customHeight="1">
      <c r="I674" s="55"/>
      <c r="J674" s="55"/>
      <c r="K674" s="55"/>
      <c r="R674" s="194"/>
    </row>
    <row r="675" spans="9:18" ht="15" customHeight="1">
      <c r="I675" s="55"/>
      <c r="J675" s="55"/>
      <c r="K675" s="55"/>
      <c r="R675" s="194"/>
    </row>
    <row r="676" spans="9:18" ht="15" customHeight="1">
      <c r="I676" s="55"/>
      <c r="J676" s="55"/>
      <c r="K676" s="55"/>
      <c r="R676" s="194"/>
    </row>
    <row r="677" spans="9:18" ht="15" customHeight="1">
      <c r="I677" s="55"/>
      <c r="J677" s="55"/>
      <c r="K677" s="55"/>
      <c r="R677" s="194"/>
    </row>
    <row r="678" spans="9:18" ht="15" customHeight="1">
      <c r="I678" s="55"/>
      <c r="J678" s="55"/>
      <c r="K678" s="55"/>
      <c r="R678" s="194"/>
    </row>
    <row r="679" spans="9:18" ht="15" customHeight="1">
      <c r="I679" s="55"/>
      <c r="J679" s="55"/>
      <c r="K679" s="55"/>
      <c r="R679" s="194"/>
    </row>
    <row r="680" spans="9:18" ht="15" customHeight="1">
      <c r="I680" s="55"/>
      <c r="J680" s="55"/>
      <c r="K680" s="55"/>
      <c r="R680" s="194"/>
    </row>
    <row r="681" spans="9:18" ht="15" customHeight="1">
      <c r="I681" s="55"/>
      <c r="J681" s="55"/>
      <c r="K681" s="55"/>
      <c r="R681" s="194"/>
    </row>
    <row r="682" spans="9:18" ht="15" customHeight="1">
      <c r="I682" s="55"/>
      <c r="J682" s="55"/>
      <c r="K682" s="55"/>
      <c r="R682" s="194"/>
    </row>
    <row r="683" spans="9:18" ht="15" customHeight="1">
      <c r="I683" s="55"/>
      <c r="J683" s="55"/>
      <c r="K683" s="55"/>
      <c r="R683" s="194"/>
    </row>
    <row r="684" spans="9:18" ht="15" customHeight="1">
      <c r="I684" s="55"/>
      <c r="J684" s="55"/>
      <c r="K684" s="55"/>
      <c r="R684" s="194"/>
    </row>
    <row r="685" spans="9:18" ht="15" customHeight="1">
      <c r="I685" s="55"/>
      <c r="J685" s="55"/>
      <c r="K685" s="55"/>
      <c r="R685" s="194"/>
    </row>
    <row r="686" spans="9:18" ht="15" customHeight="1">
      <c r="I686" s="55"/>
      <c r="J686" s="55"/>
      <c r="K686" s="55"/>
      <c r="R686" s="194"/>
    </row>
    <row r="687" spans="9:18" ht="15" customHeight="1">
      <c r="I687" s="55"/>
      <c r="J687" s="55"/>
      <c r="K687" s="55"/>
      <c r="R687" s="194"/>
    </row>
    <row r="688" spans="9:18" ht="15" customHeight="1">
      <c r="I688" s="55"/>
      <c r="J688" s="55"/>
      <c r="K688" s="55"/>
      <c r="R688" s="194"/>
    </row>
    <row r="689" spans="1:18" ht="15" customHeight="1">
      <c r="I689" s="55"/>
      <c r="J689" s="55"/>
      <c r="K689" s="55"/>
      <c r="R689" s="194"/>
    </row>
    <row r="690" spans="1:18" ht="15" customHeight="1">
      <c r="I690" s="55"/>
      <c r="J690" s="55"/>
      <c r="K690" s="55"/>
      <c r="R690" s="194"/>
    </row>
    <row r="691" spans="1:18" ht="15" customHeight="1">
      <c r="A691" s="177"/>
      <c r="B691" s="177"/>
      <c r="R691" s="181"/>
    </row>
    <row r="692" spans="1:18" ht="15" customHeight="1">
      <c r="A692" s="177"/>
      <c r="B692" s="177"/>
      <c r="R692" s="181"/>
    </row>
    <row r="693" spans="1:18" ht="15" customHeight="1">
      <c r="A693" s="177"/>
      <c r="B693" s="177"/>
      <c r="R693" s="181"/>
    </row>
    <row r="694" spans="1:18" ht="15" customHeight="1">
      <c r="A694" s="177"/>
      <c r="B694" s="177"/>
      <c r="R694" s="181"/>
    </row>
    <row r="695" spans="1:18" ht="15" customHeight="1">
      <c r="A695" s="177"/>
      <c r="B695" s="177"/>
      <c r="R695" s="181"/>
    </row>
    <row r="696" spans="1:18" ht="15" customHeight="1">
      <c r="A696" s="177"/>
      <c r="B696" s="177"/>
      <c r="R696" s="181"/>
    </row>
    <row r="697" spans="1:18" ht="15" customHeight="1">
      <c r="A697" s="177"/>
      <c r="B697" s="177"/>
      <c r="R697" s="181"/>
    </row>
    <row r="698" spans="1:18" ht="15" customHeight="1">
      <c r="A698" s="177"/>
      <c r="B698" s="177"/>
      <c r="R698" s="181"/>
    </row>
    <row r="699" spans="1:18" ht="15" customHeight="1">
      <c r="A699" s="177"/>
      <c r="B699" s="177"/>
      <c r="R699" s="181"/>
    </row>
    <row r="700" spans="1:18" ht="15" customHeight="1">
      <c r="A700" s="177"/>
      <c r="B700" s="177"/>
      <c r="R700" s="181"/>
    </row>
    <row r="701" spans="1:18" ht="15" customHeight="1">
      <c r="A701" s="177"/>
      <c r="B701" s="177"/>
      <c r="R701" s="181"/>
    </row>
    <row r="702" spans="1:18" ht="15" customHeight="1">
      <c r="A702" s="177"/>
      <c r="B702" s="177"/>
      <c r="R702" s="181"/>
    </row>
    <row r="703" spans="1:18" ht="15" customHeight="1">
      <c r="A703" s="177"/>
      <c r="B703" s="177"/>
      <c r="R703" s="181"/>
    </row>
    <row r="704" spans="1:18" ht="15" customHeight="1">
      <c r="A704" s="177"/>
      <c r="B704" s="177"/>
      <c r="R704" s="181"/>
    </row>
    <row r="705" spans="1:18" ht="15" customHeight="1">
      <c r="A705" s="177"/>
      <c r="B705" s="177"/>
      <c r="R705" s="181"/>
    </row>
    <row r="706" spans="1:18" ht="15" customHeight="1">
      <c r="A706" s="177"/>
      <c r="B706" s="177"/>
      <c r="R706" s="181"/>
    </row>
    <row r="707" spans="1:18" ht="15" customHeight="1">
      <c r="A707" s="177"/>
      <c r="B707" s="177"/>
      <c r="R707" s="181"/>
    </row>
    <row r="708" spans="1:18" ht="15" customHeight="1">
      <c r="A708" s="177"/>
      <c r="B708" s="177"/>
      <c r="R708" s="181"/>
    </row>
    <row r="709" spans="1:18" ht="15" customHeight="1">
      <c r="A709" s="177"/>
      <c r="B709" s="177"/>
      <c r="R709" s="181"/>
    </row>
    <row r="710" spans="1:18" ht="15" customHeight="1">
      <c r="A710" s="177"/>
      <c r="B710" s="177"/>
      <c r="R710" s="181"/>
    </row>
    <row r="711" spans="1:18" ht="15" customHeight="1">
      <c r="A711" s="177"/>
      <c r="B711" s="177"/>
      <c r="R711" s="181"/>
    </row>
    <row r="712" spans="1:18" ht="15" customHeight="1">
      <c r="A712" s="177"/>
      <c r="B712" s="177"/>
      <c r="R712" s="181"/>
    </row>
    <row r="713" spans="1:18" ht="15" customHeight="1">
      <c r="A713" s="177"/>
      <c r="B713" s="177"/>
      <c r="R713" s="181"/>
    </row>
    <row r="714" spans="1:18" ht="15" customHeight="1">
      <c r="A714" s="177"/>
      <c r="B714" s="177"/>
      <c r="R714" s="181"/>
    </row>
    <row r="715" spans="1:18" ht="15" customHeight="1">
      <c r="A715" s="177"/>
      <c r="B715" s="177"/>
      <c r="R715" s="181"/>
    </row>
    <row r="716" spans="1:18" ht="15" customHeight="1">
      <c r="A716" s="177"/>
      <c r="B716" s="177"/>
      <c r="R716" s="181"/>
    </row>
    <row r="717" spans="1:18" ht="15" customHeight="1">
      <c r="A717" s="177"/>
      <c r="B717" s="177"/>
      <c r="R717" s="181"/>
    </row>
    <row r="718" spans="1:18" ht="15" customHeight="1">
      <c r="A718" s="177"/>
      <c r="B718" s="177"/>
      <c r="R718" s="181"/>
    </row>
    <row r="719" spans="1:18" ht="15" customHeight="1">
      <c r="A719" s="177"/>
      <c r="B719" s="177"/>
      <c r="R719" s="181"/>
    </row>
    <row r="720" spans="1:18" ht="15" customHeight="1">
      <c r="A720" s="177"/>
      <c r="B720" s="177"/>
      <c r="R720" s="181"/>
    </row>
    <row r="721" spans="1:18" ht="15" customHeight="1">
      <c r="A721" s="177"/>
      <c r="B721" s="177"/>
      <c r="R721" s="181"/>
    </row>
    <row r="722" spans="1:18" ht="15" customHeight="1">
      <c r="A722" s="177"/>
      <c r="B722" s="177"/>
      <c r="R722" s="181"/>
    </row>
    <row r="723" spans="1:18" ht="15" customHeight="1">
      <c r="A723" s="177"/>
      <c r="B723" s="177"/>
      <c r="R723" s="181"/>
    </row>
    <row r="724" spans="1:18" ht="15" customHeight="1">
      <c r="A724" s="177"/>
      <c r="B724" s="177"/>
      <c r="R724" s="181"/>
    </row>
    <row r="725" spans="1:18" ht="15" customHeight="1">
      <c r="A725" s="177"/>
      <c r="B725" s="177"/>
      <c r="R725" s="181"/>
    </row>
    <row r="726" spans="1:18" ht="15" customHeight="1">
      <c r="A726" s="177"/>
      <c r="B726" s="177"/>
      <c r="R726" s="181"/>
    </row>
    <row r="727" spans="1:18" ht="15" customHeight="1">
      <c r="A727" s="177"/>
      <c r="B727" s="177"/>
      <c r="R727" s="181"/>
    </row>
    <row r="728" spans="1:18" ht="15" customHeight="1">
      <c r="A728" s="177"/>
      <c r="B728" s="177"/>
      <c r="R728" s="181"/>
    </row>
    <row r="729" spans="1:18" ht="15" customHeight="1">
      <c r="A729" s="177"/>
      <c r="B729" s="177"/>
      <c r="R729" s="181"/>
    </row>
    <row r="730" spans="1:18" ht="15" customHeight="1">
      <c r="A730" s="177"/>
      <c r="B730" s="177"/>
      <c r="R730" s="181"/>
    </row>
    <row r="731" spans="1:18" ht="15" customHeight="1">
      <c r="A731" s="177"/>
      <c r="B731" s="177"/>
      <c r="R731" s="181"/>
    </row>
    <row r="732" spans="1:18" ht="15" customHeight="1">
      <c r="A732" s="177"/>
      <c r="B732" s="177"/>
      <c r="R732" s="181"/>
    </row>
    <row r="733" spans="1:18" ht="15" customHeight="1">
      <c r="A733" s="177"/>
      <c r="B733" s="177"/>
      <c r="R733" s="181"/>
    </row>
    <row r="734" spans="1:18" ht="15" customHeight="1">
      <c r="A734" s="177"/>
      <c r="B734" s="177"/>
      <c r="R734" s="181"/>
    </row>
    <row r="735" spans="1:18" ht="15" customHeight="1">
      <c r="A735" s="177"/>
      <c r="B735" s="177"/>
      <c r="R735" s="181"/>
    </row>
    <row r="736" spans="1:18" ht="15" customHeight="1">
      <c r="A736" s="177"/>
      <c r="B736" s="177"/>
      <c r="R736" s="181"/>
    </row>
    <row r="737" spans="1:18" ht="15" customHeight="1">
      <c r="A737" s="177"/>
      <c r="B737" s="177"/>
      <c r="R737" s="181"/>
    </row>
    <row r="738" spans="1:18" ht="15" customHeight="1">
      <c r="A738" s="177"/>
      <c r="B738" s="177"/>
      <c r="R738" s="181"/>
    </row>
    <row r="739" spans="1:18" ht="15" customHeight="1">
      <c r="A739" s="177"/>
      <c r="B739" s="177"/>
      <c r="R739" s="181"/>
    </row>
    <row r="740" spans="1:18" ht="15" customHeight="1">
      <c r="A740" s="177"/>
      <c r="B740" s="177"/>
      <c r="R740" s="181"/>
    </row>
    <row r="741" spans="1:18" ht="15" customHeight="1">
      <c r="A741" s="177"/>
      <c r="B741" s="177"/>
      <c r="R741" s="181"/>
    </row>
    <row r="742" spans="1:18" ht="15" customHeight="1">
      <c r="A742" s="177"/>
      <c r="B742" s="177"/>
      <c r="R742" s="181"/>
    </row>
    <row r="743" spans="1:18" ht="15" customHeight="1">
      <c r="A743" s="177"/>
      <c r="B743" s="177"/>
      <c r="R743" s="181"/>
    </row>
    <row r="744" spans="1:18" ht="15" customHeight="1">
      <c r="A744" s="177"/>
      <c r="B744" s="177"/>
      <c r="R744" s="181"/>
    </row>
    <row r="745" spans="1:18" ht="15" customHeight="1">
      <c r="A745" s="177"/>
      <c r="B745" s="177"/>
      <c r="R745" s="181"/>
    </row>
    <row r="746" spans="1:18" ht="15" customHeight="1">
      <c r="A746" s="177"/>
      <c r="B746" s="177"/>
      <c r="R746" s="181"/>
    </row>
    <row r="747" spans="1:18" ht="15" customHeight="1">
      <c r="A747" s="177"/>
      <c r="B747" s="177"/>
      <c r="R747" s="181"/>
    </row>
    <row r="748" spans="1:18" ht="15" customHeight="1">
      <c r="A748" s="177"/>
      <c r="B748" s="177"/>
      <c r="R748" s="181"/>
    </row>
    <row r="749" spans="1:18" ht="15" customHeight="1">
      <c r="A749" s="177"/>
      <c r="B749" s="177"/>
      <c r="R749" s="181"/>
    </row>
    <row r="750" spans="1:18" ht="15" customHeight="1">
      <c r="A750" s="177"/>
      <c r="B750" s="177"/>
      <c r="R750" s="181"/>
    </row>
    <row r="751" spans="1:18" ht="15" customHeight="1">
      <c r="A751" s="177"/>
      <c r="B751" s="177"/>
      <c r="R751" s="181"/>
    </row>
    <row r="752" spans="1:18" ht="15" customHeight="1">
      <c r="A752" s="177"/>
      <c r="B752" s="177"/>
      <c r="R752" s="181"/>
    </row>
    <row r="753" spans="1:18" ht="15" customHeight="1">
      <c r="A753" s="177"/>
      <c r="B753" s="177"/>
      <c r="R753" s="181"/>
    </row>
    <row r="754" spans="1:18" ht="15" customHeight="1">
      <c r="A754" s="177"/>
      <c r="B754" s="177"/>
      <c r="R754" s="181"/>
    </row>
    <row r="755" spans="1:18" ht="15" customHeight="1">
      <c r="A755" s="177"/>
      <c r="B755" s="177"/>
      <c r="R755" s="181"/>
    </row>
    <row r="756" spans="1:18" ht="15" customHeight="1">
      <c r="A756" s="177"/>
      <c r="B756" s="177"/>
      <c r="R756" s="181"/>
    </row>
    <row r="757" spans="1:18" ht="15" customHeight="1">
      <c r="A757" s="177"/>
      <c r="B757" s="177"/>
      <c r="R757" s="181"/>
    </row>
    <row r="758" spans="1:18" ht="15" customHeight="1">
      <c r="A758" s="177"/>
      <c r="B758" s="177"/>
      <c r="R758" s="181"/>
    </row>
    <row r="759" spans="1:18" ht="15" customHeight="1">
      <c r="A759" s="177"/>
      <c r="B759" s="177"/>
      <c r="R759" s="181"/>
    </row>
    <row r="760" spans="1:18" ht="15" customHeight="1">
      <c r="A760" s="177"/>
      <c r="B760" s="177"/>
      <c r="R760" s="181"/>
    </row>
    <row r="761" spans="1:18" ht="15" customHeight="1">
      <c r="A761" s="177"/>
      <c r="B761" s="177"/>
      <c r="R761" s="181"/>
    </row>
    <row r="762" spans="1:18" ht="15" customHeight="1">
      <c r="A762" s="177"/>
      <c r="B762" s="177"/>
      <c r="R762" s="181"/>
    </row>
    <row r="763" spans="1:18" ht="15" customHeight="1">
      <c r="A763" s="177"/>
      <c r="B763" s="177"/>
      <c r="R763" s="181"/>
    </row>
    <row r="764" spans="1:18" ht="15" customHeight="1">
      <c r="A764" s="177"/>
      <c r="B764" s="177"/>
      <c r="R764" s="181"/>
    </row>
    <row r="765" spans="1:18" ht="15" customHeight="1">
      <c r="A765" s="177"/>
      <c r="B765" s="177"/>
      <c r="R765" s="181"/>
    </row>
    <row r="766" spans="1:18" ht="15" customHeight="1">
      <c r="A766" s="177"/>
      <c r="B766" s="177"/>
      <c r="R766" s="181"/>
    </row>
    <row r="767" spans="1:18" ht="15" customHeight="1">
      <c r="A767" s="177"/>
      <c r="B767" s="177"/>
      <c r="R767" s="181"/>
    </row>
    <row r="768" spans="1:18" ht="15" customHeight="1">
      <c r="A768" s="177"/>
      <c r="B768" s="177"/>
      <c r="R768" s="181"/>
    </row>
    <row r="769" spans="1:18" ht="15" customHeight="1">
      <c r="A769" s="177"/>
      <c r="B769" s="177"/>
      <c r="R769" s="181"/>
    </row>
    <row r="770" spans="1:18" ht="15" customHeight="1">
      <c r="A770" s="177"/>
      <c r="B770" s="177"/>
      <c r="R770" s="181"/>
    </row>
    <row r="771" spans="1:18" ht="15" customHeight="1">
      <c r="A771" s="177"/>
      <c r="B771" s="177"/>
      <c r="R771" s="181"/>
    </row>
    <row r="772" spans="1:18" ht="15" customHeight="1">
      <c r="A772" s="177"/>
      <c r="B772" s="177"/>
      <c r="R772" s="181"/>
    </row>
    <row r="773" spans="1:18" ht="15" customHeight="1">
      <c r="A773" s="177"/>
      <c r="B773" s="177"/>
      <c r="R773" s="181"/>
    </row>
    <row r="774" spans="1:18" ht="15" customHeight="1">
      <c r="A774" s="177"/>
      <c r="B774" s="177"/>
      <c r="R774" s="181"/>
    </row>
    <row r="775" spans="1:18" ht="15" customHeight="1">
      <c r="A775" s="177"/>
      <c r="B775" s="177"/>
      <c r="R775" s="181"/>
    </row>
    <row r="776" spans="1:18" ht="15" customHeight="1">
      <c r="A776" s="177"/>
      <c r="B776" s="177"/>
      <c r="R776" s="181"/>
    </row>
    <row r="777" spans="1:18" ht="15" customHeight="1">
      <c r="A777" s="177"/>
      <c r="B777" s="177"/>
      <c r="R777" s="181"/>
    </row>
    <row r="778" spans="1:18" ht="15" customHeight="1">
      <c r="A778" s="177"/>
      <c r="B778" s="177"/>
      <c r="R778" s="181"/>
    </row>
    <row r="779" spans="1:18" ht="15" customHeight="1">
      <c r="A779" s="177"/>
      <c r="B779" s="177"/>
      <c r="R779" s="181"/>
    </row>
    <row r="780" spans="1:18" ht="15" customHeight="1">
      <c r="A780" s="177"/>
      <c r="B780" s="177"/>
      <c r="R780" s="181"/>
    </row>
    <row r="781" spans="1:18" ht="15" customHeight="1">
      <c r="A781" s="177"/>
      <c r="B781" s="177"/>
      <c r="R781" s="181"/>
    </row>
    <row r="782" spans="1:18" ht="15" customHeight="1">
      <c r="A782" s="177"/>
      <c r="B782" s="177"/>
      <c r="R782" s="181"/>
    </row>
    <row r="783" spans="1:18" ht="15" customHeight="1">
      <c r="A783" s="177"/>
      <c r="B783" s="177"/>
      <c r="R783" s="181"/>
    </row>
    <row r="784" spans="1:18" ht="15" customHeight="1">
      <c r="A784" s="177"/>
      <c r="B784" s="177"/>
      <c r="R784" s="181"/>
    </row>
    <row r="785" spans="1:18" ht="15" customHeight="1">
      <c r="A785" s="177"/>
      <c r="B785" s="177"/>
      <c r="R785" s="181"/>
    </row>
    <row r="786" spans="1:18" ht="15" customHeight="1">
      <c r="A786" s="177"/>
      <c r="B786" s="177"/>
      <c r="R786" s="181"/>
    </row>
    <row r="787" spans="1:18" ht="15" customHeight="1">
      <c r="A787" s="177"/>
      <c r="B787" s="177"/>
      <c r="R787" s="181"/>
    </row>
    <row r="788" spans="1:18" ht="15" customHeight="1">
      <c r="A788" s="177"/>
      <c r="B788" s="177"/>
      <c r="R788" s="181"/>
    </row>
    <row r="789" spans="1:18" ht="15" customHeight="1">
      <c r="A789" s="177"/>
      <c r="B789" s="177"/>
      <c r="R789" s="181"/>
    </row>
    <row r="790" spans="1:18" ht="15" customHeight="1">
      <c r="A790" s="177"/>
      <c r="B790" s="177"/>
      <c r="R790" s="181"/>
    </row>
    <row r="791" spans="1:18" ht="15" customHeight="1">
      <c r="A791" s="177"/>
      <c r="B791" s="177"/>
      <c r="R791" s="181"/>
    </row>
    <row r="792" spans="1:18" ht="15" customHeight="1">
      <c r="A792" s="177"/>
      <c r="B792" s="177"/>
      <c r="R792" s="181"/>
    </row>
    <row r="793" spans="1:18" ht="15" customHeight="1">
      <c r="A793" s="177"/>
      <c r="B793" s="177"/>
      <c r="R793" s="181"/>
    </row>
    <row r="794" spans="1:18" ht="15" customHeight="1">
      <c r="A794" s="177"/>
      <c r="B794" s="177"/>
      <c r="R794" s="181"/>
    </row>
    <row r="795" spans="1:18" ht="15" customHeight="1">
      <c r="A795" s="177"/>
      <c r="B795" s="177"/>
      <c r="R795" s="181"/>
    </row>
    <row r="796" spans="1:18" ht="15" customHeight="1">
      <c r="A796" s="177"/>
      <c r="B796" s="177"/>
      <c r="R796" s="181"/>
    </row>
    <row r="797" spans="1:18" ht="15" customHeight="1">
      <c r="A797" s="177"/>
      <c r="B797" s="177"/>
      <c r="R797" s="181"/>
    </row>
    <row r="798" spans="1:18" ht="15" customHeight="1">
      <c r="A798" s="177"/>
      <c r="B798" s="177"/>
      <c r="R798" s="181"/>
    </row>
    <row r="799" spans="1:18" ht="15" customHeight="1">
      <c r="A799" s="177"/>
      <c r="B799" s="177"/>
      <c r="R799" s="181"/>
    </row>
    <row r="800" spans="1:18" ht="15" customHeight="1">
      <c r="A800" s="177"/>
      <c r="B800" s="177"/>
      <c r="R800" s="181"/>
    </row>
    <row r="801" spans="1:18" ht="15" customHeight="1">
      <c r="A801" s="177"/>
      <c r="B801" s="177"/>
      <c r="R801" s="181"/>
    </row>
    <row r="802" spans="1:18" ht="15" customHeight="1">
      <c r="A802" s="177"/>
      <c r="B802" s="177"/>
      <c r="R802" s="181"/>
    </row>
    <row r="803" spans="1:18" ht="15" customHeight="1">
      <c r="A803" s="177"/>
      <c r="B803" s="177"/>
      <c r="R803" s="181"/>
    </row>
    <row r="804" spans="1:18" ht="15" customHeight="1">
      <c r="A804" s="177"/>
      <c r="B804" s="177"/>
      <c r="R804" s="181"/>
    </row>
    <row r="805" spans="1:18" ht="15" customHeight="1">
      <c r="A805" s="177"/>
      <c r="B805" s="177"/>
      <c r="R805" s="181"/>
    </row>
    <row r="806" spans="1:18" ht="15" customHeight="1">
      <c r="A806" s="177"/>
      <c r="B806" s="177"/>
      <c r="R806" s="181"/>
    </row>
    <row r="807" spans="1:18" ht="15" customHeight="1">
      <c r="A807" s="177"/>
      <c r="B807" s="177"/>
      <c r="R807" s="181"/>
    </row>
    <row r="808" spans="1:18" ht="15" customHeight="1">
      <c r="A808" s="177"/>
      <c r="B808" s="177"/>
      <c r="R808" s="181"/>
    </row>
    <row r="809" spans="1:18" ht="15" customHeight="1">
      <c r="A809" s="177"/>
      <c r="B809" s="177"/>
      <c r="R809" s="181"/>
    </row>
    <row r="810" spans="1:18" ht="15" customHeight="1">
      <c r="A810" s="177"/>
      <c r="B810" s="177"/>
      <c r="R810" s="181"/>
    </row>
    <row r="811" spans="1:18" ht="15" customHeight="1">
      <c r="A811" s="177"/>
      <c r="B811" s="177"/>
      <c r="R811" s="181"/>
    </row>
    <row r="812" spans="1:18" ht="15" customHeight="1">
      <c r="A812" s="177"/>
      <c r="B812" s="177"/>
      <c r="R812" s="181"/>
    </row>
    <row r="813" spans="1:18" ht="15" customHeight="1">
      <c r="A813" s="177"/>
      <c r="B813" s="177"/>
      <c r="R813" s="181"/>
    </row>
    <row r="814" spans="1:18" ht="15" customHeight="1">
      <c r="A814" s="177"/>
      <c r="B814" s="177"/>
      <c r="R814" s="181"/>
    </row>
    <row r="815" spans="1:18" ht="15" customHeight="1">
      <c r="A815" s="177"/>
      <c r="B815" s="177"/>
      <c r="R815" s="181"/>
    </row>
    <row r="816" spans="1:18" ht="15" customHeight="1">
      <c r="A816" s="177"/>
      <c r="B816" s="177"/>
      <c r="R816" s="181"/>
    </row>
    <row r="817" spans="1:18" ht="15" customHeight="1">
      <c r="A817" s="177"/>
      <c r="B817" s="177"/>
      <c r="R817" s="181"/>
    </row>
    <row r="818" spans="1:18" ht="15" customHeight="1">
      <c r="A818" s="177"/>
      <c r="B818" s="177"/>
      <c r="R818" s="181"/>
    </row>
    <row r="819" spans="1:18" ht="15" customHeight="1">
      <c r="A819" s="177"/>
      <c r="B819" s="177"/>
      <c r="R819" s="181"/>
    </row>
    <row r="820" spans="1:18" ht="15" customHeight="1">
      <c r="A820" s="177"/>
      <c r="B820" s="177"/>
      <c r="R820" s="181"/>
    </row>
    <row r="821" spans="1:18" ht="15" customHeight="1">
      <c r="A821" s="177"/>
      <c r="B821" s="177"/>
      <c r="R821" s="181"/>
    </row>
    <row r="822" spans="1:18" ht="15" customHeight="1">
      <c r="A822" s="177"/>
      <c r="B822" s="177"/>
      <c r="R822" s="181"/>
    </row>
    <row r="823" spans="1:18" ht="15" customHeight="1">
      <c r="A823" s="177"/>
      <c r="B823" s="177"/>
      <c r="R823" s="181"/>
    </row>
    <row r="824" spans="1:18" ht="15" customHeight="1">
      <c r="A824" s="177"/>
      <c r="B824" s="177"/>
      <c r="R824" s="181"/>
    </row>
    <row r="825" spans="1:18" ht="15" customHeight="1">
      <c r="A825" s="177"/>
      <c r="B825" s="177"/>
      <c r="R825" s="181"/>
    </row>
    <row r="826" spans="1:18" ht="15" customHeight="1">
      <c r="A826" s="177"/>
      <c r="B826" s="177"/>
      <c r="R826" s="181"/>
    </row>
    <row r="827" spans="1:18" ht="15" customHeight="1">
      <c r="A827" s="177"/>
      <c r="B827" s="177"/>
      <c r="R827" s="181"/>
    </row>
    <row r="828" spans="1:18" ht="15" customHeight="1">
      <c r="A828" s="177"/>
      <c r="B828" s="177"/>
      <c r="R828" s="181"/>
    </row>
    <row r="829" spans="1:18" ht="15" customHeight="1">
      <c r="A829" s="177"/>
      <c r="B829" s="177"/>
      <c r="R829" s="181"/>
    </row>
    <row r="830" spans="1:18" ht="15" customHeight="1">
      <c r="A830" s="177"/>
      <c r="B830" s="177"/>
      <c r="R830" s="181"/>
    </row>
    <row r="831" spans="1:18" ht="15" customHeight="1">
      <c r="A831" s="177"/>
      <c r="B831" s="177"/>
      <c r="R831" s="181"/>
    </row>
    <row r="832" spans="1:18" ht="15" customHeight="1">
      <c r="A832" s="177"/>
      <c r="B832" s="177"/>
      <c r="R832" s="181"/>
    </row>
    <row r="833" spans="1:18" ht="15" customHeight="1">
      <c r="A833" s="177"/>
      <c r="B833" s="177"/>
      <c r="R833" s="181"/>
    </row>
    <row r="834" spans="1:18" ht="15" customHeight="1">
      <c r="A834" s="177"/>
      <c r="B834" s="177"/>
      <c r="R834" s="181"/>
    </row>
    <row r="835" spans="1:18" ht="15" customHeight="1">
      <c r="A835" s="177"/>
      <c r="B835" s="177"/>
      <c r="R835" s="181"/>
    </row>
    <row r="836" spans="1:18" ht="15" customHeight="1">
      <c r="A836" s="177"/>
      <c r="B836" s="177"/>
      <c r="R836" s="181"/>
    </row>
    <row r="837" spans="1:18" ht="15" customHeight="1">
      <c r="A837" s="177"/>
      <c r="B837" s="177"/>
      <c r="R837" s="181"/>
    </row>
    <row r="838" spans="1:18" ht="15" customHeight="1">
      <c r="A838" s="177"/>
      <c r="B838" s="177"/>
      <c r="R838" s="181"/>
    </row>
    <row r="839" spans="1:18" ht="15" customHeight="1">
      <c r="A839" s="177"/>
      <c r="B839" s="177"/>
      <c r="R839" s="181"/>
    </row>
    <row r="840" spans="1:18" ht="15" customHeight="1">
      <c r="A840" s="177"/>
      <c r="B840" s="177"/>
      <c r="R840" s="181"/>
    </row>
    <row r="841" spans="1:18" ht="15" customHeight="1">
      <c r="A841" s="177"/>
      <c r="B841" s="177"/>
      <c r="R841" s="181"/>
    </row>
    <row r="842" spans="1:18" ht="15" customHeight="1">
      <c r="A842" s="177"/>
      <c r="B842" s="177"/>
      <c r="R842" s="181"/>
    </row>
    <row r="843" spans="1:18" ht="15" customHeight="1">
      <c r="A843" s="177"/>
      <c r="B843" s="177"/>
      <c r="R843" s="181"/>
    </row>
    <row r="844" spans="1:18" ht="15" customHeight="1">
      <c r="A844" s="177"/>
      <c r="B844" s="177"/>
      <c r="R844" s="181"/>
    </row>
    <row r="845" spans="1:18" ht="15" customHeight="1">
      <c r="A845" s="177"/>
      <c r="B845" s="177"/>
      <c r="R845" s="181"/>
    </row>
    <row r="846" spans="1:18" ht="15" customHeight="1">
      <c r="A846" s="177"/>
      <c r="B846" s="177"/>
      <c r="R846" s="181"/>
    </row>
    <row r="847" spans="1:18" ht="15" customHeight="1">
      <c r="A847" s="177"/>
      <c r="B847" s="177"/>
      <c r="R847" s="181"/>
    </row>
    <row r="848" spans="1:18" ht="15" customHeight="1">
      <c r="A848" s="177"/>
      <c r="B848" s="177"/>
      <c r="R848" s="181"/>
    </row>
    <row r="849" spans="1:18" ht="15" customHeight="1">
      <c r="A849" s="177"/>
      <c r="B849" s="177"/>
      <c r="R849" s="181"/>
    </row>
    <row r="850" spans="1:18" ht="15" customHeight="1">
      <c r="A850" s="177"/>
      <c r="B850" s="177"/>
      <c r="R850" s="181"/>
    </row>
    <row r="851" spans="1:18" ht="15" customHeight="1">
      <c r="A851" s="177"/>
      <c r="B851" s="177"/>
      <c r="R851" s="181"/>
    </row>
    <row r="852" spans="1:18" ht="15" customHeight="1">
      <c r="A852" s="177"/>
      <c r="B852" s="177"/>
      <c r="R852" s="181"/>
    </row>
    <row r="853" spans="1:18" ht="15" customHeight="1">
      <c r="A853" s="177"/>
      <c r="B853" s="177"/>
      <c r="R853" s="181"/>
    </row>
    <row r="854" spans="1:18" ht="15" customHeight="1">
      <c r="A854" s="177"/>
      <c r="B854" s="177"/>
      <c r="R854" s="181"/>
    </row>
    <row r="855" spans="1:18" ht="15" customHeight="1">
      <c r="A855" s="177"/>
      <c r="B855" s="177"/>
      <c r="R855" s="181"/>
    </row>
    <row r="856" spans="1:18" ht="15" customHeight="1">
      <c r="A856" s="177"/>
      <c r="B856" s="177"/>
      <c r="R856" s="181"/>
    </row>
    <row r="857" spans="1:18" ht="15" customHeight="1">
      <c r="A857" s="177"/>
      <c r="B857" s="177"/>
      <c r="R857" s="181"/>
    </row>
    <row r="858" spans="1:18" ht="15" customHeight="1">
      <c r="A858" s="177"/>
      <c r="B858" s="177"/>
      <c r="R858" s="181"/>
    </row>
    <row r="859" spans="1:18" ht="15" customHeight="1">
      <c r="A859" s="177"/>
      <c r="B859" s="177"/>
      <c r="R859" s="181"/>
    </row>
    <row r="860" spans="1:18" ht="15" customHeight="1">
      <c r="A860" s="177"/>
      <c r="B860" s="177"/>
      <c r="R860" s="181"/>
    </row>
    <row r="861" spans="1:18" ht="15" customHeight="1">
      <c r="A861" s="177"/>
      <c r="B861" s="177"/>
      <c r="R861" s="181"/>
    </row>
    <row r="862" spans="1:18" ht="15" customHeight="1">
      <c r="A862" s="177"/>
      <c r="B862" s="177"/>
      <c r="R862" s="181"/>
    </row>
    <row r="863" spans="1:18" ht="15" customHeight="1">
      <c r="A863" s="177"/>
      <c r="B863" s="177"/>
      <c r="R863" s="181"/>
    </row>
    <row r="864" spans="1:18" ht="15" customHeight="1">
      <c r="A864" s="177"/>
      <c r="B864" s="177"/>
      <c r="R864" s="181"/>
    </row>
    <row r="865" spans="1:18" ht="15" customHeight="1">
      <c r="A865" s="177"/>
      <c r="B865" s="177"/>
      <c r="R865" s="181"/>
    </row>
    <row r="866" spans="1:18" ht="15" customHeight="1">
      <c r="A866" s="177"/>
      <c r="B866" s="177"/>
      <c r="R866" s="181"/>
    </row>
    <row r="867" spans="1:18" ht="15" customHeight="1">
      <c r="A867" s="177"/>
      <c r="B867" s="177"/>
      <c r="R867" s="181"/>
    </row>
    <row r="868" spans="1:18" ht="15" customHeight="1">
      <c r="A868" s="177"/>
      <c r="B868" s="177"/>
      <c r="R868" s="181"/>
    </row>
    <row r="869" spans="1:18" ht="15" customHeight="1">
      <c r="A869" s="177"/>
      <c r="B869" s="177"/>
      <c r="R869" s="181"/>
    </row>
    <row r="870" spans="1:18" ht="15" customHeight="1">
      <c r="A870" s="177"/>
      <c r="B870" s="177"/>
      <c r="R870" s="181"/>
    </row>
    <row r="871" spans="1:18" ht="15" customHeight="1">
      <c r="A871" s="177"/>
      <c r="B871" s="177"/>
      <c r="R871" s="181"/>
    </row>
    <row r="872" spans="1:18" ht="15" customHeight="1">
      <c r="A872" s="177"/>
      <c r="B872" s="177"/>
      <c r="R872" s="181"/>
    </row>
    <row r="873" spans="1:18" ht="15" customHeight="1">
      <c r="A873" s="177"/>
      <c r="B873" s="177"/>
      <c r="R873" s="181"/>
    </row>
    <row r="874" spans="1:18" ht="15" customHeight="1">
      <c r="A874" s="177"/>
      <c r="B874" s="177"/>
      <c r="R874" s="181"/>
    </row>
    <row r="875" spans="1:18" ht="15" customHeight="1">
      <c r="A875" s="177"/>
      <c r="B875" s="177"/>
      <c r="R875" s="181"/>
    </row>
    <row r="876" spans="1:18" ht="15" customHeight="1">
      <c r="A876" s="177"/>
      <c r="B876" s="177"/>
      <c r="R876" s="181"/>
    </row>
    <row r="877" spans="1:18" ht="15" customHeight="1">
      <c r="A877" s="177"/>
      <c r="B877" s="177"/>
      <c r="R877" s="181"/>
    </row>
    <row r="878" spans="1:18" ht="15" customHeight="1">
      <c r="A878" s="177"/>
      <c r="B878" s="177"/>
      <c r="R878" s="181"/>
    </row>
    <row r="879" spans="1:18" ht="15" customHeight="1">
      <c r="A879" s="177"/>
      <c r="B879" s="177"/>
      <c r="R879" s="181"/>
    </row>
    <row r="880" spans="1:18" ht="15" customHeight="1">
      <c r="A880" s="177"/>
      <c r="B880" s="177"/>
      <c r="R880" s="181"/>
    </row>
    <row r="881" spans="1:18" ht="15" customHeight="1">
      <c r="A881" s="177"/>
      <c r="B881" s="177"/>
      <c r="R881" s="181"/>
    </row>
    <row r="882" spans="1:18" ht="15" customHeight="1">
      <c r="A882" s="187"/>
      <c r="B882" s="187"/>
      <c r="C882" s="215"/>
      <c r="D882" s="188"/>
      <c r="E882" s="188"/>
      <c r="F882" s="188"/>
      <c r="G882" s="45"/>
      <c r="H882" s="45"/>
      <c r="I882" s="45"/>
      <c r="J882" s="45"/>
      <c r="K882" s="45"/>
      <c r="L882" s="45"/>
      <c r="M882" s="45"/>
      <c r="N882" s="45"/>
      <c r="O882" s="45"/>
      <c r="P882" s="45"/>
      <c r="Q882" s="189"/>
      <c r="R882" s="190"/>
    </row>
    <row r="883" spans="1:18" ht="15" customHeight="1">
      <c r="A883" s="177"/>
      <c r="B883" s="177"/>
      <c r="L883" s="45"/>
      <c r="M883" s="45"/>
      <c r="N883" s="45"/>
      <c r="O883" s="45"/>
      <c r="P883" s="45"/>
      <c r="Q883" s="189"/>
      <c r="R883" s="190"/>
    </row>
    <row r="884" spans="1:18" ht="15" customHeight="1">
      <c r="A884" s="177"/>
      <c r="B884" s="177"/>
      <c r="L884" s="45"/>
      <c r="M884" s="45"/>
      <c r="N884" s="45"/>
      <c r="O884" s="45"/>
      <c r="P884" s="45"/>
      <c r="Q884" s="189"/>
      <c r="R884" s="190"/>
    </row>
    <row r="885" spans="1:18" ht="15" customHeight="1">
      <c r="A885" s="177"/>
      <c r="B885" s="177"/>
      <c r="L885" s="45"/>
      <c r="M885" s="45"/>
      <c r="N885" s="45"/>
      <c r="O885" s="45"/>
      <c r="P885" s="45"/>
      <c r="Q885" s="189"/>
      <c r="R885" s="190"/>
    </row>
    <row r="886" spans="1:18" ht="15" customHeight="1">
      <c r="A886" s="177"/>
      <c r="B886" s="177"/>
      <c r="L886" s="45"/>
      <c r="M886" s="45"/>
      <c r="N886" s="45"/>
      <c r="O886" s="45"/>
      <c r="P886" s="45"/>
      <c r="Q886" s="189"/>
      <c r="R886" s="190"/>
    </row>
    <row r="887" spans="1:18" ht="15" customHeight="1">
      <c r="A887" s="177"/>
      <c r="B887" s="177"/>
      <c r="L887" s="45"/>
      <c r="M887" s="45"/>
      <c r="N887" s="45"/>
      <c r="O887" s="45"/>
      <c r="P887" s="45"/>
      <c r="Q887" s="189"/>
      <c r="R887" s="190"/>
    </row>
    <row r="888" spans="1:18" ht="15" customHeight="1">
      <c r="A888" s="177"/>
      <c r="B888" s="177"/>
      <c r="L888" s="45"/>
      <c r="M888" s="45"/>
      <c r="N888" s="45"/>
      <c r="O888" s="45"/>
      <c r="P888" s="45"/>
      <c r="Q888" s="189"/>
      <c r="R888" s="190"/>
    </row>
    <row r="889" spans="1:18" ht="15" customHeight="1">
      <c r="A889" s="177"/>
      <c r="B889" s="177"/>
      <c r="L889" s="45"/>
      <c r="M889" s="45"/>
      <c r="N889" s="45"/>
      <c r="O889" s="45"/>
      <c r="P889" s="45"/>
      <c r="Q889" s="189"/>
      <c r="R889" s="190"/>
    </row>
    <row r="890" spans="1:18" ht="15" customHeight="1">
      <c r="A890" s="177"/>
      <c r="B890" s="177"/>
      <c r="L890" s="45"/>
      <c r="M890" s="45"/>
      <c r="N890" s="45"/>
      <c r="O890" s="45"/>
      <c r="P890" s="45"/>
      <c r="Q890" s="189"/>
      <c r="R890" s="190"/>
    </row>
    <row r="891" spans="1:18" ht="15" customHeight="1">
      <c r="A891" s="177"/>
      <c r="B891" s="177"/>
      <c r="L891" s="45"/>
      <c r="M891" s="45"/>
      <c r="N891" s="45"/>
      <c r="O891" s="45"/>
      <c r="P891" s="45"/>
      <c r="Q891" s="189"/>
      <c r="R891" s="190"/>
    </row>
    <row r="892" spans="1:18" ht="15" customHeight="1">
      <c r="A892" s="177"/>
      <c r="B892" s="177"/>
      <c r="L892" s="45"/>
      <c r="M892" s="45"/>
      <c r="N892" s="45"/>
      <c r="O892" s="45"/>
      <c r="P892" s="45"/>
      <c r="Q892" s="189"/>
      <c r="R892" s="190"/>
    </row>
    <row r="893" spans="1:18" ht="15" customHeight="1">
      <c r="A893" s="177"/>
      <c r="B893" s="177"/>
      <c r="L893" s="45"/>
      <c r="M893" s="45"/>
      <c r="N893" s="45"/>
      <c r="O893" s="45"/>
      <c r="P893" s="45"/>
      <c r="Q893" s="189"/>
      <c r="R893" s="190"/>
    </row>
    <row r="894" spans="1:18" ht="15" customHeight="1">
      <c r="A894" s="177"/>
      <c r="B894" s="177"/>
      <c r="L894" s="45"/>
      <c r="M894" s="45"/>
      <c r="N894" s="45"/>
      <c r="O894" s="45"/>
      <c r="P894" s="45"/>
      <c r="Q894" s="189"/>
      <c r="R894" s="190"/>
    </row>
    <row r="895" spans="1:18" ht="15" customHeight="1">
      <c r="A895" s="177"/>
      <c r="B895" s="177"/>
      <c r="L895" s="45"/>
      <c r="M895" s="45"/>
      <c r="N895" s="45"/>
      <c r="O895" s="45"/>
      <c r="P895" s="45"/>
      <c r="Q895" s="189"/>
      <c r="R895" s="190"/>
    </row>
    <row r="896" spans="1:18" ht="15" customHeight="1">
      <c r="A896" s="177"/>
      <c r="B896" s="177"/>
      <c r="L896" s="45"/>
      <c r="M896" s="45"/>
      <c r="N896" s="45"/>
      <c r="O896" s="45"/>
      <c r="P896" s="45"/>
      <c r="Q896" s="189"/>
      <c r="R896" s="190"/>
    </row>
    <row r="897" spans="1:18" ht="15" customHeight="1">
      <c r="A897" s="177"/>
      <c r="B897" s="177"/>
      <c r="L897" s="45"/>
      <c r="M897" s="45"/>
      <c r="N897" s="45"/>
      <c r="O897" s="45"/>
      <c r="P897" s="45"/>
      <c r="Q897" s="189"/>
      <c r="R897" s="190"/>
    </row>
    <row r="898" spans="1:18" ht="15" customHeight="1">
      <c r="A898" s="177"/>
      <c r="B898" s="177"/>
      <c r="L898" s="45"/>
      <c r="M898" s="45"/>
      <c r="N898" s="45"/>
      <c r="O898" s="45"/>
      <c r="P898" s="45"/>
      <c r="Q898" s="189"/>
      <c r="R898" s="190"/>
    </row>
    <row r="899" spans="1:18" ht="15" customHeight="1">
      <c r="A899" s="187"/>
      <c r="B899" s="187"/>
      <c r="C899" s="215"/>
      <c r="D899" s="188"/>
      <c r="E899" s="188"/>
      <c r="F899" s="188"/>
      <c r="H899" s="45"/>
      <c r="I899" s="45"/>
      <c r="J899" s="45"/>
      <c r="K899" s="45"/>
      <c r="L899" s="45"/>
      <c r="M899" s="45"/>
      <c r="N899" s="45"/>
      <c r="O899" s="45"/>
      <c r="P899" s="45"/>
      <c r="Q899" s="189"/>
      <c r="R899" s="190"/>
    </row>
    <row r="900" spans="1:18" ht="15" customHeight="1">
      <c r="A900" s="187"/>
      <c r="B900" s="187"/>
      <c r="C900" s="215"/>
      <c r="D900" s="188"/>
      <c r="E900" s="188"/>
      <c r="F900" s="188"/>
      <c r="H900" s="45"/>
      <c r="I900" s="45"/>
      <c r="J900" s="45"/>
      <c r="K900" s="45"/>
      <c r="L900" s="45"/>
      <c r="M900" s="45"/>
      <c r="N900" s="45"/>
      <c r="O900" s="45"/>
      <c r="P900" s="45"/>
      <c r="Q900" s="189"/>
      <c r="R900" s="190"/>
    </row>
    <row r="901" spans="1:18" ht="15" customHeight="1">
      <c r="A901" s="187"/>
      <c r="B901" s="187"/>
      <c r="C901" s="215"/>
      <c r="D901" s="188"/>
      <c r="E901" s="188"/>
      <c r="F901" s="188"/>
      <c r="H901" s="45"/>
      <c r="I901" s="45"/>
      <c r="J901" s="45"/>
      <c r="K901" s="45"/>
      <c r="L901" s="45"/>
      <c r="M901" s="45"/>
      <c r="N901" s="45"/>
      <c r="O901" s="45"/>
      <c r="P901" s="45"/>
      <c r="Q901" s="189"/>
      <c r="R901" s="190"/>
    </row>
    <row r="902" spans="1:18" ht="15" customHeight="1">
      <c r="A902" s="187"/>
      <c r="B902" s="187"/>
      <c r="C902" s="215"/>
      <c r="D902" s="188"/>
      <c r="E902" s="188"/>
      <c r="F902" s="188"/>
      <c r="H902" s="45"/>
      <c r="I902" s="45"/>
      <c r="J902" s="45"/>
      <c r="K902" s="45"/>
      <c r="L902" s="45"/>
      <c r="M902" s="45"/>
      <c r="N902" s="45"/>
      <c r="O902" s="45"/>
      <c r="P902" s="45"/>
      <c r="Q902" s="189"/>
      <c r="R902" s="190"/>
    </row>
    <row r="903" spans="1:18" ht="15" customHeight="1">
      <c r="A903" s="187"/>
      <c r="B903" s="187"/>
      <c r="C903" s="215"/>
      <c r="D903" s="188"/>
      <c r="E903" s="188"/>
      <c r="F903" s="188"/>
      <c r="H903" s="45"/>
      <c r="I903" s="45"/>
      <c r="J903" s="45"/>
      <c r="K903" s="45"/>
      <c r="L903" s="45"/>
      <c r="M903" s="45"/>
      <c r="N903" s="45"/>
      <c r="O903" s="45"/>
      <c r="P903" s="45"/>
      <c r="Q903" s="189"/>
      <c r="R903" s="190"/>
    </row>
    <row r="904" spans="1:18" ht="15" customHeight="1">
      <c r="A904" s="187"/>
      <c r="B904" s="187"/>
      <c r="C904" s="215"/>
      <c r="D904" s="188"/>
      <c r="E904" s="188"/>
      <c r="F904" s="188"/>
      <c r="H904" s="45"/>
      <c r="I904" s="45"/>
      <c r="J904" s="45"/>
      <c r="K904" s="45"/>
      <c r="L904" s="45"/>
      <c r="M904" s="45"/>
      <c r="N904" s="45"/>
      <c r="O904" s="45"/>
      <c r="P904" s="45"/>
      <c r="Q904" s="189"/>
      <c r="R904" s="190"/>
    </row>
    <row r="905" spans="1:18" ht="15" customHeight="1">
      <c r="A905" s="187"/>
      <c r="B905" s="187"/>
      <c r="C905" s="215"/>
      <c r="D905" s="188"/>
      <c r="E905" s="188"/>
      <c r="F905" s="188"/>
      <c r="H905" s="45"/>
      <c r="I905" s="45"/>
      <c r="J905" s="45"/>
      <c r="K905" s="45"/>
      <c r="L905" s="45"/>
      <c r="M905" s="45"/>
      <c r="N905" s="45"/>
      <c r="O905" s="45"/>
      <c r="P905" s="45"/>
      <c r="Q905" s="189"/>
      <c r="R905" s="190"/>
    </row>
    <row r="906" spans="1:18" ht="15" customHeight="1">
      <c r="A906" s="187"/>
      <c r="B906" s="187"/>
      <c r="C906" s="215"/>
      <c r="D906" s="188"/>
      <c r="E906" s="188"/>
      <c r="F906" s="188"/>
      <c r="H906" s="45"/>
      <c r="I906" s="45"/>
      <c r="J906" s="45"/>
      <c r="K906" s="45"/>
      <c r="L906" s="45"/>
      <c r="M906" s="45"/>
      <c r="N906" s="45"/>
      <c r="O906" s="45"/>
      <c r="P906" s="45"/>
      <c r="Q906" s="189"/>
      <c r="R906" s="190"/>
    </row>
    <row r="907" spans="1:18" ht="15" customHeight="1">
      <c r="A907" s="187"/>
      <c r="B907" s="187"/>
      <c r="C907" s="215"/>
      <c r="D907" s="188"/>
      <c r="E907" s="188"/>
      <c r="F907" s="188"/>
      <c r="H907" s="45"/>
      <c r="I907" s="45"/>
      <c r="J907" s="45"/>
      <c r="K907" s="45"/>
      <c r="L907" s="45"/>
      <c r="M907" s="45"/>
      <c r="N907" s="45"/>
      <c r="O907" s="45"/>
      <c r="P907" s="45"/>
      <c r="Q907" s="189"/>
      <c r="R907" s="190"/>
    </row>
    <row r="908" spans="1:18" ht="15" customHeight="1">
      <c r="A908" s="187"/>
      <c r="B908" s="187"/>
      <c r="C908" s="215"/>
      <c r="D908" s="188"/>
      <c r="E908" s="188"/>
      <c r="F908" s="188"/>
      <c r="H908" s="45"/>
      <c r="I908" s="45"/>
      <c r="J908" s="45"/>
      <c r="K908" s="45"/>
      <c r="L908" s="45"/>
      <c r="M908" s="45"/>
      <c r="N908" s="45"/>
      <c r="O908" s="45"/>
      <c r="P908" s="45"/>
      <c r="Q908" s="189"/>
      <c r="R908" s="190"/>
    </row>
    <row r="909" spans="1:18" ht="15" customHeight="1">
      <c r="A909" s="187"/>
      <c r="B909" s="187"/>
      <c r="C909" s="215"/>
      <c r="D909" s="188"/>
      <c r="E909" s="188"/>
      <c r="F909" s="188"/>
      <c r="H909" s="45"/>
      <c r="I909" s="45"/>
      <c r="J909" s="45"/>
      <c r="K909" s="45"/>
      <c r="L909" s="45"/>
      <c r="M909" s="45"/>
      <c r="N909" s="45"/>
      <c r="O909" s="45"/>
      <c r="P909" s="45"/>
      <c r="Q909" s="189"/>
      <c r="R909" s="190"/>
    </row>
    <row r="910" spans="1:18" ht="15" customHeight="1">
      <c r="A910" s="187"/>
      <c r="B910" s="187"/>
      <c r="C910" s="215"/>
      <c r="D910" s="188"/>
      <c r="E910" s="188"/>
      <c r="F910" s="188"/>
      <c r="H910" s="45"/>
      <c r="I910" s="45"/>
      <c r="J910" s="45"/>
      <c r="K910" s="45"/>
      <c r="L910" s="45"/>
      <c r="M910" s="45"/>
      <c r="N910" s="45"/>
      <c r="O910" s="45"/>
      <c r="P910" s="45"/>
      <c r="Q910" s="189"/>
      <c r="R910" s="190"/>
    </row>
    <row r="911" spans="1:18" ht="15" customHeight="1">
      <c r="A911" s="187"/>
      <c r="B911" s="187"/>
      <c r="C911" s="215"/>
      <c r="D911" s="188"/>
      <c r="E911" s="188"/>
      <c r="F911" s="188"/>
      <c r="H911" s="45"/>
      <c r="I911" s="45"/>
      <c r="J911" s="45"/>
      <c r="K911" s="45"/>
      <c r="L911" s="45"/>
      <c r="M911" s="45"/>
      <c r="N911" s="45"/>
      <c r="O911" s="45"/>
      <c r="P911" s="45"/>
      <c r="Q911" s="189"/>
      <c r="R911" s="190"/>
    </row>
    <row r="912" spans="1:18" ht="15" customHeight="1">
      <c r="A912" s="187"/>
      <c r="B912" s="187"/>
      <c r="C912" s="215"/>
      <c r="D912" s="188"/>
      <c r="E912" s="188"/>
      <c r="F912" s="188"/>
      <c r="H912" s="45"/>
      <c r="I912" s="45"/>
      <c r="J912" s="45"/>
      <c r="K912" s="45"/>
      <c r="L912" s="45"/>
      <c r="M912" s="45"/>
      <c r="N912" s="45"/>
      <c r="O912" s="45"/>
      <c r="P912" s="45"/>
      <c r="Q912" s="189"/>
      <c r="R912" s="190"/>
    </row>
    <row r="913" spans="1:18" ht="15" customHeight="1">
      <c r="A913" s="187"/>
      <c r="B913" s="187"/>
      <c r="C913" s="215"/>
      <c r="D913" s="188"/>
      <c r="E913" s="188"/>
      <c r="F913" s="188"/>
      <c r="H913" s="45"/>
      <c r="I913" s="45"/>
      <c r="J913" s="45"/>
      <c r="K913" s="45"/>
      <c r="L913" s="45"/>
      <c r="M913" s="45"/>
      <c r="N913" s="45"/>
      <c r="O913" s="45"/>
      <c r="P913" s="45"/>
      <c r="Q913" s="189"/>
      <c r="R913" s="190"/>
    </row>
    <row r="914" spans="1:18" ht="15" customHeight="1">
      <c r="A914" s="177"/>
      <c r="B914" s="177"/>
      <c r="R914" s="181"/>
    </row>
    <row r="915" spans="1:18" ht="15" customHeight="1">
      <c r="A915" s="177"/>
      <c r="B915" s="177"/>
      <c r="R915" s="181"/>
    </row>
    <row r="916" spans="1:18" ht="15" customHeight="1">
      <c r="A916" s="177"/>
      <c r="B916" s="177"/>
      <c r="R916" s="181"/>
    </row>
    <row r="917" spans="1:18" ht="15" customHeight="1">
      <c r="A917" s="177"/>
      <c r="B917" s="177"/>
      <c r="R917" s="181"/>
    </row>
    <row r="918" spans="1:18" ht="15" customHeight="1">
      <c r="A918" s="177"/>
      <c r="B918" s="177"/>
      <c r="R918" s="181"/>
    </row>
    <row r="919" spans="1:18" ht="15" customHeight="1">
      <c r="A919" s="177"/>
      <c r="B919" s="177"/>
      <c r="R919" s="181"/>
    </row>
    <row r="920" spans="1:18" ht="15" customHeight="1">
      <c r="A920" s="177"/>
      <c r="B920" s="177"/>
      <c r="R920" s="181"/>
    </row>
    <row r="921" spans="1:18" ht="15" customHeight="1">
      <c r="A921" s="177"/>
      <c r="B921" s="177"/>
      <c r="R921" s="181"/>
    </row>
    <row r="922" spans="1:18" ht="15" customHeight="1">
      <c r="A922" s="177"/>
      <c r="B922" s="177"/>
      <c r="R922" s="181"/>
    </row>
    <row r="923" spans="1:18" ht="15" customHeight="1">
      <c r="A923" s="177"/>
      <c r="B923" s="177"/>
      <c r="R923" s="181"/>
    </row>
    <row r="924" spans="1:18" ht="15" customHeight="1">
      <c r="A924" s="177"/>
      <c r="B924" s="177"/>
      <c r="R924" s="181"/>
    </row>
    <row r="925" spans="1:18" ht="15" customHeight="1">
      <c r="A925" s="177"/>
      <c r="B925" s="177"/>
      <c r="R925" s="181"/>
    </row>
    <row r="926" spans="1:18" ht="15" customHeight="1">
      <c r="A926" s="177"/>
      <c r="B926" s="177"/>
      <c r="R926" s="181"/>
    </row>
    <row r="927" spans="1:18" ht="15" customHeight="1">
      <c r="A927" s="177"/>
      <c r="B927" s="177"/>
      <c r="R927" s="181"/>
    </row>
    <row r="928" spans="1:18" ht="15" customHeight="1">
      <c r="A928" s="177"/>
      <c r="B928" s="177"/>
      <c r="R928" s="181"/>
    </row>
    <row r="929" spans="1:18" ht="15" customHeight="1">
      <c r="A929" s="177"/>
      <c r="B929" s="177"/>
      <c r="R929" s="181"/>
    </row>
    <row r="930" spans="1:18" ht="15" customHeight="1">
      <c r="A930" s="177"/>
      <c r="B930" s="177"/>
      <c r="R930" s="181"/>
    </row>
    <row r="931" spans="1:18" ht="15" customHeight="1">
      <c r="A931" s="177"/>
      <c r="B931" s="177"/>
      <c r="R931" s="181"/>
    </row>
    <row r="932" spans="1:18" ht="15" customHeight="1">
      <c r="A932" s="177"/>
      <c r="B932" s="177"/>
      <c r="R932" s="181"/>
    </row>
    <row r="933" spans="1:18" ht="15" customHeight="1">
      <c r="A933" s="177"/>
      <c r="B933" s="177"/>
      <c r="R933" s="181"/>
    </row>
    <row r="934" spans="1:18" ht="15" customHeight="1">
      <c r="A934" s="177"/>
      <c r="B934" s="177"/>
      <c r="R934" s="181"/>
    </row>
    <row r="935" spans="1:18" ht="15" customHeight="1">
      <c r="A935" s="177"/>
      <c r="B935" s="177"/>
      <c r="R935" s="181"/>
    </row>
    <row r="936" spans="1:18" ht="15" customHeight="1">
      <c r="A936" s="177"/>
      <c r="B936" s="177"/>
      <c r="R936" s="181"/>
    </row>
    <row r="937" spans="1:18" ht="15" customHeight="1">
      <c r="A937" s="177"/>
      <c r="B937" s="177"/>
      <c r="R937" s="181"/>
    </row>
    <row r="938" spans="1:18" ht="15" customHeight="1">
      <c r="A938" s="177"/>
      <c r="B938" s="177"/>
      <c r="R938" s="181"/>
    </row>
    <row r="939" spans="1:18" ht="15" customHeight="1">
      <c r="A939" s="177"/>
      <c r="B939" s="177"/>
      <c r="R939" s="181"/>
    </row>
    <row r="940" spans="1:18" ht="15" customHeight="1">
      <c r="A940" s="177"/>
      <c r="B940" s="177"/>
      <c r="R940" s="181"/>
    </row>
    <row r="941" spans="1:18" ht="15" customHeight="1">
      <c r="A941" s="177"/>
      <c r="B941" s="177"/>
      <c r="R941" s="181"/>
    </row>
    <row r="942" spans="1:18" ht="15" customHeight="1">
      <c r="A942" s="177"/>
      <c r="B942" s="177"/>
      <c r="R942" s="181"/>
    </row>
    <row r="943" spans="1:18" ht="15" customHeight="1">
      <c r="A943" s="177"/>
      <c r="B943" s="177"/>
      <c r="R943" s="181"/>
    </row>
    <row r="944" spans="1:18" ht="15" customHeight="1">
      <c r="A944" s="177"/>
      <c r="B944" s="177"/>
      <c r="R944" s="181"/>
    </row>
    <row r="945" spans="1:18" ht="15" customHeight="1">
      <c r="A945" s="177"/>
      <c r="B945" s="177"/>
      <c r="R945" s="181"/>
    </row>
    <row r="946" spans="1:18" ht="15" customHeight="1">
      <c r="A946" s="177"/>
      <c r="B946" s="177"/>
      <c r="R946" s="181"/>
    </row>
    <row r="947" spans="1:18" ht="15" customHeight="1">
      <c r="A947" s="177"/>
      <c r="B947" s="177"/>
      <c r="R947" s="181"/>
    </row>
    <row r="948" spans="1:18" ht="15" customHeight="1">
      <c r="A948" s="177"/>
      <c r="B948" s="177"/>
      <c r="R948" s="181"/>
    </row>
    <row r="949" spans="1:18" ht="15" customHeight="1">
      <c r="A949" s="177"/>
      <c r="B949" s="177"/>
      <c r="R949" s="181"/>
    </row>
    <row r="950" spans="1:18" ht="15" customHeight="1">
      <c r="A950" s="177"/>
      <c r="B950" s="177"/>
      <c r="R950" s="181"/>
    </row>
    <row r="951" spans="1:18" ht="15" customHeight="1">
      <c r="A951" s="177"/>
      <c r="B951" s="177"/>
      <c r="R951" s="181"/>
    </row>
    <row r="952" spans="1:18" ht="15" customHeight="1">
      <c r="A952" s="177"/>
      <c r="B952" s="177"/>
      <c r="R952" s="181"/>
    </row>
    <row r="953" spans="1:18" ht="15" customHeight="1">
      <c r="A953" s="177"/>
      <c r="B953" s="177"/>
      <c r="R953" s="181"/>
    </row>
    <row r="954" spans="1:18" ht="15" customHeight="1">
      <c r="A954" s="177"/>
      <c r="B954" s="177"/>
      <c r="R954" s="181"/>
    </row>
    <row r="955" spans="1:18" ht="15" customHeight="1">
      <c r="A955" s="177"/>
      <c r="B955" s="177"/>
      <c r="R955" s="181"/>
    </row>
    <row r="956" spans="1:18" ht="15" customHeight="1">
      <c r="A956" s="177"/>
      <c r="B956" s="177"/>
      <c r="R956" s="181"/>
    </row>
    <row r="957" spans="1:18" ht="15" customHeight="1">
      <c r="A957" s="177"/>
      <c r="B957" s="177"/>
      <c r="R957" s="181"/>
    </row>
    <row r="958" spans="1:18" ht="15" customHeight="1">
      <c r="A958" s="177"/>
      <c r="B958" s="177"/>
      <c r="R958" s="181"/>
    </row>
    <row r="959" spans="1:18" ht="15" customHeight="1">
      <c r="A959" s="177"/>
      <c r="B959" s="177"/>
      <c r="R959" s="181"/>
    </row>
    <row r="960" spans="1:18" ht="15" customHeight="1">
      <c r="A960" s="177"/>
      <c r="B960" s="177"/>
      <c r="R960" s="181"/>
    </row>
    <row r="961" spans="1:18" ht="15" customHeight="1">
      <c r="A961" s="177"/>
      <c r="B961" s="177"/>
      <c r="R961" s="181"/>
    </row>
    <row r="962" spans="1:18" ht="15" customHeight="1">
      <c r="A962" s="177"/>
      <c r="B962" s="177"/>
      <c r="R962" s="181"/>
    </row>
    <row r="963" spans="1:18" ht="15" customHeight="1">
      <c r="A963" s="177"/>
      <c r="B963" s="177"/>
      <c r="R963" s="181"/>
    </row>
    <row r="964" spans="1:18" ht="15" customHeight="1">
      <c r="A964" s="177"/>
      <c r="B964" s="177"/>
      <c r="R964" s="181"/>
    </row>
    <row r="965" spans="1:18" ht="15" customHeight="1">
      <c r="A965" s="177"/>
      <c r="B965" s="177"/>
      <c r="R965" s="181"/>
    </row>
    <row r="966" spans="1:18" ht="15" customHeight="1">
      <c r="A966" s="177"/>
      <c r="B966" s="177"/>
      <c r="R966" s="181"/>
    </row>
    <row r="967" spans="1:18" ht="15" customHeight="1">
      <c r="A967" s="177"/>
      <c r="B967" s="177"/>
      <c r="R967" s="181"/>
    </row>
    <row r="968" spans="1:18" ht="15" customHeight="1">
      <c r="A968" s="177"/>
      <c r="B968" s="177"/>
      <c r="R968" s="181"/>
    </row>
    <row r="969" spans="1:18" ht="15" customHeight="1">
      <c r="A969" s="177"/>
      <c r="B969" s="177"/>
      <c r="R969" s="181"/>
    </row>
    <row r="970" spans="1:18" ht="15" customHeight="1">
      <c r="A970" s="177"/>
      <c r="B970" s="177"/>
      <c r="R970" s="181"/>
    </row>
    <row r="971" spans="1:18" ht="15" customHeight="1">
      <c r="A971" s="177"/>
      <c r="B971" s="177"/>
      <c r="R971" s="181"/>
    </row>
    <row r="972" spans="1:18" ht="15" customHeight="1">
      <c r="A972" s="177"/>
      <c r="B972" s="177"/>
      <c r="R972" s="181"/>
    </row>
    <row r="973" spans="1:18" ht="15" customHeight="1">
      <c r="A973" s="177"/>
      <c r="B973" s="177"/>
      <c r="R973" s="181"/>
    </row>
    <row r="974" spans="1:18" ht="15" customHeight="1">
      <c r="A974" s="177"/>
      <c r="B974" s="177"/>
      <c r="R974" s="181"/>
    </row>
    <row r="975" spans="1:18" ht="15" customHeight="1">
      <c r="A975" s="177"/>
      <c r="B975" s="177"/>
      <c r="R975" s="181"/>
    </row>
    <row r="976" spans="1:18" ht="15" customHeight="1">
      <c r="A976" s="177"/>
      <c r="B976" s="177"/>
      <c r="R976" s="181"/>
    </row>
    <row r="977" spans="1:18" ht="15" customHeight="1">
      <c r="A977" s="177"/>
      <c r="B977" s="177"/>
      <c r="R977" s="181"/>
    </row>
    <row r="978" spans="1:18" ht="15" customHeight="1">
      <c r="A978" s="177"/>
      <c r="B978" s="177"/>
      <c r="R978" s="181"/>
    </row>
    <row r="979" spans="1:18" ht="15" customHeight="1">
      <c r="A979" s="177"/>
      <c r="B979" s="177"/>
      <c r="R979" s="181"/>
    </row>
    <row r="980" spans="1:18" ht="15" customHeight="1">
      <c r="A980" s="177"/>
      <c r="B980" s="177"/>
      <c r="R980" s="181"/>
    </row>
    <row r="981" spans="1:18" ht="15" customHeight="1">
      <c r="A981" s="177"/>
      <c r="B981" s="177"/>
      <c r="R981" s="181"/>
    </row>
    <row r="982" spans="1:18" ht="15" customHeight="1">
      <c r="A982" s="177"/>
      <c r="B982" s="177"/>
      <c r="R982" s="181"/>
    </row>
    <row r="983" spans="1:18" ht="15" customHeight="1">
      <c r="A983" s="177"/>
      <c r="B983" s="177"/>
      <c r="R983" s="181"/>
    </row>
    <row r="984" spans="1:18" ht="15" customHeight="1">
      <c r="A984" s="177"/>
      <c r="B984" s="177"/>
      <c r="R984" s="181"/>
    </row>
    <row r="985" spans="1:18" ht="15" customHeight="1">
      <c r="A985" s="177"/>
      <c r="B985" s="177"/>
      <c r="R985" s="181"/>
    </row>
    <row r="986" spans="1:18" ht="15" customHeight="1">
      <c r="A986" s="187"/>
      <c r="B986" s="187"/>
      <c r="C986" s="215"/>
      <c r="D986" s="188"/>
      <c r="E986" s="188"/>
      <c r="F986" s="188"/>
      <c r="G986" s="45"/>
      <c r="H986" s="45"/>
      <c r="I986" s="45"/>
      <c r="J986" s="45"/>
      <c r="K986" s="45"/>
      <c r="L986" s="45"/>
      <c r="M986" s="45"/>
      <c r="N986" s="45"/>
      <c r="O986" s="45"/>
      <c r="P986" s="45"/>
      <c r="Q986" s="189"/>
      <c r="R986" s="190"/>
    </row>
    <row r="990" spans="1:18" ht="15" customHeight="1">
      <c r="D990" s="1"/>
    </row>
    <row r="991" spans="1:18" ht="15" customHeight="1">
      <c r="D991" s="1"/>
    </row>
    <row r="992" spans="1:18" ht="15" customHeight="1">
      <c r="D992" s="1"/>
    </row>
    <row r="993" spans="4:4" ht="15" customHeight="1">
      <c r="D993" s="1"/>
    </row>
    <row r="994" spans="4:4" ht="15" customHeight="1">
      <c r="D994" s="1"/>
    </row>
    <row r="995" spans="4:4" ht="15" customHeight="1">
      <c r="D995" s="1"/>
    </row>
    <row r="996" spans="4:4" ht="15" customHeight="1">
      <c r="D996" s="1"/>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7"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5"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198"/>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198"/>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198"/>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198"/>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198"/>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198"/>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198"/>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198"/>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198"/>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198"/>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198"/>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7" t="s">
        <v>1898</v>
      </c>
      <c r="B3997" s="177"/>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1"/>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7" t="s">
        <v>1898</v>
      </c>
      <c r="B3998" s="177"/>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1"/>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7" t="s">
        <v>1898</v>
      </c>
      <c r="B3999" s="177"/>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1"/>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7" t="s">
        <v>1898</v>
      </c>
      <c r="B4000" s="177"/>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1"/>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7" t="s">
        <v>1898</v>
      </c>
      <c r="B4001" s="177"/>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1"/>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7" t="s">
        <v>1898</v>
      </c>
      <c r="B4002" s="177"/>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1"/>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7" t="s">
        <v>1898</v>
      </c>
      <c r="B4003" s="177"/>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1"/>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7" t="s">
        <v>1899</v>
      </c>
      <c r="B4004" s="177"/>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1"/>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7" t="s">
        <v>1899</v>
      </c>
      <c r="B4005" s="177"/>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1"/>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7" t="s">
        <v>1899</v>
      </c>
      <c r="B4006" s="177"/>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1"/>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7" t="s">
        <v>1899</v>
      </c>
      <c r="B4007" s="177"/>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1"/>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7" t="s">
        <v>1899</v>
      </c>
      <c r="B4008" s="177"/>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1"/>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7" t="s">
        <v>1899</v>
      </c>
      <c r="B4009" s="177"/>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1"/>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7" t="s">
        <v>1900</v>
      </c>
      <c r="B4010" s="177"/>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1"/>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7" t="s">
        <v>1900</v>
      </c>
      <c r="B4011" s="177"/>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1"/>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7" t="s">
        <v>1900</v>
      </c>
      <c r="B4012" s="177"/>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1"/>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7" t="s">
        <v>1900</v>
      </c>
      <c r="B4013" s="177"/>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1"/>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7" t="s">
        <v>1900</v>
      </c>
      <c r="B4014" s="177"/>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1"/>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7" t="s">
        <v>1900</v>
      </c>
      <c r="B4015" s="177"/>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1"/>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7" t="s">
        <v>1900</v>
      </c>
      <c r="B4016" s="177"/>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1"/>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7" t="s">
        <v>1900</v>
      </c>
      <c r="B4017" s="177"/>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1"/>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7" t="s">
        <v>1900</v>
      </c>
      <c r="B4018" s="177"/>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1"/>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7" t="s">
        <v>1900</v>
      </c>
      <c r="B4019" s="177"/>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1"/>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7" t="s">
        <v>1900</v>
      </c>
      <c r="B4020" s="177"/>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1"/>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7" t="s">
        <v>1900</v>
      </c>
      <c r="B4021" s="177"/>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1"/>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7" t="s">
        <v>1900</v>
      </c>
      <c r="B4022" s="177"/>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1"/>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7" t="s">
        <v>1900</v>
      </c>
      <c r="B4023" s="177"/>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1"/>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7" t="s">
        <v>1900</v>
      </c>
      <c r="B4024" s="177"/>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1"/>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7" t="s">
        <v>1900</v>
      </c>
      <c r="B4025" s="177"/>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1"/>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7" t="s">
        <v>1900</v>
      </c>
      <c r="B4026" s="177"/>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1"/>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7" t="s">
        <v>1900</v>
      </c>
      <c r="B4027" s="177"/>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1"/>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7" t="s">
        <v>1900</v>
      </c>
      <c r="B4028" s="177"/>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1"/>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7" t="s">
        <v>1900</v>
      </c>
      <c r="B4029" s="177"/>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1"/>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7" t="s">
        <v>1900</v>
      </c>
      <c r="B4030" s="177"/>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1"/>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7" t="s">
        <v>1900</v>
      </c>
      <c r="B4031" s="177"/>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1"/>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7" t="s">
        <v>1900</v>
      </c>
      <c r="B4032" s="177"/>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1"/>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7" t="s">
        <v>1900</v>
      </c>
      <c r="B4033" s="177"/>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1"/>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9" t="s">
        <v>1901</v>
      </c>
      <c r="B4034" s="179"/>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2"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79" t="s">
        <v>1901</v>
      </c>
      <c r="B4035" s="179"/>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2"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79" t="s">
        <v>1901</v>
      </c>
      <c r="B4036" s="179"/>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2"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79" t="s">
        <v>1901</v>
      </c>
      <c r="B4037" s="179"/>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2"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79" t="s">
        <v>1902</v>
      </c>
      <c r="B4038" s="179"/>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2"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79" t="s">
        <v>1902</v>
      </c>
      <c r="B4039" s="179"/>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2"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79" t="s">
        <v>1902</v>
      </c>
      <c r="B4040" s="179"/>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2"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77" t="s">
        <v>1903</v>
      </c>
      <c r="B4041" s="177"/>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1"/>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7" t="s">
        <v>1903</v>
      </c>
      <c r="B4042" s="177"/>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1"/>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7" t="s">
        <v>1903</v>
      </c>
      <c r="B4043" s="177"/>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1"/>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7" t="s">
        <v>1904</v>
      </c>
      <c r="B4044" s="177"/>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1"/>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7" t="s">
        <v>1904</v>
      </c>
      <c r="B4045" s="177"/>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1"/>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7" t="s">
        <v>1904</v>
      </c>
      <c r="B4046" s="177"/>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1"/>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7" t="s">
        <v>1904</v>
      </c>
      <c r="B4047" s="177"/>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1"/>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7" t="s">
        <v>1904</v>
      </c>
      <c r="B4048" s="177"/>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1"/>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7" t="s">
        <v>1904</v>
      </c>
      <c r="B4049" s="177"/>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1"/>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7" t="s">
        <v>1904</v>
      </c>
      <c r="B4050" s="177"/>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1"/>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7" t="s">
        <v>1904</v>
      </c>
      <c r="B4051" s="177"/>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1"/>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7" t="s">
        <v>1904</v>
      </c>
      <c r="B4052" s="177"/>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1"/>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7" t="s">
        <v>1904</v>
      </c>
      <c r="B4053" s="177"/>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1"/>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7" t="s">
        <v>1904</v>
      </c>
      <c r="B4054" s="177"/>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1"/>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7" t="s">
        <v>1904</v>
      </c>
      <c r="B4055" s="177"/>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1"/>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7" t="s">
        <v>1904</v>
      </c>
      <c r="B4056" s="177"/>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1"/>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7" t="s">
        <v>1904</v>
      </c>
      <c r="B4057" s="177"/>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1"/>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7" t="s">
        <v>1904</v>
      </c>
      <c r="B4058" s="177"/>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1"/>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7" t="s">
        <v>1904</v>
      </c>
      <c r="B4059" s="177"/>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1"/>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7" t="s">
        <v>1904</v>
      </c>
      <c r="B4060" s="177"/>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1"/>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7" t="s">
        <v>1904</v>
      </c>
      <c r="B4061" s="177"/>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1"/>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7" t="s">
        <v>1905</v>
      </c>
      <c r="B4062" s="177"/>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1"/>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7" t="s">
        <v>1905</v>
      </c>
      <c r="B4063" s="177"/>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1"/>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7" t="s">
        <v>1905</v>
      </c>
      <c r="B4064" s="177"/>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1"/>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7" t="s">
        <v>1905</v>
      </c>
      <c r="B4065" s="177"/>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1"/>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7" t="s">
        <v>1905</v>
      </c>
      <c r="B4066" s="177"/>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1"/>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7" t="s">
        <v>1905</v>
      </c>
      <c r="B4067" s="177"/>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1"/>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7" t="s">
        <v>1905</v>
      </c>
      <c r="B4068" s="177"/>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1"/>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7" t="s">
        <v>1906</v>
      </c>
      <c r="B4069" s="177"/>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1"/>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7" t="s">
        <v>1906</v>
      </c>
      <c r="B4070" s="177"/>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1"/>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0" t="s">
        <v>1906</v>
      </c>
      <c r="B4071" s="180"/>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1"/>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0" t="s">
        <v>1906</v>
      </c>
      <c r="B4072" s="180"/>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1"/>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0" t="s">
        <v>1906</v>
      </c>
      <c r="B4073" s="180"/>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1"/>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0" t="s">
        <v>1907</v>
      </c>
      <c r="B4074" s="180"/>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1"/>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0" t="s">
        <v>1907</v>
      </c>
      <c r="B4075" s="180"/>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1"/>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0" t="s">
        <v>1907</v>
      </c>
      <c r="B4076" s="180"/>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1"/>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0" t="s">
        <v>1907</v>
      </c>
      <c r="B4077" s="180"/>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1"/>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0" t="s">
        <v>1907</v>
      </c>
      <c r="B4078" s="180"/>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1"/>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7" t="s">
        <v>1908</v>
      </c>
      <c r="B4079" s="177"/>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1"/>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7" t="s">
        <v>1908</v>
      </c>
      <c r="B4080" s="177"/>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1"/>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7" t="s">
        <v>1908</v>
      </c>
      <c r="B4081" s="177"/>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1"/>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7" t="s">
        <v>1908</v>
      </c>
      <c r="B4082" s="177"/>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1"/>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7" t="s">
        <v>1909</v>
      </c>
      <c r="B4083" s="177"/>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1"/>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7" t="s">
        <v>1909</v>
      </c>
      <c r="B4084" s="177"/>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1"/>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7" t="s">
        <v>1909</v>
      </c>
      <c r="B4085" s="177"/>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1"/>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7" t="s">
        <v>1909</v>
      </c>
      <c r="B4086" s="177"/>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1"/>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7" t="s">
        <v>1909</v>
      </c>
      <c r="B4087" s="177"/>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1"/>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7" t="s">
        <v>1909</v>
      </c>
      <c r="B4088" s="177"/>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1"/>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7" t="s">
        <v>1909</v>
      </c>
      <c r="B4089" s="177"/>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1"/>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7" t="s">
        <v>1909</v>
      </c>
      <c r="B4090" s="177"/>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1"/>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7" t="s">
        <v>1909</v>
      </c>
      <c r="B4091" s="177"/>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1"/>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7" t="s">
        <v>1909</v>
      </c>
      <c r="B4092" s="177"/>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1"/>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72E00AE-A5C6-47F6-AA17-C59C717076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2026-06-24T14:05:13Z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