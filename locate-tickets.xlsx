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121" documentId="8_{7F841BAC-E3D2-4E4B-A3CA-97B4D46101DD}" xr6:coauthVersionLast="47" xr6:coauthVersionMax="47" xr10:uidLastSave="{D8E99020-9AA7-4239-B6ED-7D5631840CA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<sst xmlns="http://schemas.openxmlformats.org/spreadsheetml/2006/main" count="27826" uniqueCount="1909">
  <si>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</si>
  <si>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</si>
  <si>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</si>
  <si>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</si>
  <si>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</si>
  <si>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</si>
  <si>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</si>
  <si>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</si>
  <si>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</si>
  <si>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</si>
  <si>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</si>
  <si>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</si>
  <si>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</si>
  <si>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</si>
  <si>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</si>
  <si>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</si>
  <si>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</si>
  <si>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</si>
  <si>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</si>
  <si>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</si>
  <si>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</si>
  <si>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</si>
  <si>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</si>
  <si>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</si>
  <si>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</si>
  <si>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</si>
  <si>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</si>
  <si>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</si>
  <si>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</si>
  <si>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</si>
  <si>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</si>
  <si>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</si>
  <si>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</si>
  <si>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</si>
  <si>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</si>
  <si>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</si>
  <si>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</si>
  <si>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</si>
  <si>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</si>
  <si>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</si>
  <si>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</si>
  <si>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</si>
  <si>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</si>
  <si>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</si>
  <si>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</si>
  <si>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</si>
  <si>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</si>
  <si>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</si>
  <si>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</si>
  <si>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</si>
  <si>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</si>
  <si>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</si>
  <si>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</si>
  <si>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</si>
  <si>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</si>
  <si>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</si>
  <si>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</si>
  <si>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</si>
  <si>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</si>
  <si>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</si>
  <si>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</si>
  <si>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permit test</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</si>
  <si>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</si>
  <si>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</si>
  <si>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</si>
  <si>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</si>
  <si>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</si>
  <si>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</si>
  <si>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</si>
  <si>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</si>
  <si>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</si>
  <si>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</si>
  <si>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</si>
  <si>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</si>
  <si>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</si>
  <si>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</si>
  <si>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</si>
  <si>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</si>
  <si>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</si>
  <si>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</si>
  <si>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</si>
  <si>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</si>
  <si>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</si>
  <si>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</si>
  <si>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</si>
  <si>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</si>
  <si>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</si>
  <si>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</si>
  <si>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</si>
  <si>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</si>
  <si>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</si>
  <si>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</si>
  <si>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</si>
  <si>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</si>
  <si>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</si>
  <si>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</si>
  <si>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</si>
  <si>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</si>
  <si>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</si>
  <si>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</si>
  <si>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</si>
  <si>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</si>
  <si>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</si>
  <si>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</si>
  <si>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</si>
  <si>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</si>
  <si>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</si>
  <si>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</si>
  <si>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</si>
  <si>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</si>
  <si>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</si>
  <si>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</si>
  <si>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</si>
  <si>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</si>
  <si>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</si>
  <si>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</si>
  <si>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</si>
  <si>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</si>
  <si>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</si>
  <si>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</si>
  <si>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</si>
  <si>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</si>
  <si>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</si>
  <si>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</si>
  <si>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</si>
  <si>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</si>
  <si>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</si>
  <si>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</si>
  <si>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</si>
  <si>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</si>
  <si>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</si>
  <si>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</si>
  <si>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</si>
  <si>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</si>
  <si>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</si>
  <si>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</si>
  <si>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</si>
  <si>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</si>
  <si>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</si>
  <si>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</si>
  <si>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</si>
  <si>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</si>
  <si>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</si>
  <si>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</si>
  <si>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</si>
  <si>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</si>
  <si>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</si>
  <si>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</si>
  <si>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</si>
  <si>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</si>
  <si>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</si>
  <si>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</si>
  <si>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</si>
  <si>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</si>
  <si>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</si>
  <si>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</si>
  <si>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</si>
  <si>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</si>
  <si>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</si>
  <si>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</si>
  <si>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</si>
  <si>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</si>
  <si>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</si>
  <si>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</si>
  <si>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</si>
  <si>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</si>
  <si>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</si>
  <si>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</si>
  <si>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</si>
  <si>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</si>
  <si>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</si>
  <si>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</si>
  <si>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</si>
  <si>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</si>
  <si>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</si>
  <si>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</si>
  <si>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</si>
  <si>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</si>
  <si>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</si>
  <si>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</si>
  <si>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</si>
  <si>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</si>
  <si>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</si>
  <si>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</si>
  <si>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</si>
  <si>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HAS</t>
  </si>
  <si>
    <t>FB-HTG290</t>
  </si>
  <si>
    <t>D-HTG307</t>
  </si>
  <si>
    <t>FB-HTG288</t>
  </si>
  <si>
    <t>239-502-7785</t>
  </si>
  <si>
    <t>D-HBR256</t>
  </si>
  <si>
    <t>(727) 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</si>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</sst>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0" fillId="0" borderId="41" xfId="0" applyBorder="1"/>
    <xf numFmtId="0" fontId="2" fillId="0" borderId="0" xfId="0" applyFont="1" applyFill="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245</c:v>
                </c:pt>
                <c:pt idx="2">
                  <c:v>13</c:v>
                </c:pt>
                <c:pt idx="3">
                  <c:v>12</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27" tableId="2"/>
  </namedSheetView>
  <namedSheetView name="View2" id="{5C55A572-B441-4CF5-BE17-145477518499}">
    <nsvFilter filterId="{BB0ACC31-0A2E-46B2-8451-25A295C87F01}" ref="A1:R9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27" totalsRowShown="0" headerRowDxfId="25" dataDxfId="24" headerRowBorderDxfId="22" tableBorderDxfId="23">
  <autoFilter ref="A1:R927"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2" t="s">
        <v>0</v>
      </c>
      <c r="B1" s="202"/>
      <c r="C1" s="202"/>
      <c r="D1" s="202"/>
      <c r="E1" s="202"/>
      <c r="F1" s="202"/>
      <c r="G1" s="202"/>
      <c r="H1" s="202"/>
      <c r="I1" s="202"/>
      <c r="J1" s="202"/>
      <c r="K1" s="202"/>
      <c r="L1" s="202"/>
      <c r="O1" s="170"/>
      <c r="P1" s="169" t="s">
        <v>1</v>
      </c>
      <c r="Q1" s="169" t="s">
        <v>2</v>
      </c>
      <c r="R1" s="170" t="s">
        <v>3</v>
      </c>
      <c r="S1" s="170" t="s">
        <v>4</v>
      </c>
      <c r="T1" s="170"/>
    </row>
    <row r="2" spans="1:20" ht="18" customHeight="1">
      <c r="A2" s="203" t="s">
        <v>5</v>
      </c>
      <c r="B2" s="203"/>
      <c r="C2" s="203"/>
      <c r="D2" s="212" t="s">
        <v>6</v>
      </c>
      <c r="E2" s="212"/>
      <c r="F2" s="212"/>
      <c r="G2" s="204" t="s">
        <v>7</v>
      </c>
      <c r="H2" s="204"/>
      <c r="I2" s="204"/>
      <c r="J2" s="207" t="s">
        <v>8</v>
      </c>
      <c r="K2" s="207"/>
      <c r="L2" s="207"/>
      <c r="O2" s="170"/>
      <c r="P2" s="169" t="s">
        <v>9</v>
      </c>
      <c r="Q2" s="169" cm="1">
        <f t="array" ref="Q2">SUMPRODUCT((UPPER(Master!O2:O4898)="PENDING")*1)</f>
        <v>324</v>
      </c>
      <c r="R2" s="170" t="str" cm="1">
        <f t="array" ref="R2:R9">IFERROR(_xlfn._xlws.SORT(_xlfn.UNIQUE(_xlfn._xlws.FILTER(UPPER(Master!G2:G4898),Master!G2:G4898&lt;&gt;""))),"")</f>
        <v>BRADENTON</v>
      </c>
      <c r="S2" s="170" t="str" cm="1">
        <f t="array" ref="S2:S19">IFERROR(_xlfn._xlws.SORT(_xlfn.UNIQUE(_xlfn._xlws.FILTER(Master!H2:H4898,Master!H2:H4898&lt;&gt;""))),"")</f>
        <v>ALPHA OMEGA</v>
      </c>
      <c r="T2" s="170"/>
    </row>
    <row r="3" spans="1:20" ht="45" customHeight="1">
      <c r="A3" s="210">
        <f>COUNTA(Master!C2:C4898)</f>
        <v>623</v>
      </c>
      <c r="B3" s="210"/>
      <c r="C3" s="210"/>
      <c r="D3" s="213" cm="1">
        <f t="array" ref="D3">SUMPRODUCT((UPPER(Master!O2:O4898)="PENDING")*1)</f>
        <v>324</v>
      </c>
      <c r="E3" s="213"/>
      <c r="F3" s="213"/>
      <c r="G3" s="205" cm="1">
        <f t="array" ref="G3">SUMPRODUCT((UPPER(Master!O2:O4898)="CLEAR")*1)</f>
        <v>299</v>
      </c>
      <c r="H3" s="205"/>
      <c r="I3" s="205"/>
      <c r="J3" s="208" cm="1">
        <f t="array" ref="J3">SUMPRODUCT((UPPER(Master!O2:O4898)="EXPIRED")*1)</f>
        <v>0</v>
      </c>
      <c r="K3" s="208"/>
      <c r="L3" s="208"/>
      <c r="O3" s="170"/>
      <c r="P3" s="169" t="s">
        <v>10</v>
      </c>
      <c r="Q3" s="169" cm="1">
        <f t="array" ref="Q3">SUMPRODUCT((UPPER(Master!O2:O4898)="CLEAR")*1)</f>
        <v>299</v>
      </c>
      <c r="R3" s="170" t="str">
        <v>CLEARWATER</v>
      </c>
      <c r="S3" s="170" t="str">
        <v>APT</v>
      </c>
      <c r="T3" s="170"/>
    </row>
    <row r="4" spans="1:20" ht="15.75" customHeight="1">
      <c r="A4" s="211" t="s">
        <v>11</v>
      </c>
      <c r="B4" s="211"/>
      <c r="C4" s="211"/>
      <c r="D4" s="214" t="s">
        <v>12</v>
      </c>
      <c r="E4" s="214"/>
      <c r="F4" s="214"/>
      <c r="G4" s="206" t="s">
        <v>13</v>
      </c>
      <c r="H4" s="206"/>
      <c r="I4" s="206"/>
      <c r="J4" s="209" t="s">
        <v>14</v>
      </c>
      <c r="K4" s="209"/>
      <c r="L4" s="209"/>
      <c r="O4" s="170"/>
      <c r="P4" s="169" t="s">
        <v>15</v>
      </c>
      <c r="Q4" s="169" cm="1">
        <f t="array" ref="Q4">SUMPRODUCT((UPPER(Master!O2:O4898)="EXPIRED")*1)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61</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SUMPRODUCT((UPPER(Master!G2:G4898)="BRADENTON")*1)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SUMPRODUCT((UPPER(Master!G2:G4898)="ST.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SUMPRODUCT((UPPER(Master!G2:G4898)="PUNTA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SUMPRODUCT((UPPER(Master!G2:G4898)="SARASOTA")*1)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SUMPRODUCT((UPPER(Master!G2:G4898)="PORT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IF(P14="","",SUMPRODUCT((UPPER(Master!H2:H4898)=UPPER(P14))*1))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IF(P15="","",SUMPRODUCT((UPPER(Master!H2:H4898)=UPPER(P15))*1))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IF(P16="","",SUMPRODUCT((UPPER(Master!H2:H4898)=UPPER(P16))*1))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IF(P17="","",SUMPRODUCT((UPPER(Master!H2:H4898)=UPPER(P17))*1))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IF(P18="","",SUMPRODUCT((UPPER(Master!H2:H4898)=UPPER(P18))*1))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IF(P19="","",SUMPRODUCT((UPPER(Master!H2:H4898)=UPPER(P19))*1))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IF(P20="","",SUMPRODUCT((UPPER(Master!H2:H4898)=UPPER(P20))*1))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IF(P21="","",SUMPRODUCT((UPPER(Master!H2:H4898)=UPPER(P21))*1))</f>
        <v>8</v>
      </c>
      <c r="R21" s="170"/>
      <c r="S21" s="170"/>
      <c r="T21" s="170"/>
    </row>
    <row r="22" spans="1:20" ht="20.25" customHeight="1">
      <c r="A22" s="222" t="s">
        <v>24</v>
      </c>
      <c r="B22" s="222"/>
      <c r="C22" s="222"/>
      <c r="D22" s="222"/>
      <c r="E22" s="222"/>
      <c r="G22" s="223" t="s">
        <v>25</v>
      </c>
      <c r="H22" s="224"/>
      <c r="O22" s="170"/>
      <c r="P22" s="169" t="str">
        <f>IFERROR(INDEX(_xlfn.ANCHORARRAY(S2),9),"")</f>
        <v>LEGANT</v>
      </c>
      <c r="Q22" s="169" cm="1">
        <f t="array" ref="Q22">IF(P22="","",SUMPRODUCT((UPPER(Master!H2:H4898)=UPPER(P22))*1))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IF(P23="","",SUMPRODUCT((UPPER(Master!H2:H4898)=UPPER(P23))*1))</f>
        <v>52</v>
      </c>
      <c r="R23" s="170"/>
      <c r="S23" s="170"/>
      <c r="T23" s="170"/>
    </row>
    <row r="24" spans="1:20" ht="15.75" customHeight="1">
      <c r="A24" s="107" t="str">
        <f>IFERROR(INDEX(_xlfn.ANCHORARRAY(R2),1),"")</f>
        <v>BRADENTON</v>
      </c>
      <c r="B24" s="108" cm="1">
        <f t="array" ref="B24">IF(A24="","",SUMPRODUCT((UPPER(Master!G2:G4898)=A24)*(UPPER(Master!O2:O4898)="PENDING")))</f>
        <v>12</v>
      </c>
      <c r="C24" s="108" cm="1">
        <f t="array" ref="C24">IF(A24="","",SUMPRODUCT((UPPER(Master!G2:G4898)=A24)*(UPPER(Master!O2:O4898)="CLEAR")))</f>
        <v>1</v>
      </c>
      <c r="D24" s="108" cm="1">
        <f t="array" ref="D24">IF(A24="","",SUMPRODUCT((UPPER(Master!G2:G4898)=A24)*(UPPER(Master!O2:O4898)="EXPIRED")))</f>
        <v>0</v>
      </c>
      <c r="E24" s="109">
        <f>IF(A24="","",B24+C24+D24)</f>
        <v>13</v>
      </c>
      <c r="G24" s="114" t="str">
        <f>IFERROR(INDEX(_xlfn.ANCHORARRAY(S2),1),"")</f>
        <v>ALPHA OMEGA</v>
      </c>
      <c r="H24" s="113" cm="1">
        <f t="array" ref="H24">IF(G24="","",SUMPRODUCT((UPPER(Master!H2:H4898)=UPPER(G24))*1))</f>
        <v>3</v>
      </c>
      <c r="O24" s="170"/>
      <c r="P24" s="169"/>
      <c r="Q24" s="169"/>
      <c r="R24" s="170"/>
      <c r="S24" s="170"/>
      <c r="T24" s="170"/>
    </row>
    <row r="25" spans="1:20" ht="15.75" customHeight="1">
      <c r="A25" s="110" t="str">
        <f>IFERROR(INDEX(_xlfn.ANCHORARRAY(R2),2),"")</f>
        <v>CLEARWATER</v>
      </c>
      <c r="B25" s="111" cm="1">
        <f t="array" ref="B25">IF(A25="","",SUMPRODUCT((UPPER(Master!G2:G4898)=A25)*(UPPER(Master!O2:O4898)="PENDING")))</f>
        <v>245</v>
      </c>
      <c r="C25" s="111" cm="1">
        <f t="array" ref="C25">IF(A25="","",SUMPRODUCT((UPPER(Master!G2:G4898)=A25)*(UPPER(Master!O2:O4898)="CLEAR")))</f>
        <v>149</v>
      </c>
      <c r="D25" s="111" cm="1">
        <f t="array" ref="D25">IF(A25="","",SUMPRODUCT((UPPER(Master!G2:G4898)=A25)*(UPPER(Master!O2:O4898)="EXPIRED")))</f>
        <v>0</v>
      </c>
      <c r="E25" s="112">
        <f>IF(A25="","",B25+C25+D25)</f>
        <v>394</v>
      </c>
      <c r="G25" s="110" t="str">
        <f>IFERROR(INDEX(_xlfn.ANCHORARRAY(S2),2),"")</f>
        <v>APT</v>
      </c>
      <c r="H25" s="112" cm="1">
        <f t="array" ref="H25">IF(G25="","",SUMPRODUCT((UPPER(Master!H2:H4898)=UPPER(G25))*1))</f>
        <v>14</v>
      </c>
      <c r="O25" s="170"/>
      <c r="P25" s="169"/>
      <c r="Q25" s="169"/>
      <c r="R25" s="170"/>
      <c r="S25" s="170"/>
      <c r="T25" s="170"/>
    </row>
    <row r="26" spans="1:20" ht="15.75" customHeight="1">
      <c r="A26" s="107" t="str">
        <f>IFERROR(INDEX(_xlfn.ANCHORARRAY(R2),3),"")</f>
        <v>FORT MYERS</v>
      </c>
      <c r="B26" s="108" cm="1">
        <f t="array" ref="B26">IF(A26="","",SUMPRODUCT((UPPER(Master!G2:G4898)=A26)*(UPPER(Master!O2:O4898)="PENDING")))</f>
        <v>13</v>
      </c>
      <c r="C26" s="108" cm="1">
        <f t="array" ref="C26">IF(A26="","",SUMPRODUCT((UPPER(Master!G2:G4898)=A26)*(UPPER(Master!O2:O4898)="CLEAR")))</f>
        <v>56</v>
      </c>
      <c r="D26" s="108" cm="1">
        <f t="array" ref="D26">IF(A26="","",SUMPRODUCT((UPPER(Master!G2:G4898)=A26)*(UPPER(Master!O2:O4898)="EXPIRED")))</f>
        <v>0</v>
      </c>
      <c r="E26" s="109">
        <f>IF(A26="","",B26+C26+D26)</f>
        <v>69</v>
      </c>
      <c r="G26" s="107" t="str">
        <f>IFERROR(INDEX(_xlfn.ANCHORARRAY(S2),3),"")</f>
        <v>BROTHERS</v>
      </c>
      <c r="H26" s="109" cm="1">
        <f t="array" ref="H26">IF(G26="","",SUMPRODUCT((UPPER(Master!H2:H4898)=UPPER(G26))*1))</f>
        <v>97</v>
      </c>
    </row>
    <row r="27" spans="1:20" ht="15.75" customHeight="1">
      <c r="A27" s="110" t="str">
        <f>IFERROR(INDEX(_xlfn.ANCHORARRAY(R2),4),"")</f>
        <v>FT MYERS</v>
      </c>
      <c r="B27" s="111" cm="1">
        <f t="array" ref="B27">IF(A27="","",SUMPRODUCT((UPPER(Master!G2:G4898)=A27)*(UPPER(Master!O2:O4898)="PENDING")))</f>
        <v>12</v>
      </c>
      <c r="C27" s="111" cm="1">
        <f t="array" ref="C27">IF(A27="","",SUMPRODUCT((UPPER(Master!G2:G4898)=A27)*(UPPER(Master!O2:O4898)="CLEAR")))</f>
        <v>49</v>
      </c>
      <c r="D27" s="111" cm="1">
        <f t="array" ref="D27">IF(A27="","",SUMPRODUCT((UPPER(Master!G2:G4898)=A27)*(UPPER(Master!O2:O4898)="EXPIRED")))</f>
        <v>0</v>
      </c>
      <c r="E27" s="112">
        <f>IF(A27="","",B27+C27+D27)</f>
        <v>61</v>
      </c>
      <c r="G27" s="110" t="str">
        <f>IFERROR(INDEX(_xlfn.ANCHORARRAY(S2),4),"")</f>
        <v>GN Systems</v>
      </c>
      <c r="H27" s="112" cm="1">
        <f t="array" ref="H27">IF(G27="","",SUMPRODUCT((UPPER(Master!H2:H4898)=UPPER(G27))*1))</f>
        <v>72</v>
      </c>
    </row>
    <row r="28" spans="1:20" ht="15.75" customHeight="1">
      <c r="A28" s="107" t="str">
        <f>IFERROR(INDEX(_xlfn.ANCHORARRAY(R2),5),"")</f>
        <v>LAKELAND</v>
      </c>
      <c r="B28" s="108" cm="1">
        <f t="array" ref="B28">IF(A28="","",SUMPRODUCT((UPPER(Master!G2:G4898)=A28)*(UPPER(Master!O2:O4898)="PENDING")))</f>
        <v>7</v>
      </c>
      <c r="C28" s="108" cm="1">
        <f t="array" ref="C28">IF(A28="","",SUMPRODUCT((UPPER(Master!G2:G4898)=A28)*(UPPER(Master!O2:O4898)="CLEAR")))</f>
        <v>0</v>
      </c>
      <c r="D28" s="108" cm="1">
        <f t="array" ref="D28">IF(A28="","",SUMPRODUCT((UPPER(Master!G2:G4898)=A28)*(UPPER(Master!O2:O4898)="EXPIRED")))</f>
        <v>0</v>
      </c>
      <c r="E28" s="109">
        <f>IF(A28="","",B28+C28+D28)</f>
        <v>7</v>
      </c>
      <c r="G28" s="107" t="str">
        <f>IFERROR(INDEX(_xlfn.ANCHORARRAY(S2),5),"")</f>
        <v>HAS</v>
      </c>
      <c r="H28" s="109" cm="1">
        <f t="array" ref="H28">IF(G28="","",SUMPRODUCT((UPPER(Master!H2:H4898)=UPPER(G28))*1))</f>
        <v>7</v>
      </c>
    </row>
    <row r="29" spans="1:20" ht="15.75" customHeight="1">
      <c r="A29" s="110" t="str">
        <f>IFERROR(INDEX(_xlfn.ANCHORARRAY(R2),6),"")</f>
        <v>MIAMI</v>
      </c>
      <c r="B29" s="111" cm="1">
        <f t="array" ref="B29">IF(A29="","",SUMPRODUCT((UPPER(Master!G2:G4898)=A29)*(UPPER(Master!O2:O4898)="PENDING")))</f>
        <v>12</v>
      </c>
      <c r="C29" s="111" cm="1">
        <f t="array" ref="C29">IF(A29="","",SUMPRODUCT((UPPER(Master!G2:G4898)=A29)*(UPPER(Master!O2:O4898)="CLEAR")))</f>
        <v>32</v>
      </c>
      <c r="D29" s="111" cm="1">
        <f t="array" ref="D29">IF(A29="","",SUMPRODUCT((UPPER(Master!G2:G4898)=A29)*(UPPER(Master!O2:O4898)="EXPIRED")))</f>
        <v>0</v>
      </c>
      <c r="E29" s="112">
        <f>IF(A29="","",B29+C29+D29)</f>
        <v>44</v>
      </c>
      <c r="G29" s="110" t="str">
        <f>IFERROR(INDEX(_xlfn.ANCHORARRAY(S2),6),"")</f>
        <v>HDD</v>
      </c>
      <c r="H29" s="112" cm="1">
        <f t="array" ref="H29">IF(G29="","",SUMPRODUCT((UPPER(Master!H2:H4898)=UPPER(G29))*1))</f>
        <v>14</v>
      </c>
    </row>
    <row r="30" spans="1:20" ht="15.75" customHeight="1">
      <c r="A30" s="107" t="str">
        <f>IFERROR(INDEX(_xlfn.ANCHORARRAY(R2),7),"")</f>
        <v>PUNTA GORDA</v>
      </c>
      <c r="B30" s="108" cm="1">
        <f t="array" ref="B30">IF(A30="","",SUMPRODUCT((UPPER(Master!G2:G4898)=A30)*(UPPER(Master!O2:O4898)="PENDING")))</f>
        <v>22</v>
      </c>
      <c r="C30" s="108" cm="1">
        <f t="array" ref="C30">IF(A30="","",SUMPRODUCT((UPPER(Master!G2:G4898)=A30)*(UPPER(Master!O2:O4898)="CLEAR")))</f>
        <v>12</v>
      </c>
      <c r="D30" s="108" cm="1">
        <f t="array" ref="D30">IF(A30="","",SUMPRODUCT((UPPER(Master!G2:G4898)=A30)*(UPPER(Master!O2:O4898)="EXPIRED")))</f>
        <v>0</v>
      </c>
      <c r="E30" s="109">
        <f>IF(A30="","",B30+C30+D30)</f>
        <v>34</v>
      </c>
      <c r="G30" s="107" t="str">
        <f>IFERROR(INDEX(_xlfn.ANCHORARRAY(S2),7),"")</f>
        <v>HNC</v>
      </c>
      <c r="H30" s="109" cm="1">
        <f t="array" ref="H30">IF(G30="","",SUMPRODUCT((UPPER(Master!H2:H4898)=UPPER(G30))*1))</f>
        <v>12</v>
      </c>
    </row>
    <row r="31" spans="1:20" ht="15.75" customHeight="1">
      <c r="A31" s="110" t="str">
        <f>IFERROR(INDEX(_xlfn.ANCHORARRAY(R2),8),"")</f>
        <v>ST. PETERSBURG</v>
      </c>
      <c r="B31" s="111" cm="1">
        <f t="array" ref="B31">IF(A31="","",SUMPRODUCT((UPPER(Master!G2:G4898)=A31)*(UPPER(Master!O2:O4898)="PENDING")))</f>
        <v>1</v>
      </c>
      <c r="C31" s="111" cm="1">
        <f t="array" ref="C31">IF(A31="","",SUMPRODUCT((UPPER(Master!G2:G4898)=A31)*(UPPER(Master!O2:O4898)="CLEAR")))</f>
        <v>0</v>
      </c>
      <c r="D31" s="111" cm="1">
        <f t="array" ref="D31">IF(A31="","",SUMPRODUCT((UPPER(Master!G2:G4898)=A31)*(UPPER(Master!O2:O4898)="EXPIRED")))</f>
        <v>0</v>
      </c>
      <c r="E31" s="112">
        <f>IF(A31="","",B31+C31+D31)</f>
        <v>1</v>
      </c>
      <c r="G31" s="110" t="str">
        <f>IFERROR(INDEX(_xlfn.ANCHORARRAY(S2),8),"")</f>
        <v>J. GARCIA</v>
      </c>
      <c r="H31" s="112" cm="1">
        <f t="array" ref="H31">IF(G31="","",SUMPRODUCT((UPPER(Master!H2:H4898)=UPPER(G31))*1))</f>
        <v>8</v>
      </c>
    </row>
    <row r="32" spans="1:20" ht="15.75" customHeight="1">
      <c r="A32" s="107" t="str">
        <f>IFERROR(INDEX(_xlfn.ANCHORARRAY(R2),9),"")</f>
        <v/>
      </c>
      <c r="B32" s="108" t="str" cm="1">
        <f t="array" ref="B32">IF(A32="","",SUMPRODUCT((UPPER(Master!G2:G4898)=A32)*(UPPER(Master!O2:O4898)="PENDING")))</f>
        <v/>
      </c>
      <c r="C32" s="108" t="str" cm="1">
        <f t="array" ref="C32">IF(A32="","",SUMPRODUCT((UPPER(Master!G2:G4898)=A32)*(UPPER(Master!O2:O4898)="CLEAR")))</f>
        <v/>
      </c>
      <c r="D32" s="108" t="str" cm="1">
        <f t="array" ref="D32">IF(A32="","",SUMPRODUCT((UPPER(Master!G2:G4898)=A32)*(UPPER(Master!O2:O4898)="EXPIRED")))</f>
        <v/>
      </c>
      <c r="E32" s="109" t="str">
        <f>IF(A32="","",B32+C32+D32)</f>
        <v/>
      </c>
      <c r="G32" s="107" t="str">
        <f>IFERROR(INDEX(_xlfn.ANCHORARRAY(S2),9),"")</f>
        <v>LEGANT</v>
      </c>
      <c r="H32" s="109" cm="1">
        <f t="array" ref="H32">IF(G32="","",SUMPRODUCT((UPPER(Master!H2:H4898)=UPPER(G32))*1))</f>
        <v>14</v>
      </c>
    </row>
    <row r="33" spans="1:12" ht="15.75" customHeight="1">
      <c r="A33" s="110" t="str">
        <f>IFERROR(INDEX(_xlfn.ANCHORARRAY(R2),10),"")</f>
        <v/>
      </c>
      <c r="B33" s="111" t="str" cm="1">
        <f t="array" ref="B33">IF(A33="","",SUMPRODUCT((UPPER(Master!G2:G4898)=A33)*(UPPER(Master!O2:O4898)="PENDING")))</f>
        <v/>
      </c>
      <c r="C33" s="111" t="str" cm="1">
        <f t="array" ref="C33">IF(A33="","",SUMPRODUCT((UPPER(Master!G2:G4898)=A33)*(UPPER(Master!O2:O4898)="CLEAR")))</f>
        <v/>
      </c>
      <c r="D33" s="111" t="str" cm="1">
        <f t="array" ref="D33">IF(A33="","",SUMPRODUCT((UPPER(Master!G2:G4898)=A33)*(UPPER(Master!O2:O4898)="EXPIRED")))</f>
        <v/>
      </c>
      <c r="E33" s="112" t="str">
        <f>IF(A33="","",B33+C33+D33)</f>
        <v/>
      </c>
      <c r="G33" s="110" t="str">
        <f>IFERROR(INDEX(_xlfn.ANCHORARRAY(S2),10),"")</f>
        <v>LOPEZ</v>
      </c>
      <c r="H33" s="112" cm="1">
        <f t="array" ref="H33">IF(G33="","",SUMPRODUCT((UPPER(Master!H2:H4898)=UPPER(G33))*1))</f>
        <v>52</v>
      </c>
    </row>
    <row r="34" spans="1:12" ht="15.75" customHeight="1">
      <c r="A34" s="107" t="str">
        <f>IFERROR(INDEX(_xlfn.ANCHORARRAY(R2),11),"")</f>
        <v/>
      </c>
      <c r="B34" s="108" t="str" cm="1">
        <f t="array" ref="B34">IF(A34="","",SUMPRODUCT((UPPER(Master!G2:G4898)=A34)*(UPPER(Master!O2:O4898)="PENDING")))</f>
        <v/>
      </c>
      <c r="C34" s="108" t="str" cm="1">
        <f t="array" ref="C34">IF(A34="","",SUMPRODUCT((UPPER(Master!G2:G4898)=A34)*(UPPER(Master!O2:O4898)="CLEAR")))</f>
        <v/>
      </c>
      <c r="D34" s="108" t="str" cm="1">
        <f t="array" ref="D34">IF(A34="","",SUMPRODUCT((UPPER(Master!G2:G4898)=A34)*(UPPER(Master!O2:O4898)="EXPIRED")))</f>
        <v/>
      </c>
      <c r="E34" s="109" t="str">
        <f>IF(A34="","",B34+C34+D34)</f>
        <v/>
      </c>
      <c r="G34" s="107" t="str">
        <f>IFERROR(INDEX(_xlfn.ANCHORARRAY(S2),11),"")</f>
        <v>LOPEZ UNDERGROUND</v>
      </c>
      <c r="H34" s="109" cm="1">
        <f t="array" ref="H34">IF(G34="","",SUMPRODUCT((UPPER(Master!H2:H4898)=UPPER(G34))*1))</f>
        <v>25</v>
      </c>
    </row>
    <row r="35" spans="1:12" ht="15.75" customHeight="1">
      <c r="A35" s="110" t="str">
        <f>IFERROR(INDEX(_xlfn.ANCHORARRAY(R2),12),"")</f>
        <v/>
      </c>
      <c r="B35" s="111" t="str" cm="1">
        <f t="array" ref="B35">IF(A35="","",SUMPRODUCT((UPPER(Master!G2:G4898)=A35)*(UPPER(Master!O2:O4898)="PENDING")))</f>
        <v/>
      </c>
      <c r="C35" s="111" t="str" cm="1">
        <f t="array" ref="C35">IF(A35="","",SUMPRODUCT((UPPER(Master!G2:G4898)=A35)*(UPPER(Master!O2:O4898)="CLEAR")))</f>
        <v/>
      </c>
      <c r="D35" s="111" t="str" cm="1">
        <f t="array" ref="D35">IF(A35="","",SUMPRODUCT((UPPER(Master!G2:G4898)=A35)*(UPPER(Master!O2:O4898)="EXPIRED")))</f>
        <v/>
      </c>
      <c r="E35" s="112" t="str">
        <f>IF(A35="","",B35+C35+D35)</f>
        <v/>
      </c>
      <c r="G35" s="110" t="str">
        <f>IFERROR(INDEX(_xlfn.ANCHORARRAY(S2),12),"")</f>
        <v>LSCG</v>
      </c>
      <c r="H35" s="112" cm="1">
        <f t="array" ref="H35">IF(G35="","",SUMPRODUCT((UPPER(Master!H2:H4898)=UPPER(G35))*1))</f>
        <v>152</v>
      </c>
    </row>
    <row r="36" spans="1:12" ht="15.75" customHeight="1">
      <c r="A36" s="107" t="str">
        <f>IFERROR(INDEX(_xlfn.ANCHORARRAY(R2),13),"")</f>
        <v/>
      </c>
      <c r="B36" s="108" t="str" cm="1">
        <f t="array" ref="B36">IF(A36="","",SUMPRODUCT((UPPER(Master!G2:G4898)=A36)*(UPPER(Master!O2:O4898)="PENDING")))</f>
        <v/>
      </c>
      <c r="C36" s="108" t="str" cm="1">
        <f t="array" ref="C36">IF(A36="","",SUMPRODUCT((UPPER(Master!G2:G4898)=A36)*(UPPER(Master!O2:O4898)="CLEAR")))</f>
        <v/>
      </c>
      <c r="D36" s="108" t="str" cm="1">
        <f t="array" ref="D36">IF(A36="","",SUMPRODUCT((UPPER(Master!G2:G4898)=A36)*(UPPER(Master!O2:O4898)="EXPIRED")))</f>
        <v/>
      </c>
      <c r="E36" s="109" t="str">
        <f>IF(A36="","",B36+C36+D36)</f>
        <v/>
      </c>
      <c r="G36" s="114" t="str">
        <f>IFERROR(INDEX(_xlfn.ANCHORARRAY(S2),13),"")</f>
        <v>MID FL</v>
      </c>
      <c r="H36" s="113" cm="1">
        <f t="array" ref="H36">IF(G36="","",SUMPRODUCT((UPPER(Master!H2:H4898)=UPPER(G36))*1))</f>
        <v>30</v>
      </c>
    </row>
    <row r="37" spans="1:12" ht="15.75" customHeight="1">
      <c r="A37" s="110" t="str">
        <f>IFERROR(INDEX(_xlfn.ANCHORARRAY(R2),14),"")</f>
        <v/>
      </c>
      <c r="B37" s="111" t="str" cm="1">
        <f t="array" ref="B37">IF(A37="","",SUMPRODUCT((UPPER(Master!G2:G4898)=A37)*(UPPER(Master!O2:O4898)="PENDING")))</f>
        <v/>
      </c>
      <c r="C37" s="111" t="str" cm="1">
        <f t="array" ref="C37">IF(A37="","",SUMPRODUCT((UPPER(Master!G2:G4898)=A37)*(UPPER(Master!O2:O4898)="CLEAR")))</f>
        <v/>
      </c>
      <c r="D37" s="111" t="str" cm="1">
        <f t="array" ref="D37">IF(A37="","",SUMPRODUCT((UPPER(Master!G2:G4898)=A37)*(UPPER(Master!O2:O4898)="EXPIRED")))</f>
        <v/>
      </c>
      <c r="E37" s="112" t="str">
        <f>IF(A37="","",B37+C37+D37)</f>
        <v/>
      </c>
      <c r="F37" s="95"/>
      <c r="G37" s="110" t="str">
        <f>IFERROR(INDEX(_xlfn.ANCHORARRAY(S2),14),"")</f>
        <v>NIA UNDERGROUND</v>
      </c>
      <c r="H37" s="112" cm="1">
        <f t="array" ref="H37">IF(G37="","",SUMPRODUCT((UPPER(Master!H2:H4898)=UPPER(G37))*1))</f>
        <v>10</v>
      </c>
      <c r="I37" s="95"/>
      <c r="J37" s="95"/>
      <c r="K37" s="95"/>
      <c r="L37" s="95"/>
    </row>
    <row r="38" spans="1:12" ht="15.75" customHeight="1">
      <c r="A38" s="115" t="str">
        <f>IFERROR(INDEX(_xlfn.ANCHORARRAY(R2),15),"")</f>
        <v/>
      </c>
      <c r="B38" s="93" t="str" cm="1">
        <f t="array" ref="B38">IF(A38="","",SUMPRODUCT((UPPER(Master!G2:G4898)=A38)*(UPPER(Master!O2:O4898)="PENDING")))</f>
        <v/>
      </c>
      <c r="C38" s="93" t="str" cm="1">
        <f t="array" ref="C38">IF(A38="","",SUMPRODUCT((UPPER(Master!G2:G4898)=A38)*(UPPER(Master!O2:O4898)="CLEAR")))</f>
        <v/>
      </c>
      <c r="D38" s="93" t="str" cm="1">
        <f t="array" ref="D38">IF(A38="","",SUMPRODUCT((UPPER(Master!G2:G4898)=A38)*(UPPER(Master!O2:O4898)="EXPIRED")))</f>
        <v/>
      </c>
      <c r="E38" s="103" t="str">
        <f>IF(A38="","",B38+C38+D38)</f>
        <v/>
      </c>
      <c r="F38" s="95"/>
      <c r="G38" s="114" t="str">
        <f>IFERROR(INDEX(_xlfn.ANCHORARRAY(S2),15),"")</f>
        <v>NORTH PATH</v>
      </c>
      <c r="H38" s="113" cm="1">
        <f t="array" ref="H38">IF(G38="","",SUMPRODUCT((UPPER(Master!H2:H4898)=UPPER(G38))*1))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IF(G39="","",SUMPRODUCT((UPPER(Master!H2:H4898)=UPPER(G39))*1))</f>
        <v>32</v>
      </c>
    </row>
    <row r="40" spans="1:12">
      <c r="G40" s="114" t="str">
        <f>IFERROR(INDEX(_xlfn.ANCHORARRAY(S2),17),"")</f>
        <v>POWER CONNECT</v>
      </c>
      <c r="H40" s="113" cm="1">
        <f t="array" ref="H40">IF(G40="","",SUMPRODUCT((UPPER(Master!H2:H4898)=UPPER(G40))*1))</f>
        <v>31</v>
      </c>
    </row>
    <row r="41" spans="1:12" ht="17.25" customHeight="1">
      <c r="G41" s="200" t="s">
        <v>28</v>
      </c>
      <c r="H41" s="201">
        <f>SUM(H24:H40)</f>
        <v>585</v>
      </c>
    </row>
    <row r="42" spans="1:12" hidden="1">
      <c r="A42" t="s">
        <v>1</v>
      </c>
      <c r="B42" t="s">
        <v>2</v>
      </c>
      <c r="D42" t="s">
        <v>17</v>
      </c>
      <c r="E42" t="s">
        <v>2</v>
      </c>
      <c r="G42" t="s">
        <v>23</v>
      </c>
      <c r="H42" t="s">
        <v>2</v>
      </c>
    </row>
    <row r="43" spans="1:12" hidden="1">
      <c r="A43" t="s">
        <v>9</v>
      </c>
      <c r="B43">
        <f>D3</f>
        <v>324</v>
      </c>
      <c r="D43" t="s">
        <v>16</v>
      </c>
      <c r="E43">
        <f>E27</f>
        <v>61</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COUNTA(Master!C2:C4898)</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COUNTIF(Master!O2:O4898,"Pending")+COUNTIF(Master!O2:O4898,"PENDING")</f>
        <v>648</v>
      </c>
    </row>
    <row r="55" spans="1:2" hidden="1">
      <c r="A55" t="s">
        <v>10</v>
      </c>
      <c r="B55">
        <f>COUNTIF(Master!O2:O4898,"Clear")+COUNTIF(Master!O2:O4898,"clear")+COUNTIF(Master!O2:O4898,"CLEAR")</f>
        <v>897</v>
      </c>
    </row>
    <row r="56" spans="1:2" hidden="1">
      <c r="A56" t="s">
        <v>15</v>
      </c>
      <c r="B56">
        <f>COUNTIF(Master!O2:O4898,"Expired")+COUNTIF(Master!O2:O4898,"expired")+COUNTIF(Master!O2:O4898,"EXPIRED")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COUNTIF(Master!G2:G4898,"BRADENTON")</f>
        <v>13</v>
      </c>
    </row>
    <row r="65" spans="1:2" hidden="1">
      <c r="A65" t="s">
        <v>18</v>
      </c>
      <c r="B65">
        <f>COUNTIF(Master!G2:G4898,"ST. PETERSBURG")</f>
        <v>1</v>
      </c>
    </row>
    <row r="66" spans="1:2" hidden="1">
      <c r="A66" t="s">
        <v>19</v>
      </c>
      <c r="B66">
        <f>COUNTIF(Master!G2:G4898,"PUNTA GORDA")</f>
        <v>34</v>
      </c>
    </row>
    <row r="67" spans="1:2" hidden="1">
      <c r="A67" t="s">
        <v>34</v>
      </c>
      <c r="B67">
        <f>COUNTIF(Master!G2:G4898,"Sarasota")</f>
        <v>0</v>
      </c>
    </row>
    <row r="68" spans="1:2" hidden="1">
      <c r="A68" t="s">
        <v>35</v>
      </c>
      <c r="B68">
        <f>COUNTIF(Master!G2:G4898,"Port Charlotte")</f>
        <v>0</v>
      </c>
    </row>
    <row r="69" spans="1:2" hidden="1">
      <c r="A69" t="s">
        <v>36</v>
      </c>
      <c r="B69">
        <f>COUNTIF(Master!G2:G4898,"ST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COUNTIF(Master!H2:H4898,"GN Systems")</f>
        <v>72</v>
      </c>
    </row>
    <row r="77" spans="1:2" hidden="1">
      <c r="A77" t="s">
        <v>22</v>
      </c>
      <c r="B77">
        <f>COUNTIF(Master!H2:H4898,"Lightspeed")</f>
        <v>0</v>
      </c>
    </row>
    <row r="78" spans="1:2" hidden="1">
      <c r="A78" t="s">
        <v>38</v>
      </c>
      <c r="B78">
        <f>COUNTIF(Master!H2:H4898,"LIGHTSPEED")</f>
        <v>0</v>
      </c>
    </row>
    <row r="79" spans="1:2" hidden="1">
      <c r="A79" t="s">
        <v>30</v>
      </c>
      <c r="B79">
        <f>COUNTIF(Master!H2:H4898,"LSCG")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27"/>
  <sheetViews>
    <sheetView tabSelected="1" zoomScale="90" zoomScaleNormal="90" workbookViewId="0">
      <pane xSplit="1" topLeftCell="B555" activePane="topRight" state="frozen"/>
      <selection pane="topRight" activeCell="A579" sqref="A579"/>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t="s">
        <v>61</v>
      </c>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t="s">
        <v>61</v>
      </c>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t="s">
        <v>61</v>
      </c>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62</v>
      </c>
      <c r="B46" s="180"/>
      <c r="C46" s="168">
        <v>118606531</v>
      </c>
      <c r="F46" s="29" t="s">
        <v>63</v>
      </c>
      <c r="G46" s="3" t="s">
        <v>19</v>
      </c>
      <c r="H46" s="3" t="s">
        <v>30</v>
      </c>
      <c r="I46" s="55">
        <v>46140</v>
      </c>
      <c r="J46" s="55">
        <v>46142</v>
      </c>
      <c r="K46" s="55">
        <v>46170</v>
      </c>
      <c r="L46" s="55"/>
      <c r="M46" s="55"/>
      <c r="O46" s="3" t="s">
        <v>10</v>
      </c>
      <c r="P46" s="55">
        <v>46143</v>
      </c>
      <c r="R46" s="184"/>
    </row>
    <row r="47" spans="1:18" ht="15" customHeight="1">
      <c r="A47" s="180" t="s">
        <v>62</v>
      </c>
      <c r="B47" s="180"/>
      <c r="C47" s="168">
        <v>118606665</v>
      </c>
      <c r="F47" s="29" t="s">
        <v>63</v>
      </c>
      <c r="G47" s="3" t="s">
        <v>19</v>
      </c>
      <c r="H47" s="3" t="s">
        <v>30</v>
      </c>
      <c r="I47" s="55">
        <v>46140</v>
      </c>
      <c r="J47" s="55">
        <v>46142</v>
      </c>
      <c r="K47" s="55">
        <v>46170</v>
      </c>
      <c r="L47" s="55"/>
      <c r="M47" s="55"/>
      <c r="O47" s="3" t="s">
        <v>10</v>
      </c>
      <c r="P47" s="55">
        <v>46143</v>
      </c>
      <c r="R47" s="184"/>
    </row>
    <row r="48" spans="1:18" ht="15" customHeight="1">
      <c r="A48" s="180" t="s">
        <v>62</v>
      </c>
      <c r="B48" s="180"/>
      <c r="C48" s="168">
        <v>118606742</v>
      </c>
      <c r="F48" s="29" t="s">
        <v>63</v>
      </c>
      <c r="G48" s="3" t="s">
        <v>19</v>
      </c>
      <c r="H48" s="3" t="s">
        <v>30</v>
      </c>
      <c r="I48" s="55">
        <v>46140</v>
      </c>
      <c r="J48" s="55">
        <v>46142</v>
      </c>
      <c r="K48" s="55">
        <v>46170</v>
      </c>
      <c r="L48" s="55"/>
      <c r="M48" s="55"/>
      <c r="O48" s="3" t="s">
        <v>10</v>
      </c>
      <c r="P48" s="55">
        <v>46143</v>
      </c>
      <c r="R48" s="184"/>
    </row>
    <row r="49" spans="1:18" ht="15" customHeight="1">
      <c r="A49" s="180" t="s">
        <v>62</v>
      </c>
      <c r="B49" s="180"/>
      <c r="C49" s="168">
        <v>118606767</v>
      </c>
      <c r="F49" s="29" t="s">
        <v>63</v>
      </c>
      <c r="G49" s="3" t="s">
        <v>19</v>
      </c>
      <c r="H49" s="3" t="s">
        <v>30</v>
      </c>
      <c r="I49" s="55">
        <v>46140</v>
      </c>
      <c r="J49" s="55">
        <v>46142</v>
      </c>
      <c r="K49" s="55">
        <v>46170</v>
      </c>
      <c r="L49" s="55"/>
      <c r="M49" s="55"/>
      <c r="O49" s="3" t="s">
        <v>10</v>
      </c>
      <c r="P49" s="55">
        <v>46143</v>
      </c>
      <c r="R49" s="184"/>
    </row>
    <row r="50" spans="1:18" ht="15" customHeight="1">
      <c r="A50" s="180" t="s">
        <v>62</v>
      </c>
      <c r="B50" s="180"/>
      <c r="C50" s="168">
        <v>118606787</v>
      </c>
      <c r="F50" s="29" t="s">
        <v>63</v>
      </c>
      <c r="G50" s="3" t="s">
        <v>19</v>
      </c>
      <c r="H50" s="3" t="s">
        <v>30</v>
      </c>
      <c r="I50" s="55">
        <v>46140</v>
      </c>
      <c r="J50" s="55">
        <v>46142</v>
      </c>
      <c r="K50" s="55">
        <v>46170</v>
      </c>
      <c r="L50" s="55"/>
      <c r="M50" s="55"/>
      <c r="O50" s="3" t="s">
        <v>10</v>
      </c>
      <c r="P50" s="55">
        <v>46143</v>
      </c>
      <c r="R50" s="184"/>
    </row>
    <row r="51" spans="1:18" ht="15" customHeight="1">
      <c r="A51" s="180" t="s">
        <v>62</v>
      </c>
      <c r="B51" s="180"/>
      <c r="C51" s="168">
        <v>118606804</v>
      </c>
      <c r="F51" s="29" t="s">
        <v>63</v>
      </c>
      <c r="G51" s="3" t="s">
        <v>19</v>
      </c>
      <c r="H51" s="3" t="s">
        <v>30</v>
      </c>
      <c r="I51" s="55">
        <v>46140</v>
      </c>
      <c r="J51" s="55">
        <v>46142</v>
      </c>
      <c r="K51" s="55">
        <v>46170</v>
      </c>
      <c r="L51" s="55"/>
      <c r="M51" s="55"/>
      <c r="O51" s="3" t="s">
        <v>10</v>
      </c>
      <c r="P51" s="55">
        <v>46143</v>
      </c>
      <c r="R51" s="184"/>
    </row>
    <row r="52" spans="1:18" ht="15" customHeight="1">
      <c r="A52" s="180" t="s">
        <v>64</v>
      </c>
      <c r="B52" s="180"/>
      <c r="C52" s="168">
        <v>124604303</v>
      </c>
      <c r="F52" s="29" t="s">
        <v>65</v>
      </c>
      <c r="G52" s="3" t="s">
        <v>66</v>
      </c>
      <c r="H52" s="3" t="s">
        <v>30</v>
      </c>
      <c r="I52" s="55">
        <v>46146</v>
      </c>
      <c r="J52" s="55">
        <v>46149</v>
      </c>
      <c r="K52" s="55">
        <v>46176</v>
      </c>
      <c r="L52" s="55"/>
      <c r="M52" s="55"/>
      <c r="O52" s="3" t="s">
        <v>10</v>
      </c>
      <c r="P52" s="55">
        <v>46154</v>
      </c>
      <c r="Q52" s="167" t="s">
        <v>67</v>
      </c>
      <c r="R52" s="184" t="s">
        <v>68</v>
      </c>
    </row>
    <row r="53" spans="1:18" ht="15" customHeight="1">
      <c r="A53" s="180" t="s">
        <v>64</v>
      </c>
      <c r="B53" s="180"/>
      <c r="C53" s="168">
        <v>124604370</v>
      </c>
      <c r="F53" s="29" t="s">
        <v>65</v>
      </c>
      <c r="G53" s="3" t="s">
        <v>66</v>
      </c>
      <c r="H53" s="3" t="s">
        <v>30</v>
      </c>
      <c r="I53" s="55">
        <v>46146</v>
      </c>
      <c r="J53" s="55">
        <v>46149</v>
      </c>
      <c r="K53" s="55">
        <v>46176</v>
      </c>
      <c r="L53" s="55"/>
      <c r="M53" s="55"/>
      <c r="O53" s="3" t="s">
        <v>10</v>
      </c>
      <c r="P53" s="55">
        <v>46154</v>
      </c>
      <c r="Q53" s="167" t="s">
        <v>69</v>
      </c>
      <c r="R53" s="184" t="s">
        <v>68</v>
      </c>
    </row>
    <row r="54" spans="1:18" ht="15" customHeight="1">
      <c r="A54" s="180" t="s">
        <v>64</v>
      </c>
      <c r="B54" s="180"/>
      <c r="C54" s="168">
        <v>124604548</v>
      </c>
      <c r="F54" s="29" t="s">
        <v>65</v>
      </c>
      <c r="G54" s="3" t="s">
        <v>66</v>
      </c>
      <c r="H54" s="3" t="s">
        <v>30</v>
      </c>
      <c r="I54" s="55">
        <v>46146</v>
      </c>
      <c r="J54" s="55">
        <v>46149</v>
      </c>
      <c r="K54" s="55">
        <v>46176</v>
      </c>
      <c r="L54" s="55"/>
      <c r="M54" s="55"/>
      <c r="O54" s="3" t="s">
        <v>10</v>
      </c>
      <c r="P54" s="55">
        <v>46154</v>
      </c>
      <c r="Q54" s="167" t="s">
        <v>70</v>
      </c>
      <c r="R54" s="184" t="s">
        <v>68</v>
      </c>
    </row>
    <row r="55" spans="1:18" ht="15" customHeight="1">
      <c r="A55" s="180" t="s">
        <v>64</v>
      </c>
      <c r="B55" s="180"/>
      <c r="C55" s="168">
        <v>124604489</v>
      </c>
      <c r="F55" s="29" t="s">
        <v>65</v>
      </c>
      <c r="G55" s="3" t="s">
        <v>66</v>
      </c>
      <c r="H55" s="3" t="s">
        <v>30</v>
      </c>
      <c r="I55" s="55">
        <v>46146</v>
      </c>
      <c r="J55" s="55">
        <v>46149</v>
      </c>
      <c r="K55" s="55">
        <v>46176</v>
      </c>
      <c r="L55" s="55"/>
      <c r="M55" s="55"/>
      <c r="O55" s="3" t="s">
        <v>10</v>
      </c>
      <c r="P55" s="55">
        <v>46154</v>
      </c>
      <c r="Q55" s="167" t="s">
        <v>70</v>
      </c>
      <c r="R55" s="184" t="s">
        <v>68</v>
      </c>
    </row>
    <row r="56" spans="1:18" ht="15" customHeight="1">
      <c r="A56" s="180" t="s">
        <v>64</v>
      </c>
      <c r="B56" s="180"/>
      <c r="C56" s="168">
        <v>124604660</v>
      </c>
      <c r="F56" s="29" t="s">
        <v>65</v>
      </c>
      <c r="G56" s="3" t="s">
        <v>66</v>
      </c>
      <c r="H56" s="3" t="s">
        <v>30</v>
      </c>
      <c r="I56" s="55">
        <v>46146</v>
      </c>
      <c r="J56" s="55">
        <v>46149</v>
      </c>
      <c r="K56" s="55">
        <v>46176</v>
      </c>
      <c r="L56" s="55"/>
      <c r="M56" s="55"/>
      <c r="O56" s="3" t="s">
        <v>10</v>
      </c>
      <c r="P56" s="55">
        <v>46154</v>
      </c>
      <c r="Q56" s="167" t="s">
        <v>71</v>
      </c>
      <c r="R56" s="184" t="s">
        <v>68</v>
      </c>
    </row>
    <row r="57" spans="1:18" ht="15" customHeight="1">
      <c r="A57" s="180" t="s">
        <v>64</v>
      </c>
      <c r="B57" s="180"/>
      <c r="C57" s="168">
        <v>124604927</v>
      </c>
      <c r="F57" s="29" t="s">
        <v>65</v>
      </c>
      <c r="G57" s="3" t="s">
        <v>66</v>
      </c>
      <c r="H57" s="3" t="s">
        <v>30</v>
      </c>
      <c r="I57" s="55">
        <v>46146</v>
      </c>
      <c r="J57" s="55">
        <v>46149</v>
      </c>
      <c r="K57" s="55">
        <v>46176</v>
      </c>
      <c r="L57" s="55"/>
      <c r="M57" s="55"/>
      <c r="O57" s="3" t="s">
        <v>10</v>
      </c>
      <c r="P57" s="55">
        <v>46155</v>
      </c>
      <c r="Q57" s="167" t="s">
        <v>72</v>
      </c>
      <c r="R57" s="184" t="s">
        <v>68</v>
      </c>
    </row>
    <row r="58" spans="1:18" ht="15" customHeight="1">
      <c r="A58" s="180" t="s">
        <v>64</v>
      </c>
      <c r="B58" s="180"/>
      <c r="C58" s="168">
        <v>124605013</v>
      </c>
      <c r="F58" s="29" t="s">
        <v>65</v>
      </c>
      <c r="G58" s="3" t="s">
        <v>66</v>
      </c>
      <c r="H58" s="3" t="s">
        <v>30</v>
      </c>
      <c r="I58" s="55">
        <v>46146</v>
      </c>
      <c r="J58" s="55">
        <v>46149</v>
      </c>
      <c r="K58" s="3" t="s">
        <v>73</v>
      </c>
      <c r="O58" s="3" t="s">
        <v>10</v>
      </c>
      <c r="P58" s="55">
        <v>46155</v>
      </c>
      <c r="Q58" s="167" t="s">
        <v>71</v>
      </c>
      <c r="R58" s="184" t="s">
        <v>68</v>
      </c>
    </row>
    <row r="59" spans="1:18" ht="15" customHeight="1">
      <c r="A59" s="180" t="s">
        <v>64</v>
      </c>
      <c r="B59" s="180"/>
      <c r="C59" s="168">
        <v>124605062</v>
      </c>
      <c r="F59" s="29" t="s">
        <v>65</v>
      </c>
      <c r="G59" s="3" t="s">
        <v>66</v>
      </c>
      <c r="H59" s="3" t="s">
        <v>30</v>
      </c>
      <c r="I59" s="55">
        <v>46146</v>
      </c>
      <c r="J59" s="55">
        <v>46149</v>
      </c>
      <c r="K59" s="3" t="s">
        <v>73</v>
      </c>
      <c r="O59" s="3" t="s">
        <v>10</v>
      </c>
      <c r="P59" s="55">
        <v>46155</v>
      </c>
      <c r="Q59" s="167" t="s">
        <v>70</v>
      </c>
      <c r="R59" s="184" t="s">
        <v>68</v>
      </c>
    </row>
    <row r="60" spans="1:18" ht="15" customHeight="1">
      <c r="A60" s="180" t="s">
        <v>64</v>
      </c>
      <c r="B60" s="180"/>
      <c r="C60" s="168">
        <v>124605123</v>
      </c>
      <c r="F60" s="29" t="s">
        <v>65</v>
      </c>
      <c r="G60" s="3" t="s">
        <v>66</v>
      </c>
      <c r="H60" s="3" t="s">
        <v>30</v>
      </c>
      <c r="I60" s="55">
        <v>46146</v>
      </c>
      <c r="J60" s="55">
        <v>46149</v>
      </c>
      <c r="K60" s="55">
        <v>46176</v>
      </c>
      <c r="L60" s="55"/>
      <c r="M60" s="55"/>
      <c r="O60" s="3" t="s">
        <v>10</v>
      </c>
      <c r="P60" s="55">
        <v>46155</v>
      </c>
      <c r="Q60" s="167" t="s">
        <v>70</v>
      </c>
      <c r="R60" s="184" t="s">
        <v>68</v>
      </c>
    </row>
    <row r="61" spans="1:18" ht="15" customHeight="1">
      <c r="A61" s="180" t="s">
        <v>64</v>
      </c>
      <c r="B61" s="180"/>
      <c r="C61" s="168">
        <v>124605193</v>
      </c>
      <c r="F61" s="29" t="s">
        <v>65</v>
      </c>
      <c r="G61" s="3" t="s">
        <v>66</v>
      </c>
      <c r="H61" s="3" t="s">
        <v>30</v>
      </c>
      <c r="I61" s="55">
        <v>46146</v>
      </c>
      <c r="J61" s="55">
        <v>46149</v>
      </c>
      <c r="K61" s="55">
        <v>46176</v>
      </c>
      <c r="L61" s="55"/>
      <c r="M61" s="55"/>
      <c r="O61" s="3" t="s">
        <v>10</v>
      </c>
      <c r="P61" s="55">
        <v>46154</v>
      </c>
      <c r="Q61" s="167" t="s">
        <v>71</v>
      </c>
      <c r="R61" s="184" t="s">
        <v>68</v>
      </c>
    </row>
    <row r="62" spans="1:18" s="173" customFormat="1" ht="15" customHeight="1">
      <c r="A62" s="181" t="s">
        <v>64</v>
      </c>
      <c r="B62" s="181"/>
      <c r="C62" s="172">
        <v>124605304</v>
      </c>
      <c r="D62" s="14"/>
      <c r="E62" s="14"/>
      <c r="F62" s="14" t="s">
        <v>65</v>
      </c>
      <c r="G62" s="10" t="s">
        <v>66</v>
      </c>
      <c r="H62" s="10" t="s">
        <v>30</v>
      </c>
      <c r="I62" s="9">
        <v>46146</v>
      </c>
      <c r="J62" s="9">
        <v>46149</v>
      </c>
      <c r="K62" s="9">
        <v>46176</v>
      </c>
      <c r="L62" s="9"/>
      <c r="M62" s="9"/>
      <c r="N62" s="10"/>
      <c r="O62" s="10" t="s">
        <v>10</v>
      </c>
      <c r="P62" s="9">
        <v>46154</v>
      </c>
      <c r="Q62" s="15" t="s">
        <v>74</v>
      </c>
      <c r="R62" s="184" t="s">
        <v>68</v>
      </c>
    </row>
    <row r="63" spans="1:18" ht="15" customHeight="1">
      <c r="A63" s="180" t="s">
        <v>64</v>
      </c>
      <c r="B63" s="180"/>
      <c r="C63" s="168">
        <v>124605462</v>
      </c>
      <c r="F63" s="29" t="s">
        <v>65</v>
      </c>
      <c r="G63" s="3" t="s">
        <v>66</v>
      </c>
      <c r="H63" s="3" t="s">
        <v>30</v>
      </c>
      <c r="I63" s="55">
        <v>46146</v>
      </c>
      <c r="J63" s="55">
        <v>46149</v>
      </c>
      <c r="K63" s="55">
        <v>46176</v>
      </c>
      <c r="L63" s="55"/>
      <c r="M63" s="55"/>
      <c r="O63" s="3" t="s">
        <v>10</v>
      </c>
      <c r="P63" s="55">
        <v>46158</v>
      </c>
      <c r="Q63" s="167" t="s">
        <v>75</v>
      </c>
      <c r="R63" s="184" t="s">
        <v>68</v>
      </c>
    </row>
    <row r="64" spans="1:18" ht="15" customHeight="1">
      <c r="A64" s="180" t="s">
        <v>64</v>
      </c>
      <c r="B64" s="180"/>
      <c r="C64" s="168">
        <v>124605550</v>
      </c>
      <c r="F64" s="29" t="s">
        <v>65</v>
      </c>
      <c r="G64" s="3" t="s">
        <v>66</v>
      </c>
      <c r="H64" s="3" t="s">
        <v>30</v>
      </c>
      <c r="I64" s="55">
        <v>46146</v>
      </c>
      <c r="J64" s="55">
        <v>46149</v>
      </c>
      <c r="K64" s="55">
        <v>46176</v>
      </c>
      <c r="L64" s="55"/>
      <c r="M64" s="55"/>
      <c r="O64" s="3" t="s">
        <v>10</v>
      </c>
      <c r="P64" s="55">
        <v>46174</v>
      </c>
      <c r="Q64" s="167" t="s">
        <v>69</v>
      </c>
      <c r="R64" s="184" t="s">
        <v>68</v>
      </c>
    </row>
    <row r="65" spans="1:18" ht="15" customHeight="1">
      <c r="A65" s="180" t="s">
        <v>64</v>
      </c>
      <c r="B65" s="180"/>
      <c r="C65" s="168">
        <v>124605681</v>
      </c>
      <c r="F65" s="29" t="s">
        <v>65</v>
      </c>
      <c r="G65" s="3" t="s">
        <v>66</v>
      </c>
      <c r="H65" s="3" t="s">
        <v>30</v>
      </c>
      <c r="I65" s="55">
        <v>46146</v>
      </c>
      <c r="J65" s="55">
        <v>46149</v>
      </c>
      <c r="K65" s="55">
        <v>46176</v>
      </c>
      <c r="L65" s="55"/>
      <c r="M65" s="55"/>
      <c r="O65" s="3" t="s">
        <v>10</v>
      </c>
      <c r="P65" s="55">
        <v>46154</v>
      </c>
      <c r="Q65" s="167" t="s">
        <v>76</v>
      </c>
      <c r="R65" s="184" t="s">
        <v>68</v>
      </c>
    </row>
    <row r="66" spans="1:18" ht="15" customHeight="1">
      <c r="A66" s="180" t="s">
        <v>64</v>
      </c>
      <c r="B66" s="180"/>
      <c r="C66" s="168">
        <v>124605758</v>
      </c>
      <c r="F66" s="29" t="s">
        <v>65</v>
      </c>
      <c r="G66" s="3" t="s">
        <v>66</v>
      </c>
      <c r="H66" s="3" t="s">
        <v>30</v>
      </c>
      <c r="I66" s="55">
        <v>46146</v>
      </c>
      <c r="J66" s="55">
        <v>46149</v>
      </c>
      <c r="K66" s="55">
        <v>46176</v>
      </c>
      <c r="L66" s="55"/>
      <c r="M66" s="55"/>
      <c r="O66" s="3" t="s">
        <v>10</v>
      </c>
      <c r="P66" s="55">
        <v>46154</v>
      </c>
      <c r="Q66" s="167" t="s">
        <v>77</v>
      </c>
      <c r="R66" s="184" t="s">
        <v>68</v>
      </c>
    </row>
    <row r="67" spans="1:18" ht="15" customHeight="1">
      <c r="A67" s="180" t="s">
        <v>64</v>
      </c>
      <c r="B67" s="180"/>
      <c r="C67" s="168">
        <v>124605874</v>
      </c>
      <c r="F67" s="29" t="s">
        <v>65</v>
      </c>
      <c r="G67" s="3" t="s">
        <v>66</v>
      </c>
      <c r="H67" s="3" t="s">
        <v>30</v>
      </c>
      <c r="I67" s="55">
        <v>46146</v>
      </c>
      <c r="J67" s="55">
        <v>46149</v>
      </c>
      <c r="K67" s="55">
        <v>46176</v>
      </c>
      <c r="L67" s="55"/>
      <c r="M67" s="55"/>
      <c r="O67" s="3" t="s">
        <v>10</v>
      </c>
      <c r="P67" s="55">
        <v>46160</v>
      </c>
      <c r="Q67" s="167" t="s">
        <v>78</v>
      </c>
      <c r="R67" s="184" t="s">
        <v>68</v>
      </c>
    </row>
    <row r="68" spans="1:18" ht="15" customHeight="1">
      <c r="A68" s="180" t="s">
        <v>64</v>
      </c>
      <c r="B68" s="180"/>
      <c r="C68" s="168">
        <v>124605947</v>
      </c>
      <c r="F68" s="29" t="s">
        <v>65</v>
      </c>
      <c r="G68" s="3" t="s">
        <v>66</v>
      </c>
      <c r="H68" s="3" t="s">
        <v>30</v>
      </c>
      <c r="I68" s="55">
        <v>46146</v>
      </c>
      <c r="J68" s="55">
        <v>46149</v>
      </c>
      <c r="K68" s="55">
        <v>46176</v>
      </c>
      <c r="L68" s="55"/>
      <c r="M68" s="55"/>
      <c r="O68" s="3" t="s">
        <v>10</v>
      </c>
      <c r="P68" s="55">
        <v>46160</v>
      </c>
      <c r="Q68" s="167" t="s">
        <v>78</v>
      </c>
      <c r="R68" s="184" t="s">
        <v>68</v>
      </c>
    </row>
    <row r="69" spans="1:18" s="173" customFormat="1" ht="15" customHeight="1">
      <c r="A69" s="181" t="s">
        <v>64</v>
      </c>
      <c r="B69" s="181"/>
      <c r="C69" s="172">
        <v>124606040</v>
      </c>
      <c r="D69" s="14"/>
      <c r="E69" s="14"/>
      <c r="F69" s="14" t="s">
        <v>65</v>
      </c>
      <c r="G69" s="10" t="s">
        <v>66</v>
      </c>
      <c r="H69" s="10" t="s">
        <v>30</v>
      </c>
      <c r="I69" s="9">
        <v>46146</v>
      </c>
      <c r="J69" s="9">
        <v>46149</v>
      </c>
      <c r="K69" s="9">
        <v>46176</v>
      </c>
      <c r="L69" s="9"/>
      <c r="M69" s="9"/>
      <c r="N69" s="10"/>
      <c r="O69" s="3" t="s">
        <v>10</v>
      </c>
      <c r="P69" s="55">
        <v>46160</v>
      </c>
      <c r="Q69" s="15" t="s">
        <v>79</v>
      </c>
      <c r="R69" s="184" t="s">
        <v>68</v>
      </c>
    </row>
    <row r="70" spans="1:18" ht="15" customHeight="1">
      <c r="A70" s="180" t="s">
        <v>64</v>
      </c>
      <c r="B70" s="180"/>
      <c r="C70" s="168">
        <v>124606101</v>
      </c>
      <c r="F70" s="29" t="s">
        <v>65</v>
      </c>
      <c r="G70" s="3" t="s">
        <v>66</v>
      </c>
      <c r="H70" s="3" t="s">
        <v>30</v>
      </c>
      <c r="I70" s="55">
        <v>46146</v>
      </c>
      <c r="J70" s="55">
        <v>46149</v>
      </c>
      <c r="K70" s="55">
        <v>46176</v>
      </c>
      <c r="L70" s="55"/>
      <c r="M70" s="55"/>
      <c r="O70" s="3" t="s">
        <v>10</v>
      </c>
      <c r="P70" s="55">
        <v>46160</v>
      </c>
      <c r="Q70" s="167" t="s">
        <v>80</v>
      </c>
      <c r="R70" s="184" t="s">
        <v>68</v>
      </c>
    </row>
    <row r="71" spans="1:18" ht="15" customHeight="1">
      <c r="A71" s="180" t="s">
        <v>81</v>
      </c>
      <c r="B71" s="180"/>
      <c r="C71" s="168">
        <v>124607312</v>
      </c>
      <c r="D71" s="168">
        <v>169601069</v>
      </c>
      <c r="F71" s="29" t="s">
        <v>65</v>
      </c>
      <c r="G71" s="3" t="s">
        <v>18</v>
      </c>
      <c r="H71" s="3" t="s">
        <v>30</v>
      </c>
      <c r="I71" s="55">
        <v>46191</v>
      </c>
      <c r="J71" s="55">
        <v>46195</v>
      </c>
      <c r="K71" s="55">
        <v>46223</v>
      </c>
      <c r="L71" s="55"/>
      <c r="M71" s="55"/>
      <c r="O71" s="3" t="s">
        <v>9</v>
      </c>
      <c r="P71" s="55">
        <v>46154</v>
      </c>
      <c r="Q71" s="167" t="s">
        <v>82</v>
      </c>
      <c r="R71" s="184" t="s">
        <v>83</v>
      </c>
    </row>
    <row r="72" spans="1:18" ht="15" customHeight="1">
      <c r="A72" s="180" t="s">
        <v>84</v>
      </c>
      <c r="B72" s="180"/>
      <c r="C72" s="168">
        <v>125601212</v>
      </c>
      <c r="D72" s="175">
        <v>154600874</v>
      </c>
      <c r="F72" s="29" t="s">
        <v>65</v>
      </c>
      <c r="G72" s="3" t="s">
        <v>66</v>
      </c>
      <c r="H72" s="3" t="s">
        <v>30</v>
      </c>
      <c r="I72" s="55">
        <v>46147</v>
      </c>
      <c r="J72" s="55">
        <v>46150</v>
      </c>
      <c r="K72" s="55">
        <v>46177</v>
      </c>
      <c r="L72" s="55"/>
      <c r="M72" s="55"/>
      <c r="O72" s="3" t="s">
        <v>9</v>
      </c>
      <c r="Q72" s="167" t="s">
        <v>85</v>
      </c>
      <c r="R72" s="184" t="s">
        <v>86</v>
      </c>
    </row>
    <row r="73" spans="1:18" ht="15" customHeight="1">
      <c r="A73" s="180" t="s">
        <v>87</v>
      </c>
      <c r="B73" s="180"/>
      <c r="C73" s="168">
        <v>125602262</v>
      </c>
      <c r="D73" s="29">
        <v>169601105</v>
      </c>
      <c r="F73" s="29" t="s">
        <v>65</v>
      </c>
      <c r="G73" s="3" t="s">
        <v>16</v>
      </c>
      <c r="H73" s="3" t="s">
        <v>30</v>
      </c>
      <c r="I73" s="55">
        <v>46147</v>
      </c>
      <c r="J73" s="55">
        <v>46150</v>
      </c>
      <c r="K73" s="55">
        <v>46177</v>
      </c>
      <c r="L73" s="55"/>
      <c r="M73" s="55"/>
      <c r="O73" s="3" t="s">
        <v>10</v>
      </c>
      <c r="P73" s="55">
        <v>46177</v>
      </c>
      <c r="R73" s="184"/>
    </row>
    <row r="74" spans="1:18" ht="15" customHeight="1">
      <c r="A74" s="180" t="s">
        <v>84</v>
      </c>
      <c r="B74" s="180"/>
      <c r="C74" s="168">
        <v>125603710</v>
      </c>
      <c r="D74" s="177">
        <v>154600780</v>
      </c>
      <c r="F74" s="29" t="s">
        <v>65</v>
      </c>
      <c r="G74" s="3" t="s">
        <v>66</v>
      </c>
      <c r="H74" s="3" t="s">
        <v>30</v>
      </c>
      <c r="I74" s="55">
        <v>46176</v>
      </c>
      <c r="J74" s="55">
        <v>46150</v>
      </c>
      <c r="K74" s="55">
        <v>46177</v>
      </c>
      <c r="L74" s="55"/>
      <c r="M74" s="55"/>
      <c r="O74" s="3" t="s">
        <v>9</v>
      </c>
      <c r="Q74" s="167">
        <v>250</v>
      </c>
      <c r="R74" s="184" t="s">
        <v>88</v>
      </c>
    </row>
    <row r="75" spans="1:18" ht="15" customHeight="1">
      <c r="A75" s="180" t="s">
        <v>84</v>
      </c>
      <c r="B75" s="180"/>
      <c r="C75" s="168">
        <v>125603846</v>
      </c>
      <c r="D75" s="177">
        <v>154600795</v>
      </c>
      <c r="F75" s="29" t="s">
        <v>65</v>
      </c>
      <c r="G75" s="3" t="s">
        <v>66</v>
      </c>
      <c r="H75" s="3" t="s">
        <v>30</v>
      </c>
      <c r="I75" s="55">
        <v>46176</v>
      </c>
      <c r="J75" s="55">
        <v>46150</v>
      </c>
      <c r="K75" s="55">
        <v>46177</v>
      </c>
      <c r="L75" s="55"/>
      <c r="M75" s="55"/>
      <c r="O75" s="3" t="s">
        <v>9</v>
      </c>
      <c r="Q75" s="167">
        <v>425</v>
      </c>
      <c r="R75" s="184" t="s">
        <v>88</v>
      </c>
    </row>
    <row r="76" spans="1:18" ht="15" customHeight="1">
      <c r="A76" s="180" t="s">
        <v>84</v>
      </c>
      <c r="B76" s="180"/>
      <c r="C76" s="168">
        <v>125603896</v>
      </c>
      <c r="D76" s="177">
        <v>154600805</v>
      </c>
      <c r="F76" s="29" t="s">
        <v>65</v>
      </c>
      <c r="G76" s="3" t="s">
        <v>66</v>
      </c>
      <c r="H76" s="3" t="s">
        <v>30</v>
      </c>
      <c r="I76" s="55">
        <v>46176</v>
      </c>
      <c r="J76" s="55">
        <v>46150</v>
      </c>
      <c r="K76" s="55">
        <v>46177</v>
      </c>
      <c r="L76" s="55"/>
      <c r="M76" s="55"/>
      <c r="O76" s="3" t="s">
        <v>9</v>
      </c>
      <c r="Q76" s="167">
        <v>500</v>
      </c>
      <c r="R76" s="184" t="s">
        <v>86</v>
      </c>
    </row>
    <row r="77" spans="1:18" ht="15" customHeight="1">
      <c r="A77" s="180" t="s">
        <v>84</v>
      </c>
      <c r="B77" s="180"/>
      <c r="C77" s="168">
        <v>125603978</v>
      </c>
      <c r="D77" s="177">
        <v>154600815</v>
      </c>
      <c r="F77" s="29" t="s">
        <v>65</v>
      </c>
      <c r="G77" s="3" t="s">
        <v>66</v>
      </c>
      <c r="H77" s="3" t="s">
        <v>30</v>
      </c>
      <c r="I77" s="55">
        <v>46176</v>
      </c>
      <c r="J77" s="55">
        <v>46150</v>
      </c>
      <c r="K77" s="55">
        <v>46177</v>
      </c>
      <c r="L77" s="55"/>
      <c r="M77" s="55"/>
      <c r="O77" s="3" t="s">
        <v>9</v>
      </c>
      <c r="Q77" s="167">
        <v>300</v>
      </c>
      <c r="R77" s="184" t="s">
        <v>86</v>
      </c>
    </row>
    <row r="78" spans="1:18" ht="15" customHeight="1">
      <c r="A78" s="180" t="s">
        <v>84</v>
      </c>
      <c r="B78" s="180"/>
      <c r="C78" s="168">
        <v>125604026</v>
      </c>
      <c r="D78" s="177">
        <v>154600822</v>
      </c>
      <c r="F78" s="29" t="s">
        <v>65</v>
      </c>
      <c r="G78" s="3" t="s">
        <v>66</v>
      </c>
      <c r="H78" s="3" t="s">
        <v>30</v>
      </c>
      <c r="I78" s="55">
        <v>46176</v>
      </c>
      <c r="J78" s="55">
        <v>46150</v>
      </c>
      <c r="K78" s="55">
        <v>46177</v>
      </c>
      <c r="L78" s="55"/>
      <c r="M78" s="55"/>
      <c r="O78" s="3" t="s">
        <v>9</v>
      </c>
      <c r="Q78" s="167">
        <v>60</v>
      </c>
      <c r="R78" s="184" t="s">
        <v>86</v>
      </c>
    </row>
    <row r="79" spans="1:18" ht="15" customHeight="1">
      <c r="A79" s="180" t="s">
        <v>84</v>
      </c>
      <c r="B79" s="180"/>
      <c r="C79" s="168">
        <v>125604081</v>
      </c>
      <c r="D79" s="178">
        <v>154600836</v>
      </c>
      <c r="F79" s="29" t="s">
        <v>65</v>
      </c>
      <c r="G79" s="3" t="s">
        <v>66</v>
      </c>
      <c r="H79" s="3" t="s">
        <v>30</v>
      </c>
      <c r="I79" s="55">
        <v>46176</v>
      </c>
      <c r="J79" s="55">
        <v>46150</v>
      </c>
      <c r="K79" s="55">
        <v>46177</v>
      </c>
      <c r="L79" s="55"/>
      <c r="M79" s="55"/>
      <c r="O79" s="3" t="s">
        <v>9</v>
      </c>
      <c r="Q79" s="167">
        <v>490</v>
      </c>
      <c r="R79" s="184" t="s">
        <v>86</v>
      </c>
    </row>
    <row r="80" spans="1:18" ht="15" customHeight="1">
      <c r="A80" s="180" t="s">
        <v>84</v>
      </c>
      <c r="B80" s="180"/>
      <c r="C80" s="168">
        <v>125604820</v>
      </c>
      <c r="D80" s="177">
        <v>154600851</v>
      </c>
      <c r="F80" s="29" t="s">
        <v>65</v>
      </c>
      <c r="G80" s="3" t="s">
        <v>66</v>
      </c>
      <c r="H80" s="3" t="s">
        <v>30</v>
      </c>
      <c r="I80" s="55">
        <v>46176</v>
      </c>
      <c r="J80" s="55">
        <v>46150</v>
      </c>
      <c r="K80" s="55">
        <v>46177</v>
      </c>
      <c r="L80" s="55"/>
      <c r="M80" s="55"/>
      <c r="O80" s="3" t="s">
        <v>9</v>
      </c>
      <c r="Q80" s="167">
        <v>250</v>
      </c>
      <c r="R80" s="184" t="s">
        <v>86</v>
      </c>
    </row>
    <row r="81" spans="1:18" ht="15" customHeight="1">
      <c r="A81" s="180" t="s">
        <v>84</v>
      </c>
      <c r="B81" s="180"/>
      <c r="C81" s="168">
        <v>125604870</v>
      </c>
      <c r="D81" s="177">
        <v>154600853</v>
      </c>
      <c r="F81" s="29" t="s">
        <v>65</v>
      </c>
      <c r="G81" s="3" t="s">
        <v>66</v>
      </c>
      <c r="H81" s="3" t="s">
        <v>30</v>
      </c>
      <c r="I81" s="55">
        <v>46176</v>
      </c>
      <c r="J81" s="3" t="s">
        <v>89</v>
      </c>
      <c r="K81" s="55">
        <v>46177</v>
      </c>
      <c r="L81" s="55"/>
      <c r="M81" s="55"/>
      <c r="O81" s="3" t="s">
        <v>9</v>
      </c>
      <c r="Q81" s="167">
        <v>350</v>
      </c>
      <c r="R81" s="184" t="s">
        <v>86</v>
      </c>
    </row>
    <row r="82" spans="1:18" ht="15" customHeight="1">
      <c r="A82" s="180" t="s">
        <v>84</v>
      </c>
      <c r="B82" s="180"/>
      <c r="C82" s="168">
        <v>125604951</v>
      </c>
      <c r="D82" s="177">
        <v>154600861</v>
      </c>
      <c r="F82" s="29" t="s">
        <v>65</v>
      </c>
      <c r="G82" s="3" t="s">
        <v>66</v>
      </c>
      <c r="H82" s="3" t="s">
        <v>30</v>
      </c>
      <c r="I82" s="55">
        <v>46176</v>
      </c>
      <c r="J82" s="55">
        <v>46150</v>
      </c>
      <c r="K82" s="55">
        <v>46177</v>
      </c>
      <c r="L82" s="55"/>
      <c r="M82" s="55"/>
      <c r="O82" s="3" t="s">
        <v>9</v>
      </c>
      <c r="Q82" s="167">
        <v>65</v>
      </c>
      <c r="R82" s="184" t="s">
        <v>86</v>
      </c>
    </row>
    <row r="83" spans="1:18" ht="15" customHeight="1">
      <c r="A83" s="180" t="s">
        <v>84</v>
      </c>
      <c r="B83" s="180"/>
      <c r="C83" s="168">
        <v>125604992</v>
      </c>
      <c r="D83" s="177">
        <v>154600868</v>
      </c>
      <c r="F83" s="29" t="s">
        <v>65</v>
      </c>
      <c r="G83" s="3" t="s">
        <v>66</v>
      </c>
      <c r="H83" s="3" t="s">
        <v>30</v>
      </c>
      <c r="I83" s="55">
        <v>46176</v>
      </c>
      <c r="J83" s="55">
        <v>46150</v>
      </c>
      <c r="K83" s="55">
        <v>46177</v>
      </c>
      <c r="L83" s="55"/>
      <c r="M83" s="55"/>
      <c r="O83" s="3" t="s">
        <v>9</v>
      </c>
      <c r="Q83" s="167">
        <v>300</v>
      </c>
      <c r="R83" s="184" t="s">
        <v>86</v>
      </c>
    </row>
    <row r="84" spans="1:18" ht="15" customHeight="1">
      <c r="A84" s="180" t="s">
        <v>84</v>
      </c>
      <c r="B84" s="180"/>
      <c r="C84" s="168">
        <v>125605026</v>
      </c>
      <c r="F84" s="29" t="s">
        <v>65</v>
      </c>
      <c r="G84" s="3" t="s">
        <v>66</v>
      </c>
      <c r="H84" s="3" t="s">
        <v>30</v>
      </c>
      <c r="I84" s="55">
        <v>46147</v>
      </c>
      <c r="J84" s="55">
        <v>46150</v>
      </c>
      <c r="K84" s="55">
        <v>46177</v>
      </c>
      <c r="L84" s="55"/>
      <c r="M84" s="55"/>
      <c r="O84" s="3" t="s">
        <v>10</v>
      </c>
      <c r="P84" s="55">
        <v>46169</v>
      </c>
      <c r="Q84" s="167">
        <v>300</v>
      </c>
      <c r="R84" s="184"/>
    </row>
    <row r="85" spans="1:18" ht="15" customHeight="1">
      <c r="A85" s="180" t="s">
        <v>84</v>
      </c>
      <c r="B85" s="180"/>
      <c r="C85" s="168">
        <v>125605075</v>
      </c>
      <c r="F85" s="29" t="s">
        <v>65</v>
      </c>
      <c r="G85" s="3" t="s">
        <v>66</v>
      </c>
      <c r="H85" s="3" t="s">
        <v>30</v>
      </c>
      <c r="I85" s="55">
        <v>46147</v>
      </c>
      <c r="J85" s="55">
        <v>46150</v>
      </c>
      <c r="K85" s="55">
        <v>46177</v>
      </c>
      <c r="L85" s="55"/>
      <c r="M85" s="55"/>
      <c r="O85" s="3" t="s">
        <v>10</v>
      </c>
      <c r="P85" s="55">
        <v>46169</v>
      </c>
      <c r="Q85" s="167">
        <v>200</v>
      </c>
      <c r="R85" s="184"/>
    </row>
    <row r="86" spans="1:18" ht="15" customHeight="1">
      <c r="A86" s="180" t="s">
        <v>84</v>
      </c>
      <c r="B86" s="180"/>
      <c r="C86" s="168">
        <v>125605126</v>
      </c>
      <c r="F86" s="29" t="s">
        <v>65</v>
      </c>
      <c r="G86" s="3" t="s">
        <v>66</v>
      </c>
      <c r="H86" s="3" t="s">
        <v>30</v>
      </c>
      <c r="I86" s="55">
        <v>46147</v>
      </c>
      <c r="J86" s="55">
        <v>46150</v>
      </c>
      <c r="K86" s="55">
        <v>46177</v>
      </c>
      <c r="L86" s="55"/>
      <c r="M86" s="55"/>
      <c r="O86" s="3" t="s">
        <v>10</v>
      </c>
      <c r="P86" s="55">
        <v>46169</v>
      </c>
      <c r="Q86" s="167">
        <v>500</v>
      </c>
      <c r="R86" s="184" t="s">
        <v>90</v>
      </c>
    </row>
    <row r="87" spans="1:18" ht="15" customHeight="1">
      <c r="A87" s="180" t="s">
        <v>84</v>
      </c>
      <c r="B87" s="180"/>
      <c r="C87" s="168">
        <v>125605184</v>
      </c>
      <c r="F87" s="29" t="s">
        <v>65</v>
      </c>
      <c r="G87" s="3" t="s">
        <v>66</v>
      </c>
      <c r="H87" s="3" t="s">
        <v>30</v>
      </c>
      <c r="I87" s="55">
        <v>46147</v>
      </c>
      <c r="J87" s="55">
        <v>46150</v>
      </c>
      <c r="K87" s="55">
        <v>46177</v>
      </c>
      <c r="L87" s="55"/>
      <c r="M87" s="55"/>
      <c r="O87" s="3" t="s">
        <v>10</v>
      </c>
      <c r="P87" s="55">
        <v>46169</v>
      </c>
      <c r="Q87" s="167">
        <v>470</v>
      </c>
      <c r="R87" s="184" t="s">
        <v>90</v>
      </c>
    </row>
    <row r="88" spans="1:18" ht="15" customHeight="1">
      <c r="A88" s="180" t="s">
        <v>84</v>
      </c>
      <c r="B88" s="180"/>
      <c r="C88" s="168">
        <v>125605210</v>
      </c>
      <c r="F88" s="29" t="s">
        <v>65</v>
      </c>
      <c r="G88" s="3" t="s">
        <v>66</v>
      </c>
      <c r="H88" s="3" t="s">
        <v>30</v>
      </c>
      <c r="I88" s="55">
        <v>46147</v>
      </c>
      <c r="J88" s="55">
        <v>46150</v>
      </c>
      <c r="K88" s="55">
        <v>46177</v>
      </c>
      <c r="L88" s="55"/>
      <c r="M88" s="55"/>
      <c r="O88" s="3" t="s">
        <v>10</v>
      </c>
      <c r="P88" s="55">
        <v>46170</v>
      </c>
      <c r="Q88" s="167">
        <v>350</v>
      </c>
      <c r="R88" s="184" t="s">
        <v>90</v>
      </c>
    </row>
    <row r="89" spans="1:18" ht="15" customHeight="1">
      <c r="A89" s="180" t="s">
        <v>84</v>
      </c>
      <c r="B89" s="180"/>
      <c r="C89" s="168">
        <v>125605234</v>
      </c>
      <c r="F89" s="29" t="s">
        <v>65</v>
      </c>
      <c r="G89" s="3" t="s">
        <v>66</v>
      </c>
      <c r="H89" s="3" t="s">
        <v>30</v>
      </c>
      <c r="I89" s="55">
        <v>46147</v>
      </c>
      <c r="J89" s="55">
        <v>46150</v>
      </c>
      <c r="K89" s="55">
        <v>46177</v>
      </c>
      <c r="L89" s="55"/>
      <c r="M89" s="55"/>
      <c r="O89" s="3" t="s">
        <v>10</v>
      </c>
      <c r="P89" s="55">
        <v>46170</v>
      </c>
      <c r="Q89" s="167">
        <v>520</v>
      </c>
      <c r="R89" s="184" t="s">
        <v>90</v>
      </c>
    </row>
    <row r="90" spans="1:18" ht="15" customHeight="1">
      <c r="A90" s="180" t="s">
        <v>91</v>
      </c>
      <c r="B90" s="180"/>
      <c r="C90" s="168">
        <v>127606368</v>
      </c>
      <c r="F90" s="29" t="s">
        <v>92</v>
      </c>
      <c r="G90" s="3" t="s">
        <v>66</v>
      </c>
      <c r="H90" s="3" t="s">
        <v>93</v>
      </c>
      <c r="I90" s="55">
        <v>46149</v>
      </c>
      <c r="J90" s="55">
        <v>46153</v>
      </c>
      <c r="K90" s="55">
        <v>46181</v>
      </c>
      <c r="L90" s="55"/>
      <c r="M90" s="55"/>
      <c r="O90" s="3" t="s">
        <v>10</v>
      </c>
      <c r="P90" s="55">
        <v>46174</v>
      </c>
      <c r="R90" s="184"/>
    </row>
    <row r="91" spans="1:18" ht="15" customHeight="1">
      <c r="A91" s="180" t="s">
        <v>91</v>
      </c>
      <c r="B91" s="180"/>
      <c r="C91" s="168">
        <v>127606356</v>
      </c>
      <c r="F91" s="29" t="s">
        <v>92</v>
      </c>
      <c r="G91" s="3" t="s">
        <v>66</v>
      </c>
      <c r="H91" s="3" t="s">
        <v>93</v>
      </c>
      <c r="I91" s="55">
        <v>46149</v>
      </c>
      <c r="J91" s="55">
        <v>46153</v>
      </c>
      <c r="K91" s="55">
        <v>46181</v>
      </c>
      <c r="L91" s="55"/>
      <c r="M91" s="55"/>
      <c r="O91" s="3" t="s">
        <v>10</v>
      </c>
      <c r="P91" s="55">
        <v>46174</v>
      </c>
      <c r="R91" s="184"/>
    </row>
    <row r="92" spans="1:18" ht="15" customHeight="1">
      <c r="A92" s="180" t="s">
        <v>91</v>
      </c>
      <c r="B92" s="180"/>
      <c r="C92" s="168">
        <v>127606321</v>
      </c>
      <c r="F92" s="29" t="s">
        <v>92</v>
      </c>
      <c r="G92" s="3" t="s">
        <v>66</v>
      </c>
      <c r="H92" s="3" t="s">
        <v>93</v>
      </c>
      <c r="I92" s="55">
        <v>46149</v>
      </c>
      <c r="J92" s="55">
        <v>46153</v>
      </c>
      <c r="K92" s="55">
        <v>46181</v>
      </c>
      <c r="L92" s="55"/>
      <c r="M92" s="55"/>
      <c r="O92" s="3" t="s">
        <v>10</v>
      </c>
      <c r="P92" s="55">
        <v>46174</v>
      </c>
      <c r="R92" s="184"/>
    </row>
    <row r="93" spans="1:18" ht="15" customHeight="1">
      <c r="A93" s="180" t="s">
        <v>91</v>
      </c>
      <c r="B93" s="180"/>
      <c r="C93" s="168">
        <v>127606213</v>
      </c>
      <c r="F93" s="29" t="s">
        <v>92</v>
      </c>
      <c r="G93" s="3" t="s">
        <v>66</v>
      </c>
      <c r="H93" s="3" t="s">
        <v>93</v>
      </c>
      <c r="I93" s="55">
        <v>46149</v>
      </c>
      <c r="J93" s="55">
        <v>46153</v>
      </c>
      <c r="K93" s="55">
        <v>46181</v>
      </c>
      <c r="L93" s="55"/>
      <c r="M93" s="55"/>
      <c r="O93" s="3" t="s">
        <v>9</v>
      </c>
      <c r="R93" s="184"/>
    </row>
    <row r="94" spans="1:18" ht="15" customHeight="1">
      <c r="A94" s="180" t="s">
        <v>91</v>
      </c>
      <c r="B94" s="180"/>
      <c r="C94" s="168">
        <v>127606291</v>
      </c>
      <c r="F94" s="29" t="s">
        <v>92</v>
      </c>
      <c r="G94" s="3" t="s">
        <v>66</v>
      </c>
      <c r="H94" s="3" t="s">
        <v>93</v>
      </c>
      <c r="I94" s="55">
        <v>46149</v>
      </c>
      <c r="J94" s="55">
        <v>46153</v>
      </c>
      <c r="K94" s="55">
        <v>46181</v>
      </c>
      <c r="L94" s="55"/>
      <c r="M94" s="55"/>
      <c r="O94" s="3" t="s">
        <v>10</v>
      </c>
      <c r="P94" s="55">
        <v>46174</v>
      </c>
      <c r="R94" s="184"/>
    </row>
    <row r="95" spans="1:18" ht="15" customHeight="1">
      <c r="A95" s="180" t="s">
        <v>91</v>
      </c>
      <c r="B95" s="180"/>
      <c r="C95" s="168">
        <v>127606103</v>
      </c>
      <c r="F95" s="29" t="s">
        <v>92</v>
      </c>
      <c r="G95" s="3" t="s">
        <v>66</v>
      </c>
      <c r="H95" s="3" t="s">
        <v>93</v>
      </c>
      <c r="I95" s="55">
        <v>46149</v>
      </c>
      <c r="J95" s="55">
        <v>46153</v>
      </c>
      <c r="K95" s="55">
        <v>46181</v>
      </c>
      <c r="L95" s="55"/>
      <c r="M95" s="55"/>
      <c r="O95" s="3" t="s">
        <v>9</v>
      </c>
      <c r="R95" s="184"/>
    </row>
    <row r="96" spans="1:18" ht="15" customHeight="1">
      <c r="A96" s="180" t="s">
        <v>91</v>
      </c>
      <c r="B96" s="180"/>
      <c r="C96" s="168">
        <v>127606237</v>
      </c>
      <c r="F96" s="29" t="s">
        <v>92</v>
      </c>
      <c r="G96" s="3" t="s">
        <v>66</v>
      </c>
      <c r="H96" s="3" t="s">
        <v>93</v>
      </c>
      <c r="I96" s="55">
        <v>46149</v>
      </c>
      <c r="J96" s="55">
        <v>46153</v>
      </c>
      <c r="K96" s="55">
        <v>46181</v>
      </c>
      <c r="L96" s="55"/>
      <c r="M96" s="55"/>
      <c r="O96" s="3" t="s">
        <v>10</v>
      </c>
      <c r="P96" s="55">
        <v>46174</v>
      </c>
      <c r="R96" s="184"/>
    </row>
    <row r="97" spans="1:18" ht="15" customHeight="1">
      <c r="A97" s="180" t="s">
        <v>91</v>
      </c>
      <c r="B97" s="180"/>
      <c r="C97" s="168">
        <v>127606183</v>
      </c>
      <c r="F97" s="29" t="s">
        <v>92</v>
      </c>
      <c r="G97" s="3" t="s">
        <v>66</v>
      </c>
      <c r="H97" s="3" t="s">
        <v>93</v>
      </c>
      <c r="I97" s="55">
        <v>46149</v>
      </c>
      <c r="J97" s="55">
        <v>46153</v>
      </c>
      <c r="K97" s="55">
        <v>46181</v>
      </c>
      <c r="L97" s="55"/>
      <c r="M97" s="55"/>
      <c r="O97" s="3" t="s">
        <v>10</v>
      </c>
      <c r="P97" s="55">
        <v>46169</v>
      </c>
      <c r="R97" s="184"/>
    </row>
    <row r="98" spans="1:18" ht="15" customHeight="1">
      <c r="A98" s="180" t="s">
        <v>91</v>
      </c>
      <c r="B98" s="180"/>
      <c r="C98" s="168">
        <v>127606155</v>
      </c>
      <c r="F98" s="29" t="s">
        <v>92</v>
      </c>
      <c r="G98" s="3" t="s">
        <v>66</v>
      </c>
      <c r="H98" s="3" t="s">
        <v>93</v>
      </c>
      <c r="I98" s="55">
        <v>46149</v>
      </c>
      <c r="J98" s="55">
        <v>46153</v>
      </c>
      <c r="K98" s="55">
        <v>46181</v>
      </c>
      <c r="L98" s="55"/>
      <c r="M98" s="55"/>
      <c r="O98" s="3" t="s">
        <v>10</v>
      </c>
      <c r="P98" s="55">
        <v>46179</v>
      </c>
      <c r="R98" s="184"/>
    </row>
    <row r="99" spans="1:18" ht="15" customHeight="1">
      <c r="A99" s="180" t="s">
        <v>91</v>
      </c>
      <c r="B99" s="180"/>
      <c r="C99" s="168">
        <v>127606136</v>
      </c>
      <c r="F99" s="29" t="s">
        <v>92</v>
      </c>
      <c r="G99" s="3" t="s">
        <v>66</v>
      </c>
      <c r="H99" s="3" t="s">
        <v>93</v>
      </c>
      <c r="I99" s="55">
        <v>46149</v>
      </c>
      <c r="J99" s="55">
        <v>46153</v>
      </c>
      <c r="K99" s="55">
        <v>46181</v>
      </c>
      <c r="L99" s="55"/>
      <c r="M99" s="55"/>
      <c r="O99" s="3" t="s">
        <v>10</v>
      </c>
      <c r="P99" s="55">
        <v>46176</v>
      </c>
      <c r="R99" s="184"/>
    </row>
    <row r="100" spans="1:18" ht="15" customHeight="1">
      <c r="A100" s="180" t="s">
        <v>91</v>
      </c>
      <c r="B100" s="180"/>
      <c r="C100" s="168">
        <v>127606076</v>
      </c>
      <c r="F100" s="29" t="s">
        <v>92</v>
      </c>
      <c r="G100" s="3" t="s">
        <v>66</v>
      </c>
      <c r="H100" s="3" t="s">
        <v>93</v>
      </c>
      <c r="I100" s="55">
        <v>46149</v>
      </c>
      <c r="J100" s="55">
        <v>46153</v>
      </c>
      <c r="K100" s="55">
        <v>46181</v>
      </c>
      <c r="L100" s="55"/>
      <c r="M100" s="55"/>
      <c r="O100" s="3" t="s">
        <v>10</v>
      </c>
      <c r="P100" s="55">
        <v>46174</v>
      </c>
      <c r="R100" s="184"/>
    </row>
    <row r="101" spans="1:18" ht="15" customHeight="1">
      <c r="A101" s="180" t="s">
        <v>91</v>
      </c>
      <c r="B101" s="180"/>
      <c r="C101" s="168">
        <v>127606028</v>
      </c>
      <c r="F101" s="29" t="s">
        <v>92</v>
      </c>
      <c r="G101" s="3" t="s">
        <v>66</v>
      </c>
      <c r="H101" s="3" t="s">
        <v>93</v>
      </c>
      <c r="I101" s="55">
        <v>46149</v>
      </c>
      <c r="J101" s="55">
        <v>46153</v>
      </c>
      <c r="K101" s="55">
        <v>46181</v>
      </c>
      <c r="L101" s="55"/>
      <c r="M101" s="55"/>
      <c r="O101" s="3" t="s">
        <v>10</v>
      </c>
      <c r="P101" s="55">
        <v>46179</v>
      </c>
      <c r="R101" s="184"/>
    </row>
    <row r="102" spans="1:18" ht="15" customHeight="1">
      <c r="A102" s="180" t="s">
        <v>91</v>
      </c>
      <c r="B102" s="180"/>
      <c r="C102" s="168">
        <v>127606006</v>
      </c>
      <c r="F102" s="29" t="s">
        <v>92</v>
      </c>
      <c r="G102" s="3" t="s">
        <v>66</v>
      </c>
      <c r="H102" s="3" t="s">
        <v>93</v>
      </c>
      <c r="I102" s="55">
        <v>46149</v>
      </c>
      <c r="J102" s="55">
        <v>46153</v>
      </c>
      <c r="K102" s="55">
        <v>46181</v>
      </c>
      <c r="L102" s="55"/>
      <c r="M102" s="55"/>
      <c r="O102" s="3" t="s">
        <v>10</v>
      </c>
      <c r="P102" s="55">
        <v>46179</v>
      </c>
      <c r="R102" s="184"/>
    </row>
    <row r="103" spans="1:18" ht="15" customHeight="1">
      <c r="A103" s="180" t="s">
        <v>91</v>
      </c>
      <c r="B103" s="180"/>
      <c r="C103" s="168">
        <v>127605976</v>
      </c>
      <c r="F103" s="29" t="s">
        <v>92</v>
      </c>
      <c r="G103" s="3" t="s">
        <v>66</v>
      </c>
      <c r="H103" s="3" t="s">
        <v>93</v>
      </c>
      <c r="I103" s="55">
        <v>46149</v>
      </c>
      <c r="J103" s="55">
        <v>46153</v>
      </c>
      <c r="K103" s="55">
        <v>46181</v>
      </c>
      <c r="L103" s="55"/>
      <c r="M103" s="55"/>
      <c r="O103" s="3" t="s">
        <v>10</v>
      </c>
      <c r="P103" s="55">
        <v>46182</v>
      </c>
      <c r="R103" s="184"/>
    </row>
    <row r="104" spans="1:18" ht="15" customHeight="1">
      <c r="A104" s="180" t="s">
        <v>94</v>
      </c>
      <c r="B104" s="180"/>
      <c r="C104" s="168">
        <v>135601046</v>
      </c>
      <c r="F104" s="29" t="s">
        <v>65</v>
      </c>
      <c r="G104" s="3" t="s">
        <v>66</v>
      </c>
      <c r="H104" s="3" t="s">
        <v>30</v>
      </c>
      <c r="I104" s="55">
        <v>46157</v>
      </c>
      <c r="J104" s="55">
        <v>46160</v>
      </c>
      <c r="K104" s="55">
        <v>46188</v>
      </c>
      <c r="L104" s="55"/>
      <c r="M104" s="55"/>
      <c r="O104" s="3" t="s">
        <v>9</v>
      </c>
      <c r="Q104" s="167">
        <v>470</v>
      </c>
      <c r="R104" s="184" t="s">
        <v>95</v>
      </c>
    </row>
    <row r="105" spans="1:18" ht="15" customHeight="1">
      <c r="A105" s="180" t="s">
        <v>94</v>
      </c>
      <c r="B105" s="180"/>
      <c r="C105" s="168">
        <v>135601101</v>
      </c>
      <c r="F105" s="29" t="s">
        <v>65</v>
      </c>
      <c r="G105" s="3" t="s">
        <v>66</v>
      </c>
      <c r="H105" s="3" t="s">
        <v>30</v>
      </c>
      <c r="I105" s="55">
        <v>46157</v>
      </c>
      <c r="J105" s="55">
        <v>46160</v>
      </c>
      <c r="K105" s="55">
        <v>46188</v>
      </c>
      <c r="L105" s="55"/>
      <c r="M105" s="55"/>
      <c r="O105" s="3" t="s">
        <v>10</v>
      </c>
      <c r="P105" s="55">
        <v>46188</v>
      </c>
      <c r="Q105" s="167">
        <v>450</v>
      </c>
      <c r="R105" s="184" t="s">
        <v>95</v>
      </c>
    </row>
    <row r="106" spans="1:18" ht="15" customHeight="1">
      <c r="A106" s="180" t="s">
        <v>94</v>
      </c>
      <c r="B106" s="180"/>
      <c r="C106" s="168">
        <v>135601133</v>
      </c>
      <c r="F106" s="29" t="s">
        <v>65</v>
      </c>
      <c r="G106" s="3" t="s">
        <v>66</v>
      </c>
      <c r="H106" s="3" t="s">
        <v>30</v>
      </c>
      <c r="I106" s="55">
        <v>46157</v>
      </c>
      <c r="J106" s="55">
        <v>46160</v>
      </c>
      <c r="K106" s="55">
        <v>46188</v>
      </c>
      <c r="L106" s="55"/>
      <c r="M106" s="55"/>
      <c r="O106" s="3" t="s">
        <v>10</v>
      </c>
      <c r="P106" s="55">
        <v>46188</v>
      </c>
      <c r="Q106" s="167">
        <v>460</v>
      </c>
      <c r="R106" s="184" t="s">
        <v>95</v>
      </c>
    </row>
    <row r="107" spans="1:18" ht="15" customHeight="1">
      <c r="A107" s="180" t="s">
        <v>94</v>
      </c>
      <c r="B107" s="180"/>
      <c r="C107" s="168">
        <v>135601153</v>
      </c>
      <c r="F107" s="29" t="s">
        <v>65</v>
      </c>
      <c r="G107" s="3" t="s">
        <v>66</v>
      </c>
      <c r="H107" s="3" t="s">
        <v>30</v>
      </c>
      <c r="I107" s="55">
        <v>46157</v>
      </c>
      <c r="J107" s="55">
        <v>46160</v>
      </c>
      <c r="K107" s="55">
        <v>46188</v>
      </c>
      <c r="L107" s="55"/>
      <c r="M107" s="55"/>
      <c r="O107" s="3" t="s">
        <v>10</v>
      </c>
      <c r="P107" s="55">
        <v>46188</v>
      </c>
      <c r="Q107" s="167">
        <v>450</v>
      </c>
      <c r="R107" s="184" t="s">
        <v>95</v>
      </c>
    </row>
    <row r="108" spans="1:18" ht="15" customHeight="1">
      <c r="A108" s="180" t="s">
        <v>94</v>
      </c>
      <c r="B108" s="180"/>
      <c r="C108" s="168">
        <v>135601180</v>
      </c>
      <c r="F108" s="29" t="s">
        <v>65</v>
      </c>
      <c r="G108" s="3" t="s">
        <v>66</v>
      </c>
      <c r="H108" s="3" t="s">
        <v>30</v>
      </c>
      <c r="I108" s="55">
        <v>46157</v>
      </c>
      <c r="J108" s="55">
        <v>46160</v>
      </c>
      <c r="K108" s="55">
        <v>46188</v>
      </c>
      <c r="L108" s="55"/>
      <c r="M108" s="55"/>
      <c r="O108" s="3" t="s">
        <v>10</v>
      </c>
      <c r="P108" s="55">
        <v>46188</v>
      </c>
      <c r="Q108" s="167">
        <v>510</v>
      </c>
      <c r="R108" s="184" t="s">
        <v>95</v>
      </c>
    </row>
    <row r="109" spans="1:18" ht="15" customHeight="1">
      <c r="A109" s="180" t="s">
        <v>94</v>
      </c>
      <c r="B109" s="180"/>
      <c r="C109" s="168">
        <v>135602106</v>
      </c>
      <c r="F109" s="29" t="s">
        <v>65</v>
      </c>
      <c r="G109" s="3" t="s">
        <v>66</v>
      </c>
      <c r="H109" s="3" t="s">
        <v>30</v>
      </c>
      <c r="I109" s="55">
        <v>46157</v>
      </c>
      <c r="J109" s="55">
        <v>46160</v>
      </c>
      <c r="K109" s="55">
        <v>46188</v>
      </c>
      <c r="L109" s="55"/>
      <c r="M109" s="55"/>
      <c r="O109" s="3" t="s">
        <v>10</v>
      </c>
      <c r="P109" s="55">
        <v>46188</v>
      </c>
      <c r="Q109" s="167">
        <v>490</v>
      </c>
      <c r="R109" s="184" t="s">
        <v>95</v>
      </c>
    </row>
    <row r="110" spans="1:18" ht="15" customHeight="1">
      <c r="A110" s="180" t="s">
        <v>94</v>
      </c>
      <c r="B110" s="180"/>
      <c r="C110" s="168">
        <v>135602164</v>
      </c>
      <c r="F110" s="29" t="s">
        <v>65</v>
      </c>
      <c r="G110" s="3" t="s">
        <v>66</v>
      </c>
      <c r="H110" s="3" t="s">
        <v>30</v>
      </c>
      <c r="I110" s="55">
        <v>46157</v>
      </c>
      <c r="J110" s="55">
        <v>46160</v>
      </c>
      <c r="K110" s="55">
        <v>46188</v>
      </c>
      <c r="L110" s="55"/>
      <c r="M110" s="55"/>
      <c r="O110" s="3" t="s">
        <v>10</v>
      </c>
      <c r="P110" s="55">
        <v>46188</v>
      </c>
      <c r="Q110" s="167">
        <v>450</v>
      </c>
      <c r="R110" s="184" t="s">
        <v>95</v>
      </c>
    </row>
    <row r="111" spans="1:18" ht="15" customHeight="1">
      <c r="A111" s="180" t="s">
        <v>94</v>
      </c>
      <c r="B111" s="180"/>
      <c r="C111" s="168">
        <v>135602186</v>
      </c>
      <c r="F111" s="29" t="s">
        <v>65</v>
      </c>
      <c r="G111" s="3" t="s">
        <v>66</v>
      </c>
      <c r="H111" s="3" t="s">
        <v>30</v>
      </c>
      <c r="I111" s="55">
        <v>46157</v>
      </c>
      <c r="J111" s="55">
        <v>46160</v>
      </c>
      <c r="K111" s="55">
        <v>46188</v>
      </c>
      <c r="L111" s="55"/>
      <c r="M111" s="55"/>
      <c r="O111" s="3" t="s">
        <v>10</v>
      </c>
      <c r="P111" s="55">
        <v>46188</v>
      </c>
      <c r="Q111" s="167">
        <v>675</v>
      </c>
      <c r="R111" s="184" t="s">
        <v>95</v>
      </c>
    </row>
    <row r="112" spans="1:18" ht="15" customHeight="1">
      <c r="A112" s="180" t="s">
        <v>94</v>
      </c>
      <c r="B112" s="180"/>
      <c r="C112" s="168">
        <v>135602208</v>
      </c>
      <c r="F112" s="29" t="s">
        <v>65</v>
      </c>
      <c r="G112" s="3" t="s">
        <v>66</v>
      </c>
      <c r="H112" s="3" t="s">
        <v>30</v>
      </c>
      <c r="I112" s="55">
        <v>46157</v>
      </c>
      <c r="J112" s="55">
        <v>46160</v>
      </c>
      <c r="K112" s="55">
        <v>46188</v>
      </c>
      <c r="L112" s="55"/>
      <c r="M112" s="55"/>
      <c r="O112" s="3" t="s">
        <v>9</v>
      </c>
      <c r="Q112" s="167">
        <v>640</v>
      </c>
      <c r="R112" s="184" t="s">
        <v>95</v>
      </c>
    </row>
    <row r="113" spans="1:18" ht="15" customHeight="1">
      <c r="A113" s="180" t="s">
        <v>94</v>
      </c>
      <c r="B113" s="180"/>
      <c r="C113" s="168">
        <v>135602272</v>
      </c>
      <c r="F113" s="29" t="s">
        <v>65</v>
      </c>
      <c r="G113" s="3" t="s">
        <v>66</v>
      </c>
      <c r="H113" s="3" t="s">
        <v>30</v>
      </c>
      <c r="I113" s="55">
        <v>46157</v>
      </c>
      <c r="J113" s="55">
        <v>46160</v>
      </c>
      <c r="K113" s="55">
        <v>46188</v>
      </c>
      <c r="L113" s="55"/>
      <c r="M113" s="55"/>
      <c r="O113" s="3" t="s">
        <v>9</v>
      </c>
      <c r="Q113" s="167">
        <v>325</v>
      </c>
      <c r="R113" s="184" t="s">
        <v>95</v>
      </c>
    </row>
    <row r="114" spans="1:18" ht="15" customHeight="1">
      <c r="A114" s="180" t="s">
        <v>96</v>
      </c>
      <c r="B114" s="180"/>
      <c r="C114" s="168">
        <v>121600011</v>
      </c>
      <c r="F114" s="29" t="s">
        <v>97</v>
      </c>
      <c r="G114" s="3" t="s">
        <v>59</v>
      </c>
      <c r="H114" s="3" t="s">
        <v>98</v>
      </c>
      <c r="I114" s="55">
        <v>46143</v>
      </c>
      <c r="J114" s="55">
        <v>46146</v>
      </c>
      <c r="K114" s="55">
        <v>46178</v>
      </c>
      <c r="L114" s="55"/>
      <c r="M114" s="55"/>
      <c r="O114" s="3" t="s">
        <v>10</v>
      </c>
      <c r="P114" s="55">
        <v>46163</v>
      </c>
      <c r="R114" s="184"/>
    </row>
    <row r="115" spans="1:18" ht="15" customHeight="1">
      <c r="A115" s="180" t="s">
        <v>96</v>
      </c>
      <c r="B115" s="180"/>
      <c r="C115" s="168">
        <v>121600014</v>
      </c>
      <c r="F115" s="29" t="s">
        <v>97</v>
      </c>
      <c r="G115" s="3" t="s">
        <v>59</v>
      </c>
      <c r="H115" s="3" t="s">
        <v>98</v>
      </c>
      <c r="I115" s="55">
        <v>46143</v>
      </c>
      <c r="J115" s="55">
        <v>46146</v>
      </c>
      <c r="K115" s="55">
        <v>46178</v>
      </c>
      <c r="L115" s="55"/>
      <c r="M115" s="55"/>
      <c r="O115" s="3" t="s">
        <v>10</v>
      </c>
      <c r="P115" s="55">
        <v>46163</v>
      </c>
      <c r="R115" s="184"/>
    </row>
    <row r="116" spans="1:18" ht="15" customHeight="1">
      <c r="A116" s="180" t="s">
        <v>96</v>
      </c>
      <c r="B116" s="180"/>
      <c r="C116" s="168">
        <v>121600018</v>
      </c>
      <c r="F116" s="29" t="s">
        <v>97</v>
      </c>
      <c r="G116" s="3" t="s">
        <v>59</v>
      </c>
      <c r="H116" s="3" t="s">
        <v>98</v>
      </c>
      <c r="I116" s="55">
        <v>46143</v>
      </c>
      <c r="J116" s="55">
        <v>46146</v>
      </c>
      <c r="K116" s="55">
        <v>46178</v>
      </c>
      <c r="L116" s="55"/>
      <c r="M116" s="55"/>
      <c r="O116" s="3" t="s">
        <v>10</v>
      </c>
      <c r="P116" s="55">
        <v>46163</v>
      </c>
      <c r="R116" s="184"/>
    </row>
    <row r="117" spans="1:18" ht="15" customHeight="1">
      <c r="A117" s="180" t="s">
        <v>96</v>
      </c>
      <c r="B117" s="180"/>
      <c r="C117" s="168">
        <v>121600019</v>
      </c>
      <c r="F117" s="29" t="s">
        <v>97</v>
      </c>
      <c r="G117" s="3" t="s">
        <v>59</v>
      </c>
      <c r="H117" s="3" t="s">
        <v>98</v>
      </c>
      <c r="I117" s="55">
        <v>46143</v>
      </c>
      <c r="J117" s="55">
        <v>46146</v>
      </c>
      <c r="K117" s="55">
        <v>46178</v>
      </c>
      <c r="L117" s="55"/>
      <c r="M117" s="55"/>
      <c r="O117" s="3" t="s">
        <v>10</v>
      </c>
      <c r="P117" s="55">
        <v>46163</v>
      </c>
      <c r="R117" s="184"/>
    </row>
    <row r="118" spans="1:18" ht="15" customHeight="1">
      <c r="A118" s="180" t="s">
        <v>96</v>
      </c>
      <c r="B118" s="180"/>
      <c r="C118" s="168">
        <v>121600023</v>
      </c>
      <c r="F118" s="29" t="s">
        <v>97</v>
      </c>
      <c r="G118" s="3" t="s">
        <v>59</v>
      </c>
      <c r="H118" s="3" t="s">
        <v>98</v>
      </c>
      <c r="I118" s="55">
        <v>46143</v>
      </c>
      <c r="J118" s="55">
        <v>46146</v>
      </c>
      <c r="K118" s="55">
        <v>46178</v>
      </c>
      <c r="L118" s="55"/>
      <c r="M118" s="55"/>
      <c r="O118" s="3" t="s">
        <v>10</v>
      </c>
      <c r="P118" s="55">
        <v>46163</v>
      </c>
      <c r="R118" s="184"/>
    </row>
    <row r="119" spans="1:18" ht="15" customHeight="1">
      <c r="A119" s="180" t="s">
        <v>96</v>
      </c>
      <c r="B119" s="180"/>
      <c r="C119" s="168">
        <v>121600024</v>
      </c>
      <c r="F119" s="29" t="s">
        <v>97</v>
      </c>
      <c r="G119" s="3" t="s">
        <v>59</v>
      </c>
      <c r="H119" s="3" t="s">
        <v>98</v>
      </c>
      <c r="I119" s="55">
        <v>46143</v>
      </c>
      <c r="J119" s="55">
        <v>46146</v>
      </c>
      <c r="K119" s="55">
        <v>46178</v>
      </c>
      <c r="L119" s="55"/>
      <c r="M119" s="55"/>
      <c r="O119" s="3" t="s">
        <v>10</v>
      </c>
      <c r="P119" s="55">
        <v>46163</v>
      </c>
      <c r="R119" s="184"/>
    </row>
    <row r="120" spans="1:18" ht="15" customHeight="1">
      <c r="A120" s="180" t="s">
        <v>96</v>
      </c>
      <c r="B120" s="180"/>
      <c r="C120" s="168">
        <v>121600026</v>
      </c>
      <c r="F120" s="29" t="s">
        <v>97</v>
      </c>
      <c r="G120" s="3" t="s">
        <v>59</v>
      </c>
      <c r="H120" s="3" t="s">
        <v>98</v>
      </c>
      <c r="I120" s="55">
        <v>46143</v>
      </c>
      <c r="J120" s="55">
        <v>46146</v>
      </c>
      <c r="K120" s="55">
        <v>46178</v>
      </c>
      <c r="L120" s="55"/>
      <c r="M120" s="55"/>
      <c r="O120" s="3" t="s">
        <v>10</v>
      </c>
      <c r="P120" s="55">
        <v>46163</v>
      </c>
      <c r="R120" s="184"/>
    </row>
    <row r="121" spans="1:18" ht="15" customHeight="1">
      <c r="A121" s="180" t="s">
        <v>96</v>
      </c>
      <c r="B121" s="180"/>
      <c r="C121" s="168">
        <v>121600029</v>
      </c>
      <c r="F121" s="29" t="s">
        <v>97</v>
      </c>
      <c r="G121" s="3" t="s">
        <v>59</v>
      </c>
      <c r="H121" s="3" t="s">
        <v>98</v>
      </c>
      <c r="I121" s="55">
        <v>46143</v>
      </c>
      <c r="J121" s="55">
        <v>46146</v>
      </c>
      <c r="K121" s="55">
        <v>46178</v>
      </c>
      <c r="L121" s="55"/>
      <c r="M121" s="55"/>
      <c r="O121" s="3" t="s">
        <v>10</v>
      </c>
      <c r="P121" s="55">
        <v>46163</v>
      </c>
      <c r="R121" s="184"/>
    </row>
    <row r="122" spans="1:18" ht="15" customHeight="1">
      <c r="A122" s="180" t="s">
        <v>99</v>
      </c>
      <c r="B122" s="180"/>
      <c r="C122" s="168">
        <v>134609116</v>
      </c>
      <c r="F122" s="29" t="s">
        <v>97</v>
      </c>
      <c r="G122" s="3" t="s">
        <v>59</v>
      </c>
      <c r="H122" s="3" t="s">
        <v>98</v>
      </c>
      <c r="I122" s="55">
        <v>46156</v>
      </c>
      <c r="J122" s="55">
        <v>46160</v>
      </c>
      <c r="K122" s="55">
        <v>46188</v>
      </c>
      <c r="L122" s="55"/>
      <c r="M122" s="55"/>
      <c r="O122" s="3" t="s">
        <v>9</v>
      </c>
      <c r="R122" s="184"/>
    </row>
    <row r="123" spans="1:18" ht="15" customHeight="1">
      <c r="A123" s="180" t="s">
        <v>99</v>
      </c>
      <c r="B123" s="180"/>
      <c r="C123" s="168">
        <v>134609137</v>
      </c>
      <c r="F123" s="29" t="s">
        <v>97</v>
      </c>
      <c r="G123" s="3" t="s">
        <v>59</v>
      </c>
      <c r="H123" s="3" t="s">
        <v>98</v>
      </c>
      <c r="I123" s="55">
        <v>46156</v>
      </c>
      <c r="J123" s="55">
        <v>46160</v>
      </c>
      <c r="K123" s="55">
        <v>46188</v>
      </c>
      <c r="L123" s="55"/>
      <c r="M123" s="55"/>
      <c r="O123" s="3" t="s">
        <v>10</v>
      </c>
      <c r="P123" s="55">
        <v>46162</v>
      </c>
      <c r="R123" s="184"/>
    </row>
    <row r="124" spans="1:18" ht="15" customHeight="1">
      <c r="A124" s="180" t="s">
        <v>99</v>
      </c>
      <c r="B124" s="180"/>
      <c r="C124" s="168">
        <v>134609155</v>
      </c>
      <c r="F124" s="29" t="s">
        <v>97</v>
      </c>
      <c r="G124" s="3" t="s">
        <v>59</v>
      </c>
      <c r="H124" s="3" t="s">
        <v>98</v>
      </c>
      <c r="I124" s="55">
        <v>46156</v>
      </c>
      <c r="J124" s="55">
        <v>46160</v>
      </c>
      <c r="K124" s="55">
        <v>46188</v>
      </c>
      <c r="L124" s="55"/>
      <c r="M124" s="55"/>
      <c r="O124" s="3" t="s">
        <v>10</v>
      </c>
      <c r="P124" s="55">
        <v>46162</v>
      </c>
      <c r="R124" s="184"/>
    </row>
    <row r="125" spans="1:18" ht="15" customHeight="1">
      <c r="A125" s="180" t="s">
        <v>99</v>
      </c>
      <c r="B125" s="180"/>
      <c r="C125" s="168">
        <v>134609174</v>
      </c>
      <c r="F125" s="29" t="s">
        <v>97</v>
      </c>
      <c r="G125" s="3" t="s">
        <v>59</v>
      </c>
      <c r="H125" s="3" t="s">
        <v>98</v>
      </c>
      <c r="I125" s="55">
        <v>46156</v>
      </c>
      <c r="J125" s="55">
        <v>46160</v>
      </c>
      <c r="K125" s="55">
        <v>46188</v>
      </c>
      <c r="L125" s="55"/>
      <c r="M125" s="55"/>
      <c r="O125" s="3" t="s">
        <v>10</v>
      </c>
      <c r="P125" s="55">
        <v>46162</v>
      </c>
      <c r="R125" s="184"/>
    </row>
    <row r="126" spans="1:18" ht="15" customHeight="1">
      <c r="A126" s="180" t="s">
        <v>99</v>
      </c>
      <c r="B126" s="180"/>
      <c r="C126" s="168">
        <v>134609180</v>
      </c>
      <c r="F126" s="29" t="s">
        <v>97</v>
      </c>
      <c r="G126" s="3" t="s">
        <v>59</v>
      </c>
      <c r="H126" s="3" t="s">
        <v>98</v>
      </c>
      <c r="I126" s="55">
        <v>46156</v>
      </c>
      <c r="J126" s="55">
        <v>46160</v>
      </c>
      <c r="K126" s="55">
        <v>46188</v>
      </c>
      <c r="L126" s="55"/>
      <c r="M126" s="55"/>
      <c r="O126" s="3" t="s">
        <v>10</v>
      </c>
      <c r="P126" s="55">
        <v>46162</v>
      </c>
      <c r="R126" s="184"/>
    </row>
    <row r="127" spans="1:18" ht="15" customHeight="1">
      <c r="A127" s="180" t="s">
        <v>99</v>
      </c>
      <c r="B127" s="180"/>
      <c r="C127" s="168">
        <v>134609183</v>
      </c>
      <c r="F127" s="29" t="s">
        <v>97</v>
      </c>
      <c r="G127" s="3" t="s">
        <v>59</v>
      </c>
      <c r="H127" s="3" t="s">
        <v>98</v>
      </c>
      <c r="I127" s="55">
        <v>46156</v>
      </c>
      <c r="J127" s="55">
        <v>46160</v>
      </c>
      <c r="K127" s="55">
        <v>46188</v>
      </c>
      <c r="L127" s="55"/>
      <c r="M127" s="55"/>
      <c r="O127" s="3" t="s">
        <v>10</v>
      </c>
      <c r="P127" s="55">
        <v>46162</v>
      </c>
      <c r="R127" s="184"/>
    </row>
    <row r="128" spans="1:18" ht="15" customHeight="1">
      <c r="A128" s="180" t="s">
        <v>99</v>
      </c>
      <c r="B128" s="180"/>
      <c r="C128" s="168">
        <v>134609195</v>
      </c>
      <c r="F128" s="29" t="s">
        <v>97</v>
      </c>
      <c r="G128" s="3" t="s">
        <v>59</v>
      </c>
      <c r="H128" s="3" t="s">
        <v>98</v>
      </c>
      <c r="I128" s="55">
        <v>46156</v>
      </c>
      <c r="J128" s="55">
        <v>46160</v>
      </c>
      <c r="K128" s="55">
        <v>46188</v>
      </c>
      <c r="L128" s="55"/>
      <c r="M128" s="55"/>
      <c r="O128" s="3" t="s">
        <v>10</v>
      </c>
      <c r="P128" s="55">
        <v>46162</v>
      </c>
      <c r="R128" s="184"/>
    </row>
    <row r="129" spans="1:18" ht="15" customHeight="1">
      <c r="A129" s="180" t="s">
        <v>99</v>
      </c>
      <c r="B129" s="180"/>
      <c r="C129" s="168">
        <v>134609201</v>
      </c>
      <c r="F129" s="29" t="s">
        <v>97</v>
      </c>
      <c r="G129" s="3" t="s">
        <v>59</v>
      </c>
      <c r="H129" s="3" t="s">
        <v>98</v>
      </c>
      <c r="I129" s="55">
        <v>46156</v>
      </c>
      <c r="J129" s="55">
        <v>46160</v>
      </c>
      <c r="K129" s="55">
        <v>46188</v>
      </c>
      <c r="L129" s="55"/>
      <c r="M129" s="55"/>
      <c r="O129" s="3" t="s">
        <v>10</v>
      </c>
      <c r="P129" s="55">
        <v>46162</v>
      </c>
      <c r="R129" s="184"/>
    </row>
    <row r="130" spans="1:18" ht="15" customHeight="1">
      <c r="A130" s="180" t="s">
        <v>99</v>
      </c>
      <c r="B130" s="180"/>
      <c r="C130" s="168">
        <v>134609207</v>
      </c>
      <c r="F130" s="29" t="s">
        <v>97</v>
      </c>
      <c r="G130" s="3" t="s">
        <v>59</v>
      </c>
      <c r="H130" s="3" t="s">
        <v>98</v>
      </c>
      <c r="I130" s="55">
        <v>46156</v>
      </c>
      <c r="J130" s="55">
        <v>46160</v>
      </c>
      <c r="K130" s="55">
        <v>46188</v>
      </c>
      <c r="L130" s="55"/>
      <c r="M130" s="55"/>
      <c r="O130" s="3" t="s">
        <v>10</v>
      </c>
      <c r="P130" s="55">
        <v>46162</v>
      </c>
      <c r="R130" s="184"/>
    </row>
    <row r="131" spans="1:18" ht="15" customHeight="1">
      <c r="A131" s="180" t="s">
        <v>99</v>
      </c>
      <c r="B131" s="180"/>
      <c r="C131" s="168">
        <v>134609213</v>
      </c>
      <c r="F131" s="29" t="s">
        <v>97</v>
      </c>
      <c r="G131" s="3" t="s">
        <v>59</v>
      </c>
      <c r="H131" s="3" t="s">
        <v>98</v>
      </c>
      <c r="I131" s="55">
        <v>46156</v>
      </c>
      <c r="J131" s="55">
        <v>46160</v>
      </c>
      <c r="K131" s="55">
        <v>46188</v>
      </c>
      <c r="L131" s="55"/>
      <c r="M131" s="55"/>
      <c r="O131" s="3" t="s">
        <v>10</v>
      </c>
      <c r="P131" s="55">
        <v>46162</v>
      </c>
      <c r="R131" s="184"/>
    </row>
    <row r="132" spans="1:18" ht="15" customHeight="1">
      <c r="A132" s="180" t="s">
        <v>100</v>
      </c>
      <c r="B132" s="180"/>
      <c r="C132" s="168">
        <v>134609381</v>
      </c>
      <c r="F132" s="29" t="s">
        <v>97</v>
      </c>
      <c r="G132" s="3" t="s">
        <v>59</v>
      </c>
      <c r="H132" s="3" t="s">
        <v>98</v>
      </c>
      <c r="I132" s="55">
        <v>46156</v>
      </c>
      <c r="J132" s="55">
        <v>46160</v>
      </c>
      <c r="K132" s="55">
        <v>46188</v>
      </c>
      <c r="L132" s="55"/>
      <c r="M132" s="55"/>
      <c r="O132" s="3" t="s">
        <v>10</v>
      </c>
      <c r="P132" s="55">
        <v>46161</v>
      </c>
      <c r="R132" s="184"/>
    </row>
    <row r="133" spans="1:18" ht="15" customHeight="1">
      <c r="A133" s="180" t="s">
        <v>100</v>
      </c>
      <c r="B133" s="180"/>
      <c r="C133" s="168">
        <v>134609384</v>
      </c>
      <c r="F133" s="29" t="s">
        <v>97</v>
      </c>
      <c r="G133" s="3" t="s">
        <v>59</v>
      </c>
      <c r="H133" s="3" t="s">
        <v>98</v>
      </c>
      <c r="I133" s="55">
        <v>46156</v>
      </c>
      <c r="J133" s="55">
        <v>46160</v>
      </c>
      <c r="K133" s="55">
        <v>46188</v>
      </c>
      <c r="L133" s="55"/>
      <c r="M133" s="55"/>
      <c r="O133" s="3" t="s">
        <v>10</v>
      </c>
      <c r="P133" s="55">
        <v>46161</v>
      </c>
      <c r="R133" s="184"/>
    </row>
    <row r="134" spans="1:18" ht="15" customHeight="1">
      <c r="A134" s="180" t="s">
        <v>100</v>
      </c>
      <c r="B134" s="180"/>
      <c r="C134" s="168">
        <v>134609389</v>
      </c>
      <c r="F134" s="29" t="s">
        <v>97</v>
      </c>
      <c r="G134" s="3" t="s">
        <v>59</v>
      </c>
      <c r="H134" s="3" t="s">
        <v>98</v>
      </c>
      <c r="I134" s="55">
        <v>46156</v>
      </c>
      <c r="J134" s="55">
        <v>46160</v>
      </c>
      <c r="K134" s="55">
        <v>46188</v>
      </c>
      <c r="L134" s="55"/>
      <c r="M134" s="55"/>
      <c r="O134" s="3" t="s">
        <v>10</v>
      </c>
      <c r="P134" s="55">
        <v>46161</v>
      </c>
      <c r="R134" s="184"/>
    </row>
    <row r="135" spans="1:18" ht="15" customHeight="1">
      <c r="A135" s="180" t="s">
        <v>100</v>
      </c>
      <c r="B135" s="180"/>
      <c r="C135" s="168">
        <v>134609392</v>
      </c>
      <c r="F135" s="29" t="s">
        <v>97</v>
      </c>
      <c r="G135" s="3" t="s">
        <v>59</v>
      </c>
      <c r="H135" s="3" t="s">
        <v>98</v>
      </c>
      <c r="I135" s="55">
        <v>46156</v>
      </c>
      <c r="J135" s="55">
        <v>46160</v>
      </c>
      <c r="K135" s="55">
        <v>46188</v>
      </c>
      <c r="L135" s="55"/>
      <c r="M135" s="55"/>
      <c r="O135" s="3" t="s">
        <v>10</v>
      </c>
      <c r="P135" s="55">
        <v>46161</v>
      </c>
      <c r="R135" s="184"/>
    </row>
    <row r="136" spans="1:18" ht="15" customHeight="1">
      <c r="A136" s="180" t="s">
        <v>100</v>
      </c>
      <c r="B136" s="180"/>
      <c r="C136" s="168">
        <v>134609397</v>
      </c>
      <c r="F136" s="29" t="s">
        <v>97</v>
      </c>
      <c r="G136" s="3" t="s">
        <v>59</v>
      </c>
      <c r="H136" s="3" t="s">
        <v>98</v>
      </c>
      <c r="I136" s="55">
        <v>46156</v>
      </c>
      <c r="J136" s="55">
        <v>46160</v>
      </c>
      <c r="K136" s="55">
        <v>46188</v>
      </c>
      <c r="L136" s="55"/>
      <c r="M136" s="55"/>
      <c r="O136" s="3" t="s">
        <v>10</v>
      </c>
      <c r="P136" s="55">
        <v>46161</v>
      </c>
      <c r="R136" s="184"/>
    </row>
    <row r="137" spans="1:18" ht="15" customHeight="1">
      <c r="A137" s="180" t="s">
        <v>100</v>
      </c>
      <c r="B137" s="180"/>
      <c r="C137" s="168">
        <v>134609401</v>
      </c>
      <c r="F137" s="29" t="s">
        <v>97</v>
      </c>
      <c r="G137" s="3" t="s">
        <v>59</v>
      </c>
      <c r="H137" s="3" t="s">
        <v>98</v>
      </c>
      <c r="I137" s="55">
        <v>46156</v>
      </c>
      <c r="J137" s="55">
        <v>46160</v>
      </c>
      <c r="K137" s="55">
        <v>46188</v>
      </c>
      <c r="L137" s="55"/>
      <c r="M137" s="55"/>
      <c r="O137" s="3" t="s">
        <v>10</v>
      </c>
      <c r="P137" s="55">
        <v>46161</v>
      </c>
      <c r="R137" s="184"/>
    </row>
    <row r="138" spans="1:18" ht="15" customHeight="1">
      <c r="A138" s="180" t="s">
        <v>100</v>
      </c>
      <c r="B138" s="180"/>
      <c r="C138" s="168">
        <v>135600005</v>
      </c>
      <c r="F138" s="29" t="s">
        <v>97</v>
      </c>
      <c r="G138" s="3" t="s">
        <v>59</v>
      </c>
      <c r="H138" s="3" t="s">
        <v>98</v>
      </c>
      <c r="I138" s="55">
        <v>46156</v>
      </c>
      <c r="J138" s="55">
        <v>46160</v>
      </c>
      <c r="K138" s="55">
        <v>46188</v>
      </c>
      <c r="L138" s="55"/>
      <c r="M138" s="55"/>
      <c r="O138" s="3" t="s">
        <v>10</v>
      </c>
      <c r="P138" s="55">
        <v>46161</v>
      </c>
      <c r="R138" s="184"/>
    </row>
    <row r="139" spans="1:18" ht="15" customHeight="1">
      <c r="A139" s="180" t="s">
        <v>101</v>
      </c>
      <c r="B139" s="180"/>
      <c r="C139" s="168">
        <v>138607831</v>
      </c>
      <c r="F139" s="29" t="s">
        <v>102</v>
      </c>
      <c r="G139" s="3" t="s">
        <v>66</v>
      </c>
      <c r="H139" s="3" t="s">
        <v>103</v>
      </c>
      <c r="I139" s="55">
        <v>46160</v>
      </c>
      <c r="J139" s="55">
        <v>46162</v>
      </c>
      <c r="K139" s="55">
        <v>46190</v>
      </c>
      <c r="L139" s="55"/>
      <c r="M139" s="55"/>
      <c r="O139" s="3" t="s">
        <v>10</v>
      </c>
      <c r="P139" s="55">
        <v>46177</v>
      </c>
      <c r="R139" s="184"/>
    </row>
    <row r="140" spans="1:18" ht="15" customHeight="1">
      <c r="A140" s="180" t="s">
        <v>101</v>
      </c>
      <c r="B140" s="180"/>
      <c r="C140" s="168">
        <v>138607813</v>
      </c>
      <c r="F140" s="29" t="s">
        <v>102</v>
      </c>
      <c r="G140" s="3" t="s">
        <v>66</v>
      </c>
      <c r="H140" s="3" t="s">
        <v>103</v>
      </c>
      <c r="I140" s="55">
        <v>46160</v>
      </c>
      <c r="J140" s="55">
        <v>46162</v>
      </c>
      <c r="K140" s="55">
        <v>46190</v>
      </c>
      <c r="L140" s="55"/>
      <c r="M140" s="55"/>
      <c r="O140" s="3" t="s">
        <v>10</v>
      </c>
      <c r="P140" s="55">
        <v>46177</v>
      </c>
      <c r="R140" s="184"/>
    </row>
    <row r="141" spans="1:18" ht="15" customHeight="1">
      <c r="A141" s="180" t="s">
        <v>101</v>
      </c>
      <c r="B141" s="180"/>
      <c r="C141" s="168">
        <v>138607799</v>
      </c>
      <c r="F141" s="29" t="s">
        <v>102</v>
      </c>
      <c r="G141" s="3" t="s">
        <v>66</v>
      </c>
      <c r="H141" s="3" t="s">
        <v>103</v>
      </c>
      <c r="I141" s="55">
        <v>46160</v>
      </c>
      <c r="J141" s="55">
        <v>46162</v>
      </c>
      <c r="K141" s="55">
        <v>46190</v>
      </c>
      <c r="L141" s="55"/>
      <c r="M141" s="55"/>
      <c r="O141" s="3" t="s">
        <v>10</v>
      </c>
      <c r="P141" s="55">
        <v>46177</v>
      </c>
      <c r="R141" s="184"/>
    </row>
    <row r="142" spans="1:18" ht="15" customHeight="1">
      <c r="A142" s="180" t="s">
        <v>101</v>
      </c>
      <c r="B142" s="180"/>
      <c r="C142" s="168">
        <v>138607791</v>
      </c>
      <c r="F142" s="29" t="s">
        <v>102</v>
      </c>
      <c r="G142" s="3" t="s">
        <v>66</v>
      </c>
      <c r="H142" s="3" t="s">
        <v>103</v>
      </c>
      <c r="I142" s="55">
        <v>46160</v>
      </c>
      <c r="J142" s="55">
        <v>46162</v>
      </c>
      <c r="K142" s="55">
        <v>46190</v>
      </c>
      <c r="L142" s="55"/>
      <c r="M142" s="55"/>
      <c r="O142" s="3" t="s">
        <v>9</v>
      </c>
      <c r="R142" s="184"/>
    </row>
    <row r="143" spans="1:18" ht="15" customHeight="1">
      <c r="A143" s="180" t="s">
        <v>101</v>
      </c>
      <c r="B143" s="180"/>
      <c r="C143" s="168">
        <v>138607782</v>
      </c>
      <c r="F143" s="29" t="s">
        <v>102</v>
      </c>
      <c r="G143" s="3" t="s">
        <v>66</v>
      </c>
      <c r="H143" s="3" t="s">
        <v>103</v>
      </c>
      <c r="I143" s="55">
        <v>46160</v>
      </c>
      <c r="J143" s="55">
        <v>46162</v>
      </c>
      <c r="K143" s="55">
        <v>46190</v>
      </c>
      <c r="L143" s="55"/>
      <c r="M143" s="55"/>
      <c r="O143" s="3" t="s">
        <v>10</v>
      </c>
      <c r="P143" s="55">
        <v>46185</v>
      </c>
      <c r="R143" s="184"/>
    </row>
    <row r="144" spans="1:18" ht="15" customHeight="1">
      <c r="A144" s="180" t="s">
        <v>101</v>
      </c>
      <c r="B144" s="180"/>
      <c r="C144" s="168">
        <v>138607760</v>
      </c>
      <c r="F144" s="29" t="s">
        <v>102</v>
      </c>
      <c r="G144" s="3" t="s">
        <v>66</v>
      </c>
      <c r="H144" s="3" t="s">
        <v>103</v>
      </c>
      <c r="I144" s="55">
        <v>46160</v>
      </c>
      <c r="J144" s="55">
        <v>46162</v>
      </c>
      <c r="K144" s="55">
        <v>46190</v>
      </c>
      <c r="L144" s="55"/>
      <c r="M144" s="55"/>
      <c r="O144" s="3" t="s">
        <v>10</v>
      </c>
      <c r="P144" s="55">
        <v>46178</v>
      </c>
      <c r="R144" s="184"/>
    </row>
    <row r="145" spans="1:18" ht="15" customHeight="1">
      <c r="A145" s="180" t="s">
        <v>101</v>
      </c>
      <c r="B145" s="180"/>
      <c r="C145" s="168">
        <v>138607742</v>
      </c>
      <c r="F145" s="29" t="s">
        <v>102</v>
      </c>
      <c r="G145" s="3" t="s">
        <v>66</v>
      </c>
      <c r="H145" s="3" t="s">
        <v>103</v>
      </c>
      <c r="I145" s="55">
        <v>46160</v>
      </c>
      <c r="J145" s="55">
        <v>46162</v>
      </c>
      <c r="K145" s="55">
        <v>46190</v>
      </c>
      <c r="L145" s="55"/>
      <c r="M145" s="55"/>
      <c r="O145" s="3" t="s">
        <v>10</v>
      </c>
      <c r="P145" s="55">
        <v>46178</v>
      </c>
      <c r="R145" s="184"/>
    </row>
    <row r="146" spans="1:18" ht="15" customHeight="1">
      <c r="A146" s="180" t="s">
        <v>101</v>
      </c>
      <c r="B146" s="180"/>
      <c r="C146" s="168">
        <v>138607618</v>
      </c>
      <c r="F146" s="29" t="s">
        <v>102</v>
      </c>
      <c r="G146" s="3" t="s">
        <v>66</v>
      </c>
      <c r="H146" s="3" t="s">
        <v>103</v>
      </c>
      <c r="I146" s="55">
        <v>46160</v>
      </c>
      <c r="J146" s="55">
        <v>46162</v>
      </c>
      <c r="K146" s="55">
        <v>46190</v>
      </c>
      <c r="L146" s="55"/>
      <c r="M146" s="55"/>
      <c r="O146" s="3" t="s">
        <v>9</v>
      </c>
      <c r="R146" s="184"/>
    </row>
    <row r="147" spans="1:18" ht="15" customHeight="1">
      <c r="A147" s="180" t="s">
        <v>101</v>
      </c>
      <c r="B147" s="180"/>
      <c r="C147" s="168">
        <v>138607664</v>
      </c>
      <c r="F147" s="29" t="s">
        <v>102</v>
      </c>
      <c r="G147" s="3" t="s">
        <v>66</v>
      </c>
      <c r="H147" s="3" t="s">
        <v>103</v>
      </c>
      <c r="I147" s="55">
        <v>46160</v>
      </c>
      <c r="J147" s="55">
        <v>46162</v>
      </c>
      <c r="K147" s="55">
        <v>46190</v>
      </c>
      <c r="L147" s="55"/>
      <c r="M147" s="55"/>
      <c r="O147" s="3" t="s">
        <v>10</v>
      </c>
      <c r="P147" s="55">
        <v>46175</v>
      </c>
      <c r="R147" s="184"/>
    </row>
    <row r="148" spans="1:18" ht="15" customHeight="1">
      <c r="A148" s="180" t="s">
        <v>101</v>
      </c>
      <c r="B148" s="180"/>
      <c r="C148" s="168">
        <v>138607656</v>
      </c>
      <c r="F148" s="29" t="s">
        <v>102</v>
      </c>
      <c r="G148" s="3" t="s">
        <v>66</v>
      </c>
      <c r="H148" s="3" t="s">
        <v>103</v>
      </c>
      <c r="I148" s="55">
        <v>46160</v>
      </c>
      <c r="J148" s="55">
        <v>46162</v>
      </c>
      <c r="K148" s="55">
        <v>46190</v>
      </c>
      <c r="L148" s="55"/>
      <c r="M148" s="55"/>
      <c r="O148" s="3" t="s">
        <v>10</v>
      </c>
      <c r="P148" s="55">
        <v>46175</v>
      </c>
      <c r="R148" s="184"/>
    </row>
    <row r="149" spans="1:18" ht="15" customHeight="1">
      <c r="A149" s="180" t="s">
        <v>104</v>
      </c>
      <c r="B149" s="180"/>
      <c r="C149" s="168">
        <v>140601444</v>
      </c>
      <c r="F149" s="29" t="s">
        <v>105</v>
      </c>
      <c r="G149" s="3" t="s">
        <v>66</v>
      </c>
      <c r="H149" s="3" t="s">
        <v>106</v>
      </c>
      <c r="I149" s="55">
        <v>46162</v>
      </c>
      <c r="J149" s="55">
        <v>46164</v>
      </c>
      <c r="K149" s="55">
        <v>46192</v>
      </c>
      <c r="L149" s="55"/>
      <c r="M149" s="55"/>
      <c r="O149" s="3" t="s">
        <v>9</v>
      </c>
      <c r="R149" s="184"/>
    </row>
    <row r="150" spans="1:18" ht="15" customHeight="1">
      <c r="A150" s="180" t="s">
        <v>104</v>
      </c>
      <c r="B150" s="180"/>
      <c r="C150" s="168">
        <v>140601573</v>
      </c>
      <c r="F150" s="29" t="s">
        <v>105</v>
      </c>
      <c r="G150" s="3" t="s">
        <v>66</v>
      </c>
      <c r="H150" s="3" t="s">
        <v>106</v>
      </c>
      <c r="I150" s="55">
        <v>46162</v>
      </c>
      <c r="J150" s="55">
        <v>46164</v>
      </c>
      <c r="K150" s="55">
        <v>46192</v>
      </c>
      <c r="L150" s="55"/>
      <c r="M150" s="55"/>
      <c r="O150" s="3" t="s">
        <v>9</v>
      </c>
      <c r="R150" s="184"/>
    </row>
    <row r="151" spans="1:18" ht="15" customHeight="1">
      <c r="A151" s="180" t="s">
        <v>104</v>
      </c>
      <c r="B151" s="180"/>
      <c r="C151" s="168">
        <v>140601869</v>
      </c>
      <c r="F151" s="29" t="s">
        <v>105</v>
      </c>
      <c r="G151" s="3" t="s">
        <v>66</v>
      </c>
      <c r="H151" s="3" t="s">
        <v>106</v>
      </c>
      <c r="I151" s="55">
        <v>46163</v>
      </c>
      <c r="J151" s="55">
        <v>46165</v>
      </c>
      <c r="K151" s="55">
        <v>46193</v>
      </c>
      <c r="L151" s="55"/>
      <c r="M151" s="55"/>
      <c r="O151" s="3" t="s">
        <v>9</v>
      </c>
      <c r="R151" s="184"/>
    </row>
    <row r="152" spans="1:18" ht="15" customHeight="1">
      <c r="A152" s="180" t="s">
        <v>104</v>
      </c>
      <c r="B152" s="180"/>
      <c r="C152" s="168">
        <v>140601821</v>
      </c>
      <c r="F152" s="29" t="s">
        <v>105</v>
      </c>
      <c r="G152" s="3" t="s">
        <v>66</v>
      </c>
      <c r="H152" s="3" t="s">
        <v>106</v>
      </c>
      <c r="I152" s="55">
        <v>46162</v>
      </c>
      <c r="J152" s="55">
        <v>46164</v>
      </c>
      <c r="K152" s="55">
        <v>46192</v>
      </c>
      <c r="L152" s="55"/>
      <c r="M152" s="55"/>
      <c r="O152" s="3" t="s">
        <v>9</v>
      </c>
      <c r="R152" s="184"/>
    </row>
    <row r="153" spans="1:18" ht="15" customHeight="1">
      <c r="A153" s="180" t="s">
        <v>104</v>
      </c>
      <c r="B153" s="180"/>
      <c r="C153" s="168">
        <v>140601934</v>
      </c>
      <c r="F153" s="29" t="s">
        <v>105</v>
      </c>
      <c r="G153" s="3" t="s">
        <v>66</v>
      </c>
      <c r="H153" s="3" t="s">
        <v>106</v>
      </c>
      <c r="I153" s="55">
        <v>46162</v>
      </c>
      <c r="J153" s="55">
        <v>46164</v>
      </c>
      <c r="K153" s="55">
        <v>46192</v>
      </c>
      <c r="L153" s="55"/>
      <c r="M153" s="55"/>
      <c r="O153" s="3" t="s">
        <v>9</v>
      </c>
      <c r="R153" s="184"/>
    </row>
    <row r="154" spans="1:18" ht="15" customHeight="1">
      <c r="A154" s="180" t="s">
        <v>104</v>
      </c>
      <c r="B154" s="180"/>
      <c r="C154" s="168">
        <v>140602057</v>
      </c>
      <c r="F154" s="29" t="s">
        <v>105</v>
      </c>
      <c r="G154" s="3" t="s">
        <v>66</v>
      </c>
      <c r="H154" s="3" t="s">
        <v>106</v>
      </c>
      <c r="I154" s="55">
        <v>46162</v>
      </c>
      <c r="J154" s="55">
        <v>46164</v>
      </c>
      <c r="K154" s="55">
        <v>46192</v>
      </c>
      <c r="L154" s="55"/>
      <c r="M154" s="55"/>
      <c r="O154" s="3" t="s">
        <v>9</v>
      </c>
      <c r="R154" s="184"/>
    </row>
    <row r="155" spans="1:18" ht="15" customHeight="1">
      <c r="A155" s="180" t="s">
        <v>104</v>
      </c>
      <c r="B155" s="191"/>
      <c r="C155" s="174">
        <v>140602116</v>
      </c>
      <c r="F155" s="29" t="s">
        <v>105</v>
      </c>
      <c r="G155" s="3" t="s">
        <v>66</v>
      </c>
      <c r="H155" s="3" t="s">
        <v>106</v>
      </c>
      <c r="I155" s="55">
        <v>46162</v>
      </c>
      <c r="J155" s="55">
        <v>46164</v>
      </c>
      <c r="K155" s="55">
        <v>46192</v>
      </c>
      <c r="L155" s="55"/>
      <c r="M155" s="55"/>
      <c r="O155" s="3" t="s">
        <v>9</v>
      </c>
      <c r="R155" s="184"/>
    </row>
    <row r="156" spans="1:18" ht="15" customHeight="1">
      <c r="A156" s="183" t="s">
        <v>104</v>
      </c>
      <c r="B156" s="183"/>
      <c r="C156" s="168">
        <v>140602202</v>
      </c>
      <c r="D156" s="74"/>
      <c r="F156" s="29" t="s">
        <v>105</v>
      </c>
      <c r="G156" s="3" t="s">
        <v>66</v>
      </c>
      <c r="H156" s="3" t="s">
        <v>106</v>
      </c>
      <c r="I156" s="55">
        <v>46162</v>
      </c>
      <c r="J156" s="55">
        <v>46164</v>
      </c>
      <c r="K156" s="55">
        <v>46192</v>
      </c>
      <c r="L156" s="55"/>
      <c r="M156" s="55"/>
      <c r="O156" s="3" t="s">
        <v>9</v>
      </c>
      <c r="R156" s="184"/>
    </row>
    <row r="157" spans="1:18" ht="15" customHeight="1">
      <c r="A157" s="183" t="s">
        <v>107</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107</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107</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107</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107</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107</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107</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107</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107</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107</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107</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107</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107</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107</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107</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107</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107</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107</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107</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107</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107</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107</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107</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107</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107</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107</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107</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107</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108</v>
      </c>
      <c r="B185" s="183"/>
      <c r="C185" s="119">
        <v>149603325</v>
      </c>
      <c r="F185" s="29" t="s">
        <v>109</v>
      </c>
      <c r="G185" s="3" t="s">
        <v>66</v>
      </c>
      <c r="H185" s="3" t="s">
        <v>110</v>
      </c>
      <c r="I185" s="55">
        <v>46171</v>
      </c>
      <c r="J185" s="55">
        <v>46175</v>
      </c>
      <c r="K185" s="55">
        <v>46202</v>
      </c>
      <c r="L185" s="55"/>
      <c r="M185" s="55"/>
      <c r="N185" s="55">
        <v>46176</v>
      </c>
      <c r="O185" s="3" t="s">
        <v>10</v>
      </c>
      <c r="P185" s="55">
        <v>46176</v>
      </c>
      <c r="R185" s="80"/>
    </row>
    <row r="186" spans="1:18" ht="15" customHeight="1">
      <c r="A186" s="183" t="s">
        <v>108</v>
      </c>
      <c r="B186" s="183"/>
      <c r="C186" s="119">
        <v>149603353</v>
      </c>
      <c r="F186" s="29" t="s">
        <v>109</v>
      </c>
      <c r="G186" s="3" t="s">
        <v>66</v>
      </c>
      <c r="H186" s="3" t="s">
        <v>110</v>
      </c>
      <c r="I186" s="55">
        <v>46171</v>
      </c>
      <c r="J186" s="55">
        <v>46175</v>
      </c>
      <c r="K186" s="55">
        <v>46202</v>
      </c>
      <c r="L186" s="55"/>
      <c r="M186" s="55"/>
      <c r="N186" s="55">
        <v>46176</v>
      </c>
      <c r="O186" s="3" t="s">
        <v>10</v>
      </c>
      <c r="P186" s="55">
        <v>46179</v>
      </c>
      <c r="R186" s="80"/>
    </row>
    <row r="187" spans="1:18" ht="15" customHeight="1">
      <c r="A187" s="183" t="s">
        <v>108</v>
      </c>
      <c r="B187" s="183"/>
      <c r="C187" s="119">
        <v>149603371</v>
      </c>
      <c r="F187" s="29" t="s">
        <v>109</v>
      </c>
      <c r="G187" s="3" t="s">
        <v>66</v>
      </c>
      <c r="H187" s="3" t="s">
        <v>110</v>
      </c>
      <c r="I187" s="55">
        <v>46171</v>
      </c>
      <c r="J187" s="55">
        <v>46175</v>
      </c>
      <c r="K187" s="55">
        <v>46202</v>
      </c>
      <c r="L187" s="55"/>
      <c r="M187" s="55"/>
      <c r="N187" s="55">
        <v>46176</v>
      </c>
      <c r="O187" s="3" t="s">
        <v>10</v>
      </c>
      <c r="P187" s="55">
        <v>46179</v>
      </c>
      <c r="R187" s="80"/>
    </row>
    <row r="188" spans="1:18" ht="15" customHeight="1">
      <c r="A188" s="183" t="s">
        <v>108</v>
      </c>
      <c r="B188" s="183"/>
      <c r="C188" s="119">
        <v>149603378</v>
      </c>
      <c r="F188" s="29" t="s">
        <v>109</v>
      </c>
      <c r="G188" s="3" t="s">
        <v>66</v>
      </c>
      <c r="H188" s="3" t="s">
        <v>110</v>
      </c>
      <c r="I188" s="55">
        <v>46171</v>
      </c>
      <c r="J188" s="55">
        <v>46175</v>
      </c>
      <c r="K188" s="55">
        <v>46202</v>
      </c>
      <c r="L188" s="55"/>
      <c r="M188" s="55"/>
      <c r="N188" s="55">
        <v>46176</v>
      </c>
      <c r="O188" s="3" t="s">
        <v>10</v>
      </c>
      <c r="P188" s="55">
        <v>46179</v>
      </c>
      <c r="R188" s="80"/>
    </row>
    <row r="189" spans="1:18" ht="15" customHeight="1">
      <c r="A189" s="183" t="s">
        <v>108</v>
      </c>
      <c r="B189" s="183"/>
      <c r="C189" s="119">
        <v>149603400</v>
      </c>
      <c r="F189" s="29" t="s">
        <v>109</v>
      </c>
      <c r="G189" s="3" t="s">
        <v>66</v>
      </c>
      <c r="H189" s="3" t="s">
        <v>110</v>
      </c>
      <c r="I189" s="55">
        <v>46171</v>
      </c>
      <c r="J189" s="55">
        <v>46175</v>
      </c>
      <c r="K189" s="55">
        <v>46202</v>
      </c>
      <c r="L189" s="55"/>
      <c r="M189" s="55"/>
      <c r="N189" s="55">
        <v>46176</v>
      </c>
      <c r="O189" s="3" t="s">
        <v>10</v>
      </c>
      <c r="P189" s="55">
        <v>46179</v>
      </c>
      <c r="R189" s="80"/>
    </row>
    <row r="190" spans="1:18" ht="15" customHeight="1">
      <c r="A190" s="183" t="s">
        <v>108</v>
      </c>
      <c r="B190" s="183"/>
      <c r="C190" s="119">
        <v>149603414</v>
      </c>
      <c r="F190" s="29" t="s">
        <v>109</v>
      </c>
      <c r="G190" s="3" t="s">
        <v>66</v>
      </c>
      <c r="H190" s="3" t="s">
        <v>110</v>
      </c>
      <c r="I190" s="55">
        <v>46171</v>
      </c>
      <c r="J190" s="55">
        <v>46175</v>
      </c>
      <c r="K190" s="55">
        <v>46202</v>
      </c>
      <c r="L190" s="55"/>
      <c r="M190" s="55"/>
      <c r="N190" s="55">
        <v>46176</v>
      </c>
      <c r="O190" s="3" t="s">
        <v>10</v>
      </c>
      <c r="P190" s="55">
        <v>46179</v>
      </c>
      <c r="R190" s="80"/>
    </row>
    <row r="191" spans="1:18" ht="15" customHeight="1">
      <c r="A191" s="183" t="s">
        <v>108</v>
      </c>
      <c r="B191" s="183"/>
      <c r="C191" s="119">
        <v>149603430</v>
      </c>
      <c r="F191" s="29" t="s">
        <v>109</v>
      </c>
      <c r="G191" s="3" t="s">
        <v>66</v>
      </c>
      <c r="H191" s="3" t="s">
        <v>110</v>
      </c>
      <c r="I191" s="55">
        <v>46171</v>
      </c>
      <c r="J191" s="55">
        <v>46175</v>
      </c>
      <c r="K191" s="55">
        <v>46202</v>
      </c>
      <c r="L191" s="55"/>
      <c r="M191" s="55"/>
      <c r="N191" s="55">
        <v>46176</v>
      </c>
      <c r="O191" s="3" t="s">
        <v>10</v>
      </c>
      <c r="P191" s="55">
        <v>46179</v>
      </c>
      <c r="R191" s="80"/>
    </row>
    <row r="192" spans="1:18" ht="15" customHeight="1">
      <c r="A192" s="183" t="s">
        <v>111</v>
      </c>
      <c r="B192" s="183"/>
      <c r="C192" s="119">
        <v>149603474</v>
      </c>
      <c r="F192" s="29" t="s">
        <v>109</v>
      </c>
      <c r="G192" s="3" t="s">
        <v>66</v>
      </c>
      <c r="H192" s="3" t="s">
        <v>110</v>
      </c>
      <c r="I192" s="55">
        <v>46171</v>
      </c>
      <c r="J192" s="55">
        <v>46175</v>
      </c>
      <c r="K192" s="55">
        <v>46202</v>
      </c>
      <c r="L192" s="55"/>
      <c r="M192" s="55"/>
      <c r="N192" s="55">
        <v>46176</v>
      </c>
      <c r="O192" s="3" t="s">
        <v>10</v>
      </c>
      <c r="P192" s="55">
        <v>46184</v>
      </c>
      <c r="R192" s="80"/>
    </row>
    <row r="193" spans="1:18" ht="15" customHeight="1">
      <c r="A193" s="183" t="s">
        <v>111</v>
      </c>
      <c r="B193" s="183"/>
      <c r="C193" s="119">
        <v>149603502</v>
      </c>
      <c r="F193" s="29" t="s">
        <v>109</v>
      </c>
      <c r="G193" s="3" t="s">
        <v>66</v>
      </c>
      <c r="H193" s="3" t="s">
        <v>110</v>
      </c>
      <c r="I193" s="55">
        <v>46171</v>
      </c>
      <c r="J193" s="55">
        <v>46175</v>
      </c>
      <c r="K193" s="55">
        <v>46202</v>
      </c>
      <c r="L193" s="55"/>
      <c r="M193" s="55"/>
      <c r="N193" s="55">
        <v>46176</v>
      </c>
      <c r="O193" s="3" t="s">
        <v>10</v>
      </c>
      <c r="P193" s="55">
        <v>46184</v>
      </c>
      <c r="R193" s="80"/>
    </row>
    <row r="194" spans="1:18" ht="15" customHeight="1">
      <c r="A194" s="183" t="s">
        <v>111</v>
      </c>
      <c r="B194" s="183"/>
      <c r="C194" s="119">
        <v>149603522</v>
      </c>
      <c r="F194" s="29" t="s">
        <v>109</v>
      </c>
      <c r="G194" s="3" t="s">
        <v>66</v>
      </c>
      <c r="H194" s="3" t="s">
        <v>110</v>
      </c>
      <c r="I194" s="55">
        <v>46171</v>
      </c>
      <c r="J194" s="55">
        <v>46175</v>
      </c>
      <c r="K194" s="55">
        <v>46202</v>
      </c>
      <c r="L194" s="55"/>
      <c r="M194" s="55"/>
      <c r="N194" s="55">
        <v>46176</v>
      </c>
      <c r="O194" s="3" t="s">
        <v>10</v>
      </c>
      <c r="P194" s="55">
        <v>46184</v>
      </c>
      <c r="R194" s="80"/>
    </row>
    <row r="195" spans="1:18" ht="15" customHeight="1">
      <c r="A195" s="183" t="s">
        <v>111</v>
      </c>
      <c r="B195" s="183"/>
      <c r="C195" s="119">
        <v>149603547</v>
      </c>
      <c r="F195" s="29" t="s">
        <v>109</v>
      </c>
      <c r="G195" s="3" t="s">
        <v>66</v>
      </c>
      <c r="H195" s="3" t="s">
        <v>110</v>
      </c>
      <c r="I195" s="55">
        <v>46171</v>
      </c>
      <c r="J195" s="55">
        <v>46175</v>
      </c>
      <c r="K195" s="55">
        <v>46202</v>
      </c>
      <c r="L195" s="55"/>
      <c r="M195" s="55"/>
      <c r="N195" s="55">
        <v>46176</v>
      </c>
      <c r="O195" s="3" t="s">
        <v>10</v>
      </c>
      <c r="P195" s="55">
        <v>46184</v>
      </c>
      <c r="R195" s="80"/>
    </row>
    <row r="196" spans="1:18" ht="15" customHeight="1">
      <c r="A196" s="183" t="s">
        <v>111</v>
      </c>
      <c r="B196" s="183"/>
      <c r="C196" s="119">
        <v>149603564</v>
      </c>
      <c r="F196" s="29" t="s">
        <v>109</v>
      </c>
      <c r="G196" s="3" t="s">
        <v>66</v>
      </c>
      <c r="H196" s="3" t="s">
        <v>110</v>
      </c>
      <c r="I196" s="55">
        <v>46171</v>
      </c>
      <c r="J196" s="55">
        <v>46175</v>
      </c>
      <c r="K196" s="55">
        <v>46202</v>
      </c>
      <c r="L196" s="55"/>
      <c r="M196" s="55"/>
      <c r="N196" s="55">
        <v>46176</v>
      </c>
      <c r="O196" s="3" t="s">
        <v>10</v>
      </c>
      <c r="P196" s="55">
        <v>46184</v>
      </c>
      <c r="R196" s="80"/>
    </row>
    <row r="197" spans="1:18" ht="15" customHeight="1">
      <c r="A197" s="183" t="s">
        <v>111</v>
      </c>
      <c r="B197" s="183"/>
      <c r="C197" s="119">
        <v>149603578</v>
      </c>
      <c r="F197" s="29" t="s">
        <v>109</v>
      </c>
      <c r="G197" s="3" t="s">
        <v>66</v>
      </c>
      <c r="H197" s="3" t="s">
        <v>110</v>
      </c>
      <c r="I197" s="55">
        <v>46171</v>
      </c>
      <c r="J197" s="55">
        <v>46175</v>
      </c>
      <c r="K197" s="55">
        <v>46202</v>
      </c>
      <c r="L197" s="55"/>
      <c r="M197" s="55"/>
      <c r="N197" s="55">
        <v>46176</v>
      </c>
      <c r="O197" s="3" t="s">
        <v>10</v>
      </c>
      <c r="P197" s="55">
        <v>46185</v>
      </c>
      <c r="R197" s="80"/>
    </row>
    <row r="198" spans="1:18" ht="15" customHeight="1">
      <c r="A198" s="183" t="s">
        <v>111</v>
      </c>
      <c r="B198" s="183"/>
      <c r="C198" s="119">
        <v>149603631</v>
      </c>
      <c r="F198" s="29" t="s">
        <v>109</v>
      </c>
      <c r="G198" s="3" t="s">
        <v>66</v>
      </c>
      <c r="H198" s="3" t="s">
        <v>110</v>
      </c>
      <c r="I198" s="55">
        <v>46171</v>
      </c>
      <c r="J198" s="55">
        <v>46175</v>
      </c>
      <c r="K198" s="55">
        <v>46202</v>
      </c>
      <c r="L198" s="55"/>
      <c r="M198" s="55"/>
      <c r="N198" s="55">
        <v>46176</v>
      </c>
      <c r="O198" s="3" t="s">
        <v>10</v>
      </c>
      <c r="P198" s="55">
        <v>46185</v>
      </c>
      <c r="R198" s="80"/>
    </row>
    <row r="199" spans="1:18" ht="15" customHeight="1">
      <c r="A199" s="183" t="s">
        <v>111</v>
      </c>
      <c r="B199" s="183"/>
      <c r="C199" s="119">
        <v>149603647</v>
      </c>
      <c r="F199" s="29" t="s">
        <v>109</v>
      </c>
      <c r="G199" s="3" t="s">
        <v>66</v>
      </c>
      <c r="H199" s="3" t="s">
        <v>110</v>
      </c>
      <c r="I199" s="55">
        <v>46171</v>
      </c>
      <c r="J199" s="55">
        <v>46175</v>
      </c>
      <c r="K199" s="55">
        <v>46202</v>
      </c>
      <c r="L199" s="55"/>
      <c r="M199" s="55"/>
      <c r="N199" s="55">
        <v>46176</v>
      </c>
      <c r="O199" s="3" t="s">
        <v>10</v>
      </c>
      <c r="P199" s="55">
        <v>46188</v>
      </c>
      <c r="R199" s="80"/>
    </row>
    <row r="200" spans="1:18" ht="15" customHeight="1">
      <c r="A200" s="180" t="s">
        <v>112</v>
      </c>
      <c r="B200" s="180"/>
      <c r="C200" s="119">
        <v>149606102</v>
      </c>
      <c r="F200" s="29" t="s">
        <v>113</v>
      </c>
      <c r="G200" s="3" t="s">
        <v>66</v>
      </c>
      <c r="H200" s="3" t="s">
        <v>30</v>
      </c>
      <c r="I200" s="55">
        <v>46171</v>
      </c>
      <c r="J200" s="55">
        <v>46176</v>
      </c>
      <c r="K200" s="55">
        <v>46202</v>
      </c>
      <c r="L200" s="55"/>
      <c r="M200" s="55"/>
      <c r="O200" s="3" t="s">
        <v>9</v>
      </c>
      <c r="Q200" s="167" t="s">
        <v>114</v>
      </c>
      <c r="R200" s="195" t="s">
        <v>115</v>
      </c>
    </row>
    <row r="201" spans="1:18" ht="15" customHeight="1">
      <c r="A201" s="180" t="s">
        <v>112</v>
      </c>
      <c r="B201" s="180"/>
      <c r="C201" s="119">
        <v>149605915</v>
      </c>
      <c r="F201" s="29" t="s">
        <v>113</v>
      </c>
      <c r="G201" s="3" t="s">
        <v>66</v>
      </c>
      <c r="H201" s="3" t="s">
        <v>30</v>
      </c>
      <c r="I201" s="55">
        <v>46171</v>
      </c>
      <c r="J201" s="55">
        <v>46176</v>
      </c>
      <c r="K201" s="55">
        <v>46202</v>
      </c>
      <c r="L201" s="55"/>
      <c r="M201" s="55"/>
      <c r="O201" s="3" t="s">
        <v>9</v>
      </c>
      <c r="Q201" s="167" t="s">
        <v>77</v>
      </c>
      <c r="R201" s="195" t="s">
        <v>115</v>
      </c>
    </row>
    <row r="202" spans="1:18" ht="15" customHeight="1">
      <c r="A202" s="180" t="s">
        <v>112</v>
      </c>
      <c r="B202" s="180"/>
      <c r="C202" s="119">
        <v>149605949</v>
      </c>
      <c r="F202" s="29" t="s">
        <v>113</v>
      </c>
      <c r="G202" s="3" t="s">
        <v>66</v>
      </c>
      <c r="H202" s="3" t="s">
        <v>30</v>
      </c>
      <c r="I202" s="55">
        <v>46171</v>
      </c>
      <c r="J202" s="55">
        <v>46176</v>
      </c>
      <c r="K202" s="55">
        <v>46202</v>
      </c>
      <c r="L202" s="55"/>
      <c r="M202" s="55"/>
      <c r="O202" s="3" t="s">
        <v>9</v>
      </c>
      <c r="Q202" s="167" t="s">
        <v>116</v>
      </c>
      <c r="R202" s="195" t="s">
        <v>115</v>
      </c>
    </row>
    <row r="203" spans="1:18" ht="15" customHeight="1">
      <c r="A203" s="180" t="s">
        <v>112</v>
      </c>
      <c r="B203" s="180"/>
      <c r="C203" s="119">
        <v>149605839</v>
      </c>
      <c r="F203" s="29" t="s">
        <v>113</v>
      </c>
      <c r="G203" s="3" t="s">
        <v>66</v>
      </c>
      <c r="H203" s="3" t="s">
        <v>30</v>
      </c>
      <c r="I203" s="55">
        <v>46171</v>
      </c>
      <c r="J203" s="55">
        <v>46176</v>
      </c>
      <c r="K203" s="55">
        <v>46202</v>
      </c>
      <c r="L203" s="55"/>
      <c r="M203" s="55"/>
      <c r="O203" s="3" t="s">
        <v>9</v>
      </c>
      <c r="Q203" s="167" t="s">
        <v>77</v>
      </c>
      <c r="R203" s="195" t="s">
        <v>115</v>
      </c>
    </row>
    <row r="204" spans="1:18" ht="15" customHeight="1">
      <c r="A204" s="180" t="s">
        <v>112</v>
      </c>
      <c r="B204" s="180"/>
      <c r="C204" s="119">
        <v>149605888</v>
      </c>
      <c r="F204" s="29" t="s">
        <v>113</v>
      </c>
      <c r="G204" s="3" t="s">
        <v>66</v>
      </c>
      <c r="H204" s="3" t="s">
        <v>30</v>
      </c>
      <c r="I204" s="55">
        <v>46171</v>
      </c>
      <c r="J204" s="55">
        <v>46176</v>
      </c>
      <c r="K204" s="55">
        <v>46202</v>
      </c>
      <c r="L204" s="55"/>
      <c r="M204" s="55"/>
      <c r="O204" s="3" t="s">
        <v>9</v>
      </c>
      <c r="Q204" s="167" t="s">
        <v>116</v>
      </c>
      <c r="R204" s="195" t="s">
        <v>115</v>
      </c>
    </row>
    <row r="205" spans="1:18" ht="15" customHeight="1">
      <c r="A205" s="180" t="s">
        <v>112</v>
      </c>
      <c r="B205" s="180"/>
      <c r="C205" s="119">
        <v>149605739</v>
      </c>
      <c r="F205" s="29" t="s">
        <v>113</v>
      </c>
      <c r="G205" s="3" t="s">
        <v>66</v>
      </c>
      <c r="H205" s="3" t="s">
        <v>30</v>
      </c>
      <c r="I205" s="55">
        <v>46171</v>
      </c>
      <c r="J205" s="55">
        <v>46176</v>
      </c>
      <c r="K205" s="55">
        <v>46202</v>
      </c>
      <c r="L205" s="55"/>
      <c r="M205" s="55"/>
      <c r="O205" s="3" t="s">
        <v>9</v>
      </c>
      <c r="Q205" s="167" t="s">
        <v>114</v>
      </c>
      <c r="R205" s="195" t="s">
        <v>115</v>
      </c>
    </row>
    <row r="206" spans="1:18" ht="15" customHeight="1">
      <c r="A206" s="180" t="s">
        <v>112</v>
      </c>
      <c r="B206" s="180"/>
      <c r="C206" s="119">
        <v>149606173</v>
      </c>
      <c r="F206" s="29" t="s">
        <v>113</v>
      </c>
      <c r="G206" s="3" t="s">
        <v>66</v>
      </c>
      <c r="H206" s="3" t="s">
        <v>30</v>
      </c>
      <c r="I206" s="55">
        <v>46171</v>
      </c>
      <c r="J206" s="55">
        <v>46176</v>
      </c>
      <c r="K206" s="55">
        <v>46202</v>
      </c>
      <c r="L206" s="55"/>
      <c r="M206" s="55"/>
      <c r="O206" s="3" t="s">
        <v>9</v>
      </c>
      <c r="Q206" s="167" t="s">
        <v>117</v>
      </c>
      <c r="R206" s="195" t="s">
        <v>115</v>
      </c>
    </row>
    <row r="207" spans="1:18" ht="15" customHeight="1">
      <c r="A207" s="180" t="s">
        <v>112</v>
      </c>
      <c r="B207" s="180"/>
      <c r="C207" s="119">
        <v>149606196</v>
      </c>
      <c r="F207" s="29" t="s">
        <v>113</v>
      </c>
      <c r="G207" s="3" t="s">
        <v>66</v>
      </c>
      <c r="H207" s="3" t="s">
        <v>30</v>
      </c>
      <c r="I207" s="55">
        <v>46171</v>
      </c>
      <c r="J207" s="55">
        <v>46176</v>
      </c>
      <c r="K207" s="55">
        <v>46202</v>
      </c>
      <c r="L207" s="55"/>
      <c r="M207" s="55"/>
      <c r="O207" s="3" t="s">
        <v>9</v>
      </c>
      <c r="Q207" s="167" t="s">
        <v>117</v>
      </c>
      <c r="R207" s="195" t="s">
        <v>115</v>
      </c>
    </row>
    <row r="208" spans="1:18" ht="15" customHeight="1">
      <c r="A208" s="180" t="s">
        <v>118</v>
      </c>
      <c r="B208" s="180"/>
      <c r="C208" s="119">
        <v>152603151</v>
      </c>
      <c r="F208" s="29" t="s">
        <v>63</v>
      </c>
      <c r="G208" s="3" t="s">
        <v>66</v>
      </c>
      <c r="H208" s="3" t="s">
        <v>30</v>
      </c>
      <c r="I208" s="55">
        <v>46174</v>
      </c>
      <c r="J208" s="55">
        <v>46177</v>
      </c>
      <c r="K208" s="55">
        <v>46204</v>
      </c>
      <c r="L208" s="55"/>
      <c r="M208" s="55"/>
      <c r="O208" s="3" t="s">
        <v>9</v>
      </c>
      <c r="R208" s="184"/>
    </row>
    <row r="209" spans="1:18" ht="15" customHeight="1">
      <c r="A209" s="180" t="s">
        <v>118</v>
      </c>
      <c r="B209" s="180"/>
      <c r="C209" s="119">
        <v>152603240</v>
      </c>
      <c r="F209" s="29" t="s">
        <v>63</v>
      </c>
      <c r="G209" s="3" t="s">
        <v>66</v>
      </c>
      <c r="H209" s="3" t="s">
        <v>30</v>
      </c>
      <c r="I209" s="55">
        <v>46174</v>
      </c>
      <c r="J209" s="55">
        <v>46177</v>
      </c>
      <c r="K209" s="55">
        <v>46204</v>
      </c>
      <c r="L209" s="55"/>
      <c r="M209" s="55"/>
      <c r="O209" s="3" t="s">
        <v>9</v>
      </c>
      <c r="R209" s="184"/>
    </row>
    <row r="210" spans="1:18" ht="15" customHeight="1">
      <c r="A210" s="180" t="s">
        <v>118</v>
      </c>
      <c r="B210" s="180"/>
      <c r="C210" s="119">
        <v>152603298</v>
      </c>
      <c r="F210" s="29" t="s">
        <v>63</v>
      </c>
      <c r="G210" s="3" t="s">
        <v>66</v>
      </c>
      <c r="H210" s="3" t="s">
        <v>30</v>
      </c>
      <c r="I210" s="55">
        <v>46174</v>
      </c>
      <c r="J210" s="55">
        <v>46177</v>
      </c>
      <c r="K210" s="55">
        <v>46204</v>
      </c>
      <c r="L210" s="55"/>
      <c r="M210" s="55"/>
      <c r="O210" s="3" t="s">
        <v>9</v>
      </c>
      <c r="R210" s="184"/>
    </row>
    <row r="211" spans="1:18" ht="15" customHeight="1">
      <c r="A211" s="180" t="s">
        <v>118</v>
      </c>
      <c r="B211" s="180"/>
      <c r="C211" s="119">
        <v>152603335</v>
      </c>
      <c r="F211" s="29" t="s">
        <v>63</v>
      </c>
      <c r="G211" s="3" t="s">
        <v>66</v>
      </c>
      <c r="H211" s="3" t="s">
        <v>30</v>
      </c>
      <c r="I211" s="55">
        <v>46174</v>
      </c>
      <c r="J211" s="55">
        <v>46177</v>
      </c>
      <c r="K211" s="55">
        <v>46204</v>
      </c>
      <c r="L211" s="55"/>
      <c r="M211" s="55"/>
      <c r="O211" s="3" t="s">
        <v>9</v>
      </c>
      <c r="R211" s="184"/>
    </row>
    <row r="212" spans="1:18" ht="15" customHeight="1">
      <c r="A212" s="180" t="s">
        <v>118</v>
      </c>
      <c r="B212" s="180"/>
      <c r="C212" s="119">
        <v>152603375</v>
      </c>
      <c r="F212" s="29" t="s">
        <v>63</v>
      </c>
      <c r="G212" s="3" t="s">
        <v>66</v>
      </c>
      <c r="H212" s="3" t="s">
        <v>30</v>
      </c>
      <c r="I212" s="55">
        <v>46174</v>
      </c>
      <c r="J212" s="55">
        <v>46177</v>
      </c>
      <c r="K212" s="55">
        <v>46204</v>
      </c>
      <c r="L212" s="55"/>
      <c r="M212" s="55"/>
      <c r="O212" s="3" t="s">
        <v>9</v>
      </c>
      <c r="R212" s="184"/>
    </row>
    <row r="213" spans="1:18" ht="15" customHeight="1">
      <c r="A213" s="180" t="s">
        <v>118</v>
      </c>
      <c r="B213" s="180"/>
      <c r="C213" s="119">
        <v>152603411</v>
      </c>
      <c r="F213" s="29" t="s">
        <v>63</v>
      </c>
      <c r="G213" s="3" t="s">
        <v>66</v>
      </c>
      <c r="H213" s="3" t="s">
        <v>30</v>
      </c>
      <c r="I213" s="55">
        <v>46174</v>
      </c>
      <c r="J213" s="55">
        <v>46177</v>
      </c>
      <c r="K213" s="55">
        <v>46204</v>
      </c>
      <c r="L213" s="55"/>
      <c r="M213" s="55"/>
      <c r="O213" s="3" t="s">
        <v>9</v>
      </c>
      <c r="R213" s="184"/>
    </row>
    <row r="214" spans="1:18" ht="15" customHeight="1">
      <c r="A214" s="180" t="s">
        <v>118</v>
      </c>
      <c r="B214" s="180"/>
      <c r="C214" s="119">
        <v>152603428</v>
      </c>
      <c r="F214" s="29" t="s">
        <v>63</v>
      </c>
      <c r="G214" s="3" t="s">
        <v>66</v>
      </c>
      <c r="H214" s="3" t="s">
        <v>30</v>
      </c>
      <c r="I214" s="55">
        <v>46174</v>
      </c>
      <c r="J214" s="55">
        <v>46177</v>
      </c>
      <c r="K214" s="55">
        <v>46204</v>
      </c>
      <c r="L214" s="55"/>
      <c r="M214" s="55"/>
      <c r="O214" s="3" t="s">
        <v>9</v>
      </c>
      <c r="R214" s="184"/>
    </row>
    <row r="215" spans="1:18" ht="15" customHeight="1">
      <c r="A215" s="180" t="s">
        <v>119</v>
      </c>
      <c r="B215" s="180"/>
      <c r="C215" s="119">
        <v>149605638</v>
      </c>
      <c r="F215" s="29" t="s">
        <v>109</v>
      </c>
      <c r="G215" s="3" t="s">
        <v>66</v>
      </c>
      <c r="H215" s="3" t="s">
        <v>110</v>
      </c>
      <c r="I215" s="55">
        <v>46171</v>
      </c>
      <c r="J215" s="55">
        <v>46175</v>
      </c>
      <c r="K215" s="55">
        <v>46202</v>
      </c>
      <c r="L215" s="55"/>
      <c r="M215" s="55"/>
      <c r="O215" s="3" t="s">
        <v>10</v>
      </c>
      <c r="P215" s="55">
        <v>46182</v>
      </c>
      <c r="R215" s="184"/>
    </row>
    <row r="216" spans="1:18" ht="15" customHeight="1">
      <c r="A216" s="180" t="s">
        <v>119</v>
      </c>
      <c r="B216" s="180"/>
      <c r="C216" s="119">
        <v>149605666</v>
      </c>
      <c r="F216" s="29" t="s">
        <v>109</v>
      </c>
      <c r="G216" s="3" t="s">
        <v>66</v>
      </c>
      <c r="H216" s="3" t="s">
        <v>110</v>
      </c>
      <c r="I216" s="55">
        <v>46171</v>
      </c>
      <c r="J216" s="55">
        <v>46175</v>
      </c>
      <c r="K216" s="55">
        <v>46202</v>
      </c>
      <c r="L216" s="55"/>
      <c r="M216" s="55"/>
      <c r="O216" s="3" t="s">
        <v>10</v>
      </c>
      <c r="P216" s="55">
        <v>46181</v>
      </c>
      <c r="R216" s="184"/>
    </row>
    <row r="217" spans="1:18" ht="15" customHeight="1">
      <c r="A217" s="180" t="s">
        <v>119</v>
      </c>
      <c r="B217" s="180"/>
      <c r="C217" s="119">
        <v>149605712</v>
      </c>
      <c r="F217" s="29" t="s">
        <v>109</v>
      </c>
      <c r="G217" s="3" t="s">
        <v>66</v>
      </c>
      <c r="H217" s="3" t="s">
        <v>110</v>
      </c>
      <c r="I217" s="55">
        <v>46171</v>
      </c>
      <c r="J217" s="55">
        <v>46175</v>
      </c>
      <c r="K217" s="55">
        <v>46202</v>
      </c>
      <c r="L217" s="55"/>
      <c r="M217" s="55"/>
      <c r="O217" s="3" t="s">
        <v>10</v>
      </c>
      <c r="P217" s="55">
        <v>46181</v>
      </c>
      <c r="R217" s="184"/>
    </row>
    <row r="218" spans="1:18" ht="15" customHeight="1">
      <c r="A218" s="180" t="s">
        <v>119</v>
      </c>
      <c r="B218" s="180"/>
      <c r="C218" s="119">
        <v>149605734</v>
      </c>
      <c r="F218" s="29" t="s">
        <v>109</v>
      </c>
      <c r="G218" s="3" t="s">
        <v>66</v>
      </c>
      <c r="H218" s="3" t="s">
        <v>110</v>
      </c>
      <c r="I218" s="55">
        <v>46171</v>
      </c>
      <c r="J218" s="55">
        <v>46175</v>
      </c>
      <c r="K218" s="55">
        <v>46202</v>
      </c>
      <c r="L218" s="55"/>
      <c r="M218" s="55"/>
      <c r="O218" s="3" t="s">
        <v>10</v>
      </c>
      <c r="P218" s="55">
        <v>46182</v>
      </c>
      <c r="R218" s="184"/>
    </row>
    <row r="219" spans="1:18" ht="15" customHeight="1">
      <c r="A219" s="180" t="s">
        <v>119</v>
      </c>
      <c r="B219" s="180"/>
      <c r="C219" s="119">
        <v>149605753</v>
      </c>
      <c r="F219" s="29" t="s">
        <v>109</v>
      </c>
      <c r="G219" s="3" t="s">
        <v>66</v>
      </c>
      <c r="H219" s="3" t="s">
        <v>110</v>
      </c>
      <c r="I219" s="55">
        <v>46171</v>
      </c>
      <c r="J219" s="55">
        <v>46175</v>
      </c>
      <c r="K219" s="55">
        <v>46202</v>
      </c>
      <c r="L219" s="55"/>
      <c r="M219" s="55"/>
      <c r="O219" s="3" t="s">
        <v>10</v>
      </c>
      <c r="P219" s="55">
        <v>46182</v>
      </c>
      <c r="R219" s="184"/>
    </row>
    <row r="220" spans="1:18" ht="15" customHeight="1">
      <c r="A220" s="180" t="s">
        <v>119</v>
      </c>
      <c r="B220" s="180"/>
      <c r="C220" s="119">
        <v>149605799</v>
      </c>
      <c r="F220" s="29" t="s">
        <v>109</v>
      </c>
      <c r="G220" s="3" t="s">
        <v>66</v>
      </c>
      <c r="H220" s="3" t="s">
        <v>110</v>
      </c>
      <c r="I220" s="55">
        <v>46171</v>
      </c>
      <c r="J220" s="55">
        <v>46175</v>
      </c>
      <c r="K220" s="55">
        <v>46202</v>
      </c>
      <c r="L220" s="55"/>
      <c r="M220" s="55"/>
      <c r="O220" s="3" t="s">
        <v>10</v>
      </c>
      <c r="P220" s="55">
        <v>46182</v>
      </c>
      <c r="R220" s="184"/>
    </row>
    <row r="221" spans="1:18" ht="15" customHeight="1">
      <c r="A221" s="180" t="s">
        <v>119</v>
      </c>
      <c r="B221" s="180"/>
      <c r="C221" s="119">
        <v>149605824</v>
      </c>
      <c r="F221" s="29" t="s">
        <v>109</v>
      </c>
      <c r="G221" s="3" t="s">
        <v>66</v>
      </c>
      <c r="H221" s="3" t="s">
        <v>110</v>
      </c>
      <c r="I221" s="55">
        <v>46171</v>
      </c>
      <c r="J221" s="55">
        <v>46175</v>
      </c>
      <c r="K221" s="55">
        <v>46202</v>
      </c>
      <c r="L221" s="55"/>
      <c r="M221" s="55"/>
      <c r="O221" s="3" t="s">
        <v>10</v>
      </c>
      <c r="P221" s="55">
        <v>46182</v>
      </c>
      <c r="R221" s="184"/>
    </row>
    <row r="222" spans="1:18" ht="15" customHeight="1">
      <c r="A222" s="180" t="s">
        <v>119</v>
      </c>
      <c r="B222" s="180"/>
      <c r="C222" s="119">
        <v>149605889</v>
      </c>
      <c r="F222" s="29" t="s">
        <v>109</v>
      </c>
      <c r="G222" s="3" t="s">
        <v>66</v>
      </c>
      <c r="H222" s="3" t="s">
        <v>110</v>
      </c>
      <c r="I222" s="55">
        <v>46171</v>
      </c>
      <c r="J222" s="55">
        <v>46175</v>
      </c>
      <c r="K222" s="55">
        <v>46202</v>
      </c>
      <c r="L222" s="55"/>
      <c r="M222" s="55"/>
      <c r="O222" s="3" t="s">
        <v>10</v>
      </c>
      <c r="P222" s="55">
        <v>46183</v>
      </c>
      <c r="R222" s="184"/>
    </row>
    <row r="223" spans="1:18" ht="15" customHeight="1">
      <c r="A223" s="180" t="s">
        <v>120</v>
      </c>
      <c r="B223" s="180"/>
      <c r="C223" s="119">
        <v>149605911</v>
      </c>
      <c r="F223" s="29" t="s">
        <v>109</v>
      </c>
      <c r="G223" s="3" t="s">
        <v>66</v>
      </c>
      <c r="H223" s="3" t="s">
        <v>110</v>
      </c>
      <c r="I223" s="55">
        <v>46171</v>
      </c>
      <c r="J223" s="55">
        <v>46175</v>
      </c>
      <c r="K223" s="55">
        <v>46202</v>
      </c>
      <c r="L223" s="55"/>
      <c r="M223" s="55"/>
      <c r="O223" s="3" t="s">
        <v>10</v>
      </c>
      <c r="P223" s="55">
        <v>46183</v>
      </c>
      <c r="R223" s="184"/>
    </row>
    <row r="224" spans="1:18" ht="15" customHeight="1">
      <c r="A224" s="180" t="s">
        <v>120</v>
      </c>
      <c r="B224" s="180"/>
      <c r="C224" s="119">
        <v>149605929</v>
      </c>
      <c r="F224" s="29" t="s">
        <v>109</v>
      </c>
      <c r="G224" s="3" t="s">
        <v>66</v>
      </c>
      <c r="H224" s="3" t="s">
        <v>110</v>
      </c>
      <c r="I224" s="55">
        <v>46171</v>
      </c>
      <c r="J224" s="55">
        <v>46175</v>
      </c>
      <c r="K224" s="55">
        <v>46202</v>
      </c>
      <c r="L224" s="55"/>
      <c r="M224" s="55"/>
      <c r="O224" s="3" t="s">
        <v>10</v>
      </c>
      <c r="P224" s="55">
        <v>46184</v>
      </c>
      <c r="R224" s="184"/>
    </row>
    <row r="225" spans="1:18" ht="15" customHeight="1">
      <c r="A225" s="180" t="s">
        <v>120</v>
      </c>
      <c r="B225" s="180"/>
      <c r="C225" s="119">
        <v>149605941</v>
      </c>
      <c r="F225" s="29" t="s">
        <v>109</v>
      </c>
      <c r="G225" s="3" t="s">
        <v>66</v>
      </c>
      <c r="H225" s="3" t="s">
        <v>110</v>
      </c>
      <c r="I225" s="55">
        <v>46171</v>
      </c>
      <c r="J225" s="55">
        <v>46175</v>
      </c>
      <c r="K225" s="55">
        <v>46202</v>
      </c>
      <c r="L225" s="55"/>
      <c r="M225" s="55"/>
      <c r="O225" s="3" t="s">
        <v>9</v>
      </c>
      <c r="R225" s="184"/>
    </row>
    <row r="226" spans="1:18" ht="15" customHeight="1">
      <c r="A226" s="180" t="s">
        <v>120</v>
      </c>
      <c r="B226" s="180"/>
      <c r="C226" s="119">
        <v>149605974</v>
      </c>
      <c r="F226" s="29" t="s">
        <v>109</v>
      </c>
      <c r="G226" s="3" t="s">
        <v>66</v>
      </c>
      <c r="H226" s="3" t="s">
        <v>110</v>
      </c>
      <c r="I226" s="55">
        <v>46171</v>
      </c>
      <c r="J226" s="55">
        <v>46175</v>
      </c>
      <c r="K226" s="55">
        <v>46202</v>
      </c>
      <c r="L226" s="55"/>
      <c r="M226" s="55"/>
      <c r="O226" s="3" t="s">
        <v>10</v>
      </c>
      <c r="P226" s="55">
        <v>46184</v>
      </c>
      <c r="R226" s="184"/>
    </row>
    <row r="227" spans="1:18" ht="15" customHeight="1">
      <c r="A227" s="180" t="s">
        <v>121</v>
      </c>
      <c r="B227" s="180"/>
      <c r="C227" s="119">
        <v>152610523</v>
      </c>
      <c r="F227" s="29" t="s">
        <v>109</v>
      </c>
      <c r="G227" s="3" t="s">
        <v>66</v>
      </c>
      <c r="H227" s="3" t="s">
        <v>110</v>
      </c>
      <c r="I227" s="55">
        <v>46174</v>
      </c>
      <c r="J227" s="55">
        <v>46177</v>
      </c>
      <c r="K227" s="55">
        <v>46204</v>
      </c>
      <c r="L227" s="55"/>
      <c r="M227" s="55"/>
      <c r="O227" s="3" t="s">
        <v>9</v>
      </c>
      <c r="R227" s="184"/>
    </row>
    <row r="228" spans="1:18" ht="15" customHeight="1">
      <c r="A228" s="180" t="s">
        <v>121</v>
      </c>
      <c r="B228" s="180"/>
      <c r="C228" s="119">
        <v>152610766</v>
      </c>
      <c r="F228" s="29" t="s">
        <v>109</v>
      </c>
      <c r="G228" s="3" t="s">
        <v>66</v>
      </c>
      <c r="H228" s="3" t="s">
        <v>110</v>
      </c>
      <c r="I228" s="55">
        <v>46174</v>
      </c>
      <c r="J228" s="55">
        <v>46177</v>
      </c>
      <c r="K228" s="55">
        <v>46204</v>
      </c>
      <c r="L228" s="55"/>
      <c r="M228" s="55"/>
      <c r="O228" s="3" t="s">
        <v>9</v>
      </c>
      <c r="R228" s="184"/>
    </row>
    <row r="229" spans="1:18" ht="15" customHeight="1">
      <c r="A229" s="180" t="s">
        <v>121</v>
      </c>
      <c r="B229" s="180"/>
      <c r="C229" s="119">
        <v>152609726</v>
      </c>
      <c r="F229" s="29" t="s">
        <v>109</v>
      </c>
      <c r="G229" s="3" t="s">
        <v>66</v>
      </c>
      <c r="H229" s="3" t="s">
        <v>110</v>
      </c>
      <c r="I229" s="55">
        <v>46174</v>
      </c>
      <c r="J229" s="55">
        <v>46177</v>
      </c>
      <c r="K229" s="55">
        <v>46204</v>
      </c>
      <c r="L229" s="55"/>
      <c r="M229" s="55"/>
      <c r="O229" s="3" t="s">
        <v>9</v>
      </c>
      <c r="R229" s="184"/>
    </row>
    <row r="230" spans="1:18" ht="15" customHeight="1">
      <c r="A230" s="180" t="s">
        <v>121</v>
      </c>
      <c r="B230" s="180"/>
      <c r="C230" s="119">
        <v>152609673</v>
      </c>
      <c r="F230" s="29" t="s">
        <v>109</v>
      </c>
      <c r="G230" s="3" t="s">
        <v>66</v>
      </c>
      <c r="H230" s="3" t="s">
        <v>110</v>
      </c>
      <c r="I230" s="55">
        <v>46174</v>
      </c>
      <c r="J230" s="55">
        <v>46177</v>
      </c>
      <c r="K230" s="55">
        <v>46204</v>
      </c>
      <c r="L230" s="55"/>
      <c r="M230" s="55"/>
      <c r="O230" s="3" t="s">
        <v>10</v>
      </c>
      <c r="P230" s="55">
        <v>46188</v>
      </c>
      <c r="R230" s="184"/>
    </row>
    <row r="231" spans="1:18" ht="15" customHeight="1">
      <c r="A231" s="180" t="s">
        <v>121</v>
      </c>
      <c r="B231" s="180"/>
      <c r="C231" s="119">
        <v>152608041</v>
      </c>
      <c r="F231" s="29" t="s">
        <v>109</v>
      </c>
      <c r="G231" s="3" t="s">
        <v>66</v>
      </c>
      <c r="H231" s="3" t="s">
        <v>110</v>
      </c>
      <c r="I231" s="55">
        <v>46174</v>
      </c>
      <c r="J231" s="55">
        <v>46177</v>
      </c>
      <c r="K231" s="55">
        <v>46204</v>
      </c>
      <c r="L231" s="55"/>
      <c r="M231" s="55"/>
      <c r="O231" s="3" t="s">
        <v>9</v>
      </c>
      <c r="R231" s="184"/>
    </row>
    <row r="232" spans="1:18" ht="15" customHeight="1">
      <c r="A232" s="180" t="s">
        <v>122</v>
      </c>
      <c r="B232" s="180"/>
      <c r="C232" s="179">
        <v>154602583</v>
      </c>
      <c r="F232" s="29" t="s">
        <v>65</v>
      </c>
      <c r="G232" s="3" t="s">
        <v>66</v>
      </c>
      <c r="H232" s="3" t="s">
        <v>30</v>
      </c>
      <c r="I232" s="55">
        <v>46176</v>
      </c>
      <c r="J232" s="55">
        <v>46179</v>
      </c>
      <c r="K232" s="55">
        <v>46206</v>
      </c>
      <c r="O232" s="3" t="s">
        <v>10</v>
      </c>
      <c r="P232" s="55">
        <v>46183</v>
      </c>
      <c r="Q232" s="167" t="s">
        <v>123</v>
      </c>
      <c r="R232" s="184"/>
    </row>
    <row r="233" spans="1:18" ht="15" customHeight="1">
      <c r="A233" s="183" t="s">
        <v>124</v>
      </c>
      <c r="B233" s="183"/>
      <c r="C233" s="119">
        <v>154601048</v>
      </c>
      <c r="F233" s="29" t="s">
        <v>109</v>
      </c>
      <c r="G233" s="3" t="s">
        <v>66</v>
      </c>
      <c r="H233" s="3" t="s">
        <v>110</v>
      </c>
      <c r="I233" s="55">
        <v>46176</v>
      </c>
      <c r="J233" s="55">
        <v>46179</v>
      </c>
      <c r="K233" s="55">
        <v>46206</v>
      </c>
      <c r="O233" s="3" t="s">
        <v>9</v>
      </c>
      <c r="R233" s="184"/>
    </row>
    <row r="234" spans="1:18" ht="15" customHeight="1">
      <c r="A234" s="183" t="s">
        <v>124</v>
      </c>
      <c r="B234" s="183"/>
      <c r="C234" s="119">
        <v>154601119</v>
      </c>
      <c r="F234" s="29" t="s">
        <v>109</v>
      </c>
      <c r="G234" s="3" t="s">
        <v>66</v>
      </c>
      <c r="H234" s="3" t="s">
        <v>110</v>
      </c>
      <c r="I234" s="55">
        <v>46176</v>
      </c>
      <c r="J234" s="55">
        <v>46179</v>
      </c>
      <c r="K234" s="55">
        <v>46206</v>
      </c>
      <c r="O234" s="3" t="s">
        <v>9</v>
      </c>
      <c r="R234" s="184"/>
    </row>
    <row r="235" spans="1:18" ht="15" customHeight="1">
      <c r="A235" s="183" t="s">
        <v>124</v>
      </c>
      <c r="B235" s="183"/>
      <c r="C235" s="119">
        <v>154601168</v>
      </c>
      <c r="F235" s="29" t="s">
        <v>109</v>
      </c>
      <c r="G235" s="3" t="s">
        <v>66</v>
      </c>
      <c r="H235" s="3" t="s">
        <v>110</v>
      </c>
      <c r="I235" s="55">
        <v>46176</v>
      </c>
      <c r="J235" s="55">
        <v>46179</v>
      </c>
      <c r="K235" s="55">
        <v>46206</v>
      </c>
      <c r="O235" s="3" t="s">
        <v>9</v>
      </c>
      <c r="R235" s="184"/>
    </row>
    <row r="236" spans="1:18" ht="15" customHeight="1">
      <c r="A236" s="183" t="s">
        <v>124</v>
      </c>
      <c r="B236" s="183"/>
      <c r="C236" s="119">
        <v>154601187</v>
      </c>
      <c r="F236" s="29" t="s">
        <v>109</v>
      </c>
      <c r="G236" s="3" t="s">
        <v>66</v>
      </c>
      <c r="H236" s="3" t="s">
        <v>110</v>
      </c>
      <c r="I236" s="55">
        <v>46176</v>
      </c>
      <c r="J236" s="55">
        <v>46179</v>
      </c>
      <c r="K236" s="55">
        <v>46206</v>
      </c>
      <c r="O236" s="3" t="s">
        <v>9</v>
      </c>
      <c r="R236" s="184"/>
    </row>
    <row r="237" spans="1:18" ht="15" customHeight="1">
      <c r="A237" s="183" t="s">
        <v>124</v>
      </c>
      <c r="B237" s="183"/>
      <c r="C237" s="119">
        <v>154601241</v>
      </c>
      <c r="F237" s="29" t="s">
        <v>109</v>
      </c>
      <c r="G237" s="3" t="s">
        <v>66</v>
      </c>
      <c r="H237" s="3" t="s">
        <v>110</v>
      </c>
      <c r="I237" s="55">
        <v>46176</v>
      </c>
      <c r="J237" s="55">
        <v>46179</v>
      </c>
      <c r="K237" s="55">
        <v>46206</v>
      </c>
      <c r="O237" s="3" t="s">
        <v>9</v>
      </c>
      <c r="R237" s="184"/>
    </row>
    <row r="238" spans="1:18" ht="15" customHeight="1">
      <c r="A238" s="183" t="s">
        <v>124</v>
      </c>
      <c r="B238" s="183"/>
      <c r="C238" s="119">
        <v>154601267</v>
      </c>
      <c r="F238" s="29" t="s">
        <v>109</v>
      </c>
      <c r="G238" s="3" t="s">
        <v>66</v>
      </c>
      <c r="H238" s="3" t="s">
        <v>110</v>
      </c>
      <c r="I238" s="55">
        <v>46176</v>
      </c>
      <c r="J238" s="55">
        <v>46179</v>
      </c>
      <c r="K238" s="55">
        <v>46206</v>
      </c>
      <c r="O238" s="3" t="s">
        <v>9</v>
      </c>
      <c r="R238" s="184"/>
    </row>
    <row r="239" spans="1:18" ht="15" customHeight="1">
      <c r="A239" s="183" t="s">
        <v>124</v>
      </c>
      <c r="B239" s="183"/>
      <c r="C239" s="119">
        <v>154601307</v>
      </c>
      <c r="F239" s="29" t="s">
        <v>109</v>
      </c>
      <c r="G239" s="3" t="s">
        <v>66</v>
      </c>
      <c r="H239" s="3" t="s">
        <v>110</v>
      </c>
      <c r="I239" s="55">
        <v>46176</v>
      </c>
      <c r="J239" s="55">
        <v>46179</v>
      </c>
      <c r="K239" s="55">
        <v>46206</v>
      </c>
      <c r="O239" s="3" t="s">
        <v>9</v>
      </c>
      <c r="R239" s="184"/>
    </row>
    <row r="240" spans="1:18" ht="15" customHeight="1">
      <c r="A240" s="183" t="s">
        <v>124</v>
      </c>
      <c r="B240" s="183"/>
      <c r="C240" s="119">
        <v>154601333</v>
      </c>
      <c r="F240" s="29" t="s">
        <v>109</v>
      </c>
      <c r="G240" s="3" t="s">
        <v>66</v>
      </c>
      <c r="H240" s="3" t="s">
        <v>110</v>
      </c>
      <c r="I240" s="55">
        <v>46176</v>
      </c>
      <c r="J240" s="55">
        <v>46179</v>
      </c>
      <c r="K240" s="55">
        <v>46206</v>
      </c>
      <c r="O240" s="3" t="s">
        <v>9</v>
      </c>
      <c r="R240" s="184"/>
    </row>
    <row r="241" spans="1:18" ht="15" customHeight="1">
      <c r="A241" s="180" t="s">
        <v>124</v>
      </c>
      <c r="B241" s="180"/>
      <c r="C241" s="119">
        <v>154601621</v>
      </c>
      <c r="F241" s="29" t="s">
        <v>109</v>
      </c>
      <c r="G241" s="3" t="s">
        <v>66</v>
      </c>
      <c r="H241" s="3" t="s">
        <v>110</v>
      </c>
      <c r="I241" s="55">
        <v>46176</v>
      </c>
      <c r="J241" s="55">
        <v>46179</v>
      </c>
      <c r="K241" s="55">
        <v>46206</v>
      </c>
      <c r="O241" s="3" t="s">
        <v>9</v>
      </c>
      <c r="R241" s="184"/>
    </row>
    <row r="242" spans="1:18" ht="15" customHeight="1">
      <c r="A242" s="180" t="s">
        <v>124</v>
      </c>
      <c r="B242" s="180"/>
      <c r="C242" s="119">
        <v>154601655</v>
      </c>
      <c r="F242" s="29" t="s">
        <v>109</v>
      </c>
      <c r="G242" s="3" t="s">
        <v>66</v>
      </c>
      <c r="H242" s="3" t="s">
        <v>110</v>
      </c>
      <c r="I242" s="55">
        <v>46176</v>
      </c>
      <c r="J242" s="55">
        <v>46179</v>
      </c>
      <c r="K242" s="55">
        <v>46206</v>
      </c>
      <c r="O242" s="3" t="s">
        <v>9</v>
      </c>
      <c r="R242" s="184"/>
    </row>
    <row r="243" spans="1:18" ht="15" customHeight="1">
      <c r="A243" s="180" t="s">
        <v>124</v>
      </c>
      <c r="B243" s="180"/>
      <c r="C243" s="119">
        <v>154601680</v>
      </c>
      <c r="F243" s="29" t="s">
        <v>109</v>
      </c>
      <c r="G243" s="3" t="s">
        <v>66</v>
      </c>
      <c r="H243" s="3" t="s">
        <v>110</v>
      </c>
      <c r="I243" s="55">
        <v>46176</v>
      </c>
      <c r="J243" s="55">
        <v>46179</v>
      </c>
      <c r="K243" s="55">
        <v>46206</v>
      </c>
      <c r="O243" s="3" t="s">
        <v>9</v>
      </c>
      <c r="R243" s="184"/>
    </row>
    <row r="244" spans="1:18" ht="15" customHeight="1">
      <c r="A244" s="180" t="s">
        <v>125</v>
      </c>
      <c r="B244" s="180"/>
      <c r="C244" s="119">
        <v>154601794</v>
      </c>
      <c r="F244" s="29" t="s">
        <v>109</v>
      </c>
      <c r="G244" s="3" t="s">
        <v>66</v>
      </c>
      <c r="H244" s="3" t="s">
        <v>110</v>
      </c>
      <c r="I244" s="55">
        <v>46176</v>
      </c>
      <c r="J244" s="55">
        <v>46179</v>
      </c>
      <c r="K244" s="55">
        <v>46206</v>
      </c>
      <c r="O244" s="3" t="s">
        <v>9</v>
      </c>
      <c r="R244" s="184"/>
    </row>
    <row r="245" spans="1:18" ht="15" customHeight="1">
      <c r="A245" s="180" t="s">
        <v>125</v>
      </c>
      <c r="B245" s="180"/>
      <c r="C245" s="119">
        <v>154601884</v>
      </c>
      <c r="F245" s="29" t="s">
        <v>109</v>
      </c>
      <c r="G245" s="3" t="s">
        <v>66</v>
      </c>
      <c r="H245" s="3" t="s">
        <v>110</v>
      </c>
      <c r="I245" s="55">
        <v>46176</v>
      </c>
      <c r="J245" s="55">
        <v>46179</v>
      </c>
      <c r="K245" s="55">
        <v>46206</v>
      </c>
      <c r="O245" s="3" t="s">
        <v>9</v>
      </c>
      <c r="R245" s="184"/>
    </row>
    <row r="246" spans="1:18" ht="15" customHeight="1">
      <c r="A246" s="180" t="s">
        <v>125</v>
      </c>
      <c r="B246" s="180"/>
      <c r="C246" s="119">
        <v>154601907</v>
      </c>
      <c r="F246" s="29" t="s">
        <v>109</v>
      </c>
      <c r="G246" s="3" t="s">
        <v>66</v>
      </c>
      <c r="H246" s="3" t="s">
        <v>110</v>
      </c>
      <c r="I246" s="55">
        <v>46176</v>
      </c>
      <c r="J246" s="55">
        <v>46179</v>
      </c>
      <c r="K246" s="55">
        <v>46206</v>
      </c>
      <c r="O246" s="3" t="s">
        <v>9</v>
      </c>
      <c r="R246" s="184"/>
    </row>
    <row r="247" spans="1:18" ht="15" customHeight="1">
      <c r="A247" s="180" t="s">
        <v>125</v>
      </c>
      <c r="B247" s="180"/>
      <c r="C247" s="119">
        <v>154601923</v>
      </c>
      <c r="F247" s="29" t="s">
        <v>109</v>
      </c>
      <c r="G247" s="3" t="s">
        <v>66</v>
      </c>
      <c r="H247" s="3" t="s">
        <v>110</v>
      </c>
      <c r="I247" s="55">
        <v>46176</v>
      </c>
      <c r="J247" s="55">
        <v>46179</v>
      </c>
      <c r="K247" s="55">
        <v>46206</v>
      </c>
      <c r="O247" s="3" t="s">
        <v>9</v>
      </c>
      <c r="R247" s="184"/>
    </row>
    <row r="248" spans="1:18" ht="15" customHeight="1">
      <c r="A248" s="180" t="s">
        <v>125</v>
      </c>
      <c r="B248" s="180"/>
      <c r="C248" s="119">
        <v>154601944</v>
      </c>
      <c r="F248" s="29" t="s">
        <v>109</v>
      </c>
      <c r="G248" s="3" t="s">
        <v>66</v>
      </c>
      <c r="H248" s="3" t="s">
        <v>110</v>
      </c>
      <c r="I248" s="55">
        <v>46176</v>
      </c>
      <c r="J248" s="55">
        <v>46179</v>
      </c>
      <c r="K248" s="55">
        <v>46206</v>
      </c>
      <c r="O248" s="3" t="s">
        <v>9</v>
      </c>
      <c r="R248" s="184"/>
    </row>
    <row r="249" spans="1:18" ht="15" customHeight="1">
      <c r="A249" s="180" t="s">
        <v>125</v>
      </c>
      <c r="B249" s="180"/>
      <c r="C249" s="119">
        <v>154601971</v>
      </c>
      <c r="F249" s="29" t="s">
        <v>109</v>
      </c>
      <c r="G249" s="3" t="s">
        <v>66</v>
      </c>
      <c r="H249" s="3" t="s">
        <v>110</v>
      </c>
      <c r="I249" s="55">
        <v>46176</v>
      </c>
      <c r="J249" s="55">
        <v>46179</v>
      </c>
      <c r="K249" s="55">
        <v>46206</v>
      </c>
      <c r="O249" s="3" t="s">
        <v>9</v>
      </c>
      <c r="R249" s="184"/>
    </row>
    <row r="250" spans="1:18" ht="15" customHeight="1">
      <c r="A250" s="180" t="s">
        <v>125</v>
      </c>
      <c r="B250" s="180"/>
      <c r="C250" s="119">
        <v>154601994</v>
      </c>
      <c r="F250" s="29" t="s">
        <v>109</v>
      </c>
      <c r="G250" s="3" t="s">
        <v>66</v>
      </c>
      <c r="H250" s="3" t="s">
        <v>110</v>
      </c>
      <c r="I250" s="55">
        <v>46176</v>
      </c>
      <c r="J250" s="55">
        <v>46179</v>
      </c>
      <c r="K250" s="55">
        <v>46206</v>
      </c>
      <c r="O250" s="3" t="s">
        <v>9</v>
      </c>
      <c r="R250" s="184"/>
    </row>
    <row r="251" spans="1:18" ht="15" customHeight="1">
      <c r="A251" s="180" t="s">
        <v>125</v>
      </c>
      <c r="B251" s="180"/>
      <c r="C251" s="119">
        <v>154602019</v>
      </c>
      <c r="F251" s="29" t="s">
        <v>109</v>
      </c>
      <c r="G251" s="3" t="s">
        <v>66</v>
      </c>
      <c r="H251" s="3" t="s">
        <v>110</v>
      </c>
      <c r="I251" s="55">
        <v>46176</v>
      </c>
      <c r="J251" s="55">
        <v>46179</v>
      </c>
      <c r="K251" s="55">
        <v>46206</v>
      </c>
      <c r="O251" s="3" t="s">
        <v>9</v>
      </c>
      <c r="R251" s="184"/>
    </row>
    <row r="252" spans="1:18" ht="15" customHeight="1">
      <c r="A252" s="180" t="s">
        <v>125</v>
      </c>
      <c r="B252" s="180"/>
      <c r="C252" s="119">
        <v>154602039</v>
      </c>
      <c r="F252" s="29" t="s">
        <v>109</v>
      </c>
      <c r="G252" s="3" t="s">
        <v>66</v>
      </c>
      <c r="H252" s="3" t="s">
        <v>110</v>
      </c>
      <c r="I252" s="55">
        <v>46176</v>
      </c>
      <c r="J252" s="55">
        <v>46179</v>
      </c>
      <c r="K252" s="55">
        <v>46206</v>
      </c>
      <c r="O252" s="3" t="s">
        <v>9</v>
      </c>
      <c r="R252" s="184"/>
    </row>
    <row r="253" spans="1:18" ht="15" customHeight="1">
      <c r="A253" s="180" t="s">
        <v>125</v>
      </c>
      <c r="B253" s="180"/>
      <c r="C253" s="119">
        <v>154602070</v>
      </c>
      <c r="F253" s="29" t="s">
        <v>109</v>
      </c>
      <c r="G253" s="3" t="s">
        <v>66</v>
      </c>
      <c r="H253" s="3" t="s">
        <v>110</v>
      </c>
      <c r="I253" s="55">
        <v>46176</v>
      </c>
      <c r="J253" s="55">
        <v>46179</v>
      </c>
      <c r="K253" s="55">
        <v>46206</v>
      </c>
      <c r="O253" s="3" t="s">
        <v>9</v>
      </c>
      <c r="R253" s="184"/>
    </row>
    <row r="254" spans="1:18" ht="15" customHeight="1">
      <c r="A254" s="180" t="s">
        <v>125</v>
      </c>
      <c r="B254" s="180"/>
      <c r="C254" s="119">
        <v>154602111</v>
      </c>
      <c r="F254" s="29" t="s">
        <v>109</v>
      </c>
      <c r="G254" s="3" t="s">
        <v>66</v>
      </c>
      <c r="H254" s="3" t="s">
        <v>110</v>
      </c>
      <c r="I254" s="55">
        <v>46176</v>
      </c>
      <c r="J254" s="55">
        <v>46179</v>
      </c>
      <c r="K254" s="55">
        <v>46206</v>
      </c>
      <c r="O254" s="3" t="s">
        <v>9</v>
      </c>
      <c r="R254" s="184"/>
    </row>
    <row r="255" spans="1:18" ht="15" customHeight="1">
      <c r="A255" s="180" t="s">
        <v>126</v>
      </c>
      <c r="B255" s="180"/>
      <c r="C255" s="119">
        <v>154602163</v>
      </c>
      <c r="F255" s="29" t="s">
        <v>109</v>
      </c>
      <c r="G255" s="3" t="s">
        <v>66</v>
      </c>
      <c r="H255" s="3" t="s">
        <v>110</v>
      </c>
      <c r="I255" s="55">
        <v>46176</v>
      </c>
      <c r="J255" s="55">
        <v>46179</v>
      </c>
      <c r="K255" s="55">
        <v>46206</v>
      </c>
      <c r="O255" s="3" t="s">
        <v>9</v>
      </c>
      <c r="R255" s="184"/>
    </row>
    <row r="256" spans="1:18" ht="15" customHeight="1">
      <c r="A256" s="180" t="s">
        <v>126</v>
      </c>
      <c r="B256" s="180"/>
      <c r="C256" s="119">
        <v>154602181</v>
      </c>
      <c r="F256" s="29" t="s">
        <v>109</v>
      </c>
      <c r="G256" s="3" t="s">
        <v>66</v>
      </c>
      <c r="H256" s="3" t="s">
        <v>110</v>
      </c>
      <c r="I256" s="55">
        <v>46176</v>
      </c>
      <c r="J256" s="55">
        <v>46179</v>
      </c>
      <c r="K256" s="55">
        <v>46206</v>
      </c>
      <c r="O256" s="3" t="s">
        <v>9</v>
      </c>
      <c r="R256" s="184"/>
    </row>
    <row r="257" spans="1:18" ht="15" customHeight="1">
      <c r="A257" s="183" t="s">
        <v>126</v>
      </c>
      <c r="B257" s="183"/>
      <c r="C257" s="119">
        <v>154602300</v>
      </c>
      <c r="F257" s="29" t="s">
        <v>109</v>
      </c>
      <c r="G257" s="3" t="s">
        <v>66</v>
      </c>
      <c r="H257" s="3" t="s">
        <v>110</v>
      </c>
      <c r="I257" s="55">
        <v>46176</v>
      </c>
      <c r="J257" s="55">
        <v>46179</v>
      </c>
      <c r="K257" s="55">
        <v>46206</v>
      </c>
      <c r="O257" s="3" t="s">
        <v>9</v>
      </c>
      <c r="R257" s="184"/>
    </row>
    <row r="258" spans="1:18" ht="15" customHeight="1">
      <c r="A258" s="183" t="s">
        <v>126</v>
      </c>
      <c r="B258" s="183"/>
      <c r="C258" s="119">
        <v>154602321</v>
      </c>
      <c r="F258" s="29" t="s">
        <v>109</v>
      </c>
      <c r="G258" s="3" t="s">
        <v>66</v>
      </c>
      <c r="H258" s="3" t="s">
        <v>110</v>
      </c>
      <c r="I258" s="55">
        <v>46176</v>
      </c>
      <c r="J258" s="55">
        <v>46179</v>
      </c>
      <c r="K258" s="55">
        <v>46206</v>
      </c>
      <c r="O258" s="3" t="s">
        <v>9</v>
      </c>
      <c r="R258" s="184"/>
    </row>
    <row r="259" spans="1:18" ht="15" customHeight="1">
      <c r="A259" s="183" t="s">
        <v>126</v>
      </c>
      <c r="B259" s="183"/>
      <c r="C259" s="119">
        <v>154602375</v>
      </c>
      <c r="F259" s="29" t="s">
        <v>109</v>
      </c>
      <c r="G259" s="3" t="s">
        <v>66</v>
      </c>
      <c r="H259" s="3" t="s">
        <v>110</v>
      </c>
      <c r="I259" s="55">
        <v>46176</v>
      </c>
      <c r="J259" s="55">
        <v>46179</v>
      </c>
      <c r="K259" s="55">
        <v>46206</v>
      </c>
      <c r="O259" s="3" t="s">
        <v>9</v>
      </c>
      <c r="R259" s="184"/>
    </row>
    <row r="260" spans="1:18" ht="15" customHeight="1">
      <c r="A260" s="183" t="s">
        <v>126</v>
      </c>
      <c r="B260" s="183"/>
      <c r="C260" s="119">
        <v>154602400</v>
      </c>
      <c r="F260" s="29" t="s">
        <v>109</v>
      </c>
      <c r="G260" s="3" t="s">
        <v>66</v>
      </c>
      <c r="H260" s="3" t="s">
        <v>110</v>
      </c>
      <c r="I260" s="55">
        <v>46176</v>
      </c>
      <c r="J260" s="55">
        <v>46179</v>
      </c>
      <c r="K260" s="55">
        <v>46206</v>
      </c>
      <c r="O260" s="3" t="s">
        <v>9</v>
      </c>
      <c r="R260" s="184"/>
    </row>
    <row r="261" spans="1:18" ht="15" customHeight="1">
      <c r="A261" s="183" t="s">
        <v>126</v>
      </c>
      <c r="B261" s="183"/>
      <c r="C261" s="119">
        <v>154602427</v>
      </c>
      <c r="F261" s="29" t="s">
        <v>109</v>
      </c>
      <c r="G261" s="3" t="s">
        <v>66</v>
      </c>
      <c r="H261" s="3" t="s">
        <v>110</v>
      </c>
      <c r="I261" s="55">
        <v>46176</v>
      </c>
      <c r="J261" s="55">
        <v>46179</v>
      </c>
      <c r="K261" s="55">
        <v>46206</v>
      </c>
      <c r="O261" s="3" t="s">
        <v>9</v>
      </c>
      <c r="R261" s="184"/>
    </row>
    <row r="262" spans="1:18" ht="15" customHeight="1">
      <c r="A262" s="183" t="s">
        <v>126</v>
      </c>
      <c r="B262" s="183"/>
      <c r="C262" s="119">
        <v>154602446</v>
      </c>
      <c r="F262" s="29" t="s">
        <v>109</v>
      </c>
      <c r="G262" s="3" t="s">
        <v>66</v>
      </c>
      <c r="H262" s="3" t="s">
        <v>110</v>
      </c>
      <c r="I262" s="55">
        <v>46176</v>
      </c>
      <c r="J262" s="55">
        <v>46179</v>
      </c>
      <c r="K262" s="55">
        <v>46206</v>
      </c>
      <c r="O262" s="3" t="s">
        <v>9</v>
      </c>
      <c r="R262" s="184"/>
    </row>
    <row r="263" spans="1:18" ht="15" customHeight="1">
      <c r="A263" s="183" t="s">
        <v>126</v>
      </c>
      <c r="B263" s="183"/>
      <c r="C263" s="119">
        <v>154602469</v>
      </c>
      <c r="F263" s="29" t="s">
        <v>109</v>
      </c>
      <c r="G263" s="3" t="s">
        <v>66</v>
      </c>
      <c r="H263" s="3" t="s">
        <v>110</v>
      </c>
      <c r="I263" s="55">
        <v>46176</v>
      </c>
      <c r="J263" s="55">
        <v>46179</v>
      </c>
      <c r="K263" s="55">
        <v>46206</v>
      </c>
      <c r="O263" s="3" t="s">
        <v>9</v>
      </c>
      <c r="R263" s="184"/>
    </row>
    <row r="264" spans="1:18" ht="15" customHeight="1">
      <c r="A264" s="183" t="s">
        <v>126</v>
      </c>
      <c r="B264" s="183"/>
      <c r="C264" s="119">
        <v>154602532</v>
      </c>
      <c r="F264" s="29" t="s">
        <v>109</v>
      </c>
      <c r="G264" s="3" t="s">
        <v>66</v>
      </c>
      <c r="H264" s="3" t="s">
        <v>110</v>
      </c>
      <c r="I264" s="55">
        <v>46176</v>
      </c>
      <c r="J264" s="55">
        <v>46179</v>
      </c>
      <c r="K264" s="55">
        <v>46206</v>
      </c>
      <c r="O264" s="3" t="s">
        <v>9</v>
      </c>
      <c r="R264" s="184"/>
    </row>
    <row r="265" spans="1:18" ht="15" customHeight="1">
      <c r="A265" s="180" t="s">
        <v>126</v>
      </c>
      <c r="B265" s="180"/>
      <c r="C265" s="119">
        <v>154602585</v>
      </c>
      <c r="F265" s="29" t="s">
        <v>109</v>
      </c>
      <c r="G265" s="3" t="s">
        <v>66</v>
      </c>
      <c r="H265" s="3" t="s">
        <v>110</v>
      </c>
      <c r="I265" s="55">
        <v>46176</v>
      </c>
      <c r="J265" s="55">
        <v>46179</v>
      </c>
      <c r="K265" s="55">
        <v>46206</v>
      </c>
      <c r="O265" s="3" t="s">
        <v>9</v>
      </c>
      <c r="R265" s="184"/>
    </row>
    <row r="266" spans="1:18" ht="15" customHeight="1">
      <c r="A266" s="180" t="s">
        <v>126</v>
      </c>
      <c r="B266" s="180"/>
      <c r="C266" s="119">
        <v>154602624</v>
      </c>
      <c r="F266" s="29" t="s">
        <v>109</v>
      </c>
      <c r="G266" s="3" t="s">
        <v>66</v>
      </c>
      <c r="H266" s="3" t="s">
        <v>110</v>
      </c>
      <c r="I266" s="55">
        <v>46176</v>
      </c>
      <c r="J266" s="55">
        <v>46179</v>
      </c>
      <c r="K266" s="55">
        <v>46206</v>
      </c>
      <c r="O266" s="3" t="s">
        <v>9</v>
      </c>
      <c r="R266" s="184"/>
    </row>
    <row r="267" spans="1:18" ht="15" customHeight="1">
      <c r="A267" s="180" t="s">
        <v>126</v>
      </c>
      <c r="B267" s="180"/>
      <c r="C267" s="119">
        <v>154602668</v>
      </c>
      <c r="F267" s="29" t="s">
        <v>109</v>
      </c>
      <c r="G267" s="3" t="s">
        <v>66</v>
      </c>
      <c r="H267" s="3" t="s">
        <v>110</v>
      </c>
      <c r="I267" s="55">
        <v>46176</v>
      </c>
      <c r="J267" s="55">
        <v>46179</v>
      </c>
      <c r="K267" s="55">
        <v>46206</v>
      </c>
      <c r="O267" s="3" t="s">
        <v>9</v>
      </c>
      <c r="R267" s="184"/>
    </row>
    <row r="268" spans="1:18" ht="15" customHeight="1">
      <c r="A268" s="180" t="s">
        <v>127</v>
      </c>
      <c r="B268" s="180"/>
      <c r="C268" s="119">
        <v>154608232</v>
      </c>
      <c r="F268" s="29" t="s">
        <v>109</v>
      </c>
      <c r="G268" s="3" t="s">
        <v>66</v>
      </c>
      <c r="H268" s="3" t="s">
        <v>110</v>
      </c>
      <c r="I268" s="55">
        <v>46176</v>
      </c>
      <c r="J268" s="55">
        <v>46179</v>
      </c>
      <c r="K268" s="55">
        <v>46206</v>
      </c>
      <c r="O268" s="3" t="s">
        <v>9</v>
      </c>
      <c r="R268" s="184"/>
    </row>
    <row r="269" spans="1:18" ht="15" customHeight="1">
      <c r="A269" s="180" t="s">
        <v>127</v>
      </c>
      <c r="B269" s="180"/>
      <c r="C269" s="119">
        <v>154607886</v>
      </c>
      <c r="F269" s="29" t="s">
        <v>109</v>
      </c>
      <c r="G269" s="3" t="s">
        <v>66</v>
      </c>
      <c r="H269" s="3" t="s">
        <v>110</v>
      </c>
      <c r="I269" s="55">
        <v>46176</v>
      </c>
      <c r="J269" s="55">
        <v>46179</v>
      </c>
      <c r="K269" s="55">
        <v>46206</v>
      </c>
      <c r="O269" s="3" t="s">
        <v>9</v>
      </c>
      <c r="R269" s="184"/>
    </row>
    <row r="270" spans="1:18" ht="15" customHeight="1">
      <c r="A270" s="180" t="s">
        <v>127</v>
      </c>
      <c r="B270" s="180"/>
      <c r="C270" s="119">
        <v>154607798</v>
      </c>
      <c r="F270" s="29" t="s">
        <v>109</v>
      </c>
      <c r="G270" s="3" t="s">
        <v>66</v>
      </c>
      <c r="H270" s="3" t="s">
        <v>110</v>
      </c>
      <c r="I270" s="55">
        <v>46176</v>
      </c>
      <c r="J270" s="55">
        <v>46179</v>
      </c>
      <c r="K270" s="55">
        <v>46206</v>
      </c>
      <c r="O270" s="3" t="s">
        <v>9</v>
      </c>
      <c r="R270" s="184"/>
    </row>
    <row r="271" spans="1:18" ht="15" customHeight="1">
      <c r="A271" s="180" t="s">
        <v>127</v>
      </c>
      <c r="B271" s="180"/>
      <c r="C271" s="119">
        <v>154607775</v>
      </c>
      <c r="F271" s="29" t="s">
        <v>109</v>
      </c>
      <c r="G271" s="3" t="s">
        <v>66</v>
      </c>
      <c r="H271" s="3" t="s">
        <v>110</v>
      </c>
      <c r="I271" s="55">
        <v>46176</v>
      </c>
      <c r="J271" s="55">
        <v>46179</v>
      </c>
      <c r="K271" s="55">
        <v>46206</v>
      </c>
      <c r="O271" s="3" t="s">
        <v>9</v>
      </c>
      <c r="R271" s="184"/>
    </row>
    <row r="272" spans="1:18" ht="15" customHeight="1">
      <c r="A272" s="180" t="s">
        <v>127</v>
      </c>
      <c r="B272" s="180"/>
      <c r="C272" s="119">
        <v>154607734</v>
      </c>
      <c r="F272" s="29" t="s">
        <v>109</v>
      </c>
      <c r="G272" s="3" t="s">
        <v>66</v>
      </c>
      <c r="H272" s="3" t="s">
        <v>110</v>
      </c>
      <c r="I272" s="55">
        <v>46176</v>
      </c>
      <c r="J272" s="55">
        <v>46179</v>
      </c>
      <c r="K272" s="55">
        <v>46206</v>
      </c>
      <c r="O272" s="3" t="s">
        <v>9</v>
      </c>
      <c r="R272" s="184"/>
    </row>
    <row r="273" spans="1:18" ht="15" customHeight="1">
      <c r="A273" s="180" t="s">
        <v>127</v>
      </c>
      <c r="B273" s="180"/>
      <c r="C273" s="119">
        <v>154607525</v>
      </c>
      <c r="F273" s="29" t="s">
        <v>109</v>
      </c>
      <c r="G273" s="3" t="s">
        <v>66</v>
      </c>
      <c r="H273" s="3" t="s">
        <v>110</v>
      </c>
      <c r="I273" s="55">
        <v>46176</v>
      </c>
      <c r="J273" s="55">
        <v>46179</v>
      </c>
      <c r="K273" s="55">
        <v>46206</v>
      </c>
      <c r="O273" s="3" t="s">
        <v>9</v>
      </c>
      <c r="R273" s="184"/>
    </row>
    <row r="274" spans="1:18" ht="15" customHeight="1">
      <c r="A274" s="180" t="s">
        <v>127</v>
      </c>
      <c r="B274" s="180"/>
      <c r="C274" s="119">
        <v>152610727</v>
      </c>
      <c r="F274" s="29" t="s">
        <v>109</v>
      </c>
      <c r="G274" s="3" t="s">
        <v>66</v>
      </c>
      <c r="H274" s="3" t="s">
        <v>110</v>
      </c>
      <c r="I274" s="55">
        <v>46176</v>
      </c>
      <c r="J274" s="55">
        <v>46179</v>
      </c>
      <c r="K274" s="55">
        <v>46206</v>
      </c>
      <c r="O274" s="3" t="s">
        <v>9</v>
      </c>
      <c r="R274" s="184"/>
    </row>
    <row r="275" spans="1:18" ht="15" customHeight="1">
      <c r="A275" s="180" t="s">
        <v>128</v>
      </c>
      <c r="B275" s="180"/>
      <c r="C275" s="176">
        <v>150600275</v>
      </c>
      <c r="F275" s="29" t="s">
        <v>129</v>
      </c>
      <c r="G275" s="3" t="s">
        <v>66</v>
      </c>
      <c r="H275" s="3" t="s">
        <v>130</v>
      </c>
      <c r="I275" s="55">
        <v>46172</v>
      </c>
      <c r="J275" s="55">
        <v>46175</v>
      </c>
      <c r="K275" s="55">
        <v>46202</v>
      </c>
      <c r="O275" s="3" t="s">
        <v>10</v>
      </c>
      <c r="P275" s="55">
        <v>46177</v>
      </c>
      <c r="R275" s="184"/>
    </row>
    <row r="276" spans="1:18" ht="15" customHeight="1">
      <c r="A276" s="180" t="s">
        <v>128</v>
      </c>
      <c r="B276" s="215"/>
      <c r="C276" s="196">
        <v>150600280</v>
      </c>
      <c r="F276" s="29" t="s">
        <v>129</v>
      </c>
      <c r="G276" s="3" t="s">
        <v>66</v>
      </c>
      <c r="H276" s="3" t="s">
        <v>130</v>
      </c>
      <c r="I276" s="55">
        <v>46172</v>
      </c>
      <c r="J276" s="55">
        <v>46175</v>
      </c>
      <c r="K276" s="55">
        <v>46202</v>
      </c>
      <c r="O276" s="3" t="s">
        <v>10</v>
      </c>
      <c r="P276" s="55">
        <v>46177</v>
      </c>
      <c r="R276" s="184"/>
    </row>
    <row r="277" spans="1:18" ht="15" customHeight="1">
      <c r="A277" s="180" t="s">
        <v>128</v>
      </c>
      <c r="B277" s="180"/>
      <c r="C277" s="176">
        <v>150600268</v>
      </c>
      <c r="F277" s="29" t="s">
        <v>129</v>
      </c>
      <c r="G277" s="3" t="s">
        <v>66</v>
      </c>
      <c r="H277" s="3" t="s">
        <v>130</v>
      </c>
      <c r="I277" s="55">
        <v>46172</v>
      </c>
      <c r="J277" s="55">
        <v>46175</v>
      </c>
      <c r="K277" s="55">
        <v>46202</v>
      </c>
      <c r="O277" s="3" t="s">
        <v>10</v>
      </c>
      <c r="P277" s="55">
        <v>46177</v>
      </c>
      <c r="R277" s="184"/>
    </row>
    <row r="278" spans="1:18" ht="15" customHeight="1">
      <c r="A278" s="180" t="s">
        <v>128</v>
      </c>
      <c r="B278" s="180"/>
      <c r="C278" s="176">
        <v>150600282</v>
      </c>
      <c r="F278" s="29" t="s">
        <v>129</v>
      </c>
      <c r="G278" s="3" t="s">
        <v>66</v>
      </c>
      <c r="H278" s="3" t="s">
        <v>130</v>
      </c>
      <c r="I278" s="55">
        <v>46172</v>
      </c>
      <c r="J278" s="55">
        <v>46175</v>
      </c>
      <c r="K278" s="55">
        <v>46202</v>
      </c>
      <c r="O278" s="3" t="s">
        <v>10</v>
      </c>
      <c r="P278" s="55">
        <v>46177</v>
      </c>
      <c r="R278" s="184"/>
    </row>
    <row r="279" spans="1:18" ht="15" customHeight="1">
      <c r="A279" s="180" t="s">
        <v>128</v>
      </c>
      <c r="B279" s="180"/>
      <c r="C279" s="176">
        <v>150600288</v>
      </c>
      <c r="F279" s="29" t="s">
        <v>129</v>
      </c>
      <c r="G279" s="3" t="s">
        <v>66</v>
      </c>
      <c r="H279" s="3" t="s">
        <v>130</v>
      </c>
      <c r="I279" s="55">
        <v>46172</v>
      </c>
      <c r="J279" s="55">
        <v>46175</v>
      </c>
      <c r="K279" s="55">
        <v>46202</v>
      </c>
      <c r="O279" s="3" t="s">
        <v>10</v>
      </c>
      <c r="P279" s="55">
        <v>46177</v>
      </c>
      <c r="R279" s="184"/>
    </row>
    <row r="280" spans="1:18" ht="15" customHeight="1">
      <c r="A280" s="180" t="s">
        <v>128</v>
      </c>
      <c r="B280" s="180"/>
      <c r="C280" s="176">
        <v>150600220</v>
      </c>
      <c r="F280" s="29" t="s">
        <v>129</v>
      </c>
      <c r="G280" s="3" t="s">
        <v>66</v>
      </c>
      <c r="H280" s="3" t="s">
        <v>130</v>
      </c>
      <c r="I280" s="55">
        <v>46172</v>
      </c>
      <c r="J280" s="55">
        <v>46175</v>
      </c>
      <c r="K280" s="55">
        <v>46202</v>
      </c>
      <c r="O280" s="3" t="s">
        <v>10</v>
      </c>
      <c r="P280" s="55">
        <v>46183</v>
      </c>
      <c r="R280" s="184"/>
    </row>
    <row r="281" spans="1:18" ht="15" customHeight="1">
      <c r="A281" s="180" t="s">
        <v>128</v>
      </c>
      <c r="B281" s="215"/>
      <c r="C281" s="196">
        <v>150600229</v>
      </c>
      <c r="F281" s="29" t="s">
        <v>129</v>
      </c>
      <c r="G281" s="3" t="s">
        <v>66</v>
      </c>
      <c r="H281" s="3" t="s">
        <v>130</v>
      </c>
      <c r="I281" s="55">
        <v>46172</v>
      </c>
      <c r="J281" s="55">
        <v>46175</v>
      </c>
      <c r="K281" s="55">
        <v>46202</v>
      </c>
      <c r="O281" s="3" t="s">
        <v>10</v>
      </c>
      <c r="P281" s="55">
        <v>46183</v>
      </c>
      <c r="R281" s="184"/>
    </row>
    <row r="282" spans="1:18" ht="15" customHeight="1">
      <c r="A282" s="180" t="s">
        <v>128</v>
      </c>
      <c r="B282" s="180"/>
      <c r="C282" s="176">
        <v>150600233</v>
      </c>
      <c r="F282" s="29" t="s">
        <v>129</v>
      </c>
      <c r="G282" s="3" t="s">
        <v>66</v>
      </c>
      <c r="H282" s="3" t="s">
        <v>130</v>
      </c>
      <c r="I282" s="55">
        <v>46172</v>
      </c>
      <c r="J282" s="55">
        <v>46175</v>
      </c>
      <c r="K282" s="55">
        <v>46202</v>
      </c>
      <c r="O282" s="3" t="s">
        <v>10</v>
      </c>
      <c r="P282" s="55">
        <v>46183</v>
      </c>
      <c r="R282" s="184"/>
    </row>
    <row r="283" spans="1:18" ht="15" customHeight="1">
      <c r="A283" s="180" t="s">
        <v>128</v>
      </c>
      <c r="B283" s="180"/>
      <c r="C283" s="176">
        <v>150600239</v>
      </c>
      <c r="F283" s="29" t="s">
        <v>129</v>
      </c>
      <c r="G283" s="3" t="s">
        <v>66</v>
      </c>
      <c r="H283" s="3" t="s">
        <v>130</v>
      </c>
      <c r="I283" s="55">
        <v>46172</v>
      </c>
      <c r="J283" s="55">
        <v>46175</v>
      </c>
      <c r="K283" s="55">
        <v>46202</v>
      </c>
      <c r="O283" s="3" t="s">
        <v>10</v>
      </c>
      <c r="P283" s="55">
        <v>46183</v>
      </c>
      <c r="R283" s="184"/>
    </row>
    <row r="284" spans="1:18" ht="15" customHeight="1">
      <c r="A284" s="180" t="s">
        <v>128</v>
      </c>
      <c r="B284" s="180"/>
      <c r="C284" s="176">
        <v>150600244</v>
      </c>
      <c r="F284" s="29" t="s">
        <v>129</v>
      </c>
      <c r="G284" s="3" t="s">
        <v>66</v>
      </c>
      <c r="H284" s="3" t="s">
        <v>130</v>
      </c>
      <c r="I284" s="55">
        <v>46172</v>
      </c>
      <c r="J284" s="55">
        <v>46175</v>
      </c>
      <c r="K284" s="55">
        <v>46202</v>
      </c>
      <c r="O284" s="3" t="s">
        <v>10</v>
      </c>
      <c r="P284" s="55">
        <v>46183</v>
      </c>
      <c r="R284" s="184"/>
    </row>
    <row r="285" spans="1:18" ht="15" customHeight="1">
      <c r="A285" s="180" t="s">
        <v>128</v>
      </c>
      <c r="B285" s="180"/>
      <c r="C285" s="176">
        <v>150600243</v>
      </c>
      <c r="F285" s="29" t="s">
        <v>129</v>
      </c>
      <c r="G285" s="3" t="s">
        <v>66</v>
      </c>
      <c r="H285" s="3" t="s">
        <v>130</v>
      </c>
      <c r="I285" s="55">
        <v>46172</v>
      </c>
      <c r="J285" s="55">
        <v>46175</v>
      </c>
      <c r="K285" s="55">
        <v>46202</v>
      </c>
      <c r="O285" s="3" t="s">
        <v>10</v>
      </c>
      <c r="P285" s="55">
        <v>46183</v>
      </c>
      <c r="R285" s="184"/>
    </row>
    <row r="286" spans="1:18" ht="15" customHeight="1">
      <c r="A286" s="180" t="s">
        <v>128</v>
      </c>
      <c r="B286" s="180"/>
      <c r="C286" s="176">
        <v>150600267</v>
      </c>
      <c r="F286" s="29" t="s">
        <v>129</v>
      </c>
      <c r="G286" s="3" t="s">
        <v>66</v>
      </c>
      <c r="H286" s="3" t="s">
        <v>130</v>
      </c>
      <c r="I286" s="55">
        <v>46172</v>
      </c>
      <c r="J286" s="55">
        <v>46175</v>
      </c>
      <c r="K286" s="55">
        <v>46202</v>
      </c>
      <c r="O286" s="3" t="s">
        <v>10</v>
      </c>
      <c r="P286" s="55">
        <v>46183</v>
      </c>
      <c r="R286" s="184"/>
    </row>
    <row r="287" spans="1:18" ht="15" customHeight="1">
      <c r="A287" s="180" t="s">
        <v>128</v>
      </c>
      <c r="B287" s="180"/>
      <c r="C287" s="176">
        <v>150600241</v>
      </c>
      <c r="F287" s="29" t="s">
        <v>129</v>
      </c>
      <c r="G287" s="3" t="s">
        <v>66</v>
      </c>
      <c r="H287" s="3" t="s">
        <v>130</v>
      </c>
      <c r="I287" s="55">
        <v>46172</v>
      </c>
      <c r="J287" s="55">
        <v>46175</v>
      </c>
      <c r="K287" s="55">
        <v>46202</v>
      </c>
      <c r="O287" s="3" t="s">
        <v>10</v>
      </c>
      <c r="P287" s="55">
        <v>46188</v>
      </c>
      <c r="R287" s="184"/>
    </row>
    <row r="288" spans="1:18" ht="15" customHeight="1">
      <c r="A288" s="180" t="s">
        <v>131</v>
      </c>
      <c r="B288" s="180"/>
      <c r="C288" s="176">
        <v>156607832</v>
      </c>
      <c r="F288" s="29" t="s">
        <v>132</v>
      </c>
      <c r="G288" s="3" t="s">
        <v>66</v>
      </c>
      <c r="H288" s="3" t="s">
        <v>133</v>
      </c>
      <c r="I288" s="55">
        <v>46178</v>
      </c>
      <c r="J288" s="55">
        <v>46182</v>
      </c>
      <c r="K288" s="55">
        <v>46209</v>
      </c>
      <c r="O288" s="3" t="s">
        <v>9</v>
      </c>
      <c r="R288" s="184"/>
    </row>
    <row r="289" spans="1:18" ht="15" customHeight="1">
      <c r="A289" s="180" t="s">
        <v>131</v>
      </c>
      <c r="B289" s="180"/>
      <c r="C289" s="168">
        <v>156607833</v>
      </c>
      <c r="F289" s="29" t="s">
        <v>132</v>
      </c>
      <c r="G289" s="3" t="s">
        <v>66</v>
      </c>
      <c r="H289" s="3" t="s">
        <v>133</v>
      </c>
      <c r="I289" s="55">
        <v>46178</v>
      </c>
      <c r="J289" s="55">
        <v>46182</v>
      </c>
      <c r="K289" s="55">
        <v>46209</v>
      </c>
      <c r="O289" s="3" t="s">
        <v>9</v>
      </c>
      <c r="R289" s="184"/>
    </row>
    <row r="290" spans="1:18" ht="15" customHeight="1">
      <c r="A290" s="180" t="s">
        <v>131</v>
      </c>
      <c r="B290" s="180"/>
      <c r="C290" s="168">
        <v>156607834</v>
      </c>
      <c r="F290" s="29" t="s">
        <v>132</v>
      </c>
      <c r="G290" s="3" t="s">
        <v>66</v>
      </c>
      <c r="H290" s="3" t="s">
        <v>133</v>
      </c>
      <c r="I290" s="55">
        <v>46178</v>
      </c>
      <c r="J290" s="55">
        <v>46182</v>
      </c>
      <c r="K290" s="55">
        <v>46209</v>
      </c>
      <c r="O290" s="3" t="s">
        <v>9</v>
      </c>
      <c r="R290" s="184"/>
    </row>
    <row r="291" spans="1:18" ht="15" customHeight="1">
      <c r="A291" s="180" t="s">
        <v>131</v>
      </c>
      <c r="B291" s="180"/>
      <c r="C291" s="168">
        <v>156607835</v>
      </c>
      <c r="F291" s="29" t="s">
        <v>132</v>
      </c>
      <c r="G291" s="3" t="s">
        <v>66</v>
      </c>
      <c r="H291" s="3" t="s">
        <v>133</v>
      </c>
      <c r="I291" s="55">
        <v>46178</v>
      </c>
      <c r="J291" s="55">
        <v>46182</v>
      </c>
      <c r="K291" s="55">
        <v>46209</v>
      </c>
      <c r="O291" s="3" t="s">
        <v>10</v>
      </c>
      <c r="P291" s="55">
        <v>46184</v>
      </c>
      <c r="R291" s="184"/>
    </row>
    <row r="292" spans="1:18" ht="15" customHeight="1">
      <c r="A292" s="180" t="s">
        <v>131</v>
      </c>
      <c r="B292" s="180"/>
      <c r="C292" s="168">
        <v>156607836</v>
      </c>
      <c r="F292" s="29" t="s">
        <v>132</v>
      </c>
      <c r="G292" s="3" t="s">
        <v>66</v>
      </c>
      <c r="H292" s="3" t="s">
        <v>133</v>
      </c>
      <c r="I292" s="55">
        <v>46178</v>
      </c>
      <c r="J292" s="55">
        <v>46182</v>
      </c>
      <c r="K292" s="55">
        <v>46209</v>
      </c>
      <c r="O292" s="3" t="s">
        <v>9</v>
      </c>
      <c r="R292" s="184"/>
    </row>
    <row r="293" spans="1:18" ht="15" customHeight="1">
      <c r="A293" s="180" t="s">
        <v>131</v>
      </c>
      <c r="B293" s="180"/>
      <c r="C293" s="168">
        <v>156607839</v>
      </c>
      <c r="F293" s="29" t="s">
        <v>132</v>
      </c>
      <c r="G293" s="3" t="s">
        <v>66</v>
      </c>
      <c r="H293" s="3" t="s">
        <v>133</v>
      </c>
      <c r="I293" s="55">
        <v>46178</v>
      </c>
      <c r="J293" s="55">
        <v>46182</v>
      </c>
      <c r="K293" s="55">
        <v>46209</v>
      </c>
      <c r="O293" s="3" t="s">
        <v>10</v>
      </c>
      <c r="P293" s="55">
        <v>46184</v>
      </c>
      <c r="R293" s="184"/>
    </row>
    <row r="294" spans="1:18" ht="15" customHeight="1">
      <c r="A294" s="180" t="s">
        <v>131</v>
      </c>
      <c r="B294" s="180"/>
      <c r="C294" s="168">
        <v>156607840</v>
      </c>
      <c r="F294" s="29" t="s">
        <v>132</v>
      </c>
      <c r="G294" s="3" t="s">
        <v>66</v>
      </c>
      <c r="H294" s="3" t="s">
        <v>133</v>
      </c>
      <c r="I294" s="55">
        <v>46178</v>
      </c>
      <c r="J294" s="55">
        <v>46182</v>
      </c>
      <c r="K294" s="55">
        <v>46209</v>
      </c>
      <c r="O294" s="3" t="s">
        <v>9</v>
      </c>
      <c r="R294" s="184"/>
    </row>
    <row r="295" spans="1:18" ht="15" customHeight="1">
      <c r="A295" s="180" t="s">
        <v>131</v>
      </c>
      <c r="B295" s="180"/>
      <c r="C295" s="168">
        <v>156607841</v>
      </c>
      <c r="F295" s="29" t="s">
        <v>132</v>
      </c>
      <c r="G295" s="3" t="s">
        <v>66</v>
      </c>
      <c r="H295" s="3" t="s">
        <v>133</v>
      </c>
      <c r="I295" s="55">
        <v>46178</v>
      </c>
      <c r="J295" s="55">
        <v>46182</v>
      </c>
      <c r="K295" s="55">
        <v>46209</v>
      </c>
      <c r="O295" s="3" t="s">
        <v>9</v>
      </c>
      <c r="R295" s="184"/>
    </row>
    <row r="296" spans="1:18" ht="15" customHeight="1">
      <c r="A296" s="180" t="s">
        <v>131</v>
      </c>
      <c r="B296" s="180"/>
      <c r="C296" s="168">
        <v>156607842</v>
      </c>
      <c r="F296" s="29" t="s">
        <v>132</v>
      </c>
      <c r="G296" s="3" t="s">
        <v>66</v>
      </c>
      <c r="H296" s="3" t="s">
        <v>133</v>
      </c>
      <c r="I296" s="55">
        <v>46178</v>
      </c>
      <c r="J296" s="55">
        <v>46182</v>
      </c>
      <c r="K296" s="55">
        <v>46209</v>
      </c>
      <c r="O296" s="3" t="s">
        <v>10</v>
      </c>
      <c r="P296" s="55">
        <v>46184</v>
      </c>
      <c r="R296" s="184"/>
    </row>
    <row r="297" spans="1:18" ht="15" customHeight="1">
      <c r="A297" s="180" t="s">
        <v>131</v>
      </c>
      <c r="B297" s="180"/>
      <c r="C297" s="168">
        <v>156607844</v>
      </c>
      <c r="F297" s="29" t="s">
        <v>132</v>
      </c>
      <c r="G297" s="3" t="s">
        <v>66</v>
      </c>
      <c r="H297" s="3" t="s">
        <v>133</v>
      </c>
      <c r="I297" s="55">
        <v>46178</v>
      </c>
      <c r="J297" s="55">
        <v>46182</v>
      </c>
      <c r="K297" s="55">
        <v>46209</v>
      </c>
      <c r="O297" s="3" t="s">
        <v>10</v>
      </c>
      <c r="P297" s="55">
        <v>46184</v>
      </c>
      <c r="R297" s="184"/>
    </row>
    <row r="298" spans="1:18" ht="15" customHeight="1">
      <c r="A298" s="180" t="s">
        <v>131</v>
      </c>
      <c r="B298" s="180"/>
      <c r="C298" s="168">
        <v>156607846</v>
      </c>
      <c r="F298" s="29" t="s">
        <v>132</v>
      </c>
      <c r="G298" s="3" t="s">
        <v>66</v>
      </c>
      <c r="H298" s="3" t="s">
        <v>133</v>
      </c>
      <c r="I298" s="55">
        <v>46178</v>
      </c>
      <c r="J298" s="55">
        <v>46182</v>
      </c>
      <c r="K298" s="55">
        <v>46209</v>
      </c>
      <c r="O298" s="3" t="s">
        <v>10</v>
      </c>
      <c r="P298" s="55">
        <v>46184</v>
      </c>
      <c r="R298" s="184"/>
    </row>
    <row r="299" spans="1:18" ht="15" customHeight="1">
      <c r="A299" s="180" t="s">
        <v>131</v>
      </c>
      <c r="B299" s="180"/>
      <c r="C299" s="168">
        <v>156607848</v>
      </c>
      <c r="F299" s="29" t="s">
        <v>132</v>
      </c>
      <c r="G299" s="3" t="s">
        <v>66</v>
      </c>
      <c r="H299" s="3" t="s">
        <v>133</v>
      </c>
      <c r="I299" s="55">
        <v>46178</v>
      </c>
      <c r="J299" s="55">
        <v>46182</v>
      </c>
      <c r="K299" s="55">
        <v>46209</v>
      </c>
      <c r="O299" s="3" t="s">
        <v>10</v>
      </c>
      <c r="P299" s="55">
        <v>46184</v>
      </c>
      <c r="R299" s="184"/>
    </row>
    <row r="300" spans="1:18" ht="15" customHeight="1">
      <c r="A300" s="180" t="s">
        <v>131</v>
      </c>
      <c r="B300" s="180"/>
      <c r="C300" s="168">
        <v>156607849</v>
      </c>
      <c r="F300" s="29" t="s">
        <v>132</v>
      </c>
      <c r="G300" s="3" t="s">
        <v>66</v>
      </c>
      <c r="H300" s="3" t="s">
        <v>133</v>
      </c>
      <c r="I300" s="55">
        <v>46178</v>
      </c>
      <c r="J300" s="55">
        <v>46182</v>
      </c>
      <c r="K300" s="55">
        <v>46209</v>
      </c>
      <c r="O300" s="3" t="s">
        <v>10</v>
      </c>
      <c r="P300" s="55">
        <v>46184</v>
      </c>
      <c r="R300" s="184"/>
    </row>
    <row r="301" spans="1:18" ht="15" customHeight="1">
      <c r="A301" s="180" t="s">
        <v>131</v>
      </c>
      <c r="B301" s="180"/>
      <c r="C301" s="168">
        <v>156607851</v>
      </c>
      <c r="F301" s="29" t="s">
        <v>132</v>
      </c>
      <c r="G301" s="3" t="s">
        <v>66</v>
      </c>
      <c r="H301" s="3" t="s">
        <v>133</v>
      </c>
      <c r="I301" s="55">
        <v>46178</v>
      </c>
      <c r="J301" s="55">
        <v>46182</v>
      </c>
      <c r="K301" s="55">
        <v>46209</v>
      </c>
      <c r="O301" s="3" t="s">
        <v>10</v>
      </c>
      <c r="P301" s="55">
        <v>46184</v>
      </c>
      <c r="R301" s="184"/>
    </row>
    <row r="302" spans="1:18" ht="15" customHeight="1">
      <c r="A302" s="180" t="s">
        <v>134</v>
      </c>
      <c r="B302" s="180"/>
      <c r="C302" s="168">
        <v>156604289</v>
      </c>
      <c r="F302" s="29" t="s">
        <v>102</v>
      </c>
      <c r="G302" s="3" t="s">
        <v>66</v>
      </c>
      <c r="H302" s="3" t="s">
        <v>135</v>
      </c>
      <c r="I302" s="55">
        <v>46178</v>
      </c>
      <c r="J302" s="55">
        <v>46182</v>
      </c>
      <c r="K302" s="55">
        <v>46209</v>
      </c>
      <c r="O302" s="3" t="s">
        <v>10</v>
      </c>
      <c r="P302" s="55">
        <v>46183</v>
      </c>
      <c r="R302" s="184"/>
    </row>
    <row r="303" spans="1:18" ht="15" customHeight="1">
      <c r="A303" s="180" t="s">
        <v>134</v>
      </c>
      <c r="B303" s="180"/>
      <c r="C303" s="168">
        <v>156604249</v>
      </c>
      <c r="F303" s="29" t="s">
        <v>102</v>
      </c>
      <c r="G303" s="3" t="s">
        <v>66</v>
      </c>
      <c r="H303" s="3" t="s">
        <v>135</v>
      </c>
      <c r="I303" s="55">
        <v>46178</v>
      </c>
      <c r="J303" s="55">
        <v>46182</v>
      </c>
      <c r="K303" s="55">
        <v>46209</v>
      </c>
      <c r="O303" s="3" t="s">
        <v>10</v>
      </c>
      <c r="P303" s="55">
        <v>46183</v>
      </c>
      <c r="R303" s="184"/>
    </row>
    <row r="304" spans="1:18" ht="15" customHeight="1">
      <c r="A304" s="180" t="s">
        <v>134</v>
      </c>
      <c r="B304" s="180"/>
      <c r="C304" s="168">
        <v>156604240</v>
      </c>
      <c r="F304" s="29" t="s">
        <v>102</v>
      </c>
      <c r="G304" s="3" t="s">
        <v>66</v>
      </c>
      <c r="H304" s="3" t="s">
        <v>135</v>
      </c>
      <c r="I304" s="55">
        <v>46178</v>
      </c>
      <c r="J304" s="55">
        <v>46182</v>
      </c>
      <c r="K304" s="55">
        <v>46209</v>
      </c>
      <c r="O304" s="3" t="s">
        <v>10</v>
      </c>
      <c r="P304" s="55">
        <v>46183</v>
      </c>
      <c r="R304" s="184"/>
    </row>
    <row r="305" spans="1:18" ht="15" customHeight="1">
      <c r="A305" s="180" t="s">
        <v>134</v>
      </c>
      <c r="B305" s="180"/>
      <c r="C305" s="168">
        <v>156604237</v>
      </c>
      <c r="F305" s="29" t="s">
        <v>102</v>
      </c>
      <c r="G305" s="3" t="s">
        <v>66</v>
      </c>
      <c r="H305" s="3" t="s">
        <v>135</v>
      </c>
      <c r="I305" s="55">
        <v>46178</v>
      </c>
      <c r="J305" s="55">
        <v>46182</v>
      </c>
      <c r="K305" s="55">
        <v>46209</v>
      </c>
      <c r="O305" s="3" t="s">
        <v>10</v>
      </c>
      <c r="P305" s="55">
        <v>46183</v>
      </c>
      <c r="R305" s="184"/>
    </row>
    <row r="306" spans="1:18" ht="15" customHeight="1">
      <c r="A306" s="180" t="s">
        <v>134</v>
      </c>
      <c r="B306" s="180"/>
      <c r="C306" s="168">
        <v>156604228</v>
      </c>
      <c r="F306" s="29" t="s">
        <v>102</v>
      </c>
      <c r="G306" s="3" t="s">
        <v>66</v>
      </c>
      <c r="H306" s="3" t="s">
        <v>135</v>
      </c>
      <c r="I306" s="55">
        <v>46178</v>
      </c>
      <c r="J306" s="55">
        <v>46182</v>
      </c>
      <c r="K306" s="55">
        <v>46209</v>
      </c>
      <c r="O306" s="3" t="s">
        <v>10</v>
      </c>
      <c r="P306" s="55">
        <v>46183</v>
      </c>
      <c r="R306" s="184"/>
    </row>
    <row r="307" spans="1:18" ht="15" customHeight="1">
      <c r="A307" s="180" t="s">
        <v>134</v>
      </c>
      <c r="B307" s="180"/>
      <c r="C307" s="168">
        <v>156604219</v>
      </c>
      <c r="F307" s="29" t="s">
        <v>102</v>
      </c>
      <c r="G307" s="3" t="s">
        <v>66</v>
      </c>
      <c r="H307" s="3" t="s">
        <v>135</v>
      </c>
      <c r="I307" s="55">
        <v>46178</v>
      </c>
      <c r="J307" s="55">
        <v>46182</v>
      </c>
      <c r="K307" s="55">
        <v>46209</v>
      </c>
      <c r="O307" s="3" t="s">
        <v>10</v>
      </c>
      <c r="P307" s="55">
        <v>46183</v>
      </c>
      <c r="R307" s="184"/>
    </row>
    <row r="308" spans="1:18" ht="15" customHeight="1">
      <c r="A308" s="180" t="s">
        <v>134</v>
      </c>
      <c r="B308" s="180"/>
      <c r="C308" s="168">
        <v>156604216</v>
      </c>
      <c r="F308" s="29" t="s">
        <v>102</v>
      </c>
      <c r="G308" s="3" t="s">
        <v>66</v>
      </c>
      <c r="H308" s="3" t="s">
        <v>135</v>
      </c>
      <c r="I308" s="55">
        <v>46178</v>
      </c>
      <c r="J308" s="55">
        <v>46182</v>
      </c>
      <c r="K308" s="55">
        <v>46209</v>
      </c>
      <c r="O308" s="3" t="s">
        <v>10</v>
      </c>
      <c r="P308" s="55">
        <v>46183</v>
      </c>
      <c r="R308" s="184"/>
    </row>
    <row r="309" spans="1:18" ht="15" customHeight="1">
      <c r="A309" s="180" t="s">
        <v>134</v>
      </c>
      <c r="B309" s="180"/>
      <c r="C309" s="168">
        <v>156604195</v>
      </c>
      <c r="F309" s="29" t="s">
        <v>102</v>
      </c>
      <c r="G309" s="3" t="s">
        <v>66</v>
      </c>
      <c r="H309" s="3" t="s">
        <v>135</v>
      </c>
      <c r="I309" s="55">
        <v>46178</v>
      </c>
      <c r="J309" s="55">
        <v>46182</v>
      </c>
      <c r="K309" s="55">
        <v>46209</v>
      </c>
      <c r="O309" s="3" t="s">
        <v>10</v>
      </c>
      <c r="P309" s="55">
        <v>46183</v>
      </c>
      <c r="R309" s="184"/>
    </row>
    <row r="310" spans="1:18" ht="15" customHeight="1">
      <c r="A310" s="180" t="s">
        <v>134</v>
      </c>
      <c r="B310" s="180"/>
      <c r="C310" s="168">
        <v>156604178</v>
      </c>
      <c r="F310" s="29" t="s">
        <v>102</v>
      </c>
      <c r="G310" s="3" t="s">
        <v>66</v>
      </c>
      <c r="H310" s="3" t="s">
        <v>135</v>
      </c>
      <c r="I310" s="55">
        <v>46178</v>
      </c>
      <c r="J310" s="55">
        <v>46182</v>
      </c>
      <c r="K310" s="55">
        <v>46209</v>
      </c>
      <c r="O310" s="3" t="s">
        <v>10</v>
      </c>
      <c r="P310" s="55">
        <v>46183</v>
      </c>
      <c r="R310" s="184"/>
    </row>
    <row r="311" spans="1:18" ht="15" customHeight="1">
      <c r="A311" s="180" t="s">
        <v>134</v>
      </c>
      <c r="B311" s="180"/>
      <c r="C311" s="168">
        <v>156604141</v>
      </c>
      <c r="F311" s="29" t="s">
        <v>102</v>
      </c>
      <c r="G311" s="3" t="s">
        <v>66</v>
      </c>
      <c r="H311" s="3" t="s">
        <v>135</v>
      </c>
      <c r="I311" s="55">
        <v>46178</v>
      </c>
      <c r="J311" s="55">
        <v>46182</v>
      </c>
      <c r="K311" s="55">
        <v>46209</v>
      </c>
      <c r="O311" s="3" t="s">
        <v>10</v>
      </c>
      <c r="P311" s="55">
        <v>46183</v>
      </c>
      <c r="R311" s="184"/>
    </row>
    <row r="312" spans="1:18" ht="15" customHeight="1">
      <c r="A312" s="180" t="s">
        <v>134</v>
      </c>
      <c r="B312" s="180"/>
      <c r="C312" s="168">
        <v>156604124</v>
      </c>
      <c r="F312" s="29" t="s">
        <v>102</v>
      </c>
      <c r="G312" s="3" t="s">
        <v>66</v>
      </c>
      <c r="H312" s="3" t="s">
        <v>135</v>
      </c>
      <c r="I312" s="55">
        <v>46178</v>
      </c>
      <c r="J312" s="55">
        <v>46182</v>
      </c>
      <c r="K312" s="55">
        <v>46209</v>
      </c>
      <c r="O312" s="3" t="s">
        <v>10</v>
      </c>
      <c r="P312" s="55">
        <v>46183</v>
      </c>
      <c r="R312" s="184"/>
    </row>
    <row r="313" spans="1:18" ht="15" customHeight="1">
      <c r="A313" s="180" t="s">
        <v>134</v>
      </c>
      <c r="B313" s="180"/>
      <c r="C313" s="168">
        <v>156604111</v>
      </c>
      <c r="F313" s="29" t="s">
        <v>102</v>
      </c>
      <c r="G313" s="3" t="s">
        <v>66</v>
      </c>
      <c r="H313" s="3" t="s">
        <v>135</v>
      </c>
      <c r="I313" s="55">
        <v>46178</v>
      </c>
      <c r="J313" s="55">
        <v>46182</v>
      </c>
      <c r="K313" s="55">
        <v>46209</v>
      </c>
      <c r="O313" s="3" t="s">
        <v>10</v>
      </c>
      <c r="P313" s="55">
        <v>46183</v>
      </c>
      <c r="R313" s="184"/>
    </row>
    <row r="314" spans="1:18" ht="15" customHeight="1">
      <c r="A314" s="180" t="s">
        <v>136</v>
      </c>
      <c r="B314" s="180"/>
      <c r="C314" s="168">
        <v>156601125</v>
      </c>
      <c r="F314" s="29" t="s">
        <v>109</v>
      </c>
      <c r="G314" s="3" t="s">
        <v>66</v>
      </c>
      <c r="H314" s="3" t="s">
        <v>110</v>
      </c>
      <c r="I314" s="55">
        <v>46178</v>
      </c>
      <c r="J314" s="55">
        <v>46182</v>
      </c>
      <c r="K314" s="55">
        <v>46209</v>
      </c>
      <c r="O314" s="3" t="s">
        <v>9</v>
      </c>
      <c r="R314" s="184"/>
    </row>
    <row r="315" spans="1:18" ht="15" customHeight="1">
      <c r="A315" s="180" t="s">
        <v>136</v>
      </c>
      <c r="B315" s="180"/>
      <c r="C315" s="168">
        <v>156601175</v>
      </c>
      <c r="F315" s="29" t="s">
        <v>109</v>
      </c>
      <c r="G315" s="3" t="s">
        <v>66</v>
      </c>
      <c r="H315" s="3" t="s">
        <v>110</v>
      </c>
      <c r="I315" s="55">
        <v>46178</v>
      </c>
      <c r="J315" s="55">
        <v>46182</v>
      </c>
      <c r="K315" s="55">
        <v>46209</v>
      </c>
      <c r="O315" s="3" t="s">
        <v>9</v>
      </c>
      <c r="R315" s="184"/>
    </row>
    <row r="316" spans="1:18" ht="15" customHeight="1">
      <c r="A316" s="180" t="s">
        <v>136</v>
      </c>
      <c r="B316" s="180"/>
      <c r="C316" s="168">
        <v>156601251</v>
      </c>
      <c r="F316" s="29" t="s">
        <v>109</v>
      </c>
      <c r="G316" s="3" t="s">
        <v>66</v>
      </c>
      <c r="H316" s="3" t="s">
        <v>110</v>
      </c>
      <c r="I316" s="55">
        <v>46178</v>
      </c>
      <c r="J316" s="55">
        <v>46182</v>
      </c>
      <c r="K316" s="55">
        <v>46209</v>
      </c>
      <c r="O316" s="3" t="s">
        <v>9</v>
      </c>
      <c r="R316" s="184"/>
    </row>
    <row r="317" spans="1:18" ht="15" customHeight="1">
      <c r="A317" s="180" t="s">
        <v>136</v>
      </c>
      <c r="B317" s="180"/>
      <c r="C317" s="168">
        <v>156601350</v>
      </c>
      <c r="F317" s="29" t="s">
        <v>109</v>
      </c>
      <c r="G317" s="3" t="s">
        <v>66</v>
      </c>
      <c r="H317" s="3" t="s">
        <v>110</v>
      </c>
      <c r="I317" s="55">
        <v>46178</v>
      </c>
      <c r="J317" s="55">
        <v>46182</v>
      </c>
      <c r="K317" s="55">
        <v>46209</v>
      </c>
      <c r="O317" s="3" t="s">
        <v>9</v>
      </c>
      <c r="R317" s="184"/>
    </row>
    <row r="318" spans="1:18" ht="15" customHeight="1">
      <c r="A318" s="180" t="s">
        <v>136</v>
      </c>
      <c r="B318" s="180"/>
      <c r="C318" s="168">
        <v>156601416</v>
      </c>
      <c r="F318" s="29" t="s">
        <v>109</v>
      </c>
      <c r="G318" s="3" t="s">
        <v>66</v>
      </c>
      <c r="H318" s="3" t="s">
        <v>110</v>
      </c>
      <c r="I318" s="55">
        <v>46178</v>
      </c>
      <c r="J318" s="55">
        <v>46182</v>
      </c>
      <c r="K318" s="55">
        <v>46209</v>
      </c>
      <c r="O318" s="3" t="s">
        <v>9</v>
      </c>
      <c r="R318" s="184"/>
    </row>
    <row r="319" spans="1:18" ht="15" customHeight="1">
      <c r="A319" s="180" t="s">
        <v>136</v>
      </c>
      <c r="B319" s="180"/>
      <c r="C319" s="168">
        <v>156601549</v>
      </c>
      <c r="F319" s="29" t="s">
        <v>109</v>
      </c>
      <c r="G319" s="3" t="s">
        <v>66</v>
      </c>
      <c r="H319" s="3" t="s">
        <v>110</v>
      </c>
      <c r="I319" s="55">
        <v>46178</v>
      </c>
      <c r="J319" s="55">
        <v>46182</v>
      </c>
      <c r="K319" s="55">
        <v>46209</v>
      </c>
      <c r="O319" s="3" t="s">
        <v>9</v>
      </c>
      <c r="R319" s="184"/>
    </row>
    <row r="320" spans="1:18" ht="15" customHeight="1">
      <c r="A320" s="180" t="s">
        <v>136</v>
      </c>
      <c r="B320" s="180"/>
      <c r="C320" s="168">
        <v>156601694</v>
      </c>
      <c r="F320" s="29" t="s">
        <v>109</v>
      </c>
      <c r="G320" s="3" t="s">
        <v>66</v>
      </c>
      <c r="H320" s="3" t="s">
        <v>110</v>
      </c>
      <c r="I320" s="55">
        <v>46178</v>
      </c>
      <c r="J320" s="55">
        <v>46182</v>
      </c>
      <c r="K320" s="55">
        <v>46209</v>
      </c>
      <c r="O320" s="3" t="s">
        <v>9</v>
      </c>
      <c r="R320" s="184"/>
    </row>
    <row r="321" spans="1:18" ht="15" customHeight="1">
      <c r="A321" s="180" t="s">
        <v>136</v>
      </c>
      <c r="B321" s="180"/>
      <c r="C321" s="168">
        <v>156601628</v>
      </c>
      <c r="F321" s="29" t="s">
        <v>109</v>
      </c>
      <c r="G321" s="3" t="s">
        <v>66</v>
      </c>
      <c r="H321" s="3" t="s">
        <v>110</v>
      </c>
      <c r="I321" s="55">
        <v>46178</v>
      </c>
      <c r="J321" s="55">
        <v>46182</v>
      </c>
      <c r="K321" s="55">
        <v>46209</v>
      </c>
      <c r="O321" s="3" t="s">
        <v>9</v>
      </c>
      <c r="R321" s="184"/>
    </row>
    <row r="322" spans="1:18" ht="15" customHeight="1">
      <c r="A322" s="180" t="s">
        <v>137</v>
      </c>
      <c r="B322" s="180"/>
      <c r="C322" s="168">
        <v>155607032</v>
      </c>
      <c r="F322" s="29" t="s">
        <v>109</v>
      </c>
      <c r="G322" s="3" t="s">
        <v>66</v>
      </c>
      <c r="H322" s="3" t="s">
        <v>110</v>
      </c>
      <c r="I322" s="55">
        <v>46178</v>
      </c>
      <c r="J322" s="55">
        <v>46182</v>
      </c>
      <c r="K322" s="55">
        <v>46209</v>
      </c>
      <c r="O322" s="3" t="s">
        <v>9</v>
      </c>
      <c r="R322" s="184"/>
    </row>
    <row r="323" spans="1:18" ht="15" customHeight="1">
      <c r="A323" s="180" t="s">
        <v>137</v>
      </c>
      <c r="B323" s="180"/>
      <c r="C323" s="168">
        <v>155607087</v>
      </c>
      <c r="F323" s="29" t="s">
        <v>109</v>
      </c>
      <c r="G323" s="3" t="s">
        <v>66</v>
      </c>
      <c r="H323" s="3" t="s">
        <v>110</v>
      </c>
      <c r="I323" s="55">
        <v>46178</v>
      </c>
      <c r="J323" s="55">
        <v>46182</v>
      </c>
      <c r="K323" s="55">
        <v>46209</v>
      </c>
      <c r="O323" s="3" t="s">
        <v>9</v>
      </c>
      <c r="R323" s="184"/>
    </row>
    <row r="324" spans="1:18" ht="15" customHeight="1">
      <c r="A324" s="180" t="s">
        <v>137</v>
      </c>
      <c r="B324" s="180"/>
      <c r="C324" s="168">
        <v>155606943</v>
      </c>
      <c r="F324" s="29" t="s">
        <v>109</v>
      </c>
      <c r="G324" s="3" t="s">
        <v>66</v>
      </c>
      <c r="H324" s="3" t="s">
        <v>110</v>
      </c>
      <c r="I324" s="55">
        <v>46178</v>
      </c>
      <c r="J324" s="55">
        <v>46182</v>
      </c>
      <c r="K324" s="55">
        <v>46209</v>
      </c>
      <c r="O324" s="3" t="s">
        <v>9</v>
      </c>
      <c r="R324" s="184"/>
    </row>
    <row r="325" spans="1:18" ht="15" customHeight="1">
      <c r="A325" s="180" t="s">
        <v>137</v>
      </c>
      <c r="B325" s="180"/>
      <c r="C325" s="168">
        <v>155607218</v>
      </c>
      <c r="F325" s="29" t="s">
        <v>109</v>
      </c>
      <c r="G325" s="3" t="s">
        <v>66</v>
      </c>
      <c r="H325" s="3" t="s">
        <v>110</v>
      </c>
      <c r="I325" s="55">
        <v>46178</v>
      </c>
      <c r="J325" s="55">
        <v>46182</v>
      </c>
      <c r="K325" s="55">
        <v>46209</v>
      </c>
      <c r="O325" s="3" t="s">
        <v>9</v>
      </c>
      <c r="R325" s="184"/>
    </row>
    <row r="326" spans="1:18" ht="15" customHeight="1">
      <c r="A326" s="180" t="s">
        <v>137</v>
      </c>
      <c r="B326" s="180"/>
      <c r="C326" s="168">
        <v>155607262</v>
      </c>
      <c r="F326" s="29" t="s">
        <v>109</v>
      </c>
      <c r="G326" s="3" t="s">
        <v>66</v>
      </c>
      <c r="H326" s="3" t="s">
        <v>110</v>
      </c>
      <c r="I326" s="55">
        <v>46178</v>
      </c>
      <c r="J326" s="55">
        <v>46182</v>
      </c>
      <c r="K326" s="55">
        <v>46209</v>
      </c>
      <c r="O326" s="3" t="s">
        <v>9</v>
      </c>
      <c r="R326" s="184"/>
    </row>
    <row r="327" spans="1:18" ht="15" customHeight="1">
      <c r="A327" s="180" t="s">
        <v>137</v>
      </c>
      <c r="B327" s="180"/>
      <c r="C327" s="168">
        <v>155607293</v>
      </c>
      <c r="F327" s="29" t="s">
        <v>109</v>
      </c>
      <c r="G327" s="3" t="s">
        <v>66</v>
      </c>
      <c r="H327" s="3" t="s">
        <v>110</v>
      </c>
      <c r="I327" s="55">
        <v>46178</v>
      </c>
      <c r="J327" s="55">
        <v>46182</v>
      </c>
      <c r="K327" s="55">
        <v>46209</v>
      </c>
      <c r="O327" s="3" t="s">
        <v>9</v>
      </c>
      <c r="R327" s="184"/>
    </row>
    <row r="328" spans="1:18" ht="15" customHeight="1">
      <c r="A328" s="180" t="s">
        <v>137</v>
      </c>
      <c r="B328" s="180"/>
      <c r="C328" s="168">
        <v>155607324</v>
      </c>
      <c r="F328" s="29" t="s">
        <v>109</v>
      </c>
      <c r="G328" s="3" t="s">
        <v>66</v>
      </c>
      <c r="H328" s="3" t="s">
        <v>110</v>
      </c>
      <c r="I328" s="55">
        <v>46178</v>
      </c>
      <c r="J328" s="55">
        <v>46182</v>
      </c>
      <c r="K328" s="55">
        <v>46209</v>
      </c>
      <c r="O328" s="3" t="s">
        <v>9</v>
      </c>
      <c r="R328" s="184"/>
    </row>
    <row r="329" spans="1:18" ht="15" customHeight="1">
      <c r="A329" s="180" t="s">
        <v>137</v>
      </c>
      <c r="B329" s="180"/>
      <c r="C329" s="168">
        <v>155607356</v>
      </c>
      <c r="F329" s="29" t="s">
        <v>109</v>
      </c>
      <c r="G329" s="3" t="s">
        <v>66</v>
      </c>
      <c r="H329" s="3" t="s">
        <v>110</v>
      </c>
      <c r="I329" s="55">
        <v>46178</v>
      </c>
      <c r="J329" s="55">
        <v>46182</v>
      </c>
      <c r="K329" s="55">
        <v>46209</v>
      </c>
      <c r="O329" s="3" t="s">
        <v>9</v>
      </c>
      <c r="R329" s="184"/>
    </row>
    <row r="330" spans="1:18" ht="15" customHeight="1">
      <c r="A330" s="180" t="s">
        <v>138</v>
      </c>
      <c r="B330" s="180"/>
      <c r="C330" s="168">
        <v>159602064</v>
      </c>
      <c r="F330" s="29" t="s">
        <v>139</v>
      </c>
      <c r="G330" s="3" t="s">
        <v>66</v>
      </c>
      <c r="H330" s="3" t="s">
        <v>30</v>
      </c>
      <c r="I330" s="55">
        <v>46181</v>
      </c>
      <c r="J330" s="55">
        <v>46184</v>
      </c>
      <c r="K330" s="55">
        <v>46211</v>
      </c>
      <c r="O330" s="3" t="s">
        <v>9</v>
      </c>
      <c r="R330" s="184"/>
    </row>
    <row r="331" spans="1:18" ht="15" customHeight="1">
      <c r="A331" s="180" t="s">
        <v>138</v>
      </c>
      <c r="B331" s="180"/>
      <c r="C331" s="168">
        <v>159602101</v>
      </c>
      <c r="F331" s="29" t="s">
        <v>139</v>
      </c>
      <c r="G331" s="3" t="s">
        <v>66</v>
      </c>
      <c r="H331" s="3" t="s">
        <v>30</v>
      </c>
      <c r="I331" s="55">
        <v>46181</v>
      </c>
      <c r="J331" s="55">
        <v>46184</v>
      </c>
      <c r="K331" s="55">
        <v>46211</v>
      </c>
      <c r="O331" s="3" t="s">
        <v>9</v>
      </c>
      <c r="R331" s="184"/>
    </row>
    <row r="332" spans="1:18" ht="15" customHeight="1">
      <c r="A332" s="180" t="s">
        <v>138</v>
      </c>
      <c r="B332" s="180"/>
      <c r="C332" s="168">
        <v>159602163</v>
      </c>
      <c r="F332" s="29" t="s">
        <v>139</v>
      </c>
      <c r="G332" s="3" t="s">
        <v>66</v>
      </c>
      <c r="H332" s="3" t="s">
        <v>30</v>
      </c>
      <c r="I332" s="55">
        <v>46181</v>
      </c>
      <c r="J332" s="55">
        <v>46184</v>
      </c>
      <c r="K332" s="55">
        <v>46211</v>
      </c>
      <c r="O332" s="3" t="s">
        <v>9</v>
      </c>
      <c r="R332" s="184"/>
    </row>
    <row r="333" spans="1:18" ht="15" customHeight="1">
      <c r="A333" s="180" t="s">
        <v>138</v>
      </c>
      <c r="B333" s="180"/>
      <c r="C333" s="168">
        <v>159602230</v>
      </c>
      <c r="F333" s="29" t="s">
        <v>139</v>
      </c>
      <c r="G333" s="3" t="s">
        <v>66</v>
      </c>
      <c r="H333" s="3" t="s">
        <v>30</v>
      </c>
      <c r="I333" s="55">
        <v>46181</v>
      </c>
      <c r="J333" s="55">
        <v>46184</v>
      </c>
      <c r="K333" s="55">
        <v>46211</v>
      </c>
      <c r="O333" s="3" t="s">
        <v>9</v>
      </c>
      <c r="R333" s="184"/>
    </row>
    <row r="334" spans="1:18" ht="15" customHeight="1">
      <c r="A334" s="180" t="s">
        <v>138</v>
      </c>
      <c r="B334" s="180"/>
      <c r="C334" s="168">
        <v>159602265</v>
      </c>
      <c r="F334" s="29" t="s">
        <v>139</v>
      </c>
      <c r="G334" s="3" t="s">
        <v>66</v>
      </c>
      <c r="H334" s="3" t="s">
        <v>30</v>
      </c>
      <c r="I334" s="55">
        <v>46181</v>
      </c>
      <c r="J334" s="55">
        <v>46184</v>
      </c>
      <c r="K334" s="55">
        <v>46211</v>
      </c>
      <c r="O334" s="3" t="s">
        <v>9</v>
      </c>
      <c r="R334" s="184"/>
    </row>
    <row r="335" spans="1:18" ht="15" customHeight="1">
      <c r="A335" s="180" t="s">
        <v>138</v>
      </c>
      <c r="B335" s="180"/>
      <c r="C335" s="168">
        <v>159602287</v>
      </c>
      <c r="F335" s="29" t="s">
        <v>139</v>
      </c>
      <c r="G335" s="3" t="s">
        <v>66</v>
      </c>
      <c r="H335" s="3" t="s">
        <v>30</v>
      </c>
      <c r="I335" s="55">
        <v>46181</v>
      </c>
      <c r="J335" s="55">
        <v>46184</v>
      </c>
      <c r="K335" s="55">
        <v>46211</v>
      </c>
      <c r="O335" s="3" t="s">
        <v>9</v>
      </c>
      <c r="R335" s="184"/>
    </row>
    <row r="336" spans="1:18" ht="15" customHeight="1">
      <c r="A336" s="180" t="s">
        <v>138</v>
      </c>
      <c r="B336" s="180"/>
      <c r="C336" s="168">
        <v>159602309</v>
      </c>
      <c r="F336" s="29" t="s">
        <v>139</v>
      </c>
      <c r="G336" s="3" t="s">
        <v>66</v>
      </c>
      <c r="H336" s="3" t="s">
        <v>30</v>
      </c>
      <c r="I336" s="55">
        <v>46181</v>
      </c>
      <c r="J336" s="55">
        <v>46184</v>
      </c>
      <c r="K336" s="55">
        <v>46211</v>
      </c>
      <c r="O336" s="3" t="s">
        <v>9</v>
      </c>
      <c r="R336" s="184"/>
    </row>
    <row r="337" spans="1:18" ht="15" customHeight="1">
      <c r="A337" s="180" t="s">
        <v>138</v>
      </c>
      <c r="B337" s="180"/>
      <c r="C337" s="168">
        <v>159602365</v>
      </c>
      <c r="F337" s="29" t="s">
        <v>139</v>
      </c>
      <c r="G337" s="3" t="s">
        <v>66</v>
      </c>
      <c r="H337" s="3" t="s">
        <v>30</v>
      </c>
      <c r="I337" s="55">
        <v>46181</v>
      </c>
      <c r="J337" s="55">
        <v>46184</v>
      </c>
      <c r="K337" s="55">
        <v>46211</v>
      </c>
      <c r="O337" s="3" t="s">
        <v>9</v>
      </c>
      <c r="R337" s="184"/>
    </row>
    <row r="338" spans="1:18" ht="15" customHeight="1">
      <c r="A338" s="180" t="s">
        <v>138</v>
      </c>
      <c r="B338" s="180"/>
      <c r="C338" s="168">
        <v>159602378</v>
      </c>
      <c r="F338" s="29" t="s">
        <v>139</v>
      </c>
      <c r="G338" s="3" t="s">
        <v>66</v>
      </c>
      <c r="H338" s="3" t="s">
        <v>30</v>
      </c>
      <c r="I338" s="55">
        <v>46181</v>
      </c>
      <c r="J338" s="55">
        <v>46184</v>
      </c>
      <c r="K338" s="55">
        <v>46211</v>
      </c>
      <c r="O338" s="3" t="s">
        <v>9</v>
      </c>
      <c r="R338" s="184"/>
    </row>
    <row r="339" spans="1:18" ht="15" customHeight="1">
      <c r="A339" s="180" t="s">
        <v>138</v>
      </c>
      <c r="B339" s="180"/>
      <c r="C339" s="168">
        <v>159602452</v>
      </c>
      <c r="F339" s="29" t="s">
        <v>139</v>
      </c>
      <c r="G339" s="3" t="s">
        <v>66</v>
      </c>
      <c r="H339" s="3" t="s">
        <v>30</v>
      </c>
      <c r="I339" s="55">
        <v>46181</v>
      </c>
      <c r="J339" s="55">
        <v>46184</v>
      </c>
      <c r="K339" s="55">
        <v>46211</v>
      </c>
      <c r="O339" s="3" t="s">
        <v>9</v>
      </c>
      <c r="R339" s="184"/>
    </row>
    <row r="340" spans="1:18" ht="15" customHeight="1">
      <c r="A340" s="180" t="s">
        <v>138</v>
      </c>
      <c r="B340" s="180"/>
      <c r="C340" s="168">
        <v>159602544</v>
      </c>
      <c r="F340" s="29" t="s">
        <v>139</v>
      </c>
      <c r="G340" s="3" t="s">
        <v>66</v>
      </c>
      <c r="H340" s="3" t="s">
        <v>30</v>
      </c>
      <c r="I340" s="55">
        <v>46181</v>
      </c>
      <c r="J340" s="55">
        <v>46184</v>
      </c>
      <c r="K340" s="55">
        <v>46211</v>
      </c>
      <c r="O340" s="3" t="s">
        <v>9</v>
      </c>
      <c r="R340" s="184"/>
    </row>
    <row r="341" spans="1:18" ht="15" customHeight="1">
      <c r="A341" s="180" t="s">
        <v>138</v>
      </c>
      <c r="B341" s="180"/>
      <c r="C341" s="168">
        <v>159602563</v>
      </c>
      <c r="F341" s="29" t="s">
        <v>139</v>
      </c>
      <c r="G341" s="3" t="s">
        <v>66</v>
      </c>
      <c r="H341" s="3" t="s">
        <v>30</v>
      </c>
      <c r="I341" s="55">
        <v>46181</v>
      </c>
      <c r="J341" s="55">
        <v>46184</v>
      </c>
      <c r="K341" s="55">
        <v>46211</v>
      </c>
      <c r="O341" s="3" t="s">
        <v>9</v>
      </c>
      <c r="R341" s="184"/>
    </row>
    <row r="342" spans="1:18" ht="15" customHeight="1">
      <c r="A342" s="180" t="s">
        <v>138</v>
      </c>
      <c r="B342" s="180"/>
      <c r="C342" s="168">
        <v>159602656</v>
      </c>
      <c r="F342" s="29" t="s">
        <v>139</v>
      </c>
      <c r="G342" s="3" t="s">
        <v>66</v>
      </c>
      <c r="H342" s="3" t="s">
        <v>30</v>
      </c>
      <c r="I342" s="55">
        <v>46181</v>
      </c>
      <c r="J342" s="55">
        <v>46184</v>
      </c>
      <c r="K342" s="55">
        <v>46211</v>
      </c>
      <c r="O342" s="3" t="s">
        <v>9</v>
      </c>
      <c r="R342" s="184"/>
    </row>
    <row r="343" spans="1:18" ht="15" customHeight="1">
      <c r="A343" s="180" t="s">
        <v>138</v>
      </c>
      <c r="B343" s="180"/>
      <c r="C343" s="168">
        <v>159602706</v>
      </c>
      <c r="F343" s="29" t="s">
        <v>139</v>
      </c>
      <c r="G343" s="3" t="s">
        <v>66</v>
      </c>
      <c r="H343" s="3" t="s">
        <v>30</v>
      </c>
      <c r="I343" s="55">
        <v>46181</v>
      </c>
      <c r="J343" s="55">
        <v>46184</v>
      </c>
      <c r="K343" s="55">
        <v>46211</v>
      </c>
      <c r="O343" s="3" t="s">
        <v>9</v>
      </c>
      <c r="R343" s="184"/>
    </row>
    <row r="344" spans="1:18" ht="15" customHeight="1">
      <c r="A344" s="180" t="s">
        <v>138</v>
      </c>
      <c r="B344" s="180"/>
      <c r="C344" s="168">
        <v>159602740</v>
      </c>
      <c r="F344" s="29" t="s">
        <v>139</v>
      </c>
      <c r="G344" s="3" t="s">
        <v>66</v>
      </c>
      <c r="H344" s="3" t="s">
        <v>30</v>
      </c>
      <c r="I344" s="55">
        <v>46181</v>
      </c>
      <c r="J344" s="55">
        <v>46184</v>
      </c>
      <c r="K344" s="55">
        <v>46211</v>
      </c>
      <c r="O344" s="3" t="s">
        <v>9</v>
      </c>
      <c r="R344" s="184"/>
    </row>
    <row r="345" spans="1:18" ht="15" customHeight="1">
      <c r="A345" s="180" t="s">
        <v>138</v>
      </c>
      <c r="B345" s="180"/>
      <c r="C345" s="168">
        <v>159602756</v>
      </c>
      <c r="F345" s="29" t="s">
        <v>139</v>
      </c>
      <c r="G345" s="3" t="s">
        <v>66</v>
      </c>
      <c r="H345" s="3" t="s">
        <v>30</v>
      </c>
      <c r="I345" s="55">
        <v>46181</v>
      </c>
      <c r="J345" s="55">
        <v>46184</v>
      </c>
      <c r="K345" s="55">
        <v>46211</v>
      </c>
      <c r="O345" s="3" t="s">
        <v>9</v>
      </c>
      <c r="R345" s="184"/>
    </row>
    <row r="346" spans="1:18" ht="15" customHeight="1">
      <c r="A346" s="180" t="s">
        <v>138</v>
      </c>
      <c r="B346" s="180"/>
      <c r="C346" s="168">
        <v>159602798</v>
      </c>
      <c r="F346" s="29" t="s">
        <v>139</v>
      </c>
      <c r="G346" s="3" t="s">
        <v>66</v>
      </c>
      <c r="H346" s="3" t="s">
        <v>30</v>
      </c>
      <c r="I346" s="55">
        <v>46181</v>
      </c>
      <c r="J346" s="55">
        <v>46184</v>
      </c>
      <c r="K346" s="55">
        <v>46211</v>
      </c>
      <c r="O346" s="3" t="s">
        <v>9</v>
      </c>
      <c r="R346" s="184"/>
    </row>
    <row r="347" spans="1:18" ht="15" customHeight="1">
      <c r="A347" s="180" t="s">
        <v>140</v>
      </c>
      <c r="B347" s="180"/>
      <c r="C347" s="168">
        <v>159603272</v>
      </c>
      <c r="F347" s="29" t="s">
        <v>139</v>
      </c>
      <c r="G347" s="3" t="s">
        <v>66</v>
      </c>
      <c r="H347" s="3" t="s">
        <v>30</v>
      </c>
      <c r="I347" s="55">
        <v>46181</v>
      </c>
      <c r="J347" s="55">
        <v>46184</v>
      </c>
      <c r="K347" s="55">
        <v>46211</v>
      </c>
      <c r="O347" s="3" t="s">
        <v>10</v>
      </c>
      <c r="P347" s="55">
        <v>46186</v>
      </c>
      <c r="R347" s="184"/>
    </row>
    <row r="348" spans="1:18" ht="15" customHeight="1">
      <c r="A348" s="180" t="s">
        <v>140</v>
      </c>
      <c r="B348" s="180"/>
      <c r="C348" s="168">
        <v>159603337</v>
      </c>
      <c r="F348" s="29" t="s">
        <v>139</v>
      </c>
      <c r="G348" s="3" t="s">
        <v>66</v>
      </c>
      <c r="H348" s="3" t="s">
        <v>30</v>
      </c>
      <c r="I348" s="55">
        <v>46181</v>
      </c>
      <c r="J348" s="55">
        <v>46184</v>
      </c>
      <c r="K348" s="55">
        <v>46211</v>
      </c>
      <c r="O348" s="3" t="s">
        <v>10</v>
      </c>
      <c r="P348" s="55">
        <v>46190</v>
      </c>
      <c r="R348" s="184"/>
    </row>
    <row r="349" spans="1:18" ht="15" customHeight="1">
      <c r="A349" s="180" t="s">
        <v>140</v>
      </c>
      <c r="B349" s="180"/>
      <c r="C349" s="168">
        <v>159603381</v>
      </c>
      <c r="F349" s="29" t="s">
        <v>139</v>
      </c>
      <c r="G349" s="3" t="s">
        <v>66</v>
      </c>
      <c r="H349" s="3" t="s">
        <v>30</v>
      </c>
      <c r="I349" s="55">
        <v>46181</v>
      </c>
      <c r="J349" s="55">
        <v>46184</v>
      </c>
      <c r="K349" s="55">
        <v>46211</v>
      </c>
      <c r="O349" s="3" t="s">
        <v>10</v>
      </c>
      <c r="P349" s="55">
        <v>46188</v>
      </c>
      <c r="R349" s="184"/>
    </row>
    <row r="350" spans="1:18" ht="15" customHeight="1">
      <c r="A350" s="180" t="s">
        <v>140</v>
      </c>
      <c r="B350" s="180"/>
      <c r="C350" s="168">
        <v>159603420</v>
      </c>
      <c r="F350" s="29" t="s">
        <v>139</v>
      </c>
      <c r="G350" s="3" t="s">
        <v>66</v>
      </c>
      <c r="H350" s="3" t="s">
        <v>30</v>
      </c>
      <c r="I350" s="55">
        <v>46181</v>
      </c>
      <c r="J350" s="55">
        <v>46184</v>
      </c>
      <c r="K350" s="55">
        <v>46211</v>
      </c>
      <c r="O350" s="3" t="s">
        <v>10</v>
      </c>
      <c r="P350" s="55">
        <v>46188</v>
      </c>
      <c r="R350" s="184"/>
    </row>
    <row r="351" spans="1:18" ht="15" customHeight="1">
      <c r="A351" s="180" t="s">
        <v>140</v>
      </c>
      <c r="B351" s="180"/>
      <c r="C351" s="168">
        <v>159603461</v>
      </c>
      <c r="F351" s="29" t="s">
        <v>139</v>
      </c>
      <c r="G351" s="3" t="s">
        <v>66</v>
      </c>
      <c r="H351" s="3" t="s">
        <v>30</v>
      </c>
      <c r="I351" s="55">
        <v>46181</v>
      </c>
      <c r="J351" s="55">
        <v>46184</v>
      </c>
      <c r="K351" s="55">
        <v>46211</v>
      </c>
      <c r="O351" s="3" t="s">
        <v>9</v>
      </c>
      <c r="R351" s="184"/>
    </row>
    <row r="352" spans="1:18" ht="15" customHeight="1">
      <c r="A352" s="180" t="s">
        <v>140</v>
      </c>
      <c r="B352" s="180"/>
      <c r="C352" s="168">
        <v>159603495</v>
      </c>
      <c r="F352" s="29" t="s">
        <v>139</v>
      </c>
      <c r="G352" s="3" t="s">
        <v>66</v>
      </c>
      <c r="H352" s="3" t="s">
        <v>30</v>
      </c>
      <c r="I352" s="55">
        <v>46181</v>
      </c>
      <c r="J352" s="55">
        <v>46184</v>
      </c>
      <c r="K352" s="55">
        <v>46211</v>
      </c>
      <c r="O352" s="3" t="s">
        <v>10</v>
      </c>
      <c r="P352" s="55">
        <v>46184</v>
      </c>
      <c r="R352" s="184"/>
    </row>
    <row r="353" spans="1:18" ht="15" customHeight="1">
      <c r="A353" s="180" t="s">
        <v>140</v>
      </c>
      <c r="B353" s="180"/>
      <c r="C353" s="168">
        <v>159603511</v>
      </c>
      <c r="F353" s="29" t="s">
        <v>139</v>
      </c>
      <c r="G353" s="3" t="s">
        <v>66</v>
      </c>
      <c r="H353" s="3" t="s">
        <v>30</v>
      </c>
      <c r="I353" s="55">
        <v>46181</v>
      </c>
      <c r="J353" s="55">
        <v>46184</v>
      </c>
      <c r="K353" s="55">
        <v>46211</v>
      </c>
      <c r="O353" s="3" t="s">
        <v>10</v>
      </c>
      <c r="P353" s="55">
        <v>46184</v>
      </c>
      <c r="R353" s="184"/>
    </row>
    <row r="354" spans="1:18" ht="15" customHeight="1">
      <c r="A354" s="180" t="s">
        <v>140</v>
      </c>
      <c r="B354" s="180"/>
      <c r="C354" s="168">
        <v>159603538</v>
      </c>
      <c r="F354" s="29" t="s">
        <v>139</v>
      </c>
      <c r="G354" s="3" t="s">
        <v>66</v>
      </c>
      <c r="H354" s="3" t="s">
        <v>30</v>
      </c>
      <c r="I354" s="55">
        <v>46181</v>
      </c>
      <c r="J354" s="55">
        <v>46184</v>
      </c>
      <c r="K354" s="55">
        <v>46211</v>
      </c>
      <c r="O354" s="3" t="s">
        <v>9</v>
      </c>
      <c r="R354" s="184"/>
    </row>
    <row r="355" spans="1:18" ht="15" customHeight="1">
      <c r="A355" s="180" t="s">
        <v>140</v>
      </c>
      <c r="B355" s="180"/>
      <c r="C355" s="168">
        <v>159603593</v>
      </c>
      <c r="F355" s="29" t="s">
        <v>139</v>
      </c>
      <c r="G355" s="3" t="s">
        <v>66</v>
      </c>
      <c r="H355" s="3" t="s">
        <v>30</v>
      </c>
      <c r="I355" s="55">
        <v>46181</v>
      </c>
      <c r="J355" s="55">
        <v>46184</v>
      </c>
      <c r="K355" s="55">
        <v>46211</v>
      </c>
      <c r="O355" s="3" t="s">
        <v>10</v>
      </c>
      <c r="P355" s="55">
        <v>46188</v>
      </c>
      <c r="R355" s="184"/>
    </row>
    <row r="356" spans="1:18" ht="15" customHeight="1">
      <c r="A356" s="180" t="s">
        <v>140</v>
      </c>
      <c r="B356" s="180"/>
      <c r="C356" s="168">
        <v>159603634</v>
      </c>
      <c r="F356" s="29" t="s">
        <v>139</v>
      </c>
      <c r="G356" s="3" t="s">
        <v>66</v>
      </c>
      <c r="H356" s="3" t="s">
        <v>30</v>
      </c>
      <c r="I356" s="55">
        <v>46181</v>
      </c>
      <c r="J356" s="55">
        <v>46184</v>
      </c>
      <c r="K356" s="55">
        <v>46211</v>
      </c>
      <c r="O356" s="3" t="s">
        <v>10</v>
      </c>
      <c r="P356" s="55">
        <v>46188</v>
      </c>
      <c r="R356" s="184"/>
    </row>
    <row r="357" spans="1:18" ht="15" customHeight="1">
      <c r="A357" s="180" t="s">
        <v>140</v>
      </c>
      <c r="B357" s="180"/>
      <c r="C357" s="168">
        <v>159603674</v>
      </c>
      <c r="F357" s="29" t="s">
        <v>139</v>
      </c>
      <c r="G357" s="3" t="s">
        <v>66</v>
      </c>
      <c r="H357" s="3" t="s">
        <v>30</v>
      </c>
      <c r="I357" s="55">
        <v>46181</v>
      </c>
      <c r="J357" s="55">
        <v>46184</v>
      </c>
      <c r="K357" s="55">
        <v>46211</v>
      </c>
      <c r="O357" s="3" t="s">
        <v>10</v>
      </c>
      <c r="P357" s="55">
        <v>46188</v>
      </c>
      <c r="R357" s="184"/>
    </row>
    <row r="358" spans="1:18" ht="15" customHeight="1">
      <c r="A358" s="180" t="s">
        <v>140</v>
      </c>
      <c r="B358" s="180"/>
      <c r="C358" s="168">
        <v>159603696</v>
      </c>
      <c r="F358" s="29" t="s">
        <v>139</v>
      </c>
      <c r="G358" s="3" t="s">
        <v>66</v>
      </c>
      <c r="H358" s="3" t="s">
        <v>30</v>
      </c>
      <c r="I358" s="55">
        <v>46181</v>
      </c>
      <c r="J358" s="55">
        <v>46184</v>
      </c>
      <c r="K358" s="55">
        <v>46211</v>
      </c>
      <c r="O358" s="3" t="s">
        <v>10</v>
      </c>
      <c r="P358" s="55">
        <v>46188</v>
      </c>
      <c r="R358" s="184"/>
    </row>
    <row r="359" spans="1:18" ht="15" customHeight="1">
      <c r="A359" s="180" t="s">
        <v>140</v>
      </c>
      <c r="B359" s="180"/>
      <c r="C359" s="168">
        <v>159603745</v>
      </c>
      <c r="F359" s="29" t="s">
        <v>139</v>
      </c>
      <c r="G359" s="3" t="s">
        <v>66</v>
      </c>
      <c r="H359" s="3" t="s">
        <v>30</v>
      </c>
      <c r="I359" s="55">
        <v>46181</v>
      </c>
      <c r="J359" s="55">
        <v>46184</v>
      </c>
      <c r="K359" s="55">
        <v>46211</v>
      </c>
      <c r="O359" s="3" t="s">
        <v>9</v>
      </c>
      <c r="R359" s="184"/>
    </row>
    <row r="360" spans="1:18" ht="15" customHeight="1">
      <c r="A360" s="180" t="s">
        <v>140</v>
      </c>
      <c r="B360" s="180"/>
      <c r="C360" s="168">
        <v>159603777</v>
      </c>
      <c r="F360" s="29" t="s">
        <v>139</v>
      </c>
      <c r="G360" s="3" t="s">
        <v>66</v>
      </c>
      <c r="H360" s="3" t="s">
        <v>30</v>
      </c>
      <c r="I360" s="55">
        <v>46181</v>
      </c>
      <c r="J360" s="55">
        <v>46184</v>
      </c>
      <c r="K360" s="55">
        <v>46211</v>
      </c>
      <c r="O360" s="3" t="s">
        <v>9</v>
      </c>
      <c r="R360" s="184"/>
    </row>
    <row r="361" spans="1:18" ht="15" customHeight="1">
      <c r="A361" s="180" t="s">
        <v>141</v>
      </c>
      <c r="B361" s="180"/>
      <c r="C361" s="168">
        <v>155606002</v>
      </c>
      <c r="F361" s="29" t="s">
        <v>92</v>
      </c>
      <c r="G361" s="3" t="s">
        <v>66</v>
      </c>
      <c r="H361" s="3" t="s">
        <v>93</v>
      </c>
      <c r="I361" s="55">
        <v>46177</v>
      </c>
      <c r="J361" s="55">
        <v>46181</v>
      </c>
      <c r="K361" s="55">
        <v>46207</v>
      </c>
      <c r="O361" s="3" t="s">
        <v>10</v>
      </c>
      <c r="P361" s="55">
        <v>46183</v>
      </c>
      <c r="R361" s="184"/>
    </row>
    <row r="362" spans="1:18" ht="15" customHeight="1">
      <c r="A362" s="180" t="s">
        <v>141</v>
      </c>
      <c r="B362" s="180"/>
      <c r="C362" s="168">
        <v>155606124</v>
      </c>
      <c r="F362" s="29" t="s">
        <v>92</v>
      </c>
      <c r="G362" s="3" t="s">
        <v>66</v>
      </c>
      <c r="H362" s="3" t="s">
        <v>93</v>
      </c>
      <c r="I362" s="55">
        <v>46177</v>
      </c>
      <c r="J362" s="55">
        <v>46181</v>
      </c>
      <c r="K362" s="55">
        <v>46207</v>
      </c>
      <c r="O362" s="3" t="s">
        <v>10</v>
      </c>
      <c r="P362" s="55">
        <v>46183</v>
      </c>
      <c r="R362" s="184"/>
    </row>
    <row r="363" spans="1:18" ht="15" customHeight="1">
      <c r="A363" s="180" t="s">
        <v>141</v>
      </c>
      <c r="B363" s="180"/>
      <c r="C363" s="168">
        <v>155606226</v>
      </c>
      <c r="F363" s="29" t="s">
        <v>92</v>
      </c>
      <c r="G363" s="3" t="s">
        <v>66</v>
      </c>
      <c r="H363" s="3" t="s">
        <v>93</v>
      </c>
      <c r="I363" s="55">
        <v>46177</v>
      </c>
      <c r="J363" s="55">
        <v>46181</v>
      </c>
      <c r="K363" s="55">
        <v>46207</v>
      </c>
      <c r="O363" s="3" t="s">
        <v>10</v>
      </c>
      <c r="P363" s="55">
        <v>46183</v>
      </c>
      <c r="R363" s="184"/>
    </row>
    <row r="364" spans="1:18" ht="15" customHeight="1">
      <c r="A364" s="180" t="s">
        <v>141</v>
      </c>
      <c r="B364" s="180"/>
      <c r="C364" s="168">
        <v>155606313</v>
      </c>
      <c r="F364" s="29" t="s">
        <v>92</v>
      </c>
      <c r="G364" s="3" t="s">
        <v>66</v>
      </c>
      <c r="H364" s="3" t="s">
        <v>93</v>
      </c>
      <c r="I364" s="55">
        <v>46177</v>
      </c>
      <c r="J364" s="55">
        <v>46181</v>
      </c>
      <c r="K364" s="55">
        <v>46207</v>
      </c>
      <c r="O364" s="3" t="s">
        <v>10</v>
      </c>
      <c r="P364" s="55">
        <v>46190</v>
      </c>
      <c r="R364" s="184"/>
    </row>
    <row r="365" spans="1:18" ht="15" customHeight="1">
      <c r="A365" s="180" t="s">
        <v>141</v>
      </c>
      <c r="B365" s="180"/>
      <c r="C365" s="168">
        <v>155606473</v>
      </c>
      <c r="F365" s="29" t="s">
        <v>92</v>
      </c>
      <c r="G365" s="3" t="s">
        <v>66</v>
      </c>
      <c r="H365" s="3" t="s">
        <v>93</v>
      </c>
      <c r="I365" s="55">
        <v>46177</v>
      </c>
      <c r="J365" s="55">
        <v>46181</v>
      </c>
      <c r="K365" s="55">
        <v>46207</v>
      </c>
      <c r="O365" s="3" t="s">
        <v>10</v>
      </c>
      <c r="P365" s="55">
        <v>46190</v>
      </c>
      <c r="R365" s="184"/>
    </row>
    <row r="366" spans="1:18" ht="15" customHeight="1">
      <c r="A366" s="180" t="s">
        <v>141</v>
      </c>
      <c r="B366" s="180"/>
      <c r="C366" s="168">
        <v>155606598</v>
      </c>
      <c r="F366" s="29" t="s">
        <v>92</v>
      </c>
      <c r="G366" s="3" t="s">
        <v>66</v>
      </c>
      <c r="H366" s="3" t="s">
        <v>93</v>
      </c>
      <c r="I366" s="55">
        <v>46177</v>
      </c>
      <c r="J366" s="55">
        <v>46181</v>
      </c>
      <c r="K366" s="55">
        <v>46207</v>
      </c>
      <c r="O366" s="3" t="s">
        <v>10</v>
      </c>
      <c r="P366" s="55">
        <v>46183</v>
      </c>
      <c r="R366" s="184"/>
    </row>
    <row r="367" spans="1:18" ht="15" customHeight="1">
      <c r="A367" s="180" t="s">
        <v>141</v>
      </c>
      <c r="B367" s="180"/>
      <c r="C367" s="168">
        <v>155606693</v>
      </c>
      <c r="F367" s="29" t="s">
        <v>92</v>
      </c>
      <c r="G367" s="3" t="s">
        <v>66</v>
      </c>
      <c r="H367" s="3" t="s">
        <v>93</v>
      </c>
      <c r="I367" s="55">
        <v>46177</v>
      </c>
      <c r="J367" s="55">
        <v>46181</v>
      </c>
      <c r="K367" s="55">
        <v>46207</v>
      </c>
      <c r="O367" s="3" t="s">
        <v>10</v>
      </c>
      <c r="R367" s="184"/>
    </row>
    <row r="368" spans="1:18" ht="15" customHeight="1">
      <c r="A368" s="180" t="s">
        <v>142</v>
      </c>
      <c r="B368" s="180"/>
      <c r="C368" s="168">
        <v>155606980</v>
      </c>
      <c r="F368" s="29" t="s">
        <v>92</v>
      </c>
      <c r="G368" s="3" t="s">
        <v>66</v>
      </c>
      <c r="H368" s="3" t="s">
        <v>93</v>
      </c>
      <c r="I368" s="55">
        <v>46177</v>
      </c>
      <c r="J368" s="55">
        <v>46181</v>
      </c>
      <c r="K368" s="55">
        <v>46207</v>
      </c>
      <c r="O368" s="3" t="s">
        <v>9</v>
      </c>
      <c r="R368" s="184"/>
    </row>
    <row r="369" spans="1:18" ht="15" customHeight="1">
      <c r="A369" s="180" t="s">
        <v>142</v>
      </c>
      <c r="B369" s="180"/>
      <c r="C369" s="168">
        <v>155607049</v>
      </c>
      <c r="F369" s="29" t="s">
        <v>92</v>
      </c>
      <c r="G369" s="3" t="s">
        <v>66</v>
      </c>
      <c r="H369" s="3" t="s">
        <v>93</v>
      </c>
      <c r="I369" s="55">
        <v>46177</v>
      </c>
      <c r="J369" s="55">
        <v>46181</v>
      </c>
      <c r="K369" s="55">
        <v>46207</v>
      </c>
      <c r="O369" s="3" t="s">
        <v>9</v>
      </c>
      <c r="R369" s="184"/>
    </row>
    <row r="370" spans="1:18" ht="15" customHeight="1">
      <c r="A370" s="180" t="s">
        <v>142</v>
      </c>
      <c r="B370" s="180"/>
      <c r="C370" s="168">
        <v>155607167</v>
      </c>
      <c r="F370" s="29" t="s">
        <v>92</v>
      </c>
      <c r="G370" s="3" t="s">
        <v>66</v>
      </c>
      <c r="H370" s="3" t="s">
        <v>93</v>
      </c>
      <c r="I370" s="55">
        <v>46177</v>
      </c>
      <c r="J370" s="55">
        <v>46181</v>
      </c>
      <c r="K370" s="55">
        <v>46207</v>
      </c>
      <c r="O370" s="3" t="s">
        <v>9</v>
      </c>
      <c r="R370" s="184"/>
    </row>
    <row r="371" spans="1:18" ht="15" customHeight="1">
      <c r="A371" s="180" t="s">
        <v>142</v>
      </c>
      <c r="B371" s="180"/>
      <c r="C371" s="168">
        <v>155607257</v>
      </c>
      <c r="F371" s="29" t="s">
        <v>92</v>
      </c>
      <c r="G371" s="3" t="s">
        <v>66</v>
      </c>
      <c r="H371" s="3" t="s">
        <v>93</v>
      </c>
      <c r="I371" s="55">
        <v>46177</v>
      </c>
      <c r="J371" s="55">
        <v>46181</v>
      </c>
      <c r="K371" s="55">
        <v>46207</v>
      </c>
      <c r="O371" s="3" t="s">
        <v>9</v>
      </c>
      <c r="R371" s="184"/>
    </row>
    <row r="372" spans="1:18" ht="15" customHeight="1">
      <c r="A372" s="180" t="s">
        <v>142</v>
      </c>
      <c r="B372" s="180"/>
      <c r="C372" s="168">
        <v>155607368</v>
      </c>
      <c r="F372" s="29" t="s">
        <v>92</v>
      </c>
      <c r="G372" s="3" t="s">
        <v>66</v>
      </c>
      <c r="H372" s="3" t="s">
        <v>93</v>
      </c>
      <c r="I372" s="55">
        <v>46177</v>
      </c>
      <c r="J372" s="55">
        <v>46181</v>
      </c>
      <c r="K372" s="55">
        <v>46207</v>
      </c>
      <c r="O372" s="3" t="s">
        <v>9</v>
      </c>
      <c r="R372" s="184"/>
    </row>
    <row r="373" spans="1:18" ht="15" customHeight="1">
      <c r="A373" s="180" t="s">
        <v>142</v>
      </c>
      <c r="B373" s="180"/>
      <c r="C373" s="168">
        <v>155607436</v>
      </c>
      <c r="F373" s="29" t="s">
        <v>92</v>
      </c>
      <c r="G373" s="3" t="s">
        <v>66</v>
      </c>
      <c r="H373" s="3" t="s">
        <v>93</v>
      </c>
      <c r="I373" s="55">
        <v>46177</v>
      </c>
      <c r="J373" s="55">
        <v>46181</v>
      </c>
      <c r="K373" s="55">
        <v>46207</v>
      </c>
      <c r="O373" s="3" t="s">
        <v>9</v>
      </c>
      <c r="R373" s="184"/>
    </row>
    <row r="374" spans="1:18" ht="15" customHeight="1">
      <c r="A374" s="180" t="s">
        <v>142</v>
      </c>
      <c r="B374" s="180"/>
      <c r="C374" s="168">
        <v>155607502</v>
      </c>
      <c r="F374" s="29" t="s">
        <v>92</v>
      </c>
      <c r="G374" s="3" t="s">
        <v>66</v>
      </c>
      <c r="H374" s="3" t="s">
        <v>93</v>
      </c>
      <c r="I374" s="55">
        <v>46177</v>
      </c>
      <c r="J374" s="55">
        <v>46181</v>
      </c>
      <c r="K374" s="55">
        <v>46207</v>
      </c>
      <c r="O374" s="3" t="s">
        <v>9</v>
      </c>
      <c r="R374" s="184"/>
    </row>
    <row r="375" spans="1:18" ht="15" customHeight="1">
      <c r="A375" s="180" t="s">
        <v>142</v>
      </c>
      <c r="B375" s="180"/>
      <c r="C375" s="168">
        <v>155607599</v>
      </c>
      <c r="F375" s="29" t="s">
        <v>92</v>
      </c>
      <c r="G375" s="3" t="s">
        <v>66</v>
      </c>
      <c r="H375" s="3" t="s">
        <v>93</v>
      </c>
      <c r="I375" s="55">
        <v>46177</v>
      </c>
      <c r="J375" s="55">
        <v>46181</v>
      </c>
      <c r="K375" s="55">
        <v>46207</v>
      </c>
      <c r="O375" s="3" t="s">
        <v>9</v>
      </c>
      <c r="R375" s="184"/>
    </row>
    <row r="376" spans="1:18" ht="15" customHeight="1">
      <c r="A376" s="180" t="s">
        <v>142</v>
      </c>
      <c r="B376" s="180"/>
      <c r="C376" s="168">
        <v>155607633</v>
      </c>
      <c r="F376" s="29" t="s">
        <v>92</v>
      </c>
      <c r="G376" s="3" t="s">
        <v>66</v>
      </c>
      <c r="H376" s="3" t="s">
        <v>93</v>
      </c>
      <c r="I376" s="55">
        <v>46177</v>
      </c>
      <c r="J376" s="55">
        <v>46181</v>
      </c>
      <c r="K376" s="55">
        <v>46207</v>
      </c>
      <c r="O376" s="3" t="s">
        <v>9</v>
      </c>
      <c r="R376" s="184"/>
    </row>
    <row r="377" spans="1:18" ht="15" customHeight="1">
      <c r="A377" s="180" t="s">
        <v>142</v>
      </c>
      <c r="B377" s="180"/>
      <c r="C377" s="168">
        <v>155607725</v>
      </c>
      <c r="F377" s="29" t="s">
        <v>92</v>
      </c>
      <c r="G377" s="3" t="s">
        <v>66</v>
      </c>
      <c r="H377" s="3" t="s">
        <v>93</v>
      </c>
      <c r="I377" s="55">
        <v>46177</v>
      </c>
      <c r="J377" s="55">
        <v>46181</v>
      </c>
      <c r="K377" s="55">
        <v>46207</v>
      </c>
      <c r="O377" s="3" t="s">
        <v>9</v>
      </c>
      <c r="R377" s="184"/>
    </row>
    <row r="378" spans="1:18" ht="15" customHeight="1">
      <c r="A378" s="180" t="s">
        <v>143</v>
      </c>
      <c r="B378" s="180"/>
      <c r="C378" s="168">
        <v>156607682</v>
      </c>
      <c r="F378" s="29" t="s">
        <v>144</v>
      </c>
      <c r="G378" s="3" t="s">
        <v>66</v>
      </c>
      <c r="H378" s="3" t="s">
        <v>145</v>
      </c>
      <c r="I378" s="55">
        <v>46178</v>
      </c>
      <c r="K378" s="55">
        <v>46208</v>
      </c>
      <c r="O378" s="3" t="s">
        <v>9</v>
      </c>
      <c r="R378" s="184"/>
    </row>
    <row r="379" spans="1:18" ht="15" customHeight="1">
      <c r="A379" s="180" t="s">
        <v>143</v>
      </c>
      <c r="B379" s="180"/>
      <c r="C379" s="168">
        <v>156607684</v>
      </c>
      <c r="F379" s="29" t="s">
        <v>144</v>
      </c>
      <c r="G379" s="3" t="s">
        <v>66</v>
      </c>
      <c r="H379" s="3" t="s">
        <v>145</v>
      </c>
      <c r="I379" s="55">
        <v>46178</v>
      </c>
      <c r="K379" s="55">
        <v>46208</v>
      </c>
      <c r="O379" s="3" t="s">
        <v>9</v>
      </c>
      <c r="R379" s="184"/>
    </row>
    <row r="380" spans="1:18" ht="15" customHeight="1">
      <c r="A380" s="180" t="s">
        <v>143</v>
      </c>
      <c r="B380" s="180"/>
      <c r="C380" s="168">
        <v>156607693</v>
      </c>
      <c r="F380" s="29" t="s">
        <v>144</v>
      </c>
      <c r="G380" s="3" t="s">
        <v>66</v>
      </c>
      <c r="H380" s="3" t="s">
        <v>145</v>
      </c>
      <c r="I380" s="55">
        <v>46178</v>
      </c>
      <c r="K380" s="55">
        <v>46208</v>
      </c>
      <c r="O380" s="3" t="s">
        <v>9</v>
      </c>
      <c r="R380" s="184"/>
    </row>
    <row r="381" spans="1:18" ht="15" customHeight="1">
      <c r="A381" s="180" t="s">
        <v>143</v>
      </c>
      <c r="B381" s="180"/>
      <c r="C381" s="168">
        <v>156607708</v>
      </c>
      <c r="F381" s="29" t="s">
        <v>144</v>
      </c>
      <c r="G381" s="3" t="s">
        <v>66</v>
      </c>
      <c r="H381" s="3" t="s">
        <v>145</v>
      </c>
      <c r="I381" s="55">
        <v>46178</v>
      </c>
      <c r="K381" s="55">
        <v>46208</v>
      </c>
      <c r="O381" s="3" t="s">
        <v>10</v>
      </c>
      <c r="P381" s="55">
        <v>46188</v>
      </c>
      <c r="R381" s="184"/>
    </row>
    <row r="382" spans="1:18" ht="15" customHeight="1">
      <c r="A382" s="180" t="s">
        <v>143</v>
      </c>
      <c r="B382" s="180"/>
      <c r="C382" s="168">
        <v>156607717</v>
      </c>
      <c r="F382" s="29" t="s">
        <v>144</v>
      </c>
      <c r="G382" s="3" t="s">
        <v>66</v>
      </c>
      <c r="H382" s="3" t="s">
        <v>145</v>
      </c>
      <c r="I382" s="55">
        <v>46178</v>
      </c>
      <c r="K382" s="55">
        <v>46208</v>
      </c>
      <c r="O382" s="3" t="s">
        <v>10</v>
      </c>
      <c r="P382" s="55">
        <v>46190</v>
      </c>
      <c r="R382" s="184"/>
    </row>
    <row r="383" spans="1:18" ht="15" customHeight="1">
      <c r="A383" s="180" t="s">
        <v>143</v>
      </c>
      <c r="B383" s="180"/>
      <c r="C383" s="168">
        <v>156607718</v>
      </c>
      <c r="F383" s="29" t="s">
        <v>144</v>
      </c>
      <c r="G383" s="3" t="s">
        <v>66</v>
      </c>
      <c r="H383" s="3" t="s">
        <v>145</v>
      </c>
      <c r="I383" s="55">
        <v>46178</v>
      </c>
      <c r="K383" s="55">
        <v>46208</v>
      </c>
      <c r="O383" s="3" t="s">
        <v>10</v>
      </c>
      <c r="P383" s="55">
        <v>46190</v>
      </c>
      <c r="R383" s="184"/>
    </row>
    <row r="384" spans="1:18" ht="15" customHeight="1">
      <c r="A384" s="180" t="s">
        <v>143</v>
      </c>
      <c r="B384" s="180"/>
      <c r="C384" s="168">
        <v>156607724</v>
      </c>
      <c r="F384" s="29" t="s">
        <v>144</v>
      </c>
      <c r="G384" s="3" t="s">
        <v>66</v>
      </c>
      <c r="H384" s="3" t="s">
        <v>145</v>
      </c>
      <c r="I384" s="55">
        <v>46178</v>
      </c>
      <c r="K384" s="55">
        <v>46208</v>
      </c>
      <c r="O384" s="3" t="s">
        <v>10</v>
      </c>
      <c r="P384" s="55">
        <v>46190</v>
      </c>
      <c r="R384" s="184"/>
    </row>
    <row r="385" spans="1:18" ht="15" customHeight="1">
      <c r="A385" s="180" t="s">
        <v>146</v>
      </c>
      <c r="B385" s="180"/>
      <c r="C385" s="168">
        <v>156607585</v>
      </c>
      <c r="F385" s="29" t="s">
        <v>144</v>
      </c>
      <c r="G385" s="3" t="s">
        <v>66</v>
      </c>
      <c r="H385" s="3" t="s">
        <v>145</v>
      </c>
      <c r="I385" s="55">
        <v>46178</v>
      </c>
      <c r="K385" s="55">
        <v>46208</v>
      </c>
      <c r="O385" s="3" t="s">
        <v>10</v>
      </c>
      <c r="P385" s="55">
        <v>46186</v>
      </c>
      <c r="R385" s="184"/>
    </row>
    <row r="386" spans="1:18" ht="15" customHeight="1">
      <c r="A386" s="180" t="s">
        <v>146</v>
      </c>
      <c r="B386" s="180"/>
      <c r="C386" s="168">
        <v>156607574</v>
      </c>
      <c r="F386" s="29" t="s">
        <v>144</v>
      </c>
      <c r="G386" s="3" t="s">
        <v>66</v>
      </c>
      <c r="H386" s="3" t="s">
        <v>145</v>
      </c>
      <c r="I386" s="55">
        <v>46178</v>
      </c>
      <c r="K386" s="55">
        <v>46208</v>
      </c>
      <c r="O386" s="3" t="s">
        <v>10</v>
      </c>
      <c r="P386" s="55">
        <v>46186</v>
      </c>
      <c r="R386" s="184"/>
    </row>
    <row r="387" spans="1:18" ht="15" customHeight="1">
      <c r="A387" s="180" t="s">
        <v>146</v>
      </c>
      <c r="B387" s="180"/>
      <c r="C387" s="168">
        <v>156607594</v>
      </c>
      <c r="F387" s="29" t="s">
        <v>144</v>
      </c>
      <c r="G387" s="3" t="s">
        <v>66</v>
      </c>
      <c r="H387" s="3" t="s">
        <v>145</v>
      </c>
      <c r="I387" s="55">
        <v>46178</v>
      </c>
      <c r="K387" s="55">
        <v>46208</v>
      </c>
      <c r="O387" s="3" t="s">
        <v>10</v>
      </c>
      <c r="P387" s="55">
        <v>46190</v>
      </c>
      <c r="R387" s="184"/>
    </row>
    <row r="388" spans="1:18" ht="15" customHeight="1">
      <c r="A388" s="180" t="s">
        <v>146</v>
      </c>
      <c r="B388" s="180"/>
      <c r="C388" s="168">
        <v>156607606</v>
      </c>
      <c r="F388" s="29" t="s">
        <v>144</v>
      </c>
      <c r="G388" s="3" t="s">
        <v>66</v>
      </c>
      <c r="H388" s="3" t="s">
        <v>145</v>
      </c>
      <c r="I388" s="55">
        <v>46178</v>
      </c>
      <c r="K388" s="55">
        <v>46208</v>
      </c>
      <c r="O388" s="3" t="s">
        <v>10</v>
      </c>
      <c r="P388" s="55">
        <v>46190</v>
      </c>
      <c r="R388" s="184"/>
    </row>
    <row r="389" spans="1:18" ht="15" customHeight="1">
      <c r="A389" s="180" t="s">
        <v>146</v>
      </c>
      <c r="B389" s="180"/>
      <c r="C389" s="168">
        <v>156607616</v>
      </c>
      <c r="F389" s="29" t="s">
        <v>144</v>
      </c>
      <c r="G389" s="3" t="s">
        <v>66</v>
      </c>
      <c r="H389" s="3" t="s">
        <v>145</v>
      </c>
      <c r="I389" s="55">
        <v>46178</v>
      </c>
      <c r="K389" s="55">
        <v>46208</v>
      </c>
      <c r="O389" s="3" t="s">
        <v>10</v>
      </c>
      <c r="P389" s="55">
        <v>46190</v>
      </c>
      <c r="R389" s="184"/>
    </row>
    <row r="390" spans="1:18" ht="15" customHeight="1">
      <c r="A390" s="180" t="s">
        <v>146</v>
      </c>
      <c r="B390" s="180"/>
      <c r="C390" s="168">
        <v>156607631</v>
      </c>
      <c r="F390" s="29" t="s">
        <v>144</v>
      </c>
      <c r="G390" s="3" t="s">
        <v>66</v>
      </c>
      <c r="H390" s="3" t="s">
        <v>145</v>
      </c>
      <c r="I390" s="55">
        <v>46178</v>
      </c>
      <c r="K390" s="55">
        <v>46208</v>
      </c>
      <c r="O390" s="3" t="s">
        <v>10</v>
      </c>
      <c r="P390" s="55">
        <v>46190</v>
      </c>
      <c r="R390" s="184"/>
    </row>
    <row r="391" spans="1:18" ht="15" customHeight="1">
      <c r="A391" s="180" t="s">
        <v>147</v>
      </c>
      <c r="B391" s="215"/>
      <c r="C391" s="197">
        <v>156607756</v>
      </c>
      <c r="F391" s="29" t="s">
        <v>144</v>
      </c>
      <c r="G391" s="3" t="s">
        <v>66</v>
      </c>
      <c r="H391" s="3" t="s">
        <v>145</v>
      </c>
      <c r="I391" s="55">
        <v>46178</v>
      </c>
      <c r="K391" s="55">
        <v>46208</v>
      </c>
      <c r="O391" s="3" t="s">
        <v>10</v>
      </c>
      <c r="P391" s="55">
        <v>46190</v>
      </c>
      <c r="R391" s="184"/>
    </row>
    <row r="392" spans="1:18" ht="15" customHeight="1">
      <c r="A392" s="191" t="s">
        <v>148</v>
      </c>
      <c r="B392" s="191"/>
      <c r="C392" s="174">
        <v>154607232</v>
      </c>
      <c r="D392" s="192"/>
      <c r="E392" s="192"/>
      <c r="F392" s="192" t="s">
        <v>149</v>
      </c>
      <c r="G392" s="3" t="s">
        <v>66</v>
      </c>
      <c r="H392" s="45" t="s">
        <v>150</v>
      </c>
      <c r="I392" s="55">
        <v>46176</v>
      </c>
      <c r="J392" s="59">
        <v>46181</v>
      </c>
      <c r="K392" s="55">
        <v>46206</v>
      </c>
      <c r="O392" s="3" t="s">
        <v>9</v>
      </c>
      <c r="R392" s="184"/>
    </row>
    <row r="393" spans="1:18" ht="15" customHeight="1">
      <c r="A393" s="191" t="s">
        <v>148</v>
      </c>
      <c r="B393" s="191"/>
      <c r="C393" s="174">
        <v>154607203</v>
      </c>
      <c r="D393" s="192"/>
      <c r="E393" s="192"/>
      <c r="F393" s="192" t="s">
        <v>149</v>
      </c>
      <c r="G393" s="3" t="s">
        <v>66</v>
      </c>
      <c r="H393" s="45" t="s">
        <v>150</v>
      </c>
      <c r="I393" s="55">
        <v>46176</v>
      </c>
      <c r="J393" s="59">
        <v>46181</v>
      </c>
      <c r="K393" s="55">
        <v>46206</v>
      </c>
      <c r="O393" s="3" t="s">
        <v>9</v>
      </c>
      <c r="R393" s="184"/>
    </row>
    <row r="394" spans="1:18" ht="15" customHeight="1">
      <c r="A394" s="191" t="s">
        <v>148</v>
      </c>
      <c r="B394" s="191"/>
      <c r="C394" s="174">
        <v>154607174</v>
      </c>
      <c r="D394" s="192"/>
      <c r="E394" s="192"/>
      <c r="F394" s="192" t="s">
        <v>149</v>
      </c>
      <c r="G394" s="3" t="s">
        <v>66</v>
      </c>
      <c r="H394" s="45" t="s">
        <v>150</v>
      </c>
      <c r="I394" s="55">
        <v>46176</v>
      </c>
      <c r="J394" s="59">
        <v>46181</v>
      </c>
      <c r="K394" s="55">
        <v>46206</v>
      </c>
      <c r="O394" s="3" t="s">
        <v>9</v>
      </c>
      <c r="R394" s="184"/>
    </row>
    <row r="395" spans="1:18" ht="15" customHeight="1">
      <c r="A395" s="191" t="s">
        <v>148</v>
      </c>
      <c r="B395" s="191"/>
      <c r="C395" s="174">
        <v>154607164</v>
      </c>
      <c r="D395" s="192"/>
      <c r="E395" s="192"/>
      <c r="F395" s="192" t="s">
        <v>149</v>
      </c>
      <c r="G395" s="3" t="s">
        <v>66</v>
      </c>
      <c r="H395" s="45" t="s">
        <v>150</v>
      </c>
      <c r="I395" s="55">
        <v>46176</v>
      </c>
      <c r="J395" s="59">
        <v>46181</v>
      </c>
      <c r="K395" s="55">
        <v>46206</v>
      </c>
      <c r="O395" s="3" t="s">
        <v>9</v>
      </c>
      <c r="R395" s="184"/>
    </row>
    <row r="396" spans="1:18" ht="15" customHeight="1">
      <c r="A396" s="191" t="s">
        <v>148</v>
      </c>
      <c r="B396" s="191"/>
      <c r="C396" s="174">
        <v>154607146</v>
      </c>
      <c r="D396" s="192"/>
      <c r="E396" s="192"/>
      <c r="F396" s="192" t="s">
        <v>149</v>
      </c>
      <c r="G396" s="3" t="s">
        <v>66</v>
      </c>
      <c r="H396" s="45" t="s">
        <v>150</v>
      </c>
      <c r="I396" s="55">
        <v>46176</v>
      </c>
      <c r="J396" s="59">
        <v>46181</v>
      </c>
      <c r="K396" s="55">
        <v>46206</v>
      </c>
      <c r="O396" s="3" t="s">
        <v>9</v>
      </c>
      <c r="R396" s="184"/>
    </row>
    <row r="397" spans="1:18" ht="15" customHeight="1">
      <c r="A397" s="191" t="s">
        <v>148</v>
      </c>
      <c r="B397" s="191"/>
      <c r="C397" s="174">
        <v>154607111</v>
      </c>
      <c r="D397" s="192"/>
      <c r="E397" s="192"/>
      <c r="F397" s="192" t="s">
        <v>149</v>
      </c>
      <c r="G397" s="3" t="s">
        <v>66</v>
      </c>
      <c r="H397" s="45" t="s">
        <v>150</v>
      </c>
      <c r="I397" s="55">
        <v>46176</v>
      </c>
      <c r="J397" s="59">
        <v>46181</v>
      </c>
      <c r="K397" s="55">
        <v>46206</v>
      </c>
      <c r="O397" s="3" t="s">
        <v>9</v>
      </c>
      <c r="R397" s="184"/>
    </row>
    <row r="398" spans="1:18" ht="15" customHeight="1">
      <c r="A398" s="191" t="s">
        <v>148</v>
      </c>
      <c r="B398" s="191"/>
      <c r="C398" s="174">
        <v>154607103</v>
      </c>
      <c r="D398" s="192"/>
      <c r="E398" s="192"/>
      <c r="F398" s="192" t="s">
        <v>149</v>
      </c>
      <c r="G398" s="3" t="s">
        <v>66</v>
      </c>
      <c r="H398" s="45" t="s">
        <v>150</v>
      </c>
      <c r="I398" s="55">
        <v>46176</v>
      </c>
      <c r="J398" s="59">
        <v>46181</v>
      </c>
      <c r="K398" s="55">
        <v>46206</v>
      </c>
      <c r="O398" s="3" t="s">
        <v>9</v>
      </c>
      <c r="R398" s="184"/>
    </row>
    <row r="399" spans="1:18" ht="15" customHeight="1">
      <c r="A399" s="191" t="s">
        <v>148</v>
      </c>
      <c r="B399" s="191"/>
      <c r="C399" s="174">
        <v>154607087</v>
      </c>
      <c r="D399" s="192"/>
      <c r="E399" s="192"/>
      <c r="F399" s="192" t="s">
        <v>149</v>
      </c>
      <c r="G399" s="3" t="s">
        <v>66</v>
      </c>
      <c r="H399" s="45" t="s">
        <v>150</v>
      </c>
      <c r="I399" s="55">
        <v>46176</v>
      </c>
      <c r="J399" s="59">
        <v>46181</v>
      </c>
      <c r="K399" s="55">
        <v>46206</v>
      </c>
      <c r="O399" s="3" t="s">
        <v>9</v>
      </c>
      <c r="R399" s="184"/>
    </row>
    <row r="400" spans="1:18" ht="15" customHeight="1">
      <c r="A400" s="191" t="s">
        <v>151</v>
      </c>
      <c r="B400" s="191"/>
      <c r="C400" s="174">
        <v>154607495</v>
      </c>
      <c r="D400" s="192"/>
      <c r="E400" s="192"/>
      <c r="F400" s="192" t="s">
        <v>149</v>
      </c>
      <c r="G400" s="3" t="s">
        <v>66</v>
      </c>
      <c r="H400" s="45" t="s">
        <v>150</v>
      </c>
      <c r="I400" s="55">
        <v>46176</v>
      </c>
      <c r="J400" s="59">
        <v>46181</v>
      </c>
      <c r="K400" s="55">
        <v>46206</v>
      </c>
      <c r="O400" s="3" t="s">
        <v>9</v>
      </c>
      <c r="R400" s="184"/>
    </row>
    <row r="401" spans="1:18" ht="15" customHeight="1">
      <c r="A401" s="191" t="s">
        <v>151</v>
      </c>
      <c r="B401" s="191"/>
      <c r="C401" s="174">
        <v>154607470</v>
      </c>
      <c r="D401" s="192"/>
      <c r="E401" s="192"/>
      <c r="F401" s="192" t="s">
        <v>149</v>
      </c>
      <c r="G401" s="3" t="s">
        <v>66</v>
      </c>
      <c r="H401" s="45" t="s">
        <v>150</v>
      </c>
      <c r="I401" s="55">
        <v>46176</v>
      </c>
      <c r="J401" s="59">
        <v>46181</v>
      </c>
      <c r="K401" s="55">
        <v>46206</v>
      </c>
      <c r="O401" s="3" t="s">
        <v>9</v>
      </c>
      <c r="R401" s="184"/>
    </row>
    <row r="402" spans="1:18" ht="15" customHeight="1">
      <c r="A402" s="191" t="s">
        <v>151</v>
      </c>
      <c r="B402" s="191"/>
      <c r="C402" s="174">
        <v>154607435</v>
      </c>
      <c r="D402" s="192"/>
      <c r="E402" s="192"/>
      <c r="F402" s="192" t="s">
        <v>149</v>
      </c>
      <c r="G402" s="3" t="s">
        <v>66</v>
      </c>
      <c r="H402" s="45" t="s">
        <v>150</v>
      </c>
      <c r="I402" s="55">
        <v>46176</v>
      </c>
      <c r="J402" s="59">
        <v>46181</v>
      </c>
      <c r="K402" s="55">
        <v>46206</v>
      </c>
      <c r="O402" s="3" t="s">
        <v>9</v>
      </c>
      <c r="R402" s="184"/>
    </row>
    <row r="403" spans="1:18" ht="15" customHeight="1">
      <c r="A403" s="191" t="s">
        <v>151</v>
      </c>
      <c r="B403" s="191"/>
      <c r="C403" s="174">
        <v>154607415</v>
      </c>
      <c r="D403" s="192"/>
      <c r="E403" s="192"/>
      <c r="F403" s="192" t="s">
        <v>149</v>
      </c>
      <c r="G403" s="3" t="s">
        <v>66</v>
      </c>
      <c r="H403" s="45" t="s">
        <v>150</v>
      </c>
      <c r="I403" s="55">
        <v>46176</v>
      </c>
      <c r="J403" s="59">
        <v>46181</v>
      </c>
      <c r="K403" s="55">
        <v>46206</v>
      </c>
      <c r="O403" s="3" t="s">
        <v>9</v>
      </c>
      <c r="R403" s="184"/>
    </row>
    <row r="404" spans="1:18" ht="15" customHeight="1">
      <c r="A404" s="191" t="s">
        <v>151</v>
      </c>
      <c r="B404" s="191"/>
      <c r="C404" s="174">
        <v>154607403</v>
      </c>
      <c r="D404" s="192"/>
      <c r="E404" s="192"/>
      <c r="F404" s="192" t="s">
        <v>149</v>
      </c>
      <c r="G404" s="3" t="s">
        <v>66</v>
      </c>
      <c r="H404" s="45" t="s">
        <v>150</v>
      </c>
      <c r="I404" s="55">
        <v>46176</v>
      </c>
      <c r="J404" s="59">
        <v>46181</v>
      </c>
      <c r="K404" s="55">
        <v>46206</v>
      </c>
      <c r="O404" s="3" t="s">
        <v>9</v>
      </c>
      <c r="R404" s="184"/>
    </row>
    <row r="405" spans="1:18" ht="15" customHeight="1">
      <c r="A405" s="191" t="s">
        <v>151</v>
      </c>
      <c r="B405" s="191"/>
      <c r="C405" s="174">
        <v>154607387</v>
      </c>
      <c r="D405" s="192"/>
      <c r="E405" s="192"/>
      <c r="F405" s="192" t="s">
        <v>149</v>
      </c>
      <c r="G405" s="3" t="s">
        <v>66</v>
      </c>
      <c r="H405" s="45" t="s">
        <v>150</v>
      </c>
      <c r="I405" s="55">
        <v>46176</v>
      </c>
      <c r="J405" s="59">
        <v>46181</v>
      </c>
      <c r="K405" s="55">
        <v>46206</v>
      </c>
      <c r="O405" s="3" t="s">
        <v>9</v>
      </c>
      <c r="R405" s="184"/>
    </row>
    <row r="406" spans="1:18" ht="15" customHeight="1">
      <c r="A406" s="191" t="s">
        <v>151</v>
      </c>
      <c r="B406" s="191"/>
      <c r="C406" s="174">
        <v>154607366</v>
      </c>
      <c r="D406" s="192"/>
      <c r="E406" s="192"/>
      <c r="F406" s="192" t="s">
        <v>149</v>
      </c>
      <c r="G406" s="3" t="s">
        <v>66</v>
      </c>
      <c r="H406" s="45" t="s">
        <v>150</v>
      </c>
      <c r="I406" s="55">
        <v>46176</v>
      </c>
      <c r="J406" s="59">
        <v>46181</v>
      </c>
      <c r="K406" s="55">
        <v>46206</v>
      </c>
      <c r="O406" s="3" t="s">
        <v>9</v>
      </c>
      <c r="R406" s="184"/>
    </row>
    <row r="407" spans="1:18" ht="15" customHeight="1">
      <c r="A407" s="191" t="s">
        <v>151</v>
      </c>
      <c r="B407" s="191"/>
      <c r="C407" s="174">
        <v>154607346</v>
      </c>
      <c r="D407" s="192"/>
      <c r="E407" s="192"/>
      <c r="F407" s="192" t="s">
        <v>149</v>
      </c>
      <c r="G407" s="3" t="s">
        <v>66</v>
      </c>
      <c r="H407" s="45" t="s">
        <v>150</v>
      </c>
      <c r="I407" s="55">
        <v>46176</v>
      </c>
      <c r="J407" s="59">
        <v>46181</v>
      </c>
      <c r="K407" s="55">
        <v>46206</v>
      </c>
      <c r="O407" s="3" t="s">
        <v>9</v>
      </c>
      <c r="R407" s="184"/>
    </row>
    <row r="408" spans="1:18" ht="15" customHeight="1">
      <c r="A408" s="191" t="s">
        <v>120</v>
      </c>
      <c r="B408" s="191"/>
      <c r="C408" s="174">
        <v>160608154</v>
      </c>
      <c r="F408" s="29" t="s">
        <v>109</v>
      </c>
      <c r="G408" s="3" t="s">
        <v>66</v>
      </c>
      <c r="H408" s="3" t="s">
        <v>110</v>
      </c>
      <c r="I408" s="55">
        <v>46182</v>
      </c>
      <c r="J408" s="55">
        <v>46185</v>
      </c>
      <c r="K408" s="55">
        <v>46212</v>
      </c>
      <c r="O408" s="3" t="s">
        <v>10</v>
      </c>
      <c r="P408" s="55">
        <v>46190</v>
      </c>
      <c r="R408" s="184"/>
    </row>
    <row r="409" spans="1:18" ht="15" customHeight="1">
      <c r="A409" s="191" t="s">
        <v>120</v>
      </c>
      <c r="B409" s="191"/>
      <c r="C409" s="174">
        <v>160608116</v>
      </c>
      <c r="F409" s="29" t="s">
        <v>109</v>
      </c>
      <c r="G409" s="3" t="s">
        <v>66</v>
      </c>
      <c r="H409" s="3" t="s">
        <v>110</v>
      </c>
      <c r="I409" s="55">
        <v>46182</v>
      </c>
      <c r="J409" s="55">
        <v>46185</v>
      </c>
      <c r="K409" s="55">
        <v>46212</v>
      </c>
      <c r="O409" s="3" t="s">
        <v>10</v>
      </c>
      <c r="P409" s="55">
        <v>46190</v>
      </c>
      <c r="R409" s="184"/>
    </row>
    <row r="410" spans="1:18" ht="15" customHeight="1">
      <c r="A410" s="191" t="s">
        <v>120</v>
      </c>
      <c r="B410" s="191"/>
      <c r="C410" s="174">
        <v>160608125</v>
      </c>
      <c r="F410" s="29" t="s">
        <v>109</v>
      </c>
      <c r="G410" s="3" t="s">
        <v>66</v>
      </c>
      <c r="H410" s="3" t="s">
        <v>110</v>
      </c>
      <c r="I410" s="55">
        <v>46182</v>
      </c>
      <c r="J410" s="55">
        <v>46185</v>
      </c>
      <c r="K410" s="55">
        <v>46212</v>
      </c>
      <c r="O410" s="3" t="s">
        <v>10</v>
      </c>
      <c r="P410" s="55">
        <v>46190</v>
      </c>
      <c r="R410" s="184"/>
    </row>
    <row r="411" spans="1:18" ht="15" customHeight="1">
      <c r="A411" s="191" t="s">
        <v>120</v>
      </c>
      <c r="B411" s="191"/>
      <c r="C411" s="174">
        <v>160608137</v>
      </c>
      <c r="F411" s="29" t="s">
        <v>109</v>
      </c>
      <c r="G411" s="3" t="s">
        <v>66</v>
      </c>
      <c r="H411" s="3" t="s">
        <v>110</v>
      </c>
      <c r="I411" s="55">
        <v>46182</v>
      </c>
      <c r="J411" s="55">
        <v>46185</v>
      </c>
      <c r="K411" s="55">
        <v>46212</v>
      </c>
      <c r="O411" s="3" t="s">
        <v>10</v>
      </c>
      <c r="P411" s="55">
        <v>46190</v>
      </c>
      <c r="R411" s="184"/>
    </row>
    <row r="412" spans="1:18" ht="15" customHeight="1">
      <c r="A412" s="191" t="s">
        <v>120</v>
      </c>
      <c r="B412" s="191"/>
      <c r="C412" s="174">
        <v>160608169</v>
      </c>
      <c r="F412" s="29" t="s">
        <v>109</v>
      </c>
      <c r="G412" s="3" t="s">
        <v>66</v>
      </c>
      <c r="H412" s="3" t="s">
        <v>110</v>
      </c>
      <c r="I412" s="55">
        <v>46182</v>
      </c>
      <c r="J412" s="55">
        <v>46185</v>
      </c>
      <c r="K412" s="55">
        <v>46212</v>
      </c>
      <c r="O412" s="3" t="s">
        <v>10</v>
      </c>
      <c r="P412" s="55">
        <v>46190</v>
      </c>
      <c r="R412" s="184"/>
    </row>
    <row r="413" spans="1:18" ht="15" customHeight="1">
      <c r="A413" s="191" t="s">
        <v>120</v>
      </c>
      <c r="B413" s="191"/>
      <c r="C413" s="174">
        <v>160608177</v>
      </c>
      <c r="F413" s="29" t="s">
        <v>109</v>
      </c>
      <c r="G413" s="3" t="s">
        <v>66</v>
      </c>
      <c r="H413" s="3" t="s">
        <v>110</v>
      </c>
      <c r="I413" s="55">
        <v>46182</v>
      </c>
      <c r="J413" s="55">
        <v>46185</v>
      </c>
      <c r="K413" s="55">
        <v>46212</v>
      </c>
      <c r="O413" s="3" t="s">
        <v>10</v>
      </c>
      <c r="P413" s="55">
        <v>46190</v>
      </c>
      <c r="R413" s="184"/>
    </row>
    <row r="414" spans="1:18" ht="15" customHeight="1">
      <c r="A414" s="191" t="s">
        <v>120</v>
      </c>
      <c r="B414" s="191"/>
      <c r="C414" s="174">
        <v>160608208</v>
      </c>
      <c r="F414" s="29" t="s">
        <v>109</v>
      </c>
      <c r="G414" s="3" t="s">
        <v>66</v>
      </c>
      <c r="H414" s="3" t="s">
        <v>110</v>
      </c>
      <c r="I414" s="55">
        <v>46182</v>
      </c>
      <c r="J414" s="55">
        <v>46185</v>
      </c>
      <c r="K414" s="55">
        <v>46212</v>
      </c>
      <c r="O414" s="3" t="s">
        <v>9</v>
      </c>
      <c r="R414" s="184"/>
    </row>
    <row r="415" spans="1:18" ht="15" customHeight="1">
      <c r="A415" s="191" t="s">
        <v>152</v>
      </c>
      <c r="B415" s="191"/>
      <c r="C415" s="174">
        <v>160609160</v>
      </c>
      <c r="F415" s="29" t="s">
        <v>153</v>
      </c>
      <c r="G415" s="3" t="s">
        <v>66</v>
      </c>
      <c r="H415" s="45" t="s">
        <v>154</v>
      </c>
      <c r="I415" s="55">
        <v>46182</v>
      </c>
      <c r="J415" s="55">
        <v>46185</v>
      </c>
      <c r="K415" s="55">
        <v>46212</v>
      </c>
      <c r="O415" s="3" t="s">
        <v>9</v>
      </c>
      <c r="R415" s="184"/>
    </row>
    <row r="416" spans="1:18" ht="15" customHeight="1">
      <c r="A416" s="191" t="s">
        <v>152</v>
      </c>
      <c r="B416" s="191"/>
      <c r="C416" s="174">
        <v>160609167</v>
      </c>
      <c r="F416" s="29" t="s">
        <v>153</v>
      </c>
      <c r="G416" s="3" t="s">
        <v>66</v>
      </c>
      <c r="H416" s="45" t="s">
        <v>154</v>
      </c>
      <c r="I416" s="55">
        <v>46182</v>
      </c>
      <c r="J416" s="55">
        <v>46185</v>
      </c>
      <c r="K416" s="55">
        <v>46212</v>
      </c>
      <c r="O416" s="3" t="s">
        <v>9</v>
      </c>
      <c r="R416" s="184"/>
    </row>
    <row r="417" spans="1:18" ht="15" customHeight="1">
      <c r="A417" s="191" t="s">
        <v>152</v>
      </c>
      <c r="B417" s="191"/>
      <c r="C417" s="174">
        <v>160609168</v>
      </c>
      <c r="F417" s="29" t="s">
        <v>153</v>
      </c>
      <c r="G417" s="3" t="s">
        <v>66</v>
      </c>
      <c r="H417" s="3" t="s">
        <v>154</v>
      </c>
      <c r="I417" s="55">
        <v>46182</v>
      </c>
      <c r="J417" s="55">
        <v>46185</v>
      </c>
      <c r="K417" s="55">
        <v>46212</v>
      </c>
      <c r="O417" s="3" t="s">
        <v>9</v>
      </c>
      <c r="R417" s="184"/>
    </row>
    <row r="418" spans="1:18" ht="15" customHeight="1">
      <c r="A418" s="191" t="s">
        <v>152</v>
      </c>
      <c r="B418" s="191"/>
      <c r="C418" s="174">
        <v>160609170</v>
      </c>
      <c r="F418" s="29" t="s">
        <v>153</v>
      </c>
      <c r="G418" s="3" t="s">
        <v>66</v>
      </c>
      <c r="H418" s="3" t="s">
        <v>154</v>
      </c>
      <c r="I418" s="55">
        <v>46182</v>
      </c>
      <c r="J418" s="55">
        <v>46185</v>
      </c>
      <c r="K418" s="55">
        <v>46212</v>
      </c>
      <c r="O418" s="3" t="s">
        <v>9</v>
      </c>
      <c r="R418" s="184"/>
    </row>
    <row r="419" spans="1:18" ht="15" customHeight="1">
      <c r="A419" s="191" t="s">
        <v>152</v>
      </c>
      <c r="B419" s="191"/>
      <c r="C419" s="174">
        <v>160609179</v>
      </c>
      <c r="F419" s="29" t="s">
        <v>153</v>
      </c>
      <c r="G419" s="3" t="s">
        <v>66</v>
      </c>
      <c r="H419" s="3" t="s">
        <v>154</v>
      </c>
      <c r="I419" s="55">
        <v>46182</v>
      </c>
      <c r="J419" s="55">
        <v>46185</v>
      </c>
      <c r="K419" s="55">
        <v>46212</v>
      </c>
      <c r="O419" s="3" t="s">
        <v>9</v>
      </c>
      <c r="R419" s="184"/>
    </row>
    <row r="420" spans="1:18" ht="15" customHeight="1">
      <c r="A420" s="191" t="s">
        <v>152</v>
      </c>
      <c r="B420" s="191"/>
      <c r="C420" s="174">
        <v>160609181</v>
      </c>
      <c r="F420" s="29" t="s">
        <v>153</v>
      </c>
      <c r="G420" s="3" t="s">
        <v>66</v>
      </c>
      <c r="H420" s="3" t="s">
        <v>154</v>
      </c>
      <c r="I420" s="55">
        <v>46182</v>
      </c>
      <c r="J420" s="55">
        <v>46185</v>
      </c>
      <c r="K420" s="55">
        <v>46212</v>
      </c>
      <c r="O420" s="3" t="s">
        <v>9</v>
      </c>
      <c r="R420" s="184"/>
    </row>
    <row r="421" spans="1:18" ht="15" customHeight="1">
      <c r="A421" s="191" t="s">
        <v>152</v>
      </c>
      <c r="B421" s="191"/>
      <c r="C421" s="174">
        <v>160609182</v>
      </c>
      <c r="F421" s="29" t="s">
        <v>153</v>
      </c>
      <c r="G421" s="3" t="s">
        <v>66</v>
      </c>
      <c r="H421" s="3" t="s">
        <v>154</v>
      </c>
      <c r="I421" s="55">
        <v>46182</v>
      </c>
      <c r="J421" s="55">
        <v>46185</v>
      </c>
      <c r="K421" s="55">
        <v>46212</v>
      </c>
      <c r="O421" s="3" t="s">
        <v>9</v>
      </c>
      <c r="R421" s="184"/>
    </row>
    <row r="422" spans="1:18" ht="15" customHeight="1">
      <c r="A422" s="191" t="s">
        <v>152</v>
      </c>
      <c r="B422" s="191"/>
      <c r="C422" s="174">
        <v>160609185</v>
      </c>
      <c r="F422" s="29" t="s">
        <v>153</v>
      </c>
      <c r="G422" s="3" t="s">
        <v>66</v>
      </c>
      <c r="H422" s="45" t="s">
        <v>154</v>
      </c>
      <c r="I422" s="55">
        <v>46182</v>
      </c>
      <c r="J422" s="55">
        <v>46185</v>
      </c>
      <c r="K422" s="55">
        <v>46212</v>
      </c>
      <c r="O422" s="3" t="s">
        <v>9</v>
      </c>
      <c r="R422" s="184"/>
    </row>
    <row r="423" spans="1:18" ht="15" customHeight="1">
      <c r="A423" s="191" t="s">
        <v>152</v>
      </c>
      <c r="B423" s="191"/>
      <c r="C423" s="174">
        <v>160609189</v>
      </c>
      <c r="F423" s="29" t="s">
        <v>153</v>
      </c>
      <c r="G423" s="3" t="s">
        <v>66</v>
      </c>
      <c r="H423" s="45" t="s">
        <v>154</v>
      </c>
      <c r="I423" s="55">
        <v>46182</v>
      </c>
      <c r="J423" s="55">
        <v>46185</v>
      </c>
      <c r="K423" s="55">
        <v>46212</v>
      </c>
      <c r="O423" s="3" t="s">
        <v>9</v>
      </c>
      <c r="R423" s="184"/>
    </row>
    <row r="424" spans="1:18" ht="15" customHeight="1">
      <c r="A424" s="191" t="s">
        <v>152</v>
      </c>
      <c r="B424" s="191"/>
      <c r="C424" s="174">
        <v>160609192</v>
      </c>
      <c r="F424" s="29" t="s">
        <v>153</v>
      </c>
      <c r="G424" s="3" t="s">
        <v>66</v>
      </c>
      <c r="H424" s="3" t="s">
        <v>154</v>
      </c>
      <c r="I424" s="55">
        <v>46182</v>
      </c>
      <c r="J424" s="55">
        <v>46185</v>
      </c>
      <c r="K424" s="55">
        <v>46212</v>
      </c>
      <c r="O424" s="3" t="s">
        <v>9</v>
      </c>
      <c r="R424" s="184"/>
    </row>
    <row r="425" spans="1:18" ht="15" customHeight="1">
      <c r="A425" s="191" t="s">
        <v>152</v>
      </c>
      <c r="B425" s="191"/>
      <c r="C425" s="174">
        <v>160609196</v>
      </c>
      <c r="F425" s="29" t="s">
        <v>153</v>
      </c>
      <c r="G425" s="3" t="s">
        <v>66</v>
      </c>
      <c r="H425" s="3" t="s">
        <v>154</v>
      </c>
      <c r="I425" s="55">
        <v>46182</v>
      </c>
      <c r="J425" s="55">
        <v>46185</v>
      </c>
      <c r="K425" s="55">
        <v>46212</v>
      </c>
      <c r="O425" s="3" t="s">
        <v>9</v>
      </c>
      <c r="R425" s="184"/>
    </row>
    <row r="426" spans="1:18" ht="15" customHeight="1">
      <c r="A426" s="191" t="s">
        <v>152</v>
      </c>
      <c r="B426" s="191"/>
      <c r="C426" s="174">
        <v>160609199</v>
      </c>
      <c r="F426" s="29" t="s">
        <v>153</v>
      </c>
      <c r="G426" s="3" t="s">
        <v>66</v>
      </c>
      <c r="H426" s="3" t="s">
        <v>154</v>
      </c>
      <c r="I426" s="55">
        <v>46182</v>
      </c>
      <c r="J426" s="55">
        <v>46185</v>
      </c>
      <c r="K426" s="55">
        <v>46212</v>
      </c>
      <c r="O426" s="3" t="s">
        <v>9</v>
      </c>
      <c r="R426" s="184"/>
    </row>
    <row r="427" spans="1:18" ht="15" customHeight="1">
      <c r="A427" s="180" t="s">
        <v>155</v>
      </c>
      <c r="B427" s="191"/>
      <c r="C427" s="174">
        <v>160606828</v>
      </c>
      <c r="F427" s="29" t="s">
        <v>156</v>
      </c>
      <c r="G427" s="3" t="s">
        <v>66</v>
      </c>
      <c r="H427" s="3" t="s">
        <v>157</v>
      </c>
      <c r="I427" s="55">
        <v>46182</v>
      </c>
      <c r="J427" s="55">
        <v>46185</v>
      </c>
      <c r="K427" s="55">
        <v>46212</v>
      </c>
      <c r="O427" s="3" t="s">
        <v>10</v>
      </c>
      <c r="P427" s="55">
        <v>46188</v>
      </c>
      <c r="R427" s="184"/>
    </row>
    <row r="428" spans="1:18" ht="15" customHeight="1">
      <c r="A428" s="180" t="s">
        <v>155</v>
      </c>
      <c r="B428" s="191"/>
      <c r="C428" s="174">
        <v>160606815</v>
      </c>
      <c r="F428" s="29" t="s">
        <v>156</v>
      </c>
      <c r="G428" s="3" t="s">
        <v>66</v>
      </c>
      <c r="H428" s="3" t="s">
        <v>157</v>
      </c>
      <c r="I428" s="55">
        <v>46182</v>
      </c>
      <c r="J428" s="55">
        <v>46185</v>
      </c>
      <c r="K428" s="55">
        <v>46212</v>
      </c>
      <c r="O428" s="3" t="s">
        <v>10</v>
      </c>
      <c r="P428" s="55">
        <v>46188</v>
      </c>
      <c r="R428" s="184"/>
    </row>
    <row r="429" spans="1:18" ht="15" customHeight="1">
      <c r="A429" s="180" t="s">
        <v>155</v>
      </c>
      <c r="B429" s="191"/>
      <c r="C429" s="174">
        <v>160606651</v>
      </c>
      <c r="F429" s="29" t="s">
        <v>156</v>
      </c>
      <c r="G429" s="3" t="s">
        <v>66</v>
      </c>
      <c r="H429" s="3" t="s">
        <v>157</v>
      </c>
      <c r="I429" s="55">
        <v>46182</v>
      </c>
      <c r="J429" s="55">
        <v>46185</v>
      </c>
      <c r="K429" s="55">
        <v>46212</v>
      </c>
      <c r="O429" s="3" t="s">
        <v>9</v>
      </c>
      <c r="R429" s="184"/>
    </row>
    <row r="430" spans="1:18" ht="15" customHeight="1">
      <c r="A430" s="180" t="s">
        <v>155</v>
      </c>
      <c r="B430" s="191"/>
      <c r="C430" s="174">
        <v>160606724</v>
      </c>
      <c r="F430" s="29" t="s">
        <v>156</v>
      </c>
      <c r="G430" s="3" t="s">
        <v>66</v>
      </c>
      <c r="H430" s="3" t="s">
        <v>157</v>
      </c>
      <c r="I430" s="55">
        <v>46182</v>
      </c>
      <c r="J430" s="55">
        <v>46185</v>
      </c>
      <c r="K430" s="55">
        <v>46212</v>
      </c>
      <c r="O430" s="3" t="s">
        <v>9</v>
      </c>
      <c r="R430" s="184"/>
    </row>
    <row r="431" spans="1:18" ht="15" customHeight="1">
      <c r="A431" s="180" t="s">
        <v>155</v>
      </c>
      <c r="B431" s="191"/>
      <c r="C431" s="174">
        <v>160606696</v>
      </c>
      <c r="F431" s="29" t="s">
        <v>156</v>
      </c>
      <c r="G431" s="3" t="s">
        <v>66</v>
      </c>
      <c r="H431" s="3" t="s">
        <v>157</v>
      </c>
      <c r="I431" s="55">
        <v>46182</v>
      </c>
      <c r="J431" s="55">
        <v>46185</v>
      </c>
      <c r="K431" s="55">
        <v>46212</v>
      </c>
      <c r="O431" s="3" t="s">
        <v>9</v>
      </c>
      <c r="R431" s="184"/>
    </row>
    <row r="432" spans="1:18" ht="15" customHeight="1">
      <c r="A432" s="180" t="s">
        <v>158</v>
      </c>
      <c r="B432" s="191"/>
      <c r="C432" s="174">
        <v>161606497</v>
      </c>
      <c r="F432" s="29" t="s">
        <v>159</v>
      </c>
      <c r="G432" s="3" t="s">
        <v>66</v>
      </c>
      <c r="H432" s="3" t="s">
        <v>160</v>
      </c>
      <c r="I432" s="55">
        <v>46183</v>
      </c>
      <c r="J432" s="55">
        <v>46186</v>
      </c>
      <c r="K432" s="55">
        <v>46213</v>
      </c>
      <c r="O432" s="3" t="s">
        <v>9</v>
      </c>
      <c r="R432" s="184"/>
    </row>
    <row r="433" spans="1:18" ht="15" customHeight="1">
      <c r="A433" s="180" t="s">
        <v>161</v>
      </c>
      <c r="B433" s="191"/>
      <c r="C433" s="174">
        <v>161609123</v>
      </c>
      <c r="F433" s="29" t="s">
        <v>153</v>
      </c>
      <c r="G433" s="3" t="s">
        <v>66</v>
      </c>
      <c r="H433" s="3" t="s">
        <v>154</v>
      </c>
      <c r="I433" s="55">
        <v>46183</v>
      </c>
      <c r="J433" s="55">
        <v>46186</v>
      </c>
      <c r="K433" s="55">
        <v>46213</v>
      </c>
      <c r="O433" s="3" t="s">
        <v>9</v>
      </c>
      <c r="R433" s="184"/>
    </row>
    <row r="434" spans="1:18" ht="15" customHeight="1">
      <c r="A434" s="180" t="s">
        <v>161</v>
      </c>
      <c r="B434" s="191"/>
      <c r="C434" s="174">
        <v>161609129</v>
      </c>
      <c r="F434" s="29" t="s">
        <v>153</v>
      </c>
      <c r="G434" s="3" t="s">
        <v>66</v>
      </c>
      <c r="H434" s="3" t="s">
        <v>154</v>
      </c>
      <c r="I434" s="55">
        <v>46183</v>
      </c>
      <c r="J434" s="55">
        <v>46186</v>
      </c>
      <c r="K434" s="55">
        <v>46213</v>
      </c>
      <c r="O434" s="3" t="s">
        <v>9</v>
      </c>
      <c r="R434" s="184"/>
    </row>
    <row r="435" spans="1:18" ht="15" customHeight="1">
      <c r="A435" s="180" t="s">
        <v>161</v>
      </c>
      <c r="B435" s="191"/>
      <c r="C435" s="174">
        <v>161609138</v>
      </c>
      <c r="F435" s="29" t="s">
        <v>153</v>
      </c>
      <c r="G435" s="3" t="s">
        <v>66</v>
      </c>
      <c r="H435" s="3" t="s">
        <v>154</v>
      </c>
      <c r="I435" s="55">
        <v>46183</v>
      </c>
      <c r="J435" s="55">
        <v>46186</v>
      </c>
      <c r="K435" s="55">
        <v>46213</v>
      </c>
      <c r="O435" s="3" t="s">
        <v>9</v>
      </c>
      <c r="R435" s="184"/>
    </row>
    <row r="436" spans="1:18" ht="15" customHeight="1">
      <c r="A436" s="180" t="s">
        <v>161</v>
      </c>
      <c r="B436" s="191"/>
      <c r="C436" s="174">
        <v>161609144</v>
      </c>
      <c r="F436" s="29" t="s">
        <v>153</v>
      </c>
      <c r="G436" s="3" t="s">
        <v>66</v>
      </c>
      <c r="H436" s="3" t="s">
        <v>154</v>
      </c>
      <c r="I436" s="55">
        <v>46183</v>
      </c>
      <c r="J436" s="55">
        <v>46186</v>
      </c>
      <c r="K436" s="55">
        <v>46213</v>
      </c>
      <c r="O436" s="3" t="s">
        <v>9</v>
      </c>
      <c r="R436" s="184"/>
    </row>
    <row r="437" spans="1:18" ht="15" customHeight="1">
      <c r="A437" s="180" t="s">
        <v>161</v>
      </c>
      <c r="B437" s="191"/>
      <c r="C437" s="174">
        <v>161609152</v>
      </c>
      <c r="F437" s="29" t="s">
        <v>153</v>
      </c>
      <c r="G437" s="3" t="s">
        <v>66</v>
      </c>
      <c r="H437" s="3" t="s">
        <v>154</v>
      </c>
      <c r="I437" s="55">
        <v>46183</v>
      </c>
      <c r="J437" s="55">
        <v>46186</v>
      </c>
      <c r="K437" s="55">
        <v>46213</v>
      </c>
      <c r="O437" s="3" t="s">
        <v>9</v>
      </c>
      <c r="R437" s="184"/>
    </row>
    <row r="438" spans="1:18" ht="15" customHeight="1">
      <c r="A438" s="180" t="s">
        <v>161</v>
      </c>
      <c r="B438" s="191"/>
      <c r="C438" s="174">
        <v>161609156</v>
      </c>
      <c r="F438" s="29" t="s">
        <v>153</v>
      </c>
      <c r="G438" s="3" t="s">
        <v>66</v>
      </c>
      <c r="H438" s="3" t="s">
        <v>154</v>
      </c>
      <c r="I438" s="55">
        <v>46183</v>
      </c>
      <c r="J438" s="55">
        <v>46186</v>
      </c>
      <c r="K438" s="55">
        <v>46213</v>
      </c>
      <c r="O438" s="3" t="s">
        <v>9</v>
      </c>
      <c r="R438" s="184"/>
    </row>
    <row r="439" spans="1:18" ht="15" customHeight="1">
      <c r="A439" s="180" t="s">
        <v>161</v>
      </c>
      <c r="B439" s="191"/>
      <c r="C439" s="174">
        <v>161609172</v>
      </c>
      <c r="F439" s="29" t="s">
        <v>153</v>
      </c>
      <c r="G439" s="3" t="s">
        <v>66</v>
      </c>
      <c r="H439" s="3" t="s">
        <v>154</v>
      </c>
      <c r="I439" s="55">
        <v>46183</v>
      </c>
      <c r="J439" s="55">
        <v>46186</v>
      </c>
      <c r="K439" s="55">
        <v>46213</v>
      </c>
      <c r="O439" s="3" t="s">
        <v>9</v>
      </c>
      <c r="R439" s="184"/>
    </row>
    <row r="440" spans="1:18" ht="15" customHeight="1">
      <c r="A440" s="180" t="s">
        <v>161</v>
      </c>
      <c r="B440" s="191"/>
      <c r="C440" s="174">
        <v>161609176</v>
      </c>
      <c r="F440" s="29" t="s">
        <v>153</v>
      </c>
      <c r="G440" s="3" t="s">
        <v>66</v>
      </c>
      <c r="H440" s="3" t="s">
        <v>154</v>
      </c>
      <c r="I440" s="55">
        <v>46183</v>
      </c>
      <c r="J440" s="55">
        <v>46186</v>
      </c>
      <c r="K440" s="55">
        <v>46213</v>
      </c>
      <c r="O440" s="3" t="s">
        <v>9</v>
      </c>
      <c r="R440" s="184"/>
    </row>
    <row r="441" spans="1:18" ht="15" customHeight="1">
      <c r="A441" s="180" t="s">
        <v>161</v>
      </c>
      <c r="B441" s="191"/>
      <c r="C441" s="174">
        <v>161609182</v>
      </c>
      <c r="F441" s="29" t="s">
        <v>153</v>
      </c>
      <c r="G441" s="3" t="s">
        <v>66</v>
      </c>
      <c r="H441" s="3" t="s">
        <v>154</v>
      </c>
      <c r="I441" s="55">
        <v>46183</v>
      </c>
      <c r="J441" s="55">
        <v>46186</v>
      </c>
      <c r="K441" s="55">
        <v>46213</v>
      </c>
      <c r="O441" s="3" t="s">
        <v>9</v>
      </c>
      <c r="R441" s="184"/>
    </row>
    <row r="442" spans="1:18" ht="15" customHeight="1">
      <c r="A442" s="180" t="s">
        <v>161</v>
      </c>
      <c r="B442" s="191"/>
      <c r="C442" s="174">
        <v>161609185</v>
      </c>
      <c r="F442" s="29" t="s">
        <v>153</v>
      </c>
      <c r="G442" s="3" t="s">
        <v>66</v>
      </c>
      <c r="H442" s="3" t="s">
        <v>154</v>
      </c>
      <c r="I442" s="55">
        <v>46183</v>
      </c>
      <c r="J442" s="55">
        <v>46186</v>
      </c>
      <c r="K442" s="55">
        <v>46213</v>
      </c>
      <c r="O442" s="3" t="s">
        <v>9</v>
      </c>
      <c r="R442" s="184"/>
    </row>
    <row r="443" spans="1:18" ht="15" customHeight="1">
      <c r="A443" s="180" t="s">
        <v>161</v>
      </c>
      <c r="B443" s="191"/>
      <c r="C443" s="174">
        <v>161609191</v>
      </c>
      <c r="F443" s="29" t="s">
        <v>153</v>
      </c>
      <c r="G443" s="3" t="s">
        <v>66</v>
      </c>
      <c r="H443" s="3" t="s">
        <v>154</v>
      </c>
      <c r="I443" s="55">
        <v>46183</v>
      </c>
      <c r="J443" s="55">
        <v>46186</v>
      </c>
      <c r="K443" s="55">
        <v>46213</v>
      </c>
      <c r="O443" s="3" t="s">
        <v>9</v>
      </c>
      <c r="R443" s="184"/>
    </row>
    <row r="444" spans="1:18" ht="15" customHeight="1">
      <c r="A444" s="180" t="s">
        <v>161</v>
      </c>
      <c r="B444" s="191"/>
      <c r="C444" s="174">
        <v>161609197</v>
      </c>
      <c r="F444" s="29" t="s">
        <v>153</v>
      </c>
      <c r="G444" s="3" t="s">
        <v>66</v>
      </c>
      <c r="H444" s="3" t="s">
        <v>154</v>
      </c>
      <c r="I444" s="55">
        <v>46183</v>
      </c>
      <c r="J444" s="55">
        <v>46186</v>
      </c>
      <c r="K444" s="55">
        <v>46213</v>
      </c>
      <c r="O444" s="3" t="s">
        <v>9</v>
      </c>
      <c r="R444" s="184"/>
    </row>
    <row r="445" spans="1:18" ht="15" customHeight="1">
      <c r="A445" s="180" t="s">
        <v>161</v>
      </c>
      <c r="B445" s="191"/>
      <c r="C445" s="174">
        <v>161609200</v>
      </c>
      <c r="F445" s="29" t="s">
        <v>153</v>
      </c>
      <c r="G445" s="3" t="s">
        <v>66</v>
      </c>
      <c r="H445" s="3" t="s">
        <v>154</v>
      </c>
      <c r="I445" s="55">
        <v>46183</v>
      </c>
      <c r="J445" s="55">
        <v>46186</v>
      </c>
      <c r="K445" s="55">
        <v>46213</v>
      </c>
      <c r="O445" s="3" t="s">
        <v>9</v>
      </c>
      <c r="R445" s="184"/>
    </row>
    <row r="446" spans="1:18" ht="15" customHeight="1">
      <c r="A446" s="180" t="s">
        <v>161</v>
      </c>
      <c r="B446" s="191"/>
      <c r="C446" s="174">
        <v>161609202</v>
      </c>
      <c r="F446" s="29" t="s">
        <v>153</v>
      </c>
      <c r="G446" s="3" t="s">
        <v>66</v>
      </c>
      <c r="H446" s="3" t="s">
        <v>154</v>
      </c>
      <c r="I446" s="55">
        <v>46183</v>
      </c>
      <c r="J446" s="55">
        <v>46186</v>
      </c>
      <c r="K446" s="55">
        <v>46213</v>
      </c>
      <c r="O446" s="3" t="s">
        <v>9</v>
      </c>
      <c r="R446" s="184"/>
    </row>
    <row r="447" spans="1:18" ht="15" customHeight="1">
      <c r="A447" s="180" t="s">
        <v>161</v>
      </c>
      <c r="B447" s="191"/>
      <c r="C447" s="174">
        <v>161609205</v>
      </c>
      <c r="F447" s="29" t="s">
        <v>153</v>
      </c>
      <c r="G447" s="3" t="s">
        <v>66</v>
      </c>
      <c r="H447" s="3" t="s">
        <v>154</v>
      </c>
      <c r="I447" s="55">
        <v>46183</v>
      </c>
      <c r="J447" s="55">
        <v>46186</v>
      </c>
      <c r="K447" s="55">
        <v>46213</v>
      </c>
      <c r="O447" s="3" t="s">
        <v>9</v>
      </c>
      <c r="R447" s="184"/>
    </row>
    <row r="448" spans="1:18" ht="15" customHeight="1">
      <c r="A448" s="180" t="s">
        <v>161</v>
      </c>
      <c r="B448" s="191"/>
      <c r="C448" s="174">
        <v>161609209</v>
      </c>
      <c r="F448" s="29" t="s">
        <v>153</v>
      </c>
      <c r="G448" s="3" t="s">
        <v>66</v>
      </c>
      <c r="H448" s="3" t="s">
        <v>154</v>
      </c>
      <c r="I448" s="55">
        <v>46183</v>
      </c>
      <c r="J448" s="55">
        <v>46186</v>
      </c>
      <c r="K448" s="55">
        <v>46213</v>
      </c>
      <c r="O448" s="3" t="s">
        <v>9</v>
      </c>
      <c r="R448" s="184"/>
    </row>
    <row r="449" spans="1:18" ht="15" customHeight="1">
      <c r="A449" s="180" t="s">
        <v>161</v>
      </c>
      <c r="B449" s="191"/>
      <c r="C449" s="174">
        <v>161609213</v>
      </c>
      <c r="F449" s="29" t="s">
        <v>153</v>
      </c>
      <c r="G449" s="3" t="s">
        <v>66</v>
      </c>
      <c r="H449" s="3" t="s">
        <v>154</v>
      </c>
      <c r="I449" s="55">
        <v>46183</v>
      </c>
      <c r="J449" s="55">
        <v>46186</v>
      </c>
      <c r="K449" s="55">
        <v>46213</v>
      </c>
      <c r="O449" s="3" t="s">
        <v>9</v>
      </c>
      <c r="R449" s="184"/>
    </row>
    <row r="450" spans="1:18" ht="15" customHeight="1">
      <c r="A450" s="180" t="s">
        <v>161</v>
      </c>
      <c r="B450" s="191"/>
      <c r="C450" s="174">
        <v>161609221</v>
      </c>
      <c r="F450" s="29" t="s">
        <v>153</v>
      </c>
      <c r="G450" s="3" t="s">
        <v>66</v>
      </c>
      <c r="H450" s="3" t="s">
        <v>154</v>
      </c>
      <c r="I450" s="55">
        <v>46183</v>
      </c>
      <c r="J450" s="55">
        <v>46186</v>
      </c>
      <c r="K450" s="55">
        <v>46213</v>
      </c>
      <c r="O450" s="3" t="s">
        <v>9</v>
      </c>
      <c r="R450" s="184"/>
    </row>
    <row r="451" spans="1:18" ht="15" customHeight="1">
      <c r="A451" s="180" t="s">
        <v>128</v>
      </c>
      <c r="B451" s="191"/>
      <c r="C451" s="174">
        <v>161609290</v>
      </c>
      <c r="F451" s="29" t="s">
        <v>129</v>
      </c>
      <c r="G451" s="3" t="s">
        <v>66</v>
      </c>
      <c r="H451" s="3" t="s">
        <v>130</v>
      </c>
      <c r="I451" s="55">
        <v>46183</v>
      </c>
      <c r="J451" s="55">
        <v>46186</v>
      </c>
      <c r="K451" s="55">
        <v>46213</v>
      </c>
      <c r="O451" s="3" t="s">
        <v>9</v>
      </c>
      <c r="R451" s="184"/>
    </row>
    <row r="452" spans="1:18" ht="15" customHeight="1">
      <c r="A452" s="180" t="s">
        <v>128</v>
      </c>
      <c r="B452" s="191"/>
      <c r="C452" s="174">
        <v>161609305</v>
      </c>
      <c r="F452" s="29" t="s">
        <v>129</v>
      </c>
      <c r="G452" s="3" t="s">
        <v>66</v>
      </c>
      <c r="H452" s="3" t="s">
        <v>130</v>
      </c>
      <c r="I452" s="55">
        <v>46183</v>
      </c>
      <c r="J452" s="55">
        <v>46186</v>
      </c>
      <c r="K452" s="55">
        <v>46213</v>
      </c>
      <c r="O452" s="3" t="s">
        <v>9</v>
      </c>
      <c r="R452" s="184"/>
    </row>
    <row r="453" spans="1:18" ht="15" customHeight="1">
      <c r="A453" s="180" t="s">
        <v>128</v>
      </c>
      <c r="B453" s="191"/>
      <c r="C453" s="174">
        <v>161609313</v>
      </c>
      <c r="F453" s="29" t="s">
        <v>129</v>
      </c>
      <c r="G453" s="3" t="s">
        <v>66</v>
      </c>
      <c r="H453" s="3" t="s">
        <v>130</v>
      </c>
      <c r="I453" s="55">
        <v>46183</v>
      </c>
      <c r="J453" s="55">
        <v>46186</v>
      </c>
      <c r="K453" s="55">
        <v>46213</v>
      </c>
      <c r="O453" s="3" t="s">
        <v>9</v>
      </c>
      <c r="R453" s="184"/>
    </row>
    <row r="454" spans="1:18" ht="15" customHeight="1">
      <c r="A454" s="180" t="s">
        <v>128</v>
      </c>
      <c r="B454" s="191"/>
      <c r="C454" s="174">
        <v>161609321</v>
      </c>
      <c r="F454" s="29" t="s">
        <v>129</v>
      </c>
      <c r="G454" s="3" t="s">
        <v>66</v>
      </c>
      <c r="H454" s="3" t="s">
        <v>130</v>
      </c>
      <c r="I454" s="55">
        <v>46183</v>
      </c>
      <c r="J454" s="55">
        <v>46186</v>
      </c>
      <c r="K454" s="55">
        <v>46213</v>
      </c>
      <c r="O454" s="3" t="s">
        <v>9</v>
      </c>
      <c r="R454" s="184"/>
    </row>
    <row r="455" spans="1:18" ht="15" customHeight="1">
      <c r="A455" s="180" t="s">
        <v>128</v>
      </c>
      <c r="B455" s="191"/>
      <c r="C455" s="174">
        <v>161609332</v>
      </c>
      <c r="F455" s="29" t="s">
        <v>129</v>
      </c>
      <c r="G455" s="3" t="s">
        <v>66</v>
      </c>
      <c r="H455" s="3" t="s">
        <v>130</v>
      </c>
      <c r="I455" s="55">
        <v>46183</v>
      </c>
      <c r="J455" s="55">
        <v>46186</v>
      </c>
      <c r="K455" s="55">
        <v>46213</v>
      </c>
      <c r="O455" s="3" t="s">
        <v>9</v>
      </c>
      <c r="R455" s="184"/>
    </row>
    <row r="456" spans="1:18" ht="15" customHeight="1">
      <c r="A456" s="180" t="s">
        <v>128</v>
      </c>
      <c r="B456" s="191"/>
      <c r="C456" s="174">
        <v>161609339</v>
      </c>
      <c r="F456" s="29" t="s">
        <v>129</v>
      </c>
      <c r="G456" s="3" t="s">
        <v>66</v>
      </c>
      <c r="H456" s="3" t="s">
        <v>130</v>
      </c>
      <c r="I456" s="55">
        <v>46183</v>
      </c>
      <c r="J456" s="55">
        <v>46186</v>
      </c>
      <c r="K456" s="55">
        <v>46213</v>
      </c>
      <c r="O456" s="3" t="s">
        <v>9</v>
      </c>
      <c r="R456" s="184"/>
    </row>
    <row r="457" spans="1:18" ht="15" customHeight="1">
      <c r="A457" s="180" t="s">
        <v>128</v>
      </c>
      <c r="B457" s="191"/>
      <c r="C457" s="174">
        <v>161609352</v>
      </c>
      <c r="F457" s="29" t="s">
        <v>129</v>
      </c>
      <c r="G457" s="3" t="s">
        <v>66</v>
      </c>
      <c r="H457" s="3" t="s">
        <v>130</v>
      </c>
      <c r="I457" s="55">
        <v>46183</v>
      </c>
      <c r="J457" s="55">
        <v>46186</v>
      </c>
      <c r="K457" s="55">
        <v>46213</v>
      </c>
      <c r="O457" s="3" t="s">
        <v>9</v>
      </c>
      <c r="R457" s="184"/>
    </row>
    <row r="458" spans="1:18" ht="15" customHeight="1">
      <c r="A458" s="180" t="s">
        <v>128</v>
      </c>
      <c r="B458" s="191"/>
      <c r="C458" s="174">
        <v>161609368</v>
      </c>
      <c r="F458" s="29" t="s">
        <v>129</v>
      </c>
      <c r="G458" s="3" t="s">
        <v>66</v>
      </c>
      <c r="H458" s="3" t="s">
        <v>130</v>
      </c>
      <c r="I458" s="55">
        <v>46183</v>
      </c>
      <c r="J458" s="55">
        <v>46186</v>
      </c>
      <c r="K458" s="55">
        <v>46213</v>
      </c>
      <c r="O458" s="3" t="s">
        <v>9</v>
      </c>
      <c r="R458" s="184"/>
    </row>
    <row r="459" spans="1:18" ht="15" customHeight="1">
      <c r="A459" s="180" t="s">
        <v>128</v>
      </c>
      <c r="B459" s="191"/>
      <c r="C459" s="174">
        <v>161609383</v>
      </c>
      <c r="F459" s="29" t="s">
        <v>129</v>
      </c>
      <c r="G459" s="3" t="s">
        <v>66</v>
      </c>
      <c r="H459" s="3" t="s">
        <v>130</v>
      </c>
      <c r="I459" s="55">
        <v>46183</v>
      </c>
      <c r="J459" s="55">
        <v>46186</v>
      </c>
      <c r="K459" s="55">
        <v>46213</v>
      </c>
      <c r="O459" s="3" t="s">
        <v>9</v>
      </c>
      <c r="R459" s="184"/>
    </row>
    <row r="460" spans="1:18" ht="15" customHeight="1">
      <c r="A460" s="180" t="s">
        <v>128</v>
      </c>
      <c r="B460" s="191"/>
      <c r="C460" s="174">
        <v>161609391</v>
      </c>
      <c r="F460" s="29" t="s">
        <v>129</v>
      </c>
      <c r="G460" s="3" t="s">
        <v>66</v>
      </c>
      <c r="H460" s="3" t="s">
        <v>130</v>
      </c>
      <c r="I460" s="55">
        <v>46183</v>
      </c>
      <c r="J460" s="55">
        <v>46186</v>
      </c>
      <c r="K460" s="55">
        <v>46213</v>
      </c>
      <c r="O460" s="3" t="s">
        <v>9</v>
      </c>
      <c r="R460" s="184"/>
    </row>
    <row r="461" spans="1:18" ht="15" customHeight="1">
      <c r="A461" s="180" t="s">
        <v>128</v>
      </c>
      <c r="B461" s="191"/>
      <c r="C461" s="174">
        <v>161609417</v>
      </c>
      <c r="F461" s="29" t="s">
        <v>129</v>
      </c>
      <c r="G461" s="3" t="s">
        <v>66</v>
      </c>
      <c r="H461" s="3" t="s">
        <v>130</v>
      </c>
      <c r="I461" s="55">
        <v>46183</v>
      </c>
      <c r="J461" s="55">
        <v>46186</v>
      </c>
      <c r="K461" s="55">
        <v>46213</v>
      </c>
      <c r="O461" s="3" t="s">
        <v>9</v>
      </c>
      <c r="R461" s="184"/>
    </row>
    <row r="462" spans="1:18" ht="15" customHeight="1">
      <c r="A462" s="180" t="s">
        <v>128</v>
      </c>
      <c r="B462" s="191"/>
      <c r="C462" s="174">
        <v>161609426</v>
      </c>
      <c r="F462" s="29" t="s">
        <v>129</v>
      </c>
      <c r="G462" s="3" t="s">
        <v>66</v>
      </c>
      <c r="H462" s="3" t="s">
        <v>130</v>
      </c>
      <c r="I462" s="55">
        <v>46183</v>
      </c>
      <c r="J462" s="55">
        <v>46186</v>
      </c>
      <c r="K462" s="55">
        <v>46213</v>
      </c>
      <c r="O462" s="3" t="s">
        <v>9</v>
      </c>
      <c r="R462" s="184"/>
    </row>
    <row r="463" spans="1:18" ht="15" customHeight="1">
      <c r="A463" s="180" t="s">
        <v>128</v>
      </c>
      <c r="B463" s="191"/>
      <c r="C463" s="174">
        <v>161609453</v>
      </c>
      <c r="F463" s="29" t="s">
        <v>129</v>
      </c>
      <c r="G463" s="3" t="s">
        <v>66</v>
      </c>
      <c r="H463" s="3" t="s">
        <v>130</v>
      </c>
      <c r="I463" s="55">
        <v>46183</v>
      </c>
      <c r="J463" s="55">
        <v>46186</v>
      </c>
      <c r="K463" s="55">
        <v>46213</v>
      </c>
      <c r="O463" s="3" t="s">
        <v>9</v>
      </c>
      <c r="R463" s="184"/>
    </row>
    <row r="464" spans="1:18" ht="15" customHeight="1">
      <c r="A464" s="180" t="s">
        <v>128</v>
      </c>
      <c r="B464" s="191"/>
      <c r="C464" s="174">
        <v>161609485</v>
      </c>
      <c r="F464" s="29" t="s">
        <v>129</v>
      </c>
      <c r="G464" s="3" t="s">
        <v>66</v>
      </c>
      <c r="H464" s="3" t="s">
        <v>130</v>
      </c>
      <c r="I464" s="55">
        <v>46183</v>
      </c>
      <c r="J464" s="55">
        <v>46186</v>
      </c>
      <c r="K464" s="55">
        <v>46213</v>
      </c>
      <c r="O464" s="3" t="s">
        <v>9</v>
      </c>
      <c r="R464" s="184"/>
    </row>
    <row r="465" spans="1:18" ht="15" customHeight="1">
      <c r="A465" s="180" t="s">
        <v>128</v>
      </c>
      <c r="B465" s="191"/>
      <c r="C465" s="174">
        <v>161609490</v>
      </c>
      <c r="F465" s="29" t="s">
        <v>129</v>
      </c>
      <c r="G465" s="3" t="s">
        <v>66</v>
      </c>
      <c r="H465" s="3" t="s">
        <v>130</v>
      </c>
      <c r="I465" s="55">
        <v>46183</v>
      </c>
      <c r="J465" s="55">
        <v>46186</v>
      </c>
      <c r="K465" s="55">
        <v>46213</v>
      </c>
      <c r="O465" s="3" t="s">
        <v>9</v>
      </c>
      <c r="R465" s="184"/>
    </row>
    <row r="466" spans="1:18" ht="15" customHeight="1">
      <c r="A466" s="180" t="s">
        <v>128</v>
      </c>
      <c r="B466" s="191"/>
      <c r="C466" s="174">
        <v>161609496</v>
      </c>
      <c r="F466" s="29" t="s">
        <v>129</v>
      </c>
      <c r="G466" s="3" t="s">
        <v>66</v>
      </c>
      <c r="H466" s="3" t="s">
        <v>130</v>
      </c>
      <c r="I466" s="55">
        <v>46183</v>
      </c>
      <c r="J466" s="55">
        <v>46186</v>
      </c>
      <c r="K466" s="55">
        <v>46213</v>
      </c>
      <c r="O466" s="3" t="s">
        <v>9</v>
      </c>
      <c r="R466" s="184"/>
    </row>
    <row r="467" spans="1:18" ht="15" customHeight="1">
      <c r="A467" s="180" t="s">
        <v>128</v>
      </c>
      <c r="B467" s="191"/>
      <c r="C467" s="174">
        <v>161609504</v>
      </c>
      <c r="F467" s="29" t="s">
        <v>129</v>
      </c>
      <c r="G467" s="3" t="s">
        <v>66</v>
      </c>
      <c r="H467" s="3" t="s">
        <v>130</v>
      </c>
      <c r="I467" s="55">
        <v>46183</v>
      </c>
      <c r="J467" s="55">
        <v>46186</v>
      </c>
      <c r="K467" s="55">
        <v>46213</v>
      </c>
      <c r="O467" s="3" t="s">
        <v>9</v>
      </c>
      <c r="R467" s="184"/>
    </row>
    <row r="468" spans="1:18" ht="15" customHeight="1">
      <c r="A468" s="180" t="s">
        <v>128</v>
      </c>
      <c r="B468" s="191"/>
      <c r="C468" s="174">
        <v>161609507</v>
      </c>
      <c r="F468" s="29" t="s">
        <v>129</v>
      </c>
      <c r="G468" s="3" t="s">
        <v>66</v>
      </c>
      <c r="H468" s="3" t="s">
        <v>130</v>
      </c>
      <c r="I468" s="55">
        <v>46183</v>
      </c>
      <c r="J468" s="55">
        <v>46186</v>
      </c>
      <c r="K468" s="55">
        <v>46213</v>
      </c>
      <c r="O468" s="3" t="s">
        <v>9</v>
      </c>
      <c r="R468" s="184"/>
    </row>
    <row r="469" spans="1:18" ht="15" customHeight="1">
      <c r="A469" s="180" t="s">
        <v>128</v>
      </c>
      <c r="B469" s="191"/>
      <c r="C469" s="174">
        <v>161609512</v>
      </c>
      <c r="F469" s="29" t="s">
        <v>129</v>
      </c>
      <c r="G469" s="3" t="s">
        <v>66</v>
      </c>
      <c r="H469" s="3" t="s">
        <v>130</v>
      </c>
      <c r="I469" s="55">
        <v>46183</v>
      </c>
      <c r="J469" s="55">
        <v>46186</v>
      </c>
      <c r="K469" s="55">
        <v>46213</v>
      </c>
      <c r="O469" s="3" t="s">
        <v>9</v>
      </c>
      <c r="R469" s="184"/>
    </row>
    <row r="470" spans="1:18" ht="15" customHeight="1">
      <c r="A470" s="180" t="s">
        <v>128</v>
      </c>
      <c r="B470" s="191"/>
      <c r="C470" s="174">
        <v>161609516</v>
      </c>
      <c r="F470" s="29" t="s">
        <v>129</v>
      </c>
      <c r="G470" s="3" t="s">
        <v>66</v>
      </c>
      <c r="H470" s="3" t="s">
        <v>130</v>
      </c>
      <c r="I470" s="55">
        <v>46183</v>
      </c>
      <c r="J470" s="55">
        <v>46186</v>
      </c>
      <c r="K470" s="55">
        <v>46213</v>
      </c>
      <c r="O470" s="3" t="s">
        <v>9</v>
      </c>
      <c r="R470" s="184"/>
    </row>
    <row r="471" spans="1:18" ht="15" customHeight="1">
      <c r="A471" s="180" t="s">
        <v>128</v>
      </c>
      <c r="B471" s="191"/>
      <c r="C471" s="174">
        <v>161609519</v>
      </c>
      <c r="F471" s="29" t="s">
        <v>129</v>
      </c>
      <c r="G471" s="3" t="s">
        <v>66</v>
      </c>
      <c r="H471" s="3" t="s">
        <v>130</v>
      </c>
      <c r="I471" s="55">
        <v>46183</v>
      </c>
      <c r="J471" s="55">
        <v>46186</v>
      </c>
      <c r="K471" s="55">
        <v>46213</v>
      </c>
      <c r="O471" s="3" t="s">
        <v>9</v>
      </c>
      <c r="R471" s="184"/>
    </row>
    <row r="472" spans="1:18" ht="15" customHeight="1">
      <c r="A472" s="180" t="s">
        <v>128</v>
      </c>
      <c r="B472" s="191"/>
      <c r="C472" s="174">
        <v>161609521</v>
      </c>
      <c r="F472" s="29" t="s">
        <v>129</v>
      </c>
      <c r="G472" s="3" t="s">
        <v>66</v>
      </c>
      <c r="H472" s="3" t="s">
        <v>130</v>
      </c>
      <c r="I472" s="55">
        <v>46183</v>
      </c>
      <c r="J472" s="55">
        <v>46186</v>
      </c>
      <c r="K472" s="55">
        <v>46213</v>
      </c>
      <c r="O472" s="3" t="s">
        <v>9</v>
      </c>
      <c r="R472" s="184"/>
    </row>
    <row r="473" spans="1:18" ht="15" customHeight="1">
      <c r="A473" s="180" t="s">
        <v>128</v>
      </c>
      <c r="B473" s="191"/>
      <c r="C473" s="174">
        <v>161609524</v>
      </c>
      <c r="F473" s="29" t="s">
        <v>129</v>
      </c>
      <c r="G473" s="3" t="s">
        <v>66</v>
      </c>
      <c r="H473" s="3" t="s">
        <v>130</v>
      </c>
      <c r="I473" s="55">
        <v>46183</v>
      </c>
      <c r="J473" s="55">
        <v>46186</v>
      </c>
      <c r="K473" s="55">
        <v>46213</v>
      </c>
      <c r="O473" s="3" t="s">
        <v>9</v>
      </c>
      <c r="R473" s="184"/>
    </row>
    <row r="474" spans="1:18" ht="15" customHeight="1">
      <c r="A474" s="180" t="s">
        <v>128</v>
      </c>
      <c r="B474" s="191"/>
      <c r="C474" s="174">
        <v>161609526</v>
      </c>
      <c r="F474" s="29" t="s">
        <v>129</v>
      </c>
      <c r="G474" s="3" t="s">
        <v>66</v>
      </c>
      <c r="H474" s="3" t="s">
        <v>130</v>
      </c>
      <c r="I474" s="55">
        <v>46183</v>
      </c>
      <c r="J474" s="55">
        <v>46186</v>
      </c>
      <c r="K474" s="55">
        <v>46213</v>
      </c>
      <c r="O474" s="3" t="s">
        <v>9</v>
      </c>
      <c r="R474" s="184"/>
    </row>
    <row r="475" spans="1:18" ht="15" customHeight="1">
      <c r="A475" s="180" t="s">
        <v>128</v>
      </c>
      <c r="B475" s="191"/>
      <c r="C475" s="174">
        <v>161609527</v>
      </c>
      <c r="F475" s="29" t="s">
        <v>129</v>
      </c>
      <c r="G475" s="3" t="s">
        <v>66</v>
      </c>
      <c r="H475" s="3" t="s">
        <v>130</v>
      </c>
      <c r="I475" s="55">
        <v>46183</v>
      </c>
      <c r="J475" s="55">
        <v>46186</v>
      </c>
      <c r="K475" s="55">
        <v>46213</v>
      </c>
      <c r="O475" s="3" t="s">
        <v>9</v>
      </c>
      <c r="R475" s="184"/>
    </row>
    <row r="476" spans="1:18" ht="15" customHeight="1">
      <c r="A476" s="180" t="s">
        <v>162</v>
      </c>
      <c r="B476" s="191"/>
      <c r="C476" s="174">
        <v>147604963</v>
      </c>
      <c r="F476" s="29" t="s">
        <v>163</v>
      </c>
      <c r="G476" s="3" t="s">
        <v>164</v>
      </c>
      <c r="H476" s="3" t="s">
        <v>30</v>
      </c>
      <c r="I476" s="55">
        <v>46168</v>
      </c>
      <c r="J476" s="55">
        <v>46171</v>
      </c>
      <c r="K476" s="55">
        <v>46199</v>
      </c>
      <c r="O476" s="3" t="s">
        <v>9</v>
      </c>
      <c r="R476" s="184"/>
    </row>
    <row r="477" spans="1:18" ht="15" customHeight="1">
      <c r="A477" s="180" t="s">
        <v>162</v>
      </c>
      <c r="B477" s="191"/>
      <c r="C477" s="174">
        <v>147604803</v>
      </c>
      <c r="F477" s="29" t="s">
        <v>163</v>
      </c>
      <c r="G477" s="3" t="s">
        <v>164</v>
      </c>
      <c r="H477" s="3" t="s">
        <v>30</v>
      </c>
      <c r="I477" s="55">
        <v>46168</v>
      </c>
      <c r="J477" s="55">
        <v>46171</v>
      </c>
      <c r="K477" s="55">
        <v>46199</v>
      </c>
      <c r="O477" s="3" t="s">
        <v>9</v>
      </c>
      <c r="R477" s="184"/>
    </row>
    <row r="478" spans="1:18" ht="15" customHeight="1">
      <c r="A478" s="180" t="s">
        <v>162</v>
      </c>
      <c r="B478" s="191"/>
      <c r="C478" s="174">
        <v>147605087</v>
      </c>
      <c r="F478" s="29" t="s">
        <v>163</v>
      </c>
      <c r="G478" s="3" t="s">
        <v>164</v>
      </c>
      <c r="H478" s="3" t="s">
        <v>30</v>
      </c>
      <c r="I478" s="55">
        <v>46168</v>
      </c>
      <c r="J478" s="55">
        <v>46171</v>
      </c>
      <c r="K478" s="55">
        <v>46199</v>
      </c>
      <c r="O478" s="3" t="s">
        <v>9</v>
      </c>
      <c r="R478" s="184"/>
    </row>
    <row r="479" spans="1:18" ht="15" customHeight="1">
      <c r="A479" s="180" t="s">
        <v>162</v>
      </c>
      <c r="B479" s="191"/>
      <c r="C479" s="174">
        <v>147605275</v>
      </c>
      <c r="F479" s="29" t="s">
        <v>163</v>
      </c>
      <c r="G479" s="3" t="s">
        <v>164</v>
      </c>
      <c r="H479" s="3" t="s">
        <v>30</v>
      </c>
      <c r="I479" s="55">
        <v>46168</v>
      </c>
      <c r="J479" s="55">
        <v>46171</v>
      </c>
      <c r="K479" s="55">
        <v>46199</v>
      </c>
      <c r="O479" s="3" t="s">
        <v>9</v>
      </c>
      <c r="R479" s="184"/>
    </row>
    <row r="480" spans="1:18" ht="15" customHeight="1">
      <c r="A480" s="180" t="s">
        <v>162</v>
      </c>
      <c r="B480" s="191"/>
      <c r="C480" s="174">
        <v>147605379</v>
      </c>
      <c r="F480" s="29" t="s">
        <v>163</v>
      </c>
      <c r="G480" s="3" t="s">
        <v>164</v>
      </c>
      <c r="H480" s="3" t="s">
        <v>30</v>
      </c>
      <c r="I480" s="55">
        <v>46168</v>
      </c>
      <c r="J480" s="55">
        <v>46171</v>
      </c>
      <c r="K480" s="55">
        <v>46199</v>
      </c>
      <c r="O480" s="3" t="s">
        <v>9</v>
      </c>
      <c r="R480" s="184"/>
    </row>
    <row r="481" spans="1:18" ht="15" customHeight="1">
      <c r="A481" s="180" t="s">
        <v>165</v>
      </c>
      <c r="B481" s="191"/>
      <c r="C481" s="174">
        <v>139603849</v>
      </c>
      <c r="F481" s="29" t="s">
        <v>166</v>
      </c>
      <c r="G481" s="3" t="s">
        <v>66</v>
      </c>
      <c r="H481" s="3" t="s">
        <v>157</v>
      </c>
      <c r="I481" s="55">
        <v>46175</v>
      </c>
      <c r="J481" s="55">
        <v>46178</v>
      </c>
      <c r="K481" s="55">
        <v>46205</v>
      </c>
      <c r="O481" s="3" t="s">
        <v>9</v>
      </c>
      <c r="R481" s="184"/>
    </row>
    <row r="482" spans="1:18" ht="15" customHeight="1">
      <c r="A482" s="180" t="s">
        <v>165</v>
      </c>
      <c r="B482" s="191"/>
      <c r="C482" s="174">
        <v>139603642</v>
      </c>
      <c r="F482" s="29" t="s">
        <v>166</v>
      </c>
      <c r="G482" s="3" t="s">
        <v>66</v>
      </c>
      <c r="H482" s="3" t="s">
        <v>157</v>
      </c>
      <c r="I482" s="55">
        <v>46175</v>
      </c>
      <c r="J482" s="55">
        <v>46178</v>
      </c>
      <c r="K482" s="55">
        <v>46205</v>
      </c>
      <c r="O482" s="3" t="s">
        <v>9</v>
      </c>
      <c r="R482" s="184"/>
    </row>
    <row r="483" spans="1:18" ht="15" customHeight="1">
      <c r="A483" s="180" t="s">
        <v>165</v>
      </c>
      <c r="B483" s="191"/>
      <c r="C483" s="174">
        <v>139603580</v>
      </c>
      <c r="F483" s="29" t="s">
        <v>166</v>
      </c>
      <c r="G483" s="3" t="s">
        <v>66</v>
      </c>
      <c r="H483" s="3" t="s">
        <v>157</v>
      </c>
      <c r="I483" s="55">
        <v>46175</v>
      </c>
      <c r="J483" s="55">
        <v>46178</v>
      </c>
      <c r="K483" s="55">
        <v>46205</v>
      </c>
      <c r="O483" s="3" t="s">
        <v>9</v>
      </c>
      <c r="R483" s="184"/>
    </row>
    <row r="484" spans="1:18" ht="15" customHeight="1">
      <c r="A484" s="180" t="s">
        <v>165</v>
      </c>
      <c r="B484" s="191"/>
      <c r="C484" s="174">
        <v>139603674</v>
      </c>
      <c r="F484" s="29" t="s">
        <v>166</v>
      </c>
      <c r="G484" s="3" t="s">
        <v>66</v>
      </c>
      <c r="H484" s="3" t="s">
        <v>157</v>
      </c>
      <c r="I484" s="55">
        <v>46175</v>
      </c>
      <c r="J484" s="55">
        <v>46178</v>
      </c>
      <c r="K484" s="55">
        <v>46205</v>
      </c>
      <c r="O484" s="3" t="s">
        <v>9</v>
      </c>
      <c r="R484" s="184"/>
    </row>
    <row r="485" spans="1:18" ht="15" customHeight="1">
      <c r="A485" s="180" t="s">
        <v>165</v>
      </c>
      <c r="B485" s="191"/>
      <c r="C485" s="174">
        <v>139603725</v>
      </c>
      <c r="F485" s="29" t="s">
        <v>166</v>
      </c>
      <c r="G485" s="3" t="s">
        <v>66</v>
      </c>
      <c r="H485" s="3" t="s">
        <v>157</v>
      </c>
      <c r="I485" s="55">
        <v>46175</v>
      </c>
      <c r="J485" s="55">
        <v>46178</v>
      </c>
      <c r="K485" s="55">
        <v>46205</v>
      </c>
      <c r="O485" s="3" t="s">
        <v>9</v>
      </c>
      <c r="R485" s="184"/>
    </row>
    <row r="486" spans="1:18" ht="15" customHeight="1">
      <c r="A486" s="180" t="s">
        <v>165</v>
      </c>
      <c r="B486" s="191"/>
      <c r="C486" s="174">
        <v>139603962</v>
      </c>
      <c r="F486" s="29" t="s">
        <v>166</v>
      </c>
      <c r="G486" s="3" t="s">
        <v>66</v>
      </c>
      <c r="H486" s="3" t="s">
        <v>157</v>
      </c>
      <c r="I486" s="55">
        <v>46175</v>
      </c>
      <c r="J486" s="55">
        <v>46178</v>
      </c>
      <c r="K486" s="55">
        <v>46205</v>
      </c>
      <c r="O486" s="3" t="s">
        <v>9</v>
      </c>
      <c r="R486" s="184"/>
    </row>
    <row r="487" spans="1:18" ht="15" customHeight="1">
      <c r="A487" s="180" t="s">
        <v>165</v>
      </c>
      <c r="B487" s="191"/>
      <c r="C487" s="174">
        <v>139603901</v>
      </c>
      <c r="F487" s="29" t="s">
        <v>166</v>
      </c>
      <c r="G487" s="3" t="s">
        <v>66</v>
      </c>
      <c r="H487" s="3" t="s">
        <v>157</v>
      </c>
      <c r="I487" s="55">
        <v>46175</v>
      </c>
      <c r="J487" s="55">
        <v>46178</v>
      </c>
      <c r="K487" s="55">
        <v>46205</v>
      </c>
      <c r="O487" s="3" t="s">
        <v>9</v>
      </c>
      <c r="R487" s="184"/>
    </row>
    <row r="488" spans="1:18" ht="15" customHeight="1">
      <c r="A488" s="180" t="s">
        <v>165</v>
      </c>
      <c r="B488" s="191"/>
      <c r="C488" s="174">
        <v>139603795</v>
      </c>
      <c r="F488" s="29" t="s">
        <v>166</v>
      </c>
      <c r="G488" s="3" t="s">
        <v>66</v>
      </c>
      <c r="H488" s="3" t="s">
        <v>157</v>
      </c>
      <c r="I488" s="55">
        <v>46175</v>
      </c>
      <c r="J488" s="55">
        <v>46178</v>
      </c>
      <c r="K488" s="55">
        <v>46205</v>
      </c>
      <c r="O488" s="3" t="s">
        <v>9</v>
      </c>
      <c r="R488" s="184"/>
    </row>
    <row r="489" spans="1:18" ht="15" customHeight="1">
      <c r="A489" s="180" t="s">
        <v>165</v>
      </c>
      <c r="B489" s="191"/>
      <c r="C489" s="174">
        <v>139603876</v>
      </c>
      <c r="F489" s="29" t="s">
        <v>166</v>
      </c>
      <c r="G489" s="3" t="s">
        <v>66</v>
      </c>
      <c r="H489" s="3" t="s">
        <v>157</v>
      </c>
      <c r="I489" s="55">
        <v>46175</v>
      </c>
      <c r="J489" s="55">
        <v>46178</v>
      </c>
      <c r="K489" s="55">
        <v>46205</v>
      </c>
      <c r="O489" s="3" t="s">
        <v>9</v>
      </c>
      <c r="R489" s="184"/>
    </row>
    <row r="490" spans="1:18" ht="15" customHeight="1">
      <c r="A490" s="180" t="s">
        <v>167</v>
      </c>
      <c r="B490" s="191"/>
      <c r="C490" s="174">
        <v>155607671</v>
      </c>
      <c r="F490" s="29" t="s">
        <v>168</v>
      </c>
      <c r="G490" s="3" t="s">
        <v>169</v>
      </c>
      <c r="H490" s="3" t="s">
        <v>170</v>
      </c>
      <c r="I490" s="55">
        <v>46175</v>
      </c>
      <c r="J490" s="55">
        <v>46178</v>
      </c>
      <c r="K490" s="55">
        <v>46205</v>
      </c>
      <c r="O490" s="3" t="s">
        <v>10</v>
      </c>
      <c r="P490" s="55">
        <v>46181</v>
      </c>
      <c r="R490" s="184"/>
    </row>
    <row r="491" spans="1:18" ht="15" customHeight="1">
      <c r="A491" s="180" t="s">
        <v>167</v>
      </c>
      <c r="B491" s="191"/>
      <c r="C491" s="174">
        <v>155607621</v>
      </c>
      <c r="F491" s="29" t="s">
        <v>168</v>
      </c>
      <c r="G491" s="3" t="s">
        <v>169</v>
      </c>
      <c r="H491" s="3" t="s">
        <v>170</v>
      </c>
      <c r="I491" s="55">
        <v>46175</v>
      </c>
      <c r="J491" s="55">
        <v>46178</v>
      </c>
      <c r="K491" s="55">
        <v>46205</v>
      </c>
      <c r="O491" s="3" t="s">
        <v>10</v>
      </c>
      <c r="P491" s="55">
        <v>46181</v>
      </c>
      <c r="R491" s="184"/>
    </row>
    <row r="492" spans="1:18" ht="15" customHeight="1">
      <c r="A492" s="180" t="s">
        <v>167</v>
      </c>
      <c r="B492" s="191"/>
      <c r="C492" s="174">
        <v>155607573</v>
      </c>
      <c r="F492" s="29" t="s">
        <v>168</v>
      </c>
      <c r="G492" s="3" t="s">
        <v>169</v>
      </c>
      <c r="H492" s="3" t="s">
        <v>170</v>
      </c>
      <c r="I492" s="55">
        <v>46175</v>
      </c>
      <c r="J492" s="55">
        <v>46178</v>
      </c>
      <c r="K492" s="55">
        <v>46205</v>
      </c>
      <c r="O492" s="3" t="s">
        <v>9</v>
      </c>
      <c r="R492" s="184"/>
    </row>
    <row r="493" spans="1:18" ht="15" customHeight="1">
      <c r="A493" s="180" t="s">
        <v>167</v>
      </c>
      <c r="B493" s="191"/>
      <c r="C493" s="174">
        <v>155607553</v>
      </c>
      <c r="F493" s="29" t="s">
        <v>168</v>
      </c>
      <c r="G493" s="3" t="s">
        <v>169</v>
      </c>
      <c r="H493" s="3" t="s">
        <v>170</v>
      </c>
      <c r="I493" s="55">
        <v>46175</v>
      </c>
      <c r="J493" s="55">
        <v>46178</v>
      </c>
      <c r="K493" s="55">
        <v>46205</v>
      </c>
      <c r="O493" s="3" t="s">
        <v>10</v>
      </c>
      <c r="P493" s="55">
        <v>46181</v>
      </c>
      <c r="R493" s="184"/>
    </row>
    <row r="494" spans="1:18" ht="15" customHeight="1">
      <c r="A494" s="180" t="s">
        <v>171</v>
      </c>
      <c r="B494" s="191"/>
      <c r="C494" s="174">
        <v>153600010</v>
      </c>
      <c r="F494" s="29" t="s">
        <v>168</v>
      </c>
      <c r="G494" s="3" t="s">
        <v>169</v>
      </c>
      <c r="H494" s="3" t="s">
        <v>170</v>
      </c>
      <c r="I494" s="55">
        <v>46175</v>
      </c>
      <c r="J494" s="55">
        <v>46178</v>
      </c>
      <c r="K494" s="55">
        <v>46205</v>
      </c>
      <c r="O494" s="3" t="s">
        <v>10</v>
      </c>
      <c r="P494" s="55">
        <v>46181</v>
      </c>
      <c r="R494" s="184"/>
    </row>
    <row r="495" spans="1:18" ht="15" customHeight="1">
      <c r="A495" s="180" t="s">
        <v>171</v>
      </c>
      <c r="B495" s="191"/>
      <c r="C495" s="174">
        <v>153600007</v>
      </c>
      <c r="F495" s="29" t="s">
        <v>168</v>
      </c>
      <c r="G495" s="3" t="s">
        <v>169</v>
      </c>
      <c r="H495" s="3" t="s">
        <v>170</v>
      </c>
      <c r="I495" s="55">
        <v>46175</v>
      </c>
      <c r="J495" s="55">
        <v>46178</v>
      </c>
      <c r="K495" s="55">
        <v>46205</v>
      </c>
      <c r="O495" s="3" t="s">
        <v>10</v>
      </c>
      <c r="P495" s="55">
        <v>46181</v>
      </c>
      <c r="R495" s="184"/>
    </row>
    <row r="496" spans="1:18" ht="15" customHeight="1">
      <c r="A496" s="180" t="s">
        <v>171</v>
      </c>
      <c r="B496" s="191"/>
      <c r="C496" s="174">
        <v>153600005</v>
      </c>
      <c r="F496" s="29" t="s">
        <v>168</v>
      </c>
      <c r="G496" s="3" t="s">
        <v>169</v>
      </c>
      <c r="H496" s="3" t="s">
        <v>170</v>
      </c>
      <c r="I496" s="55">
        <v>46175</v>
      </c>
      <c r="J496" s="55">
        <v>46178</v>
      </c>
      <c r="K496" s="55">
        <v>46205</v>
      </c>
      <c r="O496" s="3" t="s">
        <v>10</v>
      </c>
      <c r="P496" s="55">
        <v>46181</v>
      </c>
      <c r="R496" s="184"/>
    </row>
    <row r="497" spans="1:18" ht="15" customHeight="1">
      <c r="A497" s="180" t="s">
        <v>171</v>
      </c>
      <c r="B497" s="191"/>
      <c r="C497" s="174">
        <v>153600003</v>
      </c>
      <c r="F497" s="29" t="s">
        <v>168</v>
      </c>
      <c r="G497" s="3" t="s">
        <v>169</v>
      </c>
      <c r="H497" s="3" t="s">
        <v>170</v>
      </c>
      <c r="I497" s="55">
        <v>46175</v>
      </c>
      <c r="J497" s="55">
        <v>46178</v>
      </c>
      <c r="K497" s="55">
        <v>46205</v>
      </c>
      <c r="O497" s="3" t="s">
        <v>10</v>
      </c>
      <c r="P497" s="55">
        <v>46181</v>
      </c>
      <c r="R497" s="184"/>
    </row>
    <row r="498" spans="1:18" ht="15" customHeight="1">
      <c r="A498" s="180" t="s">
        <v>171</v>
      </c>
      <c r="B498" s="191"/>
      <c r="C498" s="174">
        <v>153600001</v>
      </c>
      <c r="F498" s="29" t="s">
        <v>168</v>
      </c>
      <c r="G498" s="3" t="s">
        <v>169</v>
      </c>
      <c r="H498" s="3" t="s">
        <v>170</v>
      </c>
      <c r="I498" s="55">
        <v>46175</v>
      </c>
      <c r="J498" s="55">
        <v>46178</v>
      </c>
      <c r="K498" s="55">
        <v>46205</v>
      </c>
      <c r="O498" s="3" t="s">
        <v>10</v>
      </c>
      <c r="P498" s="55">
        <v>46181</v>
      </c>
      <c r="R498" s="184"/>
    </row>
    <row r="499" spans="1:18" ht="15" customHeight="1">
      <c r="A499" s="180" t="s">
        <v>172</v>
      </c>
      <c r="B499" s="191"/>
      <c r="C499" s="174">
        <v>152611593</v>
      </c>
      <c r="F499" s="29" t="s">
        <v>168</v>
      </c>
      <c r="G499" s="3" t="s">
        <v>169</v>
      </c>
      <c r="H499" s="3" t="s">
        <v>170</v>
      </c>
      <c r="I499" s="55">
        <v>46175</v>
      </c>
      <c r="J499" s="55">
        <v>46178</v>
      </c>
      <c r="K499" s="55">
        <v>46205</v>
      </c>
      <c r="O499" s="3" t="s">
        <v>10</v>
      </c>
      <c r="P499" s="55">
        <v>46181</v>
      </c>
      <c r="R499" s="184"/>
    </row>
    <row r="500" spans="1:18" ht="15" customHeight="1">
      <c r="A500" s="180" t="s">
        <v>172</v>
      </c>
      <c r="B500" s="191"/>
      <c r="C500" s="174">
        <v>152611583</v>
      </c>
      <c r="F500" s="29" t="s">
        <v>168</v>
      </c>
      <c r="G500" s="3" t="s">
        <v>169</v>
      </c>
      <c r="H500" s="3" t="s">
        <v>170</v>
      </c>
      <c r="I500" s="55">
        <v>46175</v>
      </c>
      <c r="J500" s="55">
        <v>46178</v>
      </c>
      <c r="K500" s="55">
        <v>46205</v>
      </c>
      <c r="O500" s="3" t="s">
        <v>10</v>
      </c>
      <c r="P500" s="55">
        <v>46181</v>
      </c>
      <c r="R500" s="184"/>
    </row>
    <row r="501" spans="1:18" ht="15" customHeight="1">
      <c r="A501" s="180" t="s">
        <v>172</v>
      </c>
      <c r="B501" s="191"/>
      <c r="C501" s="174">
        <v>152611578</v>
      </c>
      <c r="F501" s="29" t="s">
        <v>168</v>
      </c>
      <c r="G501" s="3" t="s">
        <v>169</v>
      </c>
      <c r="H501" s="3" t="s">
        <v>170</v>
      </c>
      <c r="I501" s="55">
        <v>46175</v>
      </c>
      <c r="J501" s="55">
        <v>46178</v>
      </c>
      <c r="K501" s="55">
        <v>46205</v>
      </c>
      <c r="O501" s="3" t="s">
        <v>10</v>
      </c>
      <c r="P501" s="55">
        <v>46181</v>
      </c>
      <c r="R501" s="184"/>
    </row>
    <row r="502" spans="1:18" ht="15" customHeight="1">
      <c r="A502" s="180" t="s">
        <v>172</v>
      </c>
      <c r="B502" s="191"/>
      <c r="C502" s="174">
        <v>152611574</v>
      </c>
      <c r="F502" s="29" t="s">
        <v>168</v>
      </c>
      <c r="G502" s="3" t="s">
        <v>169</v>
      </c>
      <c r="H502" s="3" t="s">
        <v>170</v>
      </c>
      <c r="I502" s="55">
        <v>46175</v>
      </c>
      <c r="J502" s="55">
        <v>46178</v>
      </c>
      <c r="K502" s="55">
        <v>46205</v>
      </c>
      <c r="O502" s="3" t="s">
        <v>10</v>
      </c>
      <c r="P502" s="55">
        <v>46181</v>
      </c>
      <c r="R502" s="184"/>
    </row>
    <row r="503" spans="1:18" ht="15" customHeight="1">
      <c r="A503" s="180" t="s">
        <v>172</v>
      </c>
      <c r="B503" s="191"/>
      <c r="C503" s="174">
        <v>152611552</v>
      </c>
      <c r="F503" s="29" t="s">
        <v>168</v>
      </c>
      <c r="G503" s="3" t="s">
        <v>169</v>
      </c>
      <c r="H503" s="3" t="s">
        <v>170</v>
      </c>
      <c r="I503" s="55">
        <v>46175</v>
      </c>
      <c r="J503" s="55">
        <v>46178</v>
      </c>
      <c r="K503" s="55">
        <v>46205</v>
      </c>
      <c r="O503" s="3" t="s">
        <v>10</v>
      </c>
      <c r="P503" s="55">
        <v>46181</v>
      </c>
      <c r="R503" s="184"/>
    </row>
    <row r="504" spans="1:18" ht="15" customHeight="1">
      <c r="A504" s="180" t="s">
        <v>173</v>
      </c>
      <c r="B504" s="191"/>
      <c r="C504" s="174">
        <v>152611543</v>
      </c>
      <c r="F504" s="29" t="s">
        <v>168</v>
      </c>
      <c r="G504" s="3" t="s">
        <v>169</v>
      </c>
      <c r="H504" s="3" t="s">
        <v>170</v>
      </c>
      <c r="I504" s="55">
        <v>46175</v>
      </c>
      <c r="J504" s="55">
        <v>46178</v>
      </c>
      <c r="K504" s="55">
        <v>46205</v>
      </c>
      <c r="O504" s="3" t="s">
        <v>10</v>
      </c>
      <c r="P504" s="55">
        <v>46181</v>
      </c>
      <c r="R504" s="184"/>
    </row>
    <row r="505" spans="1:18" ht="15" customHeight="1">
      <c r="A505" s="180" t="s">
        <v>173</v>
      </c>
      <c r="B505" s="191"/>
      <c r="C505" s="174">
        <v>152611541</v>
      </c>
      <c r="F505" s="29" t="s">
        <v>168</v>
      </c>
      <c r="G505" s="3" t="s">
        <v>169</v>
      </c>
      <c r="H505" s="3" t="s">
        <v>170</v>
      </c>
      <c r="I505" s="55">
        <v>46175</v>
      </c>
      <c r="J505" s="55">
        <v>46178</v>
      </c>
      <c r="K505" s="55">
        <v>46205</v>
      </c>
      <c r="O505" s="3" t="s">
        <v>10</v>
      </c>
      <c r="P505" s="55">
        <v>46181</v>
      </c>
      <c r="R505" s="184"/>
    </row>
    <row r="506" spans="1:18" ht="15" customHeight="1">
      <c r="A506" s="180" t="s">
        <v>173</v>
      </c>
      <c r="B506" s="191"/>
      <c r="C506" s="174">
        <v>152611535</v>
      </c>
      <c r="F506" s="29" t="s">
        <v>168</v>
      </c>
      <c r="G506" s="3" t="s">
        <v>169</v>
      </c>
      <c r="H506" s="3" t="s">
        <v>170</v>
      </c>
      <c r="I506" s="55">
        <v>46175</v>
      </c>
      <c r="J506" s="55">
        <v>46178</v>
      </c>
      <c r="K506" s="55">
        <v>46205</v>
      </c>
      <c r="O506" s="3" t="s">
        <v>10</v>
      </c>
      <c r="P506" s="55">
        <v>46181</v>
      </c>
      <c r="R506" s="184"/>
    </row>
    <row r="507" spans="1:18" ht="15" customHeight="1">
      <c r="A507" s="180" t="s">
        <v>173</v>
      </c>
      <c r="B507" s="191"/>
      <c r="C507" s="174">
        <v>152611533</v>
      </c>
      <c r="F507" s="29" t="s">
        <v>168</v>
      </c>
      <c r="G507" s="3" t="s">
        <v>169</v>
      </c>
      <c r="H507" s="3" t="s">
        <v>170</v>
      </c>
      <c r="I507" s="55">
        <v>46175</v>
      </c>
      <c r="J507" s="55">
        <v>46178</v>
      </c>
      <c r="K507" s="55">
        <v>46205</v>
      </c>
      <c r="O507" s="3" t="s">
        <v>10</v>
      </c>
      <c r="P507" s="55">
        <v>46181</v>
      </c>
      <c r="R507" s="184"/>
    </row>
    <row r="508" spans="1:18" ht="15" customHeight="1">
      <c r="A508" s="180" t="s">
        <v>173</v>
      </c>
      <c r="B508" s="191"/>
      <c r="C508" s="174">
        <v>152611530</v>
      </c>
      <c r="F508" s="29" t="s">
        <v>168</v>
      </c>
      <c r="G508" s="3" t="s">
        <v>169</v>
      </c>
      <c r="H508" s="3" t="s">
        <v>170</v>
      </c>
      <c r="I508" s="55">
        <v>46175</v>
      </c>
      <c r="J508" s="55">
        <v>46178</v>
      </c>
      <c r="K508" s="55">
        <v>46205</v>
      </c>
      <c r="O508" s="3" t="s">
        <v>10</v>
      </c>
      <c r="P508" s="55">
        <v>46181</v>
      </c>
      <c r="R508" s="184"/>
    </row>
    <row r="509" spans="1:18" ht="15" customHeight="1">
      <c r="A509" s="180" t="s">
        <v>174</v>
      </c>
      <c r="B509" s="191"/>
      <c r="C509" s="174">
        <v>151600890</v>
      </c>
      <c r="F509" s="29" t="s">
        <v>168</v>
      </c>
      <c r="G509" s="3" t="s">
        <v>169</v>
      </c>
      <c r="H509" s="3" t="s">
        <v>170</v>
      </c>
      <c r="I509" s="55">
        <v>46175</v>
      </c>
      <c r="J509" s="55">
        <v>46178</v>
      </c>
      <c r="K509" s="55">
        <v>46205</v>
      </c>
      <c r="O509" s="3" t="s">
        <v>10</v>
      </c>
      <c r="P509" s="55">
        <v>46181</v>
      </c>
      <c r="R509" s="184"/>
    </row>
    <row r="510" spans="1:18" ht="15" customHeight="1">
      <c r="A510" s="180" t="s">
        <v>174</v>
      </c>
      <c r="B510" s="191"/>
      <c r="C510" s="174">
        <v>151600886</v>
      </c>
      <c r="F510" s="29" t="s">
        <v>168</v>
      </c>
      <c r="G510" s="3" t="s">
        <v>169</v>
      </c>
      <c r="H510" s="3" t="s">
        <v>170</v>
      </c>
      <c r="I510" s="55">
        <v>46175</v>
      </c>
      <c r="J510" s="55">
        <v>46178</v>
      </c>
      <c r="K510" s="55">
        <v>46205</v>
      </c>
      <c r="O510" s="3" t="s">
        <v>10</v>
      </c>
      <c r="P510" s="55">
        <v>46181</v>
      </c>
      <c r="R510" s="184"/>
    </row>
    <row r="511" spans="1:18" ht="15" customHeight="1">
      <c r="A511" s="180" t="s">
        <v>174</v>
      </c>
      <c r="B511" s="191"/>
      <c r="C511" s="174">
        <v>151600884</v>
      </c>
      <c r="F511" s="29" t="s">
        <v>168</v>
      </c>
      <c r="G511" s="3" t="s">
        <v>169</v>
      </c>
      <c r="H511" s="3" t="s">
        <v>170</v>
      </c>
      <c r="I511" s="55">
        <v>46175</v>
      </c>
      <c r="J511" s="55">
        <v>46178</v>
      </c>
      <c r="K511" s="55">
        <v>46205</v>
      </c>
      <c r="O511" s="3" t="s">
        <v>10</v>
      </c>
      <c r="P511" s="55">
        <v>46181</v>
      </c>
      <c r="R511" s="184"/>
    </row>
    <row r="512" spans="1:18" ht="15" customHeight="1">
      <c r="A512" s="180" t="s">
        <v>174</v>
      </c>
      <c r="B512" s="191"/>
      <c r="C512" s="174">
        <v>151600881</v>
      </c>
      <c r="F512" s="29" t="s">
        <v>168</v>
      </c>
      <c r="G512" s="3" t="s">
        <v>169</v>
      </c>
      <c r="H512" s="3" t="s">
        <v>170</v>
      </c>
      <c r="I512" s="55">
        <v>46175</v>
      </c>
      <c r="J512" s="55">
        <v>46178</v>
      </c>
      <c r="K512" s="55">
        <v>46205</v>
      </c>
      <c r="O512" s="3" t="s">
        <v>10</v>
      </c>
      <c r="P512" s="55">
        <v>46181</v>
      </c>
      <c r="R512" s="184"/>
    </row>
    <row r="513" spans="1:18" ht="15" customHeight="1">
      <c r="A513" s="180" t="s">
        <v>175</v>
      </c>
      <c r="B513" s="191"/>
      <c r="C513" s="174">
        <v>151600871</v>
      </c>
      <c r="F513" s="29" t="s">
        <v>168</v>
      </c>
      <c r="G513" s="3" t="s">
        <v>169</v>
      </c>
      <c r="H513" s="3" t="s">
        <v>170</v>
      </c>
      <c r="I513" s="55">
        <v>46175</v>
      </c>
      <c r="J513" s="55">
        <v>46178</v>
      </c>
      <c r="K513" s="55">
        <v>46205</v>
      </c>
      <c r="O513" s="3" t="s">
        <v>10</v>
      </c>
      <c r="P513" s="55">
        <v>46181</v>
      </c>
      <c r="R513" s="184"/>
    </row>
    <row r="514" spans="1:18" ht="15" customHeight="1">
      <c r="A514" s="180" t="s">
        <v>175</v>
      </c>
      <c r="B514" s="191"/>
      <c r="C514" s="174">
        <v>151600857</v>
      </c>
      <c r="F514" s="29" t="s">
        <v>168</v>
      </c>
      <c r="G514" s="3" t="s">
        <v>169</v>
      </c>
      <c r="H514" s="3" t="s">
        <v>170</v>
      </c>
      <c r="I514" s="55">
        <v>46175</v>
      </c>
      <c r="J514" s="55">
        <v>46178</v>
      </c>
      <c r="K514" s="55">
        <v>46205</v>
      </c>
      <c r="O514" s="3" t="s">
        <v>10</v>
      </c>
      <c r="P514" s="55">
        <v>46181</v>
      </c>
      <c r="R514" s="184"/>
    </row>
    <row r="515" spans="1:18" ht="15" customHeight="1">
      <c r="A515" s="180" t="s">
        <v>175</v>
      </c>
      <c r="B515" s="191"/>
      <c r="C515" s="174">
        <v>151600851</v>
      </c>
      <c r="F515" s="29" t="s">
        <v>168</v>
      </c>
      <c r="G515" s="3" t="s">
        <v>169</v>
      </c>
      <c r="H515" s="3" t="s">
        <v>170</v>
      </c>
      <c r="I515" s="55">
        <v>46175</v>
      </c>
      <c r="J515" s="55">
        <v>46178</v>
      </c>
      <c r="K515" s="55">
        <v>46205</v>
      </c>
      <c r="O515" s="3" t="s">
        <v>10</v>
      </c>
      <c r="P515" s="55">
        <v>46181</v>
      </c>
      <c r="R515" s="184"/>
    </row>
    <row r="516" spans="1:18" ht="15" customHeight="1">
      <c r="A516" s="180" t="s">
        <v>175</v>
      </c>
      <c r="B516" s="191"/>
      <c r="C516" s="174">
        <v>151600831</v>
      </c>
      <c r="F516" s="29" t="s">
        <v>168</v>
      </c>
      <c r="G516" s="3" t="s">
        <v>169</v>
      </c>
      <c r="H516" s="3" t="s">
        <v>170</v>
      </c>
      <c r="I516" s="55">
        <v>46175</v>
      </c>
      <c r="J516" s="55">
        <v>46178</v>
      </c>
      <c r="K516" s="55">
        <v>46205</v>
      </c>
      <c r="O516" s="3" t="s">
        <v>10</v>
      </c>
      <c r="P516" s="55">
        <v>46181</v>
      </c>
      <c r="R516" s="184"/>
    </row>
    <row r="517" spans="1:18" ht="15" customHeight="1">
      <c r="A517" s="180" t="s">
        <v>176</v>
      </c>
      <c r="B517" s="191"/>
      <c r="C517" s="174">
        <v>151600823</v>
      </c>
      <c r="F517" s="29" t="s">
        <v>168</v>
      </c>
      <c r="G517" s="3" t="s">
        <v>169</v>
      </c>
      <c r="H517" s="3" t="s">
        <v>170</v>
      </c>
      <c r="I517" s="55">
        <v>46175</v>
      </c>
      <c r="J517" s="55">
        <v>46178</v>
      </c>
      <c r="K517" s="55">
        <v>46205</v>
      </c>
      <c r="O517" s="3" t="s">
        <v>10</v>
      </c>
      <c r="P517" s="55">
        <v>46181</v>
      </c>
      <c r="R517" s="184"/>
    </row>
    <row r="518" spans="1:18" ht="15" customHeight="1">
      <c r="A518" s="180" t="s">
        <v>176</v>
      </c>
      <c r="B518" s="191"/>
      <c r="C518" s="174">
        <v>151600822</v>
      </c>
      <c r="F518" s="29" t="s">
        <v>168</v>
      </c>
      <c r="G518" s="3" t="s">
        <v>169</v>
      </c>
      <c r="H518" s="3" t="s">
        <v>170</v>
      </c>
      <c r="I518" s="55">
        <v>46175</v>
      </c>
      <c r="J518" s="55">
        <v>46178</v>
      </c>
      <c r="K518" s="55">
        <v>46205</v>
      </c>
      <c r="O518" s="3" t="s">
        <v>9</v>
      </c>
      <c r="R518" s="184"/>
    </row>
    <row r="519" spans="1:18" ht="15" customHeight="1">
      <c r="A519" s="180" t="s">
        <v>176</v>
      </c>
      <c r="B519" s="191"/>
      <c r="C519" s="174">
        <v>151600821</v>
      </c>
      <c r="F519" s="29" t="s">
        <v>168</v>
      </c>
      <c r="G519" s="3" t="s">
        <v>169</v>
      </c>
      <c r="H519" s="3" t="s">
        <v>170</v>
      </c>
      <c r="I519" s="55">
        <v>46175</v>
      </c>
      <c r="J519" s="55">
        <v>46178</v>
      </c>
      <c r="K519" s="55">
        <v>46205</v>
      </c>
      <c r="O519" s="3" t="s">
        <v>10</v>
      </c>
      <c r="P519" s="55">
        <v>46181</v>
      </c>
      <c r="R519" s="184"/>
    </row>
    <row r="520" spans="1:18" ht="15" customHeight="1">
      <c r="A520" s="180" t="s">
        <v>176</v>
      </c>
      <c r="B520" s="191"/>
      <c r="C520" s="174">
        <v>151600818</v>
      </c>
      <c r="F520" s="29" t="s">
        <v>168</v>
      </c>
      <c r="G520" s="3" t="s">
        <v>169</v>
      </c>
      <c r="H520" s="3" t="s">
        <v>170</v>
      </c>
      <c r="I520" s="55">
        <v>46175</v>
      </c>
      <c r="J520" s="55">
        <v>46178</v>
      </c>
      <c r="K520" s="55">
        <v>46205</v>
      </c>
      <c r="O520" s="3" t="s">
        <v>10</v>
      </c>
      <c r="P520" s="55">
        <v>46181</v>
      </c>
      <c r="R520" s="184"/>
    </row>
    <row r="521" spans="1:18" ht="15" customHeight="1">
      <c r="A521" s="180" t="s">
        <v>177</v>
      </c>
      <c r="B521" s="191"/>
      <c r="C521" s="174">
        <v>151600798</v>
      </c>
      <c r="F521" s="29" t="s">
        <v>168</v>
      </c>
      <c r="G521" s="3" t="s">
        <v>169</v>
      </c>
      <c r="H521" s="3" t="s">
        <v>170</v>
      </c>
      <c r="I521" s="55">
        <v>46175</v>
      </c>
      <c r="J521" s="55">
        <v>46178</v>
      </c>
      <c r="K521" s="55">
        <v>46205</v>
      </c>
      <c r="O521" s="3" t="s">
        <v>10</v>
      </c>
      <c r="P521" s="55">
        <v>46181</v>
      </c>
      <c r="R521" s="184"/>
    </row>
    <row r="522" spans="1:18" ht="15" customHeight="1">
      <c r="A522" s="180" t="s">
        <v>177</v>
      </c>
      <c r="B522" s="191"/>
      <c r="C522" s="174">
        <v>151600788</v>
      </c>
      <c r="F522" s="29" t="s">
        <v>168</v>
      </c>
      <c r="G522" s="3" t="s">
        <v>169</v>
      </c>
      <c r="H522" s="3" t="s">
        <v>170</v>
      </c>
      <c r="I522" s="55">
        <v>46175</v>
      </c>
      <c r="J522" s="55">
        <v>46178</v>
      </c>
      <c r="K522" s="55">
        <v>46205</v>
      </c>
      <c r="O522" s="3" t="s">
        <v>10</v>
      </c>
      <c r="P522" s="55">
        <v>46181</v>
      </c>
      <c r="R522" s="184"/>
    </row>
    <row r="523" spans="1:18" ht="15" customHeight="1">
      <c r="A523" s="180" t="s">
        <v>177</v>
      </c>
      <c r="B523" s="191"/>
      <c r="C523" s="174">
        <v>151600787</v>
      </c>
      <c r="F523" s="29" t="s">
        <v>168</v>
      </c>
      <c r="G523" s="3" t="s">
        <v>169</v>
      </c>
      <c r="H523" s="3" t="s">
        <v>170</v>
      </c>
      <c r="I523" s="55">
        <v>46175</v>
      </c>
      <c r="J523" s="55">
        <v>46178</v>
      </c>
      <c r="K523" s="55">
        <v>46205</v>
      </c>
      <c r="O523" s="3" t="s">
        <v>10</v>
      </c>
      <c r="P523" s="55">
        <v>46181</v>
      </c>
      <c r="R523" s="184"/>
    </row>
    <row r="524" spans="1:18" ht="15" customHeight="1">
      <c r="A524" s="180" t="s">
        <v>177</v>
      </c>
      <c r="B524" s="191"/>
      <c r="C524" s="174">
        <v>151600781</v>
      </c>
      <c r="F524" s="29" t="s">
        <v>168</v>
      </c>
      <c r="G524" s="3" t="s">
        <v>169</v>
      </c>
      <c r="H524" s="3" t="s">
        <v>170</v>
      </c>
      <c r="I524" s="55">
        <v>46175</v>
      </c>
      <c r="J524" s="55">
        <v>46178</v>
      </c>
      <c r="K524" s="55">
        <v>46205</v>
      </c>
      <c r="O524" s="3" t="s">
        <v>10</v>
      </c>
      <c r="P524" s="55">
        <v>46181</v>
      </c>
      <c r="R524" s="184"/>
    </row>
    <row r="525" spans="1:18" ht="15" customHeight="1">
      <c r="A525" s="180" t="s">
        <v>177</v>
      </c>
      <c r="B525" s="191"/>
      <c r="C525" s="174">
        <v>151600779</v>
      </c>
      <c r="F525" s="29" t="s">
        <v>168</v>
      </c>
      <c r="G525" s="3" t="s">
        <v>169</v>
      </c>
      <c r="H525" s="3" t="s">
        <v>170</v>
      </c>
      <c r="I525" s="55">
        <v>46175</v>
      </c>
      <c r="J525" s="55">
        <v>46178</v>
      </c>
      <c r="K525" s="55">
        <v>46205</v>
      </c>
      <c r="O525" s="3" t="s">
        <v>10</v>
      </c>
      <c r="P525" s="55">
        <v>46181</v>
      </c>
      <c r="R525" s="184"/>
    </row>
    <row r="526" spans="1:18" ht="15" customHeight="1">
      <c r="A526" s="180" t="s">
        <v>100</v>
      </c>
      <c r="B526" s="191"/>
      <c r="C526" s="174">
        <v>135600005</v>
      </c>
      <c r="F526" s="29" t="s">
        <v>168</v>
      </c>
      <c r="G526" s="3" t="s">
        <v>169</v>
      </c>
      <c r="H526" s="3" t="s">
        <v>170</v>
      </c>
      <c r="I526" s="55">
        <v>46175</v>
      </c>
      <c r="J526" s="55">
        <v>46178</v>
      </c>
      <c r="K526" s="55">
        <v>46205</v>
      </c>
      <c r="O526" s="3" t="s">
        <v>10</v>
      </c>
      <c r="P526" s="55">
        <v>46181</v>
      </c>
      <c r="R526" s="184"/>
    </row>
    <row r="527" spans="1:18" ht="15" customHeight="1">
      <c r="A527" s="180" t="s">
        <v>100</v>
      </c>
      <c r="B527" s="191"/>
      <c r="C527" s="174">
        <v>134609401</v>
      </c>
      <c r="F527" s="29" t="s">
        <v>168</v>
      </c>
      <c r="G527" s="3" t="s">
        <v>169</v>
      </c>
      <c r="H527" s="3" t="s">
        <v>170</v>
      </c>
      <c r="I527" s="55">
        <v>46175</v>
      </c>
      <c r="J527" s="55">
        <v>46178</v>
      </c>
      <c r="K527" s="55">
        <v>46205</v>
      </c>
      <c r="O527" s="3" t="s">
        <v>10</v>
      </c>
      <c r="P527" s="55">
        <v>46181</v>
      </c>
      <c r="R527" s="184"/>
    </row>
    <row r="528" spans="1:18" ht="15" customHeight="1">
      <c r="A528" s="180" t="s">
        <v>100</v>
      </c>
      <c r="B528" s="191"/>
      <c r="C528" s="174">
        <v>134609397</v>
      </c>
      <c r="F528" s="29" t="s">
        <v>168</v>
      </c>
      <c r="G528" s="3" t="s">
        <v>169</v>
      </c>
      <c r="H528" s="3" t="s">
        <v>170</v>
      </c>
      <c r="I528" s="55">
        <v>46175</v>
      </c>
      <c r="J528" s="55">
        <v>46178</v>
      </c>
      <c r="K528" s="55">
        <v>46205</v>
      </c>
      <c r="O528" s="3" t="s">
        <v>10</v>
      </c>
      <c r="P528" s="55">
        <v>46181</v>
      </c>
      <c r="R528" s="184"/>
    </row>
    <row r="529" spans="1:18" ht="15" customHeight="1">
      <c r="A529" s="180" t="s">
        <v>100</v>
      </c>
      <c r="B529" s="191"/>
      <c r="C529" s="174">
        <v>134609392</v>
      </c>
      <c r="F529" s="29" t="s">
        <v>168</v>
      </c>
      <c r="G529" s="3" t="s">
        <v>169</v>
      </c>
      <c r="H529" s="3" t="s">
        <v>170</v>
      </c>
      <c r="I529" s="55">
        <v>46175</v>
      </c>
      <c r="J529" s="55">
        <v>46178</v>
      </c>
      <c r="K529" s="55">
        <v>46205</v>
      </c>
      <c r="O529" s="3" t="s">
        <v>10</v>
      </c>
      <c r="P529" s="55">
        <v>46181</v>
      </c>
      <c r="R529" s="184"/>
    </row>
    <row r="530" spans="1:18" ht="15" customHeight="1">
      <c r="A530" s="180" t="s">
        <v>100</v>
      </c>
      <c r="B530" s="191"/>
      <c r="C530" s="174">
        <v>134609389</v>
      </c>
      <c r="F530" s="29" t="s">
        <v>168</v>
      </c>
      <c r="G530" s="3" t="s">
        <v>169</v>
      </c>
      <c r="H530" s="3" t="s">
        <v>170</v>
      </c>
      <c r="I530" s="55">
        <v>46175</v>
      </c>
      <c r="J530" s="55">
        <v>46178</v>
      </c>
      <c r="K530" s="55">
        <v>46205</v>
      </c>
      <c r="O530" s="3" t="s">
        <v>10</v>
      </c>
      <c r="P530" s="55">
        <v>46181</v>
      </c>
      <c r="R530" s="184"/>
    </row>
    <row r="531" spans="1:18" ht="15" customHeight="1">
      <c r="A531" s="180" t="s">
        <v>100</v>
      </c>
      <c r="B531" s="191"/>
      <c r="C531" s="174">
        <v>134609384</v>
      </c>
      <c r="F531" s="29" t="s">
        <v>168</v>
      </c>
      <c r="G531" s="3" t="s">
        <v>169</v>
      </c>
      <c r="H531" s="3" t="s">
        <v>170</v>
      </c>
      <c r="I531" s="55">
        <v>46175</v>
      </c>
      <c r="J531" s="55">
        <v>46178</v>
      </c>
      <c r="K531" s="55">
        <v>46205</v>
      </c>
      <c r="O531" s="3" t="s">
        <v>10</v>
      </c>
      <c r="P531" s="55">
        <v>46181</v>
      </c>
      <c r="R531" s="184"/>
    </row>
    <row r="532" spans="1:18" ht="15" customHeight="1">
      <c r="A532" s="180" t="s">
        <v>100</v>
      </c>
      <c r="B532" s="191"/>
      <c r="C532" s="174">
        <v>134609381</v>
      </c>
      <c r="F532" s="29" t="s">
        <v>168</v>
      </c>
      <c r="G532" s="3" t="s">
        <v>169</v>
      </c>
      <c r="H532" s="3" t="s">
        <v>170</v>
      </c>
      <c r="I532" s="55">
        <v>46175</v>
      </c>
      <c r="J532" s="55">
        <v>46178</v>
      </c>
      <c r="K532" s="55">
        <v>46205</v>
      </c>
      <c r="O532" s="3" t="s">
        <v>10</v>
      </c>
      <c r="P532" s="55">
        <v>46181</v>
      </c>
      <c r="R532" s="184"/>
    </row>
    <row r="533" spans="1:18" ht="15" customHeight="1">
      <c r="A533" s="180" t="s">
        <v>99</v>
      </c>
      <c r="B533" s="191"/>
      <c r="C533" s="174">
        <v>134609213</v>
      </c>
      <c r="F533" s="29" t="s">
        <v>168</v>
      </c>
      <c r="G533" s="3" t="s">
        <v>169</v>
      </c>
      <c r="H533" s="3" t="s">
        <v>170</v>
      </c>
      <c r="I533" s="55">
        <v>46175</v>
      </c>
      <c r="J533" s="55">
        <v>46178</v>
      </c>
      <c r="K533" s="55">
        <v>46205</v>
      </c>
      <c r="O533" s="3" t="s">
        <v>10</v>
      </c>
      <c r="P533" s="55">
        <v>46175</v>
      </c>
      <c r="R533" s="184"/>
    </row>
    <row r="534" spans="1:18" ht="15" customHeight="1">
      <c r="A534" s="180" t="s">
        <v>99</v>
      </c>
      <c r="B534" s="191"/>
      <c r="C534" s="174">
        <v>134609207</v>
      </c>
      <c r="F534" s="29" t="s">
        <v>168</v>
      </c>
      <c r="G534" s="3" t="s">
        <v>169</v>
      </c>
      <c r="H534" s="3" t="s">
        <v>170</v>
      </c>
      <c r="I534" s="55">
        <v>46175</v>
      </c>
      <c r="J534" s="55">
        <v>46178</v>
      </c>
      <c r="K534" s="55">
        <v>46205</v>
      </c>
      <c r="O534" s="3" t="s">
        <v>10</v>
      </c>
      <c r="P534" s="55">
        <v>46175</v>
      </c>
      <c r="R534" s="184"/>
    </row>
    <row r="535" spans="1:18" ht="15" customHeight="1">
      <c r="A535" s="180" t="s">
        <v>99</v>
      </c>
      <c r="B535" s="191"/>
      <c r="C535" s="174">
        <v>134609201</v>
      </c>
      <c r="F535" s="29" t="s">
        <v>168</v>
      </c>
      <c r="G535" s="3" t="s">
        <v>169</v>
      </c>
      <c r="H535" s="3" t="s">
        <v>170</v>
      </c>
      <c r="I535" s="55">
        <v>46175</v>
      </c>
      <c r="J535" s="55">
        <v>46178</v>
      </c>
      <c r="K535" s="55">
        <v>46205</v>
      </c>
      <c r="O535" s="3" t="s">
        <v>10</v>
      </c>
      <c r="P535" s="55">
        <v>46175</v>
      </c>
      <c r="R535" s="184"/>
    </row>
    <row r="536" spans="1:18" ht="15" customHeight="1">
      <c r="A536" s="180" t="s">
        <v>99</v>
      </c>
      <c r="B536" s="191"/>
      <c r="C536" s="174">
        <v>134609195</v>
      </c>
      <c r="F536" s="29" t="s">
        <v>168</v>
      </c>
      <c r="G536" s="3" t="s">
        <v>169</v>
      </c>
      <c r="H536" s="3" t="s">
        <v>170</v>
      </c>
      <c r="I536" s="55">
        <v>46175</v>
      </c>
      <c r="J536" s="55">
        <v>46178</v>
      </c>
      <c r="K536" s="55">
        <v>46205</v>
      </c>
      <c r="O536" s="3" t="s">
        <v>10</v>
      </c>
      <c r="P536" s="55">
        <v>46175</v>
      </c>
      <c r="R536" s="184"/>
    </row>
    <row r="537" spans="1:18" ht="15" customHeight="1">
      <c r="A537" s="180" t="s">
        <v>99</v>
      </c>
      <c r="B537" s="191"/>
      <c r="C537" s="174">
        <v>134609183</v>
      </c>
      <c r="F537" s="29" t="s">
        <v>168</v>
      </c>
      <c r="G537" s="3" t="s">
        <v>169</v>
      </c>
      <c r="H537" s="3" t="s">
        <v>170</v>
      </c>
      <c r="I537" s="55">
        <v>46175</v>
      </c>
      <c r="J537" s="55">
        <v>46178</v>
      </c>
      <c r="K537" s="55">
        <v>46205</v>
      </c>
      <c r="O537" s="3" t="s">
        <v>10</v>
      </c>
      <c r="P537" s="55">
        <v>46175</v>
      </c>
      <c r="R537" s="184"/>
    </row>
    <row r="538" spans="1:18" ht="15" customHeight="1">
      <c r="A538" s="180" t="s">
        <v>99</v>
      </c>
      <c r="B538" s="191"/>
      <c r="C538" s="174">
        <v>134609180</v>
      </c>
      <c r="F538" s="29" t="s">
        <v>168</v>
      </c>
      <c r="G538" s="3" t="s">
        <v>169</v>
      </c>
      <c r="H538" s="3" t="s">
        <v>170</v>
      </c>
      <c r="I538" s="55">
        <v>46175</v>
      </c>
      <c r="J538" s="55">
        <v>46178</v>
      </c>
      <c r="K538" s="55">
        <v>46205</v>
      </c>
      <c r="O538" s="3" t="s">
        <v>10</v>
      </c>
      <c r="P538" s="55">
        <v>46175</v>
      </c>
      <c r="R538" s="184"/>
    </row>
    <row r="539" spans="1:18" ht="15" customHeight="1">
      <c r="A539" s="180" t="s">
        <v>99</v>
      </c>
      <c r="B539" s="191"/>
      <c r="C539" s="174">
        <v>134609155</v>
      </c>
      <c r="F539" s="29" t="s">
        <v>168</v>
      </c>
      <c r="G539" s="3" t="s">
        <v>169</v>
      </c>
      <c r="H539" s="3" t="s">
        <v>170</v>
      </c>
      <c r="I539" s="55">
        <v>46175</v>
      </c>
      <c r="J539" s="55">
        <v>46178</v>
      </c>
      <c r="K539" s="55">
        <v>46205</v>
      </c>
      <c r="O539" s="3" t="s">
        <v>10</v>
      </c>
      <c r="P539" s="55">
        <v>46175</v>
      </c>
      <c r="R539" s="184"/>
    </row>
    <row r="540" spans="1:18" ht="15" customHeight="1">
      <c r="A540" s="180" t="s">
        <v>99</v>
      </c>
      <c r="B540" s="191"/>
      <c r="C540" s="174">
        <v>134609137</v>
      </c>
      <c r="F540" s="29" t="s">
        <v>168</v>
      </c>
      <c r="G540" s="3" t="s">
        <v>169</v>
      </c>
      <c r="H540" s="3" t="s">
        <v>170</v>
      </c>
      <c r="I540" s="55">
        <v>46175</v>
      </c>
      <c r="J540" s="55">
        <v>46178</v>
      </c>
      <c r="K540" s="55">
        <v>46205</v>
      </c>
      <c r="O540" s="3" t="s">
        <v>10</v>
      </c>
      <c r="P540" s="55">
        <v>46175</v>
      </c>
      <c r="R540" s="184"/>
    </row>
    <row r="541" spans="1:18" ht="15" customHeight="1">
      <c r="A541" s="180" t="s">
        <v>99</v>
      </c>
      <c r="B541" s="191"/>
      <c r="C541" s="174">
        <v>134609116</v>
      </c>
      <c r="F541" s="29" t="s">
        <v>168</v>
      </c>
      <c r="G541" s="3" t="s">
        <v>169</v>
      </c>
      <c r="H541" s="3" t="s">
        <v>170</v>
      </c>
      <c r="I541" s="55">
        <v>46175</v>
      </c>
      <c r="J541" s="55">
        <v>46178</v>
      </c>
      <c r="K541" s="55">
        <v>46205</v>
      </c>
      <c r="O541" s="3" t="s">
        <v>9</v>
      </c>
      <c r="R541" s="184"/>
    </row>
    <row r="542" spans="1:18" ht="15" customHeight="1">
      <c r="A542" s="180" t="s">
        <v>178</v>
      </c>
      <c r="B542" s="191"/>
      <c r="C542" s="174">
        <v>162607701</v>
      </c>
      <c r="F542" s="29" t="s">
        <v>179</v>
      </c>
      <c r="G542" s="3" t="s">
        <v>16</v>
      </c>
      <c r="H542" s="3" t="s">
        <v>180</v>
      </c>
      <c r="I542" s="55">
        <v>46184</v>
      </c>
      <c r="J542" s="55">
        <v>46188</v>
      </c>
      <c r="K542" s="55">
        <v>46216</v>
      </c>
      <c r="O542" s="3" t="s">
        <v>9</v>
      </c>
      <c r="R542" s="184"/>
    </row>
    <row r="543" spans="1:18" ht="15" customHeight="1">
      <c r="A543" s="180" t="s">
        <v>178</v>
      </c>
      <c r="B543" s="191"/>
      <c r="C543" s="174">
        <v>162607790</v>
      </c>
      <c r="F543" s="29" t="s">
        <v>179</v>
      </c>
      <c r="G543" s="3" t="s">
        <v>16</v>
      </c>
      <c r="H543" s="3" t="s">
        <v>180</v>
      </c>
      <c r="I543" s="55">
        <v>46184</v>
      </c>
      <c r="J543" s="55">
        <v>46188</v>
      </c>
      <c r="K543" s="55">
        <v>46216</v>
      </c>
      <c r="O543" s="3" t="s">
        <v>9</v>
      </c>
      <c r="R543" s="184"/>
    </row>
    <row r="544" spans="1:18" ht="15" customHeight="1">
      <c r="A544" s="180" t="s">
        <v>178</v>
      </c>
      <c r="B544" s="191"/>
      <c r="C544" s="174">
        <v>162607889</v>
      </c>
      <c r="F544" s="29" t="s">
        <v>179</v>
      </c>
      <c r="G544" s="3" t="s">
        <v>16</v>
      </c>
      <c r="H544" s="3" t="s">
        <v>180</v>
      </c>
      <c r="I544" s="55">
        <v>46184</v>
      </c>
      <c r="J544" s="55">
        <v>46188</v>
      </c>
      <c r="K544" s="55">
        <v>46216</v>
      </c>
      <c r="O544" s="3" t="s">
        <v>9</v>
      </c>
      <c r="R544" s="184"/>
    </row>
    <row r="545" spans="1:18" ht="15" customHeight="1">
      <c r="A545" s="180" t="s">
        <v>178</v>
      </c>
      <c r="B545" s="191"/>
      <c r="C545" s="174">
        <v>162607954</v>
      </c>
      <c r="F545" s="29" t="s">
        <v>179</v>
      </c>
      <c r="G545" s="3" t="s">
        <v>16</v>
      </c>
      <c r="H545" s="3" t="s">
        <v>180</v>
      </c>
      <c r="I545" s="55">
        <v>46184</v>
      </c>
      <c r="J545" s="55">
        <v>46188</v>
      </c>
      <c r="K545" s="55">
        <v>46216</v>
      </c>
      <c r="O545" s="3" t="s">
        <v>9</v>
      </c>
      <c r="R545" s="184"/>
    </row>
    <row r="546" spans="1:18" ht="15" customHeight="1">
      <c r="A546" s="180" t="s">
        <v>178</v>
      </c>
      <c r="B546" s="191"/>
      <c r="C546" s="174">
        <v>162608425</v>
      </c>
      <c r="F546" s="29" t="s">
        <v>179</v>
      </c>
      <c r="G546" s="3" t="s">
        <v>16</v>
      </c>
      <c r="H546" s="3" t="s">
        <v>180</v>
      </c>
      <c r="I546" s="55">
        <v>46184</v>
      </c>
      <c r="J546" s="55">
        <v>46188</v>
      </c>
      <c r="K546" s="55">
        <v>46216</v>
      </c>
      <c r="O546" s="3" t="s">
        <v>9</v>
      </c>
      <c r="R546" s="184"/>
    </row>
    <row r="547" spans="1:18" ht="15" customHeight="1">
      <c r="A547" s="180" t="s">
        <v>181</v>
      </c>
      <c r="B547" s="191"/>
      <c r="C547" s="174">
        <v>162608219</v>
      </c>
      <c r="F547" s="29" t="s">
        <v>179</v>
      </c>
      <c r="G547" s="3" t="s">
        <v>16</v>
      </c>
      <c r="H547" s="3" t="s">
        <v>180</v>
      </c>
      <c r="I547" s="55">
        <v>46184</v>
      </c>
      <c r="J547" s="55">
        <v>46188</v>
      </c>
      <c r="K547" s="55">
        <v>46216</v>
      </c>
      <c r="O547" s="3" t="s">
        <v>9</v>
      </c>
      <c r="R547" s="184"/>
    </row>
    <row r="548" spans="1:18" ht="15" customHeight="1">
      <c r="A548" s="180" t="s">
        <v>181</v>
      </c>
      <c r="B548" s="191"/>
      <c r="C548" s="174">
        <v>162608238</v>
      </c>
      <c r="F548" s="29" t="s">
        <v>179</v>
      </c>
      <c r="G548" s="3" t="s">
        <v>16</v>
      </c>
      <c r="H548" s="3" t="s">
        <v>180</v>
      </c>
      <c r="I548" s="55">
        <v>46184</v>
      </c>
      <c r="J548" s="55">
        <v>46188</v>
      </c>
      <c r="K548" s="55">
        <v>46216</v>
      </c>
      <c r="O548" s="3" t="s">
        <v>9</v>
      </c>
      <c r="R548" s="184"/>
    </row>
    <row r="549" spans="1:18" ht="15" customHeight="1">
      <c r="A549" s="180" t="s">
        <v>181</v>
      </c>
      <c r="B549" s="191"/>
      <c r="C549" s="174">
        <v>162608253</v>
      </c>
      <c r="F549" s="29" t="s">
        <v>179</v>
      </c>
      <c r="G549" s="3" t="s">
        <v>16</v>
      </c>
      <c r="H549" s="3" t="s">
        <v>180</v>
      </c>
      <c r="I549" s="55">
        <v>46184</v>
      </c>
      <c r="J549" s="55">
        <v>46188</v>
      </c>
      <c r="K549" s="55">
        <v>46216</v>
      </c>
      <c r="O549" s="3" t="s">
        <v>9</v>
      </c>
      <c r="R549" s="184"/>
    </row>
    <row r="550" spans="1:18" ht="15" customHeight="1">
      <c r="A550" s="180" t="s">
        <v>181</v>
      </c>
      <c r="B550" s="191"/>
      <c r="C550" s="174">
        <v>162608456</v>
      </c>
      <c r="F550" s="29" t="s">
        <v>179</v>
      </c>
      <c r="G550" s="3" t="s">
        <v>16</v>
      </c>
      <c r="H550" s="3" t="s">
        <v>180</v>
      </c>
      <c r="I550" s="55">
        <v>46184</v>
      </c>
      <c r="J550" s="55">
        <v>46188</v>
      </c>
      <c r="K550" s="55">
        <v>46216</v>
      </c>
      <c r="O550" s="3" t="s">
        <v>9</v>
      </c>
      <c r="R550" s="184"/>
    </row>
    <row r="551" spans="1:18" ht="15" customHeight="1">
      <c r="A551" s="180" t="s">
        <v>181</v>
      </c>
      <c r="B551" s="191"/>
      <c r="C551" s="174">
        <v>162608311</v>
      </c>
      <c r="F551" s="29" t="s">
        <v>179</v>
      </c>
      <c r="G551" s="3" t="s">
        <v>16</v>
      </c>
      <c r="H551" s="3" t="s">
        <v>180</v>
      </c>
      <c r="I551" s="55">
        <v>46184</v>
      </c>
      <c r="J551" s="55">
        <v>46188</v>
      </c>
      <c r="K551" s="55">
        <v>46216</v>
      </c>
      <c r="O551" s="3" t="s">
        <v>9</v>
      </c>
      <c r="R551" s="184"/>
    </row>
    <row r="552" spans="1:18" ht="15" customHeight="1">
      <c r="A552" s="180" t="s">
        <v>181</v>
      </c>
      <c r="B552" s="191"/>
      <c r="C552" s="174">
        <v>162608329</v>
      </c>
      <c r="F552" s="29" t="s">
        <v>179</v>
      </c>
      <c r="G552" s="3" t="s">
        <v>16</v>
      </c>
      <c r="H552" s="3" t="s">
        <v>180</v>
      </c>
      <c r="I552" s="55">
        <v>46184</v>
      </c>
      <c r="J552" s="55">
        <v>46188</v>
      </c>
      <c r="K552" s="55">
        <v>46216</v>
      </c>
      <c r="O552" s="3" t="s">
        <v>9</v>
      </c>
      <c r="R552" s="184"/>
    </row>
    <row r="553" spans="1:18" ht="15" customHeight="1">
      <c r="A553" s="180" t="s">
        <v>181</v>
      </c>
      <c r="B553" s="191"/>
      <c r="C553" s="174">
        <v>162608468</v>
      </c>
      <c r="D553" s="174"/>
      <c r="F553" s="29" t="s">
        <v>179</v>
      </c>
      <c r="G553" s="3" t="s">
        <v>16</v>
      </c>
      <c r="H553" s="3" t="s">
        <v>180</v>
      </c>
      <c r="I553" s="55">
        <v>46184</v>
      </c>
      <c r="J553" s="55">
        <v>46188</v>
      </c>
      <c r="K553" s="55">
        <v>46216</v>
      </c>
      <c r="O553" s="3" t="s">
        <v>9</v>
      </c>
      <c r="R553" s="184"/>
    </row>
    <row r="554" spans="1:18" ht="15" customHeight="1">
      <c r="A554" s="180" t="s">
        <v>182</v>
      </c>
      <c r="B554" s="191"/>
      <c r="C554" s="174">
        <v>166610847</v>
      </c>
      <c r="D554" s="174"/>
      <c r="F554" s="29" t="s">
        <v>149</v>
      </c>
      <c r="G554" s="3" t="s">
        <v>66</v>
      </c>
      <c r="H554" s="3" t="s">
        <v>150</v>
      </c>
      <c r="I554" s="55">
        <v>46188</v>
      </c>
      <c r="J554" s="55">
        <v>46191</v>
      </c>
      <c r="K554" s="55">
        <v>46221</v>
      </c>
      <c r="O554" s="3" t="s">
        <v>9</v>
      </c>
      <c r="R554" s="184"/>
    </row>
    <row r="555" spans="1:18" ht="15" customHeight="1">
      <c r="A555" s="180" t="s">
        <v>182</v>
      </c>
      <c r="B555" s="191"/>
      <c r="C555" s="174">
        <v>166610846</v>
      </c>
      <c r="D555" s="174"/>
      <c r="F555" s="29" t="s">
        <v>149</v>
      </c>
      <c r="G555" s="3" t="s">
        <v>66</v>
      </c>
      <c r="H555" s="3" t="s">
        <v>150</v>
      </c>
      <c r="I555" s="55">
        <v>46188</v>
      </c>
      <c r="J555" s="55">
        <v>46191</v>
      </c>
      <c r="K555" s="55">
        <v>46221</v>
      </c>
      <c r="O555" s="3" t="s">
        <v>9</v>
      </c>
      <c r="R555" s="184"/>
    </row>
    <row r="556" spans="1:18" ht="15" customHeight="1">
      <c r="A556" s="180" t="s">
        <v>182</v>
      </c>
      <c r="B556" s="191"/>
      <c r="C556" s="174">
        <v>166610845</v>
      </c>
      <c r="D556" s="174"/>
      <c r="F556" s="29" t="s">
        <v>149</v>
      </c>
      <c r="G556" s="3" t="s">
        <v>66</v>
      </c>
      <c r="H556" s="3" t="s">
        <v>150</v>
      </c>
      <c r="I556" s="55">
        <v>46188</v>
      </c>
      <c r="J556" s="55">
        <v>46191</v>
      </c>
      <c r="K556" s="55">
        <v>46221</v>
      </c>
      <c r="O556" s="3" t="s">
        <v>9</v>
      </c>
      <c r="R556" s="184"/>
    </row>
    <row r="557" spans="1:18" ht="15" customHeight="1">
      <c r="A557" s="180" t="s">
        <v>182</v>
      </c>
      <c r="B557" s="191"/>
      <c r="C557" s="174">
        <v>166610843</v>
      </c>
      <c r="D557" s="174"/>
      <c r="F557" s="29" t="s">
        <v>149</v>
      </c>
      <c r="G557" s="3" t="s">
        <v>66</v>
      </c>
      <c r="H557" s="3" t="s">
        <v>150</v>
      </c>
      <c r="I557" s="55">
        <v>46188</v>
      </c>
      <c r="J557" s="55">
        <v>46191</v>
      </c>
      <c r="K557" s="55">
        <v>46221</v>
      </c>
      <c r="O557" s="3" t="s">
        <v>9</v>
      </c>
      <c r="R557" s="184"/>
    </row>
    <row r="558" spans="1:18" ht="15" customHeight="1">
      <c r="A558" s="180" t="s">
        <v>182</v>
      </c>
      <c r="B558" s="191"/>
      <c r="C558" s="174">
        <v>166610841</v>
      </c>
      <c r="D558" s="174"/>
      <c r="F558" s="29" t="s">
        <v>149</v>
      </c>
      <c r="G558" s="3" t="s">
        <v>66</v>
      </c>
      <c r="H558" s="3" t="s">
        <v>150</v>
      </c>
      <c r="I558" s="55">
        <v>46188</v>
      </c>
      <c r="J558" s="55">
        <v>46191</v>
      </c>
      <c r="K558" s="55">
        <v>46221</v>
      </c>
      <c r="O558" s="3" t="s">
        <v>9</v>
      </c>
      <c r="R558" s="184"/>
    </row>
    <row r="559" spans="1:18" ht="15" customHeight="1">
      <c r="A559" s="180" t="s">
        <v>183</v>
      </c>
      <c r="B559" s="191"/>
      <c r="C559" s="174">
        <v>166610818</v>
      </c>
      <c r="F559" s="29" t="s">
        <v>149</v>
      </c>
      <c r="G559" s="3" t="s">
        <v>66</v>
      </c>
      <c r="H559" s="3" t="s">
        <v>150</v>
      </c>
      <c r="I559" s="55">
        <v>46188</v>
      </c>
      <c r="J559" s="55">
        <v>46191</v>
      </c>
      <c r="K559" s="55">
        <v>46221</v>
      </c>
      <c r="O559" s="3" t="s">
        <v>9</v>
      </c>
      <c r="R559" s="184"/>
    </row>
    <row r="560" spans="1:18" ht="15" customHeight="1">
      <c r="A560" s="180" t="s">
        <v>183</v>
      </c>
      <c r="B560" s="191"/>
      <c r="C560" s="174">
        <v>166610816</v>
      </c>
      <c r="F560" s="29" t="s">
        <v>149</v>
      </c>
      <c r="G560" s="3" t="s">
        <v>66</v>
      </c>
      <c r="H560" s="3" t="s">
        <v>150</v>
      </c>
      <c r="I560" s="55">
        <v>46188</v>
      </c>
      <c r="J560" s="55">
        <v>46191</v>
      </c>
      <c r="K560" s="55">
        <v>46221</v>
      </c>
      <c r="O560" s="3" t="s">
        <v>9</v>
      </c>
      <c r="R560" s="184"/>
    </row>
    <row r="561" spans="1:18" ht="15" customHeight="1">
      <c r="A561" s="180" t="s">
        <v>183</v>
      </c>
      <c r="B561" s="191"/>
      <c r="C561" s="174">
        <v>166610815</v>
      </c>
      <c r="F561" s="29" t="s">
        <v>149</v>
      </c>
      <c r="G561" s="3" t="s">
        <v>66</v>
      </c>
      <c r="H561" s="3" t="s">
        <v>150</v>
      </c>
      <c r="I561" s="55">
        <v>46188</v>
      </c>
      <c r="J561" s="55">
        <v>46191</v>
      </c>
      <c r="K561" s="55">
        <v>46221</v>
      </c>
      <c r="O561" s="3" t="s">
        <v>9</v>
      </c>
      <c r="R561" s="184"/>
    </row>
    <row r="562" spans="1:18" ht="15" customHeight="1">
      <c r="A562" s="180" t="s">
        <v>183</v>
      </c>
      <c r="B562" s="191"/>
      <c r="C562" s="174">
        <v>166610812</v>
      </c>
      <c r="F562" s="29" t="s">
        <v>149</v>
      </c>
      <c r="G562" s="3" t="s">
        <v>66</v>
      </c>
      <c r="H562" s="3" t="s">
        <v>150</v>
      </c>
      <c r="I562" s="55">
        <v>46188</v>
      </c>
      <c r="J562" s="55">
        <v>46191</v>
      </c>
      <c r="K562" s="55">
        <v>46221</v>
      </c>
      <c r="O562" s="3" t="s">
        <v>9</v>
      </c>
      <c r="R562" s="184"/>
    </row>
    <row r="563" spans="1:18" ht="15" customHeight="1">
      <c r="A563" s="180" t="s">
        <v>183</v>
      </c>
      <c r="B563" s="191"/>
      <c r="C563" s="174">
        <v>166610809</v>
      </c>
      <c r="F563" s="29" t="s">
        <v>149</v>
      </c>
      <c r="G563" s="3" t="s">
        <v>66</v>
      </c>
      <c r="H563" s="3" t="s">
        <v>150</v>
      </c>
      <c r="I563" s="55">
        <v>46188</v>
      </c>
      <c r="J563" s="55">
        <v>46191</v>
      </c>
      <c r="K563" s="55">
        <v>46221</v>
      </c>
      <c r="O563" s="3" t="s">
        <v>9</v>
      </c>
      <c r="R563" s="184"/>
    </row>
    <row r="564" spans="1:18" ht="15" customHeight="1">
      <c r="A564" s="180" t="s">
        <v>183</v>
      </c>
      <c r="B564" s="191"/>
      <c r="C564" s="174">
        <v>166610807</v>
      </c>
      <c r="F564" s="29" t="s">
        <v>149</v>
      </c>
      <c r="G564" s="3" t="s">
        <v>66</v>
      </c>
      <c r="H564" s="3" t="s">
        <v>150</v>
      </c>
      <c r="I564" s="55">
        <v>46188</v>
      </c>
      <c r="J564" s="55">
        <v>46191</v>
      </c>
      <c r="K564" s="55">
        <v>46221</v>
      </c>
      <c r="O564" s="3" t="s">
        <v>9</v>
      </c>
      <c r="R564" s="184"/>
    </row>
    <row r="565" spans="1:18" ht="15" customHeight="1">
      <c r="A565" s="180" t="s">
        <v>183</v>
      </c>
      <c r="B565" s="191"/>
      <c r="C565" s="174">
        <v>166610805</v>
      </c>
      <c r="F565" s="29" t="s">
        <v>149</v>
      </c>
      <c r="G565" s="3" t="s">
        <v>66</v>
      </c>
      <c r="H565" s="3" t="s">
        <v>150</v>
      </c>
      <c r="I565" s="55">
        <v>46188</v>
      </c>
      <c r="J565" s="55">
        <v>46191</v>
      </c>
      <c r="K565" s="55">
        <v>46221</v>
      </c>
      <c r="O565" s="3" t="s">
        <v>9</v>
      </c>
      <c r="R565" s="184"/>
    </row>
    <row r="566" spans="1:18" ht="15" customHeight="1">
      <c r="A566" s="180" t="s">
        <v>183</v>
      </c>
      <c r="B566" s="191"/>
      <c r="C566" s="174">
        <v>166610800</v>
      </c>
      <c r="F566" s="29" t="s">
        <v>149</v>
      </c>
      <c r="G566" s="3" t="s">
        <v>66</v>
      </c>
      <c r="H566" s="3" t="s">
        <v>150</v>
      </c>
      <c r="I566" s="55">
        <v>46188</v>
      </c>
      <c r="J566" s="55">
        <v>46191</v>
      </c>
      <c r="K566" s="55">
        <v>46221</v>
      </c>
      <c r="O566" s="3" t="s">
        <v>9</v>
      </c>
      <c r="R566" s="184"/>
    </row>
    <row r="567" spans="1:18" ht="15" customHeight="1">
      <c r="A567" s="180" t="s">
        <v>183</v>
      </c>
      <c r="B567" s="191"/>
      <c r="C567" s="174">
        <v>166610794</v>
      </c>
      <c r="F567" s="29" t="s">
        <v>149</v>
      </c>
      <c r="G567" s="3" t="s">
        <v>66</v>
      </c>
      <c r="H567" s="3" t="s">
        <v>150</v>
      </c>
      <c r="I567" s="55">
        <v>46188</v>
      </c>
      <c r="J567" s="55">
        <v>46191</v>
      </c>
      <c r="K567" s="55">
        <v>46221</v>
      </c>
      <c r="O567" s="3" t="s">
        <v>9</v>
      </c>
      <c r="R567" s="184"/>
    </row>
    <row r="568" spans="1:18" ht="15" customHeight="1">
      <c r="A568" s="180" t="s">
        <v>183</v>
      </c>
      <c r="B568" s="191"/>
      <c r="C568" s="174">
        <v>166610788</v>
      </c>
      <c r="F568" s="29" t="s">
        <v>149</v>
      </c>
      <c r="G568" s="3" t="s">
        <v>66</v>
      </c>
      <c r="H568" s="3" t="s">
        <v>150</v>
      </c>
      <c r="I568" s="55">
        <v>46188</v>
      </c>
      <c r="J568" s="55">
        <v>46191</v>
      </c>
      <c r="K568" s="55">
        <v>46221</v>
      </c>
      <c r="O568" s="3" t="s">
        <v>9</v>
      </c>
      <c r="R568" s="184"/>
    </row>
    <row r="569" spans="1:18" ht="15" customHeight="1">
      <c r="A569" s="180" t="s">
        <v>183</v>
      </c>
      <c r="B569" s="191"/>
      <c r="C569" s="174">
        <v>166610784</v>
      </c>
      <c r="F569" s="29" t="s">
        <v>149</v>
      </c>
      <c r="G569" s="3" t="s">
        <v>66</v>
      </c>
      <c r="H569" s="3" t="s">
        <v>150</v>
      </c>
      <c r="I569" s="55">
        <v>46188</v>
      </c>
      <c r="J569" s="55">
        <v>46191</v>
      </c>
      <c r="K569" s="55">
        <v>46221</v>
      </c>
      <c r="O569" s="3" t="s">
        <v>9</v>
      </c>
      <c r="R569" s="184"/>
    </row>
    <row r="570" spans="1:18" ht="15" customHeight="1">
      <c r="A570" s="180" t="s">
        <v>184</v>
      </c>
      <c r="B570" s="191"/>
      <c r="C570" s="174">
        <v>167602591</v>
      </c>
      <c r="G570" s="3" t="s">
        <v>169</v>
      </c>
      <c r="H570" s="3" t="s">
        <v>185</v>
      </c>
      <c r="I570" s="55">
        <v>46189</v>
      </c>
      <c r="J570" s="55">
        <v>46192</v>
      </c>
      <c r="K570" s="55">
        <v>46219</v>
      </c>
      <c r="O570" s="3" t="s">
        <v>9</v>
      </c>
      <c r="R570" s="184"/>
    </row>
    <row r="571" spans="1:18" ht="15" customHeight="1">
      <c r="A571" s="180" t="s">
        <v>186</v>
      </c>
      <c r="B571" s="191"/>
      <c r="C571" s="174">
        <v>167602359</v>
      </c>
      <c r="G571" s="3" t="s">
        <v>169</v>
      </c>
      <c r="H571" s="3" t="s">
        <v>185</v>
      </c>
      <c r="I571" s="55">
        <v>46189</v>
      </c>
      <c r="J571" s="55">
        <v>46192</v>
      </c>
      <c r="K571" s="55">
        <v>46219</v>
      </c>
      <c r="O571" s="3" t="s">
        <v>9</v>
      </c>
      <c r="R571" s="184"/>
    </row>
    <row r="572" spans="1:18" ht="15" customHeight="1">
      <c r="A572" s="180" t="s">
        <v>187</v>
      </c>
      <c r="B572" s="191"/>
      <c r="C572" s="174">
        <v>167602890</v>
      </c>
      <c r="G572" s="3" t="s">
        <v>169</v>
      </c>
      <c r="H572" s="3" t="s">
        <v>185</v>
      </c>
      <c r="I572" s="55">
        <v>46189</v>
      </c>
      <c r="J572" s="55">
        <v>46192</v>
      </c>
      <c r="K572" s="55">
        <v>46219</v>
      </c>
      <c r="O572" s="3" t="s">
        <v>9</v>
      </c>
      <c r="R572" s="184"/>
    </row>
    <row r="573" spans="1:18" ht="15" customHeight="1">
      <c r="A573" s="180" t="s">
        <v>187</v>
      </c>
      <c r="B573" s="191"/>
      <c r="C573" s="174">
        <v>167602799</v>
      </c>
      <c r="G573" s="3" t="s">
        <v>169</v>
      </c>
      <c r="H573" s="3" t="s">
        <v>185</v>
      </c>
      <c r="I573" s="55">
        <v>46189</v>
      </c>
      <c r="J573" s="55">
        <v>46192</v>
      </c>
      <c r="K573" s="55">
        <v>46219</v>
      </c>
      <c r="O573" s="3" t="s">
        <v>9</v>
      </c>
      <c r="R573" s="184"/>
    </row>
    <row r="574" spans="1:18" ht="15" customHeight="1">
      <c r="A574" s="180" t="s">
        <v>187</v>
      </c>
      <c r="B574" s="191"/>
      <c r="C574" s="174">
        <v>167603058</v>
      </c>
      <c r="G574" s="3" t="s">
        <v>169</v>
      </c>
      <c r="H574" s="3" t="s">
        <v>185</v>
      </c>
      <c r="I574" s="55">
        <v>46189</v>
      </c>
      <c r="J574" s="55">
        <v>46192</v>
      </c>
      <c r="K574" s="55">
        <v>46219</v>
      </c>
      <c r="O574" s="3" t="s">
        <v>9</v>
      </c>
      <c r="R574" s="184"/>
    </row>
    <row r="575" spans="1:18" ht="15" customHeight="1">
      <c r="A575" s="180" t="s">
        <v>187</v>
      </c>
      <c r="B575" s="191"/>
      <c r="C575" s="174">
        <v>167602832</v>
      </c>
      <c r="G575" s="3" t="s">
        <v>169</v>
      </c>
      <c r="H575" s="3" t="s">
        <v>185</v>
      </c>
      <c r="I575" s="55">
        <v>46189</v>
      </c>
      <c r="J575" s="55">
        <v>46192</v>
      </c>
      <c r="K575" s="55">
        <v>46219</v>
      </c>
      <c r="O575" s="3" t="s">
        <v>9</v>
      </c>
      <c r="R575" s="184"/>
    </row>
    <row r="576" spans="1:18" ht="15" customHeight="1">
      <c r="A576" s="180" t="s">
        <v>187</v>
      </c>
      <c r="B576" s="191"/>
      <c r="C576" s="174">
        <v>167602733</v>
      </c>
      <c r="G576" s="3" t="s">
        <v>169</v>
      </c>
      <c r="H576" s="3" t="s">
        <v>185</v>
      </c>
      <c r="I576" s="55">
        <v>46189</v>
      </c>
      <c r="J576" s="55">
        <v>46192</v>
      </c>
      <c r="K576" s="55">
        <v>46219</v>
      </c>
      <c r="O576" s="3" t="s">
        <v>9</v>
      </c>
      <c r="R576" s="184"/>
    </row>
    <row r="577" spans="1:18" ht="15" customHeight="1">
      <c r="A577" s="180" t="s">
        <v>188</v>
      </c>
      <c r="B577" s="191"/>
      <c r="C577" s="174">
        <v>167602953</v>
      </c>
      <c r="F577" s="29" t="s">
        <v>189</v>
      </c>
      <c r="G577" s="3" t="s">
        <v>169</v>
      </c>
      <c r="H577" s="3" t="s">
        <v>160</v>
      </c>
      <c r="I577" s="55">
        <v>46189</v>
      </c>
      <c r="J577" s="55">
        <v>46192</v>
      </c>
      <c r="K577" s="55">
        <v>46219</v>
      </c>
      <c r="O577" s="3" t="s">
        <v>9</v>
      </c>
      <c r="R577" s="184"/>
    </row>
    <row r="578" spans="1:18" ht="15" customHeight="1">
      <c r="A578" s="180" t="s">
        <v>188</v>
      </c>
      <c r="B578" s="191"/>
      <c r="C578" s="174">
        <v>167603084</v>
      </c>
      <c r="F578" s="29" t="s">
        <v>189</v>
      </c>
      <c r="G578" s="3" t="s">
        <v>169</v>
      </c>
      <c r="H578" s="3" t="s">
        <v>160</v>
      </c>
      <c r="I578" s="55">
        <v>46189</v>
      </c>
      <c r="J578" s="55">
        <v>46192</v>
      </c>
      <c r="K578" s="55">
        <v>46219</v>
      </c>
      <c r="O578" s="3" t="s">
        <v>9</v>
      </c>
      <c r="R578" s="184"/>
    </row>
    <row r="579" spans="1:18" ht="15" customHeight="1">
      <c r="A579" s="180" t="s">
        <v>190</v>
      </c>
      <c r="B579" s="199"/>
      <c r="C579" s="198">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192"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16"/>
    </row>
    <row r="617" spans="1:121" ht="15" customHeight="1">
      <c r="A617" s="166" t="s">
        <v>194</v>
      </c>
      <c r="C617" s="168">
        <v>168605224</v>
      </c>
      <c r="F617" s="29" t="s">
        <v>191</v>
      </c>
      <c r="G617" s="3" t="s">
        <v>192</v>
      </c>
      <c r="H617" s="3" t="s">
        <v>30</v>
      </c>
      <c r="I617" s="55">
        <v>46190</v>
      </c>
      <c r="J617" s="55">
        <v>46193</v>
      </c>
      <c r="K617" s="55">
        <v>46220</v>
      </c>
      <c r="O617" s="3" t="s">
        <v>9</v>
      </c>
      <c r="R617" s="216"/>
    </row>
    <row r="618" spans="1:121" ht="15" customHeight="1">
      <c r="A618" s="166" t="s">
        <v>194</v>
      </c>
      <c r="C618" s="168">
        <v>168605167</v>
      </c>
      <c r="F618" s="29" t="s">
        <v>191</v>
      </c>
      <c r="G618" s="3" t="s">
        <v>192</v>
      </c>
      <c r="H618" s="3" t="s">
        <v>30</v>
      </c>
      <c r="I618" s="55">
        <v>46190</v>
      </c>
      <c r="J618" s="55">
        <v>46193</v>
      </c>
      <c r="K618" s="55">
        <v>46220</v>
      </c>
      <c r="O618" s="3" t="s">
        <v>9</v>
      </c>
      <c r="R618" s="216"/>
    </row>
    <row r="619" spans="1:121" ht="15" customHeight="1">
      <c r="A619" s="166" t="s">
        <v>194</v>
      </c>
      <c r="C619" s="168">
        <v>168605090</v>
      </c>
      <c r="F619" s="29" t="s">
        <v>191</v>
      </c>
      <c r="G619" s="3" t="s">
        <v>192</v>
      </c>
      <c r="H619" s="3" t="s">
        <v>30</v>
      </c>
      <c r="I619" s="55">
        <v>46190</v>
      </c>
      <c r="J619" s="55">
        <v>46193</v>
      </c>
      <c r="K619" s="55">
        <v>46220</v>
      </c>
      <c r="O619" s="3" t="s">
        <v>9</v>
      </c>
      <c r="R619" s="216"/>
    </row>
    <row r="620" spans="1:121" ht="15" customHeight="1">
      <c r="A620" s="166" t="s">
        <v>194</v>
      </c>
      <c r="C620" s="168">
        <v>168605878</v>
      </c>
      <c r="F620" s="29" t="s">
        <v>191</v>
      </c>
      <c r="G620" s="3" t="s">
        <v>192</v>
      </c>
      <c r="H620" s="3" t="s">
        <v>30</v>
      </c>
      <c r="I620" s="55">
        <v>46190</v>
      </c>
      <c r="J620" s="55">
        <v>46193</v>
      </c>
      <c r="K620" s="55">
        <v>46220</v>
      </c>
      <c r="O620" s="3" t="s">
        <v>9</v>
      </c>
      <c r="R620" s="216"/>
    </row>
    <row r="621" spans="1:121" ht="15" customHeight="1">
      <c r="A621" s="166" t="s">
        <v>194</v>
      </c>
      <c r="C621" s="168">
        <v>168605847</v>
      </c>
      <c r="F621" s="29" t="s">
        <v>191</v>
      </c>
      <c r="G621" s="3" t="s">
        <v>192</v>
      </c>
      <c r="H621" s="3" t="s">
        <v>30</v>
      </c>
      <c r="I621" s="55">
        <v>46190</v>
      </c>
      <c r="J621" s="55">
        <v>46193</v>
      </c>
      <c r="K621" s="55">
        <v>46220</v>
      </c>
      <c r="O621" s="3" t="s">
        <v>9</v>
      </c>
      <c r="R621" s="216"/>
    </row>
    <row r="622" spans="1:121" ht="15" customHeight="1">
      <c r="A622" s="166" t="s">
        <v>194</v>
      </c>
      <c r="C622" s="168">
        <v>168605769</v>
      </c>
      <c r="F622" s="29" t="s">
        <v>191</v>
      </c>
      <c r="G622" s="3" t="s">
        <v>192</v>
      </c>
      <c r="H622" s="3" t="s">
        <v>30</v>
      </c>
      <c r="I622" s="55">
        <v>46190</v>
      </c>
      <c r="J622" s="55">
        <v>46193</v>
      </c>
      <c r="K622" s="55">
        <v>46220</v>
      </c>
      <c r="O622" s="3" t="s">
        <v>9</v>
      </c>
      <c r="R622" s="216"/>
    </row>
    <row r="623" spans="1:121" ht="15" customHeight="1">
      <c r="A623" s="166" t="s">
        <v>195</v>
      </c>
      <c r="B623" s="166" t="s">
        <v>196</v>
      </c>
      <c r="C623" s="168">
        <v>167609280</v>
      </c>
      <c r="F623" s="29" t="s">
        <v>163</v>
      </c>
      <c r="G623" s="3" t="s">
        <v>164</v>
      </c>
      <c r="H623" s="3" t="s">
        <v>30</v>
      </c>
      <c r="I623" s="55">
        <v>46189</v>
      </c>
      <c r="J623" s="55">
        <v>46192</v>
      </c>
      <c r="K623" s="55">
        <v>46219</v>
      </c>
      <c r="O623" s="3" t="s">
        <v>9</v>
      </c>
      <c r="R623" s="216"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163</v>
      </c>
      <c r="G624" s="3" t="s">
        <v>164</v>
      </c>
      <c r="H624" s="3" t="s">
        <v>30</v>
      </c>
      <c r="I624" s="55">
        <v>46189</v>
      </c>
      <c r="J624" s="55">
        <v>46192</v>
      </c>
      <c r="K624" s="55">
        <v>46219</v>
      </c>
      <c r="O624" s="3" t="s">
        <v>9</v>
      </c>
      <c r="R624" s="216"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R625" s="216"/>
    </row>
    <row r="626" spans="9:18" ht="15" customHeight="1">
      <c r="I626" s="55"/>
      <c r="J626" s="55"/>
      <c r="K626" s="55"/>
      <c r="R626" s="216"/>
    </row>
    <row r="627" spans="9:18" ht="15" customHeight="1">
      <c r="I627" s="55"/>
      <c r="J627" s="55"/>
      <c r="K627" s="55"/>
      <c r="R627" s="216"/>
    </row>
    <row r="628" spans="9:18" ht="15" customHeight="1">
      <c r="I628" s="55"/>
      <c r="J628" s="55"/>
      <c r="K628" s="55"/>
      <c r="R628" s="216"/>
    </row>
    <row r="629" spans="9:18" ht="15" customHeight="1">
      <c r="I629" s="55"/>
      <c r="J629" s="55"/>
      <c r="K629" s="55"/>
      <c r="R629" s="216"/>
    </row>
    <row r="630" spans="9:18" ht="15" customHeight="1">
      <c r="I630" s="55"/>
      <c r="J630" s="55"/>
      <c r="K630" s="55"/>
      <c r="R630" s="216"/>
    </row>
    <row r="631" spans="9:18" ht="15" customHeight="1">
      <c r="I631" s="55"/>
      <c r="J631" s="55"/>
      <c r="K631" s="55"/>
      <c r="R631" s="216"/>
    </row>
    <row r="632" spans="9:18" ht="15" customHeight="1">
      <c r="I632" s="55"/>
      <c r="J632" s="55"/>
      <c r="K632" s="55"/>
      <c r="R632" s="216"/>
    </row>
    <row r="633" spans="9:18" ht="15" customHeight="1">
      <c r="I633" s="55"/>
      <c r="J633" s="55"/>
      <c r="K633" s="55"/>
      <c r="R633" s="216"/>
    </row>
    <row r="634" spans="9:18" ht="15" customHeight="1">
      <c r="I634" s="55"/>
      <c r="J634" s="55"/>
      <c r="K634" s="55"/>
      <c r="R634" s="216"/>
    </row>
    <row r="635" spans="9:18" ht="15" customHeight="1">
      <c r="I635" s="55"/>
      <c r="J635" s="55"/>
      <c r="K635" s="55"/>
      <c r="R635" s="216"/>
    </row>
    <row r="636" spans="9:18" ht="15" customHeight="1">
      <c r="I636" s="55"/>
      <c r="J636" s="55"/>
      <c r="K636" s="55"/>
      <c r="R636" s="216"/>
    </row>
    <row r="637" spans="9:18" ht="15" customHeight="1">
      <c r="I637" s="55"/>
      <c r="J637" s="55"/>
      <c r="K637" s="55"/>
      <c r="R637" s="216"/>
    </row>
    <row r="638" spans="9:18" ht="15" customHeight="1">
      <c r="I638" s="55"/>
      <c r="J638" s="55"/>
      <c r="K638" s="55"/>
      <c r="R638" s="216"/>
    </row>
    <row r="639" spans="9:18" ht="15" customHeight="1">
      <c r="I639" s="55"/>
      <c r="J639" s="55"/>
      <c r="K639" s="55"/>
      <c r="R639" s="216"/>
    </row>
    <row r="640" spans="9:18" ht="15" customHeight="1">
      <c r="I640" s="55"/>
      <c r="J640" s="55"/>
      <c r="K640" s="55"/>
      <c r="R640" s="216"/>
    </row>
    <row r="641" spans="9:18" ht="15" customHeight="1">
      <c r="I641" s="55"/>
      <c r="J641" s="55"/>
      <c r="K641" s="55"/>
      <c r="R641" s="216"/>
    </row>
    <row r="642" spans="9:18" ht="15" customHeight="1">
      <c r="I642" s="55"/>
      <c r="J642" s="55"/>
      <c r="K642" s="55"/>
      <c r="R642" s="216"/>
    </row>
    <row r="643" spans="9:18" ht="15" customHeight="1">
      <c r="I643" s="55"/>
      <c r="J643" s="55"/>
      <c r="K643" s="55"/>
      <c r="R643" s="216"/>
    </row>
    <row r="644" spans="9:18" ht="15" customHeight="1">
      <c r="I644" s="55"/>
      <c r="J644" s="55"/>
      <c r="K644" s="55"/>
      <c r="R644" s="216"/>
    </row>
    <row r="645" spans="9:18" ht="15" customHeight="1">
      <c r="I645" s="55"/>
      <c r="J645" s="55"/>
      <c r="K645" s="55"/>
      <c r="R645" s="216"/>
    </row>
    <row r="646" spans="9:18" ht="15" customHeight="1">
      <c r="I646" s="55"/>
      <c r="J646" s="55"/>
      <c r="K646" s="55"/>
      <c r="R646" s="216"/>
    </row>
    <row r="647" spans="9:18" ht="15" customHeight="1">
      <c r="I647" s="55"/>
      <c r="J647" s="55"/>
      <c r="K647" s="55"/>
      <c r="R647" s="216"/>
    </row>
    <row r="648" spans="9:18" ht="15" customHeight="1">
      <c r="I648" s="55"/>
      <c r="J648" s="55"/>
      <c r="K648" s="55"/>
      <c r="R648" s="216"/>
    </row>
    <row r="649" spans="9:18" ht="15" customHeight="1">
      <c r="I649" s="55"/>
      <c r="J649" s="55"/>
      <c r="K649" s="55"/>
      <c r="R649" s="216"/>
    </row>
    <row r="650" spans="9:18" ht="15" customHeight="1">
      <c r="I650" s="55"/>
      <c r="J650" s="55"/>
      <c r="K650" s="55"/>
      <c r="R650" s="216"/>
    </row>
    <row r="651" spans="9:18" ht="15" customHeight="1">
      <c r="I651" s="55"/>
      <c r="J651" s="55"/>
      <c r="K651" s="55"/>
      <c r="R651" s="216"/>
    </row>
    <row r="652" spans="9:18" ht="15" customHeight="1">
      <c r="I652" s="55"/>
      <c r="J652" s="55"/>
      <c r="K652" s="55"/>
      <c r="R652" s="216"/>
    </row>
    <row r="653" spans="9:18" ht="15" customHeight="1">
      <c r="I653" s="55"/>
      <c r="J653" s="55"/>
      <c r="K653" s="55"/>
      <c r="R653" s="216"/>
    </row>
    <row r="654" spans="9:18" ht="15" customHeight="1">
      <c r="I654" s="55"/>
      <c r="J654" s="55"/>
      <c r="K654" s="55"/>
      <c r="R654" s="216"/>
    </row>
    <row r="655" spans="9:18" ht="15" customHeight="1">
      <c r="I655" s="55"/>
      <c r="J655" s="55"/>
      <c r="K655" s="55"/>
      <c r="R655" s="216"/>
    </row>
    <row r="656" spans="9:18" ht="15" customHeight="1">
      <c r="I656" s="55"/>
      <c r="J656" s="55"/>
      <c r="K656" s="55"/>
      <c r="R656" s="216"/>
    </row>
    <row r="657" spans="9:18" ht="15" customHeight="1">
      <c r="I657" s="55"/>
      <c r="J657" s="55"/>
      <c r="K657" s="55"/>
      <c r="R657" s="216"/>
    </row>
    <row r="658" spans="9:18" ht="15" customHeight="1">
      <c r="I658" s="55"/>
      <c r="J658" s="55"/>
      <c r="K658" s="55"/>
      <c r="R658" s="216"/>
    </row>
    <row r="659" spans="9:18" ht="15" customHeight="1">
      <c r="I659" s="55"/>
      <c r="J659" s="55"/>
      <c r="K659" s="55"/>
      <c r="R659" s="216"/>
    </row>
    <row r="660" spans="9:18" ht="15" customHeight="1">
      <c r="I660" s="55"/>
      <c r="J660" s="55"/>
      <c r="K660" s="55"/>
      <c r="R660" s="216"/>
    </row>
    <row r="661" spans="9:18" ht="15" customHeight="1">
      <c r="I661" s="55"/>
      <c r="J661" s="55"/>
      <c r="K661" s="55"/>
      <c r="R661" s="216"/>
    </row>
    <row r="662" spans="9:18" ht="15" customHeight="1">
      <c r="I662" s="55"/>
      <c r="J662" s="55"/>
      <c r="K662" s="55"/>
      <c r="R662" s="216"/>
    </row>
    <row r="663" spans="9:18" ht="15" customHeight="1">
      <c r="I663" s="55"/>
      <c r="J663" s="55"/>
      <c r="K663" s="55"/>
      <c r="R663" s="216"/>
    </row>
    <row r="664" spans="9:18" ht="15" customHeight="1">
      <c r="I664" s="55"/>
      <c r="J664" s="55"/>
      <c r="K664" s="55"/>
      <c r="R664" s="216"/>
    </row>
    <row r="665" spans="9:18" ht="15" customHeight="1">
      <c r="I665" s="55"/>
      <c r="J665" s="55"/>
      <c r="K665" s="55"/>
      <c r="R665" s="216"/>
    </row>
    <row r="666" spans="9:18" ht="15" customHeight="1">
      <c r="I666" s="55"/>
      <c r="J666" s="55"/>
      <c r="K666" s="55"/>
      <c r="R666" s="216"/>
    </row>
    <row r="667" spans="9:18" ht="15" customHeight="1">
      <c r="I667" s="55"/>
      <c r="J667" s="55"/>
      <c r="K667" s="55"/>
      <c r="R667" s="216"/>
    </row>
    <row r="668" spans="9:18" ht="15" customHeight="1">
      <c r="I668" s="55"/>
      <c r="J668" s="55"/>
      <c r="K668" s="55"/>
      <c r="R668" s="216"/>
    </row>
    <row r="669" spans="9:18" ht="15" customHeight="1">
      <c r="I669" s="55"/>
      <c r="J669" s="55"/>
      <c r="K669" s="55"/>
      <c r="R669" s="216"/>
    </row>
    <row r="670" spans="9:18" ht="15" customHeight="1">
      <c r="I670" s="55"/>
      <c r="J670" s="55"/>
      <c r="K670" s="55"/>
      <c r="R670" s="216"/>
    </row>
    <row r="671" spans="9:18" ht="15" customHeight="1">
      <c r="I671" s="55"/>
      <c r="J671" s="55"/>
      <c r="K671" s="55"/>
      <c r="R671" s="216"/>
    </row>
    <row r="672" spans="9:18" ht="15" customHeight="1">
      <c r="I672" s="55"/>
      <c r="J672" s="55"/>
      <c r="K672" s="55"/>
      <c r="R672" s="216"/>
    </row>
    <row r="673" spans="9:18" ht="15" customHeight="1">
      <c r="I673" s="55"/>
      <c r="J673" s="55"/>
      <c r="K673" s="55"/>
      <c r="R673" s="216"/>
    </row>
    <row r="674" spans="9:18" ht="15" customHeight="1">
      <c r="I674" s="55"/>
      <c r="J674" s="55"/>
      <c r="K674" s="55"/>
      <c r="R674" s="216"/>
    </row>
    <row r="675" spans="9:18" ht="15" customHeight="1">
      <c r="I675" s="55"/>
      <c r="J675" s="55"/>
      <c r="K675" s="55"/>
      <c r="R675" s="216"/>
    </row>
    <row r="676" spans="9:18" ht="15" customHeight="1">
      <c r="I676" s="55"/>
      <c r="J676" s="55"/>
      <c r="K676" s="55"/>
      <c r="R676" s="216"/>
    </row>
    <row r="677" spans="9:18" ht="15" customHeight="1">
      <c r="I677" s="55"/>
      <c r="J677" s="55"/>
      <c r="K677" s="55"/>
      <c r="R677" s="216"/>
    </row>
    <row r="678" spans="9:18" ht="15" customHeight="1">
      <c r="I678" s="55"/>
      <c r="J678" s="55"/>
      <c r="K678" s="55"/>
      <c r="R678" s="216"/>
    </row>
    <row r="679" spans="9:18" ht="15" customHeight="1">
      <c r="I679" s="55"/>
      <c r="J679" s="55"/>
      <c r="K679" s="55"/>
      <c r="R679" s="216"/>
    </row>
    <row r="680" spans="9:18" ht="15" customHeight="1">
      <c r="I680" s="55"/>
      <c r="J680" s="55"/>
      <c r="K680" s="55"/>
      <c r="R680" s="216"/>
    </row>
    <row r="681" spans="9:18" ht="15" customHeight="1">
      <c r="I681" s="55"/>
      <c r="J681" s="55"/>
      <c r="K681" s="55"/>
      <c r="R681" s="216"/>
    </row>
    <row r="682" spans="9:18" ht="15" customHeight="1">
      <c r="I682" s="55"/>
      <c r="J682" s="55"/>
      <c r="K682" s="55"/>
      <c r="R682" s="216"/>
    </row>
    <row r="683" spans="9:18" ht="15" customHeight="1">
      <c r="I683" s="55"/>
      <c r="J683" s="55"/>
      <c r="K683" s="55"/>
      <c r="R683" s="216"/>
    </row>
    <row r="684" spans="9:18" ht="15" customHeight="1">
      <c r="I684" s="55"/>
      <c r="J684" s="55"/>
      <c r="K684" s="55"/>
      <c r="R684" s="216"/>
    </row>
    <row r="685" spans="9:18" ht="15" customHeight="1">
      <c r="I685" s="55"/>
      <c r="J685" s="55"/>
      <c r="K685" s="55"/>
      <c r="R685" s="216"/>
    </row>
    <row r="686" spans="9:18" ht="15" customHeight="1">
      <c r="I686" s="55"/>
      <c r="J686" s="55"/>
      <c r="K686" s="55"/>
      <c r="R686" s="216"/>
    </row>
    <row r="687" spans="9:18" ht="15" customHeight="1">
      <c r="I687" s="55"/>
      <c r="J687" s="55"/>
      <c r="K687" s="55"/>
      <c r="R687" s="216"/>
    </row>
    <row r="688" spans="9:18" ht="15" customHeight="1">
      <c r="I688" s="55"/>
      <c r="J688" s="55"/>
      <c r="K688" s="55"/>
      <c r="R688" s="216"/>
    </row>
    <row r="689" spans="9:18" ht="15" customHeight="1">
      <c r="I689" s="55"/>
      <c r="J689" s="55"/>
      <c r="K689" s="55"/>
      <c r="R689" s="216"/>
    </row>
    <row r="690" spans="9:18" ht="15" customHeight="1">
      <c r="I690" s="55"/>
      <c r="J690" s="55"/>
      <c r="K690" s="55"/>
      <c r="R690" s="216"/>
    </row>
    <row r="691" spans="9:18" ht="15" customHeight="1">
      <c r="I691" s="55"/>
      <c r="J691" s="55"/>
      <c r="K691" s="55"/>
      <c r="R691" s="216"/>
    </row>
    <row r="692" spans="9:18" ht="15" customHeight="1">
      <c r="I692" s="55"/>
      <c r="J692" s="55"/>
      <c r="K692" s="55"/>
      <c r="R692" s="216"/>
    </row>
    <row r="693" spans="9:18" ht="15" customHeight="1">
      <c r="I693" s="55"/>
      <c r="J693" s="55"/>
      <c r="K693" s="55"/>
      <c r="R693" s="216"/>
    </row>
    <row r="694" spans="9:18" ht="15" customHeight="1">
      <c r="I694" s="55"/>
      <c r="J694" s="55"/>
      <c r="K694" s="55"/>
      <c r="R694" s="216"/>
    </row>
    <row r="695" spans="9:18" ht="15" customHeight="1">
      <c r="I695" s="55"/>
      <c r="J695" s="55"/>
      <c r="K695" s="55"/>
      <c r="R695" s="216"/>
    </row>
    <row r="696" spans="9:18" ht="15" customHeight="1">
      <c r="I696" s="55"/>
      <c r="J696" s="55"/>
      <c r="K696" s="55"/>
      <c r="R696" s="216"/>
    </row>
    <row r="697" spans="9:18" ht="15" customHeight="1">
      <c r="I697" s="55"/>
      <c r="J697" s="55"/>
      <c r="K697" s="55"/>
      <c r="R697" s="216"/>
    </row>
    <row r="698" spans="9:18" ht="15" customHeight="1">
      <c r="I698" s="55"/>
      <c r="J698" s="55"/>
      <c r="K698" s="55"/>
      <c r="R698" s="216"/>
    </row>
    <row r="699" spans="9:18" ht="15" customHeight="1">
      <c r="I699" s="55"/>
      <c r="J699" s="55"/>
      <c r="K699" s="55"/>
      <c r="R699" s="216"/>
    </row>
    <row r="700" spans="9:18" ht="15" customHeight="1">
      <c r="I700" s="55"/>
      <c r="J700" s="55"/>
      <c r="K700" s="55"/>
      <c r="R700" s="216"/>
    </row>
    <row r="701" spans="9:18" ht="15" customHeight="1">
      <c r="I701" s="55"/>
      <c r="J701" s="55"/>
      <c r="K701" s="55"/>
      <c r="R701" s="216"/>
    </row>
    <row r="702" spans="9:18" ht="15" customHeight="1">
      <c r="I702" s="55"/>
      <c r="J702" s="55"/>
      <c r="K702" s="55"/>
      <c r="R702" s="216"/>
    </row>
    <row r="703" spans="9:18" ht="15" customHeight="1">
      <c r="I703" s="55"/>
      <c r="J703" s="55"/>
      <c r="K703" s="55"/>
      <c r="R703" s="216"/>
    </row>
    <row r="704" spans="9:18" ht="15" customHeight="1">
      <c r="I704" s="55"/>
      <c r="J704" s="55"/>
      <c r="K704" s="55"/>
      <c r="R704" s="216"/>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80"/>
      <c r="B883" s="180"/>
      <c r="R883" s="184"/>
    </row>
    <row r="884" spans="1:18" ht="15" customHeight="1">
      <c r="A884" s="180"/>
      <c r="B884" s="180"/>
      <c r="R884" s="184"/>
    </row>
    <row r="885" spans="1:18" ht="15" customHeight="1">
      <c r="A885" s="180"/>
      <c r="B885" s="180"/>
      <c r="R885" s="184"/>
    </row>
    <row r="886" spans="1:18" ht="15" customHeight="1">
      <c r="A886" s="180"/>
      <c r="B886" s="180"/>
      <c r="R886" s="184"/>
    </row>
    <row r="887" spans="1:18" ht="15" customHeight="1">
      <c r="A887" s="180"/>
      <c r="B887" s="180"/>
      <c r="R887" s="184"/>
    </row>
    <row r="888" spans="1:18" ht="15" customHeight="1">
      <c r="A888" s="180"/>
      <c r="B888" s="180"/>
      <c r="R888" s="184"/>
    </row>
    <row r="889" spans="1:18" ht="15" customHeight="1">
      <c r="A889" s="180"/>
      <c r="B889" s="180"/>
      <c r="R889" s="184"/>
    </row>
    <row r="890" spans="1:18" ht="15" customHeight="1">
      <c r="A890" s="180"/>
      <c r="B890" s="180"/>
      <c r="R890" s="184"/>
    </row>
    <row r="891" spans="1:18" ht="15" customHeight="1">
      <c r="A891" s="180"/>
      <c r="B891" s="180"/>
      <c r="R891" s="184"/>
    </row>
    <row r="892" spans="1:18" ht="15" customHeight="1">
      <c r="A892" s="180"/>
      <c r="B892" s="180"/>
      <c r="R892" s="184"/>
    </row>
    <row r="893" spans="1:18" ht="15" customHeight="1">
      <c r="A893" s="180"/>
      <c r="B893" s="180"/>
      <c r="R893" s="184"/>
    </row>
    <row r="894" spans="1:18" ht="15" customHeight="1">
      <c r="A894" s="180"/>
      <c r="B894" s="180"/>
      <c r="R894" s="184"/>
    </row>
    <row r="895" spans="1:18" ht="15" customHeight="1">
      <c r="A895" s="180"/>
      <c r="B895" s="180"/>
      <c r="R895" s="184"/>
    </row>
    <row r="896" spans="1:18" ht="15" customHeight="1">
      <c r="A896" s="191"/>
      <c r="B896" s="191"/>
      <c r="C896" s="174"/>
      <c r="D896" s="192"/>
      <c r="E896" s="192"/>
      <c r="F896" s="192"/>
      <c r="G896" s="45"/>
      <c r="H896" s="45"/>
      <c r="I896" s="45"/>
      <c r="J896" s="45"/>
      <c r="K896" s="45"/>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80"/>
      <c r="B900" s="180"/>
      <c r="L900" s="45"/>
      <c r="M900" s="45"/>
      <c r="N900" s="45"/>
      <c r="O900" s="45"/>
      <c r="P900" s="45"/>
      <c r="Q900" s="193"/>
      <c r="R900" s="194"/>
    </row>
    <row r="901" spans="1:18" ht="15" customHeight="1">
      <c r="A901" s="180"/>
      <c r="B901" s="180"/>
      <c r="L901" s="45"/>
      <c r="M901" s="45"/>
      <c r="N901" s="45"/>
      <c r="O901" s="45"/>
      <c r="P901" s="45"/>
      <c r="Q901" s="193"/>
      <c r="R901" s="194"/>
    </row>
    <row r="902" spans="1:18" ht="15" customHeight="1">
      <c r="A902" s="180"/>
      <c r="B902" s="180"/>
      <c r="L902" s="45"/>
      <c r="M902" s="45"/>
      <c r="N902" s="45"/>
      <c r="O902" s="45"/>
      <c r="P902" s="45"/>
      <c r="Q902" s="193"/>
      <c r="R902" s="194"/>
    </row>
    <row r="903" spans="1:18" ht="15" customHeight="1">
      <c r="A903" s="180"/>
      <c r="B903" s="180"/>
      <c r="L903" s="45"/>
      <c r="M903" s="45"/>
      <c r="N903" s="45"/>
      <c r="O903" s="45"/>
      <c r="P903" s="45"/>
      <c r="Q903" s="193"/>
      <c r="R903" s="194"/>
    </row>
    <row r="904" spans="1:18" ht="15" customHeight="1">
      <c r="A904" s="180"/>
      <c r="B904" s="180"/>
      <c r="L904" s="45"/>
      <c r="M904" s="45"/>
      <c r="N904" s="45"/>
      <c r="O904" s="45"/>
      <c r="P904" s="45"/>
      <c r="Q904" s="193"/>
      <c r="R904" s="194"/>
    </row>
    <row r="905" spans="1:18" ht="15" customHeight="1">
      <c r="A905" s="180"/>
      <c r="B905" s="180"/>
      <c r="L905" s="45"/>
      <c r="M905" s="45"/>
      <c r="N905" s="45"/>
      <c r="O905" s="45"/>
      <c r="P905" s="45"/>
      <c r="Q905" s="193"/>
      <c r="R905" s="194"/>
    </row>
    <row r="906" spans="1:18" ht="15" customHeight="1">
      <c r="A906" s="180"/>
      <c r="B906" s="180"/>
      <c r="L906" s="45"/>
      <c r="M906" s="45"/>
      <c r="N906" s="45"/>
      <c r="O906" s="45"/>
      <c r="P906" s="45"/>
      <c r="Q906" s="193"/>
      <c r="R906" s="194"/>
    </row>
    <row r="907" spans="1:18" ht="15" customHeight="1">
      <c r="A907" s="180"/>
      <c r="B907" s="180"/>
      <c r="L907" s="45"/>
      <c r="M907" s="45"/>
      <c r="N907" s="45"/>
      <c r="O907" s="45"/>
      <c r="P907" s="45"/>
      <c r="Q907" s="193"/>
      <c r="R907" s="194"/>
    </row>
    <row r="908" spans="1:18" ht="15" customHeight="1">
      <c r="A908" s="180"/>
      <c r="B908" s="180"/>
      <c r="L908" s="45"/>
      <c r="M908" s="45"/>
      <c r="N908" s="45"/>
      <c r="O908" s="45"/>
      <c r="P908" s="45"/>
      <c r="Q908" s="193"/>
      <c r="R908" s="194"/>
    </row>
    <row r="909" spans="1:18" ht="15" customHeight="1">
      <c r="A909" s="180"/>
      <c r="B909" s="180"/>
      <c r="L909" s="45"/>
      <c r="M909" s="45"/>
      <c r="N909" s="45"/>
      <c r="O909" s="45"/>
      <c r="P909" s="45"/>
      <c r="Q909" s="193"/>
      <c r="R909" s="194"/>
    </row>
    <row r="910" spans="1:18" ht="15" customHeight="1">
      <c r="A910" s="180"/>
      <c r="B910" s="180"/>
      <c r="L910" s="45"/>
      <c r="M910" s="45"/>
      <c r="N910" s="45"/>
      <c r="O910" s="45"/>
      <c r="P910" s="45"/>
      <c r="Q910" s="193"/>
      <c r="R910" s="194"/>
    </row>
    <row r="911" spans="1:18" ht="15" customHeight="1">
      <c r="A911" s="180"/>
      <c r="B911" s="180"/>
      <c r="L911" s="45"/>
      <c r="M911" s="45"/>
      <c r="N911" s="45"/>
      <c r="O911" s="45"/>
      <c r="P911" s="45"/>
      <c r="Q911" s="193"/>
      <c r="R911" s="194"/>
    </row>
    <row r="912" spans="1:18" ht="15" customHeight="1">
      <c r="A912" s="180"/>
      <c r="B912" s="180"/>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91"/>
      <c r="B915" s="191"/>
      <c r="C915" s="174"/>
      <c r="D915" s="192"/>
      <c r="E915" s="192"/>
      <c r="F915" s="192"/>
      <c r="H915" s="45"/>
      <c r="I915" s="45"/>
      <c r="J915" s="45"/>
      <c r="K915" s="45"/>
      <c r="L915" s="45"/>
      <c r="M915" s="45"/>
      <c r="N915" s="45"/>
      <c r="O915" s="45"/>
      <c r="P915" s="45"/>
      <c r="Q915" s="193"/>
      <c r="R915" s="194"/>
    </row>
    <row r="916" spans="1:18" ht="15" customHeight="1">
      <c r="A916" s="191"/>
      <c r="B916" s="191"/>
      <c r="C916" s="174"/>
      <c r="D916" s="192"/>
      <c r="E916" s="192"/>
      <c r="F916" s="192"/>
      <c r="H916" s="45"/>
      <c r="I916" s="45"/>
      <c r="J916" s="45"/>
      <c r="K916" s="45"/>
      <c r="L916" s="45"/>
      <c r="M916" s="45"/>
      <c r="N916" s="45"/>
      <c r="O916" s="45"/>
      <c r="P916" s="45"/>
      <c r="Q916" s="193"/>
      <c r="R916" s="194"/>
    </row>
    <row r="917" spans="1:18" ht="15" customHeight="1">
      <c r="A917" s="191"/>
      <c r="B917" s="191"/>
      <c r="C917" s="174"/>
      <c r="D917" s="192"/>
      <c r="E917" s="192"/>
      <c r="F917" s="192"/>
      <c r="H917" s="45"/>
      <c r="I917" s="45"/>
      <c r="J917" s="45"/>
      <c r="K917" s="45"/>
      <c r="L917" s="45"/>
      <c r="M917" s="45"/>
      <c r="N917" s="45"/>
      <c r="O917" s="45"/>
      <c r="P917" s="45"/>
      <c r="Q917" s="193"/>
      <c r="R917" s="194"/>
    </row>
    <row r="918" spans="1:18" ht="15" customHeight="1">
      <c r="A918" s="191"/>
      <c r="B918" s="191"/>
      <c r="C918" s="174"/>
      <c r="D918" s="192"/>
      <c r="E918" s="192"/>
      <c r="F918" s="192"/>
      <c r="H918" s="45"/>
      <c r="I918" s="45"/>
      <c r="J918" s="45"/>
      <c r="K918" s="45"/>
      <c r="L918" s="45"/>
      <c r="M918" s="45"/>
      <c r="N918" s="45"/>
      <c r="O918" s="45"/>
      <c r="P918" s="45"/>
      <c r="Q918" s="193"/>
      <c r="R918" s="194"/>
    </row>
    <row r="919" spans="1:18" ht="15" customHeight="1">
      <c r="A919" s="191"/>
      <c r="B919" s="191"/>
      <c r="C919" s="174"/>
      <c r="D919" s="192"/>
      <c r="E919" s="192"/>
      <c r="F919" s="192"/>
      <c r="H919" s="45"/>
      <c r="I919" s="45"/>
      <c r="J919" s="45"/>
      <c r="K919" s="45"/>
      <c r="L919" s="45"/>
      <c r="M919" s="45"/>
      <c r="N919" s="45"/>
      <c r="O919" s="45"/>
      <c r="P919" s="45"/>
      <c r="Q919" s="193"/>
      <c r="R919" s="194"/>
    </row>
    <row r="920" spans="1:18" ht="15" customHeight="1">
      <c r="A920" s="191"/>
      <c r="B920" s="191"/>
      <c r="C920" s="174"/>
      <c r="D920" s="192"/>
      <c r="E920" s="192"/>
      <c r="F920" s="192"/>
      <c r="H920" s="45"/>
      <c r="I920" s="45"/>
      <c r="J920" s="45"/>
      <c r="K920" s="45"/>
      <c r="L920" s="45"/>
      <c r="M920" s="45"/>
      <c r="N920" s="45"/>
      <c r="O920" s="45"/>
      <c r="P920" s="45"/>
      <c r="Q920" s="193"/>
      <c r="R920" s="194"/>
    </row>
    <row r="921" spans="1:18" ht="15" customHeight="1">
      <c r="A921" s="191"/>
      <c r="B921" s="191"/>
      <c r="C921" s="174"/>
      <c r="D921" s="192"/>
      <c r="E921" s="192"/>
      <c r="F921" s="192"/>
      <c r="H921" s="45"/>
      <c r="I921" s="45"/>
      <c r="J921" s="45"/>
      <c r="K921" s="45"/>
      <c r="L921" s="45"/>
      <c r="M921" s="45"/>
      <c r="N921" s="45"/>
      <c r="O921" s="45"/>
      <c r="P921" s="45"/>
      <c r="Q921" s="193"/>
      <c r="R921" s="194"/>
    </row>
    <row r="922" spans="1:18" ht="15" customHeight="1">
      <c r="A922" s="191"/>
      <c r="B922" s="191"/>
      <c r="C922" s="174"/>
      <c r="D922" s="192"/>
      <c r="E922" s="192"/>
      <c r="F922" s="192"/>
      <c r="H922" s="45"/>
      <c r="I922" s="45"/>
      <c r="J922" s="45"/>
      <c r="K922" s="45"/>
      <c r="L922" s="45"/>
      <c r="M922" s="45"/>
      <c r="N922" s="45"/>
      <c r="O922" s="45"/>
      <c r="P922" s="45"/>
      <c r="Q922" s="193"/>
      <c r="R922" s="194"/>
    </row>
    <row r="923" spans="1:18" ht="15" customHeight="1">
      <c r="A923" s="191"/>
      <c r="B923" s="191"/>
      <c r="C923" s="174"/>
      <c r="D923" s="192"/>
      <c r="E923" s="192"/>
      <c r="F923" s="192"/>
      <c r="H923" s="45"/>
      <c r="I923" s="45"/>
      <c r="J923" s="45"/>
      <c r="K923" s="45"/>
      <c r="L923" s="45"/>
      <c r="M923" s="45"/>
      <c r="N923" s="45"/>
      <c r="O923" s="45"/>
      <c r="P923" s="45"/>
      <c r="Q923" s="193"/>
      <c r="R923" s="194"/>
    </row>
    <row r="924" spans="1:18" ht="15" customHeight="1">
      <c r="A924" s="191"/>
      <c r="B924" s="191"/>
      <c r="C924" s="174"/>
      <c r="D924" s="192"/>
      <c r="E924" s="192"/>
      <c r="F924" s="192"/>
      <c r="H924" s="45"/>
      <c r="I924" s="45"/>
      <c r="J924" s="45"/>
      <c r="K924" s="45"/>
      <c r="L924" s="45"/>
      <c r="M924" s="45"/>
      <c r="N924" s="45"/>
      <c r="O924" s="45"/>
      <c r="P924" s="45"/>
      <c r="Q924" s="193"/>
      <c r="R924" s="194"/>
    </row>
    <row r="925" spans="1:18" ht="15" customHeight="1">
      <c r="A925" s="191"/>
      <c r="B925" s="191"/>
      <c r="C925" s="174"/>
      <c r="D925" s="192"/>
      <c r="E925" s="192"/>
      <c r="F925" s="192"/>
      <c r="H925" s="45"/>
      <c r="I925" s="45"/>
      <c r="J925" s="45"/>
      <c r="K925" s="45"/>
      <c r="L925" s="45"/>
      <c r="M925" s="45"/>
      <c r="N925" s="45"/>
      <c r="O925" s="45"/>
      <c r="P925" s="45"/>
      <c r="Q925" s="193"/>
      <c r="R925" s="194"/>
    </row>
    <row r="926" spans="1:18" ht="15" customHeight="1">
      <c r="A926" s="191"/>
      <c r="B926" s="191"/>
      <c r="C926" s="174"/>
      <c r="D926" s="192"/>
      <c r="E926" s="192"/>
      <c r="F926" s="192"/>
      <c r="H926" s="45"/>
      <c r="I926" s="45"/>
      <c r="J926" s="45"/>
      <c r="K926" s="45"/>
      <c r="L926" s="45"/>
      <c r="M926" s="45"/>
      <c r="N926" s="45"/>
      <c r="O926" s="45"/>
      <c r="P926" s="45"/>
      <c r="Q926" s="193"/>
      <c r="R926" s="194"/>
    </row>
    <row r="927" spans="1:18" ht="15" customHeight="1">
      <c r="A927" s="191"/>
      <c r="B927" s="191"/>
      <c r="C927" s="174"/>
      <c r="D927" s="192"/>
      <c r="E927" s="192"/>
      <c r="F927" s="192"/>
      <c r="H927" s="45"/>
      <c r="I927" s="45"/>
      <c r="J927" s="45"/>
      <c r="K927" s="45"/>
      <c r="L927" s="45"/>
      <c r="M927" s="45"/>
      <c r="N927" s="45"/>
      <c r="O927" s="45"/>
      <c r="P927" s="45"/>
      <c r="Q927" s="193"/>
      <c r="R92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2" sqref="A4092:DQ4092"/>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19"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20"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18" t="s">
        <v>54</v>
      </c>
      <c r="Q1" s="143" t="s">
        <v>55</v>
      </c>
      <c r="R1" s="144" t="s">
        <v>56</v>
      </c>
    </row>
    <row r="2" spans="1:18" hidden="1">
      <c r="A2" s="71" t="s">
        <v>730</v>
      </c>
      <c r="B2" s="71"/>
      <c r="C2" s="71">
        <v>38505194</v>
      </c>
      <c r="D2" s="145"/>
      <c r="E2" s="145"/>
      <c r="F2" s="145"/>
      <c r="G2" s="71" t="s">
        <v>164</v>
      </c>
      <c r="H2" s="71" t="s">
        <v>424</v>
      </c>
      <c r="I2" s="139">
        <v>45695</v>
      </c>
      <c r="J2" s="145"/>
      <c r="K2" s="145"/>
      <c r="L2" s="145"/>
      <c r="M2" s="145"/>
      <c r="N2" s="145"/>
      <c r="O2" s="145"/>
      <c r="P2" s="145"/>
      <c r="Q2" s="146"/>
      <c r="R2" s="71" t="s">
        <v>731</v>
      </c>
    </row>
    <row r="3" spans="1:18" hidden="1">
      <c r="A3" s="29" t="s">
        <v>730</v>
      </c>
      <c r="B3" s="29"/>
      <c r="C3" s="29">
        <v>38505213</v>
      </c>
      <c r="G3" s="29" t="s">
        <v>164</v>
      </c>
      <c r="H3" s="29" t="s">
        <v>424</v>
      </c>
      <c r="I3" s="120">
        <v>45695</v>
      </c>
      <c r="P3" s="134"/>
      <c r="R3" s="29" t="s">
        <v>732</v>
      </c>
    </row>
    <row r="4" spans="1:18" hidden="1">
      <c r="A4" s="41" t="s">
        <v>733</v>
      </c>
      <c r="B4" s="41"/>
      <c r="C4" s="41">
        <v>50507609</v>
      </c>
      <c r="G4" s="29" t="s">
        <v>164</v>
      </c>
      <c r="H4" s="29" t="s">
        <v>110</v>
      </c>
      <c r="I4" s="120">
        <v>45707</v>
      </c>
      <c r="P4" s="134"/>
      <c r="R4" s="41" t="s">
        <v>734</v>
      </c>
    </row>
    <row r="5" spans="1:18" hidden="1">
      <c r="A5" s="41" t="s">
        <v>733</v>
      </c>
      <c r="B5" s="41"/>
      <c r="C5" s="41">
        <v>50507859</v>
      </c>
      <c r="G5" s="29" t="s">
        <v>164</v>
      </c>
      <c r="H5" s="29" t="s">
        <v>110</v>
      </c>
      <c r="I5" s="120">
        <v>45707</v>
      </c>
      <c r="P5" s="134"/>
      <c r="R5" s="41" t="s">
        <v>735</v>
      </c>
    </row>
    <row r="6" spans="1:18" hidden="1">
      <c r="A6" s="147" t="s">
        <v>736</v>
      </c>
      <c r="B6" s="147"/>
      <c r="C6" s="29">
        <v>21507562</v>
      </c>
      <c r="G6" s="29" t="s">
        <v>164</v>
      </c>
      <c r="H6" s="29" t="s">
        <v>228</v>
      </c>
      <c r="I6" s="120">
        <v>45678</v>
      </c>
      <c r="P6" s="134"/>
      <c r="R6" s="29"/>
    </row>
    <row r="7" spans="1:18" hidden="1">
      <c r="A7" s="147" t="s">
        <v>736</v>
      </c>
      <c r="B7" s="147"/>
      <c r="C7" s="29">
        <v>21507565</v>
      </c>
      <c r="G7" s="29" t="s">
        <v>164</v>
      </c>
      <c r="H7" s="29" t="s">
        <v>228</v>
      </c>
      <c r="I7" s="120">
        <v>45678</v>
      </c>
      <c r="P7" s="134"/>
      <c r="R7" s="29"/>
    </row>
    <row r="8" spans="1:18" hidden="1">
      <c r="A8" s="147" t="s">
        <v>736</v>
      </c>
      <c r="B8" s="147"/>
      <c r="C8" s="29">
        <v>21507568</v>
      </c>
      <c r="G8" s="29" t="s">
        <v>164</v>
      </c>
      <c r="H8" s="29" t="s">
        <v>228</v>
      </c>
      <c r="I8" s="120">
        <v>45678</v>
      </c>
      <c r="P8" s="134"/>
      <c r="R8" s="29"/>
    </row>
    <row r="9" spans="1:18" hidden="1">
      <c r="A9" s="147" t="s">
        <v>736</v>
      </c>
      <c r="B9" s="147"/>
      <c r="C9" s="29">
        <v>21507569</v>
      </c>
      <c r="G9" s="29" t="s">
        <v>164</v>
      </c>
      <c r="H9" s="29" t="s">
        <v>228</v>
      </c>
      <c r="I9" s="120">
        <v>45678</v>
      </c>
      <c r="P9" s="134"/>
      <c r="R9" s="29"/>
    </row>
    <row r="10" spans="1:18" hidden="1">
      <c r="A10" s="147" t="s">
        <v>736</v>
      </c>
      <c r="B10" s="147"/>
      <c r="C10" s="29">
        <v>21507570</v>
      </c>
      <c r="G10" s="29" t="s">
        <v>164</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164</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164</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164</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164</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164</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164</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164</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164</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164</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164</v>
      </c>
      <c r="H355" s="29" t="s">
        <v>228</v>
      </c>
      <c r="I355" s="120">
        <v>45692</v>
      </c>
      <c r="J355" s="29"/>
      <c r="K355" s="29"/>
      <c r="L355" s="29"/>
      <c r="M355" s="29"/>
      <c r="N355" s="29"/>
      <c r="O355" s="29"/>
      <c r="P355" s="29"/>
      <c r="Q355" s="81"/>
      <c r="R355" s="29"/>
      <c r="S355" s="123"/>
    </row>
    <row r="356" spans="1:19" hidden="1">
      <c r="A356" s="29" t="s">
        <v>811</v>
      </c>
      <c r="B356" s="29"/>
      <c r="C356" s="29">
        <v>36505051</v>
      </c>
      <c r="G356" s="29" t="s">
        <v>164</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164</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164</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164</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164</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164</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164</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164</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164</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164</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164</v>
      </c>
      <c r="H366" s="29" t="s">
        <v>228</v>
      </c>
      <c r="I366" s="120">
        <v>45692</v>
      </c>
      <c r="J366" s="29"/>
      <c r="P366" s="134"/>
      <c r="R366" s="29"/>
    </row>
    <row r="367" spans="1:19" ht="15.75" hidden="1">
      <c r="A367" s="29" t="s">
        <v>811</v>
      </c>
      <c r="B367" s="29"/>
      <c r="C367" s="121">
        <v>36504399</v>
      </c>
      <c r="G367" s="29" t="s">
        <v>164</v>
      </c>
      <c r="H367" s="29" t="s">
        <v>228</v>
      </c>
      <c r="I367" s="120">
        <v>45692</v>
      </c>
      <c r="J367" s="29"/>
      <c r="P367" s="134"/>
      <c r="R367" s="29"/>
    </row>
    <row r="368" spans="1:19" ht="15.75" hidden="1">
      <c r="A368" s="29" t="s">
        <v>811</v>
      </c>
      <c r="B368" s="29"/>
      <c r="C368" s="121">
        <v>36504493</v>
      </c>
      <c r="G368" s="29" t="s">
        <v>164</v>
      </c>
      <c r="H368" s="29" t="s">
        <v>228</v>
      </c>
      <c r="I368" s="120">
        <v>45692</v>
      </c>
      <c r="J368" s="29"/>
      <c r="P368" s="134"/>
      <c r="R368" s="29"/>
    </row>
    <row r="369" spans="1:18" ht="15.75" hidden="1">
      <c r="A369" s="29" t="s">
        <v>811</v>
      </c>
      <c r="B369" s="29"/>
      <c r="C369" s="121">
        <v>36504549</v>
      </c>
      <c r="G369" s="29" t="s">
        <v>164</v>
      </c>
      <c r="H369" s="29" t="s">
        <v>228</v>
      </c>
      <c r="I369" s="120">
        <v>45692</v>
      </c>
      <c r="J369" s="29"/>
      <c r="P369" s="134"/>
      <c r="R369" s="29"/>
    </row>
    <row r="370" spans="1:18" ht="15.75" hidden="1">
      <c r="A370" s="29" t="s">
        <v>811</v>
      </c>
      <c r="B370" s="29"/>
      <c r="C370" s="121">
        <v>36504718</v>
      </c>
      <c r="G370" s="29" t="s">
        <v>164</v>
      </c>
      <c r="H370" s="29" t="s">
        <v>228</v>
      </c>
      <c r="I370" s="120">
        <v>45692</v>
      </c>
      <c r="J370" s="29"/>
      <c r="P370" s="134"/>
      <c r="R370" s="29"/>
    </row>
    <row r="371" spans="1:18" ht="15.75" hidden="1">
      <c r="A371" s="29" t="s">
        <v>811</v>
      </c>
      <c r="B371" s="29"/>
      <c r="C371" s="121">
        <v>36504907</v>
      </c>
      <c r="G371" s="29" t="s">
        <v>164</v>
      </c>
      <c r="H371" s="29" t="s">
        <v>228</v>
      </c>
      <c r="I371" s="120">
        <v>45692</v>
      </c>
      <c r="J371" s="29"/>
      <c r="P371" s="134"/>
      <c r="R371" s="29"/>
    </row>
    <row r="372" spans="1:18" hidden="1">
      <c r="A372" s="29" t="s">
        <v>811</v>
      </c>
      <c r="B372" s="29"/>
      <c r="C372" s="29">
        <v>36504999</v>
      </c>
      <c r="G372" s="29" t="s">
        <v>164</v>
      </c>
      <c r="H372" s="29" t="s">
        <v>812</v>
      </c>
      <c r="I372" s="120">
        <v>45692</v>
      </c>
      <c r="J372" s="29"/>
      <c r="P372" s="134"/>
      <c r="R372" s="29" t="s">
        <v>813</v>
      </c>
    </row>
    <row r="373" spans="1:18" hidden="1">
      <c r="A373" s="29" t="s">
        <v>811</v>
      </c>
      <c r="B373" s="29"/>
      <c r="C373" s="29">
        <v>36505051</v>
      </c>
      <c r="G373" s="29" t="s">
        <v>164</v>
      </c>
      <c r="H373" s="29" t="s">
        <v>812</v>
      </c>
      <c r="I373" s="120">
        <v>45692</v>
      </c>
      <c r="J373" s="29"/>
      <c r="P373" s="134"/>
      <c r="R373" s="29" t="s">
        <v>814</v>
      </c>
    </row>
    <row r="374" spans="1:18" hidden="1">
      <c r="A374" s="29" t="s">
        <v>811</v>
      </c>
      <c r="B374" s="29"/>
      <c r="C374" s="29">
        <v>36505051</v>
      </c>
      <c r="G374" s="29" t="s">
        <v>164</v>
      </c>
      <c r="H374" s="29" t="s">
        <v>812</v>
      </c>
      <c r="I374" s="120">
        <v>45692</v>
      </c>
      <c r="J374" s="29"/>
      <c r="P374" s="134"/>
      <c r="R374" s="29" t="s">
        <v>814</v>
      </c>
    </row>
    <row r="375" spans="1:18" hidden="1">
      <c r="A375" s="29" t="s">
        <v>811</v>
      </c>
      <c r="B375" s="29"/>
      <c r="C375" s="29">
        <v>36505123</v>
      </c>
      <c r="G375" s="29" t="s">
        <v>164</v>
      </c>
      <c r="H375" s="29" t="s">
        <v>812</v>
      </c>
      <c r="I375" s="120">
        <v>45694</v>
      </c>
      <c r="J375" s="29"/>
      <c r="P375" s="134"/>
      <c r="R375" s="29" t="s">
        <v>822</v>
      </c>
    </row>
    <row r="376" spans="1:18" hidden="1">
      <c r="A376" s="29" t="s">
        <v>811</v>
      </c>
      <c r="B376" s="29"/>
      <c r="C376" s="29">
        <v>36505184</v>
      </c>
      <c r="G376" s="29" t="s">
        <v>164</v>
      </c>
      <c r="H376" s="29" t="s">
        <v>399</v>
      </c>
      <c r="I376" s="120">
        <v>45692</v>
      </c>
      <c r="J376" s="29"/>
      <c r="P376" s="134"/>
      <c r="R376" s="29" t="s">
        <v>821</v>
      </c>
    </row>
    <row r="377" spans="1:18" hidden="1">
      <c r="A377" s="29" t="s">
        <v>811</v>
      </c>
      <c r="B377" s="29"/>
      <c r="C377" s="29">
        <v>36505254</v>
      </c>
      <c r="G377" s="29" t="s">
        <v>164</v>
      </c>
      <c r="H377" s="29" t="s">
        <v>399</v>
      </c>
      <c r="I377" s="120">
        <v>45692</v>
      </c>
      <c r="J377" s="29"/>
      <c r="P377" s="134"/>
      <c r="R377" s="29" t="s">
        <v>820</v>
      </c>
    </row>
    <row r="378" spans="1:18" hidden="1">
      <c r="A378" s="29" t="s">
        <v>811</v>
      </c>
      <c r="B378" s="29"/>
      <c r="C378" s="29">
        <v>36505299</v>
      </c>
      <c r="G378" s="29" t="s">
        <v>164</v>
      </c>
      <c r="H378" s="29" t="s">
        <v>399</v>
      </c>
      <c r="I378" s="120">
        <v>45692</v>
      </c>
      <c r="J378" s="29"/>
      <c r="P378" s="134"/>
      <c r="R378" s="29" t="s">
        <v>819</v>
      </c>
    </row>
    <row r="379" spans="1:18" ht="15.75" hidden="1">
      <c r="A379" s="29" t="s">
        <v>811</v>
      </c>
      <c r="B379" s="29"/>
      <c r="C379" s="121">
        <v>36505340</v>
      </c>
      <c r="G379" s="29" t="s">
        <v>164</v>
      </c>
      <c r="H379" s="29" t="s">
        <v>228</v>
      </c>
      <c r="I379" s="120">
        <v>45692</v>
      </c>
      <c r="J379" s="29"/>
      <c r="P379" s="134"/>
      <c r="R379" s="29"/>
    </row>
    <row r="380" spans="1:18" hidden="1">
      <c r="A380" s="29" t="s">
        <v>811</v>
      </c>
      <c r="B380" s="29"/>
      <c r="C380" s="29">
        <v>36505340</v>
      </c>
      <c r="G380" s="29" t="s">
        <v>164</v>
      </c>
      <c r="H380" s="29" t="s">
        <v>399</v>
      </c>
      <c r="I380" s="120">
        <v>45692</v>
      </c>
      <c r="J380" s="29"/>
      <c r="P380" s="134"/>
      <c r="R380" s="29" t="s">
        <v>818</v>
      </c>
    </row>
    <row r="381" spans="1:18" ht="15.75" hidden="1">
      <c r="A381" s="29" t="s">
        <v>811</v>
      </c>
      <c r="B381" s="29"/>
      <c r="C381" s="121">
        <v>36505390</v>
      </c>
      <c r="G381" s="29" t="s">
        <v>164</v>
      </c>
      <c r="H381" s="29" t="s">
        <v>228</v>
      </c>
      <c r="I381" s="120">
        <v>45692</v>
      </c>
      <c r="J381" s="29"/>
      <c r="P381" s="134"/>
      <c r="R381" s="29"/>
    </row>
    <row r="382" spans="1:18" hidden="1">
      <c r="A382" s="29" t="s">
        <v>811</v>
      </c>
      <c r="B382" s="29"/>
      <c r="C382" s="29">
        <v>36505390</v>
      </c>
      <c r="G382" s="29" t="s">
        <v>164</v>
      </c>
      <c r="H382" s="29" t="s">
        <v>399</v>
      </c>
      <c r="I382" s="120">
        <v>45692</v>
      </c>
      <c r="J382" s="29"/>
      <c r="P382" s="134"/>
      <c r="R382" s="29" t="s">
        <v>817</v>
      </c>
    </row>
    <row r="383" spans="1:18" ht="15.75" hidden="1">
      <c r="A383" s="29" t="s">
        <v>811</v>
      </c>
      <c r="B383" s="29"/>
      <c r="C383" s="121">
        <v>36505446</v>
      </c>
      <c r="G383" s="29" t="s">
        <v>164</v>
      </c>
      <c r="H383" s="29" t="s">
        <v>228</v>
      </c>
      <c r="I383" s="120">
        <v>45692</v>
      </c>
      <c r="J383" s="29"/>
      <c r="P383" s="134"/>
      <c r="R383" s="29"/>
    </row>
    <row r="384" spans="1:18" hidden="1">
      <c r="A384" s="29" t="s">
        <v>811</v>
      </c>
      <c r="B384" s="29"/>
      <c r="C384" s="29">
        <v>36505446</v>
      </c>
      <c r="G384" s="29" t="s">
        <v>164</v>
      </c>
      <c r="H384" s="29" t="s">
        <v>399</v>
      </c>
      <c r="I384" s="120">
        <v>45692</v>
      </c>
      <c r="J384" s="29"/>
      <c r="P384" s="134"/>
      <c r="R384" s="29" t="s">
        <v>817</v>
      </c>
    </row>
    <row r="385" spans="1:19" ht="15.75" hidden="1">
      <c r="A385" s="29" t="s">
        <v>811</v>
      </c>
      <c r="B385" s="29"/>
      <c r="C385" s="121">
        <v>36505501</v>
      </c>
      <c r="G385" s="29" t="s">
        <v>164</v>
      </c>
      <c r="H385" s="29" t="s">
        <v>228</v>
      </c>
      <c r="I385" s="120">
        <v>45692</v>
      </c>
      <c r="J385" s="29"/>
      <c r="P385" s="134"/>
      <c r="R385" s="29"/>
    </row>
    <row r="386" spans="1:19" hidden="1">
      <c r="A386" s="29" t="s">
        <v>811</v>
      </c>
      <c r="B386" s="29"/>
      <c r="C386" s="29">
        <v>36505501</v>
      </c>
      <c r="G386" s="29" t="s">
        <v>164</v>
      </c>
      <c r="H386" s="29" t="s">
        <v>399</v>
      </c>
      <c r="I386" s="120">
        <v>45692</v>
      </c>
      <c r="J386" s="29"/>
      <c r="P386" s="134"/>
      <c r="R386" s="29" t="s">
        <v>816</v>
      </c>
    </row>
    <row r="387" spans="1:19" hidden="1">
      <c r="A387" s="29" t="s">
        <v>811</v>
      </c>
      <c r="B387" s="29"/>
      <c r="C387" s="29">
        <v>36505123</v>
      </c>
      <c r="G387" s="29" t="s">
        <v>164</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164</v>
      </c>
      <c r="H388" s="29" t="s">
        <v>399</v>
      </c>
      <c r="I388" s="120">
        <v>45692</v>
      </c>
      <c r="J388" s="29"/>
      <c r="P388" s="134"/>
      <c r="R388" s="29" t="s">
        <v>815</v>
      </c>
    </row>
    <row r="389" spans="1:19" hidden="1">
      <c r="A389" s="41" t="s">
        <v>733</v>
      </c>
      <c r="B389" s="41"/>
      <c r="C389" s="41">
        <v>50507785</v>
      </c>
      <c r="G389" s="29" t="s">
        <v>164</v>
      </c>
      <c r="H389" s="29" t="s">
        <v>110</v>
      </c>
      <c r="I389" s="120">
        <v>45707</v>
      </c>
      <c r="J389" s="29"/>
      <c r="P389" s="134"/>
      <c r="R389" s="41" t="s">
        <v>823</v>
      </c>
    </row>
    <row r="390" spans="1:19" hidden="1">
      <c r="A390" s="41" t="s">
        <v>733</v>
      </c>
      <c r="B390" s="41"/>
      <c r="C390" s="41">
        <v>50507819</v>
      </c>
      <c r="G390" s="29" t="s">
        <v>164</v>
      </c>
      <c r="H390" s="29" t="s">
        <v>110</v>
      </c>
      <c r="I390" s="120">
        <v>45707</v>
      </c>
      <c r="J390" s="29"/>
      <c r="P390" s="134"/>
      <c r="R390" s="41" t="s">
        <v>824</v>
      </c>
    </row>
    <row r="391" spans="1:19" hidden="1">
      <c r="A391" s="41" t="s">
        <v>733</v>
      </c>
      <c r="B391" s="41"/>
      <c r="C391" s="41">
        <v>50507838</v>
      </c>
      <c r="G391" s="29" t="s">
        <v>164</v>
      </c>
      <c r="H391" s="29" t="s">
        <v>110</v>
      </c>
      <c r="I391" s="120">
        <v>45707</v>
      </c>
      <c r="J391" s="29"/>
      <c r="P391" s="134"/>
      <c r="R391" s="41" t="s">
        <v>825</v>
      </c>
    </row>
    <row r="392" spans="1:19" hidden="1">
      <c r="A392" s="41" t="s">
        <v>733</v>
      </c>
      <c r="B392" s="41"/>
      <c r="C392" s="41">
        <v>50507640</v>
      </c>
      <c r="G392" s="29" t="s">
        <v>164</v>
      </c>
      <c r="H392" s="29" t="s">
        <v>110</v>
      </c>
      <c r="I392" s="120">
        <v>45707</v>
      </c>
      <c r="J392" s="29"/>
      <c r="P392" s="134"/>
      <c r="R392" s="41" t="s">
        <v>826</v>
      </c>
    </row>
    <row r="393" spans="1:19" hidden="1">
      <c r="A393" s="41" t="s">
        <v>733</v>
      </c>
      <c r="B393" s="41"/>
      <c r="C393" s="41">
        <v>50507678</v>
      </c>
      <c r="G393" s="29" t="s">
        <v>164</v>
      </c>
      <c r="H393" s="29" t="s">
        <v>110</v>
      </c>
      <c r="I393" s="120">
        <v>45707</v>
      </c>
      <c r="J393" s="29"/>
      <c r="P393" s="134"/>
      <c r="R393" s="41" t="s">
        <v>827</v>
      </c>
    </row>
    <row r="394" spans="1:19" hidden="1">
      <c r="A394" s="41" t="s">
        <v>733</v>
      </c>
      <c r="B394" s="41"/>
      <c r="C394" s="41">
        <v>50507713</v>
      </c>
      <c r="G394" s="29" t="s">
        <v>164</v>
      </c>
      <c r="H394" s="29" t="s">
        <v>110</v>
      </c>
      <c r="I394" s="120">
        <v>45707</v>
      </c>
      <c r="J394" s="29"/>
      <c r="P394" s="134"/>
      <c r="R394" s="41" t="s">
        <v>828</v>
      </c>
    </row>
    <row r="395" spans="1:19" hidden="1">
      <c r="A395" s="41" t="s">
        <v>733</v>
      </c>
      <c r="B395" s="41"/>
      <c r="C395" s="41">
        <v>50507757</v>
      </c>
      <c r="G395" s="29" t="s">
        <v>164</v>
      </c>
      <c r="H395" s="29" t="s">
        <v>110</v>
      </c>
      <c r="I395" s="120">
        <v>45707</v>
      </c>
      <c r="J395" s="29"/>
      <c r="P395" s="134"/>
      <c r="R395" s="41" t="s">
        <v>829</v>
      </c>
    </row>
    <row r="396" spans="1:19" hidden="1">
      <c r="A396" s="41" t="s">
        <v>733</v>
      </c>
      <c r="B396" s="41"/>
      <c r="C396" s="41">
        <v>50507609</v>
      </c>
      <c r="G396" s="29" t="s">
        <v>164</v>
      </c>
      <c r="H396" s="29" t="s">
        <v>424</v>
      </c>
      <c r="I396" s="42">
        <v>45707</v>
      </c>
      <c r="P396" s="134"/>
      <c r="R396" s="41" t="s">
        <v>734</v>
      </c>
    </row>
    <row r="397" spans="1:19" hidden="1">
      <c r="A397" s="41" t="s">
        <v>733</v>
      </c>
      <c r="B397" s="41"/>
      <c r="C397" s="41">
        <v>50507859</v>
      </c>
      <c r="G397" s="29" t="s">
        <v>164</v>
      </c>
      <c r="H397" s="29" t="s">
        <v>424</v>
      </c>
      <c r="I397" s="42">
        <v>45707</v>
      </c>
      <c r="P397" s="134"/>
      <c r="R397" s="41" t="s">
        <v>735</v>
      </c>
    </row>
    <row r="398" spans="1:19" hidden="1">
      <c r="A398" s="41" t="s">
        <v>733</v>
      </c>
      <c r="B398" s="41"/>
      <c r="C398" s="41">
        <v>50507785</v>
      </c>
      <c r="G398" s="29" t="s">
        <v>164</v>
      </c>
      <c r="H398" s="29" t="s">
        <v>424</v>
      </c>
      <c r="I398" s="42">
        <v>45707</v>
      </c>
      <c r="P398" s="134"/>
      <c r="R398" s="41" t="s">
        <v>823</v>
      </c>
    </row>
    <row r="399" spans="1:19" hidden="1">
      <c r="A399" s="41" t="s">
        <v>733</v>
      </c>
      <c r="B399" s="41"/>
      <c r="C399" s="41">
        <v>50507819</v>
      </c>
      <c r="G399" s="29" t="s">
        <v>164</v>
      </c>
      <c r="H399" s="29" t="s">
        <v>424</v>
      </c>
      <c r="I399" s="42">
        <v>45707</v>
      </c>
      <c r="P399" s="134"/>
      <c r="R399" s="41" t="s">
        <v>824</v>
      </c>
    </row>
    <row r="400" spans="1:19" hidden="1">
      <c r="A400" s="41" t="s">
        <v>733</v>
      </c>
      <c r="B400" s="41"/>
      <c r="C400" s="41">
        <v>50507838</v>
      </c>
      <c r="G400" s="29" t="s">
        <v>164</v>
      </c>
      <c r="H400" s="29" t="s">
        <v>424</v>
      </c>
      <c r="I400" s="42">
        <v>45707</v>
      </c>
      <c r="P400" s="134"/>
      <c r="R400" s="41" t="s">
        <v>825</v>
      </c>
    </row>
    <row r="401" spans="1:18" hidden="1">
      <c r="A401" s="41" t="s">
        <v>733</v>
      </c>
      <c r="B401" s="41"/>
      <c r="C401" s="41">
        <v>50507640</v>
      </c>
      <c r="G401" s="29" t="s">
        <v>164</v>
      </c>
      <c r="H401" s="29" t="s">
        <v>424</v>
      </c>
      <c r="I401" s="42">
        <v>45707</v>
      </c>
      <c r="P401" s="134"/>
      <c r="R401" s="41" t="s">
        <v>826</v>
      </c>
    </row>
    <row r="402" spans="1:18" hidden="1">
      <c r="A402" s="41" t="s">
        <v>733</v>
      </c>
      <c r="B402" s="41"/>
      <c r="C402" s="41">
        <v>50507678</v>
      </c>
      <c r="G402" s="29" t="s">
        <v>164</v>
      </c>
      <c r="H402" s="29" t="s">
        <v>424</v>
      </c>
      <c r="I402" s="42">
        <v>45707</v>
      </c>
      <c r="P402" s="134"/>
      <c r="R402" s="41" t="s">
        <v>827</v>
      </c>
    </row>
    <row r="403" spans="1:18" hidden="1">
      <c r="A403" s="41" t="s">
        <v>733</v>
      </c>
      <c r="B403" s="41"/>
      <c r="C403" s="41">
        <v>50507713</v>
      </c>
      <c r="G403" s="29" t="s">
        <v>164</v>
      </c>
      <c r="H403" s="29" t="s">
        <v>424</v>
      </c>
      <c r="I403" s="42">
        <v>45707</v>
      </c>
      <c r="P403" s="134"/>
      <c r="R403" s="41" t="s">
        <v>828</v>
      </c>
    </row>
    <row r="404" spans="1:18" hidden="1">
      <c r="A404" s="41" t="s">
        <v>733</v>
      </c>
      <c r="B404" s="41"/>
      <c r="C404" s="41">
        <v>50507757</v>
      </c>
      <c r="G404" s="29" t="s">
        <v>164</v>
      </c>
      <c r="H404" s="29" t="s">
        <v>424</v>
      </c>
      <c r="I404" s="42">
        <v>45707</v>
      </c>
      <c r="P404" s="134"/>
      <c r="R404" s="41" t="s">
        <v>829</v>
      </c>
    </row>
    <row r="405" spans="1:18" hidden="1">
      <c r="A405" s="41" t="s">
        <v>733</v>
      </c>
      <c r="B405" s="41"/>
      <c r="C405" s="41">
        <v>50507609</v>
      </c>
      <c r="G405" s="29" t="s">
        <v>164</v>
      </c>
      <c r="H405" s="29" t="s">
        <v>424</v>
      </c>
      <c r="I405" s="42">
        <v>45707</v>
      </c>
      <c r="P405" s="134"/>
      <c r="R405" s="41" t="s">
        <v>734</v>
      </c>
    </row>
    <row r="406" spans="1:18" hidden="1">
      <c r="A406" s="41" t="s">
        <v>733</v>
      </c>
      <c r="B406" s="41"/>
      <c r="C406" s="41">
        <v>50507859</v>
      </c>
      <c r="G406" s="29" t="s">
        <v>164</v>
      </c>
      <c r="H406" s="29" t="s">
        <v>424</v>
      </c>
      <c r="I406" s="42">
        <v>45707</v>
      </c>
      <c r="P406" s="134"/>
      <c r="R406" s="41" t="s">
        <v>735</v>
      </c>
    </row>
    <row r="407" spans="1:18" hidden="1">
      <c r="A407" s="41" t="s">
        <v>733</v>
      </c>
      <c r="B407" s="41"/>
      <c r="C407" s="41">
        <v>50507785</v>
      </c>
      <c r="G407" s="29" t="s">
        <v>164</v>
      </c>
      <c r="H407" s="29" t="s">
        <v>424</v>
      </c>
      <c r="I407" s="42">
        <v>45707</v>
      </c>
      <c r="P407" s="134"/>
      <c r="R407" s="41" t="s">
        <v>823</v>
      </c>
    </row>
    <row r="408" spans="1:18" hidden="1">
      <c r="A408" s="41" t="s">
        <v>733</v>
      </c>
      <c r="B408" s="41"/>
      <c r="C408" s="41">
        <v>50507819</v>
      </c>
      <c r="G408" s="29" t="s">
        <v>164</v>
      </c>
      <c r="H408" s="29" t="s">
        <v>424</v>
      </c>
      <c r="I408" s="42">
        <v>45707</v>
      </c>
      <c r="P408" s="134"/>
      <c r="R408" s="41" t="s">
        <v>824</v>
      </c>
    </row>
    <row r="409" spans="1:18" hidden="1">
      <c r="A409" s="41" t="s">
        <v>733</v>
      </c>
      <c r="B409" s="41"/>
      <c r="C409" s="41">
        <v>50507838</v>
      </c>
      <c r="G409" s="29" t="s">
        <v>164</v>
      </c>
      <c r="H409" s="29" t="s">
        <v>424</v>
      </c>
      <c r="I409" s="42">
        <v>45707</v>
      </c>
      <c r="P409" s="134"/>
      <c r="R409" s="41" t="s">
        <v>825</v>
      </c>
    </row>
    <row r="410" spans="1:18" hidden="1">
      <c r="A410" s="41" t="s">
        <v>733</v>
      </c>
      <c r="B410" s="41"/>
      <c r="C410" s="41">
        <v>50507640</v>
      </c>
      <c r="G410" s="29" t="s">
        <v>164</v>
      </c>
      <c r="H410" s="29" t="s">
        <v>424</v>
      </c>
      <c r="I410" s="42">
        <v>45707</v>
      </c>
      <c r="P410" s="134"/>
      <c r="R410" s="41" t="s">
        <v>826</v>
      </c>
    </row>
    <row r="411" spans="1:18" hidden="1">
      <c r="A411" s="41" t="s">
        <v>733</v>
      </c>
      <c r="B411" s="41"/>
      <c r="C411" s="41">
        <v>50507678</v>
      </c>
      <c r="G411" s="29" t="s">
        <v>164</v>
      </c>
      <c r="H411" s="29" t="s">
        <v>424</v>
      </c>
      <c r="I411" s="42">
        <v>45707</v>
      </c>
      <c r="P411" s="134"/>
      <c r="R411" s="41" t="s">
        <v>827</v>
      </c>
    </row>
    <row r="412" spans="1:18" hidden="1">
      <c r="A412" s="41" t="s">
        <v>733</v>
      </c>
      <c r="B412" s="41"/>
      <c r="C412" s="41">
        <v>50507713</v>
      </c>
      <c r="G412" s="29" t="s">
        <v>164</v>
      </c>
      <c r="H412" s="29" t="s">
        <v>424</v>
      </c>
      <c r="I412" s="42">
        <v>45707</v>
      </c>
      <c r="P412" s="134"/>
      <c r="R412" s="41" t="s">
        <v>828</v>
      </c>
    </row>
    <row r="413" spans="1:18" hidden="1">
      <c r="A413" s="41" t="s">
        <v>733</v>
      </c>
      <c r="B413" s="41"/>
      <c r="C413" s="41">
        <v>50507757</v>
      </c>
      <c r="G413" s="29" t="s">
        <v>164</v>
      </c>
      <c r="H413" s="29" t="s">
        <v>424</v>
      </c>
      <c r="I413" s="42">
        <v>45707</v>
      </c>
      <c r="P413" s="134"/>
      <c r="R413" s="41" t="s">
        <v>829</v>
      </c>
    </row>
    <row r="414" spans="1:18" hidden="1">
      <c r="A414" s="41" t="s">
        <v>733</v>
      </c>
      <c r="B414" s="41"/>
      <c r="C414" s="41">
        <v>50507609</v>
      </c>
      <c r="G414" s="29" t="s">
        <v>164</v>
      </c>
      <c r="H414" s="29" t="s">
        <v>110</v>
      </c>
      <c r="I414" s="120">
        <v>45707</v>
      </c>
      <c r="J414" s="29"/>
      <c r="K414" s="29"/>
      <c r="L414" s="29"/>
      <c r="M414" s="29"/>
      <c r="N414" s="29"/>
      <c r="P414" s="134"/>
      <c r="R414" s="41" t="s">
        <v>734</v>
      </c>
    </row>
    <row r="415" spans="1:18" hidden="1">
      <c r="A415" s="41" t="s">
        <v>733</v>
      </c>
      <c r="B415" s="41"/>
      <c r="C415" s="41">
        <v>50507859</v>
      </c>
      <c r="G415" s="29" t="s">
        <v>164</v>
      </c>
      <c r="H415" s="29" t="s">
        <v>110</v>
      </c>
      <c r="I415" s="120">
        <v>45707</v>
      </c>
      <c r="J415" s="29"/>
      <c r="K415" s="29"/>
      <c r="L415" s="29"/>
      <c r="M415" s="29"/>
      <c r="N415" s="29"/>
      <c r="P415" s="134"/>
      <c r="R415" s="41" t="s">
        <v>735</v>
      </c>
    </row>
    <row r="416" spans="1:18" hidden="1">
      <c r="A416" s="41" t="s">
        <v>733</v>
      </c>
      <c r="B416" s="41"/>
      <c r="C416" s="41">
        <v>50507785</v>
      </c>
      <c r="G416" s="29" t="s">
        <v>164</v>
      </c>
      <c r="H416" s="29" t="s">
        <v>110</v>
      </c>
      <c r="I416" s="120">
        <v>45707</v>
      </c>
      <c r="J416" s="29"/>
      <c r="K416" s="29"/>
      <c r="L416" s="29"/>
      <c r="M416" s="29"/>
      <c r="N416" s="29"/>
      <c r="P416" s="134"/>
      <c r="R416" s="41" t="s">
        <v>823</v>
      </c>
    </row>
    <row r="417" spans="1:19" hidden="1">
      <c r="A417" s="41" t="s">
        <v>733</v>
      </c>
      <c r="B417" s="41"/>
      <c r="C417" s="41">
        <v>50507819</v>
      </c>
      <c r="G417" s="29" t="s">
        <v>164</v>
      </c>
      <c r="H417" s="29" t="s">
        <v>110</v>
      </c>
      <c r="I417" s="120">
        <v>45707</v>
      </c>
      <c r="J417" s="29"/>
      <c r="K417" s="29"/>
      <c r="L417" s="29"/>
      <c r="M417" s="29"/>
      <c r="N417" s="29"/>
      <c r="P417" s="134"/>
      <c r="R417" s="41" t="s">
        <v>824</v>
      </c>
    </row>
    <row r="418" spans="1:19" hidden="1">
      <c r="A418" s="41" t="s">
        <v>733</v>
      </c>
      <c r="B418" s="41"/>
      <c r="C418" s="41">
        <v>50507838</v>
      </c>
      <c r="G418" s="29" t="s">
        <v>164</v>
      </c>
      <c r="H418" s="29" t="s">
        <v>110</v>
      </c>
      <c r="I418" s="120">
        <v>45707</v>
      </c>
      <c r="J418" s="29"/>
      <c r="K418" s="29"/>
      <c r="L418" s="29"/>
      <c r="M418" s="29"/>
      <c r="N418" s="29"/>
      <c r="P418" s="134"/>
      <c r="R418" s="41" t="s">
        <v>825</v>
      </c>
    </row>
    <row r="419" spans="1:19" hidden="1">
      <c r="A419" s="41" t="s">
        <v>733</v>
      </c>
      <c r="B419" s="41"/>
      <c r="C419" s="41">
        <v>50507640</v>
      </c>
      <c r="G419" s="29" t="s">
        <v>164</v>
      </c>
      <c r="H419" s="29" t="s">
        <v>110</v>
      </c>
      <c r="I419" s="120">
        <v>45707</v>
      </c>
      <c r="J419" s="29"/>
      <c r="K419" s="29"/>
      <c r="L419" s="29"/>
      <c r="M419" s="29"/>
      <c r="N419" s="29"/>
      <c r="P419" s="134"/>
      <c r="R419" s="41" t="s">
        <v>826</v>
      </c>
    </row>
    <row r="420" spans="1:19" hidden="1">
      <c r="A420" s="41" t="s">
        <v>733</v>
      </c>
      <c r="B420" s="41"/>
      <c r="C420" s="41">
        <v>50507678</v>
      </c>
      <c r="G420" s="29" t="s">
        <v>164</v>
      </c>
      <c r="H420" s="29" t="s">
        <v>110</v>
      </c>
      <c r="I420" s="120">
        <v>45707</v>
      </c>
      <c r="J420" s="29"/>
      <c r="K420" s="29"/>
      <c r="L420" s="29"/>
      <c r="M420" s="29"/>
      <c r="N420" s="29"/>
      <c r="P420" s="134"/>
      <c r="R420" s="41" t="s">
        <v>827</v>
      </c>
    </row>
    <row r="421" spans="1:19" hidden="1">
      <c r="A421" s="41" t="s">
        <v>733</v>
      </c>
      <c r="B421" s="41"/>
      <c r="C421" s="41">
        <v>50507713</v>
      </c>
      <c r="G421" s="29" t="s">
        <v>164</v>
      </c>
      <c r="H421" s="29" t="s">
        <v>110</v>
      </c>
      <c r="I421" s="120">
        <v>45707</v>
      </c>
      <c r="J421" s="29"/>
      <c r="K421" s="29"/>
      <c r="L421" s="29"/>
      <c r="M421" s="29"/>
      <c r="N421" s="29"/>
      <c r="P421" s="134"/>
      <c r="R421" s="41" t="s">
        <v>828</v>
      </c>
    </row>
    <row r="422" spans="1:19" hidden="1">
      <c r="A422" s="41" t="s">
        <v>733</v>
      </c>
      <c r="B422" s="41"/>
      <c r="C422" s="41">
        <v>50507757</v>
      </c>
      <c r="G422" s="29" t="s">
        <v>164</v>
      </c>
      <c r="H422" s="29" t="s">
        <v>110</v>
      </c>
      <c r="I422" s="120">
        <v>45707</v>
      </c>
      <c r="J422" s="29"/>
      <c r="K422" s="29"/>
      <c r="L422" s="29"/>
      <c r="M422" s="29"/>
      <c r="N422" s="29"/>
      <c r="P422" s="134"/>
      <c r="R422" s="41" t="s">
        <v>829</v>
      </c>
    </row>
    <row r="423" spans="1:19" hidden="1">
      <c r="A423" s="147" t="s">
        <v>830</v>
      </c>
      <c r="B423" s="147"/>
      <c r="C423" s="29">
        <v>6508035</v>
      </c>
      <c r="G423" s="29" t="s">
        <v>164</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164</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164</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164</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164</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164</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164</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164</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164</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164</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164</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164</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164</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164</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164</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164</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164</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164</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164</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164</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164</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164</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164</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164</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164</v>
      </c>
      <c r="H447" s="29" t="s">
        <v>831</v>
      </c>
      <c r="I447" s="120">
        <v>45659</v>
      </c>
      <c r="J447" s="29"/>
      <c r="K447" s="29"/>
      <c r="L447" s="29"/>
      <c r="M447" s="29"/>
      <c r="N447" s="29"/>
      <c r="O447" s="29"/>
      <c r="P447" s="29"/>
      <c r="Q447" s="81"/>
      <c r="R447" s="29"/>
      <c r="S447" s="123"/>
    </row>
    <row r="448" spans="1:19" hidden="1">
      <c r="A448" s="29" t="s">
        <v>830</v>
      </c>
      <c r="B448" s="29"/>
      <c r="C448" s="29">
        <v>35500215</v>
      </c>
      <c r="G448" s="29" t="s">
        <v>164</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164</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164</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164</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164</v>
      </c>
      <c r="H452" s="29" t="s">
        <v>831</v>
      </c>
      <c r="I452" s="120">
        <v>45659</v>
      </c>
      <c r="J452" s="29"/>
      <c r="P452" s="134"/>
      <c r="R452" s="29"/>
    </row>
    <row r="453" spans="1:19" hidden="1">
      <c r="A453" s="147" t="s">
        <v>830</v>
      </c>
      <c r="B453" s="147"/>
      <c r="C453" s="29">
        <v>6508102</v>
      </c>
      <c r="G453" s="29" t="s">
        <v>164</v>
      </c>
      <c r="H453" s="29" t="s">
        <v>831</v>
      </c>
      <c r="I453" s="120">
        <v>45659</v>
      </c>
      <c r="J453" s="29"/>
      <c r="P453" s="134"/>
      <c r="R453" s="29"/>
    </row>
    <row r="454" spans="1:19" hidden="1">
      <c r="A454" s="147" t="s">
        <v>830</v>
      </c>
      <c r="B454" s="147"/>
      <c r="C454" s="29">
        <v>6508109</v>
      </c>
      <c r="G454" s="29" t="s">
        <v>164</v>
      </c>
      <c r="H454" s="29" t="s">
        <v>831</v>
      </c>
      <c r="I454" s="120">
        <v>45659</v>
      </c>
      <c r="J454" s="29"/>
      <c r="P454" s="134"/>
      <c r="R454" s="29"/>
    </row>
    <row r="455" spans="1:19" hidden="1">
      <c r="A455" s="147" t="s">
        <v>830</v>
      </c>
      <c r="B455" s="147"/>
      <c r="C455" s="29">
        <v>6508118</v>
      </c>
      <c r="G455" s="29" t="s">
        <v>164</v>
      </c>
      <c r="H455" s="29" t="s">
        <v>831</v>
      </c>
      <c r="I455" s="120">
        <v>45659</v>
      </c>
      <c r="J455" s="29"/>
      <c r="P455" s="134"/>
      <c r="R455" s="29"/>
    </row>
    <row r="456" spans="1:19" hidden="1">
      <c r="A456" s="147" t="s">
        <v>830</v>
      </c>
      <c r="B456" s="147"/>
      <c r="C456" s="29">
        <v>6508147</v>
      </c>
      <c r="G456" s="29" t="s">
        <v>164</v>
      </c>
      <c r="H456" s="29" t="s">
        <v>831</v>
      </c>
      <c r="I456" s="120">
        <v>45659</v>
      </c>
      <c r="J456" s="29"/>
      <c r="P456" s="134"/>
      <c r="R456" s="29"/>
    </row>
    <row r="457" spans="1:19" hidden="1">
      <c r="A457" s="147" t="s">
        <v>830</v>
      </c>
      <c r="B457" s="147"/>
      <c r="C457" s="29">
        <v>6508194</v>
      </c>
      <c r="G457" s="29" t="s">
        <v>164</v>
      </c>
      <c r="H457" s="29" t="s">
        <v>831</v>
      </c>
      <c r="I457" s="120">
        <v>45659</v>
      </c>
      <c r="J457" s="29"/>
      <c r="P457" s="134"/>
      <c r="R457" s="29"/>
    </row>
    <row r="458" spans="1:19" hidden="1">
      <c r="A458" s="147" t="s">
        <v>830</v>
      </c>
      <c r="B458" s="147"/>
      <c r="C458" s="29">
        <v>6508205</v>
      </c>
      <c r="G458" s="29" t="s">
        <v>164</v>
      </c>
      <c r="H458" s="29" t="s">
        <v>831</v>
      </c>
      <c r="I458" s="120">
        <v>45659</v>
      </c>
      <c r="J458" s="29"/>
      <c r="P458" s="134"/>
      <c r="R458" s="29"/>
    </row>
    <row r="459" spans="1:19" hidden="1">
      <c r="A459" s="147" t="s">
        <v>830</v>
      </c>
      <c r="B459" s="147"/>
      <c r="C459" s="29">
        <v>6508233</v>
      </c>
      <c r="G459" s="29" t="s">
        <v>164</v>
      </c>
      <c r="H459" s="29" t="s">
        <v>831</v>
      </c>
      <c r="I459" s="120">
        <v>45659</v>
      </c>
      <c r="J459" s="29"/>
      <c r="P459" s="134"/>
      <c r="R459" s="29"/>
    </row>
    <row r="460" spans="1:19" hidden="1">
      <c r="A460" s="147" t="s">
        <v>830</v>
      </c>
      <c r="B460" s="147"/>
      <c r="C460" s="29">
        <v>6508247</v>
      </c>
      <c r="G460" s="29" t="s">
        <v>164</v>
      </c>
      <c r="H460" s="29" t="s">
        <v>831</v>
      </c>
      <c r="I460" s="120">
        <v>45659</v>
      </c>
      <c r="J460" s="29"/>
      <c r="P460" s="134"/>
      <c r="R460" s="29"/>
    </row>
    <row r="461" spans="1:19" hidden="1">
      <c r="A461" s="147" t="s">
        <v>830</v>
      </c>
      <c r="B461" s="147"/>
      <c r="C461" s="29">
        <v>6508254</v>
      </c>
      <c r="G461" s="29" t="s">
        <v>164</v>
      </c>
      <c r="H461" s="29" t="s">
        <v>831</v>
      </c>
      <c r="I461" s="120">
        <v>45659</v>
      </c>
      <c r="J461" s="29"/>
      <c r="P461" s="134"/>
      <c r="R461" s="29"/>
    </row>
    <row r="462" spans="1:19" hidden="1">
      <c r="A462" s="147" t="s">
        <v>830</v>
      </c>
      <c r="B462" s="147"/>
      <c r="C462" s="29">
        <v>6508313</v>
      </c>
      <c r="G462" s="29" t="s">
        <v>164</v>
      </c>
      <c r="H462" s="29" t="s">
        <v>831</v>
      </c>
      <c r="I462" s="120">
        <v>45659</v>
      </c>
      <c r="J462" s="29"/>
      <c r="P462" s="134"/>
      <c r="R462" s="29"/>
    </row>
    <row r="463" spans="1:19" hidden="1">
      <c r="A463" s="147" t="s">
        <v>830</v>
      </c>
      <c r="B463" s="147"/>
      <c r="C463" s="29">
        <v>6508324</v>
      </c>
      <c r="G463" s="29" t="s">
        <v>164</v>
      </c>
      <c r="H463" s="29" t="s">
        <v>831</v>
      </c>
      <c r="I463" s="120">
        <v>45659</v>
      </c>
      <c r="J463" s="29"/>
      <c r="P463" s="134"/>
      <c r="R463" s="29"/>
    </row>
    <row r="464" spans="1:19" hidden="1">
      <c r="A464" s="147" t="s">
        <v>830</v>
      </c>
      <c r="B464" s="147"/>
      <c r="C464" s="29">
        <v>6508339</v>
      </c>
      <c r="G464" s="29" t="s">
        <v>164</v>
      </c>
      <c r="H464" s="29" t="s">
        <v>831</v>
      </c>
      <c r="I464" s="120">
        <v>45659</v>
      </c>
      <c r="J464" s="29"/>
      <c r="P464" s="134"/>
      <c r="R464" s="29"/>
    </row>
    <row r="465" spans="1:18" hidden="1">
      <c r="A465" s="147" t="s">
        <v>830</v>
      </c>
      <c r="B465" s="147"/>
      <c r="C465" s="29">
        <v>6508357</v>
      </c>
      <c r="G465" s="29" t="s">
        <v>164</v>
      </c>
      <c r="H465" s="29" t="s">
        <v>831</v>
      </c>
      <c r="I465" s="120">
        <v>45659</v>
      </c>
      <c r="J465" s="29"/>
      <c r="P465" s="134"/>
      <c r="R465" s="29"/>
    </row>
    <row r="466" spans="1:18" hidden="1">
      <c r="A466" s="147" t="s">
        <v>830</v>
      </c>
      <c r="B466" s="147"/>
      <c r="C466" s="29">
        <v>6508367</v>
      </c>
      <c r="G466" s="29" t="s">
        <v>164</v>
      </c>
      <c r="H466" s="29" t="s">
        <v>831</v>
      </c>
      <c r="I466" s="120">
        <v>45659</v>
      </c>
      <c r="J466" s="29"/>
      <c r="P466" s="134"/>
      <c r="R466" s="29"/>
    </row>
    <row r="467" spans="1:18" hidden="1">
      <c r="A467" s="147" t="s">
        <v>830</v>
      </c>
      <c r="B467" s="147"/>
      <c r="C467" s="29">
        <v>6508375</v>
      </c>
      <c r="G467" s="29" t="s">
        <v>164</v>
      </c>
      <c r="H467" s="29" t="s">
        <v>831</v>
      </c>
      <c r="I467" s="120">
        <v>45659</v>
      </c>
      <c r="J467" s="29"/>
      <c r="P467" s="134"/>
      <c r="R467" s="29"/>
    </row>
    <row r="468" spans="1:18" hidden="1">
      <c r="A468" s="147" t="s">
        <v>830</v>
      </c>
      <c r="B468" s="147"/>
      <c r="C468" s="29">
        <v>6508420</v>
      </c>
      <c r="G468" s="29" t="s">
        <v>164</v>
      </c>
      <c r="H468" s="29" t="s">
        <v>831</v>
      </c>
      <c r="I468" s="120">
        <v>45659</v>
      </c>
      <c r="J468" s="29"/>
      <c r="P468" s="134"/>
      <c r="R468" s="29"/>
    </row>
    <row r="469" spans="1:18" hidden="1">
      <c r="A469" s="147" t="s">
        <v>830</v>
      </c>
      <c r="B469" s="147"/>
      <c r="C469" s="29">
        <v>6508410</v>
      </c>
      <c r="G469" s="29" t="s">
        <v>164</v>
      </c>
      <c r="H469" s="29" t="s">
        <v>831</v>
      </c>
      <c r="I469" s="120">
        <v>45659</v>
      </c>
      <c r="J469" s="29"/>
      <c r="P469" s="134"/>
      <c r="R469" s="29"/>
    </row>
    <row r="470" spans="1:18" hidden="1">
      <c r="A470" s="147" t="s">
        <v>830</v>
      </c>
      <c r="B470" s="147"/>
      <c r="C470" s="29">
        <v>6508430</v>
      </c>
      <c r="G470" s="29" t="s">
        <v>164</v>
      </c>
      <c r="H470" s="29" t="s">
        <v>831</v>
      </c>
      <c r="I470" s="120">
        <v>45659</v>
      </c>
      <c r="J470" s="29"/>
      <c r="P470" s="134"/>
      <c r="R470" s="29"/>
    </row>
    <row r="471" spans="1:18" hidden="1">
      <c r="A471" s="147" t="s">
        <v>830</v>
      </c>
      <c r="B471" s="147"/>
      <c r="C471" s="29">
        <v>6508443</v>
      </c>
      <c r="G471" s="29" t="s">
        <v>164</v>
      </c>
      <c r="H471" s="29" t="s">
        <v>831</v>
      </c>
      <c r="I471" s="120">
        <v>45659</v>
      </c>
      <c r="J471" s="29"/>
      <c r="P471" s="134"/>
      <c r="R471" s="29"/>
    </row>
    <row r="472" spans="1:18" hidden="1">
      <c r="A472" s="147" t="s">
        <v>830</v>
      </c>
      <c r="B472" s="147"/>
      <c r="C472" s="29">
        <v>6508466</v>
      </c>
      <c r="G472" s="29" t="s">
        <v>164</v>
      </c>
      <c r="H472" s="29" t="s">
        <v>831</v>
      </c>
      <c r="I472" s="120">
        <v>45659</v>
      </c>
      <c r="J472" s="29"/>
      <c r="P472" s="134"/>
      <c r="R472" s="29"/>
    </row>
    <row r="473" spans="1:18" hidden="1">
      <c r="A473" s="147" t="s">
        <v>830</v>
      </c>
      <c r="B473" s="147"/>
      <c r="C473" s="29">
        <v>6508486</v>
      </c>
      <c r="G473" s="29" t="s">
        <v>164</v>
      </c>
      <c r="H473" s="29" t="s">
        <v>831</v>
      </c>
      <c r="I473" s="120">
        <v>45659</v>
      </c>
      <c r="J473" s="29"/>
      <c r="P473" s="134"/>
      <c r="R473" s="29"/>
    </row>
    <row r="474" spans="1:18" hidden="1">
      <c r="A474" s="147" t="s">
        <v>830</v>
      </c>
      <c r="B474" s="147"/>
      <c r="C474" s="29">
        <v>6508492</v>
      </c>
      <c r="G474" s="29" t="s">
        <v>164</v>
      </c>
      <c r="H474" s="29" t="s">
        <v>831</v>
      </c>
      <c r="I474" s="120">
        <v>45659</v>
      </c>
      <c r="J474" s="29"/>
      <c r="P474" s="134"/>
      <c r="R474" s="29"/>
    </row>
    <row r="475" spans="1:18" hidden="1">
      <c r="A475" s="147" t="s">
        <v>830</v>
      </c>
      <c r="B475" s="147"/>
      <c r="C475" s="29">
        <v>6508513</v>
      </c>
      <c r="G475" s="29" t="s">
        <v>164</v>
      </c>
      <c r="H475" s="29" t="s">
        <v>831</v>
      </c>
      <c r="I475" s="120">
        <v>45659</v>
      </c>
      <c r="J475" s="29"/>
      <c r="P475" s="134"/>
      <c r="R475" s="29"/>
    </row>
    <row r="476" spans="1:18" hidden="1">
      <c r="A476" s="147" t="s">
        <v>830</v>
      </c>
      <c r="B476" s="147"/>
      <c r="C476" s="29">
        <v>6508521</v>
      </c>
      <c r="G476" s="29" t="s">
        <v>164</v>
      </c>
      <c r="H476" s="29" t="s">
        <v>831</v>
      </c>
      <c r="I476" s="120">
        <v>45659</v>
      </c>
      <c r="J476" s="29"/>
      <c r="P476" s="134"/>
      <c r="R476" s="29"/>
    </row>
    <row r="477" spans="1:18" hidden="1">
      <c r="A477" s="29" t="s">
        <v>830</v>
      </c>
      <c r="B477" s="29"/>
      <c r="C477" s="29">
        <v>35500215</v>
      </c>
      <c r="G477" s="29" t="s">
        <v>164</v>
      </c>
      <c r="H477" s="29" t="s">
        <v>836</v>
      </c>
      <c r="I477" s="120">
        <v>45659</v>
      </c>
      <c r="J477" s="29"/>
      <c r="P477" s="134"/>
      <c r="R477" s="29" t="s">
        <v>832</v>
      </c>
    </row>
    <row r="478" spans="1:18" hidden="1">
      <c r="A478" s="29" t="s">
        <v>830</v>
      </c>
      <c r="B478" s="29"/>
      <c r="C478" s="29">
        <v>31503960</v>
      </c>
      <c r="G478" s="29" t="s">
        <v>164</v>
      </c>
      <c r="H478" s="29" t="s">
        <v>836</v>
      </c>
      <c r="I478" s="120">
        <v>45659</v>
      </c>
      <c r="J478" s="29"/>
      <c r="P478" s="134"/>
      <c r="R478" s="29" t="s">
        <v>833</v>
      </c>
    </row>
    <row r="479" spans="1:18" hidden="1">
      <c r="A479" s="29" t="s">
        <v>830</v>
      </c>
      <c r="B479" s="29"/>
      <c r="C479" s="29">
        <v>32500495</v>
      </c>
      <c r="G479" s="29" t="s">
        <v>164</v>
      </c>
      <c r="H479" s="29" t="s">
        <v>836</v>
      </c>
      <c r="I479" s="120">
        <v>45659</v>
      </c>
      <c r="J479" s="29"/>
      <c r="P479" s="134"/>
      <c r="R479" s="29" t="s">
        <v>834</v>
      </c>
    </row>
    <row r="480" spans="1:18" hidden="1">
      <c r="A480" s="29" t="s">
        <v>830</v>
      </c>
      <c r="B480" s="29"/>
      <c r="C480" s="29">
        <v>35500151</v>
      </c>
      <c r="G480" s="29" t="s">
        <v>164</v>
      </c>
      <c r="H480" s="29" t="s">
        <v>836</v>
      </c>
      <c r="I480" s="120">
        <v>45659</v>
      </c>
      <c r="J480" s="29"/>
      <c r="P480" s="134"/>
      <c r="R480" s="29" t="s">
        <v>835</v>
      </c>
    </row>
    <row r="481" spans="1:19" hidden="1">
      <c r="A481" s="147" t="s">
        <v>837</v>
      </c>
      <c r="B481" s="147"/>
      <c r="C481" s="29">
        <v>16507757</v>
      </c>
      <c r="G481" s="29" t="s">
        <v>164</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164</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164</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164</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164</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164</v>
      </c>
      <c r="H486" s="29" t="s">
        <v>838</v>
      </c>
      <c r="I486" s="120">
        <v>45673</v>
      </c>
      <c r="J486" s="29"/>
      <c r="P486" s="134"/>
    </row>
    <row r="487" spans="1:19" hidden="1">
      <c r="A487" s="147" t="s">
        <v>837</v>
      </c>
      <c r="B487" s="147"/>
      <c r="C487" s="29">
        <v>16507726</v>
      </c>
      <c r="G487" s="29" t="s">
        <v>164</v>
      </c>
      <c r="H487" s="29" t="s">
        <v>838</v>
      </c>
      <c r="I487" s="120">
        <v>45673</v>
      </c>
      <c r="J487" s="29"/>
      <c r="P487" s="134"/>
    </row>
    <row r="488" spans="1:19" hidden="1">
      <c r="A488" s="147" t="s">
        <v>837</v>
      </c>
      <c r="B488" s="147"/>
      <c r="C488" s="29">
        <v>16507786</v>
      </c>
      <c r="G488" s="29" t="s">
        <v>164</v>
      </c>
      <c r="H488" s="29" t="s">
        <v>838</v>
      </c>
      <c r="I488" s="120">
        <v>45673</v>
      </c>
      <c r="J488" s="29"/>
      <c r="P488" s="134"/>
    </row>
    <row r="489" spans="1:19" hidden="1">
      <c r="A489" s="147" t="s">
        <v>837</v>
      </c>
      <c r="B489" s="147"/>
      <c r="C489" s="29">
        <v>35500151</v>
      </c>
      <c r="G489" s="29" t="s">
        <v>164</v>
      </c>
      <c r="H489" s="29" t="s">
        <v>228</v>
      </c>
      <c r="I489" s="120">
        <v>45692</v>
      </c>
      <c r="J489" s="29"/>
      <c r="P489" s="134"/>
    </row>
    <row r="490" spans="1:19" hidden="1">
      <c r="A490" s="147" t="s">
        <v>839</v>
      </c>
      <c r="B490" s="147"/>
      <c r="C490" s="29">
        <v>21507458</v>
      </c>
      <c r="G490" s="29" t="s">
        <v>164</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164</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164</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164</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164</v>
      </c>
      <c r="H494" s="29" t="s">
        <v>110</v>
      </c>
      <c r="I494" s="120">
        <v>45672</v>
      </c>
      <c r="J494" s="29"/>
      <c r="K494" s="29"/>
      <c r="L494" s="29"/>
      <c r="M494" s="29"/>
      <c r="N494" s="29"/>
      <c r="O494" s="29"/>
      <c r="P494" s="29"/>
      <c r="Q494" s="81"/>
      <c r="R494" s="29"/>
      <c r="S494" s="123"/>
    </row>
    <row r="495" spans="1:19" hidden="1">
      <c r="A495" s="147" t="s">
        <v>839</v>
      </c>
      <c r="B495" s="147"/>
      <c r="C495" s="29">
        <v>15508117</v>
      </c>
      <c r="G495" s="29" t="s">
        <v>164</v>
      </c>
      <c r="H495" s="29" t="s">
        <v>110</v>
      </c>
      <c r="I495" s="120">
        <v>45672</v>
      </c>
      <c r="J495" s="29"/>
      <c r="K495" s="29"/>
      <c r="L495" s="29"/>
      <c r="M495" s="29"/>
      <c r="N495" s="29"/>
      <c r="O495" s="29"/>
      <c r="P495" s="29"/>
      <c r="Q495" s="81"/>
      <c r="R495" s="29"/>
      <c r="S495" s="123"/>
    </row>
    <row r="496" spans="1:19" hidden="1">
      <c r="A496" s="147" t="s">
        <v>839</v>
      </c>
      <c r="B496" s="147"/>
      <c r="C496" s="29">
        <v>15508166</v>
      </c>
      <c r="G496" s="29" t="s">
        <v>164</v>
      </c>
      <c r="H496" s="29" t="s">
        <v>110</v>
      </c>
      <c r="I496" s="120">
        <v>45672</v>
      </c>
      <c r="J496" s="29"/>
      <c r="K496" s="29"/>
      <c r="L496" s="29"/>
      <c r="M496" s="29"/>
      <c r="N496" s="29"/>
      <c r="O496" s="29"/>
      <c r="P496" s="29"/>
      <c r="Q496" s="81"/>
      <c r="R496" s="29"/>
      <c r="S496" s="123"/>
    </row>
    <row r="497" spans="1:19" hidden="1">
      <c r="A497" s="147" t="s">
        <v>839</v>
      </c>
      <c r="B497" s="147"/>
      <c r="C497" s="29">
        <v>15508197</v>
      </c>
      <c r="G497" s="29" t="s">
        <v>164</v>
      </c>
      <c r="H497" s="29" t="s">
        <v>110</v>
      </c>
      <c r="I497" s="120">
        <v>45672</v>
      </c>
      <c r="J497" s="29"/>
      <c r="K497" s="29"/>
      <c r="L497" s="29"/>
      <c r="M497" s="29"/>
      <c r="N497" s="29"/>
      <c r="O497" s="29"/>
      <c r="P497" s="29"/>
      <c r="Q497" s="81"/>
      <c r="R497" s="29"/>
      <c r="S497" s="123"/>
    </row>
    <row r="498" spans="1:19" hidden="1">
      <c r="A498" s="147" t="s">
        <v>839</v>
      </c>
      <c r="B498" s="147"/>
      <c r="C498" s="29">
        <v>15508138</v>
      </c>
      <c r="G498" s="29" t="s">
        <v>164</v>
      </c>
      <c r="H498" s="29" t="s">
        <v>110</v>
      </c>
      <c r="I498" s="120">
        <v>45672</v>
      </c>
      <c r="J498" s="29"/>
      <c r="K498" s="29"/>
      <c r="L498" s="29"/>
      <c r="M498" s="29"/>
      <c r="N498" s="29"/>
      <c r="O498" s="29"/>
      <c r="P498" s="29"/>
      <c r="Q498" s="81"/>
      <c r="R498" s="29"/>
      <c r="S498" s="123"/>
    </row>
    <row r="499" spans="1:19" hidden="1">
      <c r="A499" s="147" t="s">
        <v>839</v>
      </c>
      <c r="B499" s="147"/>
      <c r="C499" s="29">
        <v>15508079</v>
      </c>
      <c r="G499" s="29" t="s">
        <v>164</v>
      </c>
      <c r="H499" s="29" t="s">
        <v>110</v>
      </c>
      <c r="I499" s="120">
        <v>45672</v>
      </c>
      <c r="J499" s="29"/>
      <c r="P499" s="134"/>
    </row>
    <row r="500" spans="1:19" hidden="1">
      <c r="A500" s="147" t="s">
        <v>839</v>
      </c>
      <c r="B500" s="147"/>
      <c r="C500" s="29">
        <v>15508117</v>
      </c>
      <c r="G500" s="29" t="s">
        <v>164</v>
      </c>
      <c r="H500" s="29" t="s">
        <v>110</v>
      </c>
      <c r="I500" s="120">
        <v>45672</v>
      </c>
      <c r="J500" s="29"/>
      <c r="P500" s="134"/>
    </row>
    <row r="501" spans="1:19" hidden="1">
      <c r="A501" s="147" t="s">
        <v>839</v>
      </c>
      <c r="B501" s="147"/>
      <c r="C501" s="29">
        <v>15508166</v>
      </c>
      <c r="G501" s="29" t="s">
        <v>164</v>
      </c>
      <c r="H501" s="29" t="s">
        <v>110</v>
      </c>
      <c r="I501" s="120">
        <v>45672</v>
      </c>
      <c r="J501" s="29"/>
      <c r="P501" s="134"/>
    </row>
    <row r="502" spans="1:19" hidden="1">
      <c r="A502" s="147" t="s">
        <v>839</v>
      </c>
      <c r="B502" s="147"/>
      <c r="C502" s="29">
        <v>15508197</v>
      </c>
      <c r="G502" s="29" t="s">
        <v>164</v>
      </c>
      <c r="H502" s="29" t="s">
        <v>110</v>
      </c>
      <c r="I502" s="120">
        <v>45672</v>
      </c>
      <c r="J502" s="29"/>
      <c r="P502" s="134"/>
    </row>
    <row r="503" spans="1:19" hidden="1">
      <c r="A503" s="147" t="s">
        <v>839</v>
      </c>
      <c r="B503" s="147"/>
      <c r="C503" s="29">
        <v>15508138</v>
      </c>
      <c r="G503" s="29" t="s">
        <v>164</v>
      </c>
      <c r="H503" s="29" t="s">
        <v>110</v>
      </c>
      <c r="I503" s="120">
        <v>45672</v>
      </c>
      <c r="J503" s="29"/>
      <c r="P503" s="134"/>
    </row>
    <row r="504" spans="1:19" hidden="1">
      <c r="A504" s="147" t="s">
        <v>839</v>
      </c>
      <c r="B504" s="147"/>
      <c r="C504" s="29">
        <v>21507458</v>
      </c>
      <c r="G504" s="29" t="s">
        <v>164</v>
      </c>
      <c r="H504" s="29" t="s">
        <v>228</v>
      </c>
      <c r="I504" s="120">
        <v>45678</v>
      </c>
      <c r="J504" s="29"/>
      <c r="P504" s="134"/>
    </row>
    <row r="505" spans="1:19" hidden="1">
      <c r="A505" s="147" t="s">
        <v>839</v>
      </c>
      <c r="B505" s="147"/>
      <c r="C505" s="29">
        <v>21507496</v>
      </c>
      <c r="G505" s="29" t="s">
        <v>164</v>
      </c>
      <c r="H505" s="29" t="s">
        <v>228</v>
      </c>
      <c r="I505" s="120">
        <v>45678</v>
      </c>
      <c r="J505" s="29"/>
      <c r="P505" s="134"/>
    </row>
    <row r="506" spans="1:19" hidden="1">
      <c r="A506" s="147" t="s">
        <v>839</v>
      </c>
      <c r="B506" s="147"/>
      <c r="C506" s="29">
        <v>21507508</v>
      </c>
      <c r="G506" s="29" t="s">
        <v>164</v>
      </c>
      <c r="H506" s="29" t="s">
        <v>228</v>
      </c>
      <c r="I506" s="120">
        <v>45678</v>
      </c>
      <c r="J506" s="29"/>
      <c r="P506" s="134"/>
    </row>
    <row r="507" spans="1:19" hidden="1">
      <c r="A507" s="147" t="s">
        <v>839</v>
      </c>
      <c r="B507" s="147"/>
      <c r="C507" s="29">
        <v>21507522</v>
      </c>
      <c r="G507" s="29" t="s">
        <v>164</v>
      </c>
      <c r="H507" s="29" t="s">
        <v>228</v>
      </c>
      <c r="I507" s="120">
        <v>45678</v>
      </c>
      <c r="J507" s="29"/>
      <c r="P507" s="134"/>
    </row>
    <row r="508" spans="1:19" hidden="1">
      <c r="A508" s="147" t="s">
        <v>840</v>
      </c>
      <c r="B508" s="147"/>
      <c r="C508" s="29">
        <v>15508269</v>
      </c>
      <c r="G508" s="29" t="s">
        <v>164</v>
      </c>
      <c r="H508" s="29" t="s">
        <v>110</v>
      </c>
      <c r="I508" s="120">
        <v>45672</v>
      </c>
      <c r="J508" s="29"/>
      <c r="P508" s="134"/>
    </row>
    <row r="509" spans="1:19" hidden="1">
      <c r="A509" s="147" t="s">
        <v>840</v>
      </c>
      <c r="B509" s="147"/>
      <c r="C509" s="29">
        <v>15508306</v>
      </c>
      <c r="G509" s="29" t="s">
        <v>164</v>
      </c>
      <c r="H509" s="29" t="s">
        <v>110</v>
      </c>
      <c r="I509" s="120">
        <v>45672</v>
      </c>
      <c r="J509" s="29"/>
      <c r="P509" s="134"/>
    </row>
    <row r="510" spans="1:19" hidden="1">
      <c r="A510" s="147" t="s">
        <v>840</v>
      </c>
      <c r="B510" s="147"/>
      <c r="C510" s="29">
        <v>15508345</v>
      </c>
      <c r="G510" s="29" t="s">
        <v>164</v>
      </c>
      <c r="H510" s="29" t="s">
        <v>110</v>
      </c>
      <c r="I510" s="120">
        <v>45672</v>
      </c>
      <c r="J510" s="29"/>
      <c r="P510" s="134"/>
    </row>
    <row r="511" spans="1:19" hidden="1">
      <c r="A511" s="147" t="s">
        <v>840</v>
      </c>
      <c r="B511" s="147"/>
      <c r="C511" s="29">
        <v>15508377</v>
      </c>
      <c r="G511" s="29" t="s">
        <v>164</v>
      </c>
      <c r="H511" s="29" t="s">
        <v>110</v>
      </c>
      <c r="I511" s="120">
        <v>45672</v>
      </c>
      <c r="J511" s="29"/>
      <c r="P511" s="134"/>
    </row>
    <row r="512" spans="1:19" hidden="1">
      <c r="A512" s="147" t="s">
        <v>840</v>
      </c>
      <c r="B512" s="147"/>
      <c r="C512" s="29">
        <v>21507541</v>
      </c>
      <c r="G512" s="29" t="s">
        <v>164</v>
      </c>
      <c r="H512" s="29" t="s">
        <v>228</v>
      </c>
      <c r="I512" s="120">
        <v>45678</v>
      </c>
      <c r="J512" s="29"/>
      <c r="P512" s="134"/>
    </row>
    <row r="513" spans="1:19" hidden="1">
      <c r="A513" s="147" t="s">
        <v>840</v>
      </c>
      <c r="B513" s="147"/>
      <c r="C513" s="29">
        <v>21507542</v>
      </c>
      <c r="G513" s="29" t="s">
        <v>164</v>
      </c>
      <c r="H513" s="29" t="s">
        <v>228</v>
      </c>
      <c r="I513" s="120">
        <v>45678</v>
      </c>
      <c r="J513" s="29"/>
      <c r="P513" s="134"/>
    </row>
    <row r="514" spans="1:19" hidden="1">
      <c r="A514" s="147" t="s">
        <v>840</v>
      </c>
      <c r="B514" s="147"/>
      <c r="C514" s="29">
        <v>21507549</v>
      </c>
      <c r="G514" s="29" t="s">
        <v>164</v>
      </c>
      <c r="H514" s="29" t="s">
        <v>228</v>
      </c>
      <c r="I514" s="120">
        <v>45678</v>
      </c>
      <c r="J514" s="29"/>
      <c r="P514" s="134"/>
    </row>
    <row r="515" spans="1:19" hidden="1">
      <c r="A515" s="147" t="s">
        <v>840</v>
      </c>
      <c r="B515" s="147"/>
      <c r="C515" s="29">
        <v>21507541</v>
      </c>
      <c r="G515" s="29" t="s">
        <v>164</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164</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164</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164</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164</v>
      </c>
      <c r="H519" s="29" t="s">
        <v>110</v>
      </c>
      <c r="I519" s="120">
        <v>45672</v>
      </c>
      <c r="J519" s="29"/>
      <c r="K519" s="29"/>
      <c r="L519" s="29"/>
      <c r="M519" s="29"/>
      <c r="N519" s="29"/>
      <c r="O519" s="29"/>
      <c r="P519" s="29"/>
      <c r="Q519" s="81"/>
      <c r="R519" s="29"/>
      <c r="S519" s="123"/>
    </row>
    <row r="520" spans="1:19" hidden="1">
      <c r="A520" s="147" t="s">
        <v>840</v>
      </c>
      <c r="B520" s="147"/>
      <c r="C520" s="29">
        <v>15508306</v>
      </c>
      <c r="G520" s="29" t="s">
        <v>164</v>
      </c>
      <c r="H520" s="29" t="s">
        <v>110</v>
      </c>
      <c r="I520" s="120">
        <v>45672</v>
      </c>
      <c r="J520" s="29"/>
      <c r="K520" s="29"/>
      <c r="L520" s="29"/>
      <c r="M520" s="29"/>
      <c r="N520" s="29"/>
      <c r="O520" s="29"/>
      <c r="P520" s="29"/>
      <c r="Q520" s="81"/>
      <c r="R520" s="29"/>
      <c r="S520" s="123"/>
    </row>
    <row r="521" spans="1:19" hidden="1">
      <c r="A521" s="147" t="s">
        <v>840</v>
      </c>
      <c r="B521" s="147"/>
      <c r="C521" s="29">
        <v>15508345</v>
      </c>
      <c r="G521" s="29" t="s">
        <v>164</v>
      </c>
      <c r="H521" s="29" t="s">
        <v>110</v>
      </c>
      <c r="I521" s="120">
        <v>45672</v>
      </c>
      <c r="J521" s="29"/>
      <c r="K521" s="29"/>
      <c r="L521" s="29"/>
      <c r="M521" s="29"/>
      <c r="N521" s="29"/>
      <c r="O521" s="29"/>
      <c r="P521" s="29"/>
      <c r="Q521" s="81"/>
      <c r="R521" s="29"/>
      <c r="S521" s="123"/>
    </row>
    <row r="522" spans="1:19" hidden="1">
      <c r="A522" s="147" t="s">
        <v>840</v>
      </c>
      <c r="B522" s="147"/>
      <c r="C522" s="29">
        <v>15508377</v>
      </c>
      <c r="G522" s="29" t="s">
        <v>164</v>
      </c>
      <c r="H522" s="29" t="s">
        <v>110</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164</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164</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164</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164</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164</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164</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164</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164</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164</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164</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164</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164</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164</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164</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164</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164</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164</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164</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164</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 t="shared" ref="J588:J651" si="1">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 t="shared" si="1"/>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 t="shared" si="1"/>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 t="shared" si="1"/>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 t="shared" si="1"/>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 t="shared" si="1"/>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 t="shared" si="1"/>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 t="shared" si="1"/>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 t="shared" si="1"/>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 t="shared" si="1"/>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 t="shared" si="1"/>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 t="shared" si="1"/>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 t="shared" si="1"/>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 t="shared" si="1"/>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 t="shared" si="1"/>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 t="shared" si="1"/>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 t="shared" si="1"/>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 t="shared" si="1"/>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 t="shared" si="1"/>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 t="shared" si="1"/>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 t="shared" si="1"/>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 t="shared" si="1"/>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 t="shared" si="1"/>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 t="shared" si="1"/>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 t="shared" si="1"/>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 t="shared" si="1"/>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 t="shared" si="1"/>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 t="shared" si="1"/>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 t="shared" si="1"/>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 t="shared" si="1"/>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 t="shared" si="1"/>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 t="shared" si="1"/>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 t="shared" si="1"/>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 t="shared" si="1"/>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 t="shared" si="1"/>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 t="shared" si="1"/>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 t="shared" si="1"/>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 t="shared" si="1"/>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 t="shared" si="1"/>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 t="shared" si="1"/>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 t="shared" si="1"/>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 t="shared" si="1"/>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 t="shared" si="1"/>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 t="shared" si="1"/>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 t="shared" si="1"/>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 t="shared" si="1"/>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 t="shared" si="1"/>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 t="shared" si="1"/>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 t="shared" si="1"/>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 t="shared" si="1"/>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 t="shared" si="1"/>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 t="shared" si="1"/>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 t="shared" si="1"/>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 t="shared" si="1"/>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 t="shared" si="1"/>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 t="shared" si="1"/>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 t="shared" si="1"/>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 t="shared" si="1"/>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 t="shared" si="1"/>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 t="shared" si="1"/>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 t="shared" si="1"/>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 t="shared" si="1"/>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 t="shared" si="1"/>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 t="shared" si="1"/>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 t="shared" ref="J652:J715" si="2">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 t="shared" si="2"/>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 t="shared" si="2"/>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 t="shared" si="2"/>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 t="shared" si="2"/>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 t="shared" si="2"/>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 t="shared" si="2"/>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 t="shared" si="2"/>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 t="shared" si="2"/>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 t="shared" si="2"/>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 t="shared" si="2"/>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 t="shared" si="2"/>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 t="shared" si="2"/>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 t="shared" si="2"/>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 t="shared" si="2"/>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 t="shared" si="2"/>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 t="shared" si="2"/>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 t="shared" si="2"/>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 t="shared" si="2"/>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 t="shared" si="2"/>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 t="shared" si="2"/>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 t="shared" si="2"/>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 t="shared" si="2"/>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 t="shared" si="2"/>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 t="shared" si="2"/>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 t="shared" si="2"/>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 t="shared" si="2"/>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 t="shared" si="2"/>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 t="shared" si="2"/>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 t="shared" si="2"/>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 t="shared" si="2"/>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 t="shared" si="2"/>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 t="shared" si="2"/>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 t="shared" si="2"/>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 t="shared" si="2"/>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 t="shared" si="2"/>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 t="shared" si="2"/>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 t="shared" si="2"/>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 t="shared" si="2"/>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 t="shared" si="2"/>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 t="shared" si="2"/>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 t="shared" si="2"/>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 t="shared" si="2"/>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 t="shared" si="2"/>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 t="shared" si="2"/>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 t="shared" si="2"/>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 t="shared" si="2"/>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 t="shared" si="2"/>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 t="shared" si="2"/>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 t="shared" si="2"/>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 t="shared" si="2"/>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 t="shared" si="2"/>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 t="shared" si="2"/>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 t="shared" si="2"/>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 t="shared" si="2"/>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 t="shared" si="2"/>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 t="shared" si="2"/>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 t="shared" si="2"/>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 t="shared" si="2"/>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 t="shared" si="2"/>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 t="shared" si="2"/>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 t="shared" si="2"/>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 t="shared" si="2"/>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 t="shared" si="2"/>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 t="shared" ref="J716:J779" si="3">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 t="shared" si="3"/>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 t="shared" si="3"/>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 t="shared" si="3"/>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 t="shared" si="3"/>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 t="shared" si="3"/>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 t="shared" si="3"/>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 t="shared" si="3"/>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 t="shared" si="3"/>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 t="shared" si="3"/>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 t="shared" si="3"/>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164</v>
      </c>
      <c r="H727" s="29" t="s">
        <v>228</v>
      </c>
      <c r="I727" s="120">
        <v>45692</v>
      </c>
      <c r="J727" s="120">
        <f t="shared" si="3"/>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164</v>
      </c>
      <c r="H728" s="29" t="s">
        <v>228</v>
      </c>
      <c r="I728" s="120">
        <v>45692</v>
      </c>
      <c r="J728" s="120">
        <f t="shared" si="3"/>
        <v>45695</v>
      </c>
      <c r="K728" s="120"/>
      <c r="L728" s="120"/>
      <c r="M728" s="120"/>
      <c r="N728" s="120"/>
      <c r="O728" s="119" t="s">
        <v>843</v>
      </c>
      <c r="P728" s="120"/>
      <c r="Q728" s="135"/>
      <c r="R728" s="29"/>
      <c r="S728" s="123"/>
    </row>
    <row r="729" spans="1:19" hidden="1">
      <c r="A729" s="29" t="s">
        <v>852</v>
      </c>
      <c r="B729" s="29"/>
      <c r="C729" s="29">
        <v>36505051</v>
      </c>
      <c r="D729" s="29"/>
      <c r="F729" s="29"/>
      <c r="G729" s="29" t="s">
        <v>164</v>
      </c>
      <c r="H729" s="29" t="s">
        <v>228</v>
      </c>
      <c r="I729" s="120">
        <v>45692</v>
      </c>
      <c r="J729" s="120">
        <f t="shared" si="3"/>
        <v>45695</v>
      </c>
      <c r="K729" s="120"/>
      <c r="L729" s="120"/>
      <c r="M729" s="120"/>
      <c r="N729" s="120"/>
      <c r="O729" s="119" t="s">
        <v>843</v>
      </c>
      <c r="P729" s="120"/>
      <c r="Q729" s="135"/>
      <c r="R729" s="29"/>
      <c r="S729" s="123"/>
    </row>
    <row r="730" spans="1:19" hidden="1">
      <c r="A730" s="29" t="s">
        <v>852</v>
      </c>
      <c r="B730" s="29"/>
      <c r="C730" s="29">
        <v>36505184</v>
      </c>
      <c r="D730" s="29"/>
      <c r="F730" s="29"/>
      <c r="G730" s="29" t="s">
        <v>164</v>
      </c>
      <c r="H730" s="29" t="s">
        <v>228</v>
      </c>
      <c r="I730" s="120">
        <v>45692</v>
      </c>
      <c r="J730" s="120">
        <f t="shared" si="3"/>
        <v>45695</v>
      </c>
      <c r="K730" s="120"/>
      <c r="L730" s="120"/>
      <c r="M730" s="120"/>
      <c r="N730" s="120"/>
      <c r="O730" s="119" t="s">
        <v>843</v>
      </c>
      <c r="P730" s="120"/>
      <c r="Q730" s="135"/>
      <c r="R730" s="29"/>
      <c r="S730" s="123"/>
    </row>
    <row r="731" spans="1:19" hidden="1">
      <c r="A731" s="29" t="s">
        <v>852</v>
      </c>
      <c r="B731" s="29"/>
      <c r="C731" s="29">
        <v>36505254</v>
      </c>
      <c r="D731" s="29"/>
      <c r="F731" s="29"/>
      <c r="G731" s="29" t="s">
        <v>164</v>
      </c>
      <c r="H731" s="29" t="s">
        <v>228</v>
      </c>
      <c r="I731" s="120">
        <v>45692</v>
      </c>
      <c r="J731" s="120">
        <f t="shared" si="3"/>
        <v>45695</v>
      </c>
      <c r="K731" s="120"/>
      <c r="L731" s="120"/>
      <c r="M731" s="120"/>
      <c r="N731" s="120"/>
      <c r="O731" s="119" t="s">
        <v>843</v>
      </c>
      <c r="P731" s="120"/>
      <c r="Q731" s="135"/>
      <c r="R731" s="29"/>
      <c r="S731" s="123"/>
    </row>
    <row r="732" spans="1:19" hidden="1">
      <c r="A732" s="29" t="s">
        <v>852</v>
      </c>
      <c r="B732" s="29"/>
      <c r="C732" s="29">
        <v>36505299</v>
      </c>
      <c r="D732" s="29"/>
      <c r="F732" s="29"/>
      <c r="G732" s="29" t="s">
        <v>164</v>
      </c>
      <c r="H732" s="29" t="s">
        <v>228</v>
      </c>
      <c r="I732" s="120">
        <v>45692</v>
      </c>
      <c r="J732" s="120">
        <f t="shared" si="3"/>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 t="shared" si="3"/>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 t="shared" si="3"/>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 t="shared" si="3"/>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 t="shared" si="3"/>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 t="shared" si="3"/>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 t="shared" si="3"/>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 t="shared" si="3"/>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 t="shared" si="3"/>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 t="shared" si="3"/>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 t="shared" si="3"/>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 t="shared" si="3"/>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 t="shared" si="3"/>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 t="shared" si="3"/>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 t="shared" si="3"/>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 t="shared" si="3"/>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 t="shared" si="3"/>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 t="shared" si="3"/>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 t="shared" si="3"/>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 t="shared" si="3"/>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 t="shared" si="3"/>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 t="shared" si="3"/>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 t="shared" si="3"/>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 t="shared" si="3"/>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 t="shared" si="3"/>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 t="shared" si="3"/>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 t="shared" si="3"/>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 t="shared" si="3"/>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 t="shared" si="3"/>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 t="shared" si="3"/>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 t="shared" si="3"/>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 t="shared" si="3"/>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 t="shared" si="3"/>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 t="shared" si="3"/>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 t="shared" si="3"/>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 t="shared" si="3"/>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 t="shared" si="3"/>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 t="shared" si="3"/>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 t="shared" si="3"/>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 t="shared" si="3"/>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 t="shared" si="3"/>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 t="shared" si="3"/>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 t="shared" si="3"/>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 t="shared" si="3"/>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 t="shared" si="3"/>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 t="shared" si="3"/>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 t="shared" si="3"/>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 t="shared" si="3"/>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 t="shared" ref="J780:J843" si="4">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 t="shared" si="4"/>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 t="shared" si="4"/>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 t="shared" si="4"/>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 t="shared" si="4"/>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 t="shared" si="4"/>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 t="shared" si="4"/>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 t="shared" si="4"/>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 t="shared" si="4"/>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 t="shared" si="4"/>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 t="shared" si="4"/>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 t="shared" si="4"/>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 t="shared" si="4"/>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 t="shared" si="4"/>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 t="shared" si="4"/>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 t="shared" si="4"/>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 t="shared" si="4"/>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 t="shared" si="4"/>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 t="shared" si="4"/>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 t="shared" si="4"/>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 t="shared" si="4"/>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 t="shared" si="4"/>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 t="shared" si="4"/>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 t="shared" si="4"/>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 t="shared" si="4"/>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 t="shared" si="4"/>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 t="shared" si="4"/>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 t="shared" si="4"/>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 t="shared" si="4"/>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 t="shared" si="4"/>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 t="shared" si="4"/>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 t="shared" si="4"/>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 t="shared" si="4"/>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 t="shared" si="4"/>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 t="shared" si="4"/>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 t="shared" si="4"/>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 t="shared" si="4"/>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 t="shared" si="4"/>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 t="shared" si="4"/>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 t="shared" si="4"/>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 t="shared" si="4"/>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 t="shared" si="4"/>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 t="shared" si="4"/>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 t="shared" si="4"/>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 t="shared" si="4"/>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 t="shared" si="4"/>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 t="shared" si="4"/>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 t="shared" si="4"/>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 t="shared" si="4"/>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 t="shared" si="4"/>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 t="shared" si="4"/>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 t="shared" si="4"/>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 t="shared" si="4"/>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 t="shared" si="4"/>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 t="shared" si="4"/>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 t="shared" si="4"/>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 t="shared" si="4"/>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 t="shared" si="4"/>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 t="shared" si="4"/>
        <v>45700</v>
      </c>
      <c r="K838" s="148"/>
      <c r="L838" s="148"/>
      <c r="M838" s="148"/>
      <c r="N838" s="148"/>
      <c r="O838" s="119" t="s">
        <v>843</v>
      </c>
      <c r="P838" s="148"/>
      <c r="Q838" s="154"/>
      <c r="R838" s="149"/>
      <c r="S838" s="123"/>
    </row>
    <row r="839" spans="1:19" hidden="1">
      <c r="A839" s="29" t="s">
        <v>852</v>
      </c>
      <c r="B839" s="29"/>
      <c r="C839" s="29">
        <v>36504907</v>
      </c>
      <c r="D839" s="29"/>
      <c r="F839" s="29"/>
      <c r="G839" s="29" t="s">
        <v>164</v>
      </c>
      <c r="H839" s="29" t="s">
        <v>228</v>
      </c>
      <c r="I839" s="120">
        <v>45695</v>
      </c>
      <c r="J839" s="120">
        <f t="shared" si="4"/>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164</v>
      </c>
      <c r="H840" s="29" t="s">
        <v>228</v>
      </c>
      <c r="I840" s="120">
        <v>45695</v>
      </c>
      <c r="J840" s="120">
        <f t="shared" si="4"/>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164</v>
      </c>
      <c r="H841" s="29" t="s">
        <v>228</v>
      </c>
      <c r="I841" s="120">
        <v>45695</v>
      </c>
      <c r="J841" s="120">
        <f t="shared" si="4"/>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164</v>
      </c>
      <c r="H842" s="29" t="s">
        <v>228</v>
      </c>
      <c r="I842" s="120">
        <v>45695</v>
      </c>
      <c r="J842" s="120">
        <f t="shared" si="4"/>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164</v>
      </c>
      <c r="H843" s="29" t="s">
        <v>228</v>
      </c>
      <c r="I843" s="120">
        <v>45695</v>
      </c>
      <c r="J843" s="120">
        <f t="shared" si="4"/>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164</v>
      </c>
      <c r="H844" s="29" t="s">
        <v>228</v>
      </c>
      <c r="I844" s="120">
        <v>45695</v>
      </c>
      <c r="J844" s="120">
        <f t="shared" ref="J844:J907" si="5">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164</v>
      </c>
      <c r="H845" s="29" t="s">
        <v>228</v>
      </c>
      <c r="I845" s="120">
        <v>45695</v>
      </c>
      <c r="J845" s="120">
        <f t="shared" si="5"/>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164</v>
      </c>
      <c r="H846" s="29" t="s">
        <v>228</v>
      </c>
      <c r="I846" s="120">
        <v>45695</v>
      </c>
      <c r="J846" s="120">
        <f t="shared" si="5"/>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164</v>
      </c>
      <c r="H847" s="29" t="s">
        <v>228</v>
      </c>
      <c r="I847" s="120">
        <v>45695</v>
      </c>
      <c r="J847" s="120">
        <f t="shared" si="5"/>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164</v>
      </c>
      <c r="H848" s="29" t="s">
        <v>228</v>
      </c>
      <c r="I848" s="120">
        <v>45695</v>
      </c>
      <c r="J848" s="120">
        <f t="shared" si="5"/>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164</v>
      </c>
      <c r="H849" s="29" t="s">
        <v>228</v>
      </c>
      <c r="I849" s="120">
        <v>45695</v>
      </c>
      <c r="J849" s="120">
        <f t="shared" si="5"/>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164</v>
      </c>
      <c r="H850" s="29" t="s">
        <v>228</v>
      </c>
      <c r="I850" s="120">
        <v>45695</v>
      </c>
      <c r="J850" s="120">
        <f t="shared" si="5"/>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164</v>
      </c>
      <c r="H851" s="29" t="s">
        <v>228</v>
      </c>
      <c r="I851" s="120">
        <v>45695</v>
      </c>
      <c r="J851" s="120">
        <f t="shared" si="5"/>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164</v>
      </c>
      <c r="H852" s="29" t="s">
        <v>228</v>
      </c>
      <c r="I852" s="120">
        <v>45695</v>
      </c>
      <c r="J852" s="120">
        <f t="shared" si="5"/>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164</v>
      </c>
      <c r="H853" s="29" t="s">
        <v>228</v>
      </c>
      <c r="I853" s="120">
        <v>45695</v>
      </c>
      <c r="J853" s="120">
        <f t="shared" si="5"/>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164</v>
      </c>
      <c r="H854" s="29" t="s">
        <v>228</v>
      </c>
      <c r="I854" s="120">
        <v>45695</v>
      </c>
      <c r="J854" s="120">
        <f t="shared" si="5"/>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164</v>
      </c>
      <c r="H855" s="29" t="s">
        <v>228</v>
      </c>
      <c r="I855" s="120">
        <v>45695</v>
      </c>
      <c r="J855" s="120">
        <f t="shared" si="5"/>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164</v>
      </c>
      <c r="H856" s="29" t="s">
        <v>228</v>
      </c>
      <c r="I856" s="120">
        <v>45695</v>
      </c>
      <c r="J856" s="120">
        <f t="shared" si="5"/>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164</v>
      </c>
      <c r="H857" s="29" t="s">
        <v>228</v>
      </c>
      <c r="I857" s="120">
        <v>45695</v>
      </c>
      <c r="J857" s="120">
        <f t="shared" si="5"/>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164</v>
      </c>
      <c r="H858" s="29" t="s">
        <v>228</v>
      </c>
      <c r="I858" s="120">
        <v>45695</v>
      </c>
      <c r="J858" s="120">
        <f t="shared" si="5"/>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164</v>
      </c>
      <c r="H859" s="29" t="s">
        <v>228</v>
      </c>
      <c r="I859" s="120">
        <v>45695</v>
      </c>
      <c r="J859" s="120">
        <f t="shared" si="5"/>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164</v>
      </c>
      <c r="H860" s="29" t="s">
        <v>228</v>
      </c>
      <c r="I860" s="120">
        <v>45695</v>
      </c>
      <c r="J860" s="120">
        <f t="shared" si="5"/>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164</v>
      </c>
      <c r="H861" s="29" t="s">
        <v>228</v>
      </c>
      <c r="I861" s="120">
        <v>45695</v>
      </c>
      <c r="J861" s="120">
        <f t="shared" si="5"/>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164</v>
      </c>
      <c r="H862" s="29" t="s">
        <v>228</v>
      </c>
      <c r="I862" s="120">
        <v>45695</v>
      </c>
      <c r="J862" s="120">
        <f t="shared" si="5"/>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164</v>
      </c>
      <c r="H863" s="29" t="s">
        <v>228</v>
      </c>
      <c r="I863" s="120">
        <v>45695</v>
      </c>
      <c r="J863" s="120">
        <f t="shared" si="5"/>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164</v>
      </c>
      <c r="H864" s="29" t="s">
        <v>228</v>
      </c>
      <c r="I864" s="120">
        <v>45695</v>
      </c>
      <c r="J864" s="120">
        <f t="shared" si="5"/>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164</v>
      </c>
      <c r="H865" s="29" t="s">
        <v>228</v>
      </c>
      <c r="I865" s="120">
        <v>45695</v>
      </c>
      <c r="J865" s="120">
        <f t="shared" si="5"/>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164</v>
      </c>
      <c r="H866" s="29" t="s">
        <v>228</v>
      </c>
      <c r="I866" s="120">
        <v>45695</v>
      </c>
      <c r="J866" s="120">
        <f t="shared" si="5"/>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164</v>
      </c>
      <c r="H867" s="29" t="s">
        <v>228</v>
      </c>
      <c r="I867" s="120">
        <v>45695</v>
      </c>
      <c r="J867" s="120">
        <f t="shared" si="5"/>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164</v>
      </c>
      <c r="H868" s="29" t="s">
        <v>228</v>
      </c>
      <c r="I868" s="120">
        <v>45695</v>
      </c>
      <c r="J868" s="120">
        <f t="shared" si="5"/>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164</v>
      </c>
      <c r="H869" s="29" t="s">
        <v>228</v>
      </c>
      <c r="I869" s="120">
        <v>45695</v>
      </c>
      <c r="J869" s="120">
        <f t="shared" si="5"/>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164</v>
      </c>
      <c r="H870" s="29" t="s">
        <v>228</v>
      </c>
      <c r="I870" s="120">
        <v>45695</v>
      </c>
      <c r="J870" s="120">
        <f t="shared" si="5"/>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164</v>
      </c>
      <c r="H871" s="29" t="s">
        <v>228</v>
      </c>
      <c r="I871" s="120">
        <v>45695</v>
      </c>
      <c r="J871" s="120">
        <f t="shared" si="5"/>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164</v>
      </c>
      <c r="H872" s="29" t="s">
        <v>228</v>
      </c>
      <c r="I872" s="120">
        <v>45695</v>
      </c>
      <c r="J872" s="120">
        <f t="shared" si="5"/>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164</v>
      </c>
      <c r="H873" s="29" t="s">
        <v>228</v>
      </c>
      <c r="I873" s="120">
        <v>45695</v>
      </c>
      <c r="J873" s="120">
        <f t="shared" si="5"/>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164</v>
      </c>
      <c r="H874" s="29" t="s">
        <v>228</v>
      </c>
      <c r="I874" s="120">
        <v>45695</v>
      </c>
      <c r="J874" s="120">
        <f t="shared" si="5"/>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164</v>
      </c>
      <c r="H875" s="29" t="s">
        <v>228</v>
      </c>
      <c r="I875" s="120">
        <v>45695</v>
      </c>
      <c r="J875" s="120">
        <f t="shared" si="5"/>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164</v>
      </c>
      <c r="H876" s="29" t="s">
        <v>228</v>
      </c>
      <c r="I876" s="120">
        <v>45695</v>
      </c>
      <c r="J876" s="120">
        <f t="shared" si="5"/>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164</v>
      </c>
      <c r="H877" s="29" t="s">
        <v>228</v>
      </c>
      <c r="I877" s="120">
        <v>45695</v>
      </c>
      <c r="J877" s="120">
        <f t="shared" si="5"/>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164</v>
      </c>
      <c r="H878" s="29" t="s">
        <v>228</v>
      </c>
      <c r="I878" s="120">
        <v>45695</v>
      </c>
      <c r="J878" s="120">
        <f t="shared" si="5"/>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164</v>
      </c>
      <c r="H879" s="29" t="s">
        <v>228</v>
      </c>
      <c r="I879" s="120">
        <v>45695</v>
      </c>
      <c r="J879" s="120">
        <f t="shared" si="5"/>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164</v>
      </c>
      <c r="H880" s="29" t="s">
        <v>228</v>
      </c>
      <c r="I880" s="120">
        <v>45695</v>
      </c>
      <c r="J880" s="120">
        <f t="shared" si="5"/>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164</v>
      </c>
      <c r="H881" s="29" t="s">
        <v>228</v>
      </c>
      <c r="I881" s="120">
        <v>45695</v>
      </c>
      <c r="J881" s="120">
        <f t="shared" si="5"/>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164</v>
      </c>
      <c r="H882" s="29" t="s">
        <v>228</v>
      </c>
      <c r="I882" s="120">
        <v>45695</v>
      </c>
      <c r="J882" s="120">
        <f t="shared" si="5"/>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164</v>
      </c>
      <c r="H883" s="29" t="s">
        <v>228</v>
      </c>
      <c r="I883" s="120">
        <v>45695</v>
      </c>
      <c r="J883" s="120">
        <f t="shared" si="5"/>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164</v>
      </c>
      <c r="H884" s="29" t="s">
        <v>228</v>
      </c>
      <c r="I884" s="120">
        <v>45695</v>
      </c>
      <c r="J884" s="120">
        <f t="shared" si="5"/>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164</v>
      </c>
      <c r="H885" s="29" t="s">
        <v>228</v>
      </c>
      <c r="I885" s="120">
        <v>45695</v>
      </c>
      <c r="J885" s="120">
        <f t="shared" si="5"/>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164</v>
      </c>
      <c r="H886" s="29" t="s">
        <v>228</v>
      </c>
      <c r="I886" s="120">
        <v>45695</v>
      </c>
      <c r="J886" s="120">
        <f t="shared" si="5"/>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164</v>
      </c>
      <c r="H887" s="29" t="s">
        <v>228</v>
      </c>
      <c r="I887" s="120">
        <v>45695</v>
      </c>
      <c r="J887" s="120">
        <f t="shared" si="5"/>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164</v>
      </c>
      <c r="H888" s="29" t="s">
        <v>228</v>
      </c>
      <c r="I888" s="120">
        <v>45695</v>
      </c>
      <c r="J888" s="120">
        <f t="shared" si="5"/>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164</v>
      </c>
      <c r="H889" s="29" t="s">
        <v>228</v>
      </c>
      <c r="I889" s="120">
        <v>45695</v>
      </c>
      <c r="J889" s="120">
        <f t="shared" si="5"/>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164</v>
      </c>
      <c r="H890" s="29" t="s">
        <v>228</v>
      </c>
      <c r="I890" s="120">
        <v>45695</v>
      </c>
      <c r="J890" s="120">
        <f t="shared" si="5"/>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164</v>
      </c>
      <c r="H891" s="29" t="s">
        <v>228</v>
      </c>
      <c r="I891" s="120">
        <v>45695</v>
      </c>
      <c r="J891" s="120">
        <f t="shared" si="5"/>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 t="shared" si="5"/>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 t="shared" si="5"/>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 t="shared" si="5"/>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 t="shared" si="5"/>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 t="shared" si="5"/>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 t="shared" si="5"/>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 t="shared" si="5"/>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 t="shared" si="5"/>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 t="shared" si="5"/>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 t="shared" si="5"/>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 t="shared" si="5"/>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 t="shared" si="5"/>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 t="shared" si="5"/>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 t="shared" si="5"/>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 t="shared" si="5"/>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 t="shared" si="5"/>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 t="shared" ref="J908:J971" si="6">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 t="shared" si="6"/>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 t="shared" si="6"/>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 t="shared" si="6"/>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 t="shared" si="6"/>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 t="shared" si="6"/>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 t="shared" si="6"/>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 t="shared" si="6"/>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 t="shared" si="6"/>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 t="shared" si="6"/>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 t="shared" si="6"/>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 t="shared" si="6"/>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 t="shared" si="6"/>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 t="shared" si="6"/>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 t="shared" si="6"/>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 t="shared" si="6"/>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 t="shared" si="6"/>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 t="shared" si="6"/>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 t="shared" si="6"/>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 t="shared" si="6"/>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 t="shared" si="6"/>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 t="shared" si="6"/>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 t="shared" si="6"/>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 t="shared" si="6"/>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 t="shared" si="6"/>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 t="shared" si="6"/>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 t="shared" si="6"/>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 t="shared" si="6"/>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 t="shared" si="6"/>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 t="shared" si="6"/>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 t="shared" si="6"/>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 t="shared" si="6"/>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 t="shared" si="6"/>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 t="shared" si="6"/>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 t="shared" si="6"/>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 t="shared" si="6"/>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 t="shared" si="6"/>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 t="shared" si="6"/>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 t="shared" si="6"/>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 t="shared" si="6"/>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 t="shared" si="6"/>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 t="shared" si="6"/>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 t="shared" si="6"/>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 t="shared" si="6"/>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 t="shared" si="6"/>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 t="shared" si="6"/>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 t="shared" si="6"/>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 t="shared" si="6"/>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 t="shared" si="6"/>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 t="shared" si="6"/>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 t="shared" si="6"/>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 t="shared" si="6"/>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 t="shared" si="6"/>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 t="shared" si="6"/>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 t="shared" si="6"/>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 t="shared" si="6"/>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 t="shared" si="6"/>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 t="shared" si="6"/>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 t="shared" si="6"/>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 t="shared" si="6"/>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 t="shared" si="6"/>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 t="shared" si="6"/>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 t="shared" si="6"/>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 t="shared" si="6"/>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 t="shared" ref="J972:J1035" si="7">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 t="shared" si="7"/>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 t="shared" si="7"/>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 t="shared" si="7"/>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 t="shared" si="7"/>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 t="shared" si="7"/>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 t="shared" si="7"/>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 t="shared" si="7"/>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 t="shared" si="7"/>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 t="shared" si="7"/>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 t="shared" si="7"/>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 t="shared" si="7"/>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 t="shared" si="7"/>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 t="shared" si="7"/>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 t="shared" si="7"/>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 t="shared" si="7"/>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 t="shared" si="7"/>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 t="shared" si="7"/>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 t="shared" si="7"/>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 t="shared" si="7"/>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 t="shared" si="7"/>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 t="shared" si="7"/>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 t="shared" si="7"/>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 t="shared" si="7"/>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 t="shared" si="7"/>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 t="shared" si="7"/>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 t="shared" si="7"/>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 t="shared" si="7"/>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 t="shared" si="7"/>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 t="shared" si="7"/>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 t="shared" si="7"/>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 t="shared" si="7"/>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 t="shared" si="7"/>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 t="shared" si="7"/>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 t="shared" si="7"/>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 t="shared" si="7"/>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 t="shared" si="7"/>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 t="shared" si="7"/>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 t="shared" si="7"/>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 t="shared" si="7"/>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 t="shared" si="7"/>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 t="shared" si="7"/>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 t="shared" si="7"/>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 t="shared" si="7"/>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 t="shared" si="7"/>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 t="shared" si="7"/>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 t="shared" si="7"/>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 t="shared" si="7"/>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 t="shared" si="7"/>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 t="shared" si="7"/>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 t="shared" si="7"/>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 t="shared" si="7"/>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 t="shared" si="7"/>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 t="shared" si="7"/>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 t="shared" si="7"/>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 t="shared" si="7"/>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 t="shared" si="7"/>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 t="shared" si="7"/>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 t="shared" si="7"/>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 t="shared" si="7"/>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 t="shared" si="7"/>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 t="shared" si="7"/>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 t="shared" si="7"/>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 t="shared" si="7"/>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 t="shared" ref="J1036:J1099" si="8">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 t="shared" si="8"/>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 t="shared" si="8"/>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 t="shared" si="8"/>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 t="shared" si="8"/>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 t="shared" si="8"/>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 t="shared" si="8"/>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 t="shared" si="8"/>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164</v>
      </c>
      <c r="H1044" s="29" t="s">
        <v>22</v>
      </c>
      <c r="I1044" s="120">
        <v>45713</v>
      </c>
      <c r="J1044" s="120">
        <f t="shared" si="8"/>
        <v>45716</v>
      </c>
      <c r="K1044" s="120"/>
      <c r="L1044" s="120"/>
      <c r="M1044" s="120"/>
      <c r="N1044" s="120"/>
      <c r="O1044" s="119" t="s">
        <v>877</v>
      </c>
      <c r="P1044" s="120"/>
      <c r="Q1044" s="135"/>
    </row>
    <row r="1045" spans="1:19" ht="15.75" hidden="1">
      <c r="A1045" s="147" t="s">
        <v>852</v>
      </c>
      <c r="B1045" s="147"/>
      <c r="C1045" s="121">
        <v>56503360</v>
      </c>
      <c r="D1045" s="121"/>
      <c r="F1045" s="121"/>
      <c r="G1045" s="29" t="s">
        <v>164</v>
      </c>
      <c r="H1045" s="29" t="s">
        <v>424</v>
      </c>
      <c r="I1045" s="120">
        <v>45713</v>
      </c>
      <c r="J1045" s="120">
        <f t="shared" si="8"/>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164</v>
      </c>
      <c r="H1046" s="29" t="s">
        <v>424</v>
      </c>
      <c r="I1046" s="120">
        <v>45713</v>
      </c>
      <c r="J1046" s="120">
        <f t="shared" si="8"/>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164</v>
      </c>
      <c r="H1047" s="29" t="s">
        <v>424</v>
      </c>
      <c r="I1047" s="120">
        <v>45713</v>
      </c>
      <c r="J1047" s="120">
        <f t="shared" si="8"/>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164</v>
      </c>
      <c r="H1048" s="29" t="s">
        <v>424</v>
      </c>
      <c r="I1048" s="120">
        <v>45713</v>
      </c>
      <c r="J1048" s="120">
        <f t="shared" si="8"/>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164</v>
      </c>
      <c r="H1049" s="29" t="s">
        <v>424</v>
      </c>
      <c r="I1049" s="120">
        <v>45713</v>
      </c>
      <c r="J1049" s="120">
        <f t="shared" si="8"/>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164</v>
      </c>
      <c r="H1050" s="29" t="s">
        <v>424</v>
      </c>
      <c r="I1050" s="120">
        <v>45713</v>
      </c>
      <c r="J1050" s="120">
        <f t="shared" si="8"/>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 t="shared" si="8"/>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 t="shared" si="8"/>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 t="shared" si="8"/>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 t="shared" si="8"/>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 t="shared" si="8"/>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 t="shared" si="8"/>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 t="shared" si="8"/>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 t="shared" si="8"/>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 t="shared" si="8"/>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 t="shared" si="8"/>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 t="shared" si="8"/>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 t="shared" si="8"/>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 t="shared" si="8"/>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 t="shared" si="8"/>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 t="shared" si="8"/>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 t="shared" si="8"/>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 t="shared" si="8"/>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 t="shared" si="8"/>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 t="shared" si="8"/>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 t="shared" si="8"/>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 t="shared" si="8"/>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 t="shared" si="8"/>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 t="shared" si="8"/>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 t="shared" si="8"/>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164</v>
      </c>
      <c r="H1075" s="29" t="s">
        <v>228</v>
      </c>
      <c r="I1075" s="120">
        <v>45714</v>
      </c>
      <c r="J1075" s="120">
        <f t="shared" si="8"/>
        <v>45719</v>
      </c>
      <c r="K1075" s="120"/>
      <c r="L1075" s="120"/>
      <c r="M1075" s="120"/>
      <c r="N1075" s="120"/>
      <c r="O1075" s="119" t="s">
        <v>843</v>
      </c>
      <c r="P1075" s="120"/>
      <c r="Q1075" s="135"/>
    </row>
    <row r="1076" spans="1:18" ht="15.75" hidden="1">
      <c r="A1076" s="147" t="s">
        <v>884</v>
      </c>
      <c r="B1076" s="147"/>
      <c r="C1076" s="121">
        <v>52505244</v>
      </c>
      <c r="D1076" s="121"/>
      <c r="F1076" s="121"/>
      <c r="G1076" s="29" t="s">
        <v>164</v>
      </c>
      <c r="H1076" s="29" t="s">
        <v>228</v>
      </c>
      <c r="I1076" s="120">
        <v>45709</v>
      </c>
      <c r="J1076" s="120">
        <f t="shared" si="8"/>
        <v>45714</v>
      </c>
      <c r="K1076" s="120"/>
      <c r="L1076" s="120"/>
      <c r="M1076" s="120"/>
      <c r="N1076" s="120"/>
      <c r="O1076" s="119" t="s">
        <v>843</v>
      </c>
      <c r="P1076" s="120"/>
      <c r="Q1076" s="135"/>
    </row>
    <row r="1077" spans="1:18" ht="15.75" hidden="1">
      <c r="A1077" s="147" t="s">
        <v>884</v>
      </c>
      <c r="B1077" s="147"/>
      <c r="C1077" s="122">
        <v>52505439</v>
      </c>
      <c r="D1077" s="122"/>
      <c r="F1077" s="122"/>
      <c r="G1077" s="29" t="s">
        <v>164</v>
      </c>
      <c r="H1077" s="29" t="s">
        <v>228</v>
      </c>
      <c r="I1077" s="120">
        <v>45709</v>
      </c>
      <c r="J1077" s="120">
        <f t="shared" si="8"/>
        <v>45714</v>
      </c>
      <c r="K1077" s="120"/>
      <c r="L1077" s="120"/>
      <c r="M1077" s="120"/>
      <c r="N1077" s="120"/>
      <c r="O1077" s="119" t="s">
        <v>843</v>
      </c>
      <c r="P1077" s="120"/>
      <c r="Q1077" s="135"/>
    </row>
    <row r="1078" spans="1:18" ht="15.75" hidden="1">
      <c r="A1078" s="147" t="s">
        <v>884</v>
      </c>
      <c r="B1078" s="147"/>
      <c r="C1078" s="122">
        <v>52505467</v>
      </c>
      <c r="D1078" s="122"/>
      <c r="F1078" s="122"/>
      <c r="G1078" s="29" t="s">
        <v>164</v>
      </c>
      <c r="H1078" s="29" t="s">
        <v>228</v>
      </c>
      <c r="I1078" s="120">
        <v>45709</v>
      </c>
      <c r="J1078" s="120">
        <f t="shared" si="8"/>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 t="shared" si="8"/>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 t="shared" si="8"/>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 t="shared" si="8"/>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 t="shared" si="8"/>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 t="shared" si="8"/>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 t="shared" si="8"/>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 t="shared" si="8"/>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 t="shared" si="8"/>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 t="shared" si="8"/>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 t="shared" si="8"/>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 t="shared" si="8"/>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 t="shared" si="8"/>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 t="shared" si="8"/>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 t="shared" si="8"/>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 t="shared" si="8"/>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 t="shared" si="8"/>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 t="shared" si="8"/>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 t="shared" si="8"/>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 t="shared" si="8"/>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164</v>
      </c>
      <c r="H1098" s="29" t="s">
        <v>110</v>
      </c>
      <c r="I1098" s="120">
        <v>45695</v>
      </c>
      <c r="J1098" s="120">
        <f t="shared" si="8"/>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164</v>
      </c>
      <c r="H1099" s="29" t="s">
        <v>110</v>
      </c>
      <c r="I1099" s="120">
        <v>45695</v>
      </c>
      <c r="J1099" s="120">
        <f t="shared" si="8"/>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164</v>
      </c>
      <c r="H1100" s="29" t="s">
        <v>110</v>
      </c>
      <c r="I1100" s="42">
        <v>45713</v>
      </c>
      <c r="J1100" s="120">
        <f t="shared" ref="J1100:J1163" si="9">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164</v>
      </c>
      <c r="H1101" s="29" t="s">
        <v>110</v>
      </c>
      <c r="I1101" s="42">
        <v>45713</v>
      </c>
      <c r="J1101" s="120">
        <f t="shared" si="9"/>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164</v>
      </c>
      <c r="H1102" s="29" t="s">
        <v>110</v>
      </c>
      <c r="I1102" s="42">
        <v>45713</v>
      </c>
      <c r="J1102" s="120">
        <f t="shared" si="9"/>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164</v>
      </c>
      <c r="H1103" s="29" t="s">
        <v>110</v>
      </c>
      <c r="I1103" s="42">
        <v>45713</v>
      </c>
      <c r="J1103" s="120">
        <f t="shared" si="9"/>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164</v>
      </c>
      <c r="H1104" s="29" t="s">
        <v>110</v>
      </c>
      <c r="I1104" s="42">
        <v>45713</v>
      </c>
      <c r="J1104" s="120">
        <f t="shared" si="9"/>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164</v>
      </c>
      <c r="H1105" s="29" t="s">
        <v>110</v>
      </c>
      <c r="I1105" s="42">
        <v>45713</v>
      </c>
      <c r="J1105" s="120">
        <f t="shared" si="9"/>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164</v>
      </c>
      <c r="H1106" s="29" t="s">
        <v>110</v>
      </c>
      <c r="I1106" s="42">
        <v>45715</v>
      </c>
      <c r="J1106" s="120">
        <f t="shared" si="9"/>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164</v>
      </c>
      <c r="H1107" s="29" t="s">
        <v>110</v>
      </c>
      <c r="I1107" s="42">
        <v>45715</v>
      </c>
      <c r="J1107" s="120">
        <f t="shared" si="9"/>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164</v>
      </c>
      <c r="H1108" s="29" t="s">
        <v>110</v>
      </c>
      <c r="I1108" s="42">
        <v>45715</v>
      </c>
      <c r="J1108" s="120">
        <f t="shared" si="9"/>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164</v>
      </c>
      <c r="H1109" s="29" t="s">
        <v>110</v>
      </c>
      <c r="I1109" s="42">
        <v>45715</v>
      </c>
      <c r="J1109" s="120">
        <f t="shared" si="9"/>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 t="shared" si="9"/>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 t="shared" si="9"/>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 t="shared" si="9"/>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 t="shared" si="9"/>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 t="shared" si="9"/>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 t="shared" si="9"/>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 t="shared" si="9"/>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 t="shared" si="9"/>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 t="shared" si="9"/>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 t="shared" si="9"/>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 t="shared" si="9"/>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 t="shared" si="9"/>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 t="shared" si="9"/>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 t="shared" si="9"/>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 t="shared" si="9"/>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 t="shared" si="9"/>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 t="shared" si="9"/>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 t="shared" si="9"/>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 t="shared" si="9"/>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 t="shared" si="9"/>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 t="shared" si="9"/>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 t="shared" si="9"/>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 t="shared" si="9"/>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 t="shared" si="9"/>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 t="shared" si="9"/>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 t="shared" si="9"/>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 t="shared" si="9"/>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 t="shared" si="9"/>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 t="shared" si="9"/>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 t="shared" si="9"/>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 t="shared" si="9"/>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 t="shared" si="9"/>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 t="shared" si="9"/>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 t="shared" si="9"/>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 t="shared" si="9"/>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 t="shared" si="9"/>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 t="shared" si="9"/>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 t="shared" si="9"/>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 t="shared" si="9"/>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 t="shared" si="9"/>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 t="shared" si="9"/>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 t="shared" si="9"/>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 t="shared" si="9"/>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 t="shared" si="9"/>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 t="shared" si="9"/>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 t="shared" si="9"/>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 t="shared" si="9"/>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 t="shared" si="9"/>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 t="shared" si="9"/>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 t="shared" si="9"/>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 t="shared" si="9"/>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 t="shared" si="9"/>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 t="shared" si="9"/>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 t="shared" si="9"/>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 t="shared" ref="J1164:J1227" si="10">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 t="shared" si="10"/>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 t="shared" si="10"/>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 t="shared" si="10"/>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 t="shared" si="10"/>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 t="shared" si="10"/>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 t="shared" si="10"/>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 t="shared" si="10"/>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 t="shared" si="10"/>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 t="shared" si="10"/>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 t="shared" si="10"/>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 t="shared" si="10"/>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 t="shared" si="10"/>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 t="shared" si="10"/>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 t="shared" si="10"/>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 t="shared" si="10"/>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 t="shared" si="10"/>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 t="shared" si="10"/>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 t="shared" si="10"/>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 t="shared" si="10"/>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 t="shared" si="10"/>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 t="shared" si="10"/>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 t="shared" si="10"/>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 t="shared" si="10"/>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 t="shared" si="10"/>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 t="shared" si="10"/>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 t="shared" si="10"/>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 t="shared" si="10"/>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 t="shared" si="10"/>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 t="shared" si="10"/>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 t="shared" si="10"/>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 t="shared" si="10"/>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 t="shared" si="10"/>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 t="shared" si="10"/>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 t="shared" si="10"/>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 t="shared" si="10"/>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 t="shared" si="10"/>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 t="shared" si="10"/>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 t="shared" si="10"/>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 t="shared" si="10"/>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 t="shared" si="10"/>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 t="shared" si="10"/>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 t="shared" si="10"/>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 t="shared" si="10"/>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 t="shared" si="10"/>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 t="shared" si="10"/>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 t="shared" si="10"/>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 t="shared" si="10"/>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 t="shared" si="10"/>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 t="shared" si="10"/>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 t="shared" si="10"/>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 t="shared" si="10"/>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 t="shared" si="10"/>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 t="shared" si="10"/>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 t="shared" si="10"/>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 t="shared" si="10"/>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 t="shared" si="10"/>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 t="shared" si="10"/>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 t="shared" si="10"/>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 t="shared" si="10"/>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 t="shared" si="10"/>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 t="shared" si="10"/>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 t="shared" si="10"/>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 t="shared" si="10"/>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 t="shared" ref="J1228:J1291" si="11">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 t="shared" si="11"/>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 t="shared" si="11"/>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 t="shared" si="11"/>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 t="shared" si="11"/>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 t="shared" si="11"/>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 t="shared" si="11"/>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 t="shared" si="11"/>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 t="shared" si="11"/>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 t="shared" si="11"/>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 t="shared" si="11"/>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 t="shared" si="11"/>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 t="shared" si="11"/>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 t="shared" si="11"/>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 t="shared" si="11"/>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 t="shared" si="11"/>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 t="shared" si="11"/>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 t="shared" si="11"/>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 t="shared" si="11"/>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 t="shared" si="11"/>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 t="shared" si="11"/>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 t="shared" si="11"/>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 t="shared" si="11"/>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 t="shared" si="11"/>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 t="shared" si="11"/>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 t="shared" si="11"/>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 t="shared" si="11"/>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 t="shared" si="11"/>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 t="shared" si="11"/>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 t="shared" si="11"/>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 t="shared" si="11"/>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 t="shared" si="11"/>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 t="shared" si="11"/>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 t="shared" si="11"/>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 t="shared" si="11"/>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 t="shared" si="11"/>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 t="shared" si="11"/>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 t="shared" si="11"/>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 t="shared" si="11"/>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 t="shared" si="11"/>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 t="shared" si="11"/>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 t="shared" si="11"/>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 t="shared" si="11"/>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 t="shared" si="11"/>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 t="shared" si="11"/>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 t="shared" si="11"/>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 t="shared" si="11"/>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 t="shared" si="11"/>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 t="shared" si="11"/>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 t="shared" si="11"/>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 t="shared" si="11"/>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 t="shared" si="11"/>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 t="shared" si="11"/>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 t="shared" si="11"/>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 t="shared" si="11"/>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 t="shared" si="11"/>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 t="shared" si="11"/>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 t="shared" si="11"/>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110</v>
      </c>
      <c r="I1286" s="42">
        <v>45727</v>
      </c>
      <c r="J1286" s="120">
        <f t="shared" si="11"/>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110</v>
      </c>
      <c r="I1287" s="42">
        <v>45727</v>
      </c>
      <c r="J1287" s="120">
        <f t="shared" si="11"/>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110</v>
      </c>
      <c r="I1288" s="42">
        <v>45727</v>
      </c>
      <c r="J1288" s="120">
        <f t="shared" si="11"/>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110</v>
      </c>
      <c r="I1289" s="42">
        <v>45727</v>
      </c>
      <c r="J1289" s="120">
        <f t="shared" si="11"/>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110</v>
      </c>
      <c r="I1290" s="42">
        <v>45727</v>
      </c>
      <c r="J1290" s="120">
        <f t="shared" si="11"/>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110</v>
      </c>
      <c r="I1291" s="42">
        <v>45727</v>
      </c>
      <c r="J1291" s="120">
        <f t="shared" si="11"/>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110</v>
      </c>
      <c r="I1292" s="42">
        <v>45727</v>
      </c>
      <c r="J1292" s="120">
        <f t="shared" ref="J1292:J1355" si="12">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110</v>
      </c>
      <c r="I1293" s="42">
        <v>45727</v>
      </c>
      <c r="J1293" s="120">
        <f t="shared" si="12"/>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110</v>
      </c>
      <c r="I1294" s="42">
        <v>45727</v>
      </c>
      <c r="J1294" s="120">
        <f t="shared" si="12"/>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110</v>
      </c>
      <c r="I1295" s="42">
        <v>45727</v>
      </c>
      <c r="J1295" s="120">
        <f t="shared" si="12"/>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110</v>
      </c>
      <c r="I1296" s="42">
        <v>45727</v>
      </c>
      <c r="J1296" s="120">
        <f t="shared" si="12"/>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110</v>
      </c>
      <c r="I1297" s="42">
        <v>45727</v>
      </c>
      <c r="J1297" s="120">
        <f t="shared" si="12"/>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110</v>
      </c>
      <c r="I1298" s="42">
        <v>45727</v>
      </c>
      <c r="J1298" s="120">
        <f t="shared" si="12"/>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110</v>
      </c>
      <c r="I1299" s="42">
        <v>45727</v>
      </c>
      <c r="J1299" s="120">
        <f t="shared" si="12"/>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110</v>
      </c>
      <c r="I1300" s="42">
        <v>45728</v>
      </c>
      <c r="J1300" s="120">
        <f t="shared" si="12"/>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110</v>
      </c>
      <c r="I1301" s="42">
        <v>45728</v>
      </c>
      <c r="J1301" s="120">
        <f t="shared" si="12"/>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110</v>
      </c>
      <c r="I1302" s="42">
        <v>45728</v>
      </c>
      <c r="J1302" s="120">
        <f t="shared" si="12"/>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110</v>
      </c>
      <c r="I1303" s="42">
        <v>45728</v>
      </c>
      <c r="J1303" s="120">
        <f t="shared" si="12"/>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110</v>
      </c>
      <c r="I1304" s="42">
        <v>45728</v>
      </c>
      <c r="J1304" s="120">
        <f t="shared" si="12"/>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110</v>
      </c>
      <c r="I1305" s="42">
        <v>45728</v>
      </c>
      <c r="J1305" s="120">
        <f t="shared" si="12"/>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110</v>
      </c>
      <c r="I1306" s="42">
        <v>45728</v>
      </c>
      <c r="J1306" s="120">
        <f t="shared" si="12"/>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110</v>
      </c>
      <c r="I1307" s="42">
        <v>45728</v>
      </c>
      <c r="J1307" s="120">
        <f t="shared" si="12"/>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110</v>
      </c>
      <c r="I1308" s="42">
        <v>45728</v>
      </c>
      <c r="J1308" s="120">
        <f t="shared" si="12"/>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 t="shared" si="12"/>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 t="shared" si="12"/>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 t="shared" si="12"/>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 t="shared" si="12"/>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 t="shared" si="12"/>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 t="shared" si="12"/>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 t="shared" si="12"/>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 t="shared" si="12"/>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 t="shared" si="12"/>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 t="shared" si="12"/>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 t="shared" si="12"/>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 t="shared" si="12"/>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 t="shared" si="12"/>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 t="shared" si="12"/>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 t="shared" si="12"/>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 t="shared" si="12"/>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 t="shared" si="12"/>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 t="shared" si="12"/>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 t="shared" si="12"/>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 t="shared" si="12"/>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 t="shared" si="12"/>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 t="shared" si="12"/>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 t="shared" si="12"/>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 t="shared" si="12"/>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 t="shared" si="12"/>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 t="shared" si="12"/>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 t="shared" si="12"/>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 t="shared" si="12"/>
        <v>45734</v>
      </c>
      <c r="K1336" s="120">
        <v>45730</v>
      </c>
      <c r="L1336" s="120"/>
      <c r="M1336" s="120"/>
      <c r="N1336" s="29"/>
      <c r="O1336" s="119" t="s">
        <v>853</v>
      </c>
      <c r="P1336" s="29"/>
      <c r="Q1336" s="81"/>
    </row>
    <row r="1337" spans="1:18" hidden="1">
      <c r="A1337" s="134" t="s">
        <v>964</v>
      </c>
      <c r="C1337" s="29">
        <v>72502083</v>
      </c>
      <c r="D1337" s="29"/>
      <c r="F1337" s="29" t="s">
        <v>109</v>
      </c>
      <c r="G1337" s="29" t="s">
        <v>164</v>
      </c>
      <c r="H1337" s="29" t="s">
        <v>110</v>
      </c>
      <c r="I1337" s="42">
        <v>45729</v>
      </c>
      <c r="J1337" s="120">
        <f t="shared" si="12"/>
        <v>45734</v>
      </c>
      <c r="K1337" s="120">
        <v>45730</v>
      </c>
      <c r="L1337" s="120"/>
      <c r="M1337" s="120"/>
      <c r="N1337" s="120">
        <v>45738</v>
      </c>
      <c r="O1337" s="119" t="s">
        <v>877</v>
      </c>
      <c r="P1337" s="29"/>
      <c r="Q1337" s="81"/>
      <c r="R1337" s="119" t="s">
        <v>965</v>
      </c>
    </row>
    <row r="1338" spans="1:18" hidden="1">
      <c r="A1338" s="134" t="s">
        <v>964</v>
      </c>
      <c r="C1338" s="29">
        <v>72502046</v>
      </c>
      <c r="D1338" s="29"/>
      <c r="F1338" s="29" t="s">
        <v>109</v>
      </c>
      <c r="G1338" s="29" t="s">
        <v>164</v>
      </c>
      <c r="H1338" s="29" t="s">
        <v>110</v>
      </c>
      <c r="I1338" s="42">
        <v>45729</v>
      </c>
      <c r="J1338" s="120">
        <f t="shared" si="12"/>
        <v>45734</v>
      </c>
      <c r="K1338" s="120">
        <v>45730</v>
      </c>
      <c r="L1338" s="120"/>
      <c r="M1338" s="120"/>
      <c r="N1338" s="29"/>
      <c r="O1338" s="119" t="s">
        <v>853</v>
      </c>
      <c r="P1338" s="29"/>
      <c r="Q1338" s="81">
        <v>1100</v>
      </c>
      <c r="R1338" s="119" t="s">
        <v>966</v>
      </c>
    </row>
    <row r="1339" spans="1:18" hidden="1">
      <c r="A1339" s="134" t="s">
        <v>964</v>
      </c>
      <c r="C1339" s="29">
        <v>72502007</v>
      </c>
      <c r="D1339" s="29"/>
      <c r="F1339" s="29" t="s">
        <v>109</v>
      </c>
      <c r="G1339" s="29" t="s">
        <v>164</v>
      </c>
      <c r="H1339" s="29" t="s">
        <v>110</v>
      </c>
      <c r="I1339" s="42">
        <v>45729</v>
      </c>
      <c r="J1339" s="120">
        <f t="shared" si="12"/>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 t="shared" si="12"/>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 t="shared" si="12"/>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 t="shared" si="12"/>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 t="shared" si="12"/>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 t="shared" si="12"/>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 t="shared" si="12"/>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 t="shared" si="12"/>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 t="shared" si="12"/>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 t="shared" si="12"/>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 t="shared" si="12"/>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 t="shared" si="12"/>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 t="shared" si="12"/>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 t="shared" si="12"/>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 t="shared" si="12"/>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 t="shared" si="12"/>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 t="shared" si="12"/>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 t="shared" ref="J1356:J1419" si="13">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 t="shared" si="13"/>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 t="shared" si="13"/>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 t="shared" si="13"/>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 t="shared" si="13"/>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 t="shared" si="13"/>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 t="shared" si="13"/>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 t="shared" si="13"/>
        <v>45735</v>
      </c>
      <c r="K1363" s="120">
        <v>45730</v>
      </c>
      <c r="L1363" s="120"/>
      <c r="M1363" s="120"/>
      <c r="N1363" s="120"/>
      <c r="O1363" s="119" t="s">
        <v>853</v>
      </c>
      <c r="P1363" s="134"/>
    </row>
    <row r="1364" spans="1:17" hidden="1">
      <c r="A1364" s="134" t="s">
        <v>968</v>
      </c>
      <c r="C1364" s="29">
        <v>71509589</v>
      </c>
      <c r="D1364" s="29"/>
      <c r="F1364" s="29" t="s">
        <v>92</v>
      </c>
      <c r="G1364" s="29" t="s">
        <v>737</v>
      </c>
      <c r="H1364" s="29" t="s">
        <v>969</v>
      </c>
      <c r="I1364" s="42">
        <v>45728</v>
      </c>
      <c r="J1364" s="120">
        <f t="shared" si="13"/>
        <v>45733</v>
      </c>
      <c r="K1364" s="120">
        <v>45733</v>
      </c>
      <c r="L1364" s="120"/>
      <c r="M1364" s="120"/>
      <c r="N1364" s="120">
        <v>45738</v>
      </c>
      <c r="O1364" s="119" t="s">
        <v>877</v>
      </c>
      <c r="P1364" s="134"/>
    </row>
    <row r="1365" spans="1:17" hidden="1">
      <c r="A1365" s="134" t="s">
        <v>968</v>
      </c>
      <c r="C1365" s="29">
        <v>71509608</v>
      </c>
      <c r="D1365" s="29"/>
      <c r="F1365" s="29" t="s">
        <v>92</v>
      </c>
      <c r="G1365" s="29" t="s">
        <v>737</v>
      </c>
      <c r="H1365" s="29" t="s">
        <v>969</v>
      </c>
      <c r="I1365" s="42">
        <v>45728</v>
      </c>
      <c r="J1365" s="120">
        <f t="shared" si="13"/>
        <v>45733</v>
      </c>
      <c r="K1365" s="120">
        <v>45733</v>
      </c>
      <c r="L1365" s="120"/>
      <c r="M1365" s="120"/>
      <c r="N1365" s="120">
        <v>45738</v>
      </c>
      <c r="O1365" s="119" t="s">
        <v>877</v>
      </c>
      <c r="P1365" s="29"/>
      <c r="Q1365" s="81"/>
    </row>
    <row r="1366" spans="1:17" hidden="1">
      <c r="A1366" s="134" t="s">
        <v>968</v>
      </c>
      <c r="C1366" s="29">
        <v>71509579</v>
      </c>
      <c r="D1366" s="29"/>
      <c r="F1366" s="29" t="s">
        <v>92</v>
      </c>
      <c r="G1366" s="29" t="s">
        <v>737</v>
      </c>
      <c r="H1366" s="29" t="s">
        <v>969</v>
      </c>
      <c r="I1366" s="42">
        <v>45728</v>
      </c>
      <c r="J1366" s="120">
        <f t="shared" si="13"/>
        <v>45733</v>
      </c>
      <c r="K1366" s="120">
        <v>45733</v>
      </c>
      <c r="L1366" s="120"/>
      <c r="M1366" s="120"/>
      <c r="N1366" s="120">
        <v>45738</v>
      </c>
      <c r="O1366" s="119" t="s">
        <v>877</v>
      </c>
      <c r="P1366" s="29"/>
      <c r="Q1366" s="81"/>
    </row>
    <row r="1367" spans="1:17" hidden="1">
      <c r="A1367" s="134" t="s">
        <v>968</v>
      </c>
      <c r="C1367" s="29">
        <v>71509631</v>
      </c>
      <c r="D1367" s="29"/>
      <c r="F1367" s="29" t="s">
        <v>92</v>
      </c>
      <c r="G1367" s="29" t="s">
        <v>737</v>
      </c>
      <c r="H1367" s="29" t="s">
        <v>969</v>
      </c>
      <c r="I1367" s="42">
        <v>45728</v>
      </c>
      <c r="J1367" s="120">
        <f t="shared" si="13"/>
        <v>45733</v>
      </c>
      <c r="K1367" s="120">
        <v>45733</v>
      </c>
      <c r="L1367" s="120"/>
      <c r="M1367" s="120"/>
      <c r="N1367" s="120">
        <v>45738</v>
      </c>
      <c r="O1367" s="119" t="s">
        <v>877</v>
      </c>
      <c r="P1367" s="29"/>
      <c r="Q1367" s="81"/>
    </row>
    <row r="1368" spans="1:17" hidden="1">
      <c r="A1368" s="134" t="s">
        <v>968</v>
      </c>
      <c r="C1368" s="29">
        <v>71509628</v>
      </c>
      <c r="D1368" s="29"/>
      <c r="F1368" s="29" t="s">
        <v>92</v>
      </c>
      <c r="G1368" s="29" t="s">
        <v>737</v>
      </c>
      <c r="H1368" s="29" t="s">
        <v>969</v>
      </c>
      <c r="I1368" s="42">
        <v>45728</v>
      </c>
      <c r="J1368" s="120">
        <f t="shared" si="13"/>
        <v>45733</v>
      </c>
      <c r="K1368" s="120">
        <v>45733</v>
      </c>
      <c r="L1368" s="120"/>
      <c r="M1368" s="120"/>
      <c r="N1368" s="120">
        <v>45738</v>
      </c>
      <c r="O1368" s="119" t="s">
        <v>877</v>
      </c>
      <c r="P1368" s="29"/>
      <c r="Q1368" s="81"/>
    </row>
    <row r="1369" spans="1:17" hidden="1">
      <c r="A1369" s="134" t="s">
        <v>968</v>
      </c>
      <c r="C1369" s="29">
        <v>71509598</v>
      </c>
      <c r="D1369" s="29"/>
      <c r="F1369" s="29" t="s">
        <v>92</v>
      </c>
      <c r="G1369" s="29" t="s">
        <v>737</v>
      </c>
      <c r="H1369" s="29" t="s">
        <v>969</v>
      </c>
      <c r="I1369" s="42">
        <v>45728</v>
      </c>
      <c r="J1369" s="120">
        <f t="shared" si="13"/>
        <v>45733</v>
      </c>
      <c r="K1369" s="120">
        <v>45733</v>
      </c>
      <c r="L1369" s="120"/>
      <c r="M1369" s="120"/>
      <c r="N1369" s="120">
        <v>45738</v>
      </c>
      <c r="O1369" s="119" t="s">
        <v>877</v>
      </c>
      <c r="P1369" s="29"/>
      <c r="Q1369" s="81"/>
    </row>
    <row r="1370" spans="1:17" hidden="1">
      <c r="A1370" s="134" t="s">
        <v>968</v>
      </c>
      <c r="C1370" s="29">
        <v>71509498</v>
      </c>
      <c r="D1370" s="29"/>
      <c r="F1370" s="29" t="s">
        <v>92</v>
      </c>
      <c r="G1370" s="29" t="s">
        <v>737</v>
      </c>
      <c r="H1370" s="29" t="s">
        <v>969</v>
      </c>
      <c r="I1370" s="42">
        <v>45728</v>
      </c>
      <c r="J1370" s="120">
        <f t="shared" si="13"/>
        <v>45733</v>
      </c>
      <c r="K1370" s="120">
        <v>45733</v>
      </c>
      <c r="L1370" s="120"/>
      <c r="M1370" s="120"/>
      <c r="N1370" s="120">
        <v>45738</v>
      </c>
      <c r="O1370" s="119" t="s">
        <v>877</v>
      </c>
      <c r="P1370" s="29"/>
      <c r="Q1370" s="81"/>
    </row>
    <row r="1371" spans="1:17" hidden="1">
      <c r="A1371" s="134" t="s">
        <v>968</v>
      </c>
      <c r="C1371" s="29">
        <v>71509510</v>
      </c>
      <c r="D1371" s="29"/>
      <c r="F1371" s="29" t="s">
        <v>92</v>
      </c>
      <c r="G1371" s="29" t="s">
        <v>737</v>
      </c>
      <c r="H1371" s="29" t="s">
        <v>969</v>
      </c>
      <c r="I1371" s="42">
        <v>45728</v>
      </c>
      <c r="J1371" s="120">
        <f t="shared" si="13"/>
        <v>45733</v>
      </c>
      <c r="K1371" s="120">
        <v>45733</v>
      </c>
      <c r="L1371" s="120"/>
      <c r="M1371" s="120"/>
      <c r="N1371" s="120">
        <v>45738</v>
      </c>
      <c r="O1371" s="119" t="s">
        <v>877</v>
      </c>
      <c r="P1371" s="29"/>
      <c r="Q1371" s="81"/>
    </row>
    <row r="1372" spans="1:17" hidden="1">
      <c r="A1372" s="134" t="s">
        <v>968</v>
      </c>
      <c r="C1372" s="29">
        <v>71509534</v>
      </c>
      <c r="D1372" s="29"/>
      <c r="F1372" s="29" t="s">
        <v>92</v>
      </c>
      <c r="G1372" s="29" t="s">
        <v>737</v>
      </c>
      <c r="H1372" s="29" t="s">
        <v>969</v>
      </c>
      <c r="I1372" s="42">
        <v>45728</v>
      </c>
      <c r="J1372" s="120">
        <f t="shared" si="13"/>
        <v>45733</v>
      </c>
      <c r="K1372" s="120">
        <v>45733</v>
      </c>
      <c r="L1372" s="120"/>
      <c r="M1372" s="120"/>
      <c r="N1372" s="120">
        <v>45738</v>
      </c>
      <c r="O1372" s="119" t="s">
        <v>877</v>
      </c>
      <c r="P1372" s="29"/>
      <c r="Q1372" s="81"/>
    </row>
    <row r="1373" spans="1:17" hidden="1">
      <c r="A1373" s="134" t="s">
        <v>968</v>
      </c>
      <c r="C1373" s="29">
        <v>71509573</v>
      </c>
      <c r="D1373" s="29"/>
      <c r="F1373" s="29" t="s">
        <v>92</v>
      </c>
      <c r="G1373" s="29" t="s">
        <v>737</v>
      </c>
      <c r="H1373" s="29" t="s">
        <v>969</v>
      </c>
      <c r="I1373" s="42">
        <v>45728</v>
      </c>
      <c r="J1373" s="120">
        <f t="shared" si="13"/>
        <v>45733</v>
      </c>
      <c r="K1373" s="120">
        <v>45733</v>
      </c>
      <c r="L1373" s="120"/>
      <c r="M1373" s="120"/>
      <c r="N1373" s="120">
        <v>45740</v>
      </c>
      <c r="O1373" s="119" t="s">
        <v>877</v>
      </c>
      <c r="P1373" s="29"/>
      <c r="Q1373" s="81"/>
    </row>
    <row r="1374" spans="1:17" hidden="1">
      <c r="A1374" s="134" t="s">
        <v>968</v>
      </c>
      <c r="C1374" s="29">
        <v>71509553</v>
      </c>
      <c r="D1374" s="29"/>
      <c r="F1374" s="29" t="s">
        <v>92</v>
      </c>
      <c r="G1374" s="29" t="s">
        <v>737</v>
      </c>
      <c r="H1374" s="29" t="s">
        <v>969</v>
      </c>
      <c r="I1374" s="42">
        <v>45728</v>
      </c>
      <c r="J1374" s="120">
        <f t="shared" si="13"/>
        <v>45733</v>
      </c>
      <c r="K1374" s="120">
        <v>45733</v>
      </c>
      <c r="L1374" s="120"/>
      <c r="M1374" s="120"/>
      <c r="N1374" s="120">
        <v>45740</v>
      </c>
      <c r="O1374" s="119" t="s">
        <v>877</v>
      </c>
      <c r="P1374" s="29"/>
      <c r="Q1374" s="81"/>
    </row>
    <row r="1375" spans="1:17" hidden="1">
      <c r="A1375" s="134" t="s">
        <v>968</v>
      </c>
      <c r="C1375" s="29">
        <v>71509566</v>
      </c>
      <c r="D1375" s="29"/>
      <c r="F1375" s="29" t="s">
        <v>92</v>
      </c>
      <c r="G1375" s="29" t="s">
        <v>737</v>
      </c>
      <c r="H1375" s="29" t="s">
        <v>969</v>
      </c>
      <c r="I1375" s="42">
        <v>45728</v>
      </c>
      <c r="J1375" s="120">
        <f t="shared" si="13"/>
        <v>45733</v>
      </c>
      <c r="K1375" s="120">
        <v>45733</v>
      </c>
      <c r="L1375" s="120"/>
      <c r="M1375" s="120"/>
      <c r="N1375" s="120">
        <v>45738</v>
      </c>
      <c r="O1375" s="119" t="s">
        <v>877</v>
      </c>
      <c r="P1375" s="29"/>
      <c r="Q1375" s="81"/>
    </row>
    <row r="1376" spans="1:17" hidden="1">
      <c r="A1376" s="134" t="s">
        <v>968</v>
      </c>
      <c r="C1376" s="29">
        <v>71509620</v>
      </c>
      <c r="D1376" s="29"/>
      <c r="F1376" s="29" t="s">
        <v>92</v>
      </c>
      <c r="G1376" s="29" t="s">
        <v>737</v>
      </c>
      <c r="H1376" s="29" t="s">
        <v>969</v>
      </c>
      <c r="I1376" s="42">
        <v>45728</v>
      </c>
      <c r="J1376" s="120">
        <f t="shared" si="13"/>
        <v>45733</v>
      </c>
      <c r="K1376" s="120">
        <v>45733</v>
      </c>
      <c r="L1376" s="120"/>
      <c r="M1376" s="120"/>
      <c r="N1376" s="120">
        <v>45738</v>
      </c>
      <c r="O1376" s="119" t="s">
        <v>877</v>
      </c>
      <c r="P1376" s="29"/>
      <c r="Q1376" s="81"/>
    </row>
    <row r="1377" spans="1:18" hidden="1">
      <c r="A1377" s="134" t="s">
        <v>968</v>
      </c>
      <c r="C1377" s="29">
        <v>71509267</v>
      </c>
      <c r="D1377" s="29"/>
      <c r="F1377" s="29" t="s">
        <v>92</v>
      </c>
      <c r="G1377" s="29" t="s">
        <v>737</v>
      </c>
      <c r="H1377" s="29" t="s">
        <v>969</v>
      </c>
      <c r="I1377" s="42">
        <v>45728</v>
      </c>
      <c r="J1377" s="120">
        <f t="shared" si="13"/>
        <v>45733</v>
      </c>
      <c r="K1377" s="120">
        <v>45733</v>
      </c>
      <c r="L1377" s="120"/>
      <c r="M1377" s="120"/>
      <c r="N1377" s="120">
        <v>45740</v>
      </c>
      <c r="O1377" s="119" t="s">
        <v>877</v>
      </c>
      <c r="P1377" s="29"/>
      <c r="Q1377" s="81"/>
    </row>
    <row r="1378" spans="1:18" hidden="1">
      <c r="A1378" s="134" t="s">
        <v>968</v>
      </c>
      <c r="C1378" s="29">
        <v>71509293</v>
      </c>
      <c r="D1378" s="29"/>
      <c r="F1378" s="29" t="s">
        <v>92</v>
      </c>
      <c r="G1378" s="29" t="s">
        <v>737</v>
      </c>
      <c r="H1378" s="29" t="s">
        <v>969</v>
      </c>
      <c r="I1378" s="42">
        <v>45728</v>
      </c>
      <c r="J1378" s="120">
        <f t="shared" si="13"/>
        <v>45733</v>
      </c>
      <c r="K1378" s="120">
        <v>45733</v>
      </c>
      <c r="L1378" s="120"/>
      <c r="M1378" s="120"/>
      <c r="N1378" s="120">
        <v>45738</v>
      </c>
      <c r="O1378" s="119" t="s">
        <v>877</v>
      </c>
      <c r="P1378" s="29"/>
      <c r="Q1378" s="81"/>
    </row>
    <row r="1379" spans="1:18" hidden="1">
      <c r="A1379" s="134" t="s">
        <v>968</v>
      </c>
      <c r="C1379" s="29">
        <v>71509399</v>
      </c>
      <c r="D1379" s="29"/>
      <c r="F1379" s="29" t="s">
        <v>92</v>
      </c>
      <c r="G1379" s="29" t="s">
        <v>737</v>
      </c>
      <c r="H1379" s="29" t="s">
        <v>969</v>
      </c>
      <c r="I1379" s="42">
        <v>45728</v>
      </c>
      <c r="J1379" s="120">
        <f t="shared" si="13"/>
        <v>45733</v>
      </c>
      <c r="K1379" s="120">
        <v>45733</v>
      </c>
      <c r="L1379" s="120"/>
      <c r="M1379" s="120"/>
      <c r="N1379" s="120">
        <v>45738</v>
      </c>
      <c r="O1379" s="119" t="s">
        <v>877</v>
      </c>
      <c r="P1379" s="29"/>
      <c r="Q1379" s="81"/>
    </row>
    <row r="1380" spans="1:18" hidden="1">
      <c r="A1380" s="134" t="s">
        <v>968</v>
      </c>
      <c r="C1380" s="29">
        <v>71509418</v>
      </c>
      <c r="D1380" s="29"/>
      <c r="F1380" s="29" t="s">
        <v>92</v>
      </c>
      <c r="G1380" s="29" t="s">
        <v>737</v>
      </c>
      <c r="H1380" s="29" t="s">
        <v>969</v>
      </c>
      <c r="I1380" s="42">
        <v>45728</v>
      </c>
      <c r="J1380" s="120">
        <f t="shared" si="13"/>
        <v>45733</v>
      </c>
      <c r="K1380" s="120">
        <v>45733</v>
      </c>
      <c r="L1380" s="120"/>
      <c r="M1380" s="120"/>
      <c r="N1380" s="120">
        <v>45738</v>
      </c>
      <c r="O1380" s="119" t="s">
        <v>877</v>
      </c>
      <c r="P1380" s="29"/>
      <c r="Q1380" s="81"/>
    </row>
    <row r="1381" spans="1:18" hidden="1">
      <c r="A1381" s="134" t="s">
        <v>968</v>
      </c>
      <c r="C1381" s="29">
        <v>71509325</v>
      </c>
      <c r="D1381" s="29"/>
      <c r="F1381" s="29" t="s">
        <v>92</v>
      </c>
      <c r="G1381" s="29" t="s">
        <v>737</v>
      </c>
      <c r="H1381" s="29" t="s">
        <v>969</v>
      </c>
      <c r="I1381" s="42">
        <v>45728</v>
      </c>
      <c r="J1381" s="120">
        <f t="shared" si="13"/>
        <v>45733</v>
      </c>
      <c r="K1381" s="120">
        <v>45733</v>
      </c>
      <c r="L1381" s="120"/>
      <c r="M1381" s="120"/>
      <c r="N1381" s="120">
        <v>45737</v>
      </c>
      <c r="O1381" s="119" t="s">
        <v>877</v>
      </c>
      <c r="P1381" s="29"/>
      <c r="Q1381" s="81"/>
    </row>
    <row r="1382" spans="1:18" hidden="1">
      <c r="A1382" s="134" t="s">
        <v>968</v>
      </c>
      <c r="C1382" s="29">
        <v>71509370</v>
      </c>
      <c r="D1382" s="29"/>
      <c r="F1382" s="29" t="s">
        <v>92</v>
      </c>
      <c r="G1382" s="29" t="s">
        <v>737</v>
      </c>
      <c r="H1382" s="29" t="s">
        <v>969</v>
      </c>
      <c r="I1382" s="42">
        <v>45728</v>
      </c>
      <c r="J1382" s="120">
        <f t="shared" si="13"/>
        <v>45733</v>
      </c>
      <c r="K1382" s="120">
        <v>45733</v>
      </c>
      <c r="L1382" s="120"/>
      <c r="M1382" s="120"/>
      <c r="N1382" s="120">
        <v>45737</v>
      </c>
      <c r="O1382" s="119" t="s">
        <v>877</v>
      </c>
      <c r="P1382" s="29"/>
      <c r="Q1382" s="81"/>
    </row>
    <row r="1383" spans="1:18" hidden="1">
      <c r="A1383" s="134" t="s">
        <v>968</v>
      </c>
      <c r="C1383" s="29">
        <v>71509213</v>
      </c>
      <c r="D1383" s="29"/>
      <c r="F1383" s="29" t="s">
        <v>92</v>
      </c>
      <c r="G1383" s="29" t="s">
        <v>737</v>
      </c>
      <c r="H1383" s="29" t="s">
        <v>969</v>
      </c>
      <c r="I1383" s="42">
        <v>45728</v>
      </c>
      <c r="J1383" s="120">
        <f t="shared" si="13"/>
        <v>45733</v>
      </c>
      <c r="K1383" s="120">
        <v>45733</v>
      </c>
      <c r="L1383" s="120"/>
      <c r="M1383" s="120"/>
      <c r="N1383" s="120">
        <v>45738</v>
      </c>
      <c r="O1383" s="119" t="s">
        <v>877</v>
      </c>
      <c r="P1383" s="29"/>
      <c r="Q1383" s="81"/>
    </row>
    <row r="1384" spans="1:18" hidden="1">
      <c r="A1384" s="134" t="s">
        <v>968</v>
      </c>
      <c r="C1384" s="29">
        <v>71509244</v>
      </c>
      <c r="D1384" s="29"/>
      <c r="F1384" s="29" t="s">
        <v>92</v>
      </c>
      <c r="G1384" s="29" t="s">
        <v>737</v>
      </c>
      <c r="H1384" s="29" t="s">
        <v>969</v>
      </c>
      <c r="I1384" s="42">
        <v>45728</v>
      </c>
      <c r="J1384" s="120">
        <f t="shared" si="13"/>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 t="shared" si="13"/>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 t="shared" si="13"/>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 t="shared" si="13"/>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 t="shared" si="13"/>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 t="shared" si="13"/>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 t="shared" si="13"/>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 t="shared" si="13"/>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 t="shared" si="13"/>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 t="shared" si="13"/>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 t="shared" si="13"/>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 t="shared" si="13"/>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 t="shared" si="13"/>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 t="shared" si="13"/>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 t="shared" si="13"/>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 t="shared" si="13"/>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 t="shared" si="13"/>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 t="shared" si="13"/>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 t="shared" si="13"/>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 t="shared" si="13"/>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 t="shared" si="13"/>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 t="shared" si="13"/>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 t="shared" si="13"/>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 t="shared" si="13"/>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 t="shared" si="13"/>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 t="shared" si="13"/>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 t="shared" si="13"/>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 t="shared" si="13"/>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 t="shared" si="13"/>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 t="shared" si="13"/>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 t="shared" si="13"/>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 t="shared" si="13"/>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 t="shared" si="13"/>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 t="shared" si="13"/>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 t="shared" si="13"/>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 t="shared" si="13"/>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 t="shared" ref="J1420:J1483" si="14">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 t="shared" si="14"/>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 t="shared" si="14"/>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 t="shared" si="14"/>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 t="shared" si="14"/>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 t="shared" si="14"/>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 t="shared" si="14"/>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 t="shared" si="14"/>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 t="shared" si="14"/>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 t="shared" si="14"/>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 t="shared" si="14"/>
        <v>45737</v>
      </c>
      <c r="K1430" s="120">
        <v>45733</v>
      </c>
      <c r="L1430" s="120"/>
      <c r="M1430" s="120"/>
      <c r="N1430" s="120">
        <v>45736</v>
      </c>
      <c r="O1430" s="119" t="s">
        <v>894</v>
      </c>
      <c r="P1430" s="29"/>
      <c r="Q1430" s="81"/>
    </row>
    <row r="1431" spans="1:17" hidden="1">
      <c r="A1431" s="134" t="s">
        <v>976</v>
      </c>
      <c r="C1431" s="29">
        <v>77505047</v>
      </c>
      <c r="D1431" s="29"/>
      <c r="F1431" s="29" t="s">
        <v>132</v>
      </c>
      <c r="G1431" s="29" t="s">
        <v>737</v>
      </c>
      <c r="H1431" s="29" t="s">
        <v>133</v>
      </c>
      <c r="I1431" s="42">
        <v>45734</v>
      </c>
      <c r="J1431" s="120">
        <f t="shared" si="14"/>
        <v>45737</v>
      </c>
      <c r="K1431" s="120">
        <v>45736</v>
      </c>
      <c r="L1431" s="120"/>
      <c r="M1431" s="120"/>
      <c r="N1431" s="120">
        <v>45740</v>
      </c>
      <c r="O1431" s="119" t="s">
        <v>877</v>
      </c>
      <c r="P1431" s="29"/>
      <c r="Q1431" s="81"/>
    </row>
    <row r="1432" spans="1:17" hidden="1">
      <c r="A1432" s="134" t="s">
        <v>976</v>
      </c>
      <c r="C1432" s="29">
        <v>77505027</v>
      </c>
      <c r="D1432" s="29"/>
      <c r="F1432" s="29" t="s">
        <v>132</v>
      </c>
      <c r="G1432" s="29" t="s">
        <v>737</v>
      </c>
      <c r="H1432" s="29" t="s">
        <v>133</v>
      </c>
      <c r="I1432" s="42">
        <v>45734</v>
      </c>
      <c r="J1432" s="120">
        <f t="shared" si="14"/>
        <v>45737</v>
      </c>
      <c r="K1432" s="120">
        <v>45736</v>
      </c>
      <c r="L1432" s="120"/>
      <c r="M1432" s="120"/>
      <c r="N1432" s="120">
        <v>45740</v>
      </c>
      <c r="O1432" s="119" t="s">
        <v>877</v>
      </c>
      <c r="P1432" s="29"/>
      <c r="Q1432" s="81"/>
    </row>
    <row r="1433" spans="1:17" hidden="1">
      <c r="A1433" s="134" t="s">
        <v>976</v>
      </c>
      <c r="C1433" s="29">
        <v>77505076</v>
      </c>
      <c r="D1433" s="29"/>
      <c r="F1433" s="29" t="s">
        <v>132</v>
      </c>
      <c r="G1433" s="29" t="s">
        <v>737</v>
      </c>
      <c r="H1433" s="29" t="s">
        <v>133</v>
      </c>
      <c r="I1433" s="42">
        <v>45734</v>
      </c>
      <c r="J1433" s="120">
        <f t="shared" si="14"/>
        <v>45737</v>
      </c>
      <c r="K1433" s="120">
        <v>45736</v>
      </c>
      <c r="L1433" s="120"/>
      <c r="M1433" s="120"/>
      <c r="N1433" s="120">
        <v>45740</v>
      </c>
      <c r="O1433" s="119" t="s">
        <v>877</v>
      </c>
      <c r="P1433" s="29"/>
      <c r="Q1433" s="81"/>
    </row>
    <row r="1434" spans="1:17" hidden="1">
      <c r="A1434" s="134" t="s">
        <v>976</v>
      </c>
      <c r="C1434" s="29">
        <v>77505181</v>
      </c>
      <c r="D1434" s="29"/>
      <c r="F1434" s="29" t="s">
        <v>132</v>
      </c>
      <c r="G1434" s="29" t="s">
        <v>737</v>
      </c>
      <c r="H1434" s="29" t="s">
        <v>133</v>
      </c>
      <c r="I1434" s="42">
        <v>45734</v>
      </c>
      <c r="J1434" s="120">
        <f t="shared" si="14"/>
        <v>45737</v>
      </c>
      <c r="K1434" s="120">
        <v>45736</v>
      </c>
      <c r="L1434" s="120"/>
      <c r="M1434" s="120"/>
      <c r="N1434" s="120">
        <v>45742</v>
      </c>
      <c r="O1434" s="119" t="s">
        <v>877</v>
      </c>
      <c r="P1434" s="29"/>
      <c r="Q1434" s="81"/>
    </row>
    <row r="1435" spans="1:17" hidden="1">
      <c r="A1435" s="134" t="s">
        <v>976</v>
      </c>
      <c r="C1435" s="29">
        <v>77505004</v>
      </c>
      <c r="D1435" s="29"/>
      <c r="F1435" s="29" t="s">
        <v>132</v>
      </c>
      <c r="G1435" s="29" t="s">
        <v>737</v>
      </c>
      <c r="H1435" s="29" t="s">
        <v>133</v>
      </c>
      <c r="I1435" s="42">
        <v>45734</v>
      </c>
      <c r="J1435" s="120">
        <f t="shared" si="14"/>
        <v>45737</v>
      </c>
      <c r="K1435" s="120">
        <v>45736</v>
      </c>
      <c r="L1435" s="120"/>
      <c r="M1435" s="120"/>
      <c r="N1435" s="120">
        <v>45740</v>
      </c>
      <c r="O1435" s="119" t="s">
        <v>877</v>
      </c>
      <c r="P1435" s="29"/>
      <c r="Q1435" s="81"/>
    </row>
    <row r="1436" spans="1:17" hidden="1">
      <c r="A1436" s="134" t="s">
        <v>976</v>
      </c>
      <c r="C1436" s="29">
        <v>77505160</v>
      </c>
      <c r="D1436" s="29"/>
      <c r="F1436" s="29" t="s">
        <v>132</v>
      </c>
      <c r="G1436" s="29" t="s">
        <v>737</v>
      </c>
      <c r="H1436" s="29" t="s">
        <v>133</v>
      </c>
      <c r="I1436" s="42">
        <v>45734</v>
      </c>
      <c r="J1436" s="120">
        <f t="shared" si="14"/>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 t="shared" si="14"/>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 t="shared" si="14"/>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 t="shared" si="14"/>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 t="shared" si="14"/>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 t="shared" si="14"/>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 t="shared" si="14"/>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 t="shared" si="14"/>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 t="shared" si="14"/>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 t="shared" si="14"/>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 t="shared" si="14"/>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 t="shared" si="14"/>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 t="shared" si="14"/>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 t="shared" si="14"/>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 t="shared" si="14"/>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 t="shared" si="14"/>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 t="shared" si="14"/>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 t="shared" si="14"/>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 t="shared" si="14"/>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 t="shared" si="14"/>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 t="shared" si="14"/>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 t="shared" si="14"/>
        <v>45744</v>
      </c>
      <c r="K1457" s="120">
        <v>45743</v>
      </c>
      <c r="L1457" s="120"/>
      <c r="M1457" s="120"/>
      <c r="N1457" s="29"/>
      <c r="O1457" s="119" t="s">
        <v>853</v>
      </c>
      <c r="P1457" s="29"/>
      <c r="Q1457" s="81"/>
    </row>
    <row r="1458" spans="1:18" hidden="1">
      <c r="A1458" s="134" t="s">
        <v>81</v>
      </c>
      <c r="C1458" s="29">
        <v>91510182</v>
      </c>
      <c r="D1458" s="29"/>
      <c r="F1458" s="29" t="s">
        <v>970</v>
      </c>
      <c r="G1458" s="29" t="s">
        <v>737</v>
      </c>
      <c r="H1458" s="120" t="s">
        <v>981</v>
      </c>
      <c r="I1458" s="120">
        <v>45748</v>
      </c>
      <c r="J1458" s="120">
        <f t="shared" si="14"/>
        <v>45751</v>
      </c>
      <c r="K1458" s="120"/>
      <c r="L1458" s="120"/>
      <c r="M1458" s="120"/>
      <c r="N1458" s="29"/>
      <c r="O1458" s="119" t="s">
        <v>853</v>
      </c>
      <c r="P1458" s="29"/>
      <c r="Q1458" s="81">
        <v>270</v>
      </c>
      <c r="R1458" s="119" t="s">
        <v>982</v>
      </c>
    </row>
    <row r="1459" spans="1:18" hidden="1">
      <c r="A1459" s="134" t="s">
        <v>81</v>
      </c>
      <c r="C1459" s="29">
        <v>91510193</v>
      </c>
      <c r="D1459" s="29"/>
      <c r="F1459" s="29" t="s">
        <v>970</v>
      </c>
      <c r="G1459" s="29" t="s">
        <v>737</v>
      </c>
      <c r="H1459" s="120" t="s">
        <v>981</v>
      </c>
      <c r="I1459" s="120">
        <v>45748</v>
      </c>
      <c r="J1459" s="120">
        <f t="shared" si="14"/>
        <v>45751</v>
      </c>
      <c r="K1459" s="120"/>
      <c r="L1459" s="120"/>
      <c r="M1459" s="120"/>
      <c r="N1459" s="29"/>
      <c r="O1459" s="119" t="s">
        <v>853</v>
      </c>
      <c r="P1459" s="29"/>
      <c r="Q1459" s="81">
        <v>48</v>
      </c>
      <c r="R1459" s="119" t="s">
        <v>983</v>
      </c>
    </row>
    <row r="1460" spans="1:18" hidden="1">
      <c r="A1460" s="134" t="s">
        <v>81</v>
      </c>
      <c r="C1460" s="29">
        <v>91510213</v>
      </c>
      <c r="D1460" s="29"/>
      <c r="F1460" s="29" t="s">
        <v>970</v>
      </c>
      <c r="G1460" s="29" t="s">
        <v>737</v>
      </c>
      <c r="H1460" s="120" t="s">
        <v>981</v>
      </c>
      <c r="I1460" s="120">
        <v>45748</v>
      </c>
      <c r="J1460" s="120">
        <f t="shared" si="14"/>
        <v>45751</v>
      </c>
      <c r="K1460" s="120"/>
      <c r="L1460" s="120"/>
      <c r="M1460" s="120"/>
      <c r="N1460" s="29"/>
      <c r="O1460" s="119" t="s">
        <v>853</v>
      </c>
      <c r="P1460" s="29"/>
      <c r="Q1460" s="81">
        <v>48</v>
      </c>
      <c r="R1460" s="119" t="s">
        <v>984</v>
      </c>
    </row>
    <row r="1461" spans="1:18" hidden="1">
      <c r="A1461" s="134" t="s">
        <v>81</v>
      </c>
      <c r="C1461" s="29">
        <v>91510227</v>
      </c>
      <c r="D1461" s="29"/>
      <c r="F1461" s="29" t="s">
        <v>970</v>
      </c>
      <c r="G1461" s="29" t="s">
        <v>737</v>
      </c>
      <c r="H1461" s="120" t="s">
        <v>981</v>
      </c>
      <c r="I1461" s="120">
        <v>45748</v>
      </c>
      <c r="J1461" s="120">
        <f t="shared" si="14"/>
        <v>45751</v>
      </c>
      <c r="K1461" s="120"/>
      <c r="L1461" s="120"/>
      <c r="M1461" s="120"/>
      <c r="N1461" s="29"/>
      <c r="O1461" s="119" t="s">
        <v>853</v>
      </c>
      <c r="P1461" s="29"/>
      <c r="Q1461" s="81">
        <v>580</v>
      </c>
      <c r="R1461" s="119" t="s">
        <v>985</v>
      </c>
    </row>
    <row r="1462" spans="1:18" hidden="1">
      <c r="A1462" s="134" t="s">
        <v>81</v>
      </c>
      <c r="C1462" s="29">
        <v>91510239</v>
      </c>
      <c r="D1462" s="29"/>
      <c r="F1462" s="29" t="s">
        <v>970</v>
      </c>
      <c r="G1462" s="29" t="s">
        <v>737</v>
      </c>
      <c r="H1462" s="120" t="s">
        <v>981</v>
      </c>
      <c r="I1462" s="120">
        <v>45748</v>
      </c>
      <c r="J1462" s="120">
        <f t="shared" si="14"/>
        <v>45751</v>
      </c>
      <c r="K1462" s="120"/>
      <c r="L1462" s="120"/>
      <c r="M1462" s="120"/>
      <c r="N1462" s="29"/>
      <c r="O1462" s="119" t="s">
        <v>853</v>
      </c>
      <c r="P1462" s="29"/>
      <c r="Q1462" s="81">
        <v>45</v>
      </c>
      <c r="R1462" s="119" t="s">
        <v>986</v>
      </c>
    </row>
    <row r="1463" spans="1:18" hidden="1">
      <c r="A1463" s="134" t="s">
        <v>81</v>
      </c>
      <c r="C1463" s="29">
        <v>91510252</v>
      </c>
      <c r="D1463" s="29"/>
      <c r="F1463" s="29" t="s">
        <v>970</v>
      </c>
      <c r="G1463" s="29" t="s">
        <v>737</v>
      </c>
      <c r="H1463" s="120" t="s">
        <v>981</v>
      </c>
      <c r="I1463" s="120">
        <v>45748</v>
      </c>
      <c r="J1463" s="120">
        <f t="shared" si="14"/>
        <v>45751</v>
      </c>
      <c r="K1463" s="29"/>
      <c r="L1463" s="29"/>
      <c r="M1463" s="29"/>
      <c r="N1463" s="29"/>
      <c r="O1463" s="119" t="s">
        <v>853</v>
      </c>
      <c r="P1463" s="29"/>
      <c r="Q1463" s="81">
        <v>270</v>
      </c>
      <c r="R1463" s="119" t="s">
        <v>987</v>
      </c>
    </row>
    <row r="1464" spans="1:18" hidden="1">
      <c r="A1464" s="134" t="s">
        <v>81</v>
      </c>
      <c r="C1464" s="29">
        <v>91510264</v>
      </c>
      <c r="D1464" s="29"/>
      <c r="F1464" s="29" t="s">
        <v>970</v>
      </c>
      <c r="G1464" s="29" t="s">
        <v>737</v>
      </c>
      <c r="H1464" s="120" t="s">
        <v>981</v>
      </c>
      <c r="I1464" s="120">
        <v>45748</v>
      </c>
      <c r="J1464" s="120">
        <f t="shared" si="14"/>
        <v>45751</v>
      </c>
      <c r="K1464" s="29"/>
      <c r="L1464" s="29"/>
      <c r="M1464" s="29"/>
      <c r="N1464" s="29"/>
      <c r="O1464" s="119" t="s">
        <v>853</v>
      </c>
      <c r="P1464" s="29"/>
      <c r="Q1464" s="81">
        <v>300</v>
      </c>
      <c r="R1464" s="119" t="s">
        <v>988</v>
      </c>
    </row>
    <row r="1465" spans="1:18" hidden="1">
      <c r="A1465" s="134" t="s">
        <v>81</v>
      </c>
      <c r="C1465" s="29">
        <v>91510271</v>
      </c>
      <c r="D1465" s="29"/>
      <c r="F1465" s="29" t="s">
        <v>970</v>
      </c>
      <c r="G1465" s="29" t="s">
        <v>737</v>
      </c>
      <c r="H1465" s="120" t="s">
        <v>981</v>
      </c>
      <c r="I1465" s="120">
        <v>45748</v>
      </c>
      <c r="J1465" s="120">
        <f t="shared" si="14"/>
        <v>45751</v>
      </c>
      <c r="K1465" s="29"/>
      <c r="L1465" s="29"/>
      <c r="M1465" s="29"/>
      <c r="N1465" s="29"/>
      <c r="O1465" s="119" t="s">
        <v>853</v>
      </c>
      <c r="P1465" s="29"/>
      <c r="Q1465" s="81">
        <v>45</v>
      </c>
      <c r="R1465" s="119" t="s">
        <v>989</v>
      </c>
    </row>
    <row r="1466" spans="1:18" hidden="1">
      <c r="A1466" s="134" t="s">
        <v>81</v>
      </c>
      <c r="C1466" s="29">
        <v>91510276</v>
      </c>
      <c r="D1466" s="29"/>
      <c r="F1466" s="29" t="s">
        <v>970</v>
      </c>
      <c r="G1466" s="29" t="s">
        <v>737</v>
      </c>
      <c r="H1466" s="120" t="s">
        <v>981</v>
      </c>
      <c r="I1466" s="120">
        <v>45748</v>
      </c>
      <c r="J1466" s="120">
        <f t="shared" si="14"/>
        <v>45751</v>
      </c>
      <c r="K1466" s="29"/>
      <c r="L1466" s="29"/>
      <c r="M1466" s="29"/>
      <c r="N1466" s="29"/>
      <c r="O1466" s="119" t="s">
        <v>853</v>
      </c>
      <c r="P1466" s="29"/>
      <c r="Q1466" s="81">
        <v>150</v>
      </c>
      <c r="R1466" s="119" t="s">
        <v>990</v>
      </c>
    </row>
    <row r="1467" spans="1:18" hidden="1">
      <c r="A1467" s="134" t="s">
        <v>81</v>
      </c>
      <c r="C1467" s="29">
        <v>91510280</v>
      </c>
      <c r="D1467" s="29"/>
      <c r="F1467" s="29" t="s">
        <v>970</v>
      </c>
      <c r="G1467" s="29" t="s">
        <v>737</v>
      </c>
      <c r="H1467" s="120" t="s">
        <v>981</v>
      </c>
      <c r="I1467" s="120">
        <v>45748</v>
      </c>
      <c r="J1467" s="120">
        <f t="shared" si="14"/>
        <v>45751</v>
      </c>
      <c r="K1467" s="29"/>
      <c r="L1467" s="29"/>
      <c r="M1467" s="29"/>
      <c r="N1467" s="29"/>
      <c r="O1467" s="119" t="s">
        <v>853</v>
      </c>
      <c r="P1467" s="29"/>
      <c r="Q1467" s="81">
        <v>44</v>
      </c>
      <c r="R1467" s="119" t="s">
        <v>991</v>
      </c>
    </row>
    <row r="1468" spans="1:18" hidden="1">
      <c r="A1468" s="134" t="s">
        <v>81</v>
      </c>
      <c r="C1468" s="29">
        <v>91510286</v>
      </c>
      <c r="D1468" s="29"/>
      <c r="F1468" s="29" t="s">
        <v>970</v>
      </c>
      <c r="G1468" s="29" t="s">
        <v>737</v>
      </c>
      <c r="H1468" s="120" t="s">
        <v>981</v>
      </c>
      <c r="I1468" s="120">
        <v>45748</v>
      </c>
      <c r="J1468" s="120">
        <f t="shared" si="14"/>
        <v>45751</v>
      </c>
      <c r="K1468" s="29"/>
      <c r="L1468" s="29"/>
      <c r="M1468" s="29"/>
      <c r="N1468" s="29"/>
      <c r="O1468" s="119" t="s">
        <v>853</v>
      </c>
      <c r="P1468" s="29"/>
      <c r="Q1468" s="81">
        <v>125</v>
      </c>
      <c r="R1468" s="119" t="s">
        <v>992</v>
      </c>
    </row>
    <row r="1469" spans="1:18" hidden="1">
      <c r="A1469" s="134" t="s">
        <v>81</v>
      </c>
      <c r="C1469" s="29">
        <v>91510291</v>
      </c>
      <c r="D1469" s="29"/>
      <c r="F1469" s="29" t="s">
        <v>970</v>
      </c>
      <c r="G1469" s="29" t="s">
        <v>737</v>
      </c>
      <c r="H1469" s="120" t="s">
        <v>981</v>
      </c>
      <c r="I1469" s="120">
        <v>45748</v>
      </c>
      <c r="J1469" s="120">
        <f t="shared" si="14"/>
        <v>45751</v>
      </c>
      <c r="K1469" s="29"/>
      <c r="L1469" s="29"/>
      <c r="M1469" s="29"/>
      <c r="N1469" s="29"/>
      <c r="O1469" s="119" t="s">
        <v>853</v>
      </c>
      <c r="P1469" s="29"/>
      <c r="Q1469" s="81">
        <v>375</v>
      </c>
      <c r="R1469" s="119" t="s">
        <v>993</v>
      </c>
    </row>
    <row r="1470" spans="1:18" hidden="1">
      <c r="A1470" s="134" t="s">
        <v>81</v>
      </c>
      <c r="C1470" s="29">
        <v>91510296</v>
      </c>
      <c r="D1470" s="29"/>
      <c r="F1470" s="29" t="s">
        <v>970</v>
      </c>
      <c r="G1470" s="29" t="s">
        <v>737</v>
      </c>
      <c r="H1470" s="120" t="s">
        <v>981</v>
      </c>
      <c r="I1470" s="120">
        <v>45748</v>
      </c>
      <c r="J1470" s="120">
        <f t="shared" si="14"/>
        <v>45751</v>
      </c>
      <c r="K1470" s="29"/>
      <c r="L1470" s="29"/>
      <c r="M1470" s="29"/>
      <c r="N1470" s="29"/>
      <c r="O1470" s="119" t="s">
        <v>853</v>
      </c>
      <c r="P1470" s="29"/>
      <c r="Q1470" s="81">
        <v>150</v>
      </c>
      <c r="R1470" s="119" t="s">
        <v>994</v>
      </c>
    </row>
    <row r="1471" spans="1:18" hidden="1">
      <c r="A1471" s="134" t="s">
        <v>81</v>
      </c>
      <c r="C1471" s="29">
        <v>91510303</v>
      </c>
      <c r="D1471" s="29"/>
      <c r="F1471" s="29" t="s">
        <v>970</v>
      </c>
      <c r="G1471" s="29" t="s">
        <v>737</v>
      </c>
      <c r="H1471" s="120" t="s">
        <v>981</v>
      </c>
      <c r="I1471" s="120">
        <v>45748</v>
      </c>
      <c r="J1471" s="120">
        <f t="shared" si="14"/>
        <v>45751</v>
      </c>
      <c r="K1471" s="29"/>
      <c r="L1471" s="29"/>
      <c r="M1471" s="29"/>
      <c r="N1471" s="29"/>
      <c r="O1471" s="119" t="s">
        <v>853</v>
      </c>
      <c r="P1471" s="29"/>
      <c r="Q1471" s="81">
        <v>45</v>
      </c>
      <c r="R1471" s="119" t="s">
        <v>995</v>
      </c>
    </row>
    <row r="1472" spans="1:18" hidden="1">
      <c r="A1472" s="134" t="s">
        <v>81</v>
      </c>
      <c r="C1472" s="29">
        <v>91510312</v>
      </c>
      <c r="D1472" s="29"/>
      <c r="F1472" s="29" t="s">
        <v>970</v>
      </c>
      <c r="G1472" s="29" t="s">
        <v>737</v>
      </c>
      <c r="H1472" s="120" t="s">
        <v>981</v>
      </c>
      <c r="I1472" s="120">
        <v>45748</v>
      </c>
      <c r="J1472" s="120">
        <f t="shared" si="14"/>
        <v>45751</v>
      </c>
      <c r="K1472" s="29"/>
      <c r="L1472" s="29"/>
      <c r="M1472" s="29"/>
      <c r="N1472" s="29"/>
      <c r="O1472" s="119" t="s">
        <v>853</v>
      </c>
      <c r="P1472" s="29"/>
      <c r="Q1472" s="81">
        <v>245</v>
      </c>
      <c r="R1472" s="119" t="s">
        <v>996</v>
      </c>
    </row>
    <row r="1473" spans="1:18" hidden="1">
      <c r="A1473" s="134" t="s">
        <v>81</v>
      </c>
      <c r="C1473" s="29">
        <v>91510317</v>
      </c>
      <c r="D1473" s="29"/>
      <c r="F1473" s="29" t="s">
        <v>970</v>
      </c>
      <c r="G1473" s="29" t="s">
        <v>737</v>
      </c>
      <c r="H1473" s="120" t="s">
        <v>981</v>
      </c>
      <c r="I1473" s="120">
        <v>45748</v>
      </c>
      <c r="J1473" s="120">
        <f t="shared" si="14"/>
        <v>45751</v>
      </c>
      <c r="K1473" s="29"/>
      <c r="L1473" s="29"/>
      <c r="M1473" s="29"/>
      <c r="N1473" s="29"/>
      <c r="O1473" s="119" t="s">
        <v>853</v>
      </c>
      <c r="P1473" s="29"/>
      <c r="Q1473" s="81">
        <v>48</v>
      </c>
      <c r="R1473" s="119" t="s">
        <v>997</v>
      </c>
    </row>
    <row r="1474" spans="1:18" hidden="1">
      <c r="A1474" s="134" t="s">
        <v>81</v>
      </c>
      <c r="C1474" s="29">
        <v>91510319</v>
      </c>
      <c r="D1474" s="29"/>
      <c r="F1474" s="29" t="s">
        <v>970</v>
      </c>
      <c r="G1474" s="29" t="s">
        <v>737</v>
      </c>
      <c r="H1474" s="120" t="s">
        <v>981</v>
      </c>
      <c r="I1474" s="120">
        <v>45748</v>
      </c>
      <c r="J1474" s="120">
        <f t="shared" si="14"/>
        <v>45751</v>
      </c>
      <c r="K1474" s="29"/>
      <c r="L1474" s="29"/>
      <c r="M1474" s="29"/>
      <c r="N1474" s="29"/>
      <c r="O1474" s="119" t="s">
        <v>853</v>
      </c>
      <c r="P1474" s="29"/>
      <c r="Q1474" s="81">
        <v>48</v>
      </c>
      <c r="R1474" s="119" t="s">
        <v>998</v>
      </c>
    </row>
    <row r="1475" spans="1:18" hidden="1">
      <c r="A1475" s="134" t="s">
        <v>81</v>
      </c>
      <c r="C1475" s="29">
        <v>91510326</v>
      </c>
      <c r="D1475" s="29"/>
      <c r="F1475" s="29" t="s">
        <v>970</v>
      </c>
      <c r="G1475" s="29" t="s">
        <v>737</v>
      </c>
      <c r="H1475" s="120" t="s">
        <v>981</v>
      </c>
      <c r="I1475" s="120">
        <v>45748</v>
      </c>
      <c r="J1475" s="120">
        <f t="shared" si="14"/>
        <v>45751</v>
      </c>
      <c r="K1475" s="29"/>
      <c r="L1475" s="29"/>
      <c r="M1475" s="29"/>
      <c r="N1475" s="29"/>
      <c r="O1475" s="119" t="s">
        <v>853</v>
      </c>
      <c r="P1475" s="29"/>
      <c r="Q1475" s="81">
        <v>90</v>
      </c>
      <c r="R1475" s="119" t="s">
        <v>999</v>
      </c>
    </row>
    <row r="1476" spans="1:18" hidden="1">
      <c r="A1476" s="134" t="s">
        <v>81</v>
      </c>
      <c r="C1476" s="29">
        <v>91510335</v>
      </c>
      <c r="D1476" s="29"/>
      <c r="F1476" s="29" t="s">
        <v>970</v>
      </c>
      <c r="G1476" s="29" t="s">
        <v>737</v>
      </c>
      <c r="H1476" s="120" t="s">
        <v>981</v>
      </c>
      <c r="I1476" s="120">
        <v>45748</v>
      </c>
      <c r="J1476" s="120">
        <f t="shared" si="14"/>
        <v>45751</v>
      </c>
      <c r="K1476" s="29"/>
      <c r="L1476" s="29"/>
      <c r="M1476" s="29"/>
      <c r="N1476" s="29"/>
      <c r="O1476" s="119" t="s">
        <v>853</v>
      </c>
      <c r="P1476" s="29"/>
      <c r="Q1476" s="81">
        <v>225</v>
      </c>
      <c r="R1476" s="119" t="s">
        <v>1000</v>
      </c>
    </row>
    <row r="1477" spans="1:18" hidden="1">
      <c r="A1477" s="134" t="s">
        <v>81</v>
      </c>
      <c r="C1477" s="29">
        <v>91510364</v>
      </c>
      <c r="D1477" s="29"/>
      <c r="F1477" s="29" t="s">
        <v>970</v>
      </c>
      <c r="G1477" s="29" t="s">
        <v>737</v>
      </c>
      <c r="H1477" s="120" t="s">
        <v>981</v>
      </c>
      <c r="I1477" s="120">
        <v>45748</v>
      </c>
      <c r="J1477" s="120">
        <f t="shared" si="14"/>
        <v>45751</v>
      </c>
      <c r="K1477" s="29"/>
      <c r="L1477" s="29"/>
      <c r="M1477" s="29"/>
      <c r="N1477" s="29"/>
      <c r="O1477" s="119" t="s">
        <v>853</v>
      </c>
      <c r="P1477" s="29"/>
      <c r="Q1477" s="81">
        <v>195</v>
      </c>
      <c r="R1477" s="119" t="s">
        <v>1001</v>
      </c>
    </row>
    <row r="1478" spans="1:18" hidden="1">
      <c r="A1478" s="134" t="s">
        <v>81</v>
      </c>
      <c r="C1478" s="29">
        <v>91510386</v>
      </c>
      <c r="D1478" s="29"/>
      <c r="F1478" s="29" t="s">
        <v>970</v>
      </c>
      <c r="G1478" s="29" t="s">
        <v>737</v>
      </c>
      <c r="H1478" s="120" t="s">
        <v>981</v>
      </c>
      <c r="I1478" s="120">
        <v>45748</v>
      </c>
      <c r="J1478" s="120">
        <f t="shared" si="14"/>
        <v>45751</v>
      </c>
      <c r="K1478" s="29"/>
      <c r="L1478" s="29"/>
      <c r="M1478" s="29"/>
      <c r="N1478" s="29"/>
      <c r="O1478" s="119" t="s">
        <v>853</v>
      </c>
      <c r="P1478" s="29"/>
      <c r="Q1478" s="81">
        <v>55</v>
      </c>
      <c r="R1478" s="119" t="s">
        <v>1002</v>
      </c>
    </row>
    <row r="1479" spans="1:18" hidden="1">
      <c r="A1479" s="134" t="s">
        <v>81</v>
      </c>
      <c r="C1479" s="29">
        <v>91510397</v>
      </c>
      <c r="D1479" s="29"/>
      <c r="F1479" s="29" t="s">
        <v>970</v>
      </c>
      <c r="G1479" s="29" t="s">
        <v>737</v>
      </c>
      <c r="H1479" s="120" t="s">
        <v>981</v>
      </c>
      <c r="I1479" s="120">
        <v>45748</v>
      </c>
      <c r="J1479" s="120">
        <f t="shared" si="14"/>
        <v>45751</v>
      </c>
      <c r="K1479" s="29"/>
      <c r="L1479" s="29"/>
      <c r="M1479" s="29"/>
      <c r="N1479" s="29"/>
      <c r="O1479" s="119" t="s">
        <v>853</v>
      </c>
      <c r="P1479" s="29"/>
      <c r="Q1479" s="81">
        <v>365</v>
      </c>
      <c r="R1479" s="119" t="s">
        <v>1003</v>
      </c>
    </row>
    <row r="1480" spans="1:18" hidden="1">
      <c r="A1480" s="134" t="s">
        <v>81</v>
      </c>
      <c r="C1480" s="29">
        <v>91510400</v>
      </c>
      <c r="D1480" s="29"/>
      <c r="F1480" s="29" t="s">
        <v>970</v>
      </c>
      <c r="G1480" s="29" t="s">
        <v>737</v>
      </c>
      <c r="H1480" s="120" t="s">
        <v>981</v>
      </c>
      <c r="I1480" s="120">
        <v>45748</v>
      </c>
      <c r="J1480" s="120">
        <f t="shared" si="14"/>
        <v>45751</v>
      </c>
      <c r="K1480" s="29"/>
      <c r="L1480" s="29"/>
      <c r="M1480" s="29"/>
      <c r="N1480" s="29"/>
      <c r="O1480" s="119" t="s">
        <v>853</v>
      </c>
      <c r="P1480" s="29"/>
      <c r="Q1480" s="81">
        <v>51</v>
      </c>
      <c r="R1480" s="119" t="s">
        <v>1004</v>
      </c>
    </row>
    <row r="1481" spans="1:18" hidden="1">
      <c r="A1481" s="134" t="s">
        <v>81</v>
      </c>
      <c r="C1481" s="29">
        <v>91510406</v>
      </c>
      <c r="D1481" s="29"/>
      <c r="F1481" s="29" t="s">
        <v>970</v>
      </c>
      <c r="G1481" s="29" t="s">
        <v>737</v>
      </c>
      <c r="H1481" s="120" t="s">
        <v>981</v>
      </c>
      <c r="I1481" s="120">
        <v>45748</v>
      </c>
      <c r="J1481" s="120">
        <f t="shared" si="14"/>
        <v>45751</v>
      </c>
      <c r="K1481" s="29"/>
      <c r="L1481" s="29"/>
      <c r="M1481" s="29"/>
      <c r="N1481" s="29"/>
      <c r="O1481" s="119" t="s">
        <v>853</v>
      </c>
      <c r="P1481" s="29"/>
      <c r="Q1481" s="81">
        <v>350</v>
      </c>
      <c r="R1481" s="119" t="s">
        <v>1005</v>
      </c>
    </row>
    <row r="1482" spans="1:18" hidden="1">
      <c r="A1482" s="134" t="s">
        <v>81</v>
      </c>
      <c r="C1482" s="29">
        <v>91510408</v>
      </c>
      <c r="D1482" s="29"/>
      <c r="F1482" s="29" t="s">
        <v>970</v>
      </c>
      <c r="G1482" s="29" t="s">
        <v>737</v>
      </c>
      <c r="H1482" s="120" t="s">
        <v>981</v>
      </c>
      <c r="I1482" s="120">
        <v>45748</v>
      </c>
      <c r="J1482" s="120">
        <f t="shared" si="14"/>
        <v>45751</v>
      </c>
      <c r="K1482" s="29"/>
      <c r="L1482" s="29"/>
      <c r="M1482" s="29"/>
      <c r="N1482" s="29"/>
      <c r="O1482" s="119" t="s">
        <v>853</v>
      </c>
      <c r="P1482" s="29"/>
      <c r="Q1482" s="81">
        <v>275</v>
      </c>
      <c r="R1482" s="119" t="s">
        <v>1006</v>
      </c>
    </row>
    <row r="1483" spans="1:18" hidden="1">
      <c r="A1483" s="134" t="s">
        <v>81</v>
      </c>
      <c r="C1483" s="29">
        <v>91510416</v>
      </c>
      <c r="D1483" s="29"/>
      <c r="F1483" s="29" t="s">
        <v>970</v>
      </c>
      <c r="G1483" s="29" t="s">
        <v>737</v>
      </c>
      <c r="H1483" s="120" t="s">
        <v>981</v>
      </c>
      <c r="I1483" s="120">
        <v>45748</v>
      </c>
      <c r="J1483" s="120">
        <f t="shared" si="14"/>
        <v>45751</v>
      </c>
      <c r="K1483" s="29"/>
      <c r="L1483" s="29"/>
      <c r="M1483" s="29"/>
      <c r="N1483" s="29"/>
      <c r="O1483" s="119" t="s">
        <v>853</v>
      </c>
      <c r="P1483" s="29"/>
      <c r="Q1483" s="81">
        <v>57</v>
      </c>
      <c r="R1483" s="119" t="s">
        <v>1007</v>
      </c>
    </row>
    <row r="1484" spans="1:18" hidden="1">
      <c r="A1484" s="134" t="s">
        <v>81</v>
      </c>
      <c r="C1484" s="29">
        <v>91510430</v>
      </c>
      <c r="D1484" s="29"/>
      <c r="F1484" s="29" t="s">
        <v>970</v>
      </c>
      <c r="G1484" s="29" t="s">
        <v>737</v>
      </c>
      <c r="H1484" s="120" t="s">
        <v>981</v>
      </c>
      <c r="I1484" s="120">
        <v>45748</v>
      </c>
      <c r="J1484" s="120">
        <f t="shared" ref="J1484:J1547" si="15">WORKDAY(I1484, 3)</f>
        <v>45751</v>
      </c>
      <c r="K1484" s="29"/>
      <c r="L1484" s="29"/>
      <c r="M1484" s="29"/>
      <c r="N1484" s="29"/>
      <c r="O1484" s="119" t="s">
        <v>853</v>
      </c>
      <c r="P1484" s="29"/>
      <c r="Q1484" s="81">
        <v>90</v>
      </c>
      <c r="R1484" s="119" t="s">
        <v>1008</v>
      </c>
    </row>
    <row r="1485" spans="1:18" hidden="1">
      <c r="A1485" s="134" t="s">
        <v>81</v>
      </c>
      <c r="C1485" s="29">
        <v>91510428</v>
      </c>
      <c r="D1485" s="29"/>
      <c r="F1485" s="29" t="s">
        <v>970</v>
      </c>
      <c r="G1485" s="29" t="s">
        <v>737</v>
      </c>
      <c r="H1485" s="120" t="s">
        <v>981</v>
      </c>
      <c r="I1485" s="120">
        <v>45748</v>
      </c>
      <c r="J1485" s="120">
        <f t="shared" si="15"/>
        <v>45751</v>
      </c>
      <c r="K1485" s="29"/>
      <c r="L1485" s="29"/>
      <c r="M1485" s="29"/>
      <c r="N1485" s="29"/>
      <c r="O1485" s="119" t="s">
        <v>853</v>
      </c>
      <c r="P1485" s="29"/>
      <c r="Q1485" s="81">
        <v>80</v>
      </c>
      <c r="R1485" s="119" t="s">
        <v>1009</v>
      </c>
    </row>
    <row r="1486" spans="1:18" hidden="1">
      <c r="A1486" s="134" t="s">
        <v>81</v>
      </c>
      <c r="C1486" s="29">
        <v>91510432</v>
      </c>
      <c r="D1486" s="29"/>
      <c r="F1486" s="29" t="s">
        <v>970</v>
      </c>
      <c r="G1486" s="29" t="s">
        <v>737</v>
      </c>
      <c r="H1486" s="120" t="s">
        <v>981</v>
      </c>
      <c r="I1486" s="120">
        <v>45748</v>
      </c>
      <c r="J1486" s="120">
        <f t="shared" si="15"/>
        <v>45751</v>
      </c>
      <c r="K1486" s="29"/>
      <c r="L1486" s="29"/>
      <c r="M1486" s="29"/>
      <c r="N1486" s="29"/>
      <c r="O1486" s="119" t="s">
        <v>853</v>
      </c>
      <c r="P1486" s="29"/>
      <c r="Q1486" s="81">
        <v>300</v>
      </c>
      <c r="R1486" s="119" t="s">
        <v>1010</v>
      </c>
    </row>
    <row r="1487" spans="1:18" hidden="1">
      <c r="A1487" s="134" t="s">
        <v>81</v>
      </c>
      <c r="C1487" s="29">
        <v>91510437</v>
      </c>
      <c r="D1487" s="29"/>
      <c r="F1487" s="29" t="s">
        <v>970</v>
      </c>
      <c r="G1487" s="29" t="s">
        <v>737</v>
      </c>
      <c r="H1487" s="120" t="s">
        <v>981</v>
      </c>
      <c r="I1487" s="120">
        <v>45748</v>
      </c>
      <c r="J1487" s="120">
        <f t="shared" si="15"/>
        <v>45751</v>
      </c>
      <c r="K1487" s="29"/>
      <c r="L1487" s="29"/>
      <c r="M1487" s="29"/>
      <c r="N1487" s="29"/>
      <c r="O1487" s="119" t="s">
        <v>853</v>
      </c>
      <c r="P1487" s="29"/>
      <c r="Q1487" s="81">
        <v>55</v>
      </c>
      <c r="R1487" s="119" t="s">
        <v>1011</v>
      </c>
    </row>
    <row r="1488" spans="1:18" hidden="1">
      <c r="A1488" s="134" t="s">
        <v>81</v>
      </c>
      <c r="C1488" s="29">
        <v>91510440</v>
      </c>
      <c r="D1488" s="29"/>
      <c r="F1488" s="29" t="s">
        <v>970</v>
      </c>
      <c r="G1488" s="29" t="s">
        <v>737</v>
      </c>
      <c r="H1488" s="120" t="s">
        <v>981</v>
      </c>
      <c r="I1488" s="120">
        <v>45748</v>
      </c>
      <c r="J1488" s="120">
        <f t="shared" si="15"/>
        <v>45751</v>
      </c>
      <c r="K1488" s="29"/>
      <c r="L1488" s="29"/>
      <c r="M1488" s="29"/>
      <c r="N1488" s="29"/>
      <c r="O1488" s="119" t="s">
        <v>853</v>
      </c>
      <c r="P1488" s="29"/>
      <c r="Q1488" s="81">
        <v>375</v>
      </c>
      <c r="R1488" s="119" t="s">
        <v>1012</v>
      </c>
    </row>
    <row r="1489" spans="1:18" hidden="1">
      <c r="A1489" s="134" t="s">
        <v>81</v>
      </c>
      <c r="C1489" s="29">
        <v>91510444</v>
      </c>
      <c r="D1489" s="29"/>
      <c r="F1489" s="29" t="s">
        <v>970</v>
      </c>
      <c r="G1489" s="29" t="s">
        <v>737</v>
      </c>
      <c r="H1489" s="120" t="s">
        <v>981</v>
      </c>
      <c r="I1489" s="120">
        <v>45748</v>
      </c>
      <c r="J1489" s="120">
        <f t="shared" si="15"/>
        <v>45751</v>
      </c>
      <c r="K1489" s="29"/>
      <c r="L1489" s="29"/>
      <c r="M1489" s="29"/>
      <c r="N1489" s="29"/>
      <c r="O1489" s="119" t="s">
        <v>853</v>
      </c>
      <c r="P1489" s="29"/>
      <c r="Q1489" s="81">
        <v>53</v>
      </c>
      <c r="R1489" s="119" t="s">
        <v>1013</v>
      </c>
    </row>
    <row r="1490" spans="1:18" hidden="1">
      <c r="A1490" s="134" t="s">
        <v>81</v>
      </c>
      <c r="C1490" s="29">
        <v>91510448</v>
      </c>
      <c r="D1490" s="29"/>
      <c r="F1490" s="29" t="s">
        <v>970</v>
      </c>
      <c r="G1490" s="29" t="s">
        <v>737</v>
      </c>
      <c r="H1490" s="120" t="s">
        <v>981</v>
      </c>
      <c r="I1490" s="120">
        <v>45748</v>
      </c>
      <c r="J1490" s="120">
        <f t="shared" si="15"/>
        <v>45751</v>
      </c>
      <c r="K1490" s="29"/>
      <c r="L1490" s="29"/>
      <c r="M1490" s="29"/>
      <c r="N1490" s="29"/>
      <c r="O1490" s="119" t="s">
        <v>853</v>
      </c>
      <c r="P1490" s="29"/>
      <c r="Q1490" s="81">
        <v>450</v>
      </c>
      <c r="R1490" s="119" t="s">
        <v>1014</v>
      </c>
    </row>
    <row r="1491" spans="1:18" hidden="1">
      <c r="A1491" s="134" t="s">
        <v>81</v>
      </c>
      <c r="C1491" s="29">
        <v>91510449</v>
      </c>
      <c r="D1491" s="29"/>
      <c r="F1491" s="29" t="s">
        <v>970</v>
      </c>
      <c r="G1491" s="29" t="s">
        <v>737</v>
      </c>
      <c r="H1491" s="120" t="s">
        <v>981</v>
      </c>
      <c r="I1491" s="120">
        <v>45748</v>
      </c>
      <c r="J1491" s="120">
        <f t="shared" si="15"/>
        <v>45751</v>
      </c>
      <c r="K1491" s="29"/>
      <c r="L1491" s="29"/>
      <c r="M1491" s="29"/>
      <c r="N1491" s="29"/>
      <c r="O1491" s="119" t="s">
        <v>853</v>
      </c>
      <c r="P1491" s="29"/>
      <c r="Q1491" s="81">
        <v>51</v>
      </c>
      <c r="R1491" s="119" t="s">
        <v>1015</v>
      </c>
    </row>
    <row r="1492" spans="1:18" hidden="1">
      <c r="A1492" s="134" t="s">
        <v>81</v>
      </c>
      <c r="C1492" s="29">
        <v>91510454</v>
      </c>
      <c r="D1492" s="29"/>
      <c r="F1492" s="29" t="s">
        <v>970</v>
      </c>
      <c r="G1492" s="29" t="s">
        <v>737</v>
      </c>
      <c r="H1492" s="120" t="s">
        <v>981</v>
      </c>
      <c r="I1492" s="120">
        <v>45748</v>
      </c>
      <c r="J1492" s="120">
        <f t="shared" si="15"/>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 t="shared" si="15"/>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 t="shared" si="15"/>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 t="shared" si="15"/>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 t="shared" si="15"/>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 t="shared" si="15"/>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 t="shared" si="15"/>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 t="shared" si="15"/>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 t="shared" si="15"/>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 t="shared" si="15"/>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 t="shared" si="15"/>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 t="shared" si="15"/>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 t="shared" si="15"/>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 t="shared" si="15"/>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 t="shared" si="15"/>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 t="shared" si="15"/>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 t="shared" si="15"/>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 t="shared" si="15"/>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 t="shared" si="15"/>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 t="shared" si="15"/>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 t="shared" si="15"/>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 t="shared" si="15"/>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 t="shared" si="15"/>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 t="shared" si="15"/>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 t="shared" si="15"/>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 t="shared" si="15"/>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 t="shared" si="15"/>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 t="shared" si="15"/>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 t="shared" si="15"/>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 t="shared" si="15"/>
        <v>45751</v>
      </c>
      <c r="K1521" s="29"/>
      <c r="L1521" s="29"/>
      <c r="M1521" s="29"/>
      <c r="N1521" s="29"/>
      <c r="O1521" s="119" t="s">
        <v>894</v>
      </c>
      <c r="P1521" s="29"/>
      <c r="Q1521" s="81">
        <v>200</v>
      </c>
      <c r="R1521" s="119" t="s">
        <v>1046</v>
      </c>
    </row>
    <row r="1522" spans="1:18" hidden="1">
      <c r="A1522" s="134" t="s">
        <v>1047</v>
      </c>
      <c r="C1522" s="29">
        <v>97506131</v>
      </c>
      <c r="D1522" s="29"/>
      <c r="F1522" s="29" t="s">
        <v>139</v>
      </c>
      <c r="G1522" s="29" t="s">
        <v>737</v>
      </c>
      <c r="H1522" s="29" t="s">
        <v>38</v>
      </c>
      <c r="I1522" s="120">
        <v>45754</v>
      </c>
      <c r="J1522" s="120">
        <f t="shared" si="15"/>
        <v>45757</v>
      </c>
      <c r="K1522" s="29"/>
      <c r="L1522" s="29"/>
      <c r="M1522" s="29"/>
      <c r="N1522" s="29"/>
      <c r="O1522" s="119" t="s">
        <v>894</v>
      </c>
      <c r="P1522" s="29"/>
      <c r="Q1522" s="81">
        <v>75</v>
      </c>
      <c r="R1522" s="134" t="s">
        <v>1048</v>
      </c>
    </row>
    <row r="1523" spans="1:18" hidden="1">
      <c r="A1523" s="134" t="s">
        <v>1047</v>
      </c>
      <c r="C1523" s="29">
        <v>97506211</v>
      </c>
      <c r="D1523" s="29"/>
      <c r="F1523" s="29" t="s">
        <v>139</v>
      </c>
      <c r="G1523" s="29" t="s">
        <v>737</v>
      </c>
      <c r="H1523" s="29" t="s">
        <v>38</v>
      </c>
      <c r="I1523" s="120">
        <v>45754</v>
      </c>
      <c r="J1523" s="120">
        <f t="shared" si="15"/>
        <v>45757</v>
      </c>
      <c r="K1523" s="29"/>
      <c r="L1523" s="29"/>
      <c r="M1523" s="29"/>
      <c r="N1523" s="29"/>
      <c r="O1523" s="119" t="s">
        <v>894</v>
      </c>
      <c r="P1523" s="29"/>
      <c r="Q1523" s="81">
        <v>260</v>
      </c>
      <c r="R1523" s="134" t="s">
        <v>1048</v>
      </c>
    </row>
    <row r="1524" spans="1:18" hidden="1">
      <c r="A1524" s="134" t="s">
        <v>1047</v>
      </c>
      <c r="C1524" s="29">
        <v>97506268</v>
      </c>
      <c r="D1524" s="29"/>
      <c r="F1524" s="29" t="s">
        <v>139</v>
      </c>
      <c r="G1524" s="29" t="s">
        <v>737</v>
      </c>
      <c r="H1524" s="29" t="s">
        <v>38</v>
      </c>
      <c r="I1524" s="120">
        <v>45754</v>
      </c>
      <c r="J1524" s="120">
        <f t="shared" si="15"/>
        <v>45757</v>
      </c>
      <c r="K1524" s="29"/>
      <c r="L1524" s="29"/>
      <c r="M1524" s="29"/>
      <c r="N1524" s="29"/>
      <c r="O1524" s="119" t="s">
        <v>894</v>
      </c>
      <c r="P1524" s="29"/>
      <c r="Q1524" s="81">
        <v>70</v>
      </c>
      <c r="R1524" s="134" t="s">
        <v>1048</v>
      </c>
    </row>
    <row r="1525" spans="1:18" hidden="1">
      <c r="A1525" s="134" t="s">
        <v>1047</v>
      </c>
      <c r="C1525" s="29">
        <v>97506432</v>
      </c>
      <c r="D1525" s="29"/>
      <c r="F1525" s="29" t="s">
        <v>139</v>
      </c>
      <c r="G1525" s="29" t="s">
        <v>737</v>
      </c>
      <c r="H1525" s="29" t="s">
        <v>38</v>
      </c>
      <c r="I1525" s="120">
        <v>45754</v>
      </c>
      <c r="J1525" s="120">
        <f t="shared" si="15"/>
        <v>45757</v>
      </c>
      <c r="K1525" s="29"/>
      <c r="L1525" s="29"/>
      <c r="M1525" s="29"/>
      <c r="N1525" s="29"/>
      <c r="O1525" s="119" t="s">
        <v>894</v>
      </c>
      <c r="P1525" s="29"/>
      <c r="Q1525" s="81">
        <v>140</v>
      </c>
      <c r="R1525" s="134" t="s">
        <v>1048</v>
      </c>
    </row>
    <row r="1526" spans="1:18" hidden="1">
      <c r="A1526" s="134" t="s">
        <v>1047</v>
      </c>
      <c r="C1526" s="29">
        <v>97506519</v>
      </c>
      <c r="D1526" s="29"/>
      <c r="F1526" s="29" t="s">
        <v>139</v>
      </c>
      <c r="G1526" s="29" t="s">
        <v>737</v>
      </c>
      <c r="H1526" s="29" t="s">
        <v>38</v>
      </c>
      <c r="I1526" s="120">
        <v>45754</v>
      </c>
      <c r="J1526" s="120">
        <f t="shared" si="15"/>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 t="shared" si="15"/>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 t="shared" si="15"/>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 t="shared" si="15"/>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 t="shared" si="15"/>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 t="shared" si="15"/>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 t="shared" si="15"/>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 t="shared" si="15"/>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 t="shared" si="15"/>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 t="shared" si="15"/>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 t="shared" si="15"/>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 t="shared" si="15"/>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 t="shared" si="15"/>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 t="shared" si="15"/>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 t="shared" si="15"/>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 t="shared" si="15"/>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 t="shared" si="15"/>
        <v>45747</v>
      </c>
      <c r="K1542" s="120">
        <v>45748</v>
      </c>
      <c r="L1542" s="120"/>
      <c r="M1542" s="120"/>
      <c r="N1542" s="29"/>
      <c r="O1542" s="119" t="s">
        <v>894</v>
      </c>
      <c r="P1542" s="29"/>
      <c r="Q1542" s="81">
        <v>330</v>
      </c>
      <c r="R1542" s="134" t="s">
        <v>1048</v>
      </c>
    </row>
    <row r="1543" spans="1:18" hidden="1">
      <c r="A1543" s="134" t="s">
        <v>1052</v>
      </c>
      <c r="C1543" s="29">
        <v>87506589</v>
      </c>
      <c r="D1543" s="29"/>
      <c r="F1543" s="29" t="s">
        <v>92</v>
      </c>
      <c r="G1543" s="29" t="s">
        <v>737</v>
      </c>
      <c r="H1543" s="29" t="s">
        <v>93</v>
      </c>
      <c r="I1543" s="120">
        <v>45744</v>
      </c>
      <c r="J1543" s="120">
        <f t="shared" si="15"/>
        <v>45749</v>
      </c>
      <c r="K1543" s="29"/>
      <c r="L1543" s="29"/>
      <c r="M1543" s="29"/>
      <c r="N1543" s="29"/>
      <c r="O1543" s="119" t="s">
        <v>894</v>
      </c>
      <c r="P1543" s="29"/>
      <c r="Q1543" s="81"/>
    </row>
    <row r="1544" spans="1:18" hidden="1">
      <c r="A1544" s="134" t="s">
        <v>1052</v>
      </c>
      <c r="C1544" s="29">
        <v>87506617</v>
      </c>
      <c r="D1544" s="29"/>
      <c r="F1544" s="29" t="s">
        <v>92</v>
      </c>
      <c r="G1544" s="29" t="s">
        <v>737</v>
      </c>
      <c r="H1544" s="29" t="s">
        <v>93</v>
      </c>
      <c r="I1544" s="120">
        <v>45744</v>
      </c>
      <c r="J1544" s="120">
        <f t="shared" si="15"/>
        <v>45749</v>
      </c>
      <c r="K1544" s="29"/>
      <c r="L1544" s="29"/>
      <c r="M1544" s="29"/>
      <c r="N1544" s="29"/>
      <c r="O1544" s="119" t="s">
        <v>894</v>
      </c>
      <c r="P1544" s="29"/>
      <c r="Q1544" s="81"/>
    </row>
    <row r="1545" spans="1:18" hidden="1">
      <c r="A1545" s="134" t="s">
        <v>1052</v>
      </c>
      <c r="C1545" s="29">
        <v>87506654</v>
      </c>
      <c r="D1545" s="29"/>
      <c r="F1545" s="29" t="s">
        <v>92</v>
      </c>
      <c r="G1545" s="29" t="s">
        <v>737</v>
      </c>
      <c r="H1545" s="29" t="s">
        <v>93</v>
      </c>
      <c r="I1545" s="120">
        <v>45744</v>
      </c>
      <c r="J1545" s="120">
        <f t="shared" si="15"/>
        <v>45749</v>
      </c>
      <c r="K1545" s="29"/>
      <c r="L1545" s="29"/>
      <c r="M1545" s="29"/>
      <c r="N1545" s="29"/>
      <c r="O1545" s="119" t="s">
        <v>894</v>
      </c>
      <c r="P1545" s="29"/>
      <c r="Q1545" s="81"/>
    </row>
    <row r="1546" spans="1:18" hidden="1">
      <c r="A1546" s="134" t="s">
        <v>1052</v>
      </c>
      <c r="C1546" s="29">
        <v>87506683</v>
      </c>
      <c r="D1546" s="29"/>
      <c r="F1546" s="29" t="s">
        <v>92</v>
      </c>
      <c r="G1546" s="29" t="s">
        <v>737</v>
      </c>
      <c r="H1546" s="29" t="s">
        <v>93</v>
      </c>
      <c r="I1546" s="120">
        <v>45744</v>
      </c>
      <c r="J1546" s="120">
        <f t="shared" si="15"/>
        <v>45749</v>
      </c>
      <c r="K1546" s="29"/>
      <c r="L1546" s="29"/>
      <c r="M1546" s="29"/>
      <c r="N1546" s="29"/>
      <c r="O1546" s="119" t="s">
        <v>894</v>
      </c>
      <c r="P1546" s="29"/>
      <c r="Q1546" s="81"/>
    </row>
    <row r="1547" spans="1:18" hidden="1">
      <c r="A1547" s="134" t="s">
        <v>1052</v>
      </c>
      <c r="C1547" s="29">
        <v>87506708</v>
      </c>
      <c r="D1547" s="29"/>
      <c r="F1547" s="29" t="s">
        <v>92</v>
      </c>
      <c r="G1547" s="29" t="s">
        <v>737</v>
      </c>
      <c r="H1547" s="29" t="s">
        <v>93</v>
      </c>
      <c r="I1547" s="120">
        <v>45744</v>
      </c>
      <c r="J1547" s="120">
        <f t="shared" si="15"/>
        <v>45749</v>
      </c>
      <c r="K1547" s="29"/>
      <c r="L1547" s="29"/>
      <c r="M1547" s="29"/>
      <c r="N1547" s="29"/>
      <c r="O1547" s="119" t="s">
        <v>894</v>
      </c>
      <c r="P1547" s="29"/>
      <c r="Q1547" s="81"/>
    </row>
    <row r="1548" spans="1:18" hidden="1">
      <c r="A1548" s="134" t="s">
        <v>1052</v>
      </c>
      <c r="C1548" s="29">
        <v>87506735</v>
      </c>
      <c r="D1548" s="29"/>
      <c r="F1548" s="29" t="s">
        <v>92</v>
      </c>
      <c r="G1548" s="29" t="s">
        <v>737</v>
      </c>
      <c r="H1548" s="29" t="s">
        <v>93</v>
      </c>
      <c r="I1548" s="120">
        <v>45744</v>
      </c>
      <c r="J1548" s="120">
        <f t="shared" ref="J1548:J1611" si="16">WORKDAY(I1548, 3)</f>
        <v>45749</v>
      </c>
      <c r="K1548" s="29"/>
      <c r="L1548" s="29"/>
      <c r="M1548" s="29"/>
      <c r="N1548" s="29"/>
      <c r="O1548" s="119" t="s">
        <v>894</v>
      </c>
      <c r="P1548" s="29"/>
      <c r="Q1548" s="81"/>
    </row>
    <row r="1549" spans="1:18" hidden="1">
      <c r="A1549" s="134" t="s">
        <v>1052</v>
      </c>
      <c r="C1549" s="29">
        <v>87506758</v>
      </c>
      <c r="D1549" s="29"/>
      <c r="F1549" s="29" t="s">
        <v>92</v>
      </c>
      <c r="G1549" s="29" t="s">
        <v>737</v>
      </c>
      <c r="H1549" s="29" t="s">
        <v>93</v>
      </c>
      <c r="I1549" s="120">
        <v>45744</v>
      </c>
      <c r="J1549" s="120">
        <f t="shared" si="16"/>
        <v>45749</v>
      </c>
      <c r="K1549" s="29"/>
      <c r="L1549" s="29"/>
      <c r="M1549" s="29"/>
      <c r="N1549" s="29"/>
      <c r="O1549" s="119" t="s">
        <v>894</v>
      </c>
      <c r="P1549" s="29"/>
      <c r="Q1549" s="81"/>
    </row>
    <row r="1550" spans="1:18" hidden="1">
      <c r="A1550" s="134" t="s">
        <v>1052</v>
      </c>
      <c r="C1550" s="29">
        <v>87506784</v>
      </c>
      <c r="D1550" s="29"/>
      <c r="F1550" s="29" t="s">
        <v>92</v>
      </c>
      <c r="G1550" s="29" t="s">
        <v>737</v>
      </c>
      <c r="H1550" s="29" t="s">
        <v>93</v>
      </c>
      <c r="I1550" s="120">
        <v>45744</v>
      </c>
      <c r="J1550" s="120">
        <f t="shared" si="16"/>
        <v>45749</v>
      </c>
      <c r="K1550" s="29"/>
      <c r="L1550" s="29"/>
      <c r="M1550" s="29"/>
      <c r="N1550" s="29"/>
      <c r="O1550" s="119" t="s">
        <v>894</v>
      </c>
      <c r="P1550" s="29"/>
      <c r="Q1550" s="81"/>
    </row>
    <row r="1551" spans="1:18" hidden="1">
      <c r="A1551" s="134" t="s">
        <v>1052</v>
      </c>
      <c r="C1551" s="29">
        <v>87506834</v>
      </c>
      <c r="D1551" s="29"/>
      <c r="F1551" s="29" t="s">
        <v>92</v>
      </c>
      <c r="G1551" s="29" t="s">
        <v>737</v>
      </c>
      <c r="H1551" s="29" t="s">
        <v>93</v>
      </c>
      <c r="I1551" s="120">
        <v>45744</v>
      </c>
      <c r="J1551" s="120">
        <f t="shared" si="16"/>
        <v>45749</v>
      </c>
      <c r="K1551" s="29"/>
      <c r="L1551" s="29"/>
      <c r="M1551" s="29"/>
      <c r="N1551" s="29"/>
      <c r="O1551" s="119" t="s">
        <v>894</v>
      </c>
      <c r="P1551" s="29"/>
      <c r="Q1551" s="81"/>
    </row>
    <row r="1552" spans="1:18" hidden="1">
      <c r="A1552" s="134" t="s">
        <v>1052</v>
      </c>
      <c r="C1552" s="29">
        <v>87506851</v>
      </c>
      <c r="D1552" s="29"/>
      <c r="F1552" s="29" t="s">
        <v>92</v>
      </c>
      <c r="G1552" s="29" t="s">
        <v>737</v>
      </c>
      <c r="H1552" s="29" t="s">
        <v>93</v>
      </c>
      <c r="I1552" s="120">
        <v>45744</v>
      </c>
      <c r="J1552" s="120">
        <f t="shared" si="16"/>
        <v>45749</v>
      </c>
      <c r="K1552" s="29"/>
      <c r="L1552" s="29"/>
      <c r="M1552" s="29"/>
      <c r="N1552" s="29"/>
      <c r="O1552" s="119" t="s">
        <v>894</v>
      </c>
      <c r="P1552" s="29"/>
      <c r="Q1552" s="81"/>
    </row>
    <row r="1553" spans="1:17" hidden="1">
      <c r="A1553" s="134" t="s">
        <v>1053</v>
      </c>
      <c r="C1553" s="29">
        <v>87504795</v>
      </c>
      <c r="D1553" s="29"/>
      <c r="F1553" s="29" t="s">
        <v>92</v>
      </c>
      <c r="G1553" s="29" t="s">
        <v>737</v>
      </c>
      <c r="H1553" s="29" t="s">
        <v>93</v>
      </c>
      <c r="I1553" s="120">
        <v>45744</v>
      </c>
      <c r="J1553" s="120">
        <f t="shared" si="16"/>
        <v>45749</v>
      </c>
      <c r="K1553" s="120">
        <v>45748</v>
      </c>
      <c r="L1553" s="120"/>
      <c r="M1553" s="120"/>
      <c r="N1553" s="29"/>
      <c r="O1553" s="119" t="s">
        <v>1051</v>
      </c>
      <c r="P1553" s="29"/>
      <c r="Q1553" s="81"/>
    </row>
    <row r="1554" spans="1:17" hidden="1">
      <c r="A1554" s="134" t="s">
        <v>1053</v>
      </c>
      <c r="C1554" s="29">
        <v>87504939</v>
      </c>
      <c r="D1554" s="29"/>
      <c r="F1554" s="29" t="s">
        <v>92</v>
      </c>
      <c r="G1554" s="29" t="s">
        <v>737</v>
      </c>
      <c r="H1554" s="29" t="s">
        <v>93</v>
      </c>
      <c r="I1554" s="120">
        <v>45744</v>
      </c>
      <c r="J1554" s="120">
        <f t="shared" si="16"/>
        <v>45749</v>
      </c>
      <c r="K1554" s="120">
        <v>45748</v>
      </c>
      <c r="L1554" s="120"/>
      <c r="M1554" s="120"/>
      <c r="N1554" s="29"/>
      <c r="O1554" s="119" t="s">
        <v>1051</v>
      </c>
      <c r="P1554" s="29"/>
      <c r="Q1554" s="81"/>
    </row>
    <row r="1555" spans="1:17" hidden="1">
      <c r="A1555" s="134" t="s">
        <v>1053</v>
      </c>
      <c r="C1555" s="29">
        <v>87505022</v>
      </c>
      <c r="D1555" s="29"/>
      <c r="F1555" s="29" t="s">
        <v>92</v>
      </c>
      <c r="G1555" s="29" t="s">
        <v>737</v>
      </c>
      <c r="H1555" s="29" t="s">
        <v>93</v>
      </c>
      <c r="I1555" s="120">
        <v>45744</v>
      </c>
      <c r="J1555" s="120">
        <f t="shared" si="16"/>
        <v>45749</v>
      </c>
      <c r="K1555" s="120">
        <v>45748</v>
      </c>
      <c r="L1555" s="120"/>
      <c r="M1555" s="120"/>
      <c r="N1555" s="29"/>
      <c r="O1555" s="119" t="s">
        <v>1051</v>
      </c>
      <c r="P1555" s="29"/>
      <c r="Q1555" s="81"/>
    </row>
    <row r="1556" spans="1:17" hidden="1">
      <c r="A1556" s="134" t="s">
        <v>1053</v>
      </c>
      <c r="C1556" s="29">
        <v>87505104</v>
      </c>
      <c r="D1556" s="29"/>
      <c r="F1556" s="29" t="s">
        <v>92</v>
      </c>
      <c r="G1556" s="29" t="s">
        <v>737</v>
      </c>
      <c r="H1556" s="29" t="s">
        <v>93</v>
      </c>
      <c r="I1556" s="120">
        <v>45744</v>
      </c>
      <c r="J1556" s="120">
        <f t="shared" si="16"/>
        <v>45749</v>
      </c>
      <c r="K1556" s="120">
        <v>45748</v>
      </c>
      <c r="L1556" s="120"/>
      <c r="M1556" s="120"/>
      <c r="N1556" s="29"/>
      <c r="O1556" s="119" t="s">
        <v>1051</v>
      </c>
      <c r="P1556" s="29"/>
      <c r="Q1556" s="81"/>
    </row>
    <row r="1557" spans="1:17" hidden="1">
      <c r="A1557" s="134" t="s">
        <v>1053</v>
      </c>
      <c r="C1557" s="29">
        <v>87505161</v>
      </c>
      <c r="D1557" s="29"/>
      <c r="F1557" s="29" t="s">
        <v>92</v>
      </c>
      <c r="G1557" s="29" t="s">
        <v>737</v>
      </c>
      <c r="H1557" s="29" t="s">
        <v>93</v>
      </c>
      <c r="I1557" s="120">
        <v>45744</v>
      </c>
      <c r="J1557" s="120">
        <f t="shared" si="16"/>
        <v>45749</v>
      </c>
      <c r="K1557" s="120">
        <v>45748</v>
      </c>
      <c r="L1557" s="120"/>
      <c r="M1557" s="120"/>
      <c r="N1557" s="29"/>
      <c r="O1557" s="119" t="s">
        <v>1051</v>
      </c>
      <c r="P1557" s="29"/>
      <c r="Q1557" s="81"/>
    </row>
    <row r="1558" spans="1:17" hidden="1">
      <c r="A1558" s="134" t="s">
        <v>1053</v>
      </c>
      <c r="C1558" s="29">
        <v>87505202</v>
      </c>
      <c r="D1558" s="29"/>
      <c r="F1558" s="29" t="s">
        <v>92</v>
      </c>
      <c r="G1558" s="29" t="s">
        <v>737</v>
      </c>
      <c r="H1558" s="29" t="s">
        <v>93</v>
      </c>
      <c r="I1558" s="120">
        <v>45744</v>
      </c>
      <c r="J1558" s="120">
        <f t="shared" si="16"/>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 t="shared" si="16"/>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 t="shared" si="16"/>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 t="shared" si="16"/>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 t="shared" si="16"/>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 t="shared" si="16"/>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 t="shared" si="16"/>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 t="shared" si="16"/>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 t="shared" si="16"/>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 t="shared" si="16"/>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 t="shared" si="16"/>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 t="shared" si="16"/>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 t="shared" si="16"/>
        <v>45749</v>
      </c>
      <c r="K1570" s="120">
        <v>45748</v>
      </c>
      <c r="L1570" s="120"/>
      <c r="M1570" s="120"/>
      <c r="N1570" s="29"/>
      <c r="O1570" s="119" t="s">
        <v>853</v>
      </c>
      <c r="P1570" s="29"/>
      <c r="Q1570" s="81">
        <v>140</v>
      </c>
    </row>
    <row r="1571" spans="1:18" hidden="1">
      <c r="A1571" s="134" t="s">
        <v>1055</v>
      </c>
      <c r="C1571" s="29">
        <v>91503998</v>
      </c>
      <c r="D1571" s="29"/>
      <c r="F1571" s="29" t="s">
        <v>139</v>
      </c>
      <c r="G1571" s="29" t="s">
        <v>737</v>
      </c>
      <c r="H1571" s="29" t="s">
        <v>38</v>
      </c>
      <c r="I1571" s="120">
        <v>45748</v>
      </c>
      <c r="J1571" s="120">
        <f t="shared" si="16"/>
        <v>45751</v>
      </c>
      <c r="K1571" s="29"/>
      <c r="L1571" s="29"/>
      <c r="M1571" s="29"/>
      <c r="N1571" s="29"/>
      <c r="O1571" s="119" t="s">
        <v>853</v>
      </c>
      <c r="P1571" s="29"/>
      <c r="Q1571" s="81"/>
      <c r="R1571" s="134" t="s">
        <v>1048</v>
      </c>
    </row>
    <row r="1572" spans="1:18" hidden="1">
      <c r="A1572" s="134" t="s">
        <v>1055</v>
      </c>
      <c r="C1572" s="29">
        <v>91504092</v>
      </c>
      <c r="D1572" s="29"/>
      <c r="F1572" s="29" t="s">
        <v>139</v>
      </c>
      <c r="G1572" s="29" t="s">
        <v>737</v>
      </c>
      <c r="H1572" s="29" t="s">
        <v>38</v>
      </c>
      <c r="I1572" s="120">
        <v>45748</v>
      </c>
      <c r="J1572" s="120">
        <f t="shared" si="16"/>
        <v>45751</v>
      </c>
      <c r="K1572" s="29"/>
      <c r="L1572" s="29"/>
      <c r="M1572" s="29"/>
      <c r="N1572" s="29"/>
      <c r="O1572" s="119" t="s">
        <v>853</v>
      </c>
      <c r="P1572" s="29"/>
      <c r="Q1572" s="81"/>
      <c r="R1572" s="134" t="s">
        <v>1048</v>
      </c>
    </row>
    <row r="1573" spans="1:18" hidden="1">
      <c r="A1573" s="134" t="s">
        <v>1055</v>
      </c>
      <c r="C1573" s="29">
        <v>91504312</v>
      </c>
      <c r="D1573" s="29"/>
      <c r="F1573" s="29" t="s">
        <v>139</v>
      </c>
      <c r="G1573" s="29" t="s">
        <v>737</v>
      </c>
      <c r="H1573" s="29" t="s">
        <v>38</v>
      </c>
      <c r="I1573" s="120">
        <v>45748</v>
      </c>
      <c r="J1573" s="120">
        <f t="shared" si="16"/>
        <v>45751</v>
      </c>
      <c r="K1573" s="29"/>
      <c r="L1573" s="29"/>
      <c r="M1573" s="29"/>
      <c r="N1573" s="29"/>
      <c r="O1573" s="119" t="s">
        <v>853</v>
      </c>
      <c r="P1573" s="29"/>
      <c r="Q1573" s="81"/>
      <c r="R1573" s="134" t="s">
        <v>1048</v>
      </c>
    </row>
    <row r="1574" spans="1:18" hidden="1">
      <c r="A1574" s="134" t="s">
        <v>1055</v>
      </c>
      <c r="C1574" s="29">
        <v>91504430</v>
      </c>
      <c r="D1574" s="29"/>
      <c r="F1574" s="29" t="s">
        <v>139</v>
      </c>
      <c r="G1574" s="29" t="s">
        <v>737</v>
      </c>
      <c r="H1574" s="29" t="s">
        <v>38</v>
      </c>
      <c r="I1574" s="120">
        <v>45748</v>
      </c>
      <c r="J1574" s="120">
        <f t="shared" si="16"/>
        <v>45751</v>
      </c>
      <c r="K1574" s="29"/>
      <c r="L1574" s="29"/>
      <c r="M1574" s="29"/>
      <c r="N1574" s="29"/>
      <c r="O1574" s="119" t="s">
        <v>853</v>
      </c>
      <c r="P1574" s="29"/>
      <c r="Q1574" s="81"/>
      <c r="R1574" s="134" t="s">
        <v>1048</v>
      </c>
    </row>
    <row r="1575" spans="1:18" hidden="1">
      <c r="A1575" s="134" t="s">
        <v>1055</v>
      </c>
      <c r="C1575" s="29">
        <v>91504828</v>
      </c>
      <c r="D1575" s="29"/>
      <c r="F1575" s="29" t="s">
        <v>139</v>
      </c>
      <c r="G1575" s="29" t="s">
        <v>737</v>
      </c>
      <c r="H1575" s="29" t="s">
        <v>38</v>
      </c>
      <c r="I1575" s="120">
        <v>45748</v>
      </c>
      <c r="J1575" s="120">
        <f t="shared" si="16"/>
        <v>45751</v>
      </c>
      <c r="K1575" s="29"/>
      <c r="L1575" s="29"/>
      <c r="M1575" s="29"/>
      <c r="N1575" s="29"/>
      <c r="O1575" s="119" t="s">
        <v>853</v>
      </c>
      <c r="P1575" s="29"/>
      <c r="Q1575" s="81"/>
      <c r="R1575" s="134" t="s">
        <v>1048</v>
      </c>
    </row>
    <row r="1576" spans="1:18" hidden="1">
      <c r="A1576" s="134" t="s">
        <v>1055</v>
      </c>
      <c r="C1576" s="29">
        <v>91505107</v>
      </c>
      <c r="D1576" s="29"/>
      <c r="F1576" s="29" t="s">
        <v>139</v>
      </c>
      <c r="G1576" s="29" t="s">
        <v>737</v>
      </c>
      <c r="H1576" s="29" t="s">
        <v>38</v>
      </c>
      <c r="I1576" s="120">
        <v>45748</v>
      </c>
      <c r="J1576" s="120">
        <f t="shared" si="16"/>
        <v>45751</v>
      </c>
      <c r="K1576" s="29"/>
      <c r="L1576" s="29"/>
      <c r="M1576" s="29"/>
      <c r="N1576" s="29"/>
      <c r="O1576" s="119" t="s">
        <v>853</v>
      </c>
      <c r="P1576" s="29"/>
      <c r="Q1576" s="81"/>
      <c r="R1576" s="134" t="s">
        <v>1048</v>
      </c>
    </row>
    <row r="1577" spans="1:18" hidden="1">
      <c r="A1577" s="134" t="s">
        <v>1055</v>
      </c>
      <c r="C1577" s="29">
        <v>91505163</v>
      </c>
      <c r="D1577" s="29"/>
      <c r="F1577" s="29" t="s">
        <v>139</v>
      </c>
      <c r="G1577" s="29" t="s">
        <v>737</v>
      </c>
      <c r="H1577" s="29" t="s">
        <v>38</v>
      </c>
      <c r="I1577" s="120">
        <v>45748</v>
      </c>
      <c r="J1577" s="120">
        <f t="shared" si="16"/>
        <v>45751</v>
      </c>
      <c r="K1577" s="29"/>
      <c r="L1577" s="29"/>
      <c r="M1577" s="29"/>
      <c r="N1577" s="29"/>
      <c r="O1577" s="119" t="s">
        <v>853</v>
      </c>
      <c r="P1577" s="29"/>
      <c r="Q1577" s="81"/>
      <c r="R1577" s="134" t="s">
        <v>1048</v>
      </c>
    </row>
    <row r="1578" spans="1:18" hidden="1">
      <c r="A1578" s="134" t="s">
        <v>1055</v>
      </c>
      <c r="C1578" s="29">
        <v>91505221</v>
      </c>
      <c r="D1578" s="29"/>
      <c r="F1578" s="29" t="s">
        <v>139</v>
      </c>
      <c r="G1578" s="29" t="s">
        <v>737</v>
      </c>
      <c r="H1578" s="29" t="s">
        <v>38</v>
      </c>
      <c r="I1578" s="120">
        <v>45748</v>
      </c>
      <c r="J1578" s="120">
        <f t="shared" si="16"/>
        <v>45751</v>
      </c>
      <c r="K1578" s="29"/>
      <c r="L1578" s="29"/>
      <c r="M1578" s="29"/>
      <c r="N1578" s="29"/>
      <c r="O1578" s="119" t="s">
        <v>853</v>
      </c>
      <c r="P1578" s="29"/>
      <c r="Q1578" s="81"/>
      <c r="R1578" s="134" t="s">
        <v>1048</v>
      </c>
    </row>
    <row r="1579" spans="1:18" hidden="1">
      <c r="A1579" s="134" t="s">
        <v>1055</v>
      </c>
      <c r="C1579" s="29">
        <v>91505372</v>
      </c>
      <c r="D1579" s="29"/>
      <c r="F1579" s="29" t="s">
        <v>139</v>
      </c>
      <c r="G1579" s="29" t="s">
        <v>737</v>
      </c>
      <c r="H1579" s="29" t="s">
        <v>38</v>
      </c>
      <c r="I1579" s="120">
        <v>45748</v>
      </c>
      <c r="J1579" s="120">
        <f t="shared" si="16"/>
        <v>45751</v>
      </c>
      <c r="K1579" s="29"/>
      <c r="L1579" s="29"/>
      <c r="M1579" s="29"/>
      <c r="N1579" s="29"/>
      <c r="O1579" s="119" t="s">
        <v>853</v>
      </c>
      <c r="P1579" s="29"/>
      <c r="Q1579" s="81"/>
      <c r="R1579" s="134" t="s">
        <v>1048</v>
      </c>
    </row>
    <row r="1580" spans="1:18" hidden="1">
      <c r="A1580" s="134" t="s">
        <v>1055</v>
      </c>
      <c r="C1580" s="29">
        <v>91505527</v>
      </c>
      <c r="D1580" s="29"/>
      <c r="F1580" s="29" t="s">
        <v>139</v>
      </c>
      <c r="G1580" s="29" t="s">
        <v>737</v>
      </c>
      <c r="H1580" s="29" t="s">
        <v>38</v>
      </c>
      <c r="I1580" s="120">
        <v>45748</v>
      </c>
      <c r="J1580" s="120">
        <f t="shared" si="16"/>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 t="shared" si="16"/>
        <v>45751</v>
      </c>
      <c r="K1581" s="120">
        <v>45748</v>
      </c>
      <c r="L1581" s="120"/>
      <c r="M1581" s="120"/>
      <c r="N1581" s="29"/>
      <c r="O1581" s="119" t="s">
        <v>894</v>
      </c>
      <c r="P1581" s="29"/>
      <c r="Q1581" s="81">
        <v>580</v>
      </c>
      <c r="R1581" s="134" t="s">
        <v>1058</v>
      </c>
    </row>
    <row r="1582" spans="1:18" hidden="1">
      <c r="A1582" s="134" t="s">
        <v>1059</v>
      </c>
      <c r="C1582" s="29">
        <v>91510175</v>
      </c>
      <c r="D1582" s="29"/>
      <c r="F1582" s="29" t="s">
        <v>132</v>
      </c>
      <c r="G1582" s="29" t="s">
        <v>737</v>
      </c>
      <c r="H1582" s="29" t="s">
        <v>133</v>
      </c>
      <c r="I1582" s="120">
        <v>45748</v>
      </c>
      <c r="J1582" s="120">
        <f t="shared" si="16"/>
        <v>45751</v>
      </c>
      <c r="K1582" s="120">
        <v>45754</v>
      </c>
      <c r="L1582" s="120"/>
      <c r="M1582" s="120"/>
      <c r="N1582" s="29"/>
      <c r="O1582" s="119" t="s">
        <v>853</v>
      </c>
      <c r="P1582" s="29"/>
      <c r="Q1582" s="81">
        <v>175</v>
      </c>
    </row>
    <row r="1583" spans="1:18" hidden="1">
      <c r="A1583" s="134" t="s">
        <v>1059</v>
      </c>
      <c r="C1583" s="29">
        <v>91510180</v>
      </c>
      <c r="D1583" s="29"/>
      <c r="F1583" s="29" t="s">
        <v>132</v>
      </c>
      <c r="G1583" s="29" t="s">
        <v>737</v>
      </c>
      <c r="H1583" s="29" t="s">
        <v>133</v>
      </c>
      <c r="I1583" s="120">
        <v>45748</v>
      </c>
      <c r="J1583" s="120">
        <f t="shared" si="16"/>
        <v>45751</v>
      </c>
      <c r="K1583" s="120">
        <v>45754</v>
      </c>
      <c r="L1583" s="120"/>
      <c r="M1583" s="120"/>
      <c r="N1583" s="29"/>
      <c r="O1583" s="119" t="s">
        <v>853</v>
      </c>
      <c r="P1583" s="29"/>
      <c r="Q1583" s="81">
        <v>135</v>
      </c>
    </row>
    <row r="1584" spans="1:18" hidden="1">
      <c r="A1584" s="134" t="s">
        <v>1059</v>
      </c>
      <c r="C1584" s="29">
        <v>91510185</v>
      </c>
      <c r="D1584" s="29"/>
      <c r="F1584" s="29" t="s">
        <v>132</v>
      </c>
      <c r="G1584" s="29" t="s">
        <v>737</v>
      </c>
      <c r="H1584" s="29" t="s">
        <v>133</v>
      </c>
      <c r="I1584" s="120">
        <v>45748</v>
      </c>
      <c r="J1584" s="120">
        <f t="shared" si="16"/>
        <v>45751</v>
      </c>
      <c r="K1584" s="120">
        <v>45754</v>
      </c>
      <c r="L1584" s="120"/>
      <c r="M1584" s="120"/>
      <c r="N1584" s="29"/>
      <c r="O1584" s="119" t="s">
        <v>853</v>
      </c>
      <c r="P1584" s="29"/>
      <c r="Q1584" s="81">
        <v>75</v>
      </c>
    </row>
    <row r="1585" spans="1:18" hidden="1">
      <c r="A1585" s="134" t="s">
        <v>1059</v>
      </c>
      <c r="C1585" s="29">
        <v>91510191</v>
      </c>
      <c r="D1585" s="29"/>
      <c r="F1585" s="29" t="s">
        <v>132</v>
      </c>
      <c r="G1585" s="29" t="s">
        <v>737</v>
      </c>
      <c r="H1585" s="29" t="s">
        <v>133</v>
      </c>
      <c r="I1585" s="120">
        <v>45748</v>
      </c>
      <c r="J1585" s="120">
        <f t="shared" si="16"/>
        <v>45751</v>
      </c>
      <c r="K1585" s="120">
        <v>45754</v>
      </c>
      <c r="L1585" s="120"/>
      <c r="M1585" s="120"/>
      <c r="N1585" s="29"/>
      <c r="O1585" s="119" t="s">
        <v>853</v>
      </c>
      <c r="P1585" s="29"/>
      <c r="Q1585" s="81">
        <v>300</v>
      </c>
    </row>
    <row r="1586" spans="1:18" hidden="1">
      <c r="A1586" s="134" t="s">
        <v>1059</v>
      </c>
      <c r="C1586" s="29">
        <v>91510198</v>
      </c>
      <c r="D1586" s="29"/>
      <c r="F1586" s="29" t="s">
        <v>132</v>
      </c>
      <c r="G1586" s="29" t="s">
        <v>737</v>
      </c>
      <c r="H1586" s="29" t="s">
        <v>133</v>
      </c>
      <c r="I1586" s="120">
        <v>45748</v>
      </c>
      <c r="J1586" s="120">
        <f t="shared" si="16"/>
        <v>45751</v>
      </c>
      <c r="K1586" s="120">
        <v>45754</v>
      </c>
      <c r="L1586" s="120"/>
      <c r="M1586" s="120"/>
      <c r="N1586" s="29"/>
      <c r="O1586" s="119" t="s">
        <v>853</v>
      </c>
      <c r="P1586" s="29"/>
      <c r="Q1586" s="81">
        <v>700</v>
      </c>
    </row>
    <row r="1587" spans="1:18" hidden="1">
      <c r="A1587" s="134" t="s">
        <v>1059</v>
      </c>
      <c r="C1587" s="29">
        <v>91510201</v>
      </c>
      <c r="D1587" s="29"/>
      <c r="F1587" s="29" t="s">
        <v>132</v>
      </c>
      <c r="G1587" s="29" t="s">
        <v>737</v>
      </c>
      <c r="H1587" s="29" t="s">
        <v>133</v>
      </c>
      <c r="I1587" s="120">
        <v>45748</v>
      </c>
      <c r="J1587" s="120">
        <f t="shared" si="16"/>
        <v>45751</v>
      </c>
      <c r="K1587" s="120">
        <v>45754</v>
      </c>
      <c r="L1587" s="120"/>
      <c r="M1587" s="120"/>
      <c r="N1587" s="29"/>
      <c r="O1587" s="119" t="s">
        <v>853</v>
      </c>
      <c r="P1587" s="29"/>
      <c r="Q1587" s="81">
        <v>50</v>
      </c>
    </row>
    <row r="1588" spans="1:18" hidden="1">
      <c r="A1588" s="134" t="s">
        <v>1059</v>
      </c>
      <c r="C1588" s="29">
        <v>91510205</v>
      </c>
      <c r="D1588" s="29"/>
      <c r="F1588" s="29" t="s">
        <v>132</v>
      </c>
      <c r="G1588" s="29" t="s">
        <v>737</v>
      </c>
      <c r="H1588" s="29" t="s">
        <v>133</v>
      </c>
      <c r="I1588" s="120">
        <v>45748</v>
      </c>
      <c r="J1588" s="120">
        <f t="shared" si="16"/>
        <v>45751</v>
      </c>
      <c r="K1588" s="120">
        <v>45754</v>
      </c>
      <c r="L1588" s="120"/>
      <c r="M1588" s="120"/>
      <c r="N1588" s="29"/>
      <c r="O1588" s="119" t="s">
        <v>853</v>
      </c>
      <c r="P1588" s="29"/>
      <c r="Q1588" s="81">
        <v>625</v>
      </c>
    </row>
    <row r="1589" spans="1:18" hidden="1">
      <c r="A1589" s="134" t="s">
        <v>1059</v>
      </c>
      <c r="C1589" s="29">
        <v>91510212</v>
      </c>
      <c r="D1589" s="29"/>
      <c r="F1589" s="29" t="s">
        <v>132</v>
      </c>
      <c r="G1589" s="29" t="s">
        <v>737</v>
      </c>
      <c r="H1589" s="29" t="s">
        <v>133</v>
      </c>
      <c r="I1589" s="120">
        <v>45748</v>
      </c>
      <c r="J1589" s="120">
        <f t="shared" si="16"/>
        <v>45751</v>
      </c>
      <c r="K1589" s="120">
        <v>45754</v>
      </c>
      <c r="L1589" s="120"/>
      <c r="M1589" s="120"/>
      <c r="N1589" s="29"/>
      <c r="O1589" s="119" t="s">
        <v>853</v>
      </c>
      <c r="P1589" s="29"/>
      <c r="Q1589" s="81">
        <v>325</v>
      </c>
    </row>
    <row r="1590" spans="1:18" hidden="1">
      <c r="A1590" s="134" t="s">
        <v>1059</v>
      </c>
      <c r="C1590" s="29">
        <v>91510219</v>
      </c>
      <c r="D1590" s="29"/>
      <c r="F1590" s="29" t="s">
        <v>132</v>
      </c>
      <c r="G1590" s="29" t="s">
        <v>737</v>
      </c>
      <c r="H1590" s="29" t="s">
        <v>133</v>
      </c>
      <c r="I1590" s="120">
        <v>45748</v>
      </c>
      <c r="J1590" s="120">
        <f t="shared" si="16"/>
        <v>45751</v>
      </c>
      <c r="K1590" s="120">
        <v>45754</v>
      </c>
      <c r="L1590" s="120"/>
      <c r="M1590" s="120"/>
      <c r="N1590" s="29"/>
      <c r="O1590" s="119" t="s">
        <v>853</v>
      </c>
      <c r="P1590" s="29"/>
      <c r="Q1590" s="81">
        <v>50</v>
      </c>
    </row>
    <row r="1591" spans="1:18" hidden="1">
      <c r="A1591" s="134" t="s">
        <v>1059</v>
      </c>
      <c r="C1591" s="29">
        <v>91510220</v>
      </c>
      <c r="D1591" s="29"/>
      <c r="F1591" s="29" t="s">
        <v>132</v>
      </c>
      <c r="G1591" s="29" t="s">
        <v>737</v>
      </c>
      <c r="H1591" s="29" t="s">
        <v>133</v>
      </c>
      <c r="I1591" s="120">
        <v>45748</v>
      </c>
      <c r="J1591" s="120">
        <f t="shared" si="16"/>
        <v>45751</v>
      </c>
      <c r="K1591" s="120">
        <v>45754</v>
      </c>
      <c r="L1591" s="120"/>
      <c r="M1591" s="120"/>
      <c r="N1591" s="29"/>
      <c r="O1591" s="119" t="s">
        <v>853</v>
      </c>
      <c r="P1591" s="29"/>
      <c r="Q1591" s="81">
        <v>775</v>
      </c>
    </row>
    <row r="1592" spans="1:18" hidden="1">
      <c r="A1592" s="134" t="s">
        <v>1059</v>
      </c>
      <c r="C1592" s="29">
        <v>91510228</v>
      </c>
      <c r="D1592" s="29"/>
      <c r="F1592" s="29" t="s">
        <v>132</v>
      </c>
      <c r="G1592" s="29" t="s">
        <v>737</v>
      </c>
      <c r="H1592" s="29" t="s">
        <v>133</v>
      </c>
      <c r="I1592" s="120">
        <v>45748</v>
      </c>
      <c r="J1592" s="120">
        <f t="shared" si="16"/>
        <v>45751</v>
      </c>
      <c r="K1592" s="120">
        <v>45754</v>
      </c>
      <c r="L1592" s="120"/>
      <c r="M1592" s="120"/>
      <c r="N1592" s="29"/>
      <c r="O1592" s="119" t="s">
        <v>853</v>
      </c>
      <c r="P1592" s="29"/>
      <c r="Q1592" s="81">
        <v>50</v>
      </c>
    </row>
    <row r="1593" spans="1:18" hidden="1">
      <c r="A1593" s="134" t="s">
        <v>1059</v>
      </c>
      <c r="C1593" s="29">
        <v>91510222</v>
      </c>
      <c r="D1593" s="29"/>
      <c r="F1593" s="29" t="s">
        <v>132</v>
      </c>
      <c r="G1593" s="29" t="s">
        <v>737</v>
      </c>
      <c r="H1593" s="29" t="s">
        <v>133</v>
      </c>
      <c r="I1593" s="120">
        <v>45748</v>
      </c>
      <c r="J1593" s="120">
        <f t="shared" si="16"/>
        <v>45751</v>
      </c>
      <c r="K1593" s="120">
        <v>45754</v>
      </c>
      <c r="L1593" s="120"/>
      <c r="M1593" s="120"/>
      <c r="N1593" s="29"/>
      <c r="O1593" s="119" t="s">
        <v>853</v>
      </c>
      <c r="P1593" s="29"/>
      <c r="Q1593" s="81">
        <v>375</v>
      </c>
    </row>
    <row r="1594" spans="1:18" hidden="1">
      <c r="A1594" s="134" t="s">
        <v>1059</v>
      </c>
      <c r="C1594" s="29">
        <v>91510230</v>
      </c>
      <c r="D1594" s="29"/>
      <c r="F1594" s="29" t="s">
        <v>132</v>
      </c>
      <c r="G1594" s="29" t="s">
        <v>737</v>
      </c>
      <c r="H1594" s="29" t="s">
        <v>133</v>
      </c>
      <c r="I1594" s="120">
        <v>45748</v>
      </c>
      <c r="J1594" s="120">
        <f t="shared" si="16"/>
        <v>45751</v>
      </c>
      <c r="K1594" s="120">
        <v>45754</v>
      </c>
      <c r="L1594" s="120"/>
      <c r="M1594" s="120"/>
      <c r="N1594" s="29"/>
      <c r="O1594" s="119" t="s">
        <v>853</v>
      </c>
      <c r="P1594" s="29"/>
      <c r="Q1594" s="81">
        <v>575</v>
      </c>
    </row>
    <row r="1595" spans="1:18" hidden="1">
      <c r="A1595" s="134" t="s">
        <v>1059</v>
      </c>
      <c r="C1595" s="29">
        <v>91510232</v>
      </c>
      <c r="D1595" s="29"/>
      <c r="F1595" s="29" t="s">
        <v>132</v>
      </c>
      <c r="G1595" s="29" t="s">
        <v>737</v>
      </c>
      <c r="H1595" s="29" t="s">
        <v>133</v>
      </c>
      <c r="I1595" s="120">
        <v>45748</v>
      </c>
      <c r="J1595" s="120">
        <f t="shared" si="16"/>
        <v>45751</v>
      </c>
      <c r="K1595" s="120">
        <v>45754</v>
      </c>
      <c r="L1595" s="120"/>
      <c r="M1595" s="120"/>
      <c r="N1595" s="29"/>
      <c r="O1595" s="119" t="s">
        <v>853</v>
      </c>
      <c r="P1595" s="29"/>
      <c r="Q1595" s="81">
        <v>50</v>
      </c>
    </row>
    <row r="1596" spans="1:18" hidden="1">
      <c r="A1596" s="134" t="s">
        <v>1059</v>
      </c>
      <c r="C1596" s="29">
        <v>91510236</v>
      </c>
      <c r="D1596" s="29"/>
      <c r="F1596" s="29" t="s">
        <v>132</v>
      </c>
      <c r="G1596" s="29" t="s">
        <v>737</v>
      </c>
      <c r="H1596" s="29" t="s">
        <v>133</v>
      </c>
      <c r="I1596" s="120">
        <v>45748</v>
      </c>
      <c r="J1596" s="120">
        <f t="shared" si="16"/>
        <v>45751</v>
      </c>
      <c r="K1596" s="120">
        <v>45754</v>
      </c>
      <c r="L1596" s="120"/>
      <c r="M1596" s="120"/>
      <c r="N1596" s="29"/>
      <c r="O1596" s="119" t="s">
        <v>853</v>
      </c>
      <c r="P1596" s="29"/>
      <c r="Q1596" s="81">
        <v>165</v>
      </c>
    </row>
    <row r="1597" spans="1:18" hidden="1">
      <c r="A1597" s="134" t="s">
        <v>1059</v>
      </c>
      <c r="C1597" s="29">
        <v>91510237</v>
      </c>
      <c r="D1597" s="29"/>
      <c r="F1597" s="29" t="s">
        <v>132</v>
      </c>
      <c r="G1597" s="29" t="s">
        <v>737</v>
      </c>
      <c r="H1597" s="29" t="s">
        <v>133</v>
      </c>
      <c r="I1597" s="120">
        <v>45748</v>
      </c>
      <c r="J1597" s="120">
        <f t="shared" si="16"/>
        <v>45751</v>
      </c>
      <c r="K1597" s="120">
        <v>45754</v>
      </c>
      <c r="L1597" s="120"/>
      <c r="M1597" s="120"/>
      <c r="N1597" s="29"/>
      <c r="O1597" s="119" t="s">
        <v>853</v>
      </c>
      <c r="P1597" s="29"/>
      <c r="Q1597" s="81">
        <v>700</v>
      </c>
    </row>
    <row r="1598" spans="1:18" hidden="1">
      <c r="A1598" s="134" t="s">
        <v>1059</v>
      </c>
      <c r="C1598" s="29">
        <v>91510241</v>
      </c>
      <c r="D1598" s="29"/>
      <c r="F1598" s="29" t="s">
        <v>132</v>
      </c>
      <c r="G1598" s="29" t="s">
        <v>737</v>
      </c>
      <c r="H1598" s="29" t="s">
        <v>133</v>
      </c>
      <c r="I1598" s="120">
        <v>45748</v>
      </c>
      <c r="J1598" s="120">
        <f t="shared" si="16"/>
        <v>45751</v>
      </c>
      <c r="K1598" s="120">
        <v>45754</v>
      </c>
      <c r="L1598" s="120"/>
      <c r="M1598" s="120"/>
      <c r="N1598" s="29"/>
      <c r="O1598" s="119" t="s">
        <v>853</v>
      </c>
      <c r="P1598" s="29"/>
      <c r="Q1598" s="81">
        <v>50</v>
      </c>
    </row>
    <row r="1599" spans="1:18" hidden="1">
      <c r="A1599" s="134" t="s">
        <v>1059</v>
      </c>
      <c r="C1599" s="29">
        <v>91510244</v>
      </c>
      <c r="D1599" s="29"/>
      <c r="F1599" s="29" t="s">
        <v>132</v>
      </c>
      <c r="G1599" s="29" t="s">
        <v>737</v>
      </c>
      <c r="H1599" s="29" t="s">
        <v>133</v>
      </c>
      <c r="I1599" s="120">
        <v>45748</v>
      </c>
      <c r="J1599" s="120">
        <f t="shared" si="16"/>
        <v>45751</v>
      </c>
      <c r="K1599" s="120">
        <v>45754</v>
      </c>
      <c r="L1599" s="120"/>
      <c r="M1599" s="120"/>
      <c r="N1599" s="29"/>
      <c r="O1599" s="119" t="s">
        <v>853</v>
      </c>
      <c r="P1599" s="29"/>
      <c r="Q1599" s="81">
        <v>725</v>
      </c>
    </row>
    <row r="1600" spans="1:18" hidden="1">
      <c r="A1600" s="134" t="s">
        <v>1050</v>
      </c>
      <c r="C1600" s="29">
        <v>92500131</v>
      </c>
      <c r="D1600" s="29"/>
      <c r="F1600" s="29" t="s">
        <v>139</v>
      </c>
      <c r="G1600" s="29" t="s">
        <v>737</v>
      </c>
      <c r="H1600" s="29" t="s">
        <v>38</v>
      </c>
      <c r="I1600" s="120">
        <v>45749</v>
      </c>
      <c r="J1600" s="120">
        <f t="shared" si="16"/>
        <v>45754</v>
      </c>
      <c r="K1600" s="120"/>
      <c r="L1600" s="120"/>
      <c r="M1600" s="120"/>
      <c r="N1600" s="29"/>
      <c r="O1600" s="119" t="s">
        <v>1051</v>
      </c>
      <c r="P1600" s="29"/>
      <c r="Q1600" s="81">
        <v>91</v>
      </c>
      <c r="R1600" s="134" t="s">
        <v>1048</v>
      </c>
    </row>
    <row r="1601" spans="1:18" hidden="1">
      <c r="A1601" s="134" t="s">
        <v>1050</v>
      </c>
      <c r="C1601" s="29">
        <v>92500138</v>
      </c>
      <c r="D1601" s="29"/>
      <c r="F1601" s="29" t="s">
        <v>139</v>
      </c>
      <c r="G1601" s="29" t="s">
        <v>737</v>
      </c>
      <c r="H1601" s="29" t="s">
        <v>38</v>
      </c>
      <c r="I1601" s="120">
        <v>45749</v>
      </c>
      <c r="J1601" s="120">
        <f t="shared" si="16"/>
        <v>45754</v>
      </c>
      <c r="K1601" s="120"/>
      <c r="L1601" s="120"/>
      <c r="M1601" s="120"/>
      <c r="N1601" s="29"/>
      <c r="O1601" s="119" t="s">
        <v>1051</v>
      </c>
      <c r="P1601" s="29"/>
      <c r="Q1601" s="81">
        <v>230</v>
      </c>
      <c r="R1601" s="134" t="s">
        <v>1048</v>
      </c>
    </row>
    <row r="1602" spans="1:18" hidden="1">
      <c r="A1602" s="134" t="s">
        <v>1050</v>
      </c>
      <c r="C1602" s="29">
        <v>92500157</v>
      </c>
      <c r="D1602" s="29"/>
      <c r="F1602" s="29" t="s">
        <v>139</v>
      </c>
      <c r="G1602" s="29" t="s">
        <v>737</v>
      </c>
      <c r="H1602" s="29" t="s">
        <v>38</v>
      </c>
      <c r="I1602" s="120">
        <v>45749</v>
      </c>
      <c r="J1602" s="120">
        <f t="shared" si="16"/>
        <v>45754</v>
      </c>
      <c r="K1602" s="120"/>
      <c r="L1602" s="120"/>
      <c r="M1602" s="120"/>
      <c r="N1602" s="29"/>
      <c r="O1602" s="119" t="s">
        <v>894</v>
      </c>
      <c r="P1602" s="29"/>
      <c r="Q1602" s="81">
        <v>600</v>
      </c>
      <c r="R1602" s="134" t="s">
        <v>1048</v>
      </c>
    </row>
    <row r="1603" spans="1:18" hidden="1">
      <c r="A1603" s="134" t="s">
        <v>1050</v>
      </c>
      <c r="C1603" s="29">
        <v>92500608</v>
      </c>
      <c r="D1603" s="29"/>
      <c r="F1603" s="29" t="s">
        <v>139</v>
      </c>
      <c r="G1603" s="29" t="s">
        <v>737</v>
      </c>
      <c r="H1603" s="29" t="s">
        <v>38</v>
      </c>
      <c r="I1603" s="120">
        <v>45749</v>
      </c>
      <c r="J1603" s="120">
        <f t="shared" si="16"/>
        <v>45754</v>
      </c>
      <c r="K1603" s="120"/>
      <c r="L1603" s="120"/>
      <c r="M1603" s="120"/>
      <c r="N1603" s="29"/>
      <c r="O1603" s="119" t="s">
        <v>894</v>
      </c>
      <c r="P1603" s="29"/>
      <c r="Q1603" s="81">
        <v>600</v>
      </c>
      <c r="R1603" s="134" t="s">
        <v>1048</v>
      </c>
    </row>
    <row r="1604" spans="1:18" hidden="1">
      <c r="A1604" s="134" t="s">
        <v>1050</v>
      </c>
      <c r="C1604" s="29">
        <v>92500632</v>
      </c>
      <c r="D1604" s="29"/>
      <c r="F1604" s="29" t="s">
        <v>139</v>
      </c>
      <c r="G1604" s="29" t="s">
        <v>737</v>
      </c>
      <c r="H1604" s="29" t="s">
        <v>38</v>
      </c>
      <c r="I1604" s="120">
        <v>45749</v>
      </c>
      <c r="J1604" s="120">
        <f t="shared" si="16"/>
        <v>45754</v>
      </c>
      <c r="K1604" s="120"/>
      <c r="L1604" s="120"/>
      <c r="M1604" s="120"/>
      <c r="N1604" s="29"/>
      <c r="O1604" s="119" t="s">
        <v>894</v>
      </c>
      <c r="P1604" s="29"/>
      <c r="Q1604" s="81">
        <v>700</v>
      </c>
      <c r="R1604" s="134" t="s">
        <v>1048</v>
      </c>
    </row>
    <row r="1605" spans="1:18" hidden="1">
      <c r="A1605" s="134" t="s">
        <v>202</v>
      </c>
      <c r="C1605" s="29">
        <v>105505465</v>
      </c>
      <c r="D1605" s="29"/>
      <c r="F1605" s="29" t="s">
        <v>139</v>
      </c>
      <c r="G1605" s="29" t="s">
        <v>737</v>
      </c>
      <c r="H1605" s="29" t="s">
        <v>38</v>
      </c>
      <c r="I1605" s="120">
        <v>45763</v>
      </c>
      <c r="J1605" s="120">
        <f t="shared" si="16"/>
        <v>45768</v>
      </c>
      <c r="K1605" s="29"/>
      <c r="L1605" s="29"/>
      <c r="M1605" s="29"/>
      <c r="N1605" s="29"/>
      <c r="O1605" s="119" t="s">
        <v>975</v>
      </c>
      <c r="P1605" s="29"/>
      <c r="Q1605" s="81">
        <v>80</v>
      </c>
      <c r="R1605" s="134" t="s">
        <v>1060</v>
      </c>
    </row>
    <row r="1606" spans="1:18" hidden="1">
      <c r="A1606" s="134" t="s">
        <v>202</v>
      </c>
      <c r="C1606" s="29">
        <v>106500966</v>
      </c>
      <c r="D1606" s="29"/>
      <c r="F1606" s="29" t="s">
        <v>139</v>
      </c>
      <c r="G1606" s="29" t="s">
        <v>737</v>
      </c>
      <c r="H1606" s="29" t="s">
        <v>38</v>
      </c>
      <c r="I1606" s="120">
        <v>45763</v>
      </c>
      <c r="J1606" s="120">
        <f t="shared" si="16"/>
        <v>45768</v>
      </c>
      <c r="K1606" s="29"/>
      <c r="L1606" s="29"/>
      <c r="M1606" s="29"/>
      <c r="N1606" s="29"/>
      <c r="O1606" s="119" t="s">
        <v>975</v>
      </c>
      <c r="P1606" s="29"/>
      <c r="Q1606" s="81">
        <v>230</v>
      </c>
      <c r="R1606" s="134" t="s">
        <v>1060</v>
      </c>
    </row>
    <row r="1607" spans="1:18" hidden="1">
      <c r="A1607" s="134" t="s">
        <v>973</v>
      </c>
      <c r="C1607" s="29">
        <v>94500105</v>
      </c>
      <c r="D1607" s="29"/>
      <c r="F1607" s="29" t="s">
        <v>139</v>
      </c>
      <c r="G1607" s="29" t="s">
        <v>737</v>
      </c>
      <c r="H1607" s="29" t="s">
        <v>38</v>
      </c>
      <c r="I1607" s="120">
        <v>45751</v>
      </c>
      <c r="J1607" s="120">
        <f t="shared" si="16"/>
        <v>45756</v>
      </c>
      <c r="K1607" s="29"/>
      <c r="L1607" s="29"/>
      <c r="M1607" s="29"/>
      <c r="N1607" s="29"/>
      <c r="O1607" s="119" t="s">
        <v>894</v>
      </c>
      <c r="P1607" s="29"/>
      <c r="Q1607" s="81">
        <v>820</v>
      </c>
      <c r="R1607" s="134" t="s">
        <v>1048</v>
      </c>
    </row>
    <row r="1608" spans="1:18" hidden="1">
      <c r="A1608" s="134" t="s">
        <v>973</v>
      </c>
      <c r="C1608" s="29">
        <v>94500112</v>
      </c>
      <c r="D1608" s="29"/>
      <c r="F1608" s="29" t="s">
        <v>139</v>
      </c>
      <c r="G1608" s="29" t="s">
        <v>737</v>
      </c>
      <c r="H1608" s="29" t="s">
        <v>38</v>
      </c>
      <c r="I1608" s="120">
        <v>45751</v>
      </c>
      <c r="J1608" s="120">
        <f t="shared" si="16"/>
        <v>45756</v>
      </c>
      <c r="K1608" s="29"/>
      <c r="L1608" s="29"/>
      <c r="M1608" s="29"/>
      <c r="N1608" s="29"/>
      <c r="O1608" s="119" t="s">
        <v>894</v>
      </c>
      <c r="P1608" s="29"/>
      <c r="Q1608" s="81">
        <v>75</v>
      </c>
      <c r="R1608" s="134" t="s">
        <v>1048</v>
      </c>
    </row>
    <row r="1609" spans="1:18" hidden="1">
      <c r="A1609" s="134" t="s">
        <v>973</v>
      </c>
      <c r="C1609" s="29">
        <v>94500121</v>
      </c>
      <c r="D1609" s="29"/>
      <c r="F1609" s="29" t="s">
        <v>139</v>
      </c>
      <c r="G1609" s="29" t="s">
        <v>737</v>
      </c>
      <c r="H1609" s="29" t="s">
        <v>38</v>
      </c>
      <c r="I1609" s="120">
        <v>45751</v>
      </c>
      <c r="J1609" s="120">
        <f t="shared" si="16"/>
        <v>45756</v>
      </c>
      <c r="K1609" s="29"/>
      <c r="L1609" s="29"/>
      <c r="M1609" s="29"/>
      <c r="N1609" s="29"/>
      <c r="O1609" s="119" t="s">
        <v>894</v>
      </c>
      <c r="P1609" s="29"/>
      <c r="Q1609" s="81">
        <v>75</v>
      </c>
      <c r="R1609" s="134" t="s">
        <v>1048</v>
      </c>
    </row>
    <row r="1610" spans="1:18" hidden="1">
      <c r="A1610" s="134" t="s">
        <v>973</v>
      </c>
      <c r="C1610" s="29">
        <v>94500971</v>
      </c>
      <c r="D1610" s="29"/>
      <c r="F1610" s="29" t="s">
        <v>139</v>
      </c>
      <c r="G1610" s="29" t="s">
        <v>737</v>
      </c>
      <c r="H1610" s="29" t="s">
        <v>38</v>
      </c>
      <c r="I1610" s="120">
        <v>45751</v>
      </c>
      <c r="J1610" s="120">
        <f t="shared" si="16"/>
        <v>45756</v>
      </c>
      <c r="K1610" s="29"/>
      <c r="L1610" s="29"/>
      <c r="M1610" s="29"/>
      <c r="N1610" s="29"/>
      <c r="O1610" s="119" t="s">
        <v>894</v>
      </c>
      <c r="P1610" s="29"/>
      <c r="Q1610" s="81">
        <v>600</v>
      </c>
      <c r="R1610" s="134" t="s">
        <v>1048</v>
      </c>
    </row>
    <row r="1611" spans="1:18" hidden="1">
      <c r="A1611" s="134" t="s">
        <v>973</v>
      </c>
      <c r="C1611" s="29">
        <v>94501038</v>
      </c>
      <c r="D1611" s="29"/>
      <c r="F1611" s="29" t="s">
        <v>139</v>
      </c>
      <c r="G1611" s="29" t="s">
        <v>737</v>
      </c>
      <c r="H1611" s="29" t="s">
        <v>38</v>
      </c>
      <c r="I1611" s="120">
        <v>45751</v>
      </c>
      <c r="J1611" s="120">
        <f t="shared" si="16"/>
        <v>45756</v>
      </c>
      <c r="K1611" s="29"/>
      <c r="L1611" s="29"/>
      <c r="M1611" s="29"/>
      <c r="N1611" s="29"/>
      <c r="O1611" s="119" t="s">
        <v>975</v>
      </c>
      <c r="P1611" s="29"/>
      <c r="Q1611" s="81">
        <v>610</v>
      </c>
      <c r="R1611" s="134" t="s">
        <v>1048</v>
      </c>
    </row>
    <row r="1612" spans="1:18" hidden="1">
      <c r="A1612" s="134" t="s">
        <v>1061</v>
      </c>
      <c r="C1612" s="29">
        <v>100501013</v>
      </c>
      <c r="D1612" s="29"/>
      <c r="F1612" s="29" t="s">
        <v>139</v>
      </c>
      <c r="G1612" s="29" t="s">
        <v>737</v>
      </c>
      <c r="H1612" s="29" t="s">
        <v>38</v>
      </c>
      <c r="I1612" s="120">
        <v>45757</v>
      </c>
      <c r="J1612" s="120">
        <f t="shared" ref="J1612:J1675" si="17">WORKDAY(I1612, 3)</f>
        <v>45762</v>
      </c>
      <c r="K1612" s="120">
        <v>45762</v>
      </c>
      <c r="L1612" s="120"/>
      <c r="M1612" s="120"/>
      <c r="N1612" s="29"/>
      <c r="O1612" s="119" t="s">
        <v>894</v>
      </c>
      <c r="P1612" s="29"/>
      <c r="Q1612" s="81">
        <v>110</v>
      </c>
    </row>
    <row r="1613" spans="1:18" hidden="1">
      <c r="A1613" s="134" t="s">
        <v>1061</v>
      </c>
      <c r="C1613" s="29">
        <v>100501147</v>
      </c>
      <c r="D1613" s="29"/>
      <c r="F1613" s="29" t="s">
        <v>139</v>
      </c>
      <c r="G1613" s="29" t="s">
        <v>737</v>
      </c>
      <c r="H1613" s="29" t="s">
        <v>38</v>
      </c>
      <c r="I1613" s="120">
        <v>45757</v>
      </c>
      <c r="J1613" s="120">
        <f t="shared" si="17"/>
        <v>45762</v>
      </c>
      <c r="K1613" s="120">
        <v>45762</v>
      </c>
      <c r="L1613" s="120"/>
      <c r="M1613" s="120"/>
      <c r="N1613" s="29"/>
      <c r="O1613" s="119" t="s">
        <v>894</v>
      </c>
      <c r="P1613" s="29"/>
      <c r="Q1613" s="81">
        <v>200</v>
      </c>
    </row>
    <row r="1614" spans="1:18" hidden="1">
      <c r="A1614" s="134" t="s">
        <v>973</v>
      </c>
      <c r="C1614" s="29">
        <v>93502135</v>
      </c>
      <c r="D1614" s="29"/>
      <c r="F1614" s="29" t="s">
        <v>139</v>
      </c>
      <c r="G1614" s="29" t="s">
        <v>737</v>
      </c>
      <c r="H1614" s="29" t="s">
        <v>38</v>
      </c>
      <c r="I1614" s="120">
        <v>45750</v>
      </c>
      <c r="J1614" s="120">
        <f t="shared" si="17"/>
        <v>45755</v>
      </c>
      <c r="K1614" s="29"/>
      <c r="L1614" s="29"/>
      <c r="M1614" s="29"/>
      <c r="N1614" s="29"/>
      <c r="O1614" s="119" t="s">
        <v>894</v>
      </c>
      <c r="P1614" s="29"/>
      <c r="Q1614" s="81">
        <v>350</v>
      </c>
      <c r="R1614" s="134" t="s">
        <v>1048</v>
      </c>
    </row>
    <row r="1615" spans="1:18" hidden="1">
      <c r="A1615" s="134" t="s">
        <v>973</v>
      </c>
      <c r="C1615" s="29">
        <v>93503265</v>
      </c>
      <c r="D1615" s="29"/>
      <c r="F1615" s="29" t="s">
        <v>139</v>
      </c>
      <c r="G1615" s="29" t="s">
        <v>737</v>
      </c>
      <c r="H1615" s="29" t="s">
        <v>38</v>
      </c>
      <c r="I1615" s="120">
        <v>45750</v>
      </c>
      <c r="J1615" s="120">
        <f t="shared" si="17"/>
        <v>45755</v>
      </c>
      <c r="K1615" s="29"/>
      <c r="L1615" s="29"/>
      <c r="M1615" s="29"/>
      <c r="N1615" s="29"/>
      <c r="O1615" s="119" t="s">
        <v>1051</v>
      </c>
      <c r="P1615" s="29"/>
      <c r="Q1615" s="81">
        <v>600</v>
      </c>
      <c r="R1615" s="134" t="s">
        <v>1048</v>
      </c>
    </row>
    <row r="1616" spans="1:18" hidden="1">
      <c r="A1616" s="134" t="s">
        <v>1062</v>
      </c>
      <c r="C1616" s="29">
        <v>87500003</v>
      </c>
      <c r="D1616" s="29"/>
      <c r="F1616" s="29" t="s">
        <v>132</v>
      </c>
      <c r="G1616" s="29" t="s">
        <v>737</v>
      </c>
      <c r="H1616" s="29" t="s">
        <v>133</v>
      </c>
      <c r="I1616" s="120">
        <v>45744</v>
      </c>
      <c r="J1616" s="120">
        <f t="shared" si="17"/>
        <v>45749</v>
      </c>
      <c r="K1616" s="120">
        <v>45748</v>
      </c>
      <c r="L1616" s="120"/>
      <c r="M1616" s="120"/>
      <c r="N1616" s="29"/>
      <c r="O1616" s="119" t="s">
        <v>894</v>
      </c>
      <c r="P1616" s="29"/>
      <c r="Q1616" s="81">
        <v>525</v>
      </c>
    </row>
    <row r="1617" spans="1:23" hidden="1">
      <c r="A1617" s="134" t="s">
        <v>1062</v>
      </c>
      <c r="C1617" s="29">
        <v>87500005</v>
      </c>
      <c r="D1617" s="29"/>
      <c r="F1617" s="29" t="s">
        <v>132</v>
      </c>
      <c r="G1617" s="29" t="s">
        <v>737</v>
      </c>
      <c r="H1617" s="29" t="s">
        <v>133</v>
      </c>
      <c r="I1617" s="120">
        <v>45744</v>
      </c>
      <c r="J1617" s="120">
        <f t="shared" si="17"/>
        <v>45749</v>
      </c>
      <c r="K1617" s="120">
        <v>45748</v>
      </c>
      <c r="L1617" s="120"/>
      <c r="M1617" s="120"/>
      <c r="N1617" s="29"/>
      <c r="O1617" s="119" t="s">
        <v>853</v>
      </c>
      <c r="P1617" s="29"/>
      <c r="Q1617" s="81">
        <v>375</v>
      </c>
    </row>
    <row r="1618" spans="1:23" hidden="1">
      <c r="A1618" s="134" t="s">
        <v>1063</v>
      </c>
      <c r="C1618" s="29">
        <v>91501382</v>
      </c>
      <c r="D1618" s="29"/>
      <c r="F1618" s="29" t="s">
        <v>139</v>
      </c>
      <c r="G1618" s="29" t="s">
        <v>16</v>
      </c>
      <c r="H1618" s="29" t="s">
        <v>38</v>
      </c>
      <c r="I1618" s="120">
        <v>45748</v>
      </c>
      <c r="J1618" s="120">
        <f t="shared" si="17"/>
        <v>45751</v>
      </c>
      <c r="K1618" s="29"/>
      <c r="L1618" s="29"/>
      <c r="M1618" s="29"/>
      <c r="N1618" s="29"/>
      <c r="O1618" s="119" t="s">
        <v>853</v>
      </c>
      <c r="P1618" s="29"/>
      <c r="Q1618" s="81">
        <v>280</v>
      </c>
      <c r="W1618" s="124" t="s">
        <v>1064</v>
      </c>
    </row>
    <row r="1619" spans="1:23" hidden="1">
      <c r="A1619" s="134" t="s">
        <v>1062</v>
      </c>
      <c r="C1619" s="29">
        <v>87500017</v>
      </c>
      <c r="D1619" s="29"/>
      <c r="F1619" s="29" t="s">
        <v>132</v>
      </c>
      <c r="G1619" s="29" t="s">
        <v>737</v>
      </c>
      <c r="H1619" s="29" t="s">
        <v>133</v>
      </c>
      <c r="I1619" s="120">
        <v>45744</v>
      </c>
      <c r="J1619" s="120">
        <f t="shared" si="17"/>
        <v>45749</v>
      </c>
      <c r="K1619" s="120">
        <v>45748</v>
      </c>
      <c r="L1619" s="120"/>
      <c r="M1619" s="120"/>
      <c r="N1619" s="120"/>
      <c r="O1619" s="119" t="s">
        <v>894</v>
      </c>
      <c r="P1619" s="29"/>
      <c r="Q1619" s="81">
        <v>315</v>
      </c>
      <c r="W1619" s="124" t="s">
        <v>1064</v>
      </c>
    </row>
    <row r="1620" spans="1:23" hidden="1">
      <c r="A1620" s="134" t="s">
        <v>1062</v>
      </c>
      <c r="C1620" s="29">
        <v>87500014</v>
      </c>
      <c r="D1620" s="29"/>
      <c r="F1620" s="29" t="s">
        <v>132</v>
      </c>
      <c r="G1620" s="29" t="s">
        <v>737</v>
      </c>
      <c r="H1620" s="29" t="s">
        <v>133</v>
      </c>
      <c r="I1620" s="120">
        <v>45744</v>
      </c>
      <c r="J1620" s="120">
        <f t="shared" si="17"/>
        <v>45749</v>
      </c>
      <c r="K1620" s="120">
        <v>45748</v>
      </c>
      <c r="L1620" s="120"/>
      <c r="M1620" s="120"/>
      <c r="N1620" s="29"/>
      <c r="O1620" s="119" t="s">
        <v>894</v>
      </c>
      <c r="P1620" s="29"/>
      <c r="Q1620" s="81">
        <v>50</v>
      </c>
      <c r="W1620" s="124" t="s">
        <v>1064</v>
      </c>
    </row>
    <row r="1621" spans="1:23" hidden="1">
      <c r="A1621" s="134" t="s">
        <v>1062</v>
      </c>
      <c r="C1621" s="29">
        <v>87500012</v>
      </c>
      <c r="D1621" s="29"/>
      <c r="F1621" s="29" t="s">
        <v>132</v>
      </c>
      <c r="G1621" s="29" t="s">
        <v>737</v>
      </c>
      <c r="H1621" s="29" t="s">
        <v>133</v>
      </c>
      <c r="I1621" s="120">
        <v>45744</v>
      </c>
      <c r="J1621" s="120">
        <f t="shared" si="17"/>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 t="shared" si="17"/>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 t="shared" si="17"/>
        <v>45749</v>
      </c>
      <c r="K1623" s="120">
        <v>45748</v>
      </c>
      <c r="L1623" s="120"/>
      <c r="M1623" s="120"/>
      <c r="N1623" s="29"/>
      <c r="O1623" s="119" t="s">
        <v>853</v>
      </c>
      <c r="P1623" s="29"/>
      <c r="Q1623" s="81"/>
    </row>
    <row r="1624" spans="1:23" hidden="1">
      <c r="A1624" s="134" t="s">
        <v>1067</v>
      </c>
      <c r="C1624" s="29">
        <v>86505581</v>
      </c>
      <c r="D1624" s="29"/>
      <c r="F1624" s="29" t="s">
        <v>92</v>
      </c>
      <c r="G1624" s="29" t="s">
        <v>737</v>
      </c>
      <c r="H1624" s="29" t="s">
        <v>93</v>
      </c>
      <c r="I1624" s="120">
        <v>45743</v>
      </c>
      <c r="J1624" s="120">
        <f t="shared" si="17"/>
        <v>45748</v>
      </c>
      <c r="K1624" s="29" t="s">
        <v>1068</v>
      </c>
      <c r="L1624" s="29"/>
      <c r="M1624" s="29"/>
      <c r="N1624" s="29"/>
      <c r="O1624" s="119" t="s">
        <v>894</v>
      </c>
      <c r="P1624" s="29"/>
      <c r="Q1624" s="81"/>
    </row>
    <row r="1625" spans="1:23" hidden="1">
      <c r="A1625" s="134" t="s">
        <v>1067</v>
      </c>
      <c r="C1625" s="29">
        <v>86505671</v>
      </c>
      <c r="D1625" s="29"/>
      <c r="F1625" s="29" t="s">
        <v>92</v>
      </c>
      <c r="G1625" s="29" t="s">
        <v>737</v>
      </c>
      <c r="H1625" s="29" t="s">
        <v>93</v>
      </c>
      <c r="I1625" s="120">
        <v>45743</v>
      </c>
      <c r="J1625" s="120">
        <f t="shared" si="17"/>
        <v>45748</v>
      </c>
      <c r="K1625" s="29" t="s">
        <v>1068</v>
      </c>
      <c r="L1625" s="29"/>
      <c r="M1625" s="29"/>
      <c r="N1625" s="29"/>
      <c r="O1625" s="119" t="s">
        <v>894</v>
      </c>
      <c r="P1625" s="29"/>
      <c r="Q1625" s="81"/>
    </row>
    <row r="1626" spans="1:23" hidden="1">
      <c r="A1626" s="134" t="s">
        <v>1067</v>
      </c>
      <c r="C1626" s="29">
        <v>86505989</v>
      </c>
      <c r="D1626" s="29"/>
      <c r="F1626" s="29" t="s">
        <v>92</v>
      </c>
      <c r="G1626" s="29" t="s">
        <v>737</v>
      </c>
      <c r="H1626" s="29" t="s">
        <v>93</v>
      </c>
      <c r="I1626" s="120">
        <v>45743</v>
      </c>
      <c r="J1626" s="120">
        <f t="shared" si="17"/>
        <v>45748</v>
      </c>
      <c r="K1626" s="29" t="s">
        <v>1068</v>
      </c>
      <c r="L1626" s="29"/>
      <c r="M1626" s="29"/>
      <c r="N1626" s="29"/>
      <c r="O1626" s="119" t="s">
        <v>894</v>
      </c>
      <c r="P1626" s="29"/>
      <c r="Q1626" s="81"/>
    </row>
    <row r="1627" spans="1:23" hidden="1">
      <c r="A1627" s="134" t="s">
        <v>1067</v>
      </c>
      <c r="C1627" s="29">
        <v>86508156</v>
      </c>
      <c r="D1627" s="29"/>
      <c r="F1627" s="29" t="s">
        <v>92</v>
      </c>
      <c r="G1627" s="29" t="s">
        <v>737</v>
      </c>
      <c r="H1627" s="29" t="s">
        <v>93</v>
      </c>
      <c r="I1627" s="120">
        <v>45743</v>
      </c>
      <c r="J1627" s="120">
        <f t="shared" si="17"/>
        <v>45748</v>
      </c>
      <c r="K1627" s="29" t="s">
        <v>1068</v>
      </c>
      <c r="L1627" s="29"/>
      <c r="M1627" s="29"/>
      <c r="N1627" s="29"/>
      <c r="O1627" s="119" t="s">
        <v>894</v>
      </c>
      <c r="P1627" s="29"/>
      <c r="Q1627" s="81"/>
    </row>
    <row r="1628" spans="1:23" hidden="1">
      <c r="A1628" s="134" t="s">
        <v>1067</v>
      </c>
      <c r="C1628" s="29">
        <v>86508338</v>
      </c>
      <c r="D1628" s="29"/>
      <c r="F1628" s="29" t="s">
        <v>92</v>
      </c>
      <c r="G1628" s="29" t="s">
        <v>737</v>
      </c>
      <c r="H1628" s="29" t="s">
        <v>93</v>
      </c>
      <c r="I1628" s="120">
        <v>45743</v>
      </c>
      <c r="J1628" s="120">
        <f t="shared" si="17"/>
        <v>45748</v>
      </c>
      <c r="K1628" s="29" t="s">
        <v>1068</v>
      </c>
      <c r="L1628" s="29"/>
      <c r="M1628" s="29"/>
      <c r="N1628" s="29"/>
      <c r="O1628" s="119" t="s">
        <v>894</v>
      </c>
      <c r="P1628" s="29"/>
      <c r="Q1628" s="81"/>
    </row>
    <row r="1629" spans="1:23" hidden="1">
      <c r="A1629" s="134" t="s">
        <v>1067</v>
      </c>
      <c r="C1629" s="29">
        <v>86508420</v>
      </c>
      <c r="D1629" s="29"/>
      <c r="F1629" s="29" t="s">
        <v>92</v>
      </c>
      <c r="G1629" s="29" t="s">
        <v>737</v>
      </c>
      <c r="H1629" s="29" t="s">
        <v>93</v>
      </c>
      <c r="I1629" s="120">
        <v>45743</v>
      </c>
      <c r="J1629" s="120">
        <f t="shared" si="17"/>
        <v>45748</v>
      </c>
      <c r="K1629" s="29" t="s">
        <v>1068</v>
      </c>
      <c r="L1629" s="29"/>
      <c r="M1629" s="29"/>
      <c r="N1629" s="120">
        <v>45752</v>
      </c>
      <c r="O1629" s="119" t="s">
        <v>877</v>
      </c>
      <c r="P1629" s="29"/>
      <c r="Q1629" s="81"/>
    </row>
    <row r="1630" spans="1:23" hidden="1">
      <c r="A1630" s="134" t="s">
        <v>1067</v>
      </c>
      <c r="C1630" s="29">
        <v>86508380</v>
      </c>
      <c r="D1630" s="29"/>
      <c r="F1630" s="29" t="s">
        <v>92</v>
      </c>
      <c r="G1630" s="29" t="s">
        <v>737</v>
      </c>
      <c r="H1630" s="29" t="s">
        <v>93</v>
      </c>
      <c r="I1630" s="120">
        <v>45743</v>
      </c>
      <c r="J1630" s="120">
        <f t="shared" si="17"/>
        <v>45748</v>
      </c>
      <c r="K1630" s="29" t="s">
        <v>1068</v>
      </c>
      <c r="L1630" s="29"/>
      <c r="M1630" s="29"/>
      <c r="N1630" s="29"/>
      <c r="O1630" s="119" t="s">
        <v>894</v>
      </c>
      <c r="P1630" s="29"/>
      <c r="Q1630" s="81"/>
    </row>
    <row r="1631" spans="1:23" hidden="1">
      <c r="A1631" s="134" t="s">
        <v>1067</v>
      </c>
      <c r="C1631" s="29">
        <v>86508535</v>
      </c>
      <c r="D1631" s="29"/>
      <c r="F1631" s="29" t="s">
        <v>92</v>
      </c>
      <c r="G1631" s="29" t="s">
        <v>737</v>
      </c>
      <c r="H1631" s="29" t="s">
        <v>93</v>
      </c>
      <c r="I1631" s="120">
        <v>45743</v>
      </c>
      <c r="J1631" s="120">
        <f t="shared" si="17"/>
        <v>45748</v>
      </c>
      <c r="K1631" s="29" t="s">
        <v>1068</v>
      </c>
      <c r="L1631" s="29"/>
      <c r="M1631" s="29"/>
      <c r="N1631" s="29"/>
      <c r="O1631" s="119" t="s">
        <v>894</v>
      </c>
      <c r="P1631" s="29"/>
      <c r="Q1631" s="81"/>
    </row>
    <row r="1632" spans="1:23" hidden="1">
      <c r="A1632" s="134" t="s">
        <v>1067</v>
      </c>
      <c r="C1632" s="29">
        <v>86508522</v>
      </c>
      <c r="D1632" s="29"/>
      <c r="F1632" s="29" t="s">
        <v>92</v>
      </c>
      <c r="G1632" s="29" t="s">
        <v>737</v>
      </c>
      <c r="H1632" s="29" t="s">
        <v>93</v>
      </c>
      <c r="I1632" s="120">
        <v>45743</v>
      </c>
      <c r="J1632" s="120">
        <f t="shared" si="17"/>
        <v>45748</v>
      </c>
      <c r="K1632" s="29" t="s">
        <v>1068</v>
      </c>
      <c r="L1632" s="29"/>
      <c r="M1632" s="29"/>
      <c r="N1632" s="29"/>
      <c r="O1632" s="119" t="s">
        <v>1069</v>
      </c>
      <c r="P1632" s="29"/>
      <c r="Q1632" s="81"/>
    </row>
    <row r="1633" spans="1:18" hidden="1">
      <c r="A1633" s="134" t="s">
        <v>1067</v>
      </c>
      <c r="C1633" s="29">
        <v>86507888</v>
      </c>
      <c r="D1633" s="29"/>
      <c r="F1633" s="29" t="s">
        <v>92</v>
      </c>
      <c r="G1633" s="29" t="s">
        <v>737</v>
      </c>
      <c r="H1633" s="29" t="s">
        <v>93</v>
      </c>
      <c r="I1633" s="120">
        <v>45743</v>
      </c>
      <c r="J1633" s="120">
        <f t="shared" si="17"/>
        <v>45748</v>
      </c>
      <c r="K1633" s="29" t="s">
        <v>1068</v>
      </c>
      <c r="L1633" s="29"/>
      <c r="M1633" s="29"/>
      <c r="N1633" s="29"/>
      <c r="O1633" s="119" t="s">
        <v>1069</v>
      </c>
      <c r="P1633" s="29"/>
      <c r="Q1633" s="81"/>
    </row>
    <row r="1634" spans="1:18" hidden="1">
      <c r="A1634" s="134" t="s">
        <v>1067</v>
      </c>
      <c r="C1634" s="29">
        <v>86508569</v>
      </c>
      <c r="D1634" s="29"/>
      <c r="F1634" s="29" t="s">
        <v>92</v>
      </c>
      <c r="G1634" s="29" t="s">
        <v>737</v>
      </c>
      <c r="H1634" s="29" t="s">
        <v>93</v>
      </c>
      <c r="I1634" s="120">
        <v>45743</v>
      </c>
      <c r="J1634" s="120">
        <f t="shared" si="17"/>
        <v>45748</v>
      </c>
      <c r="K1634" s="29" t="s">
        <v>1068</v>
      </c>
      <c r="L1634" s="29"/>
      <c r="M1634" s="29"/>
      <c r="N1634" s="29"/>
      <c r="O1634" s="119" t="s">
        <v>1069</v>
      </c>
      <c r="P1634" s="29"/>
      <c r="Q1634" s="81"/>
    </row>
    <row r="1635" spans="1:18" hidden="1">
      <c r="A1635" s="134" t="s">
        <v>1067</v>
      </c>
      <c r="C1635" s="29">
        <v>86508454</v>
      </c>
      <c r="D1635" s="29"/>
      <c r="F1635" s="29" t="s">
        <v>92</v>
      </c>
      <c r="G1635" s="29" t="s">
        <v>737</v>
      </c>
      <c r="H1635" s="29" t="s">
        <v>93</v>
      </c>
      <c r="I1635" s="120">
        <v>45743</v>
      </c>
      <c r="J1635" s="120">
        <f t="shared" si="17"/>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 t="shared" si="17"/>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 t="shared" si="17"/>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 t="shared" si="17"/>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 t="shared" si="17"/>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 t="shared" si="17"/>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 t="shared" si="17"/>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 t="shared" si="17"/>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 t="shared" si="17"/>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 t="shared" si="17"/>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 t="shared" si="17"/>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 t="shared" si="17"/>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 t="shared" si="17"/>
        <v>45749</v>
      </c>
      <c r="K1647" s="120">
        <v>45748</v>
      </c>
      <c r="L1647" s="120"/>
      <c r="M1647" s="120"/>
      <c r="N1647" s="29"/>
      <c r="O1647" s="119" t="s">
        <v>853</v>
      </c>
      <c r="P1647" s="29"/>
      <c r="Q1647" s="81"/>
      <c r="R1647" s="134" t="s">
        <v>1071</v>
      </c>
    </row>
    <row r="1648" spans="1:18" hidden="1">
      <c r="A1648" s="134" t="s">
        <v>1072</v>
      </c>
      <c r="C1648" s="29">
        <v>63509931</v>
      </c>
      <c r="D1648" s="29"/>
      <c r="F1648" s="29" t="s">
        <v>132</v>
      </c>
      <c r="G1648" s="29" t="s">
        <v>737</v>
      </c>
      <c r="H1648" s="29" t="s">
        <v>133</v>
      </c>
      <c r="I1648" s="120">
        <v>45720</v>
      </c>
      <c r="J1648" s="120">
        <f t="shared" si="17"/>
        <v>45723</v>
      </c>
      <c r="K1648" s="29"/>
      <c r="L1648" s="29"/>
      <c r="M1648" s="29"/>
      <c r="N1648" s="120">
        <v>45728</v>
      </c>
      <c r="O1648" s="119" t="s">
        <v>877</v>
      </c>
      <c r="P1648" s="29"/>
      <c r="Q1648" s="81"/>
    </row>
    <row r="1649" spans="1:18" hidden="1">
      <c r="A1649" s="134" t="s">
        <v>1072</v>
      </c>
      <c r="C1649" s="29">
        <v>63509927</v>
      </c>
      <c r="D1649" s="29"/>
      <c r="F1649" s="29" t="s">
        <v>132</v>
      </c>
      <c r="G1649" s="29" t="s">
        <v>737</v>
      </c>
      <c r="H1649" s="29" t="s">
        <v>133</v>
      </c>
      <c r="I1649" s="120">
        <v>45720</v>
      </c>
      <c r="J1649" s="120">
        <f t="shared" si="17"/>
        <v>45723</v>
      </c>
      <c r="K1649" s="29"/>
      <c r="L1649" s="29"/>
      <c r="M1649" s="29"/>
      <c r="N1649" s="120">
        <v>45728</v>
      </c>
      <c r="O1649" s="119" t="s">
        <v>877</v>
      </c>
      <c r="P1649" s="29"/>
      <c r="Q1649" s="81"/>
    </row>
    <row r="1650" spans="1:18" hidden="1">
      <c r="A1650" s="134" t="s">
        <v>1072</v>
      </c>
      <c r="C1650" s="29">
        <v>63509924</v>
      </c>
      <c r="D1650" s="29"/>
      <c r="F1650" s="29" t="s">
        <v>132</v>
      </c>
      <c r="G1650" s="29" t="s">
        <v>737</v>
      </c>
      <c r="H1650" s="29" t="s">
        <v>133</v>
      </c>
      <c r="I1650" s="120">
        <v>45720</v>
      </c>
      <c r="J1650" s="120">
        <f t="shared" si="17"/>
        <v>45723</v>
      </c>
      <c r="K1650" s="29"/>
      <c r="L1650" s="29"/>
      <c r="M1650" s="29"/>
      <c r="N1650" s="120">
        <v>45728</v>
      </c>
      <c r="O1650" s="119" t="s">
        <v>877</v>
      </c>
      <c r="P1650" s="29"/>
      <c r="Q1650" s="81"/>
    </row>
    <row r="1651" spans="1:18" hidden="1">
      <c r="A1651" s="134" t="s">
        <v>1072</v>
      </c>
      <c r="C1651" s="29">
        <v>63509923</v>
      </c>
      <c r="D1651" s="29"/>
      <c r="F1651" s="29" t="s">
        <v>132</v>
      </c>
      <c r="G1651" s="29" t="s">
        <v>737</v>
      </c>
      <c r="H1651" s="29" t="s">
        <v>133</v>
      </c>
      <c r="I1651" s="120">
        <v>45720</v>
      </c>
      <c r="J1651" s="120">
        <f t="shared" si="17"/>
        <v>45723</v>
      </c>
      <c r="K1651" s="29"/>
      <c r="L1651" s="29"/>
      <c r="M1651" s="29"/>
      <c r="N1651" s="120">
        <v>45726</v>
      </c>
      <c r="O1651" s="119" t="s">
        <v>877</v>
      </c>
      <c r="P1651" s="29"/>
      <c r="Q1651" s="81"/>
    </row>
    <row r="1652" spans="1:18" hidden="1">
      <c r="A1652" s="134" t="s">
        <v>1072</v>
      </c>
      <c r="C1652" s="29">
        <v>63509921</v>
      </c>
      <c r="D1652" s="29"/>
      <c r="F1652" s="29" t="s">
        <v>132</v>
      </c>
      <c r="G1652" s="29" t="s">
        <v>737</v>
      </c>
      <c r="H1652" s="29" t="s">
        <v>133</v>
      </c>
      <c r="I1652" s="120">
        <v>45720</v>
      </c>
      <c r="J1652" s="120">
        <f t="shared" si="17"/>
        <v>45723</v>
      </c>
      <c r="K1652" s="29"/>
      <c r="L1652" s="29"/>
      <c r="M1652" s="29"/>
      <c r="N1652" s="120">
        <v>45726</v>
      </c>
      <c r="O1652" s="119" t="s">
        <v>877</v>
      </c>
      <c r="P1652" s="29"/>
      <c r="Q1652" s="81"/>
    </row>
    <row r="1653" spans="1:18" hidden="1">
      <c r="A1653" s="134" t="s">
        <v>1072</v>
      </c>
      <c r="C1653" s="29">
        <v>63509920</v>
      </c>
      <c r="D1653" s="29"/>
      <c r="F1653" s="29" t="s">
        <v>132</v>
      </c>
      <c r="G1653" s="29" t="s">
        <v>737</v>
      </c>
      <c r="H1653" s="29" t="s">
        <v>133</v>
      </c>
      <c r="I1653" s="120">
        <v>45720</v>
      </c>
      <c r="J1653" s="120">
        <f t="shared" si="17"/>
        <v>45723</v>
      </c>
      <c r="K1653" s="29"/>
      <c r="L1653" s="29"/>
      <c r="M1653" s="29"/>
      <c r="N1653" s="120">
        <v>45726</v>
      </c>
      <c r="O1653" s="119" t="s">
        <v>877</v>
      </c>
      <c r="P1653" s="29"/>
      <c r="Q1653" s="81"/>
    </row>
    <row r="1654" spans="1:18" hidden="1">
      <c r="A1654" s="134" t="s">
        <v>1072</v>
      </c>
      <c r="C1654" s="29">
        <v>63509919</v>
      </c>
      <c r="D1654" s="29"/>
      <c r="F1654" s="29" t="s">
        <v>132</v>
      </c>
      <c r="G1654" s="29" t="s">
        <v>737</v>
      </c>
      <c r="H1654" s="29" t="s">
        <v>133</v>
      </c>
      <c r="I1654" s="120">
        <v>45720</v>
      </c>
      <c r="J1654" s="120">
        <f t="shared" si="17"/>
        <v>45723</v>
      </c>
      <c r="K1654" s="29"/>
      <c r="L1654" s="29"/>
      <c r="M1654" s="29"/>
      <c r="N1654" s="120">
        <v>45726</v>
      </c>
      <c r="O1654" s="119" t="s">
        <v>877</v>
      </c>
      <c r="P1654" s="29"/>
      <c r="Q1654" s="81"/>
    </row>
    <row r="1655" spans="1:18" hidden="1">
      <c r="A1655" s="134" t="s">
        <v>1072</v>
      </c>
      <c r="C1655" s="29">
        <v>63509916</v>
      </c>
      <c r="D1655" s="29"/>
      <c r="F1655" s="29" t="s">
        <v>132</v>
      </c>
      <c r="G1655" s="29" t="s">
        <v>737</v>
      </c>
      <c r="H1655" s="29" t="s">
        <v>133</v>
      </c>
      <c r="I1655" s="120">
        <v>45720</v>
      </c>
      <c r="J1655" s="120">
        <f t="shared" si="17"/>
        <v>45723</v>
      </c>
      <c r="K1655" s="29"/>
      <c r="L1655" s="29"/>
      <c r="M1655" s="29"/>
      <c r="N1655" s="120">
        <v>45726</v>
      </c>
      <c r="O1655" s="119" t="s">
        <v>877</v>
      </c>
      <c r="P1655" s="29"/>
      <c r="Q1655" s="81"/>
    </row>
    <row r="1656" spans="1:18" hidden="1">
      <c r="A1656" s="134" t="s">
        <v>1072</v>
      </c>
      <c r="C1656" s="29">
        <v>63509915</v>
      </c>
      <c r="D1656" s="29"/>
      <c r="F1656" s="29" t="s">
        <v>132</v>
      </c>
      <c r="G1656" s="29" t="s">
        <v>737</v>
      </c>
      <c r="H1656" s="29" t="s">
        <v>133</v>
      </c>
      <c r="I1656" s="120">
        <v>45720</v>
      </c>
      <c r="J1656" s="120">
        <f t="shared" si="17"/>
        <v>45723</v>
      </c>
      <c r="K1656" s="29"/>
      <c r="L1656" s="29"/>
      <c r="M1656" s="29"/>
      <c r="N1656" s="120">
        <v>45723</v>
      </c>
      <c r="O1656" s="119" t="s">
        <v>877</v>
      </c>
      <c r="P1656" s="29"/>
      <c r="Q1656" s="81"/>
    </row>
    <row r="1657" spans="1:18" hidden="1">
      <c r="A1657" s="134" t="s">
        <v>1072</v>
      </c>
      <c r="C1657" s="29">
        <v>63509913</v>
      </c>
      <c r="D1657" s="29"/>
      <c r="F1657" s="29" t="s">
        <v>132</v>
      </c>
      <c r="G1657" s="29" t="s">
        <v>737</v>
      </c>
      <c r="H1657" s="29" t="s">
        <v>133</v>
      </c>
      <c r="I1657" s="120">
        <v>45720</v>
      </c>
      <c r="J1657" s="120">
        <f t="shared" si="17"/>
        <v>45723</v>
      </c>
      <c r="K1657" s="29"/>
      <c r="L1657" s="29"/>
      <c r="M1657" s="29"/>
      <c r="N1657" s="120">
        <v>45727</v>
      </c>
      <c r="O1657" s="119" t="s">
        <v>877</v>
      </c>
      <c r="P1657" s="29"/>
      <c r="Q1657" s="81"/>
    </row>
    <row r="1658" spans="1:18" hidden="1">
      <c r="A1658" s="134" t="s">
        <v>1072</v>
      </c>
      <c r="C1658" s="29">
        <v>63509911</v>
      </c>
      <c r="D1658" s="29"/>
      <c r="F1658" s="29" t="s">
        <v>132</v>
      </c>
      <c r="G1658" s="29" t="s">
        <v>737</v>
      </c>
      <c r="H1658" s="29" t="s">
        <v>133</v>
      </c>
      <c r="I1658" s="120">
        <v>45720</v>
      </c>
      <c r="J1658" s="120">
        <f t="shared" si="17"/>
        <v>45723</v>
      </c>
      <c r="K1658" s="29"/>
      <c r="L1658" s="29"/>
      <c r="M1658" s="29"/>
      <c r="N1658" s="120">
        <v>45723</v>
      </c>
      <c r="O1658" s="119" t="s">
        <v>877</v>
      </c>
      <c r="P1658" s="29"/>
      <c r="Q1658" s="81"/>
    </row>
    <row r="1659" spans="1:18" hidden="1">
      <c r="A1659" s="134" t="s">
        <v>1072</v>
      </c>
      <c r="C1659" s="29">
        <v>63509910</v>
      </c>
      <c r="D1659" s="29"/>
      <c r="F1659" s="29" t="s">
        <v>132</v>
      </c>
      <c r="G1659" s="29" t="s">
        <v>737</v>
      </c>
      <c r="H1659" s="29" t="s">
        <v>133</v>
      </c>
      <c r="I1659" s="120">
        <v>45720</v>
      </c>
      <c r="J1659" s="120">
        <f t="shared" si="17"/>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 t="shared" si="17"/>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 t="shared" si="17"/>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 t="shared" si="17"/>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 t="shared" si="17"/>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 t="shared" si="17"/>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 t="shared" si="17"/>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 t="shared" si="17"/>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 t="shared" si="17"/>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 t="shared" si="17"/>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 t="shared" si="17"/>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 t="shared" si="17"/>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 t="shared" si="17"/>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 t="shared" si="17"/>
        <v>45765</v>
      </c>
      <c r="K1672" s="29"/>
      <c r="L1672" s="29"/>
      <c r="M1672" s="29"/>
      <c r="N1672" s="29"/>
      <c r="O1672" s="119" t="s">
        <v>853</v>
      </c>
      <c r="P1672" s="29"/>
      <c r="Q1672" s="81">
        <v>270</v>
      </c>
    </row>
    <row r="1673" spans="1:18" hidden="1">
      <c r="A1673" s="134" t="s">
        <v>1074</v>
      </c>
      <c r="C1673" s="29">
        <v>106501285</v>
      </c>
      <c r="D1673" s="29"/>
      <c r="F1673" s="29" t="s">
        <v>139</v>
      </c>
      <c r="G1673" s="29" t="s">
        <v>737</v>
      </c>
      <c r="H1673" s="29" t="s">
        <v>38</v>
      </c>
      <c r="I1673" s="120">
        <v>45763</v>
      </c>
      <c r="J1673" s="120">
        <f t="shared" si="17"/>
        <v>45768</v>
      </c>
      <c r="K1673" s="120">
        <v>45763</v>
      </c>
      <c r="L1673" s="120"/>
      <c r="M1673" s="120"/>
      <c r="N1673" s="29"/>
      <c r="O1673" s="119" t="s">
        <v>853</v>
      </c>
      <c r="P1673" s="29"/>
      <c r="Q1673" s="81">
        <v>650</v>
      </c>
      <c r="R1673" s="134" t="s">
        <v>1077</v>
      </c>
    </row>
    <row r="1674" spans="1:18" hidden="1">
      <c r="A1674" s="134" t="s">
        <v>1062</v>
      </c>
      <c r="C1674" s="29">
        <v>87500009</v>
      </c>
      <c r="D1674" s="29"/>
      <c r="F1674" s="29" t="s">
        <v>132</v>
      </c>
      <c r="G1674" s="29" t="s">
        <v>737</v>
      </c>
      <c r="H1674" s="29" t="s">
        <v>133</v>
      </c>
      <c r="I1674" s="120">
        <v>45744</v>
      </c>
      <c r="J1674" s="120">
        <f t="shared" si="17"/>
        <v>45749</v>
      </c>
      <c r="K1674" s="120">
        <v>45748</v>
      </c>
      <c r="L1674" s="120"/>
      <c r="M1674" s="120"/>
      <c r="N1674" s="29"/>
      <c r="O1674" s="119" t="s">
        <v>853</v>
      </c>
      <c r="P1674" s="29"/>
      <c r="Q1674" s="81">
        <v>250</v>
      </c>
    </row>
    <row r="1675" spans="1:18" hidden="1">
      <c r="A1675" s="134" t="s">
        <v>1062</v>
      </c>
      <c r="C1675" s="29">
        <v>87500007</v>
      </c>
      <c r="D1675" s="29"/>
      <c r="F1675" s="29" t="s">
        <v>132</v>
      </c>
      <c r="G1675" s="29" t="s">
        <v>737</v>
      </c>
      <c r="H1675" s="29" t="s">
        <v>133</v>
      </c>
      <c r="I1675" s="120">
        <v>45744</v>
      </c>
      <c r="J1675" s="120">
        <f t="shared" si="17"/>
        <v>45749</v>
      </c>
      <c r="K1675" s="120">
        <v>45748</v>
      </c>
      <c r="L1675" s="120"/>
      <c r="M1675" s="120"/>
      <c r="N1675" s="29"/>
      <c r="O1675" s="119" t="s">
        <v>853</v>
      </c>
      <c r="P1675" s="29"/>
      <c r="Q1675" s="81">
        <v>165</v>
      </c>
    </row>
    <row r="1676" spans="1:18" hidden="1">
      <c r="A1676" s="134" t="s">
        <v>1062</v>
      </c>
      <c r="C1676" s="29">
        <v>87500002</v>
      </c>
      <c r="D1676" s="29"/>
      <c r="F1676" s="29" t="s">
        <v>132</v>
      </c>
      <c r="G1676" s="29" t="s">
        <v>737</v>
      </c>
      <c r="H1676" s="29" t="s">
        <v>133</v>
      </c>
      <c r="I1676" s="120">
        <v>45744</v>
      </c>
      <c r="J1676" s="120">
        <f t="shared" ref="J1676:J1739" si="18">WORKDAY(I1676, 3)</f>
        <v>45749</v>
      </c>
      <c r="K1676" s="120">
        <v>45748</v>
      </c>
      <c r="L1676" s="120"/>
      <c r="M1676" s="120"/>
      <c r="N1676" s="29"/>
      <c r="O1676" s="119" t="s">
        <v>853</v>
      </c>
      <c r="P1676" s="29"/>
      <c r="Q1676" s="81">
        <v>350</v>
      </c>
    </row>
    <row r="1677" spans="1:18" hidden="1">
      <c r="A1677" s="134" t="s">
        <v>1062</v>
      </c>
      <c r="C1677" s="29">
        <v>86509244</v>
      </c>
      <c r="D1677" s="29"/>
      <c r="F1677" s="29" t="s">
        <v>132</v>
      </c>
      <c r="G1677" s="29" t="s">
        <v>737</v>
      </c>
      <c r="H1677" s="29" t="s">
        <v>133</v>
      </c>
      <c r="I1677" s="120">
        <v>45743</v>
      </c>
      <c r="J1677" s="120">
        <f t="shared" si="18"/>
        <v>45748</v>
      </c>
      <c r="K1677" s="120">
        <v>45748</v>
      </c>
      <c r="L1677" s="120"/>
      <c r="M1677" s="120"/>
      <c r="N1677" s="120">
        <v>45752</v>
      </c>
      <c r="O1677" s="119" t="s">
        <v>853</v>
      </c>
      <c r="P1677" s="29"/>
      <c r="Q1677" s="81">
        <v>50</v>
      </c>
    </row>
    <row r="1678" spans="1:18" hidden="1">
      <c r="A1678" s="134" t="s">
        <v>1062</v>
      </c>
      <c r="C1678" s="29">
        <v>86509241</v>
      </c>
      <c r="D1678" s="29"/>
      <c r="F1678" s="29" t="s">
        <v>132</v>
      </c>
      <c r="G1678" s="29" t="s">
        <v>737</v>
      </c>
      <c r="H1678" s="29" t="s">
        <v>133</v>
      </c>
      <c r="I1678" s="120">
        <v>45743</v>
      </c>
      <c r="J1678" s="120">
        <f t="shared" si="18"/>
        <v>45748</v>
      </c>
      <c r="K1678" s="120">
        <v>45748</v>
      </c>
      <c r="L1678" s="120"/>
      <c r="M1678" s="120"/>
      <c r="N1678" s="29"/>
      <c r="O1678" s="119" t="s">
        <v>853</v>
      </c>
      <c r="P1678" s="29"/>
      <c r="Q1678" s="81">
        <v>200</v>
      </c>
    </row>
    <row r="1679" spans="1:18" hidden="1">
      <c r="A1679" s="134" t="s">
        <v>1062</v>
      </c>
      <c r="C1679" s="29">
        <v>86509238</v>
      </c>
      <c r="D1679" s="29"/>
      <c r="F1679" s="29" t="s">
        <v>132</v>
      </c>
      <c r="G1679" s="29" t="s">
        <v>737</v>
      </c>
      <c r="H1679" s="29" t="s">
        <v>133</v>
      </c>
      <c r="I1679" s="120">
        <v>45743</v>
      </c>
      <c r="J1679" s="120">
        <f t="shared" si="18"/>
        <v>45748</v>
      </c>
      <c r="K1679" s="120">
        <v>45748</v>
      </c>
      <c r="L1679" s="120"/>
      <c r="M1679" s="120"/>
      <c r="N1679" s="120">
        <v>45748</v>
      </c>
      <c r="O1679" s="119" t="s">
        <v>853</v>
      </c>
      <c r="P1679" s="29"/>
      <c r="Q1679" s="81">
        <v>250</v>
      </c>
    </row>
    <row r="1680" spans="1:18" hidden="1">
      <c r="A1680" s="134" t="s">
        <v>1062</v>
      </c>
      <c r="C1680" s="29">
        <v>86509236</v>
      </c>
      <c r="D1680" s="29"/>
      <c r="F1680" s="29" t="s">
        <v>132</v>
      </c>
      <c r="G1680" s="29" t="s">
        <v>737</v>
      </c>
      <c r="H1680" s="29" t="s">
        <v>133</v>
      </c>
      <c r="I1680" s="120">
        <v>45743</v>
      </c>
      <c r="J1680" s="120">
        <f t="shared" si="18"/>
        <v>45748</v>
      </c>
      <c r="K1680" s="120">
        <v>45748</v>
      </c>
      <c r="L1680" s="120"/>
      <c r="M1680" s="120"/>
      <c r="N1680" s="120">
        <v>45748</v>
      </c>
      <c r="O1680" s="119" t="s">
        <v>853</v>
      </c>
      <c r="P1680" s="29"/>
      <c r="Q1680" s="81">
        <v>60</v>
      </c>
    </row>
    <row r="1681" spans="1:18" hidden="1">
      <c r="A1681" s="134" t="s">
        <v>1062</v>
      </c>
      <c r="C1681" s="29">
        <v>86509235</v>
      </c>
      <c r="D1681" s="29"/>
      <c r="F1681" s="29" t="s">
        <v>132</v>
      </c>
      <c r="G1681" s="29" t="s">
        <v>737</v>
      </c>
      <c r="H1681" s="29" t="s">
        <v>133</v>
      </c>
      <c r="I1681" s="120">
        <v>45743</v>
      </c>
      <c r="J1681" s="120">
        <f t="shared" si="18"/>
        <v>45748</v>
      </c>
      <c r="K1681" s="120">
        <v>45748</v>
      </c>
      <c r="L1681" s="120"/>
      <c r="M1681" s="120"/>
      <c r="N1681" s="29"/>
      <c r="O1681" s="119" t="s">
        <v>853</v>
      </c>
      <c r="P1681" s="29"/>
      <c r="Q1681" s="81">
        <v>500</v>
      </c>
    </row>
    <row r="1682" spans="1:18" hidden="1">
      <c r="A1682" s="134" t="s">
        <v>1062</v>
      </c>
      <c r="C1682" s="29">
        <v>86509233</v>
      </c>
      <c r="D1682" s="29"/>
      <c r="F1682" s="29" t="s">
        <v>132</v>
      </c>
      <c r="G1682" s="29" t="s">
        <v>737</v>
      </c>
      <c r="H1682" s="29" t="s">
        <v>133</v>
      </c>
      <c r="I1682" s="120">
        <v>45743</v>
      </c>
      <c r="J1682" s="120">
        <f t="shared" si="18"/>
        <v>45748</v>
      </c>
      <c r="K1682" s="120">
        <v>45748</v>
      </c>
      <c r="L1682" s="120"/>
      <c r="M1682" s="120"/>
      <c r="N1682" s="120">
        <v>45751</v>
      </c>
      <c r="O1682" s="119" t="s">
        <v>853</v>
      </c>
      <c r="P1682" s="29"/>
      <c r="Q1682" s="81">
        <v>250</v>
      </c>
    </row>
    <row r="1683" spans="1:18" hidden="1">
      <c r="A1683" s="134" t="s">
        <v>1062</v>
      </c>
      <c r="C1683" s="29">
        <v>86509230</v>
      </c>
      <c r="D1683" s="29"/>
      <c r="F1683" s="29" t="s">
        <v>132</v>
      </c>
      <c r="G1683" s="29" t="s">
        <v>737</v>
      </c>
      <c r="H1683" s="29" t="s">
        <v>133</v>
      </c>
      <c r="I1683" s="120">
        <v>45743</v>
      </c>
      <c r="J1683" s="120">
        <f t="shared" si="18"/>
        <v>45748</v>
      </c>
      <c r="K1683" s="120">
        <v>45748</v>
      </c>
      <c r="L1683" s="120"/>
      <c r="M1683" s="120"/>
      <c r="N1683" s="120">
        <v>45751</v>
      </c>
      <c r="O1683" s="119" t="s">
        <v>853</v>
      </c>
      <c r="P1683" s="29"/>
      <c r="Q1683" s="81">
        <v>85</v>
      </c>
    </row>
    <row r="1684" spans="1:18" hidden="1">
      <c r="A1684" s="134" t="s">
        <v>1062</v>
      </c>
      <c r="C1684" s="29">
        <v>86509227</v>
      </c>
      <c r="D1684" s="29"/>
      <c r="F1684" s="29" t="s">
        <v>132</v>
      </c>
      <c r="G1684" s="29" t="s">
        <v>737</v>
      </c>
      <c r="H1684" s="29" t="s">
        <v>133</v>
      </c>
      <c r="I1684" s="120">
        <v>45743</v>
      </c>
      <c r="J1684" s="120">
        <f t="shared" si="18"/>
        <v>45748</v>
      </c>
      <c r="K1684" s="120">
        <v>45748</v>
      </c>
      <c r="L1684" s="120"/>
      <c r="M1684" s="120"/>
      <c r="N1684" s="120">
        <v>45749</v>
      </c>
      <c r="O1684" s="119" t="s">
        <v>853</v>
      </c>
      <c r="P1684" s="29"/>
      <c r="Q1684" s="81">
        <v>450</v>
      </c>
    </row>
    <row r="1685" spans="1:18" hidden="1">
      <c r="A1685" s="134" t="s">
        <v>202</v>
      </c>
      <c r="C1685" s="29">
        <v>106500513</v>
      </c>
      <c r="D1685" s="29"/>
      <c r="F1685" s="29" t="s">
        <v>139</v>
      </c>
      <c r="G1685" s="29" t="s">
        <v>737</v>
      </c>
      <c r="H1685" s="29" t="s">
        <v>38</v>
      </c>
      <c r="I1685" s="120">
        <v>45763</v>
      </c>
      <c r="J1685" s="120">
        <f t="shared" si="18"/>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 t="shared" si="18"/>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 t="shared" si="18"/>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 t="shared" si="18"/>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 t="shared" si="18"/>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 t="shared" si="18"/>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 t="shared" si="18"/>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 t="shared" si="18"/>
        <v>45771</v>
      </c>
      <c r="K1692" s="29"/>
      <c r="L1692" s="29"/>
      <c r="M1692" s="29"/>
      <c r="N1692" s="29"/>
      <c r="O1692" s="119" t="s">
        <v>894</v>
      </c>
      <c r="P1692" s="29"/>
      <c r="Q1692" s="81"/>
    </row>
    <row r="1693" spans="1:18" hidden="1">
      <c r="A1693" s="134" t="s">
        <v>1067</v>
      </c>
      <c r="C1693" s="29">
        <v>86505457</v>
      </c>
      <c r="D1693" s="29"/>
      <c r="F1693" s="29" t="s">
        <v>92</v>
      </c>
      <c r="G1693" s="29" t="s">
        <v>737</v>
      </c>
      <c r="H1693" s="29" t="s">
        <v>93</v>
      </c>
      <c r="I1693" s="120">
        <v>45743</v>
      </c>
      <c r="J1693" s="120">
        <f t="shared" si="18"/>
        <v>45748</v>
      </c>
      <c r="K1693" s="120">
        <v>45748</v>
      </c>
      <c r="L1693" s="120"/>
      <c r="M1693" s="120"/>
      <c r="N1693" s="120">
        <v>45755</v>
      </c>
      <c r="O1693" s="119" t="s">
        <v>894</v>
      </c>
      <c r="P1693" s="29"/>
      <c r="Q1693" s="81">
        <v>170</v>
      </c>
    </row>
    <row r="1694" spans="1:18" hidden="1">
      <c r="A1694" s="134" t="s">
        <v>1067</v>
      </c>
      <c r="C1694" s="29">
        <v>86508188</v>
      </c>
      <c r="D1694" s="29"/>
      <c r="F1694" s="29" t="s">
        <v>92</v>
      </c>
      <c r="G1694" s="29" t="s">
        <v>737</v>
      </c>
      <c r="H1694" s="29" t="s">
        <v>93</v>
      </c>
      <c r="I1694" s="120">
        <v>45743</v>
      </c>
      <c r="J1694" s="120">
        <f t="shared" si="18"/>
        <v>45748</v>
      </c>
      <c r="K1694" s="120">
        <v>45748</v>
      </c>
      <c r="L1694" s="120"/>
      <c r="M1694" s="120"/>
      <c r="N1694" s="120">
        <v>45756</v>
      </c>
      <c r="O1694" s="119" t="s">
        <v>894</v>
      </c>
      <c r="P1694" s="29"/>
      <c r="Q1694" s="81"/>
    </row>
    <row r="1695" spans="1:18" hidden="1">
      <c r="A1695" s="134" t="s">
        <v>1067</v>
      </c>
      <c r="C1695" s="29">
        <v>86507992</v>
      </c>
      <c r="D1695" s="29"/>
      <c r="F1695" s="29" t="s">
        <v>92</v>
      </c>
      <c r="G1695" s="29" t="s">
        <v>737</v>
      </c>
      <c r="H1695" s="29" t="s">
        <v>93</v>
      </c>
      <c r="I1695" s="120">
        <v>45743</v>
      </c>
      <c r="J1695" s="120">
        <f t="shared" si="18"/>
        <v>45748</v>
      </c>
      <c r="K1695" s="120">
        <v>45748</v>
      </c>
      <c r="L1695" s="120"/>
      <c r="M1695" s="120"/>
      <c r="N1695" s="120">
        <v>45756</v>
      </c>
      <c r="O1695" s="119" t="s">
        <v>894</v>
      </c>
      <c r="P1695" s="29"/>
      <c r="Q1695" s="81"/>
    </row>
    <row r="1696" spans="1:18" hidden="1">
      <c r="A1696" s="134" t="s">
        <v>1067</v>
      </c>
      <c r="C1696" s="29">
        <v>86508250</v>
      </c>
      <c r="D1696" s="29"/>
      <c r="F1696" s="29" t="s">
        <v>92</v>
      </c>
      <c r="G1696" s="29" t="s">
        <v>737</v>
      </c>
      <c r="H1696" s="29" t="s">
        <v>93</v>
      </c>
      <c r="I1696" s="120">
        <v>45743</v>
      </c>
      <c r="J1696" s="120">
        <f t="shared" si="18"/>
        <v>45748</v>
      </c>
      <c r="K1696" s="120">
        <v>45748</v>
      </c>
      <c r="L1696" s="120"/>
      <c r="M1696" s="120"/>
      <c r="N1696" s="120">
        <v>45756</v>
      </c>
      <c r="O1696" s="119" t="s">
        <v>894</v>
      </c>
      <c r="P1696" s="29"/>
      <c r="Q1696" s="81"/>
    </row>
    <row r="1697" spans="1:19" hidden="1">
      <c r="A1697" s="134" t="s">
        <v>1067</v>
      </c>
      <c r="C1697" s="29">
        <v>86506614</v>
      </c>
      <c r="D1697" s="29"/>
      <c r="F1697" s="29" t="s">
        <v>92</v>
      </c>
      <c r="G1697" s="29" t="s">
        <v>737</v>
      </c>
      <c r="H1697" s="29" t="s">
        <v>93</v>
      </c>
      <c r="I1697" s="120">
        <v>45743</v>
      </c>
      <c r="J1697" s="120">
        <f t="shared" si="18"/>
        <v>45748</v>
      </c>
      <c r="K1697" s="120">
        <v>45748</v>
      </c>
      <c r="L1697" s="120"/>
      <c r="M1697" s="120"/>
      <c r="N1697" s="120">
        <v>45756</v>
      </c>
      <c r="O1697" s="119" t="s">
        <v>894</v>
      </c>
      <c r="P1697" s="29"/>
      <c r="Q1697" s="81"/>
    </row>
    <row r="1698" spans="1:19" hidden="1">
      <c r="A1698" s="134" t="s">
        <v>1067</v>
      </c>
      <c r="C1698" s="29">
        <v>86508468</v>
      </c>
      <c r="D1698" s="29"/>
      <c r="F1698" s="29" t="s">
        <v>92</v>
      </c>
      <c r="G1698" s="29" t="s">
        <v>737</v>
      </c>
      <c r="H1698" s="29" t="s">
        <v>93</v>
      </c>
      <c r="I1698" s="120">
        <v>45743</v>
      </c>
      <c r="J1698" s="120">
        <f t="shared" si="18"/>
        <v>45748</v>
      </c>
      <c r="K1698" s="120">
        <v>45748</v>
      </c>
      <c r="L1698" s="120"/>
      <c r="M1698" s="120"/>
      <c r="N1698" s="120">
        <v>45756</v>
      </c>
      <c r="O1698" s="119" t="s">
        <v>894</v>
      </c>
      <c r="P1698" s="29"/>
      <c r="Q1698" s="81"/>
    </row>
    <row r="1699" spans="1:19" hidden="1">
      <c r="A1699" s="134" t="s">
        <v>1067</v>
      </c>
      <c r="C1699" s="29">
        <v>86508488</v>
      </c>
      <c r="D1699" s="29"/>
      <c r="F1699" s="29" t="s">
        <v>92</v>
      </c>
      <c r="G1699" s="29" t="s">
        <v>737</v>
      </c>
      <c r="H1699" s="29" t="s">
        <v>93</v>
      </c>
      <c r="I1699" s="120">
        <v>45743</v>
      </c>
      <c r="J1699" s="120">
        <f t="shared" si="18"/>
        <v>45748</v>
      </c>
      <c r="K1699" s="120">
        <v>45748</v>
      </c>
      <c r="L1699" s="120"/>
      <c r="M1699" s="120"/>
      <c r="N1699" s="120">
        <v>45754</v>
      </c>
      <c r="O1699" s="119" t="s">
        <v>894</v>
      </c>
      <c r="P1699" s="29"/>
      <c r="Q1699" s="81"/>
    </row>
    <row r="1700" spans="1:19" hidden="1">
      <c r="A1700" s="134" t="s">
        <v>202</v>
      </c>
      <c r="C1700" s="29">
        <v>113506868</v>
      </c>
      <c r="D1700" s="29"/>
      <c r="F1700" s="29" t="s">
        <v>139</v>
      </c>
      <c r="G1700" s="29" t="s">
        <v>737</v>
      </c>
      <c r="H1700" s="29" t="s">
        <v>38</v>
      </c>
      <c r="I1700" s="120">
        <v>45770</v>
      </c>
      <c r="J1700" s="120">
        <f t="shared" si="18"/>
        <v>45775</v>
      </c>
      <c r="K1700" s="29"/>
      <c r="L1700" s="29"/>
      <c r="M1700" s="29"/>
      <c r="N1700" s="29"/>
      <c r="O1700" s="119" t="s">
        <v>975</v>
      </c>
      <c r="P1700" s="29"/>
      <c r="Q1700" s="81">
        <v>50</v>
      </c>
      <c r="R1700" s="134" t="s">
        <v>1082</v>
      </c>
    </row>
    <row r="1701" spans="1:19" hidden="1">
      <c r="A1701" s="134" t="s">
        <v>202</v>
      </c>
      <c r="C1701" s="29">
        <v>113506906</v>
      </c>
      <c r="D1701" s="29"/>
      <c r="F1701" s="29" t="s">
        <v>139</v>
      </c>
      <c r="G1701" s="29" t="s">
        <v>737</v>
      </c>
      <c r="H1701" s="29" t="s">
        <v>38</v>
      </c>
      <c r="I1701" s="120">
        <v>45770</v>
      </c>
      <c r="J1701" s="120">
        <f t="shared" si="18"/>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 t="shared" si="18"/>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 t="shared" si="18"/>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 t="shared" si="18"/>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 t="shared" si="18"/>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 t="shared" si="18"/>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 t="shared" si="18"/>
        <v>45748</v>
      </c>
      <c r="K1707" s="29"/>
      <c r="L1707" s="29"/>
      <c r="M1707" s="29"/>
      <c r="N1707" s="29"/>
      <c r="O1707" s="119" t="s">
        <v>1084</v>
      </c>
      <c r="P1707" s="29"/>
      <c r="Q1707" s="81">
        <v>88</v>
      </c>
      <c r="R1707" s="134" t="s">
        <v>1089</v>
      </c>
    </row>
    <row r="1708" spans="1:19" hidden="1">
      <c r="A1708" s="134" t="s">
        <v>1090</v>
      </c>
      <c r="C1708" s="29">
        <v>90501581</v>
      </c>
      <c r="D1708" s="29"/>
      <c r="F1708" s="29" t="s">
        <v>109</v>
      </c>
      <c r="G1708" s="29" t="s">
        <v>737</v>
      </c>
      <c r="H1708" s="29" t="s">
        <v>110</v>
      </c>
      <c r="I1708" s="120">
        <v>45747</v>
      </c>
      <c r="J1708" s="120">
        <f t="shared" si="18"/>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109</v>
      </c>
      <c r="G1709" s="29" t="s">
        <v>737</v>
      </c>
      <c r="H1709" s="29" t="s">
        <v>110</v>
      </c>
      <c r="I1709" s="120">
        <v>45747</v>
      </c>
      <c r="J1709" s="120">
        <f t="shared" si="18"/>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109</v>
      </c>
      <c r="G1710" s="29" t="s">
        <v>737</v>
      </c>
      <c r="H1710" s="29" t="s">
        <v>110</v>
      </c>
      <c r="I1710" s="120">
        <v>45747</v>
      </c>
      <c r="J1710" s="120">
        <f t="shared" si="18"/>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109</v>
      </c>
      <c r="G1711" s="29" t="s">
        <v>737</v>
      </c>
      <c r="H1711" s="29" t="s">
        <v>110</v>
      </c>
      <c r="I1711" s="120">
        <v>45747</v>
      </c>
      <c r="J1711" s="120">
        <f t="shared" si="18"/>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109</v>
      </c>
      <c r="G1712" s="29" t="s">
        <v>737</v>
      </c>
      <c r="H1712" s="29" t="s">
        <v>110</v>
      </c>
      <c r="I1712" s="120">
        <v>45747</v>
      </c>
      <c r="J1712" s="120">
        <f t="shared" si="18"/>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109</v>
      </c>
      <c r="G1713" s="29" t="s">
        <v>737</v>
      </c>
      <c r="H1713" s="29" t="s">
        <v>110</v>
      </c>
      <c r="I1713" s="120">
        <v>45747</v>
      </c>
      <c r="J1713" s="120">
        <f t="shared" si="18"/>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109</v>
      </c>
      <c r="G1714" s="29" t="s">
        <v>737</v>
      </c>
      <c r="H1714" s="29" t="s">
        <v>110</v>
      </c>
      <c r="I1714" s="120">
        <v>45747</v>
      </c>
      <c r="J1714" s="120">
        <f t="shared" si="18"/>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 t="shared" si="18"/>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 t="shared" si="18"/>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 t="shared" si="18"/>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 t="shared" si="18"/>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 t="shared" si="18"/>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 t="shared" si="18"/>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 t="shared" si="18"/>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 t="shared" si="18"/>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 t="shared" si="18"/>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 t="shared" si="18"/>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 t="shared" si="18"/>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 t="shared" si="18"/>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 t="shared" si="18"/>
        <v>45754</v>
      </c>
      <c r="K1727" s="120"/>
      <c r="L1727" s="120"/>
      <c r="M1727" s="120"/>
      <c r="N1727" s="29"/>
      <c r="O1727" s="119" t="s">
        <v>1084</v>
      </c>
      <c r="P1727" s="29"/>
      <c r="Q1727" s="81">
        <v>670</v>
      </c>
    </row>
    <row r="1728" spans="1:19" hidden="1">
      <c r="A1728" s="134" t="s">
        <v>202</v>
      </c>
      <c r="C1728" s="29">
        <v>78501166</v>
      </c>
      <c r="D1728" s="29"/>
      <c r="F1728" s="29" t="s">
        <v>139</v>
      </c>
      <c r="G1728" s="29" t="s">
        <v>737</v>
      </c>
      <c r="H1728" s="29" t="s">
        <v>38</v>
      </c>
      <c r="I1728" s="120">
        <v>45736</v>
      </c>
      <c r="J1728" s="120">
        <f t="shared" si="18"/>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139</v>
      </c>
      <c r="G1729" s="29" t="s">
        <v>737</v>
      </c>
      <c r="H1729" s="29" t="s">
        <v>38</v>
      </c>
      <c r="I1729" s="120">
        <v>45749</v>
      </c>
      <c r="J1729" s="120">
        <f t="shared" si="18"/>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 t="shared" si="18"/>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 t="shared" si="18"/>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 t="shared" si="18"/>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 t="shared" si="18"/>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 t="shared" si="18"/>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 t="shared" si="18"/>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 t="shared" si="18"/>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 t="shared" si="18"/>
        <v>45751</v>
      </c>
      <c r="K1737" s="120"/>
      <c r="L1737" s="120"/>
      <c r="M1737" s="120"/>
      <c r="N1737" s="29"/>
      <c r="O1737" s="119" t="s">
        <v>1084</v>
      </c>
      <c r="P1737" s="29"/>
      <c r="Q1737" s="81">
        <v>425</v>
      </c>
      <c r="R1737" s="134" t="s">
        <v>1099</v>
      </c>
    </row>
    <row r="1738" spans="1:18" hidden="1">
      <c r="A1738" s="134" t="s">
        <v>1097</v>
      </c>
      <c r="C1738" s="29">
        <v>92503959</v>
      </c>
      <c r="D1738" s="29"/>
      <c r="F1738" s="29" t="s">
        <v>139</v>
      </c>
      <c r="G1738" s="29" t="s">
        <v>737</v>
      </c>
      <c r="H1738" s="29" t="s">
        <v>38</v>
      </c>
      <c r="I1738" s="120">
        <v>45749</v>
      </c>
      <c r="J1738" s="120">
        <f t="shared" si="18"/>
        <v>45754</v>
      </c>
      <c r="K1738" s="120">
        <v>45762</v>
      </c>
      <c r="L1738" s="120"/>
      <c r="M1738" s="120"/>
      <c r="N1738" s="29"/>
      <c r="O1738" s="119" t="s">
        <v>1084</v>
      </c>
      <c r="P1738" s="29"/>
      <c r="Q1738" s="81">
        <v>1000</v>
      </c>
      <c r="R1738" s="134" t="s">
        <v>1098</v>
      </c>
    </row>
    <row r="1739" spans="1:18" hidden="1">
      <c r="A1739" s="134" t="s">
        <v>1097</v>
      </c>
      <c r="C1739" s="29">
        <v>92504115</v>
      </c>
      <c r="D1739" s="29"/>
      <c r="F1739" s="29" t="s">
        <v>139</v>
      </c>
      <c r="G1739" s="29" t="s">
        <v>737</v>
      </c>
      <c r="H1739" s="29" t="s">
        <v>38</v>
      </c>
      <c r="I1739" s="120">
        <v>45749</v>
      </c>
      <c r="J1739" s="120">
        <f t="shared" si="18"/>
        <v>45754</v>
      </c>
      <c r="K1739" s="120">
        <v>45762</v>
      </c>
      <c r="L1739" s="120"/>
      <c r="M1739" s="120"/>
      <c r="N1739" s="29"/>
      <c r="O1739" s="119" t="s">
        <v>1084</v>
      </c>
      <c r="P1739" s="29"/>
      <c r="Q1739" s="81">
        <v>420</v>
      </c>
      <c r="R1739" s="134" t="s">
        <v>1098</v>
      </c>
    </row>
    <row r="1740" spans="1:18" hidden="1">
      <c r="A1740" s="134" t="s">
        <v>1097</v>
      </c>
      <c r="C1740" s="29">
        <v>92504167</v>
      </c>
      <c r="D1740" s="29"/>
      <c r="F1740" s="29" t="s">
        <v>139</v>
      </c>
      <c r="G1740" s="29" t="s">
        <v>737</v>
      </c>
      <c r="H1740" s="29" t="s">
        <v>38</v>
      </c>
      <c r="I1740" s="120">
        <v>45749</v>
      </c>
      <c r="J1740" s="120">
        <f t="shared" ref="J1740:J1803" si="19">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139</v>
      </c>
      <c r="G1741" s="29" t="s">
        <v>737</v>
      </c>
      <c r="H1741" s="29" t="s">
        <v>38</v>
      </c>
      <c r="I1741" s="120">
        <v>45779</v>
      </c>
      <c r="J1741" s="120">
        <f t="shared" si="19"/>
        <v>45784</v>
      </c>
      <c r="K1741" s="29"/>
      <c r="L1741" s="29"/>
      <c r="M1741" s="29"/>
      <c r="N1741" s="29"/>
      <c r="O1741" s="119" t="s">
        <v>853</v>
      </c>
      <c r="P1741" s="29"/>
      <c r="Q1741" s="156">
        <v>1300</v>
      </c>
    </row>
    <row r="1742" spans="1:18" hidden="1">
      <c r="A1742" s="134" t="s">
        <v>1100</v>
      </c>
      <c r="C1742" s="29">
        <v>122501985</v>
      </c>
      <c r="D1742" s="29"/>
      <c r="F1742" s="29" t="s">
        <v>139</v>
      </c>
      <c r="G1742" s="29" t="s">
        <v>737</v>
      </c>
      <c r="H1742" s="29" t="s">
        <v>38</v>
      </c>
      <c r="I1742" s="120">
        <v>45779</v>
      </c>
      <c r="J1742" s="120">
        <f t="shared" si="19"/>
        <v>45784</v>
      </c>
      <c r="K1742" s="29"/>
      <c r="L1742" s="29"/>
      <c r="M1742" s="29"/>
      <c r="N1742" s="29"/>
      <c r="O1742" s="119" t="s">
        <v>853</v>
      </c>
      <c r="P1742" s="29"/>
      <c r="Q1742" s="156">
        <v>1300</v>
      </c>
    </row>
    <row r="1743" spans="1:18" hidden="1">
      <c r="A1743" s="134" t="s">
        <v>881</v>
      </c>
      <c r="C1743" s="29">
        <v>122501749</v>
      </c>
      <c r="D1743" s="29"/>
      <c r="F1743" s="29" t="s">
        <v>139</v>
      </c>
      <c r="G1743" s="29" t="s">
        <v>737</v>
      </c>
      <c r="H1743" s="29" t="s">
        <v>38</v>
      </c>
      <c r="I1743" s="120">
        <v>45779</v>
      </c>
      <c r="J1743" s="120">
        <f t="shared" si="19"/>
        <v>45784</v>
      </c>
      <c r="K1743" s="29"/>
      <c r="L1743" s="29"/>
      <c r="M1743" s="29"/>
      <c r="N1743" s="29"/>
      <c r="O1743" s="119" t="s">
        <v>853</v>
      </c>
      <c r="P1743" s="29"/>
      <c r="Q1743" s="156">
        <v>550</v>
      </c>
    </row>
    <row r="1744" spans="1:18" hidden="1">
      <c r="A1744" s="134" t="s">
        <v>881</v>
      </c>
      <c r="C1744" s="29">
        <v>122501783</v>
      </c>
      <c r="D1744" s="29"/>
      <c r="F1744" s="29" t="s">
        <v>139</v>
      </c>
      <c r="G1744" s="29" t="s">
        <v>737</v>
      </c>
      <c r="H1744" s="29" t="s">
        <v>38</v>
      </c>
      <c r="I1744" s="120">
        <v>45779</v>
      </c>
      <c r="J1744" s="120">
        <f t="shared" si="19"/>
        <v>45784</v>
      </c>
      <c r="K1744" s="29"/>
      <c r="L1744" s="29"/>
      <c r="M1744" s="29"/>
      <c r="N1744" s="29"/>
      <c r="O1744" s="119" t="s">
        <v>853</v>
      </c>
      <c r="P1744" s="29"/>
      <c r="Q1744" s="156">
        <v>550</v>
      </c>
    </row>
    <row r="1745" spans="1:18" hidden="1">
      <c r="A1745" s="134" t="s">
        <v>881</v>
      </c>
      <c r="C1745" s="29">
        <v>122501790</v>
      </c>
      <c r="D1745" s="29"/>
      <c r="F1745" s="29" t="s">
        <v>139</v>
      </c>
      <c r="G1745" s="29" t="s">
        <v>737</v>
      </c>
      <c r="H1745" s="29" t="s">
        <v>38</v>
      </c>
      <c r="I1745" s="120">
        <v>45779</v>
      </c>
      <c r="J1745" s="120">
        <f t="shared" si="19"/>
        <v>45784</v>
      </c>
      <c r="K1745" s="29"/>
      <c r="L1745" s="29"/>
      <c r="M1745" s="29"/>
      <c r="N1745" s="29"/>
      <c r="O1745" s="119" t="s">
        <v>853</v>
      </c>
      <c r="P1745" s="29"/>
      <c r="Q1745" s="156">
        <v>700</v>
      </c>
    </row>
    <row r="1746" spans="1:18" hidden="1">
      <c r="A1746" s="134" t="s">
        <v>881</v>
      </c>
      <c r="C1746" s="29">
        <v>122501808</v>
      </c>
      <c r="D1746" s="29"/>
      <c r="F1746" s="29" t="s">
        <v>139</v>
      </c>
      <c r="G1746" s="29" t="s">
        <v>737</v>
      </c>
      <c r="H1746" s="29" t="s">
        <v>38</v>
      </c>
      <c r="I1746" s="120">
        <v>45779</v>
      </c>
      <c r="J1746" s="120">
        <f t="shared" si="19"/>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 t="shared" si="19"/>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 t="shared" si="19"/>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 t="shared" si="19"/>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 t="shared" si="19"/>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 t="shared" si="19"/>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 t="shared" si="19"/>
        <v>45740</v>
      </c>
      <c r="K1752" s="120">
        <v>45740</v>
      </c>
      <c r="L1752" s="120"/>
      <c r="M1752" s="120"/>
      <c r="N1752" s="120">
        <v>45742</v>
      </c>
      <c r="O1752" s="119" t="s">
        <v>894</v>
      </c>
      <c r="P1752" s="29"/>
      <c r="Q1752" s="81"/>
    </row>
    <row r="1753" spans="1:18" hidden="1">
      <c r="A1753" s="134" t="s">
        <v>1102</v>
      </c>
      <c r="C1753" s="29">
        <v>100502580</v>
      </c>
      <c r="D1753" s="29"/>
      <c r="F1753" s="29" t="s">
        <v>139</v>
      </c>
      <c r="G1753" s="29" t="s">
        <v>737</v>
      </c>
      <c r="H1753" s="29" t="s">
        <v>38</v>
      </c>
      <c r="I1753" s="120">
        <v>45757</v>
      </c>
      <c r="J1753" s="120">
        <f t="shared" si="19"/>
        <v>45762</v>
      </c>
      <c r="K1753" s="120">
        <v>45762</v>
      </c>
      <c r="L1753" s="120"/>
      <c r="M1753" s="120"/>
      <c r="N1753" s="120">
        <v>45764</v>
      </c>
      <c r="O1753" s="119" t="s">
        <v>894</v>
      </c>
      <c r="P1753" s="29"/>
      <c r="Q1753" s="81">
        <v>500</v>
      </c>
    </row>
    <row r="1754" spans="1:18" hidden="1">
      <c r="A1754" s="134" t="s">
        <v>1102</v>
      </c>
      <c r="C1754" s="29">
        <v>100502641</v>
      </c>
      <c r="D1754" s="29"/>
      <c r="F1754" s="29" t="s">
        <v>139</v>
      </c>
      <c r="G1754" s="29" t="s">
        <v>737</v>
      </c>
      <c r="H1754" s="29" t="s">
        <v>38</v>
      </c>
      <c r="I1754" s="120">
        <v>45757</v>
      </c>
      <c r="J1754" s="120">
        <f t="shared" si="19"/>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 t="shared" si="19"/>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 t="shared" si="19"/>
        <v>45762</v>
      </c>
      <c r="K1756" s="120">
        <v>45762</v>
      </c>
      <c r="L1756" s="120"/>
      <c r="M1756" s="120"/>
      <c r="N1756" s="29"/>
      <c r="O1756" s="119" t="s">
        <v>1084</v>
      </c>
      <c r="P1756" s="29"/>
      <c r="Q1756" s="81">
        <v>1300</v>
      </c>
    </row>
    <row r="1757" spans="1:18" hidden="1">
      <c r="A1757" s="134" t="s">
        <v>1061</v>
      </c>
      <c r="C1757" s="29">
        <v>101500571</v>
      </c>
      <c r="D1757" s="29"/>
      <c r="F1757" s="29" t="s">
        <v>139</v>
      </c>
      <c r="G1757" s="29" t="s">
        <v>737</v>
      </c>
      <c r="H1757" s="29" t="s">
        <v>38</v>
      </c>
      <c r="I1757" s="120">
        <v>45758</v>
      </c>
      <c r="J1757" s="120">
        <f t="shared" si="19"/>
        <v>45763</v>
      </c>
      <c r="K1757" s="120">
        <v>45762</v>
      </c>
      <c r="L1757" s="120"/>
      <c r="M1757" s="120"/>
      <c r="N1757" s="29"/>
      <c r="O1757" s="119" t="s">
        <v>1084</v>
      </c>
      <c r="P1757" s="29"/>
      <c r="Q1757" s="81">
        <v>350</v>
      </c>
      <c r="R1757" s="134" t="s">
        <v>1103</v>
      </c>
    </row>
    <row r="1758" spans="1:18" hidden="1">
      <c r="A1758" s="134" t="s">
        <v>1102</v>
      </c>
      <c r="C1758" s="29">
        <v>101501845</v>
      </c>
      <c r="D1758" s="29"/>
      <c r="F1758" s="29" t="s">
        <v>139</v>
      </c>
      <c r="G1758" s="29" t="s">
        <v>737</v>
      </c>
      <c r="H1758" s="29" t="s">
        <v>38</v>
      </c>
      <c r="I1758" s="120">
        <v>45758</v>
      </c>
      <c r="J1758" s="120">
        <f t="shared" si="19"/>
        <v>45763</v>
      </c>
      <c r="K1758" s="120">
        <v>45762</v>
      </c>
      <c r="L1758" s="120"/>
      <c r="M1758" s="120"/>
      <c r="N1758" s="120">
        <v>45778</v>
      </c>
      <c r="O1758" s="119" t="s">
        <v>894</v>
      </c>
      <c r="P1758" s="29"/>
      <c r="Q1758" s="81">
        <v>900</v>
      </c>
    </row>
    <row r="1759" spans="1:18" hidden="1">
      <c r="A1759" s="134" t="s">
        <v>1102</v>
      </c>
      <c r="C1759" s="29">
        <v>101501919</v>
      </c>
      <c r="D1759" s="29"/>
      <c r="F1759" s="29" t="s">
        <v>139</v>
      </c>
      <c r="G1759" s="29" t="s">
        <v>737</v>
      </c>
      <c r="H1759" s="29" t="s">
        <v>38</v>
      </c>
      <c r="I1759" s="120">
        <v>45758</v>
      </c>
      <c r="J1759" s="120">
        <f t="shared" si="19"/>
        <v>45763</v>
      </c>
      <c r="K1759" s="120">
        <v>45762</v>
      </c>
      <c r="L1759" s="120"/>
      <c r="M1759" s="120"/>
      <c r="N1759" s="120">
        <v>45770</v>
      </c>
      <c r="O1759" s="119" t="s">
        <v>894</v>
      </c>
      <c r="P1759" s="29"/>
      <c r="Q1759" s="81">
        <v>300</v>
      </c>
    </row>
    <row r="1760" spans="1:18" hidden="1">
      <c r="A1760" s="134" t="s">
        <v>1102</v>
      </c>
      <c r="C1760" s="29">
        <v>101501982</v>
      </c>
      <c r="D1760" s="29"/>
      <c r="F1760" s="29" t="s">
        <v>139</v>
      </c>
      <c r="G1760" s="29" t="s">
        <v>737</v>
      </c>
      <c r="H1760" s="29" t="s">
        <v>38</v>
      </c>
      <c r="I1760" s="120">
        <v>45758</v>
      </c>
      <c r="J1760" s="120">
        <f t="shared" si="19"/>
        <v>45763</v>
      </c>
      <c r="K1760" s="120">
        <v>45762</v>
      </c>
      <c r="L1760" s="120"/>
      <c r="M1760" s="120"/>
      <c r="N1760" s="120">
        <v>45771</v>
      </c>
      <c r="O1760" s="119" t="s">
        <v>894</v>
      </c>
      <c r="P1760" s="29"/>
      <c r="Q1760" s="81">
        <v>300</v>
      </c>
    </row>
    <row r="1761" spans="1:18" hidden="1">
      <c r="A1761" s="134" t="s">
        <v>1102</v>
      </c>
      <c r="C1761" s="29">
        <v>101502031</v>
      </c>
      <c r="D1761" s="29"/>
      <c r="F1761" s="29" t="s">
        <v>139</v>
      </c>
      <c r="G1761" s="29" t="s">
        <v>737</v>
      </c>
      <c r="H1761" s="29" t="s">
        <v>38</v>
      </c>
      <c r="I1761" s="120">
        <v>45758</v>
      </c>
      <c r="J1761" s="120">
        <f t="shared" si="19"/>
        <v>45763</v>
      </c>
      <c r="K1761" s="120">
        <v>45762</v>
      </c>
      <c r="L1761" s="120"/>
      <c r="M1761" s="120"/>
      <c r="N1761" s="120">
        <v>45772</v>
      </c>
      <c r="O1761" s="119" t="s">
        <v>894</v>
      </c>
      <c r="P1761" s="29"/>
      <c r="Q1761" s="81">
        <v>500</v>
      </c>
    </row>
    <row r="1762" spans="1:18" hidden="1">
      <c r="A1762" s="134" t="s">
        <v>1102</v>
      </c>
      <c r="C1762" s="29">
        <v>104501592</v>
      </c>
      <c r="D1762" s="29"/>
      <c r="F1762" s="29" t="s">
        <v>139</v>
      </c>
      <c r="G1762" s="29" t="s">
        <v>737</v>
      </c>
      <c r="H1762" s="29" t="s">
        <v>38</v>
      </c>
      <c r="I1762" s="120">
        <v>45761</v>
      </c>
      <c r="J1762" s="120">
        <f t="shared" si="19"/>
        <v>45764</v>
      </c>
      <c r="K1762" s="120">
        <v>45763</v>
      </c>
      <c r="L1762" s="120"/>
      <c r="M1762" s="120"/>
      <c r="N1762" s="120">
        <v>45770</v>
      </c>
      <c r="O1762" s="119" t="s">
        <v>894</v>
      </c>
      <c r="P1762" s="29"/>
      <c r="Q1762" s="81">
        <v>110</v>
      </c>
    </row>
    <row r="1763" spans="1:18" hidden="1">
      <c r="A1763" s="134" t="s">
        <v>1102</v>
      </c>
      <c r="C1763" s="29">
        <v>104501629</v>
      </c>
      <c r="D1763" s="29"/>
      <c r="F1763" s="29" t="s">
        <v>139</v>
      </c>
      <c r="G1763" s="29" t="s">
        <v>737</v>
      </c>
      <c r="H1763" s="29" t="s">
        <v>38</v>
      </c>
      <c r="I1763" s="120">
        <v>45761</v>
      </c>
      <c r="J1763" s="120">
        <f t="shared" si="19"/>
        <v>45764</v>
      </c>
      <c r="K1763" s="120">
        <v>45763</v>
      </c>
      <c r="L1763" s="120"/>
      <c r="M1763" s="120"/>
      <c r="N1763" s="120">
        <v>45770</v>
      </c>
      <c r="O1763" s="119" t="s">
        <v>894</v>
      </c>
      <c r="P1763" s="29"/>
      <c r="Q1763" s="81">
        <v>200</v>
      </c>
    </row>
    <row r="1764" spans="1:18" hidden="1">
      <c r="A1764" s="134" t="s">
        <v>1102</v>
      </c>
      <c r="C1764" s="29">
        <v>104501773</v>
      </c>
      <c r="D1764" s="29"/>
      <c r="F1764" s="29" t="s">
        <v>139</v>
      </c>
      <c r="G1764" s="29" t="s">
        <v>737</v>
      </c>
      <c r="H1764" s="29" t="s">
        <v>38</v>
      </c>
      <c r="I1764" s="120">
        <v>45761</v>
      </c>
      <c r="J1764" s="120">
        <f t="shared" si="19"/>
        <v>45764</v>
      </c>
      <c r="K1764" s="120">
        <v>45763</v>
      </c>
      <c r="L1764" s="120"/>
      <c r="M1764" s="120"/>
      <c r="N1764" s="120">
        <v>45771</v>
      </c>
      <c r="O1764" s="119" t="s">
        <v>894</v>
      </c>
      <c r="P1764" s="29"/>
      <c r="Q1764" s="81">
        <v>250</v>
      </c>
    </row>
    <row r="1765" spans="1:18" hidden="1">
      <c r="A1765" s="134" t="s">
        <v>1102</v>
      </c>
      <c r="C1765" s="29">
        <v>104501853</v>
      </c>
      <c r="D1765" s="29"/>
      <c r="F1765" s="29" t="s">
        <v>139</v>
      </c>
      <c r="G1765" s="29" t="s">
        <v>737</v>
      </c>
      <c r="H1765" s="29" t="s">
        <v>38</v>
      </c>
      <c r="I1765" s="120">
        <v>45761</v>
      </c>
      <c r="J1765" s="120">
        <f t="shared" si="19"/>
        <v>45764</v>
      </c>
      <c r="K1765" s="120">
        <v>45763</v>
      </c>
      <c r="L1765" s="120"/>
      <c r="M1765" s="120"/>
      <c r="N1765" s="120">
        <v>45770</v>
      </c>
      <c r="O1765" s="119" t="s">
        <v>894</v>
      </c>
      <c r="P1765" s="29"/>
      <c r="Q1765" s="81">
        <v>200</v>
      </c>
    </row>
    <row r="1766" spans="1:18" hidden="1">
      <c r="A1766" s="134" t="s">
        <v>1102</v>
      </c>
      <c r="C1766" s="29">
        <v>104502002</v>
      </c>
      <c r="D1766" s="29"/>
      <c r="F1766" s="29" t="s">
        <v>139</v>
      </c>
      <c r="G1766" s="29" t="s">
        <v>737</v>
      </c>
      <c r="H1766" s="29" t="s">
        <v>38</v>
      </c>
      <c r="I1766" s="120">
        <v>45761</v>
      </c>
      <c r="J1766" s="120">
        <f t="shared" si="19"/>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 t="shared" si="19"/>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 t="shared" si="19"/>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 t="shared" si="19"/>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 t="shared" si="19"/>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 t="shared" si="19"/>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 t="shared" si="19"/>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 t="shared" si="19"/>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 t="shared" si="19"/>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 t="shared" si="19"/>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 t="shared" si="19"/>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 t="shared" si="19"/>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 t="shared" si="19"/>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 t="shared" si="19"/>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 t="shared" si="19"/>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 t="shared" si="19"/>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 t="shared" si="19"/>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 t="shared" si="19"/>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 t="shared" si="19"/>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 t="shared" si="19"/>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 t="shared" si="19"/>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 t="shared" si="19"/>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 t="shared" si="19"/>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 t="shared" si="19"/>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 t="shared" si="19"/>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 t="shared" si="19"/>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 t="shared" si="19"/>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 t="shared" si="19"/>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 t="shared" si="19"/>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 t="shared" si="19"/>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 t="shared" si="19"/>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 t="shared" si="19"/>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 t="shared" si="19"/>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 t="shared" si="19"/>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 t="shared" si="19"/>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 t="shared" si="19"/>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 t="shared" si="19"/>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 t="shared" si="19"/>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 t="shared" ref="J1804:J1867" si="20">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 t="shared" si="20"/>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 t="shared" si="20"/>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 t="shared" si="20"/>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 t="shared" si="20"/>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 t="shared" si="20"/>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 t="shared" si="20"/>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 t="shared" si="20"/>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 t="shared" si="20"/>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 t="shared" si="20"/>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 t="shared" si="20"/>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 t="shared" si="20"/>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 t="shared" si="20"/>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 t="shared" si="20"/>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 t="shared" si="20"/>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 t="shared" si="20"/>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 t="shared" si="20"/>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 t="shared" si="20"/>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 t="shared" si="20"/>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 t="shared" si="20"/>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 t="shared" si="20"/>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 t="shared" si="20"/>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 t="shared" si="20"/>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 t="shared" si="20"/>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 t="shared" si="20"/>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 t="shared" si="20"/>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 t="shared" si="20"/>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 t="shared" si="20"/>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 t="shared" si="20"/>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 t="shared" si="20"/>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 t="shared" si="20"/>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 t="shared" si="20"/>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 t="shared" si="20"/>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 t="shared" si="20"/>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 t="shared" si="20"/>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 t="shared" si="20"/>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 t="shared" si="20"/>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 t="shared" si="20"/>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 t="shared" si="20"/>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139</v>
      </c>
      <c r="G1843" s="29" t="s">
        <v>737</v>
      </c>
      <c r="H1843" s="29" t="s">
        <v>38</v>
      </c>
      <c r="I1843" s="120">
        <v>45749</v>
      </c>
      <c r="J1843" s="120">
        <f t="shared" si="20"/>
        <v>45754</v>
      </c>
      <c r="K1843" s="120"/>
      <c r="L1843" s="120"/>
      <c r="M1843" s="120"/>
      <c r="N1843" s="120">
        <v>45761</v>
      </c>
      <c r="O1843" s="119" t="s">
        <v>877</v>
      </c>
      <c r="P1843" s="29"/>
      <c r="Q1843" s="81">
        <v>300</v>
      </c>
      <c r="R1843" s="157" t="s">
        <v>1129</v>
      </c>
    </row>
    <row r="1844" spans="1:19" hidden="1">
      <c r="A1844" s="134" t="s">
        <v>1130</v>
      </c>
      <c r="C1844" s="29">
        <v>92501826</v>
      </c>
      <c r="D1844" s="29"/>
      <c r="F1844" s="29" t="s">
        <v>139</v>
      </c>
      <c r="G1844" s="29" t="s">
        <v>737</v>
      </c>
      <c r="H1844" s="29" t="s">
        <v>38</v>
      </c>
      <c r="I1844" s="120">
        <v>45749</v>
      </c>
      <c r="J1844" s="120">
        <f t="shared" si="20"/>
        <v>45754</v>
      </c>
      <c r="K1844" s="120"/>
      <c r="L1844" s="120"/>
      <c r="M1844" s="120"/>
      <c r="N1844" s="120">
        <v>45762</v>
      </c>
      <c r="O1844" s="119" t="s">
        <v>877</v>
      </c>
      <c r="P1844" s="29"/>
      <c r="Q1844" s="81">
        <v>300</v>
      </c>
    </row>
    <row r="1845" spans="1:19" hidden="1">
      <c r="A1845" s="134" t="s">
        <v>1130</v>
      </c>
      <c r="C1845" s="29">
        <v>92502043</v>
      </c>
      <c r="D1845" s="29"/>
      <c r="F1845" s="29" t="s">
        <v>139</v>
      </c>
      <c r="G1845" s="29" t="s">
        <v>737</v>
      </c>
      <c r="H1845" s="29" t="s">
        <v>38</v>
      </c>
      <c r="I1845" s="120">
        <v>45749</v>
      </c>
      <c r="J1845" s="120">
        <f t="shared" si="20"/>
        <v>45754</v>
      </c>
      <c r="K1845" s="120"/>
      <c r="L1845" s="120"/>
      <c r="M1845" s="120"/>
      <c r="N1845" s="120">
        <v>45759</v>
      </c>
      <c r="O1845" s="119" t="s">
        <v>877</v>
      </c>
      <c r="P1845" s="29"/>
      <c r="Q1845" s="81">
        <v>215</v>
      </c>
    </row>
    <row r="1846" spans="1:19" hidden="1">
      <c r="A1846" s="134" t="s">
        <v>1130</v>
      </c>
      <c r="C1846" s="29">
        <v>92502098</v>
      </c>
      <c r="D1846" s="29"/>
      <c r="F1846" s="29" t="s">
        <v>139</v>
      </c>
      <c r="G1846" s="29" t="s">
        <v>737</v>
      </c>
      <c r="H1846" s="29" t="s">
        <v>38</v>
      </c>
      <c r="I1846" s="120">
        <v>45749</v>
      </c>
      <c r="J1846" s="120">
        <f t="shared" si="20"/>
        <v>45754</v>
      </c>
      <c r="K1846" s="120"/>
      <c r="L1846" s="120"/>
      <c r="M1846" s="120"/>
      <c r="N1846" s="120">
        <v>45762</v>
      </c>
      <c r="O1846" s="119" t="s">
        <v>877</v>
      </c>
      <c r="P1846" s="29"/>
      <c r="Q1846" s="81">
        <v>200</v>
      </c>
    </row>
    <row r="1847" spans="1:19" hidden="1">
      <c r="A1847" s="134" t="s">
        <v>1130</v>
      </c>
      <c r="C1847" s="29">
        <v>92502178</v>
      </c>
      <c r="D1847" s="29"/>
      <c r="F1847" s="29" t="s">
        <v>139</v>
      </c>
      <c r="G1847" s="29" t="s">
        <v>737</v>
      </c>
      <c r="H1847" s="29" t="s">
        <v>38</v>
      </c>
      <c r="I1847" s="120">
        <v>45749</v>
      </c>
      <c r="J1847" s="120">
        <f t="shared" si="20"/>
        <v>45754</v>
      </c>
      <c r="K1847" s="120"/>
      <c r="L1847" s="120"/>
      <c r="M1847" s="120"/>
      <c r="N1847" s="120">
        <v>45762</v>
      </c>
      <c r="O1847" s="119" t="s">
        <v>877</v>
      </c>
      <c r="P1847" s="29"/>
      <c r="Q1847" s="81">
        <v>260</v>
      </c>
    </row>
    <row r="1848" spans="1:19" hidden="1">
      <c r="A1848" s="134" t="s">
        <v>1130</v>
      </c>
      <c r="C1848" s="29">
        <v>92502299</v>
      </c>
      <c r="D1848" s="29"/>
      <c r="F1848" s="29" t="s">
        <v>139</v>
      </c>
      <c r="G1848" s="29" t="s">
        <v>737</v>
      </c>
      <c r="H1848" s="29" t="s">
        <v>38</v>
      </c>
      <c r="I1848" s="120">
        <v>45749</v>
      </c>
      <c r="J1848" s="120">
        <f t="shared" si="20"/>
        <v>45754</v>
      </c>
      <c r="K1848" s="120"/>
      <c r="L1848" s="120"/>
      <c r="M1848" s="120"/>
      <c r="N1848" s="120">
        <v>45762</v>
      </c>
      <c r="O1848" s="119" t="s">
        <v>877</v>
      </c>
      <c r="P1848" s="29"/>
      <c r="Q1848" s="81">
        <v>130</v>
      </c>
    </row>
    <row r="1849" spans="1:19" hidden="1">
      <c r="A1849" s="134" t="s">
        <v>1130</v>
      </c>
      <c r="C1849" s="29">
        <v>92502551</v>
      </c>
      <c r="D1849" s="29"/>
      <c r="F1849" s="29" t="s">
        <v>139</v>
      </c>
      <c r="G1849" s="29" t="s">
        <v>737</v>
      </c>
      <c r="H1849" s="29" t="s">
        <v>38</v>
      </c>
      <c r="I1849" s="120">
        <v>45749</v>
      </c>
      <c r="J1849" s="120">
        <f t="shared" si="20"/>
        <v>45754</v>
      </c>
      <c r="K1849" s="120"/>
      <c r="L1849" s="120"/>
      <c r="M1849" s="120"/>
      <c r="N1849" s="120">
        <v>45762</v>
      </c>
      <c r="O1849" s="119" t="s">
        <v>877</v>
      </c>
      <c r="P1849" s="29"/>
      <c r="Q1849" s="81">
        <v>775</v>
      </c>
    </row>
    <row r="1850" spans="1:19" hidden="1">
      <c r="A1850" s="134" t="s">
        <v>1130</v>
      </c>
      <c r="C1850" s="29">
        <v>92502638</v>
      </c>
      <c r="D1850" s="29"/>
      <c r="F1850" s="29" t="s">
        <v>139</v>
      </c>
      <c r="G1850" s="29" t="s">
        <v>737</v>
      </c>
      <c r="H1850" s="29" t="s">
        <v>38</v>
      </c>
      <c r="I1850" s="120">
        <v>45749</v>
      </c>
      <c r="J1850" s="120">
        <f t="shared" si="20"/>
        <v>45754</v>
      </c>
      <c r="K1850" s="120"/>
      <c r="L1850" s="120"/>
      <c r="M1850" s="120"/>
      <c r="N1850" s="120">
        <v>45762</v>
      </c>
      <c r="O1850" s="119" t="s">
        <v>877</v>
      </c>
      <c r="P1850" s="29"/>
      <c r="Q1850" s="81">
        <v>175</v>
      </c>
    </row>
    <row r="1851" spans="1:19" hidden="1">
      <c r="A1851" s="134" t="s">
        <v>1130</v>
      </c>
      <c r="C1851" s="29">
        <v>92502659</v>
      </c>
      <c r="D1851" s="29"/>
      <c r="F1851" s="29" t="s">
        <v>139</v>
      </c>
      <c r="G1851" s="29" t="s">
        <v>737</v>
      </c>
      <c r="H1851" s="29" t="s">
        <v>38</v>
      </c>
      <c r="I1851" s="120">
        <v>45749</v>
      </c>
      <c r="J1851" s="120">
        <f t="shared" si="20"/>
        <v>45754</v>
      </c>
      <c r="K1851" s="120"/>
      <c r="L1851" s="120"/>
      <c r="M1851" s="120"/>
      <c r="N1851" s="120">
        <v>45762</v>
      </c>
      <c r="O1851" s="119" t="s">
        <v>877</v>
      </c>
      <c r="P1851" s="29"/>
      <c r="Q1851" s="81">
        <v>175</v>
      </c>
    </row>
    <row r="1852" spans="1:19" hidden="1">
      <c r="A1852" s="134" t="s">
        <v>1130</v>
      </c>
      <c r="C1852" s="29">
        <v>92502820</v>
      </c>
      <c r="D1852" s="29"/>
      <c r="F1852" s="29" t="s">
        <v>139</v>
      </c>
      <c r="G1852" s="29" t="s">
        <v>737</v>
      </c>
      <c r="H1852" s="29" t="s">
        <v>38</v>
      </c>
      <c r="I1852" s="120">
        <v>45749</v>
      </c>
      <c r="J1852" s="120">
        <f t="shared" si="20"/>
        <v>45754</v>
      </c>
      <c r="K1852" s="120"/>
      <c r="L1852" s="120"/>
      <c r="M1852" s="120"/>
      <c r="N1852" s="120">
        <v>45762</v>
      </c>
      <c r="O1852" s="119" t="s">
        <v>877</v>
      </c>
      <c r="P1852" s="29"/>
      <c r="Q1852" s="81">
        <v>650</v>
      </c>
    </row>
    <row r="1853" spans="1:19" hidden="1">
      <c r="A1853" s="134" t="s">
        <v>1130</v>
      </c>
      <c r="C1853" s="29">
        <v>92502886</v>
      </c>
      <c r="D1853" s="29"/>
      <c r="F1853" s="29" t="s">
        <v>139</v>
      </c>
      <c r="G1853" s="29" t="s">
        <v>737</v>
      </c>
      <c r="H1853" s="29" t="s">
        <v>38</v>
      </c>
      <c r="I1853" s="120">
        <v>45749</v>
      </c>
      <c r="J1853" s="120">
        <f t="shared" si="20"/>
        <v>45754</v>
      </c>
      <c r="K1853" s="120"/>
      <c r="L1853" s="120"/>
      <c r="M1853" s="120"/>
      <c r="N1853" s="120">
        <v>45762</v>
      </c>
      <c r="O1853" s="119" t="s">
        <v>877</v>
      </c>
      <c r="P1853" s="29"/>
      <c r="Q1853" s="81">
        <v>180</v>
      </c>
    </row>
    <row r="1854" spans="1:19" hidden="1">
      <c r="A1854" s="134" t="s">
        <v>1130</v>
      </c>
      <c r="C1854" s="29">
        <v>92503066</v>
      </c>
      <c r="D1854" s="29"/>
      <c r="F1854" s="29" t="s">
        <v>139</v>
      </c>
      <c r="G1854" s="29" t="s">
        <v>737</v>
      </c>
      <c r="H1854" s="29" t="s">
        <v>38</v>
      </c>
      <c r="I1854" s="120">
        <v>45749</v>
      </c>
      <c r="J1854" s="120">
        <f t="shared" si="20"/>
        <v>45754</v>
      </c>
      <c r="K1854" s="120"/>
      <c r="L1854" s="120"/>
      <c r="M1854" s="120"/>
      <c r="N1854" s="120">
        <v>45758</v>
      </c>
      <c r="O1854" s="119" t="s">
        <v>877</v>
      </c>
      <c r="P1854" s="29"/>
      <c r="Q1854" s="81">
        <v>270</v>
      </c>
    </row>
    <row r="1855" spans="1:19" hidden="1">
      <c r="A1855" s="134" t="s">
        <v>1130</v>
      </c>
      <c r="C1855" s="29">
        <v>92503156</v>
      </c>
      <c r="D1855" s="29"/>
      <c r="F1855" s="29" t="s">
        <v>139</v>
      </c>
      <c r="G1855" s="29" t="s">
        <v>737</v>
      </c>
      <c r="H1855" s="29" t="s">
        <v>38</v>
      </c>
      <c r="I1855" s="120">
        <v>45749</v>
      </c>
      <c r="J1855" s="120">
        <f t="shared" si="20"/>
        <v>45754</v>
      </c>
      <c r="K1855" s="120"/>
      <c r="L1855" s="120"/>
      <c r="M1855" s="120"/>
      <c r="N1855" s="120">
        <v>45758</v>
      </c>
      <c r="O1855" s="119" t="s">
        <v>877</v>
      </c>
      <c r="P1855" s="29"/>
      <c r="Q1855" s="81">
        <v>240</v>
      </c>
    </row>
    <row r="1856" spans="1:19" hidden="1">
      <c r="A1856" s="134" t="s">
        <v>1130</v>
      </c>
      <c r="C1856" s="29">
        <v>92503216</v>
      </c>
      <c r="D1856" s="29"/>
      <c r="F1856" s="29" t="s">
        <v>139</v>
      </c>
      <c r="G1856" s="29" t="s">
        <v>737</v>
      </c>
      <c r="H1856" s="29" t="s">
        <v>38</v>
      </c>
      <c r="I1856" s="120">
        <v>45749</v>
      </c>
      <c r="J1856" s="120">
        <f t="shared" si="20"/>
        <v>45754</v>
      </c>
      <c r="K1856" s="120"/>
      <c r="L1856" s="120"/>
      <c r="M1856" s="120"/>
      <c r="N1856" s="120">
        <v>45754</v>
      </c>
      <c r="O1856" s="119" t="s">
        <v>877</v>
      </c>
      <c r="P1856" s="29"/>
      <c r="Q1856" s="81">
        <v>210</v>
      </c>
    </row>
    <row r="1857" spans="1:18" hidden="1">
      <c r="A1857" s="134" t="s">
        <v>1130</v>
      </c>
      <c r="C1857" s="29">
        <v>92503249</v>
      </c>
      <c r="D1857" s="29"/>
      <c r="F1857" s="29" t="s">
        <v>139</v>
      </c>
      <c r="G1857" s="29" t="s">
        <v>737</v>
      </c>
      <c r="H1857" s="29" t="s">
        <v>38</v>
      </c>
      <c r="I1857" s="120">
        <v>45749</v>
      </c>
      <c r="J1857" s="120">
        <f t="shared" si="20"/>
        <v>45754</v>
      </c>
      <c r="K1857" s="120"/>
      <c r="L1857" s="120"/>
      <c r="M1857" s="120"/>
      <c r="N1857" s="120">
        <v>45758</v>
      </c>
      <c r="O1857" s="119" t="s">
        <v>877</v>
      </c>
      <c r="P1857" s="29"/>
      <c r="Q1857" s="81">
        <v>250</v>
      </c>
    </row>
    <row r="1858" spans="1:18" hidden="1">
      <c r="A1858" s="134" t="s">
        <v>1130</v>
      </c>
      <c r="C1858" s="29">
        <v>92503322</v>
      </c>
      <c r="D1858" s="29"/>
      <c r="F1858" s="29" t="s">
        <v>139</v>
      </c>
      <c r="G1858" s="29" t="s">
        <v>737</v>
      </c>
      <c r="H1858" s="29" t="s">
        <v>38</v>
      </c>
      <c r="I1858" s="120">
        <v>45749</v>
      </c>
      <c r="J1858" s="120">
        <f t="shared" si="20"/>
        <v>45754</v>
      </c>
      <c r="K1858" s="120"/>
      <c r="L1858" s="120"/>
      <c r="M1858" s="120"/>
      <c r="N1858" s="120">
        <v>45758</v>
      </c>
      <c r="O1858" s="119" t="s">
        <v>877</v>
      </c>
      <c r="P1858" s="29"/>
      <c r="Q1858" s="81">
        <v>375</v>
      </c>
    </row>
    <row r="1859" spans="1:18" hidden="1">
      <c r="A1859" s="134" t="s">
        <v>1130</v>
      </c>
      <c r="C1859" s="29">
        <v>92503354</v>
      </c>
      <c r="D1859" s="29"/>
      <c r="F1859" s="29" t="s">
        <v>139</v>
      </c>
      <c r="G1859" s="29" t="s">
        <v>737</v>
      </c>
      <c r="H1859" s="29" t="s">
        <v>38</v>
      </c>
      <c r="I1859" s="120">
        <v>45749</v>
      </c>
      <c r="J1859" s="120">
        <f t="shared" si="20"/>
        <v>45754</v>
      </c>
      <c r="K1859" s="120"/>
      <c r="L1859" s="120"/>
      <c r="M1859" s="120"/>
      <c r="N1859" s="120">
        <v>45758</v>
      </c>
      <c r="O1859" s="119" t="s">
        <v>877</v>
      </c>
      <c r="P1859" s="29"/>
      <c r="Q1859" s="81">
        <v>280</v>
      </c>
    </row>
    <row r="1860" spans="1:18" hidden="1">
      <c r="A1860" s="134" t="s">
        <v>1130</v>
      </c>
      <c r="C1860" s="29">
        <v>92503481</v>
      </c>
      <c r="D1860" s="29"/>
      <c r="F1860" s="29" t="s">
        <v>139</v>
      </c>
      <c r="G1860" s="29" t="s">
        <v>737</v>
      </c>
      <c r="H1860" s="29" t="s">
        <v>38</v>
      </c>
      <c r="I1860" s="120">
        <v>45749</v>
      </c>
      <c r="J1860" s="120">
        <f t="shared" si="20"/>
        <v>45754</v>
      </c>
      <c r="K1860" s="120"/>
      <c r="L1860" s="120"/>
      <c r="M1860" s="120"/>
      <c r="N1860" s="120">
        <v>45758</v>
      </c>
      <c r="O1860" s="119" t="s">
        <v>877</v>
      </c>
      <c r="P1860" s="29"/>
      <c r="Q1860" s="81">
        <v>400</v>
      </c>
    </row>
    <row r="1861" spans="1:18" hidden="1">
      <c r="A1861" s="134" t="s">
        <v>1130</v>
      </c>
      <c r="C1861" s="29">
        <v>92503513</v>
      </c>
      <c r="D1861" s="29"/>
      <c r="F1861" s="29" t="s">
        <v>139</v>
      </c>
      <c r="G1861" s="29" t="s">
        <v>737</v>
      </c>
      <c r="H1861" s="29" t="s">
        <v>38</v>
      </c>
      <c r="I1861" s="120">
        <v>45749</v>
      </c>
      <c r="J1861" s="120">
        <f t="shared" si="20"/>
        <v>45754</v>
      </c>
      <c r="K1861" s="120"/>
      <c r="L1861" s="120"/>
      <c r="M1861" s="120"/>
      <c r="N1861" s="120">
        <v>45758</v>
      </c>
      <c r="O1861" s="119" t="s">
        <v>877</v>
      </c>
      <c r="P1861" s="29"/>
      <c r="Q1861" s="81">
        <v>150</v>
      </c>
    </row>
    <row r="1862" spans="1:18" hidden="1">
      <c r="A1862" s="134" t="s">
        <v>1130</v>
      </c>
      <c r="C1862" s="29">
        <v>92503550</v>
      </c>
      <c r="D1862" s="29"/>
      <c r="F1862" s="29" t="s">
        <v>139</v>
      </c>
      <c r="G1862" s="29" t="s">
        <v>737</v>
      </c>
      <c r="H1862" s="29" t="s">
        <v>38</v>
      </c>
      <c r="I1862" s="120">
        <v>45749</v>
      </c>
      <c r="J1862" s="120">
        <f t="shared" si="20"/>
        <v>45754</v>
      </c>
      <c r="K1862" s="120"/>
      <c r="L1862" s="120"/>
      <c r="M1862" s="120"/>
      <c r="N1862" s="120">
        <v>45758</v>
      </c>
      <c r="O1862" s="119" t="s">
        <v>877</v>
      </c>
      <c r="P1862" s="29"/>
      <c r="Q1862" s="81">
        <v>250</v>
      </c>
    </row>
    <row r="1863" spans="1:18" hidden="1">
      <c r="A1863" s="134" t="s">
        <v>1097</v>
      </c>
      <c r="C1863" s="29">
        <v>92504231</v>
      </c>
      <c r="D1863" s="29"/>
      <c r="F1863" s="29" t="s">
        <v>139</v>
      </c>
      <c r="G1863" s="29" t="s">
        <v>737</v>
      </c>
      <c r="H1863" s="29" t="s">
        <v>38</v>
      </c>
      <c r="I1863" s="120">
        <v>45749</v>
      </c>
      <c r="J1863" s="120">
        <f t="shared" si="20"/>
        <v>45754</v>
      </c>
      <c r="K1863" s="120"/>
      <c r="L1863" s="120"/>
      <c r="M1863" s="120"/>
      <c r="N1863" s="120">
        <v>45758</v>
      </c>
      <c r="O1863" s="119" t="s">
        <v>877</v>
      </c>
      <c r="P1863" s="29"/>
      <c r="Q1863" s="81">
        <v>420</v>
      </c>
    </row>
    <row r="1864" spans="1:18" hidden="1">
      <c r="A1864" s="134" t="s">
        <v>1097</v>
      </c>
      <c r="C1864" s="29">
        <v>92504293</v>
      </c>
      <c r="D1864" s="29"/>
      <c r="F1864" s="29" t="s">
        <v>139</v>
      </c>
      <c r="G1864" s="29" t="s">
        <v>737</v>
      </c>
      <c r="H1864" s="29" t="s">
        <v>38</v>
      </c>
      <c r="I1864" s="120">
        <v>45749</v>
      </c>
      <c r="J1864" s="120">
        <f t="shared" si="20"/>
        <v>45754</v>
      </c>
      <c r="K1864" s="120"/>
      <c r="L1864" s="120"/>
      <c r="M1864" s="120"/>
      <c r="N1864" s="120">
        <v>45764</v>
      </c>
      <c r="O1864" s="119" t="s">
        <v>877</v>
      </c>
      <c r="P1864" s="29"/>
      <c r="Q1864" s="81">
        <v>420</v>
      </c>
    </row>
    <row r="1865" spans="1:18" hidden="1">
      <c r="A1865" s="134" t="s">
        <v>1097</v>
      </c>
      <c r="C1865" s="29">
        <v>92504342</v>
      </c>
      <c r="D1865" s="29"/>
      <c r="F1865" s="29" t="s">
        <v>139</v>
      </c>
      <c r="G1865" s="29" t="s">
        <v>737</v>
      </c>
      <c r="H1865" s="29" t="s">
        <v>38</v>
      </c>
      <c r="I1865" s="120">
        <v>45749</v>
      </c>
      <c r="J1865" s="120">
        <f t="shared" si="20"/>
        <v>45754</v>
      </c>
      <c r="K1865" s="120"/>
      <c r="L1865" s="120"/>
      <c r="M1865" s="120"/>
      <c r="N1865" s="120">
        <v>45764</v>
      </c>
      <c r="O1865" s="119" t="s">
        <v>877</v>
      </c>
      <c r="P1865" s="29"/>
      <c r="Q1865" s="81">
        <v>190</v>
      </c>
    </row>
    <row r="1866" spans="1:18" hidden="1">
      <c r="A1866" s="134" t="s">
        <v>1097</v>
      </c>
      <c r="C1866" s="29">
        <v>92504376</v>
      </c>
      <c r="D1866" s="29"/>
      <c r="F1866" s="29" t="s">
        <v>139</v>
      </c>
      <c r="G1866" s="29" t="s">
        <v>737</v>
      </c>
      <c r="H1866" s="29" t="s">
        <v>38</v>
      </c>
      <c r="I1866" s="120">
        <v>45749</v>
      </c>
      <c r="J1866" s="120">
        <f t="shared" si="20"/>
        <v>45754</v>
      </c>
      <c r="K1866" s="120"/>
      <c r="L1866" s="120"/>
      <c r="M1866" s="120"/>
      <c r="N1866" s="120">
        <v>45762</v>
      </c>
      <c r="O1866" s="119" t="s">
        <v>877</v>
      </c>
      <c r="P1866" s="29"/>
      <c r="Q1866" s="81">
        <v>330</v>
      </c>
    </row>
    <row r="1867" spans="1:18" hidden="1">
      <c r="A1867" s="134" t="s">
        <v>1097</v>
      </c>
      <c r="C1867" s="29">
        <v>92504430</v>
      </c>
      <c r="D1867" s="29"/>
      <c r="F1867" s="29" t="s">
        <v>139</v>
      </c>
      <c r="G1867" s="29" t="s">
        <v>737</v>
      </c>
      <c r="H1867" s="29" t="s">
        <v>38</v>
      </c>
      <c r="I1867" s="120">
        <v>45749</v>
      </c>
      <c r="J1867" s="120">
        <f t="shared" si="20"/>
        <v>45754</v>
      </c>
      <c r="K1867" s="120"/>
      <c r="L1867" s="120"/>
      <c r="M1867" s="120"/>
      <c r="N1867" s="120">
        <v>45764</v>
      </c>
      <c r="O1867" s="119" t="s">
        <v>877</v>
      </c>
      <c r="P1867" s="29"/>
      <c r="Q1867" s="81">
        <v>260</v>
      </c>
    </row>
    <row r="1868" spans="1:18" hidden="1">
      <c r="A1868" s="134" t="s">
        <v>1097</v>
      </c>
      <c r="C1868" s="29">
        <v>92504450</v>
      </c>
      <c r="D1868" s="29"/>
      <c r="F1868" s="29" t="s">
        <v>139</v>
      </c>
      <c r="G1868" s="29" t="s">
        <v>737</v>
      </c>
      <c r="H1868" s="29" t="s">
        <v>38</v>
      </c>
      <c r="I1868" s="120">
        <v>45749</v>
      </c>
      <c r="J1868" s="120">
        <f t="shared" ref="J1868:J1931" si="21">WORKDAY(I1868, 3)</f>
        <v>45754</v>
      </c>
      <c r="K1868" s="120"/>
      <c r="L1868" s="120"/>
      <c r="M1868" s="120"/>
      <c r="N1868" s="120">
        <v>45764</v>
      </c>
      <c r="O1868" s="119" t="s">
        <v>877</v>
      </c>
      <c r="P1868" s="29"/>
      <c r="Q1868" s="81">
        <v>430</v>
      </c>
    </row>
    <row r="1869" spans="1:18" hidden="1">
      <c r="A1869" s="134" t="s">
        <v>1097</v>
      </c>
      <c r="C1869" s="29">
        <v>92504488</v>
      </c>
      <c r="D1869" s="29"/>
      <c r="F1869" s="29" t="s">
        <v>139</v>
      </c>
      <c r="G1869" s="29" t="s">
        <v>737</v>
      </c>
      <c r="H1869" s="29" t="s">
        <v>38</v>
      </c>
      <c r="I1869" s="120">
        <v>45749</v>
      </c>
      <c r="J1869" s="120">
        <f t="shared" si="21"/>
        <v>45754</v>
      </c>
      <c r="K1869" s="120">
        <v>45762</v>
      </c>
      <c r="L1869" s="120"/>
      <c r="M1869" s="120"/>
      <c r="N1869" s="120">
        <v>45769</v>
      </c>
      <c r="O1869" s="119" t="s">
        <v>877</v>
      </c>
      <c r="P1869" s="29"/>
      <c r="Q1869" s="81">
        <v>1000</v>
      </c>
    </row>
    <row r="1870" spans="1:18" hidden="1">
      <c r="A1870" s="134" t="s">
        <v>1097</v>
      </c>
      <c r="C1870" s="29">
        <v>92504501</v>
      </c>
      <c r="D1870" s="29"/>
      <c r="F1870" s="29" t="s">
        <v>139</v>
      </c>
      <c r="G1870" s="29" t="s">
        <v>737</v>
      </c>
      <c r="H1870" s="29" t="s">
        <v>38</v>
      </c>
      <c r="I1870" s="120">
        <v>45749</v>
      </c>
      <c r="J1870" s="120">
        <f t="shared" si="21"/>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 t="shared" si="21"/>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 t="shared" si="21"/>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 t="shared" si="21"/>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 t="shared" si="21"/>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 t="shared" si="21"/>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 t="shared" si="21"/>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 t="shared" si="21"/>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 t="shared" si="21"/>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 t="shared" si="21"/>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 t="shared" si="21"/>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 t="shared" si="21"/>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 t="shared" si="21"/>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 t="shared" si="21"/>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 t="shared" si="21"/>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 t="shared" si="21"/>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 t="shared" si="21"/>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 t="shared" si="21"/>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 t="shared" si="21"/>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 t="shared" si="21"/>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 t="shared" si="21"/>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 t="shared" si="21"/>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 t="shared" si="21"/>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 t="shared" si="21"/>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 t="shared" si="21"/>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 t="shared" si="21"/>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 t="shared" si="21"/>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 t="shared" si="21"/>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 t="shared" si="21"/>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 t="shared" si="21"/>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 t="shared" si="21"/>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 t="shared" si="21"/>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 t="shared" si="21"/>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 t="shared" si="21"/>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 t="shared" si="21"/>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 t="shared" si="21"/>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 t="shared" si="21"/>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 t="shared" si="21"/>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 t="shared" si="21"/>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 t="shared" si="21"/>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 t="shared" si="21"/>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 t="shared" si="21"/>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 t="shared" si="21"/>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 t="shared" si="21"/>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 t="shared" si="21"/>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 t="shared" si="21"/>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 t="shared" si="21"/>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 t="shared" si="21"/>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 t="shared" si="21"/>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 t="shared" si="21"/>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 t="shared" si="21"/>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 t="shared" si="21"/>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 t="shared" si="21"/>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 t="shared" si="21"/>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 t="shared" si="21"/>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 t="shared" si="21"/>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 t="shared" si="21"/>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 t="shared" si="21"/>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 t="shared" si="21"/>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 t="shared" si="21"/>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 t="shared" si="21"/>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 t="shared" si="21"/>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 t="shared" ref="J1932:J1950" si="22">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 t="shared" si="22"/>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 t="shared" si="22"/>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 t="shared" si="22"/>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109</v>
      </c>
      <c r="G1936" s="29" t="s">
        <v>164</v>
      </c>
      <c r="H1936" s="29" t="s">
        <v>110</v>
      </c>
      <c r="I1936" s="42">
        <v>45735</v>
      </c>
      <c r="J1936" s="120">
        <f t="shared" si="22"/>
        <v>45740</v>
      </c>
      <c r="K1936" s="120"/>
      <c r="L1936" s="120"/>
      <c r="M1936" s="120"/>
      <c r="N1936" s="120">
        <v>45742</v>
      </c>
      <c r="O1936" s="29" t="s">
        <v>877</v>
      </c>
      <c r="P1936" s="120"/>
      <c r="Q1936" s="81"/>
      <c r="R1936" s="29"/>
    </row>
    <row r="1937" spans="1:19" hidden="1">
      <c r="A1937" s="134" t="s">
        <v>1201</v>
      </c>
      <c r="C1937" s="29">
        <v>78508106</v>
      </c>
      <c r="D1937" s="29"/>
      <c r="F1937" s="29" t="s">
        <v>109</v>
      </c>
      <c r="G1937" s="29" t="s">
        <v>164</v>
      </c>
      <c r="H1937" s="29" t="s">
        <v>110</v>
      </c>
      <c r="I1937" s="42">
        <v>45735</v>
      </c>
      <c r="J1937" s="120">
        <f t="shared" si="22"/>
        <v>45740</v>
      </c>
      <c r="K1937" s="120"/>
      <c r="L1937" s="120"/>
      <c r="M1937" s="120"/>
      <c r="N1937" s="120">
        <v>45742</v>
      </c>
      <c r="O1937" s="29" t="s">
        <v>877</v>
      </c>
      <c r="P1937" s="120"/>
      <c r="Q1937" s="81"/>
      <c r="R1937" s="29"/>
    </row>
    <row r="1938" spans="1:19" hidden="1">
      <c r="A1938" s="134" t="s">
        <v>1201</v>
      </c>
      <c r="C1938" s="29">
        <v>78508127</v>
      </c>
      <c r="D1938" s="29"/>
      <c r="F1938" s="29" t="s">
        <v>109</v>
      </c>
      <c r="G1938" s="29" t="s">
        <v>164</v>
      </c>
      <c r="H1938" s="29" t="s">
        <v>110</v>
      </c>
      <c r="I1938" s="42">
        <v>45735</v>
      </c>
      <c r="J1938" s="120">
        <f t="shared" si="22"/>
        <v>45740</v>
      </c>
      <c r="K1938" s="120"/>
      <c r="L1938" s="120"/>
      <c r="M1938" s="120"/>
      <c r="N1938" s="120">
        <v>45742</v>
      </c>
      <c r="O1938" s="29" t="s">
        <v>877</v>
      </c>
      <c r="P1938" s="120"/>
      <c r="Q1938" s="81"/>
      <c r="R1938" s="29"/>
    </row>
    <row r="1939" spans="1:19" hidden="1">
      <c r="A1939" s="134" t="s">
        <v>1201</v>
      </c>
      <c r="C1939" s="29">
        <v>78508175</v>
      </c>
      <c r="D1939" s="29"/>
      <c r="F1939" s="29" t="s">
        <v>109</v>
      </c>
      <c r="G1939" s="29" t="s">
        <v>164</v>
      </c>
      <c r="H1939" s="29" t="s">
        <v>110</v>
      </c>
      <c r="I1939" s="42">
        <v>45735</v>
      </c>
      <c r="J1939" s="120">
        <f t="shared" si="22"/>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 t="shared" si="22"/>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 t="shared" si="22"/>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 t="shared" si="22"/>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 t="shared" si="22"/>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 t="shared" si="22"/>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 t="shared" si="22"/>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 t="shared" si="22"/>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 t="shared" si="22"/>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 t="shared" si="22"/>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 t="shared" si="22"/>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 t="shared" si="22"/>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 t="shared" ref="J1953:J2016" si="23">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 t="shared" si="23"/>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 t="shared" si="23"/>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 t="shared" si="23"/>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 t="shared" si="23"/>
        <v>45737</v>
      </c>
      <c r="K1957" s="120"/>
      <c r="L1957" s="120"/>
      <c r="M1957" s="120"/>
      <c r="N1957" s="29"/>
      <c r="O1957" s="29" t="s">
        <v>877</v>
      </c>
      <c r="P1957" s="120"/>
      <c r="Q1957" s="81"/>
      <c r="R1957" s="29"/>
    </row>
    <row r="1958" spans="1:19" hidden="1">
      <c r="A1958" s="134" t="s">
        <v>973</v>
      </c>
      <c r="C1958" s="29">
        <v>105505134</v>
      </c>
      <c r="D1958" s="29"/>
      <c r="F1958" s="29" t="s">
        <v>139</v>
      </c>
      <c r="G1958" s="29" t="s">
        <v>737</v>
      </c>
      <c r="H1958" s="29" t="s">
        <v>38</v>
      </c>
      <c r="I1958" s="120">
        <v>45762</v>
      </c>
      <c r="J1958" s="120">
        <f t="shared" si="23"/>
        <v>45765</v>
      </c>
      <c r="K1958" s="120"/>
      <c r="L1958" s="120"/>
      <c r="M1958" s="120"/>
      <c r="N1958" s="29"/>
      <c r="O1958" s="29" t="s">
        <v>877</v>
      </c>
      <c r="P1958" s="120"/>
      <c r="Q1958" s="81"/>
      <c r="R1958" s="29">
        <v>600</v>
      </c>
    </row>
    <row r="1959" spans="1:19" hidden="1">
      <c r="A1959" s="134" t="s">
        <v>1047</v>
      </c>
      <c r="C1959" s="29">
        <v>105505191</v>
      </c>
      <c r="D1959" s="29"/>
      <c r="F1959" s="29" t="s">
        <v>139</v>
      </c>
      <c r="G1959" s="29" t="s">
        <v>737</v>
      </c>
      <c r="H1959" s="29" t="s">
        <v>38</v>
      </c>
      <c r="I1959" s="120">
        <v>45762</v>
      </c>
      <c r="J1959" s="120">
        <f t="shared" si="23"/>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 t="shared" si="23"/>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 t="shared" si="23"/>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 t="shared" si="23"/>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 t="shared" si="23"/>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 t="shared" si="23"/>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 t="shared" si="23"/>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 t="shared" si="23"/>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 t="shared" si="23"/>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 t="shared" si="23"/>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 t="shared" si="23"/>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 t="shared" si="23"/>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 t="shared" si="23"/>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 t="shared" si="23"/>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 t="shared" si="23"/>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 t="shared" si="23"/>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 t="shared" si="23"/>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 t="shared" si="23"/>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 t="shared" si="23"/>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 t="shared" si="23"/>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 t="shared" si="23"/>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 t="shared" si="23"/>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 t="shared" si="23"/>
        <v>45749</v>
      </c>
      <c r="K1981" s="120"/>
      <c r="L1981" s="120"/>
      <c r="M1981" s="120"/>
      <c r="N1981" s="120">
        <v>45748</v>
      </c>
      <c r="O1981" s="29" t="s">
        <v>877</v>
      </c>
      <c r="P1981" s="120"/>
      <c r="Q1981" s="81"/>
      <c r="R1981" s="29">
        <v>303</v>
      </c>
    </row>
    <row r="1982" spans="1:18" hidden="1">
      <c r="A1982" s="134" t="s">
        <v>1210</v>
      </c>
      <c r="C1982" s="29">
        <v>87501989</v>
      </c>
      <c r="D1982" s="29"/>
      <c r="F1982" s="29" t="s">
        <v>109</v>
      </c>
      <c r="G1982" s="29" t="s">
        <v>737</v>
      </c>
      <c r="H1982" s="29" t="s">
        <v>110</v>
      </c>
      <c r="I1982" s="120">
        <v>45744</v>
      </c>
      <c r="J1982" s="120">
        <f t="shared" si="23"/>
        <v>45749</v>
      </c>
      <c r="K1982" s="120"/>
      <c r="L1982" s="120"/>
      <c r="M1982" s="120"/>
      <c r="N1982" s="29"/>
      <c r="O1982" s="29" t="s">
        <v>877</v>
      </c>
      <c r="P1982" s="120"/>
      <c r="Q1982" s="81"/>
      <c r="R1982" s="29">
        <v>1300</v>
      </c>
    </row>
    <row r="1983" spans="1:18" hidden="1">
      <c r="A1983" s="134" t="s">
        <v>1210</v>
      </c>
      <c r="C1983" s="29">
        <v>87502260</v>
      </c>
      <c r="D1983" s="29"/>
      <c r="F1983" s="29" t="s">
        <v>109</v>
      </c>
      <c r="G1983" s="29" t="s">
        <v>737</v>
      </c>
      <c r="H1983" s="29" t="s">
        <v>110</v>
      </c>
      <c r="I1983" s="120">
        <v>45744</v>
      </c>
      <c r="J1983" s="120">
        <f t="shared" si="23"/>
        <v>45749</v>
      </c>
      <c r="K1983" s="120"/>
      <c r="L1983" s="120"/>
      <c r="M1983" s="120"/>
      <c r="N1983" s="29"/>
      <c r="O1983" s="29" t="s">
        <v>877</v>
      </c>
      <c r="P1983" s="120"/>
      <c r="Q1983" s="81"/>
      <c r="R1983" s="29">
        <v>1200</v>
      </c>
    </row>
    <row r="1984" spans="1:18" hidden="1">
      <c r="A1984" s="134" t="s">
        <v>1210</v>
      </c>
      <c r="C1984" s="29">
        <v>87502378</v>
      </c>
      <c r="D1984" s="29"/>
      <c r="F1984" s="29" t="s">
        <v>109</v>
      </c>
      <c r="G1984" s="29" t="s">
        <v>737</v>
      </c>
      <c r="H1984" s="29" t="s">
        <v>110</v>
      </c>
      <c r="I1984" s="120">
        <v>45744</v>
      </c>
      <c r="J1984" s="120">
        <f t="shared" si="23"/>
        <v>45749</v>
      </c>
      <c r="K1984" s="120"/>
      <c r="L1984" s="120"/>
      <c r="M1984" s="120"/>
      <c r="N1984" s="29"/>
      <c r="O1984" s="29" t="s">
        <v>877</v>
      </c>
      <c r="P1984" s="120"/>
      <c r="Q1984" s="81"/>
      <c r="R1984" s="29">
        <v>515</v>
      </c>
    </row>
    <row r="1985" spans="1:24" hidden="1">
      <c r="A1985" s="134" t="s">
        <v>1210</v>
      </c>
      <c r="C1985" s="29">
        <v>87502176</v>
      </c>
      <c r="D1985" s="29"/>
      <c r="F1985" s="29" t="s">
        <v>109</v>
      </c>
      <c r="G1985" s="29" t="s">
        <v>737</v>
      </c>
      <c r="H1985" s="29" t="s">
        <v>110</v>
      </c>
      <c r="I1985" s="120">
        <v>45744</v>
      </c>
      <c r="J1985" s="120">
        <f t="shared" si="23"/>
        <v>45749</v>
      </c>
      <c r="K1985" s="120"/>
      <c r="L1985" s="120"/>
      <c r="M1985" s="120"/>
      <c r="N1985" s="29"/>
      <c r="O1985" s="29" t="s">
        <v>877</v>
      </c>
      <c r="P1985" s="120"/>
      <c r="Q1985" s="81"/>
      <c r="R1985" s="29">
        <v>1320</v>
      </c>
    </row>
    <row r="1986" spans="1:24" hidden="1">
      <c r="A1986" s="134" t="s">
        <v>1210</v>
      </c>
      <c r="C1986" s="29">
        <v>87502051</v>
      </c>
      <c r="D1986" s="29"/>
      <c r="F1986" s="29" t="s">
        <v>109</v>
      </c>
      <c r="G1986" s="29" t="s">
        <v>737</v>
      </c>
      <c r="H1986" s="29" t="s">
        <v>110</v>
      </c>
      <c r="I1986" s="120">
        <v>45744</v>
      </c>
      <c r="J1986" s="120">
        <f t="shared" si="23"/>
        <v>45749</v>
      </c>
      <c r="K1986" s="120"/>
      <c r="L1986" s="120"/>
      <c r="M1986" s="120"/>
      <c r="N1986" s="29"/>
      <c r="O1986" s="29" t="s">
        <v>877</v>
      </c>
      <c r="P1986" s="120"/>
      <c r="Q1986" s="81"/>
      <c r="R1986" s="29">
        <v>1200</v>
      </c>
    </row>
    <row r="1987" spans="1:24" hidden="1">
      <c r="A1987" s="134" t="s">
        <v>1105</v>
      </c>
      <c r="C1987" s="29">
        <v>90503907</v>
      </c>
      <c r="D1987" s="29"/>
      <c r="F1987" s="29" t="s">
        <v>139</v>
      </c>
      <c r="G1987" s="29" t="s">
        <v>737</v>
      </c>
      <c r="H1987" s="29" t="s">
        <v>38</v>
      </c>
      <c r="I1987" s="120">
        <v>45747</v>
      </c>
      <c r="J1987" s="120">
        <f t="shared" si="23"/>
        <v>45750</v>
      </c>
      <c r="K1987" s="120"/>
      <c r="L1987" s="120"/>
      <c r="M1987" s="120"/>
      <c r="N1987" s="120">
        <v>45748</v>
      </c>
      <c r="O1987" s="29" t="s">
        <v>877</v>
      </c>
      <c r="P1987" s="120"/>
      <c r="Q1987" s="81"/>
      <c r="R1987" s="29">
        <v>260</v>
      </c>
    </row>
    <row r="1988" spans="1:24" hidden="1">
      <c r="A1988" s="134" t="s">
        <v>1090</v>
      </c>
      <c r="C1988" s="29">
        <v>90501769</v>
      </c>
      <c r="D1988" s="29"/>
      <c r="F1988" s="29" t="s">
        <v>109</v>
      </c>
      <c r="G1988" s="29" t="s">
        <v>737</v>
      </c>
      <c r="H1988" s="29" t="s">
        <v>110</v>
      </c>
      <c r="I1988" s="120">
        <v>45747</v>
      </c>
      <c r="J1988" s="120">
        <f t="shared" si="23"/>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 t="shared" si="23"/>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 t="shared" si="23"/>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 t="shared" si="23"/>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139</v>
      </c>
      <c r="G1992" s="29" t="s">
        <v>737</v>
      </c>
      <c r="H1992" s="29" t="s">
        <v>38</v>
      </c>
      <c r="I1992" s="120">
        <v>45751</v>
      </c>
      <c r="J1992" s="120">
        <f t="shared" si="23"/>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 t="shared" si="23"/>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 t="shared" si="23"/>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 t="shared" si="23"/>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 t="shared" si="23"/>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 t="shared" si="23"/>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 t="shared" si="23"/>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 t="shared" si="23"/>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 t="shared" si="23"/>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 t="shared" si="23"/>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 t="shared" si="23"/>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 t="shared" si="23"/>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 t="shared" si="23"/>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 t="shared" si="23"/>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 t="shared" si="23"/>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 t="shared" si="23"/>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 t="shared" si="23"/>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 t="shared" si="23"/>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 t="shared" si="23"/>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 t="shared" si="23"/>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 t="shared" si="23"/>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 t="shared" si="23"/>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 t="shared" si="23"/>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 t="shared" si="23"/>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 t="shared" si="23"/>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 t="shared" ref="J2017:J2080" si="24">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 t="shared" si="24"/>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 t="shared" si="24"/>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 t="shared" si="24"/>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 t="shared" si="24"/>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 t="shared" si="24"/>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 t="shared" si="24"/>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 t="shared" si="24"/>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 t="shared" si="24"/>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 t="shared" si="24"/>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 t="shared" si="24"/>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 t="shared" si="24"/>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 t="shared" si="24"/>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 t="shared" si="24"/>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 t="shared" si="24"/>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 t="shared" si="24"/>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 t="shared" si="24"/>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 t="shared" si="24"/>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 t="shared" si="24"/>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 t="shared" si="24"/>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 t="shared" si="24"/>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 t="shared" si="24"/>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 t="shared" si="24"/>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 t="shared" si="24"/>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 t="shared" si="24"/>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 t="shared" si="24"/>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 t="shared" si="24"/>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 t="shared" si="24"/>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 t="shared" si="24"/>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 t="shared" si="24"/>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 t="shared" si="24"/>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 t="shared" si="24"/>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 t="shared" si="24"/>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 t="shared" si="24"/>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 t="shared" si="24"/>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 t="shared" si="24"/>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 t="shared" si="24"/>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 t="shared" si="24"/>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 t="shared" si="24"/>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 t="shared" si="24"/>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 t="shared" si="24"/>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 t="shared" si="24"/>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 t="shared" si="24"/>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 t="shared" si="24"/>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139</v>
      </c>
      <c r="G2061" s="29" t="s">
        <v>737</v>
      </c>
      <c r="H2061" s="29" t="s">
        <v>38</v>
      </c>
      <c r="I2061" s="120">
        <v>45763</v>
      </c>
      <c r="J2061" s="120">
        <f t="shared" si="24"/>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139</v>
      </c>
      <c r="G2062" s="29" t="s">
        <v>737</v>
      </c>
      <c r="H2062" s="29" t="s">
        <v>38</v>
      </c>
      <c r="I2062" s="120">
        <v>45750</v>
      </c>
      <c r="J2062" s="120">
        <f t="shared" si="24"/>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139</v>
      </c>
      <c r="G2063" s="29" t="s">
        <v>737</v>
      </c>
      <c r="H2063" s="29" t="s">
        <v>38</v>
      </c>
      <c r="I2063" s="120">
        <v>45755</v>
      </c>
      <c r="J2063" s="120">
        <f t="shared" si="24"/>
        <v>45758</v>
      </c>
      <c r="K2063" s="120"/>
      <c r="L2063" s="120"/>
      <c r="M2063" s="120"/>
      <c r="N2063" s="29"/>
      <c r="O2063" s="29" t="s">
        <v>877</v>
      </c>
      <c r="P2063" s="120"/>
      <c r="Q2063" s="81"/>
      <c r="R2063" s="29">
        <v>70</v>
      </c>
      <c r="S2063" s="124" t="s">
        <v>1254</v>
      </c>
    </row>
    <row r="2064" spans="1:19" hidden="1">
      <c r="A2064" s="134" t="s">
        <v>202</v>
      </c>
      <c r="C2064" s="29">
        <v>98505823</v>
      </c>
      <c r="D2064" s="29"/>
      <c r="F2064" s="29" t="s">
        <v>139</v>
      </c>
      <c r="G2064" s="29" t="s">
        <v>737</v>
      </c>
      <c r="H2064" s="29" t="s">
        <v>38</v>
      </c>
      <c r="I2064" s="120">
        <v>45755</v>
      </c>
      <c r="J2064" s="120">
        <f t="shared" si="24"/>
        <v>45758</v>
      </c>
      <c r="K2064" s="120"/>
      <c r="L2064" s="120"/>
      <c r="M2064" s="120"/>
      <c r="N2064" s="29"/>
      <c r="O2064" s="29" t="s">
        <v>877</v>
      </c>
      <c r="P2064" s="120"/>
      <c r="Q2064" s="81"/>
      <c r="R2064" s="29">
        <v>165</v>
      </c>
    </row>
    <row r="2065" spans="1:19" hidden="1">
      <c r="A2065" s="134" t="s">
        <v>202</v>
      </c>
      <c r="C2065" s="29">
        <v>99501174</v>
      </c>
      <c r="D2065" s="29"/>
      <c r="F2065" s="29" t="s">
        <v>139</v>
      </c>
      <c r="G2065" s="29" t="s">
        <v>737</v>
      </c>
      <c r="H2065" s="29" t="s">
        <v>38</v>
      </c>
      <c r="I2065" s="120">
        <v>45756</v>
      </c>
      <c r="J2065" s="120">
        <f t="shared" si="24"/>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139</v>
      </c>
      <c r="G2066" s="29" t="s">
        <v>737</v>
      </c>
      <c r="H2066" s="29" t="s">
        <v>38</v>
      </c>
      <c r="I2066" s="120">
        <v>45758</v>
      </c>
      <c r="J2066" s="120">
        <f t="shared" si="24"/>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139</v>
      </c>
      <c r="G2067" s="29" t="s">
        <v>737</v>
      </c>
      <c r="H2067" s="29" t="s">
        <v>38</v>
      </c>
      <c r="I2067" s="120">
        <v>45758</v>
      </c>
      <c r="J2067" s="120">
        <f t="shared" si="24"/>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139</v>
      </c>
      <c r="G2068" s="29" t="s">
        <v>737</v>
      </c>
      <c r="H2068" s="29" t="s">
        <v>38</v>
      </c>
      <c r="I2068" s="120">
        <v>45758</v>
      </c>
      <c r="J2068" s="120">
        <f t="shared" si="24"/>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 t="shared" si="24"/>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139</v>
      </c>
      <c r="G2070" s="29" t="s">
        <v>737</v>
      </c>
      <c r="H2070" s="29" t="s">
        <v>38</v>
      </c>
      <c r="I2070" s="120">
        <v>45764</v>
      </c>
      <c r="J2070" s="120">
        <f t="shared" si="24"/>
        <v>45769</v>
      </c>
      <c r="K2070" s="120"/>
      <c r="L2070" s="120"/>
      <c r="M2070" s="120"/>
      <c r="N2070" s="29"/>
      <c r="O2070" s="29" t="s">
        <v>877</v>
      </c>
      <c r="P2070" s="120"/>
      <c r="Q2070" s="81"/>
      <c r="R2070" s="29">
        <v>250</v>
      </c>
      <c r="S2070" s="124" t="s">
        <v>1265</v>
      </c>
    </row>
    <row r="2071" spans="1:19" hidden="1">
      <c r="A2071" s="134" t="s">
        <v>202</v>
      </c>
      <c r="C2071" s="29">
        <v>107502240</v>
      </c>
      <c r="D2071" s="29"/>
      <c r="F2071" s="29" t="s">
        <v>139</v>
      </c>
      <c r="G2071" s="29" t="s">
        <v>737</v>
      </c>
      <c r="H2071" s="29" t="s">
        <v>38</v>
      </c>
      <c r="I2071" s="120">
        <v>45764</v>
      </c>
      <c r="J2071" s="120">
        <f t="shared" si="24"/>
        <v>45769</v>
      </c>
      <c r="K2071" s="120"/>
      <c r="L2071" s="120"/>
      <c r="M2071" s="120"/>
      <c r="N2071" s="29"/>
      <c r="O2071" s="29" t="s">
        <v>877</v>
      </c>
      <c r="P2071" s="120"/>
      <c r="Q2071" s="81"/>
      <c r="R2071" s="29">
        <v>100</v>
      </c>
      <c r="S2071" s="124" t="s">
        <v>1188</v>
      </c>
    </row>
    <row r="2072" spans="1:19" hidden="1">
      <c r="A2072" s="134" t="s">
        <v>202</v>
      </c>
      <c r="C2072" s="29">
        <v>111500938</v>
      </c>
      <c r="D2072" s="29"/>
      <c r="F2072" s="29" t="s">
        <v>139</v>
      </c>
      <c r="G2072" s="29" t="s">
        <v>737</v>
      </c>
      <c r="H2072" s="29" t="s">
        <v>38</v>
      </c>
      <c r="I2072" s="120">
        <v>45768</v>
      </c>
      <c r="J2072" s="120">
        <f t="shared" si="24"/>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139</v>
      </c>
      <c r="G2073" s="29" t="s">
        <v>737</v>
      </c>
      <c r="H2073" s="29" t="s">
        <v>38</v>
      </c>
      <c r="I2073" s="120">
        <v>45768</v>
      </c>
      <c r="J2073" s="120">
        <f t="shared" si="24"/>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139</v>
      </c>
      <c r="G2074" s="29" t="s">
        <v>737</v>
      </c>
      <c r="H2074" s="29" t="s">
        <v>38</v>
      </c>
      <c r="I2074" s="120">
        <v>45768</v>
      </c>
      <c r="J2074" s="120">
        <f t="shared" si="24"/>
        <v>45771</v>
      </c>
      <c r="K2074" s="120"/>
      <c r="L2074" s="120"/>
      <c r="M2074" s="120"/>
      <c r="N2074" s="29"/>
      <c r="O2074" s="29" t="s">
        <v>877</v>
      </c>
      <c r="P2074" s="120"/>
      <c r="Q2074" s="81"/>
      <c r="R2074" s="29">
        <v>120</v>
      </c>
      <c r="S2074" s="124" t="s">
        <v>1269</v>
      </c>
    </row>
    <row r="2075" spans="1:19" hidden="1">
      <c r="A2075" s="134" t="s">
        <v>202</v>
      </c>
      <c r="C2075" s="29">
        <v>111506944</v>
      </c>
      <c r="D2075" s="29"/>
      <c r="F2075" s="29" t="s">
        <v>139</v>
      </c>
      <c r="G2075" s="29" t="s">
        <v>737</v>
      </c>
      <c r="H2075" s="29" t="s">
        <v>38</v>
      </c>
      <c r="I2075" s="120">
        <v>45768</v>
      </c>
      <c r="J2075" s="120">
        <f t="shared" si="24"/>
        <v>45771</v>
      </c>
      <c r="K2075" s="120"/>
      <c r="L2075" s="120"/>
      <c r="M2075" s="120"/>
      <c r="N2075" s="29"/>
      <c r="O2075" s="29" t="s">
        <v>877</v>
      </c>
      <c r="P2075" s="120"/>
      <c r="Q2075" s="81"/>
      <c r="R2075" s="29">
        <v>260</v>
      </c>
      <c r="S2075" s="124" t="s">
        <v>1269</v>
      </c>
    </row>
    <row r="2076" spans="1:19" hidden="1">
      <c r="A2076" s="134" t="s">
        <v>202</v>
      </c>
      <c r="C2076" s="29">
        <v>118500711</v>
      </c>
      <c r="D2076" s="29"/>
      <c r="F2076" s="29" t="s">
        <v>139</v>
      </c>
      <c r="G2076" s="29" t="s">
        <v>737</v>
      </c>
      <c r="H2076" s="29" t="s">
        <v>38</v>
      </c>
      <c r="I2076" s="120">
        <v>45772</v>
      </c>
      <c r="J2076" s="120">
        <f t="shared" si="24"/>
        <v>45777</v>
      </c>
      <c r="K2076" s="120"/>
      <c r="L2076" s="120"/>
      <c r="M2076" s="120"/>
      <c r="N2076" s="29"/>
      <c r="O2076" s="29" t="s">
        <v>877</v>
      </c>
      <c r="P2076" s="120"/>
      <c r="Q2076" s="81"/>
      <c r="R2076" s="150">
        <v>90</v>
      </c>
    </row>
    <row r="2077" spans="1:19" hidden="1">
      <c r="A2077" s="134" t="s">
        <v>202</v>
      </c>
      <c r="C2077" s="29">
        <v>118500746</v>
      </c>
      <c r="D2077" s="29"/>
      <c r="F2077" s="29" t="s">
        <v>139</v>
      </c>
      <c r="G2077" s="29" t="s">
        <v>737</v>
      </c>
      <c r="H2077" s="29" t="s">
        <v>38</v>
      </c>
      <c r="I2077" s="120">
        <v>45772</v>
      </c>
      <c r="J2077" s="120">
        <f t="shared" si="24"/>
        <v>45777</v>
      </c>
      <c r="K2077" s="120"/>
      <c r="L2077" s="120"/>
      <c r="M2077" s="120"/>
      <c r="N2077" s="29"/>
      <c r="O2077" s="29" t="s">
        <v>1246</v>
      </c>
      <c r="P2077" s="29"/>
      <c r="Q2077" s="81"/>
      <c r="R2077" s="150">
        <v>100</v>
      </c>
    </row>
    <row r="2078" spans="1:19" hidden="1">
      <c r="A2078" s="134" t="s">
        <v>1270</v>
      </c>
      <c r="C2078" s="29">
        <v>104503569</v>
      </c>
      <c r="D2078" s="29"/>
      <c r="F2078" s="29" t="s">
        <v>139</v>
      </c>
      <c r="G2078" s="29" t="s">
        <v>737</v>
      </c>
      <c r="H2078" s="29" t="s">
        <v>38</v>
      </c>
      <c r="I2078" s="120">
        <v>45761</v>
      </c>
      <c r="J2078" s="120">
        <f t="shared" si="24"/>
        <v>45764</v>
      </c>
      <c r="K2078" s="120"/>
      <c r="L2078" s="120"/>
      <c r="M2078" s="120"/>
      <c r="N2078" s="120">
        <v>45763</v>
      </c>
      <c r="O2078" s="29" t="s">
        <v>877</v>
      </c>
      <c r="P2078" s="120"/>
      <c r="Q2078" s="81"/>
      <c r="R2078" s="29">
        <v>460</v>
      </c>
    </row>
    <row r="2079" spans="1:19" hidden="1">
      <c r="A2079" s="134" t="s">
        <v>1270</v>
      </c>
      <c r="C2079" s="29">
        <v>104503608</v>
      </c>
      <c r="D2079" s="29"/>
      <c r="F2079" s="29" t="s">
        <v>139</v>
      </c>
      <c r="G2079" s="29" t="s">
        <v>737</v>
      </c>
      <c r="H2079" s="29" t="s">
        <v>38</v>
      </c>
      <c r="I2079" s="120">
        <v>45761</v>
      </c>
      <c r="J2079" s="120">
        <f t="shared" si="24"/>
        <v>45764</v>
      </c>
      <c r="K2079" s="120"/>
      <c r="L2079" s="120"/>
      <c r="M2079" s="120"/>
      <c r="N2079" s="120">
        <v>45763</v>
      </c>
      <c r="O2079" s="29" t="s">
        <v>877</v>
      </c>
      <c r="P2079" s="120"/>
      <c r="Q2079" s="81"/>
      <c r="R2079" s="29">
        <v>350</v>
      </c>
    </row>
    <row r="2080" spans="1:19" hidden="1">
      <c r="A2080" s="134" t="s">
        <v>1270</v>
      </c>
      <c r="C2080" s="29">
        <v>104503640</v>
      </c>
      <c r="D2080" s="29"/>
      <c r="F2080" s="29" t="s">
        <v>139</v>
      </c>
      <c r="G2080" s="29" t="s">
        <v>737</v>
      </c>
      <c r="H2080" s="29" t="s">
        <v>38</v>
      </c>
      <c r="I2080" s="120">
        <v>45761</v>
      </c>
      <c r="J2080" s="120">
        <f t="shared" si="24"/>
        <v>45764</v>
      </c>
      <c r="K2080" s="120"/>
      <c r="L2080" s="120"/>
      <c r="M2080" s="120"/>
      <c r="N2080" s="120">
        <v>45763</v>
      </c>
      <c r="O2080" s="29" t="s">
        <v>877</v>
      </c>
      <c r="P2080" s="120"/>
      <c r="Q2080" s="81"/>
      <c r="R2080" s="29">
        <v>350</v>
      </c>
    </row>
    <row r="2081" spans="1:18" hidden="1">
      <c r="A2081" s="134" t="s">
        <v>1270</v>
      </c>
      <c r="C2081" s="29">
        <v>104503706</v>
      </c>
      <c r="D2081" s="29"/>
      <c r="F2081" s="29" t="s">
        <v>139</v>
      </c>
      <c r="G2081" s="29" t="s">
        <v>737</v>
      </c>
      <c r="H2081" s="29" t="s">
        <v>38</v>
      </c>
      <c r="I2081" s="120">
        <v>45761</v>
      </c>
      <c r="J2081" s="120">
        <f t="shared" ref="J2081:J2144" si="25">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139</v>
      </c>
      <c r="G2082" s="29" t="s">
        <v>737</v>
      </c>
      <c r="H2082" s="29" t="s">
        <v>38</v>
      </c>
      <c r="I2082" s="120">
        <v>45761</v>
      </c>
      <c r="J2082" s="120">
        <f t="shared" si="25"/>
        <v>45764</v>
      </c>
      <c r="K2082" s="120"/>
      <c r="L2082" s="120"/>
      <c r="M2082" s="120"/>
      <c r="N2082" s="120">
        <v>45763</v>
      </c>
      <c r="O2082" s="29" t="s">
        <v>877</v>
      </c>
      <c r="P2082" s="120"/>
      <c r="Q2082" s="81"/>
      <c r="R2082" s="29">
        <v>200</v>
      </c>
    </row>
    <row r="2083" spans="1:18" hidden="1">
      <c r="A2083" s="134" t="s">
        <v>1270</v>
      </c>
      <c r="C2083" s="29">
        <v>104503779</v>
      </c>
      <c r="D2083" s="29"/>
      <c r="F2083" s="29" t="s">
        <v>139</v>
      </c>
      <c r="G2083" s="29" t="s">
        <v>737</v>
      </c>
      <c r="H2083" s="29" t="s">
        <v>38</v>
      </c>
      <c r="I2083" s="120">
        <v>45761</v>
      </c>
      <c r="J2083" s="120">
        <f t="shared" si="25"/>
        <v>45764</v>
      </c>
      <c r="K2083" s="120"/>
      <c r="L2083" s="120"/>
      <c r="M2083" s="120"/>
      <c r="N2083" s="120">
        <v>45763</v>
      </c>
      <c r="O2083" s="29" t="s">
        <v>877</v>
      </c>
      <c r="P2083" s="120"/>
      <c r="Q2083" s="81"/>
      <c r="R2083" s="29">
        <v>240</v>
      </c>
    </row>
    <row r="2084" spans="1:18" hidden="1">
      <c r="A2084" s="134" t="s">
        <v>1074</v>
      </c>
      <c r="C2084" s="29">
        <v>104503876</v>
      </c>
      <c r="D2084" s="29"/>
      <c r="F2084" s="29" t="s">
        <v>139</v>
      </c>
      <c r="G2084" s="29" t="s">
        <v>737</v>
      </c>
      <c r="H2084" s="29" t="s">
        <v>38</v>
      </c>
      <c r="I2084" s="120">
        <v>45761</v>
      </c>
      <c r="J2084" s="120">
        <f t="shared" si="25"/>
        <v>45764</v>
      </c>
      <c r="K2084" s="120"/>
      <c r="L2084" s="120"/>
      <c r="M2084" s="120"/>
      <c r="N2084" s="120">
        <v>45763</v>
      </c>
      <c r="O2084" s="29" t="s">
        <v>877</v>
      </c>
      <c r="P2084" s="120"/>
      <c r="Q2084" s="81"/>
      <c r="R2084" s="29">
        <v>200</v>
      </c>
    </row>
    <row r="2085" spans="1:18" hidden="1">
      <c r="A2085" s="134" t="s">
        <v>1074</v>
      </c>
      <c r="C2085" s="29">
        <v>104503914</v>
      </c>
      <c r="D2085" s="29"/>
      <c r="F2085" s="29" t="s">
        <v>139</v>
      </c>
      <c r="G2085" s="29" t="s">
        <v>737</v>
      </c>
      <c r="H2085" s="29" t="s">
        <v>38</v>
      </c>
      <c r="I2085" s="120">
        <v>45761</v>
      </c>
      <c r="J2085" s="120">
        <f t="shared" si="25"/>
        <v>45764</v>
      </c>
      <c r="K2085" s="120"/>
      <c r="L2085" s="120"/>
      <c r="M2085" s="120"/>
      <c r="N2085" s="120">
        <v>45763</v>
      </c>
      <c r="O2085" s="29" t="s">
        <v>877</v>
      </c>
      <c r="P2085" s="120"/>
      <c r="Q2085" s="81"/>
      <c r="R2085" s="29">
        <v>270</v>
      </c>
    </row>
    <row r="2086" spans="1:18" hidden="1">
      <c r="A2086" s="134" t="s">
        <v>1074</v>
      </c>
      <c r="C2086" s="29">
        <v>104503956</v>
      </c>
      <c r="D2086" s="29"/>
      <c r="F2086" s="29" t="s">
        <v>139</v>
      </c>
      <c r="G2086" s="29" t="s">
        <v>737</v>
      </c>
      <c r="H2086" s="29" t="s">
        <v>38</v>
      </c>
      <c r="I2086" s="120">
        <v>45761</v>
      </c>
      <c r="J2086" s="120">
        <f t="shared" si="25"/>
        <v>45764</v>
      </c>
      <c r="K2086" s="120"/>
      <c r="L2086" s="120"/>
      <c r="M2086" s="120"/>
      <c r="N2086" s="120">
        <v>45763</v>
      </c>
      <c r="O2086" s="29" t="s">
        <v>877</v>
      </c>
      <c r="P2086" s="120"/>
      <c r="Q2086" s="81"/>
      <c r="R2086" s="29">
        <v>340</v>
      </c>
    </row>
    <row r="2087" spans="1:18" hidden="1">
      <c r="A2087" s="134" t="s">
        <v>1061</v>
      </c>
      <c r="C2087" s="29">
        <v>101500441</v>
      </c>
      <c r="D2087" s="29"/>
      <c r="F2087" s="29" t="s">
        <v>139</v>
      </c>
      <c r="G2087" s="29" t="s">
        <v>737</v>
      </c>
      <c r="H2087" s="29" t="s">
        <v>38</v>
      </c>
      <c r="I2087" s="120">
        <v>45758</v>
      </c>
      <c r="J2087" s="120">
        <f t="shared" si="25"/>
        <v>45763</v>
      </c>
      <c r="K2087" s="120"/>
      <c r="L2087" s="120"/>
      <c r="M2087" s="120"/>
      <c r="N2087" s="120">
        <v>45762</v>
      </c>
      <c r="O2087" s="29" t="s">
        <v>877</v>
      </c>
      <c r="P2087" s="120"/>
      <c r="Q2087" s="81"/>
      <c r="R2087" s="29">
        <v>250</v>
      </c>
    </row>
    <row r="2088" spans="1:18" hidden="1">
      <c r="A2088" s="134" t="s">
        <v>1061</v>
      </c>
      <c r="C2088" s="29">
        <v>101500516</v>
      </c>
      <c r="D2088" s="29"/>
      <c r="F2088" s="29" t="s">
        <v>139</v>
      </c>
      <c r="G2088" s="29" t="s">
        <v>737</v>
      </c>
      <c r="H2088" s="29" t="s">
        <v>38</v>
      </c>
      <c r="I2088" s="120">
        <v>45758</v>
      </c>
      <c r="J2088" s="120">
        <f t="shared" si="25"/>
        <v>45763</v>
      </c>
      <c r="K2088" s="120"/>
      <c r="L2088" s="120"/>
      <c r="M2088" s="120"/>
      <c r="N2088" s="120">
        <v>45762</v>
      </c>
      <c r="O2088" s="29" t="s">
        <v>877</v>
      </c>
      <c r="P2088" s="120"/>
      <c r="Q2088" s="81"/>
      <c r="R2088" s="29">
        <v>130</v>
      </c>
    </row>
    <row r="2089" spans="1:18" hidden="1">
      <c r="A2089" s="134" t="s">
        <v>1061</v>
      </c>
      <c r="C2089" s="29">
        <v>101500590</v>
      </c>
      <c r="D2089" s="29"/>
      <c r="F2089" s="29" t="s">
        <v>139</v>
      </c>
      <c r="G2089" s="29" t="s">
        <v>737</v>
      </c>
      <c r="H2089" s="29" t="s">
        <v>38</v>
      </c>
      <c r="I2089" s="120">
        <v>45758</v>
      </c>
      <c r="J2089" s="120">
        <f t="shared" si="25"/>
        <v>45763</v>
      </c>
      <c r="K2089" s="120"/>
      <c r="L2089" s="120"/>
      <c r="M2089" s="120"/>
      <c r="N2089" s="120">
        <v>45762</v>
      </c>
      <c r="O2089" s="29" t="s">
        <v>877</v>
      </c>
      <c r="P2089" s="120"/>
      <c r="Q2089" s="81"/>
      <c r="R2089" s="29">
        <v>250</v>
      </c>
    </row>
    <row r="2090" spans="1:18" hidden="1">
      <c r="A2090" s="134" t="s">
        <v>1061</v>
      </c>
      <c r="C2090" s="29">
        <v>101500702</v>
      </c>
      <c r="D2090" s="29"/>
      <c r="F2090" s="29" t="s">
        <v>139</v>
      </c>
      <c r="G2090" s="29" t="s">
        <v>737</v>
      </c>
      <c r="H2090" s="29" t="s">
        <v>38</v>
      </c>
      <c r="I2090" s="120">
        <v>45758</v>
      </c>
      <c r="J2090" s="120">
        <f t="shared" si="25"/>
        <v>45763</v>
      </c>
      <c r="K2090" s="120"/>
      <c r="L2090" s="120"/>
      <c r="M2090" s="120"/>
      <c r="N2090" s="120">
        <v>45762</v>
      </c>
      <c r="O2090" s="29" t="s">
        <v>877</v>
      </c>
      <c r="P2090" s="120"/>
      <c r="Q2090" s="81"/>
      <c r="R2090" s="29">
        <v>230</v>
      </c>
    </row>
    <row r="2091" spans="1:18" hidden="1">
      <c r="A2091" s="134" t="s">
        <v>1061</v>
      </c>
      <c r="C2091" s="29">
        <v>101500797</v>
      </c>
      <c r="D2091" s="29"/>
      <c r="F2091" s="29" t="s">
        <v>139</v>
      </c>
      <c r="G2091" s="29" t="s">
        <v>737</v>
      </c>
      <c r="H2091" s="29" t="s">
        <v>38</v>
      </c>
      <c r="I2091" s="120">
        <v>45758</v>
      </c>
      <c r="J2091" s="120">
        <f t="shared" si="25"/>
        <v>45763</v>
      </c>
      <c r="K2091" s="120"/>
      <c r="L2091" s="120"/>
      <c r="M2091" s="120"/>
      <c r="N2091" s="120">
        <v>45762</v>
      </c>
      <c r="O2091" s="29" t="s">
        <v>877</v>
      </c>
      <c r="P2091" s="120"/>
      <c r="Q2091" s="81"/>
      <c r="R2091" s="29">
        <v>435</v>
      </c>
    </row>
    <row r="2092" spans="1:18" hidden="1">
      <c r="A2092" s="134" t="s">
        <v>1061</v>
      </c>
      <c r="C2092" s="29">
        <v>101500817</v>
      </c>
      <c r="D2092" s="29"/>
      <c r="F2092" s="29" t="s">
        <v>139</v>
      </c>
      <c r="G2092" s="29" t="s">
        <v>737</v>
      </c>
      <c r="H2092" s="29" t="s">
        <v>38</v>
      </c>
      <c r="I2092" s="120">
        <v>45758</v>
      </c>
      <c r="J2092" s="120">
        <f t="shared" si="25"/>
        <v>45763</v>
      </c>
      <c r="K2092" s="120"/>
      <c r="L2092" s="120"/>
      <c r="M2092" s="120"/>
      <c r="N2092" s="120">
        <v>45762</v>
      </c>
      <c r="O2092" s="29" t="s">
        <v>877</v>
      </c>
      <c r="P2092" s="120"/>
      <c r="Q2092" s="81"/>
      <c r="R2092" s="29">
        <v>275</v>
      </c>
    </row>
    <row r="2093" spans="1:18" hidden="1">
      <c r="A2093" s="134" t="s">
        <v>1061</v>
      </c>
      <c r="C2093" s="29">
        <v>101500843</v>
      </c>
      <c r="D2093" s="29"/>
      <c r="F2093" s="29" t="s">
        <v>139</v>
      </c>
      <c r="G2093" s="29" t="s">
        <v>737</v>
      </c>
      <c r="H2093" s="29" t="s">
        <v>38</v>
      </c>
      <c r="I2093" s="120">
        <v>45758</v>
      </c>
      <c r="J2093" s="120">
        <f t="shared" si="25"/>
        <v>45763</v>
      </c>
      <c r="K2093" s="120"/>
      <c r="L2093" s="120"/>
      <c r="M2093" s="120"/>
      <c r="N2093" s="120">
        <v>45762</v>
      </c>
      <c r="O2093" s="29" t="s">
        <v>877</v>
      </c>
      <c r="P2093" s="120"/>
      <c r="Q2093" s="81"/>
      <c r="R2093" s="29">
        <v>110</v>
      </c>
    </row>
    <row r="2094" spans="1:18" hidden="1">
      <c r="A2094" s="134" t="s">
        <v>1271</v>
      </c>
      <c r="C2094" s="29">
        <v>101500957</v>
      </c>
      <c r="D2094" s="29"/>
      <c r="F2094" s="29" t="s">
        <v>139</v>
      </c>
      <c r="G2094" s="29" t="s">
        <v>737</v>
      </c>
      <c r="H2094" s="29" t="s">
        <v>38</v>
      </c>
      <c r="I2094" s="120">
        <v>45758</v>
      </c>
      <c r="J2094" s="120">
        <f t="shared" si="25"/>
        <v>45763</v>
      </c>
      <c r="K2094" s="120"/>
      <c r="L2094" s="120"/>
      <c r="M2094" s="120"/>
      <c r="N2094" s="120">
        <v>45762</v>
      </c>
      <c r="O2094" s="29" t="s">
        <v>877</v>
      </c>
      <c r="P2094" s="120"/>
      <c r="Q2094" s="81"/>
      <c r="R2094" s="29">
        <v>900</v>
      </c>
    </row>
    <row r="2095" spans="1:18" hidden="1">
      <c r="A2095" s="134" t="s">
        <v>1271</v>
      </c>
      <c r="C2095" s="29">
        <v>101500993</v>
      </c>
      <c r="D2095" s="29"/>
      <c r="F2095" s="29" t="s">
        <v>139</v>
      </c>
      <c r="G2095" s="29" t="s">
        <v>737</v>
      </c>
      <c r="H2095" s="29" t="s">
        <v>38</v>
      </c>
      <c r="I2095" s="120">
        <v>45758</v>
      </c>
      <c r="J2095" s="120">
        <f t="shared" si="25"/>
        <v>45763</v>
      </c>
      <c r="K2095" s="120"/>
      <c r="L2095" s="120"/>
      <c r="M2095" s="120"/>
      <c r="N2095" s="120">
        <v>45762</v>
      </c>
      <c r="O2095" s="29" t="s">
        <v>877</v>
      </c>
      <c r="P2095" s="120"/>
      <c r="Q2095" s="81"/>
      <c r="R2095" s="29">
        <v>350</v>
      </c>
    </row>
    <row r="2096" spans="1:18" hidden="1">
      <c r="A2096" s="134" t="s">
        <v>1271</v>
      </c>
      <c r="C2096" s="29">
        <v>101501073</v>
      </c>
      <c r="D2096" s="29"/>
      <c r="F2096" s="29" t="s">
        <v>139</v>
      </c>
      <c r="G2096" s="29" t="s">
        <v>737</v>
      </c>
      <c r="H2096" s="29" t="s">
        <v>38</v>
      </c>
      <c r="I2096" s="120">
        <v>45758</v>
      </c>
      <c r="J2096" s="120">
        <f t="shared" si="25"/>
        <v>45763</v>
      </c>
      <c r="K2096" s="120"/>
      <c r="L2096" s="120"/>
      <c r="M2096" s="120"/>
      <c r="N2096" s="120">
        <v>45762</v>
      </c>
      <c r="O2096" s="29" t="s">
        <v>877</v>
      </c>
      <c r="P2096" s="120"/>
      <c r="Q2096" s="81"/>
      <c r="R2096" s="29">
        <v>300</v>
      </c>
    </row>
    <row r="2097" spans="1:18" hidden="1">
      <c r="A2097" s="134" t="s">
        <v>1271</v>
      </c>
      <c r="C2097" s="29">
        <v>101501151</v>
      </c>
      <c r="D2097" s="29"/>
      <c r="F2097" s="29" t="s">
        <v>139</v>
      </c>
      <c r="G2097" s="29" t="s">
        <v>737</v>
      </c>
      <c r="H2097" s="29" t="s">
        <v>38</v>
      </c>
      <c r="I2097" s="120">
        <v>45758</v>
      </c>
      <c r="J2097" s="120">
        <f t="shared" si="25"/>
        <v>45763</v>
      </c>
      <c r="K2097" s="120"/>
      <c r="L2097" s="120"/>
      <c r="M2097" s="120"/>
      <c r="N2097" s="120">
        <v>45762</v>
      </c>
      <c r="O2097" s="29" t="s">
        <v>877</v>
      </c>
      <c r="P2097" s="120"/>
      <c r="Q2097" s="81"/>
      <c r="R2097" s="29">
        <v>240</v>
      </c>
    </row>
    <row r="2098" spans="1:18" hidden="1">
      <c r="A2098" s="134" t="s">
        <v>1272</v>
      </c>
      <c r="C2098" s="29">
        <v>101501379</v>
      </c>
      <c r="D2098" s="29"/>
      <c r="F2098" s="29" t="s">
        <v>139</v>
      </c>
      <c r="G2098" s="29" t="s">
        <v>737</v>
      </c>
      <c r="H2098" s="29" t="s">
        <v>38</v>
      </c>
      <c r="I2098" s="120">
        <v>45758</v>
      </c>
      <c r="J2098" s="120">
        <f t="shared" si="25"/>
        <v>45763</v>
      </c>
      <c r="K2098" s="120"/>
      <c r="L2098" s="120"/>
      <c r="M2098" s="120"/>
      <c r="N2098" s="120">
        <v>45762</v>
      </c>
      <c r="O2098" s="29" t="s">
        <v>877</v>
      </c>
      <c r="P2098" s="29"/>
      <c r="Q2098" s="81"/>
      <c r="R2098" s="29">
        <v>500</v>
      </c>
    </row>
    <row r="2099" spans="1:18" hidden="1">
      <c r="A2099" s="134" t="s">
        <v>1272</v>
      </c>
      <c r="C2099" s="29">
        <v>101501412</v>
      </c>
      <c r="D2099" s="29"/>
      <c r="F2099" s="29" t="s">
        <v>139</v>
      </c>
      <c r="G2099" s="29" t="s">
        <v>737</v>
      </c>
      <c r="H2099" s="29" t="s">
        <v>38</v>
      </c>
      <c r="I2099" s="120">
        <v>45758</v>
      </c>
      <c r="J2099" s="120">
        <f t="shared" si="25"/>
        <v>45763</v>
      </c>
      <c r="K2099" s="120"/>
      <c r="L2099" s="120"/>
      <c r="M2099" s="120"/>
      <c r="N2099" s="120">
        <v>45762</v>
      </c>
      <c r="O2099" s="29" t="s">
        <v>877</v>
      </c>
      <c r="P2099" s="29"/>
      <c r="Q2099" s="81"/>
      <c r="R2099" s="29">
        <v>700</v>
      </c>
    </row>
    <row r="2100" spans="1:18" hidden="1">
      <c r="A2100" s="134" t="s">
        <v>1272</v>
      </c>
      <c r="C2100" s="29">
        <v>101501442</v>
      </c>
      <c r="D2100" s="29"/>
      <c r="F2100" s="29" t="s">
        <v>139</v>
      </c>
      <c r="G2100" s="29" t="s">
        <v>737</v>
      </c>
      <c r="H2100" s="29" t="s">
        <v>38</v>
      </c>
      <c r="I2100" s="120">
        <v>45758</v>
      </c>
      <c r="J2100" s="120">
        <f t="shared" si="25"/>
        <v>45763</v>
      </c>
      <c r="K2100" s="120"/>
      <c r="L2100" s="120"/>
      <c r="M2100" s="120"/>
      <c r="N2100" s="120">
        <v>45762</v>
      </c>
      <c r="O2100" s="29" t="s">
        <v>877</v>
      </c>
      <c r="P2100" s="29"/>
      <c r="Q2100" s="81"/>
      <c r="R2100" s="29">
        <v>700</v>
      </c>
    </row>
    <row r="2101" spans="1:18" hidden="1">
      <c r="A2101" s="134" t="s">
        <v>1074</v>
      </c>
      <c r="C2101" s="29">
        <v>101501584</v>
      </c>
      <c r="D2101" s="29"/>
      <c r="F2101" s="29" t="s">
        <v>139</v>
      </c>
      <c r="G2101" s="29" t="s">
        <v>737</v>
      </c>
      <c r="H2101" s="29" t="s">
        <v>38</v>
      </c>
      <c r="I2101" s="120">
        <v>45758</v>
      </c>
      <c r="J2101" s="120">
        <f t="shared" si="25"/>
        <v>45763</v>
      </c>
      <c r="K2101" s="120"/>
      <c r="L2101" s="120"/>
      <c r="M2101" s="120"/>
      <c r="N2101" s="120">
        <v>45762</v>
      </c>
      <c r="O2101" s="29" t="s">
        <v>877</v>
      </c>
      <c r="P2101" s="120"/>
      <c r="Q2101" s="81"/>
      <c r="R2101" s="29">
        <v>700</v>
      </c>
    </row>
    <row r="2102" spans="1:18" hidden="1">
      <c r="A2102" s="134" t="s">
        <v>1074</v>
      </c>
      <c r="C2102" s="29">
        <v>101501645</v>
      </c>
      <c r="D2102" s="29"/>
      <c r="F2102" s="29" t="s">
        <v>139</v>
      </c>
      <c r="G2102" s="29" t="s">
        <v>737</v>
      </c>
      <c r="H2102" s="29" t="s">
        <v>38</v>
      </c>
      <c r="I2102" s="120">
        <v>45758</v>
      </c>
      <c r="J2102" s="120">
        <f t="shared" si="25"/>
        <v>45763</v>
      </c>
      <c r="K2102" s="120"/>
      <c r="L2102" s="120"/>
      <c r="M2102" s="120"/>
      <c r="N2102" s="120">
        <v>45762</v>
      </c>
      <c r="O2102" s="29" t="s">
        <v>877</v>
      </c>
      <c r="P2102" s="120"/>
      <c r="Q2102" s="81"/>
      <c r="R2102" s="29">
        <v>500</v>
      </c>
    </row>
    <row r="2103" spans="1:18" hidden="1">
      <c r="A2103" s="134" t="s">
        <v>1074</v>
      </c>
      <c r="C2103" s="29">
        <v>101501722</v>
      </c>
      <c r="D2103" s="29"/>
      <c r="F2103" s="29" t="s">
        <v>139</v>
      </c>
      <c r="G2103" s="29" t="s">
        <v>737</v>
      </c>
      <c r="H2103" s="29" t="s">
        <v>38</v>
      </c>
      <c r="I2103" s="120">
        <v>45758</v>
      </c>
      <c r="J2103" s="120">
        <f t="shared" si="25"/>
        <v>45763</v>
      </c>
      <c r="K2103" s="120"/>
      <c r="L2103" s="120"/>
      <c r="M2103" s="120"/>
      <c r="N2103" s="120">
        <v>45762</v>
      </c>
      <c r="O2103" s="29" t="s">
        <v>877</v>
      </c>
      <c r="P2103" s="120"/>
      <c r="Q2103" s="81"/>
      <c r="R2103" s="29">
        <v>300</v>
      </c>
    </row>
    <row r="2104" spans="1:18" hidden="1">
      <c r="A2104" s="134" t="s">
        <v>1270</v>
      </c>
      <c r="C2104" s="29">
        <v>101502229</v>
      </c>
      <c r="D2104" s="29"/>
      <c r="F2104" s="29" t="s">
        <v>139</v>
      </c>
      <c r="G2104" s="29" t="s">
        <v>737</v>
      </c>
      <c r="H2104" s="29" t="s">
        <v>38</v>
      </c>
      <c r="I2104" s="120">
        <v>45758</v>
      </c>
      <c r="J2104" s="120">
        <f t="shared" si="25"/>
        <v>45763</v>
      </c>
      <c r="K2104" s="120"/>
      <c r="L2104" s="120"/>
      <c r="M2104" s="120"/>
      <c r="N2104" s="120">
        <v>45762</v>
      </c>
      <c r="O2104" s="29" t="s">
        <v>877</v>
      </c>
      <c r="P2104" s="120"/>
      <c r="Q2104" s="81"/>
      <c r="R2104" s="29">
        <v>900</v>
      </c>
    </row>
    <row r="2105" spans="1:18" hidden="1">
      <c r="A2105" s="134" t="s">
        <v>1270</v>
      </c>
      <c r="C2105" s="29">
        <v>101502274</v>
      </c>
      <c r="D2105" s="29"/>
      <c r="F2105" s="29" t="s">
        <v>139</v>
      </c>
      <c r="G2105" s="29" t="s">
        <v>737</v>
      </c>
      <c r="H2105" s="29" t="s">
        <v>38</v>
      </c>
      <c r="I2105" s="120">
        <v>45758</v>
      </c>
      <c r="J2105" s="120">
        <f t="shared" si="25"/>
        <v>45763</v>
      </c>
      <c r="K2105" s="120"/>
      <c r="L2105" s="120"/>
      <c r="M2105" s="120"/>
      <c r="N2105" s="120">
        <v>45762</v>
      </c>
      <c r="O2105" s="29" t="s">
        <v>877</v>
      </c>
      <c r="P2105" s="120"/>
      <c r="Q2105" s="81"/>
      <c r="R2105" s="29">
        <v>300</v>
      </c>
    </row>
    <row r="2106" spans="1:18" hidden="1">
      <c r="A2106" s="134" t="s">
        <v>1270</v>
      </c>
      <c r="C2106" s="29">
        <v>101502409</v>
      </c>
      <c r="D2106" s="29"/>
      <c r="F2106" s="29" t="s">
        <v>139</v>
      </c>
      <c r="G2106" s="29" t="s">
        <v>737</v>
      </c>
      <c r="H2106" s="29" t="s">
        <v>38</v>
      </c>
      <c r="I2106" s="120">
        <v>45758</v>
      </c>
      <c r="J2106" s="120">
        <f t="shared" si="25"/>
        <v>45763</v>
      </c>
      <c r="K2106" s="120"/>
      <c r="L2106" s="120"/>
      <c r="M2106" s="120"/>
      <c r="N2106" s="120">
        <v>45762</v>
      </c>
      <c r="O2106" s="29" t="s">
        <v>877</v>
      </c>
      <c r="P2106" s="120"/>
      <c r="Q2106" s="81"/>
      <c r="R2106" s="29">
        <v>400</v>
      </c>
    </row>
    <row r="2107" spans="1:18" hidden="1">
      <c r="A2107" s="134" t="s">
        <v>1270</v>
      </c>
      <c r="C2107" s="29">
        <v>101502330</v>
      </c>
      <c r="D2107" s="29"/>
      <c r="F2107" s="29" t="s">
        <v>139</v>
      </c>
      <c r="G2107" s="29" t="s">
        <v>737</v>
      </c>
      <c r="H2107" s="29" t="s">
        <v>38</v>
      </c>
      <c r="I2107" s="120">
        <v>45758</v>
      </c>
      <c r="J2107" s="120">
        <f t="shared" si="25"/>
        <v>45763</v>
      </c>
      <c r="K2107" s="120"/>
      <c r="L2107" s="120"/>
      <c r="M2107" s="120"/>
      <c r="N2107" s="120">
        <v>45762</v>
      </c>
      <c r="O2107" s="29" t="s">
        <v>877</v>
      </c>
      <c r="P2107" s="120"/>
      <c r="Q2107" s="81"/>
      <c r="R2107" s="29">
        <v>400</v>
      </c>
    </row>
    <row r="2108" spans="1:18" hidden="1">
      <c r="A2108" s="134" t="s">
        <v>1270</v>
      </c>
      <c r="C2108" s="29">
        <v>101502377</v>
      </c>
      <c r="D2108" s="29"/>
      <c r="F2108" s="29" t="s">
        <v>139</v>
      </c>
      <c r="G2108" s="29" t="s">
        <v>737</v>
      </c>
      <c r="H2108" s="29" t="s">
        <v>38</v>
      </c>
      <c r="I2108" s="120">
        <v>45758</v>
      </c>
      <c r="J2108" s="120">
        <f t="shared" si="25"/>
        <v>45763</v>
      </c>
      <c r="K2108" s="120"/>
      <c r="L2108" s="120"/>
      <c r="M2108" s="120"/>
      <c r="N2108" s="120">
        <v>45762</v>
      </c>
      <c r="O2108" s="29" t="s">
        <v>877</v>
      </c>
      <c r="P2108" s="120"/>
      <c r="Q2108" s="81"/>
      <c r="R2108" s="29">
        <v>450</v>
      </c>
    </row>
    <row r="2109" spans="1:18" hidden="1">
      <c r="A2109" s="134" t="s">
        <v>1061</v>
      </c>
      <c r="C2109" s="29">
        <v>100500804</v>
      </c>
      <c r="D2109" s="29"/>
      <c r="F2109" s="29" t="s">
        <v>139</v>
      </c>
      <c r="G2109" s="29" t="s">
        <v>737</v>
      </c>
      <c r="H2109" s="29" t="s">
        <v>38</v>
      </c>
      <c r="I2109" s="120">
        <v>45757</v>
      </c>
      <c r="J2109" s="120">
        <f t="shared" si="25"/>
        <v>45762</v>
      </c>
      <c r="K2109" s="120"/>
      <c r="L2109" s="120"/>
      <c r="M2109" s="120"/>
      <c r="N2109" s="120">
        <v>45762</v>
      </c>
      <c r="O2109" s="29" t="s">
        <v>877</v>
      </c>
      <c r="P2109" s="120"/>
      <c r="Q2109" s="81"/>
      <c r="R2109" s="29">
        <v>1500</v>
      </c>
    </row>
    <row r="2110" spans="1:18" hidden="1">
      <c r="A2110" s="134" t="s">
        <v>1061</v>
      </c>
      <c r="C2110" s="29">
        <v>100501121</v>
      </c>
      <c r="D2110" s="29"/>
      <c r="F2110" s="29" t="s">
        <v>139</v>
      </c>
      <c r="G2110" s="29" t="s">
        <v>737</v>
      </c>
      <c r="H2110" s="29" t="s">
        <v>38</v>
      </c>
      <c r="I2110" s="120">
        <v>45757</v>
      </c>
      <c r="J2110" s="120">
        <f t="shared" si="25"/>
        <v>45762</v>
      </c>
      <c r="K2110" s="120"/>
      <c r="L2110" s="120"/>
      <c r="M2110" s="120"/>
      <c r="N2110" s="120">
        <v>45762</v>
      </c>
      <c r="O2110" s="29" t="s">
        <v>877</v>
      </c>
      <c r="P2110" s="120"/>
      <c r="Q2110" s="81"/>
      <c r="R2110" s="29">
        <v>200</v>
      </c>
    </row>
    <row r="2111" spans="1:18" hidden="1">
      <c r="A2111" s="134" t="s">
        <v>1061</v>
      </c>
      <c r="C2111" s="29">
        <v>100501178</v>
      </c>
      <c r="D2111" s="29"/>
      <c r="F2111" s="29" t="s">
        <v>139</v>
      </c>
      <c r="G2111" s="29" t="s">
        <v>737</v>
      </c>
      <c r="H2111" s="29" t="s">
        <v>38</v>
      </c>
      <c r="I2111" s="120">
        <v>45757</v>
      </c>
      <c r="J2111" s="120">
        <f t="shared" si="25"/>
        <v>45762</v>
      </c>
      <c r="K2111" s="120"/>
      <c r="L2111" s="120"/>
      <c r="M2111" s="120"/>
      <c r="N2111" s="120">
        <v>45762</v>
      </c>
      <c r="O2111" s="29" t="s">
        <v>877</v>
      </c>
      <c r="P2111" s="120"/>
      <c r="Q2111" s="81"/>
      <c r="R2111" s="29">
        <v>200</v>
      </c>
    </row>
    <row r="2112" spans="1:18" hidden="1">
      <c r="A2112" s="134" t="s">
        <v>1271</v>
      </c>
      <c r="C2112" s="29">
        <v>100501414</v>
      </c>
      <c r="D2112" s="29"/>
      <c r="F2112" s="29" t="s">
        <v>139</v>
      </c>
      <c r="G2112" s="29" t="s">
        <v>737</v>
      </c>
      <c r="H2112" s="29" t="s">
        <v>38</v>
      </c>
      <c r="I2112" s="120">
        <v>45757</v>
      </c>
      <c r="J2112" s="120">
        <f t="shared" si="25"/>
        <v>45762</v>
      </c>
      <c r="K2112" s="120"/>
      <c r="L2112" s="120"/>
      <c r="M2112" s="120"/>
      <c r="N2112" s="120">
        <v>45762</v>
      </c>
      <c r="O2112" s="29" t="s">
        <v>877</v>
      </c>
      <c r="P2112" s="120"/>
      <c r="Q2112" s="81"/>
      <c r="R2112" s="29">
        <v>1100</v>
      </c>
    </row>
    <row r="2113" spans="1:19" hidden="1">
      <c r="A2113" s="134" t="s">
        <v>1271</v>
      </c>
      <c r="C2113" s="29">
        <v>100501475</v>
      </c>
      <c r="D2113" s="29"/>
      <c r="F2113" s="29" t="s">
        <v>139</v>
      </c>
      <c r="G2113" s="29" t="s">
        <v>737</v>
      </c>
      <c r="H2113" s="29" t="s">
        <v>38</v>
      </c>
      <c r="I2113" s="120">
        <v>45757</v>
      </c>
      <c r="J2113" s="120">
        <f t="shared" si="25"/>
        <v>45762</v>
      </c>
      <c r="K2113" s="120"/>
      <c r="L2113" s="120"/>
      <c r="M2113" s="120"/>
      <c r="N2113" s="120">
        <v>45762</v>
      </c>
      <c r="O2113" s="29" t="s">
        <v>877</v>
      </c>
      <c r="P2113" s="120"/>
      <c r="Q2113" s="81"/>
      <c r="R2113" s="29">
        <v>730</v>
      </c>
    </row>
    <row r="2114" spans="1:19" hidden="1">
      <c r="A2114" s="134" t="s">
        <v>1271</v>
      </c>
      <c r="C2114" s="29">
        <v>100501543</v>
      </c>
      <c r="D2114" s="29"/>
      <c r="F2114" s="29" t="s">
        <v>139</v>
      </c>
      <c r="G2114" s="29" t="s">
        <v>737</v>
      </c>
      <c r="H2114" s="29" t="s">
        <v>38</v>
      </c>
      <c r="I2114" s="120">
        <v>45757</v>
      </c>
      <c r="J2114" s="120">
        <f t="shared" si="25"/>
        <v>45762</v>
      </c>
      <c r="K2114" s="120"/>
      <c r="L2114" s="120"/>
      <c r="M2114" s="120"/>
      <c r="N2114" s="120">
        <v>45762</v>
      </c>
      <c r="O2114" s="29" t="s">
        <v>877</v>
      </c>
      <c r="P2114" s="120"/>
      <c r="Q2114" s="81"/>
      <c r="R2114" s="29">
        <v>260</v>
      </c>
    </row>
    <row r="2115" spans="1:19" hidden="1">
      <c r="A2115" s="134" t="s">
        <v>1272</v>
      </c>
      <c r="C2115" s="29">
        <v>100501862</v>
      </c>
      <c r="D2115" s="29"/>
      <c r="F2115" s="29" t="s">
        <v>139</v>
      </c>
      <c r="G2115" s="29" t="s">
        <v>737</v>
      </c>
      <c r="H2115" s="29" t="s">
        <v>38</v>
      </c>
      <c r="I2115" s="120">
        <v>45757</v>
      </c>
      <c r="J2115" s="120">
        <f t="shared" si="25"/>
        <v>45762</v>
      </c>
      <c r="K2115" s="120"/>
      <c r="L2115" s="120"/>
      <c r="M2115" s="120"/>
      <c r="N2115" s="120">
        <v>45762</v>
      </c>
      <c r="O2115" s="29" t="s">
        <v>877</v>
      </c>
      <c r="P2115" s="120"/>
      <c r="Q2115" s="81"/>
      <c r="R2115" s="29">
        <v>650</v>
      </c>
    </row>
    <row r="2116" spans="1:19" hidden="1">
      <c r="A2116" s="134" t="s">
        <v>1272</v>
      </c>
      <c r="C2116" s="29">
        <v>100502020</v>
      </c>
      <c r="D2116" s="29"/>
      <c r="F2116" s="29" t="s">
        <v>139</v>
      </c>
      <c r="G2116" s="29" t="s">
        <v>737</v>
      </c>
      <c r="H2116" s="29" t="s">
        <v>38</v>
      </c>
      <c r="I2116" s="120">
        <v>45757</v>
      </c>
      <c r="J2116" s="120">
        <f t="shared" si="25"/>
        <v>45762</v>
      </c>
      <c r="K2116" s="120"/>
      <c r="L2116" s="120"/>
      <c r="M2116" s="120"/>
      <c r="N2116" s="120">
        <v>45762</v>
      </c>
      <c r="O2116" s="29" t="s">
        <v>877</v>
      </c>
      <c r="P2116" s="120"/>
      <c r="Q2116" s="81"/>
      <c r="R2116" s="29">
        <v>705</v>
      </c>
    </row>
    <row r="2117" spans="1:19" hidden="1">
      <c r="A2117" s="134" t="s">
        <v>1272</v>
      </c>
      <c r="C2117" s="29">
        <v>100502117</v>
      </c>
      <c r="D2117" s="29"/>
      <c r="F2117" s="29" t="s">
        <v>139</v>
      </c>
      <c r="G2117" s="29" t="s">
        <v>737</v>
      </c>
      <c r="H2117" s="29" t="s">
        <v>38</v>
      </c>
      <c r="I2117" s="120">
        <v>45757</v>
      </c>
      <c r="J2117" s="120">
        <f t="shared" si="25"/>
        <v>45762</v>
      </c>
      <c r="K2117" s="120"/>
      <c r="L2117" s="120"/>
      <c r="M2117" s="120"/>
      <c r="N2117" s="120">
        <v>45762</v>
      </c>
      <c r="O2117" s="29" t="s">
        <v>877</v>
      </c>
      <c r="P2117" s="120"/>
      <c r="Q2117" s="81"/>
      <c r="R2117" s="29">
        <v>300</v>
      </c>
    </row>
    <row r="2118" spans="1:19" hidden="1">
      <c r="A2118" s="134" t="s">
        <v>1272</v>
      </c>
      <c r="C2118" s="29">
        <v>100502162</v>
      </c>
      <c r="D2118" s="29"/>
      <c r="F2118" s="29" t="s">
        <v>139</v>
      </c>
      <c r="G2118" s="29" t="s">
        <v>737</v>
      </c>
      <c r="H2118" s="29" t="s">
        <v>38</v>
      </c>
      <c r="I2118" s="120">
        <v>45757</v>
      </c>
      <c r="J2118" s="120">
        <f t="shared" si="25"/>
        <v>45762</v>
      </c>
      <c r="K2118" s="120"/>
      <c r="L2118" s="120"/>
      <c r="M2118" s="120"/>
      <c r="N2118" s="120">
        <v>45762</v>
      </c>
      <c r="O2118" s="29" t="s">
        <v>877</v>
      </c>
      <c r="P2118" s="120"/>
      <c r="Q2118" s="81"/>
      <c r="R2118" s="29">
        <v>300</v>
      </c>
    </row>
    <row r="2119" spans="1:19" hidden="1">
      <c r="A2119" s="134" t="s">
        <v>1271</v>
      </c>
      <c r="C2119" s="29">
        <v>101501046</v>
      </c>
      <c r="D2119" s="29"/>
      <c r="F2119" s="29" t="s">
        <v>139</v>
      </c>
      <c r="G2119" s="29" t="s">
        <v>737</v>
      </c>
      <c r="H2119" s="29" t="s">
        <v>38</v>
      </c>
      <c r="I2119" s="120">
        <v>45758</v>
      </c>
      <c r="J2119" s="120">
        <f t="shared" si="25"/>
        <v>45763</v>
      </c>
      <c r="K2119" s="120"/>
      <c r="L2119" s="120"/>
      <c r="M2119" s="120"/>
      <c r="N2119" s="120">
        <v>45762</v>
      </c>
      <c r="O2119" s="29" t="s">
        <v>877</v>
      </c>
      <c r="P2119" s="120"/>
      <c r="Q2119" s="81"/>
      <c r="R2119" s="29">
        <v>250</v>
      </c>
    </row>
    <row r="2120" spans="1:19" hidden="1">
      <c r="A2120" s="134" t="s">
        <v>1102</v>
      </c>
      <c r="C2120" s="29">
        <v>100502549</v>
      </c>
      <c r="D2120" s="29"/>
      <c r="F2120" s="29" t="s">
        <v>139</v>
      </c>
      <c r="G2120" s="29" t="s">
        <v>737</v>
      </c>
      <c r="H2120" s="29" t="s">
        <v>38</v>
      </c>
      <c r="I2120" s="120">
        <v>45757</v>
      </c>
      <c r="J2120" s="120">
        <f t="shared" si="25"/>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139</v>
      </c>
      <c r="G2121" s="29" t="s">
        <v>737</v>
      </c>
      <c r="H2121" s="29" t="s">
        <v>38</v>
      </c>
      <c r="I2121" s="120">
        <v>45757</v>
      </c>
      <c r="J2121" s="120">
        <f t="shared" si="25"/>
        <v>45762</v>
      </c>
      <c r="K2121" s="120"/>
      <c r="L2121" s="120"/>
      <c r="M2121" s="120"/>
      <c r="N2121" s="120">
        <v>45762</v>
      </c>
      <c r="O2121" s="29" t="s">
        <v>877</v>
      </c>
      <c r="P2121" s="120"/>
      <c r="Q2121" s="81"/>
      <c r="R2121" s="29">
        <v>1000</v>
      </c>
    </row>
    <row r="2122" spans="1:19" hidden="1">
      <c r="A2122" s="134" t="s">
        <v>1270</v>
      </c>
      <c r="C2122" s="29">
        <v>100502761</v>
      </c>
      <c r="D2122" s="29"/>
      <c r="F2122" s="29" t="s">
        <v>139</v>
      </c>
      <c r="G2122" s="29" t="s">
        <v>737</v>
      </c>
      <c r="H2122" s="29" t="s">
        <v>38</v>
      </c>
      <c r="I2122" s="120">
        <v>45757</v>
      </c>
      <c r="J2122" s="120">
        <f t="shared" si="25"/>
        <v>45762</v>
      </c>
      <c r="K2122" s="120"/>
      <c r="L2122" s="120"/>
      <c r="M2122" s="120"/>
      <c r="N2122" s="120">
        <v>45762</v>
      </c>
      <c r="O2122" s="29" t="s">
        <v>877</v>
      </c>
      <c r="P2122" s="120"/>
      <c r="Q2122" s="81"/>
      <c r="R2122" s="29">
        <v>1100</v>
      </c>
    </row>
    <row r="2123" spans="1:19" hidden="1">
      <c r="A2123" s="134" t="s">
        <v>1074</v>
      </c>
      <c r="C2123" s="29">
        <v>100502338</v>
      </c>
      <c r="D2123" s="29"/>
      <c r="F2123" s="29" t="s">
        <v>139</v>
      </c>
      <c r="G2123" s="29" t="s">
        <v>737</v>
      </c>
      <c r="H2123" s="29" t="s">
        <v>38</v>
      </c>
      <c r="I2123" s="120">
        <v>45757</v>
      </c>
      <c r="J2123" s="120">
        <f t="shared" si="25"/>
        <v>45762</v>
      </c>
      <c r="K2123" s="120"/>
      <c r="L2123" s="120"/>
      <c r="M2123" s="120"/>
      <c r="N2123" s="120">
        <v>45762</v>
      </c>
      <c r="O2123" s="29" t="s">
        <v>877</v>
      </c>
      <c r="P2123" s="120"/>
      <c r="Q2123" s="81"/>
      <c r="R2123" s="29">
        <v>1200</v>
      </c>
    </row>
    <row r="2124" spans="1:19" hidden="1">
      <c r="A2124" s="134" t="s">
        <v>1074</v>
      </c>
      <c r="C2124" s="29">
        <v>100502409</v>
      </c>
      <c r="D2124" s="29"/>
      <c r="F2124" s="29" t="s">
        <v>139</v>
      </c>
      <c r="G2124" s="29" t="s">
        <v>737</v>
      </c>
      <c r="H2124" s="29" t="s">
        <v>38</v>
      </c>
      <c r="I2124" s="120">
        <v>45757</v>
      </c>
      <c r="J2124" s="120">
        <f t="shared" si="25"/>
        <v>45762</v>
      </c>
      <c r="K2124" s="120"/>
      <c r="L2124" s="120"/>
      <c r="M2124" s="120"/>
      <c r="N2124" s="120">
        <v>45762</v>
      </c>
      <c r="O2124" s="29" t="s">
        <v>877</v>
      </c>
      <c r="P2124" s="120"/>
      <c r="Q2124" s="81"/>
      <c r="R2124" s="29">
        <v>1200</v>
      </c>
    </row>
    <row r="2125" spans="1:19" hidden="1">
      <c r="A2125" s="134" t="s">
        <v>973</v>
      </c>
      <c r="C2125" s="29">
        <v>105505153</v>
      </c>
      <c r="D2125" s="29"/>
      <c r="F2125" s="29" t="s">
        <v>139</v>
      </c>
      <c r="G2125" s="29" t="s">
        <v>737</v>
      </c>
      <c r="H2125" s="29" t="s">
        <v>38</v>
      </c>
      <c r="I2125" s="120">
        <v>45762</v>
      </c>
      <c r="J2125" s="120">
        <f t="shared" si="25"/>
        <v>45765</v>
      </c>
      <c r="K2125" s="120"/>
      <c r="L2125" s="120"/>
      <c r="M2125" s="120"/>
      <c r="N2125" s="29"/>
      <c r="O2125" s="29" t="s">
        <v>1244</v>
      </c>
      <c r="P2125" s="29"/>
      <c r="Q2125" s="81"/>
      <c r="R2125" s="29">
        <v>700</v>
      </c>
      <c r="S2125" s="124" t="s">
        <v>1273</v>
      </c>
    </row>
    <row r="2126" spans="1:19" hidden="1">
      <c r="A2126" s="134" t="s">
        <v>973</v>
      </c>
      <c r="C2126" s="29">
        <v>105505162</v>
      </c>
      <c r="D2126" s="29"/>
      <c r="F2126" s="29" t="s">
        <v>139</v>
      </c>
      <c r="G2126" s="29" t="s">
        <v>737</v>
      </c>
      <c r="H2126" s="29" t="s">
        <v>38</v>
      </c>
      <c r="I2126" s="120">
        <v>45762</v>
      </c>
      <c r="J2126" s="120">
        <f t="shared" si="25"/>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139</v>
      </c>
      <c r="G2127" s="29" t="s">
        <v>737</v>
      </c>
      <c r="H2127" s="29" t="s">
        <v>38</v>
      </c>
      <c r="I2127" s="120">
        <v>45762</v>
      </c>
      <c r="J2127" s="120">
        <f t="shared" si="25"/>
        <v>45765</v>
      </c>
      <c r="K2127" s="120"/>
      <c r="L2127" s="120"/>
      <c r="M2127" s="120"/>
      <c r="N2127" s="29"/>
      <c r="O2127" s="29" t="s">
        <v>1244</v>
      </c>
      <c r="P2127" s="29"/>
      <c r="Q2127" s="81"/>
      <c r="R2127" s="29">
        <v>260</v>
      </c>
      <c r="S2127" s="124" t="s">
        <v>1274</v>
      </c>
    </row>
    <row r="2128" spans="1:19" hidden="1">
      <c r="A2128" s="134" t="s">
        <v>973</v>
      </c>
      <c r="C2128" s="29">
        <v>106504608</v>
      </c>
      <c r="D2128" s="29"/>
      <c r="F2128" s="29" t="s">
        <v>139</v>
      </c>
      <c r="G2128" s="29" t="s">
        <v>737</v>
      </c>
      <c r="H2128" s="29" t="s">
        <v>38</v>
      </c>
      <c r="I2128" s="120">
        <v>45763</v>
      </c>
      <c r="J2128" s="120">
        <f t="shared" si="25"/>
        <v>45768</v>
      </c>
      <c r="K2128" s="120"/>
      <c r="L2128" s="120"/>
      <c r="M2128" s="120"/>
      <c r="N2128" s="29"/>
      <c r="O2128" s="29" t="s">
        <v>1244</v>
      </c>
      <c r="P2128" s="29"/>
      <c r="Q2128" s="81"/>
      <c r="R2128" s="29">
        <v>350</v>
      </c>
      <c r="S2128" s="124" t="s">
        <v>1088</v>
      </c>
    </row>
    <row r="2129" spans="1:19" hidden="1">
      <c r="A2129" s="134" t="s">
        <v>973</v>
      </c>
      <c r="C2129" s="29">
        <v>106504623</v>
      </c>
      <c r="D2129" s="29"/>
      <c r="F2129" s="29" t="s">
        <v>139</v>
      </c>
      <c r="G2129" s="29" t="s">
        <v>737</v>
      </c>
      <c r="H2129" s="29" t="s">
        <v>38</v>
      </c>
      <c r="I2129" s="120">
        <v>45763</v>
      </c>
      <c r="J2129" s="120">
        <f t="shared" si="25"/>
        <v>45768</v>
      </c>
      <c r="K2129" s="120"/>
      <c r="L2129" s="120"/>
      <c r="M2129" s="120"/>
      <c r="N2129" s="29"/>
      <c r="O2129" s="29" t="s">
        <v>1244</v>
      </c>
      <c r="P2129" s="29"/>
      <c r="Q2129" s="81"/>
      <c r="R2129" s="29">
        <v>820</v>
      </c>
      <c r="S2129" s="124" t="s">
        <v>1088</v>
      </c>
    </row>
    <row r="2130" spans="1:19" hidden="1">
      <c r="A2130" s="134" t="s">
        <v>973</v>
      </c>
      <c r="C2130" s="29">
        <v>106504636</v>
      </c>
      <c r="D2130" s="29"/>
      <c r="F2130" s="29" t="s">
        <v>139</v>
      </c>
      <c r="G2130" s="29" t="s">
        <v>737</v>
      </c>
      <c r="H2130" s="29" t="s">
        <v>38</v>
      </c>
      <c r="I2130" s="120">
        <v>45763</v>
      </c>
      <c r="J2130" s="120">
        <f t="shared" si="25"/>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139</v>
      </c>
      <c r="G2131" s="29" t="s">
        <v>737</v>
      </c>
      <c r="H2131" s="29" t="s">
        <v>38</v>
      </c>
      <c r="I2131" s="120">
        <v>45763</v>
      </c>
      <c r="J2131" s="120">
        <f t="shared" si="25"/>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139</v>
      </c>
      <c r="G2132" s="29" t="s">
        <v>737</v>
      </c>
      <c r="H2132" s="29" t="s">
        <v>38</v>
      </c>
      <c r="I2132" s="120">
        <v>45763</v>
      </c>
      <c r="J2132" s="120">
        <f t="shared" si="25"/>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139</v>
      </c>
      <c r="G2133" s="29" t="s">
        <v>737</v>
      </c>
      <c r="H2133" s="29" t="s">
        <v>38</v>
      </c>
      <c r="I2133" s="120">
        <v>45763</v>
      </c>
      <c r="J2133" s="120">
        <f t="shared" si="25"/>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139</v>
      </c>
      <c r="G2134" s="29" t="s">
        <v>737</v>
      </c>
      <c r="H2134" s="29" t="s">
        <v>38</v>
      </c>
      <c r="I2134" s="120">
        <v>45763</v>
      </c>
      <c r="J2134" s="120">
        <f t="shared" si="25"/>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139</v>
      </c>
      <c r="G2135" s="29" t="s">
        <v>737</v>
      </c>
      <c r="H2135" s="29" t="s">
        <v>38</v>
      </c>
      <c r="I2135" s="120">
        <v>45763</v>
      </c>
      <c r="J2135" s="120">
        <f t="shared" si="25"/>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139</v>
      </c>
      <c r="G2136" s="29" t="s">
        <v>737</v>
      </c>
      <c r="H2136" s="29" t="s">
        <v>38</v>
      </c>
      <c r="I2136" s="120">
        <v>45763</v>
      </c>
      <c r="J2136" s="120">
        <f t="shared" si="25"/>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139</v>
      </c>
      <c r="G2137" s="29" t="s">
        <v>737</v>
      </c>
      <c r="H2137" s="29" t="s">
        <v>38</v>
      </c>
      <c r="I2137" s="120">
        <v>45763</v>
      </c>
      <c r="J2137" s="120">
        <f t="shared" si="25"/>
        <v>45768</v>
      </c>
      <c r="K2137" s="120"/>
      <c r="L2137" s="120"/>
      <c r="M2137" s="120"/>
      <c r="N2137" s="29"/>
      <c r="O2137" s="29" t="s">
        <v>1244</v>
      </c>
      <c r="P2137" s="29"/>
      <c r="Q2137" s="81"/>
      <c r="R2137" s="29">
        <v>50</v>
      </c>
      <c r="S2137" s="124" t="s">
        <v>1273</v>
      </c>
    </row>
    <row r="2138" spans="1:19" hidden="1">
      <c r="A2138" s="134" t="s">
        <v>1062</v>
      </c>
      <c r="C2138" s="29">
        <v>106505300</v>
      </c>
      <c r="D2138" s="29"/>
      <c r="F2138" s="29" t="s">
        <v>139</v>
      </c>
      <c r="G2138" s="29" t="s">
        <v>737</v>
      </c>
      <c r="H2138" s="29" t="s">
        <v>38</v>
      </c>
      <c r="I2138" s="120">
        <v>45763</v>
      </c>
      <c r="J2138" s="120">
        <f t="shared" si="25"/>
        <v>45768</v>
      </c>
      <c r="K2138" s="120"/>
      <c r="L2138" s="120"/>
      <c r="M2138" s="120"/>
      <c r="N2138" s="29"/>
      <c r="O2138" s="29" t="s">
        <v>1244</v>
      </c>
      <c r="P2138" s="29"/>
      <c r="Q2138" s="81"/>
      <c r="R2138" s="29">
        <v>575</v>
      </c>
      <c r="S2138" s="124" t="s">
        <v>1273</v>
      </c>
    </row>
    <row r="2139" spans="1:19" hidden="1">
      <c r="A2139" s="134" t="s">
        <v>202</v>
      </c>
      <c r="C2139" s="29">
        <v>111500902</v>
      </c>
      <c r="D2139" s="29"/>
      <c r="F2139" s="29" t="s">
        <v>139</v>
      </c>
      <c r="G2139" s="29" t="s">
        <v>737</v>
      </c>
      <c r="H2139" s="29" t="s">
        <v>38</v>
      </c>
      <c r="I2139" s="120">
        <v>45768</v>
      </c>
      <c r="J2139" s="120">
        <f t="shared" si="25"/>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139</v>
      </c>
      <c r="G2140" s="29" t="s">
        <v>737</v>
      </c>
      <c r="H2140" s="29" t="s">
        <v>38</v>
      </c>
      <c r="I2140" s="120">
        <v>45763</v>
      </c>
      <c r="J2140" s="120">
        <f t="shared" si="25"/>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139</v>
      </c>
      <c r="G2141" s="29" t="s">
        <v>737</v>
      </c>
      <c r="H2141" s="29" t="s">
        <v>38</v>
      </c>
      <c r="I2141" s="120">
        <v>45762</v>
      </c>
      <c r="J2141" s="120">
        <f t="shared" si="25"/>
        <v>45765</v>
      </c>
      <c r="K2141" s="120"/>
      <c r="L2141" s="120"/>
      <c r="M2141" s="120"/>
      <c r="N2141" s="29"/>
      <c r="O2141" s="29" t="s">
        <v>1244</v>
      </c>
      <c r="P2141" s="29"/>
      <c r="Q2141" s="81"/>
      <c r="R2141" s="29">
        <v>150</v>
      </c>
      <c r="S2141" s="124" t="s">
        <v>1273</v>
      </c>
    </row>
    <row r="2142" spans="1:19" hidden="1">
      <c r="A2142" s="134" t="s">
        <v>973</v>
      </c>
      <c r="C2142" s="29">
        <v>107504089</v>
      </c>
      <c r="D2142" s="29"/>
      <c r="F2142" s="29" t="s">
        <v>139</v>
      </c>
      <c r="G2142" s="29" t="s">
        <v>737</v>
      </c>
      <c r="H2142" s="29" t="s">
        <v>38</v>
      </c>
      <c r="I2142" s="120">
        <v>45764</v>
      </c>
      <c r="J2142" s="120">
        <f t="shared" si="25"/>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139</v>
      </c>
      <c r="G2143" s="29" t="s">
        <v>737</v>
      </c>
      <c r="H2143" s="29" t="s">
        <v>38</v>
      </c>
      <c r="I2143" s="120">
        <v>45762</v>
      </c>
      <c r="J2143" s="120">
        <f t="shared" si="25"/>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139</v>
      </c>
      <c r="G2144" s="29" t="s">
        <v>737</v>
      </c>
      <c r="H2144" s="29" t="s">
        <v>38</v>
      </c>
      <c r="I2144" s="120">
        <v>45763</v>
      </c>
      <c r="J2144" s="120">
        <f t="shared" si="25"/>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139</v>
      </c>
      <c r="G2145" s="29" t="s">
        <v>737</v>
      </c>
      <c r="H2145" s="29" t="s">
        <v>38</v>
      </c>
      <c r="I2145" s="120">
        <v>45763</v>
      </c>
      <c r="J2145" s="120">
        <f t="shared" ref="J2145:J2208" si="26">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139</v>
      </c>
      <c r="G2146" s="29" t="s">
        <v>737</v>
      </c>
      <c r="H2146" s="29" t="s">
        <v>38</v>
      </c>
      <c r="I2146" s="120">
        <v>45764</v>
      </c>
      <c r="J2146" s="120">
        <f t="shared" si="26"/>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139</v>
      </c>
      <c r="G2147" s="29" t="s">
        <v>737</v>
      </c>
      <c r="H2147" s="29" t="s">
        <v>38</v>
      </c>
      <c r="I2147" s="120">
        <v>45764</v>
      </c>
      <c r="J2147" s="120">
        <f t="shared" si="26"/>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139</v>
      </c>
      <c r="G2148" s="29" t="s">
        <v>737</v>
      </c>
      <c r="H2148" s="29" t="s">
        <v>38</v>
      </c>
      <c r="I2148" s="120">
        <v>45764</v>
      </c>
      <c r="J2148" s="120">
        <f t="shared" si="26"/>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139</v>
      </c>
      <c r="G2149" s="29" t="s">
        <v>737</v>
      </c>
      <c r="H2149" s="29" t="s">
        <v>38</v>
      </c>
      <c r="I2149" s="120">
        <v>45770</v>
      </c>
      <c r="J2149" s="120">
        <f t="shared" si="26"/>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139</v>
      </c>
      <c r="G2150" s="29" t="s">
        <v>737</v>
      </c>
      <c r="H2150" s="29" t="s">
        <v>38</v>
      </c>
      <c r="I2150" s="120">
        <v>45770</v>
      </c>
      <c r="J2150" s="120">
        <f t="shared" si="26"/>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139</v>
      </c>
      <c r="G2151" s="29" t="s">
        <v>737</v>
      </c>
      <c r="H2151" s="29" t="s">
        <v>38</v>
      </c>
      <c r="I2151" s="120">
        <v>45764</v>
      </c>
      <c r="J2151" s="120">
        <f t="shared" si="26"/>
        <v>45769</v>
      </c>
      <c r="K2151" s="120"/>
      <c r="L2151" s="120"/>
      <c r="M2151" s="120"/>
      <c r="N2151" s="29"/>
      <c r="O2151" s="29" t="s">
        <v>1244</v>
      </c>
      <c r="P2151" s="29"/>
      <c r="Q2151" s="81"/>
      <c r="R2151" s="29">
        <v>60</v>
      </c>
      <c r="S2151" s="124" t="s">
        <v>1274</v>
      </c>
    </row>
    <row r="2152" spans="1:19" hidden="1">
      <c r="A2152" s="134" t="s">
        <v>1050</v>
      </c>
      <c r="C2152" s="29">
        <v>107504183</v>
      </c>
      <c r="D2152" s="29"/>
      <c r="F2152" s="29" t="s">
        <v>139</v>
      </c>
      <c r="G2152" s="29" t="s">
        <v>737</v>
      </c>
      <c r="H2152" s="29" t="s">
        <v>38</v>
      </c>
      <c r="I2152" s="120">
        <v>45764</v>
      </c>
      <c r="J2152" s="120">
        <f t="shared" si="26"/>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139</v>
      </c>
      <c r="G2153" s="29" t="s">
        <v>737</v>
      </c>
      <c r="H2153" s="29" t="s">
        <v>38</v>
      </c>
      <c r="I2153" s="120">
        <v>45764</v>
      </c>
      <c r="J2153" s="120">
        <f t="shared" si="26"/>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139</v>
      </c>
      <c r="G2154" s="29" t="s">
        <v>737</v>
      </c>
      <c r="H2154" s="29" t="s">
        <v>38</v>
      </c>
      <c r="I2154" s="120">
        <v>45764</v>
      </c>
      <c r="J2154" s="120">
        <f t="shared" si="26"/>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139</v>
      </c>
      <c r="G2155" s="29" t="s">
        <v>737</v>
      </c>
      <c r="H2155" s="29" t="s">
        <v>38</v>
      </c>
      <c r="I2155" s="120">
        <v>45764</v>
      </c>
      <c r="J2155" s="120">
        <f t="shared" si="26"/>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139</v>
      </c>
      <c r="G2156" s="29" t="s">
        <v>737</v>
      </c>
      <c r="H2156" s="29" t="s">
        <v>38</v>
      </c>
      <c r="I2156" s="120">
        <v>45764</v>
      </c>
      <c r="J2156" s="120">
        <f t="shared" si="26"/>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139</v>
      </c>
      <c r="G2157" s="29" t="s">
        <v>737</v>
      </c>
      <c r="H2157" s="29" t="s">
        <v>38</v>
      </c>
      <c r="I2157" s="120">
        <v>45765</v>
      </c>
      <c r="J2157" s="120">
        <f t="shared" si="26"/>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139</v>
      </c>
      <c r="G2158" s="29" t="s">
        <v>737</v>
      </c>
      <c r="H2158" s="29" t="s">
        <v>38</v>
      </c>
      <c r="I2158" s="120">
        <v>45765</v>
      </c>
      <c r="J2158" s="120">
        <f t="shared" si="26"/>
        <v>45770</v>
      </c>
      <c r="K2158" s="120"/>
      <c r="L2158" s="120"/>
      <c r="M2158" s="120"/>
      <c r="N2158" s="29"/>
      <c r="O2158" s="29" t="s">
        <v>1244</v>
      </c>
      <c r="P2158" s="29"/>
      <c r="Q2158" s="81"/>
      <c r="R2158" s="29">
        <v>91</v>
      </c>
      <c r="S2158" s="124" t="s">
        <v>1282</v>
      </c>
    </row>
    <row r="2159" spans="1:19" hidden="1">
      <c r="A2159" s="134" t="s">
        <v>1053</v>
      </c>
      <c r="C2159" s="29">
        <v>111500541</v>
      </c>
      <c r="D2159" s="29"/>
      <c r="F2159" s="29" t="s">
        <v>139</v>
      </c>
      <c r="G2159" s="29" t="s">
        <v>737</v>
      </c>
      <c r="H2159" s="29" t="s">
        <v>38</v>
      </c>
      <c r="I2159" s="120">
        <v>45768</v>
      </c>
      <c r="J2159" s="120">
        <f t="shared" si="26"/>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139</v>
      </c>
      <c r="G2160" s="29" t="s">
        <v>737</v>
      </c>
      <c r="H2160" s="29" t="s">
        <v>38</v>
      </c>
      <c r="I2160" s="120">
        <v>45768</v>
      </c>
      <c r="J2160" s="120">
        <f t="shared" si="26"/>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139</v>
      </c>
      <c r="G2161" s="29" t="s">
        <v>737</v>
      </c>
      <c r="H2161" s="29" t="s">
        <v>38</v>
      </c>
      <c r="I2161" s="120">
        <v>45768</v>
      </c>
      <c r="J2161" s="120">
        <f t="shared" si="26"/>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139</v>
      </c>
      <c r="G2162" s="29" t="s">
        <v>737</v>
      </c>
      <c r="H2162" s="29" t="s">
        <v>38</v>
      </c>
      <c r="I2162" s="120">
        <v>45768</v>
      </c>
      <c r="J2162" s="120">
        <f t="shared" si="26"/>
        <v>45771</v>
      </c>
      <c r="K2162" s="120"/>
      <c r="L2162" s="120"/>
      <c r="M2162" s="120"/>
      <c r="N2162" s="29"/>
      <c r="O2162" s="29" t="s">
        <v>1244</v>
      </c>
      <c r="P2162" s="29"/>
      <c r="Q2162" s="81"/>
      <c r="R2162" s="29">
        <v>80</v>
      </c>
      <c r="S2162" s="124" t="s">
        <v>1284</v>
      </c>
    </row>
    <row r="2163" spans="1:19" hidden="1">
      <c r="A2163" s="134" t="s">
        <v>1052</v>
      </c>
      <c r="C2163" s="29">
        <v>111501440</v>
      </c>
      <c r="D2163" s="29"/>
      <c r="F2163" s="29" t="s">
        <v>139</v>
      </c>
      <c r="G2163" s="29" t="s">
        <v>737</v>
      </c>
      <c r="H2163" s="29" t="s">
        <v>38</v>
      </c>
      <c r="I2163" s="120">
        <v>45768</v>
      </c>
      <c r="J2163" s="120">
        <f t="shared" si="26"/>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139</v>
      </c>
      <c r="G2164" s="29" t="s">
        <v>737</v>
      </c>
      <c r="H2164" s="29" t="s">
        <v>38</v>
      </c>
      <c r="I2164" s="120">
        <v>45768</v>
      </c>
      <c r="J2164" s="120">
        <f t="shared" si="26"/>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139</v>
      </c>
      <c r="G2165" s="29" t="s">
        <v>737</v>
      </c>
      <c r="H2165" s="29" t="s">
        <v>38</v>
      </c>
      <c r="I2165" s="120">
        <v>45768</v>
      </c>
      <c r="J2165" s="120">
        <f t="shared" si="26"/>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139</v>
      </c>
      <c r="G2166" s="29" t="s">
        <v>737</v>
      </c>
      <c r="H2166" s="29" t="s">
        <v>38</v>
      </c>
      <c r="I2166" s="120">
        <v>45768</v>
      </c>
      <c r="J2166" s="120">
        <f t="shared" si="26"/>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139</v>
      </c>
      <c r="G2167" s="29" t="s">
        <v>737</v>
      </c>
      <c r="H2167" s="29" t="s">
        <v>38</v>
      </c>
      <c r="I2167" s="120">
        <v>45768</v>
      </c>
      <c r="J2167" s="120">
        <f t="shared" si="26"/>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139</v>
      </c>
      <c r="G2168" s="29" t="s">
        <v>737</v>
      </c>
      <c r="H2168" s="29" t="s">
        <v>38</v>
      </c>
      <c r="I2168" s="120">
        <v>45768</v>
      </c>
      <c r="J2168" s="120">
        <f t="shared" si="26"/>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139</v>
      </c>
      <c r="G2169" s="29" t="s">
        <v>737</v>
      </c>
      <c r="H2169" s="29" t="s">
        <v>38</v>
      </c>
      <c r="I2169" s="120">
        <v>45768</v>
      </c>
      <c r="J2169" s="120">
        <f t="shared" si="26"/>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139</v>
      </c>
      <c r="G2170" s="29" t="s">
        <v>737</v>
      </c>
      <c r="H2170" s="29" t="s">
        <v>38</v>
      </c>
      <c r="I2170" s="120">
        <v>45768</v>
      </c>
      <c r="J2170" s="120">
        <f t="shared" si="26"/>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139</v>
      </c>
      <c r="G2171" s="29" t="s">
        <v>737</v>
      </c>
      <c r="H2171" s="29" t="s">
        <v>38</v>
      </c>
      <c r="I2171" s="120">
        <v>45768</v>
      </c>
      <c r="J2171" s="120">
        <f t="shared" si="26"/>
        <v>45771</v>
      </c>
      <c r="K2171" s="120"/>
      <c r="L2171" s="120"/>
      <c r="M2171" s="120"/>
      <c r="N2171" s="29"/>
      <c r="O2171" s="29" t="s">
        <v>1244</v>
      </c>
      <c r="P2171" s="29"/>
      <c r="Q2171" s="81"/>
      <c r="R2171" s="29">
        <v>140</v>
      </c>
      <c r="S2171" s="124" t="s">
        <v>1274</v>
      </c>
    </row>
    <row r="2172" spans="1:19" hidden="1">
      <c r="A2172" s="134" t="s">
        <v>202</v>
      </c>
      <c r="C2172" s="29">
        <v>107502870</v>
      </c>
      <c r="D2172" s="29"/>
      <c r="F2172" s="29" t="s">
        <v>139</v>
      </c>
      <c r="G2172" s="29" t="s">
        <v>737</v>
      </c>
      <c r="H2172" s="29" t="s">
        <v>38</v>
      </c>
      <c r="I2172" s="120">
        <v>45764</v>
      </c>
      <c r="J2172" s="120">
        <f t="shared" si="26"/>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 t="shared" si="26"/>
        <v>45797</v>
      </c>
      <c r="K2173" s="120"/>
      <c r="L2173" s="120"/>
      <c r="M2173" s="120"/>
      <c r="N2173" s="29"/>
      <c r="O2173" s="29" t="s">
        <v>877</v>
      </c>
      <c r="P2173" s="120"/>
      <c r="Q2173" s="81"/>
      <c r="R2173" s="150">
        <v>150</v>
      </c>
    </row>
    <row r="2174" spans="1:19" hidden="1">
      <c r="A2174" s="134" t="s">
        <v>1049</v>
      </c>
      <c r="C2174" s="29">
        <v>125500256</v>
      </c>
      <c r="D2174" s="29"/>
      <c r="F2174" s="29" t="s">
        <v>139</v>
      </c>
      <c r="G2174" s="29" t="s">
        <v>737</v>
      </c>
      <c r="H2174" s="29" t="s">
        <v>38</v>
      </c>
      <c r="I2174" s="120">
        <v>45762</v>
      </c>
      <c r="J2174" s="120">
        <f t="shared" si="26"/>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139</v>
      </c>
      <c r="G2175" s="29" t="s">
        <v>737</v>
      </c>
      <c r="H2175" s="29" t="s">
        <v>38</v>
      </c>
      <c r="I2175" s="120">
        <v>45765</v>
      </c>
      <c r="J2175" s="120">
        <f t="shared" si="26"/>
        <v>45770</v>
      </c>
      <c r="K2175" s="120"/>
      <c r="L2175" s="120"/>
      <c r="M2175" s="120"/>
      <c r="N2175" s="29"/>
      <c r="O2175" s="29" t="s">
        <v>877</v>
      </c>
      <c r="P2175" s="120"/>
      <c r="Q2175" s="81" t="s">
        <v>1244</v>
      </c>
      <c r="R2175" s="29">
        <v>230</v>
      </c>
    </row>
    <row r="2176" spans="1:19" hidden="1">
      <c r="A2176" s="134" t="s">
        <v>1070</v>
      </c>
      <c r="C2176" s="29">
        <v>107504125</v>
      </c>
      <c r="D2176" s="29"/>
      <c r="F2176" s="29" t="s">
        <v>139</v>
      </c>
      <c r="G2176" s="29" t="s">
        <v>737</v>
      </c>
      <c r="H2176" s="29" t="s">
        <v>38</v>
      </c>
      <c r="I2176" s="120">
        <v>45764</v>
      </c>
      <c r="J2176" s="120">
        <f t="shared" si="26"/>
        <v>45769</v>
      </c>
      <c r="K2176" s="120"/>
      <c r="L2176" s="120"/>
      <c r="M2176" s="120"/>
      <c r="N2176" s="29"/>
      <c r="O2176" s="29" t="s">
        <v>877</v>
      </c>
      <c r="P2176" s="120"/>
      <c r="Q2176" s="81" t="s">
        <v>1244</v>
      </c>
      <c r="R2176" s="29">
        <v>375</v>
      </c>
    </row>
    <row r="2177" spans="1:18" hidden="1">
      <c r="A2177" s="134" t="s">
        <v>1070</v>
      </c>
      <c r="C2177" s="29">
        <v>107504130</v>
      </c>
      <c r="D2177" s="29"/>
      <c r="F2177" s="29" t="s">
        <v>139</v>
      </c>
      <c r="G2177" s="29" t="s">
        <v>737</v>
      </c>
      <c r="H2177" s="29" t="s">
        <v>38</v>
      </c>
      <c r="I2177" s="120">
        <v>45764</v>
      </c>
      <c r="J2177" s="120">
        <f t="shared" si="26"/>
        <v>45769</v>
      </c>
      <c r="K2177" s="120"/>
      <c r="L2177" s="120"/>
      <c r="M2177" s="120"/>
      <c r="N2177" s="29"/>
      <c r="O2177" s="29" t="s">
        <v>877</v>
      </c>
      <c r="P2177" s="120"/>
      <c r="Q2177" s="81" t="s">
        <v>1244</v>
      </c>
      <c r="R2177" s="29">
        <v>165</v>
      </c>
    </row>
    <row r="2178" spans="1:18" hidden="1">
      <c r="A2178" s="134" t="s">
        <v>1047</v>
      </c>
      <c r="C2178" s="29">
        <v>105505210</v>
      </c>
      <c r="D2178" s="29"/>
      <c r="F2178" s="29" t="s">
        <v>139</v>
      </c>
      <c r="G2178" s="29" t="s">
        <v>737</v>
      </c>
      <c r="H2178" s="29" t="s">
        <v>38</v>
      </c>
      <c r="I2178" s="120">
        <v>45762</v>
      </c>
      <c r="J2178" s="120">
        <f t="shared" si="26"/>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 t="shared" si="26"/>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 t="shared" si="26"/>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 t="shared" si="26"/>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 t="shared" si="26"/>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 t="shared" si="26"/>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 t="shared" si="26"/>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 t="shared" si="26"/>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 t="shared" si="26"/>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 t="shared" si="26"/>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 t="shared" si="26"/>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 t="shared" si="26"/>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 t="shared" si="26"/>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 t="shared" si="26"/>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 t="shared" si="26"/>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 t="shared" si="26"/>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 t="shared" si="26"/>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 t="shared" si="26"/>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 t="shared" si="26"/>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 t="shared" si="26"/>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 t="shared" si="26"/>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 t="shared" si="26"/>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 t="shared" si="26"/>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 t="shared" si="26"/>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 t="shared" si="26"/>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 t="shared" si="26"/>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 t="shared" si="26"/>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 t="shared" si="26"/>
        <v>45771</v>
      </c>
      <c r="K2205" s="120"/>
      <c r="L2205" s="120"/>
      <c r="M2205" s="120"/>
      <c r="N2205" s="120">
        <v>45790</v>
      </c>
      <c r="O2205" s="29" t="s">
        <v>1246</v>
      </c>
      <c r="P2205" s="29"/>
      <c r="Q2205" s="81"/>
      <c r="R2205" s="29">
        <v>250</v>
      </c>
      <c r="S2205" s="124" t="s">
        <v>1098</v>
      </c>
    </row>
    <row r="2206" spans="1:19" hidden="1">
      <c r="A2206" s="134" t="s">
        <v>81</v>
      </c>
      <c r="C2206" s="29">
        <v>113508730</v>
      </c>
      <c r="D2206" s="29"/>
      <c r="F2206" s="29" t="s">
        <v>970</v>
      </c>
      <c r="G2206" s="29" t="s">
        <v>737</v>
      </c>
      <c r="H2206" s="120" t="s">
        <v>981</v>
      </c>
      <c r="I2206" s="120">
        <v>45770</v>
      </c>
      <c r="J2206" s="120">
        <f t="shared" si="26"/>
        <v>45775</v>
      </c>
      <c r="K2206" s="120"/>
      <c r="L2206" s="120"/>
      <c r="M2206" s="120"/>
      <c r="N2206" s="120">
        <v>45790</v>
      </c>
      <c r="O2206" s="29" t="s">
        <v>1246</v>
      </c>
      <c r="P2206" s="29"/>
      <c r="Q2206" s="81"/>
      <c r="R2206" s="29">
        <v>270</v>
      </c>
      <c r="S2206" s="124" t="s">
        <v>1290</v>
      </c>
    </row>
    <row r="2207" spans="1:19" hidden="1">
      <c r="A2207" s="134" t="s">
        <v>81</v>
      </c>
      <c r="C2207" s="29">
        <v>113508756</v>
      </c>
      <c r="D2207" s="29"/>
      <c r="F2207" s="29" t="s">
        <v>970</v>
      </c>
      <c r="G2207" s="29" t="s">
        <v>737</v>
      </c>
      <c r="H2207" s="120" t="s">
        <v>981</v>
      </c>
      <c r="I2207" s="120">
        <v>45770</v>
      </c>
      <c r="J2207" s="120">
        <f t="shared" si="26"/>
        <v>45775</v>
      </c>
      <c r="K2207" s="120"/>
      <c r="L2207" s="120"/>
      <c r="M2207" s="120"/>
      <c r="N2207" s="120">
        <v>45790</v>
      </c>
      <c r="O2207" s="29" t="s">
        <v>1246</v>
      </c>
      <c r="P2207" s="29"/>
      <c r="Q2207" s="81"/>
      <c r="R2207" s="29">
        <v>48</v>
      </c>
      <c r="S2207" s="124" t="s">
        <v>1290</v>
      </c>
    </row>
    <row r="2208" spans="1:19" hidden="1">
      <c r="A2208" s="134" t="s">
        <v>81</v>
      </c>
      <c r="C2208" s="29">
        <v>113508774</v>
      </c>
      <c r="D2208" s="29"/>
      <c r="F2208" s="29" t="s">
        <v>970</v>
      </c>
      <c r="G2208" s="29" t="s">
        <v>737</v>
      </c>
      <c r="H2208" s="120" t="s">
        <v>981</v>
      </c>
      <c r="I2208" s="120">
        <v>45770</v>
      </c>
      <c r="J2208" s="120">
        <f t="shared" si="26"/>
        <v>45775</v>
      </c>
      <c r="K2208" s="120"/>
      <c r="L2208" s="120"/>
      <c r="M2208" s="120"/>
      <c r="N2208" s="120">
        <v>45790</v>
      </c>
      <c r="O2208" s="29" t="s">
        <v>1246</v>
      </c>
      <c r="P2208" s="29"/>
      <c r="Q2208" s="81"/>
      <c r="R2208" s="29">
        <v>48</v>
      </c>
      <c r="S2208" s="124" t="s">
        <v>1077</v>
      </c>
    </row>
    <row r="2209" spans="1:19" hidden="1">
      <c r="A2209" s="134" t="s">
        <v>81</v>
      </c>
      <c r="C2209" s="29">
        <v>113508791</v>
      </c>
      <c r="D2209" s="29"/>
      <c r="F2209" s="29" t="s">
        <v>970</v>
      </c>
      <c r="G2209" s="29" t="s">
        <v>737</v>
      </c>
      <c r="H2209" s="120" t="s">
        <v>981</v>
      </c>
      <c r="I2209" s="120">
        <v>45770</v>
      </c>
      <c r="J2209" s="120">
        <f t="shared" ref="J2209:J2272" si="27">WORKDAY(I2209, 3)</f>
        <v>45775</v>
      </c>
      <c r="K2209" s="120"/>
      <c r="L2209" s="120"/>
      <c r="M2209" s="120"/>
      <c r="N2209" s="120">
        <v>45790</v>
      </c>
      <c r="O2209" s="29" t="s">
        <v>1246</v>
      </c>
      <c r="P2209" s="29"/>
      <c r="Q2209" s="81"/>
      <c r="R2209" s="29">
        <v>580</v>
      </c>
      <c r="S2209" s="124" t="s">
        <v>1077</v>
      </c>
    </row>
    <row r="2210" spans="1:19" hidden="1">
      <c r="A2210" s="134" t="s">
        <v>81</v>
      </c>
      <c r="C2210" s="29">
        <v>113508813</v>
      </c>
      <c r="D2210" s="29"/>
      <c r="F2210" s="29" t="s">
        <v>970</v>
      </c>
      <c r="G2210" s="29" t="s">
        <v>737</v>
      </c>
      <c r="H2210" s="120" t="s">
        <v>981</v>
      </c>
      <c r="I2210" s="120">
        <v>45770</v>
      </c>
      <c r="J2210" s="120">
        <f t="shared" si="27"/>
        <v>45775</v>
      </c>
      <c r="K2210" s="120"/>
      <c r="L2210" s="120"/>
      <c r="M2210" s="120"/>
      <c r="N2210" s="120">
        <v>45790</v>
      </c>
      <c r="O2210" s="29" t="s">
        <v>1246</v>
      </c>
      <c r="P2210" s="29"/>
      <c r="Q2210" s="81"/>
      <c r="R2210" s="29">
        <v>45</v>
      </c>
      <c r="S2210" s="124" t="s">
        <v>1077</v>
      </c>
    </row>
    <row r="2211" spans="1:19" hidden="1">
      <c r="A2211" s="134" t="s">
        <v>81</v>
      </c>
      <c r="C2211" s="29">
        <v>113508833</v>
      </c>
      <c r="D2211" s="29"/>
      <c r="F2211" s="29" t="s">
        <v>970</v>
      </c>
      <c r="G2211" s="29" t="s">
        <v>737</v>
      </c>
      <c r="H2211" s="120" t="s">
        <v>981</v>
      </c>
      <c r="I2211" s="120">
        <v>45770</v>
      </c>
      <c r="J2211" s="120">
        <f t="shared" si="27"/>
        <v>45775</v>
      </c>
      <c r="K2211" s="120"/>
      <c r="L2211" s="120"/>
      <c r="M2211" s="120"/>
      <c r="N2211" s="120">
        <v>45790</v>
      </c>
      <c r="O2211" s="29" t="s">
        <v>1246</v>
      </c>
      <c r="P2211" s="29"/>
      <c r="Q2211" s="81"/>
      <c r="R2211" s="29">
        <v>270</v>
      </c>
      <c r="S2211" s="124" t="s">
        <v>1077</v>
      </c>
    </row>
    <row r="2212" spans="1:19" hidden="1">
      <c r="A2212" s="134" t="s">
        <v>81</v>
      </c>
      <c r="C2212" s="29">
        <v>113508846</v>
      </c>
      <c r="D2212" s="29"/>
      <c r="F2212" s="29" t="s">
        <v>970</v>
      </c>
      <c r="G2212" s="29" t="s">
        <v>737</v>
      </c>
      <c r="H2212" s="120" t="s">
        <v>981</v>
      </c>
      <c r="I2212" s="120">
        <v>45770</v>
      </c>
      <c r="J2212" s="120">
        <f t="shared" si="27"/>
        <v>45775</v>
      </c>
      <c r="K2212" s="120"/>
      <c r="L2212" s="120"/>
      <c r="M2212" s="120"/>
      <c r="N2212" s="120">
        <v>45790</v>
      </c>
      <c r="O2212" s="29" t="s">
        <v>1246</v>
      </c>
      <c r="P2212" s="29"/>
      <c r="Q2212" s="81"/>
      <c r="R2212" s="29">
        <v>300</v>
      </c>
      <c r="S2212" s="124" t="s">
        <v>1290</v>
      </c>
    </row>
    <row r="2213" spans="1:19" hidden="1">
      <c r="A2213" s="134" t="s">
        <v>81</v>
      </c>
      <c r="C2213" s="29">
        <v>113508859</v>
      </c>
      <c r="D2213" s="29"/>
      <c r="F2213" s="29" t="s">
        <v>970</v>
      </c>
      <c r="G2213" s="29" t="s">
        <v>737</v>
      </c>
      <c r="H2213" s="120" t="s">
        <v>981</v>
      </c>
      <c r="I2213" s="120">
        <v>45770</v>
      </c>
      <c r="J2213" s="120">
        <f t="shared" si="27"/>
        <v>45775</v>
      </c>
      <c r="K2213" s="120"/>
      <c r="L2213" s="120"/>
      <c r="M2213" s="120"/>
      <c r="N2213" s="120">
        <v>45790</v>
      </c>
      <c r="O2213" s="29" t="s">
        <v>1246</v>
      </c>
      <c r="P2213" s="29"/>
      <c r="Q2213" s="81"/>
      <c r="R2213" s="29">
        <v>45</v>
      </c>
      <c r="S2213" s="124" t="s">
        <v>1291</v>
      </c>
    </row>
    <row r="2214" spans="1:19" hidden="1">
      <c r="A2214" s="134" t="s">
        <v>81</v>
      </c>
      <c r="C2214" s="29">
        <v>113508874</v>
      </c>
      <c r="D2214" s="29"/>
      <c r="F2214" s="29" t="s">
        <v>970</v>
      </c>
      <c r="G2214" s="29" t="s">
        <v>737</v>
      </c>
      <c r="H2214" s="120" t="s">
        <v>981</v>
      </c>
      <c r="I2214" s="120">
        <v>45770</v>
      </c>
      <c r="J2214" s="120">
        <f t="shared" si="27"/>
        <v>45775</v>
      </c>
      <c r="K2214" s="120"/>
      <c r="L2214" s="120"/>
      <c r="M2214" s="120"/>
      <c r="N2214" s="120">
        <v>45790</v>
      </c>
      <c r="O2214" s="29" t="s">
        <v>1246</v>
      </c>
      <c r="P2214" s="29"/>
      <c r="Q2214" s="81"/>
      <c r="R2214" s="29">
        <v>150</v>
      </c>
      <c r="S2214" s="124" t="s">
        <v>1291</v>
      </c>
    </row>
    <row r="2215" spans="1:19" hidden="1">
      <c r="A2215" s="134" t="s">
        <v>81</v>
      </c>
      <c r="C2215" s="29">
        <v>113508901</v>
      </c>
      <c r="D2215" s="29"/>
      <c r="F2215" s="29" t="s">
        <v>970</v>
      </c>
      <c r="G2215" s="29" t="s">
        <v>737</v>
      </c>
      <c r="H2215" s="120" t="s">
        <v>981</v>
      </c>
      <c r="I2215" s="120">
        <v>45770</v>
      </c>
      <c r="J2215" s="120">
        <f t="shared" si="27"/>
        <v>45775</v>
      </c>
      <c r="K2215" s="120"/>
      <c r="L2215" s="120"/>
      <c r="M2215" s="120"/>
      <c r="N2215" s="120">
        <v>45790</v>
      </c>
      <c r="O2215" s="29" t="s">
        <v>1246</v>
      </c>
      <c r="P2215" s="29"/>
      <c r="Q2215" s="81"/>
      <c r="R2215" s="29">
        <v>125</v>
      </c>
      <c r="S2215" s="124" t="s">
        <v>1292</v>
      </c>
    </row>
    <row r="2216" spans="1:19" hidden="1">
      <c r="A2216" s="134" t="s">
        <v>81</v>
      </c>
      <c r="C2216" s="29">
        <v>113508911</v>
      </c>
      <c r="D2216" s="29"/>
      <c r="F2216" s="29" t="s">
        <v>970</v>
      </c>
      <c r="G2216" s="29" t="s">
        <v>737</v>
      </c>
      <c r="H2216" s="120" t="s">
        <v>981</v>
      </c>
      <c r="I2216" s="120">
        <v>45770</v>
      </c>
      <c r="J2216" s="120">
        <f t="shared" si="27"/>
        <v>45775</v>
      </c>
      <c r="K2216" s="120"/>
      <c r="L2216" s="120"/>
      <c r="M2216" s="120"/>
      <c r="N2216" s="120">
        <v>45790</v>
      </c>
      <c r="O2216" s="29" t="s">
        <v>1246</v>
      </c>
      <c r="P2216" s="29"/>
      <c r="Q2216" s="81"/>
      <c r="R2216" s="150">
        <v>375</v>
      </c>
      <c r="S2216" s="124" t="s">
        <v>1077</v>
      </c>
    </row>
    <row r="2217" spans="1:19" hidden="1">
      <c r="A2217" s="134" t="s">
        <v>81</v>
      </c>
      <c r="C2217" s="29">
        <v>113508924</v>
      </c>
      <c r="D2217" s="29"/>
      <c r="F2217" s="29" t="s">
        <v>970</v>
      </c>
      <c r="G2217" s="29" t="s">
        <v>737</v>
      </c>
      <c r="H2217" s="120" t="s">
        <v>981</v>
      </c>
      <c r="I2217" s="120">
        <v>45770</v>
      </c>
      <c r="J2217" s="120">
        <f t="shared" si="27"/>
        <v>45775</v>
      </c>
      <c r="K2217" s="120"/>
      <c r="L2217" s="120"/>
      <c r="M2217" s="120"/>
      <c r="N2217" s="120">
        <v>45790</v>
      </c>
      <c r="O2217" s="29" t="s">
        <v>1246</v>
      </c>
      <c r="P2217" s="29"/>
      <c r="Q2217" s="81"/>
      <c r="R2217" s="150">
        <v>150</v>
      </c>
      <c r="S2217" s="124" t="s">
        <v>1077</v>
      </c>
    </row>
    <row r="2218" spans="1:19" hidden="1">
      <c r="A2218" s="134" t="s">
        <v>81</v>
      </c>
      <c r="C2218" s="29">
        <v>113508937</v>
      </c>
      <c r="D2218" s="29"/>
      <c r="F2218" s="29" t="s">
        <v>970</v>
      </c>
      <c r="G2218" s="29" t="s">
        <v>737</v>
      </c>
      <c r="H2218" s="120" t="s">
        <v>981</v>
      </c>
      <c r="I2218" s="120">
        <v>45770</v>
      </c>
      <c r="J2218" s="120">
        <f t="shared" si="27"/>
        <v>45775</v>
      </c>
      <c r="K2218" s="120"/>
      <c r="L2218" s="120"/>
      <c r="M2218" s="120"/>
      <c r="N2218" s="120">
        <v>45790</v>
      </c>
      <c r="O2218" s="29" t="s">
        <v>1246</v>
      </c>
      <c r="P2218" s="29"/>
      <c r="Q2218" s="81"/>
      <c r="R2218" s="150">
        <v>45</v>
      </c>
      <c r="S2218" s="124" t="s">
        <v>1291</v>
      </c>
    </row>
    <row r="2219" spans="1:19" hidden="1">
      <c r="A2219" s="134" t="s">
        <v>81</v>
      </c>
      <c r="C2219" s="29">
        <v>113508950</v>
      </c>
      <c r="D2219" s="29"/>
      <c r="F2219" s="29" t="s">
        <v>970</v>
      </c>
      <c r="G2219" s="29" t="s">
        <v>737</v>
      </c>
      <c r="H2219" s="120" t="s">
        <v>981</v>
      </c>
      <c r="I2219" s="120">
        <v>45770</v>
      </c>
      <c r="J2219" s="120">
        <f t="shared" si="27"/>
        <v>45775</v>
      </c>
      <c r="K2219" s="120"/>
      <c r="L2219" s="120"/>
      <c r="M2219" s="120"/>
      <c r="N2219" s="120">
        <v>45790</v>
      </c>
      <c r="O2219" s="29" t="s">
        <v>1246</v>
      </c>
      <c r="P2219" s="29"/>
      <c r="Q2219" s="81"/>
      <c r="R2219" s="150">
        <v>245</v>
      </c>
      <c r="S2219" s="124" t="s">
        <v>1290</v>
      </c>
    </row>
    <row r="2220" spans="1:19" hidden="1">
      <c r="A2220" s="134" t="s">
        <v>81</v>
      </c>
      <c r="C2220" s="29">
        <v>113508961</v>
      </c>
      <c r="D2220" s="29"/>
      <c r="F2220" s="29" t="s">
        <v>970</v>
      </c>
      <c r="G2220" s="29" t="s">
        <v>737</v>
      </c>
      <c r="H2220" s="120" t="s">
        <v>981</v>
      </c>
      <c r="I2220" s="120">
        <v>45770</v>
      </c>
      <c r="J2220" s="120">
        <f t="shared" si="27"/>
        <v>45775</v>
      </c>
      <c r="K2220" s="120"/>
      <c r="L2220" s="120"/>
      <c r="M2220" s="120"/>
      <c r="N2220" s="120">
        <v>45790</v>
      </c>
      <c r="O2220" s="29" t="s">
        <v>1246</v>
      </c>
      <c r="P2220" s="29"/>
      <c r="Q2220" s="81"/>
      <c r="R2220" s="150">
        <v>48</v>
      </c>
      <c r="S2220" s="124" t="s">
        <v>1293</v>
      </c>
    </row>
    <row r="2221" spans="1:19" hidden="1">
      <c r="A2221" s="134" t="s">
        <v>81</v>
      </c>
      <c r="C2221" s="29">
        <v>113508970</v>
      </c>
      <c r="D2221" s="29"/>
      <c r="F2221" s="29" t="s">
        <v>970</v>
      </c>
      <c r="G2221" s="29" t="s">
        <v>737</v>
      </c>
      <c r="H2221" s="120" t="s">
        <v>981</v>
      </c>
      <c r="I2221" s="120">
        <v>45770</v>
      </c>
      <c r="J2221" s="120">
        <f t="shared" si="27"/>
        <v>45775</v>
      </c>
      <c r="K2221" s="120"/>
      <c r="L2221" s="120"/>
      <c r="M2221" s="120"/>
      <c r="N2221" s="120">
        <v>45790</v>
      </c>
      <c r="O2221" s="29" t="s">
        <v>1246</v>
      </c>
      <c r="P2221" s="29"/>
      <c r="Q2221" s="81"/>
      <c r="R2221" s="150">
        <v>48</v>
      </c>
      <c r="S2221" s="124" t="s">
        <v>1294</v>
      </c>
    </row>
    <row r="2222" spans="1:19" hidden="1">
      <c r="A2222" s="134" t="s">
        <v>81</v>
      </c>
      <c r="C2222" s="29">
        <v>113508980</v>
      </c>
      <c r="D2222" s="29"/>
      <c r="F2222" s="29" t="s">
        <v>970</v>
      </c>
      <c r="G2222" s="29" t="s">
        <v>737</v>
      </c>
      <c r="H2222" s="120" t="s">
        <v>981</v>
      </c>
      <c r="I2222" s="120">
        <v>45770</v>
      </c>
      <c r="J2222" s="120">
        <f t="shared" si="27"/>
        <v>45775</v>
      </c>
      <c r="K2222" s="120"/>
      <c r="L2222" s="120"/>
      <c r="M2222" s="120"/>
      <c r="N2222" s="120">
        <v>45790</v>
      </c>
      <c r="O2222" s="29" t="s">
        <v>1246</v>
      </c>
      <c r="P2222" s="29"/>
      <c r="Q2222" s="81"/>
      <c r="R2222" s="150">
        <v>90</v>
      </c>
      <c r="S2222" s="124" t="s">
        <v>1290</v>
      </c>
    </row>
    <row r="2223" spans="1:19" hidden="1">
      <c r="A2223" s="134" t="s">
        <v>81</v>
      </c>
      <c r="C2223" s="29">
        <v>113508989</v>
      </c>
      <c r="D2223" s="29"/>
      <c r="F2223" s="29" t="s">
        <v>970</v>
      </c>
      <c r="G2223" s="29" t="s">
        <v>737</v>
      </c>
      <c r="H2223" s="120" t="s">
        <v>981</v>
      </c>
      <c r="I2223" s="120">
        <v>45770</v>
      </c>
      <c r="J2223" s="120">
        <f t="shared" si="27"/>
        <v>45775</v>
      </c>
      <c r="K2223" s="120"/>
      <c r="L2223" s="120"/>
      <c r="M2223" s="120"/>
      <c r="N2223" s="120">
        <v>45790</v>
      </c>
      <c r="O2223" s="29" t="s">
        <v>1246</v>
      </c>
      <c r="P2223" s="29"/>
      <c r="Q2223" s="81"/>
      <c r="R2223" s="29">
        <v>225</v>
      </c>
      <c r="S2223" s="124" t="s">
        <v>1291</v>
      </c>
    </row>
    <row r="2224" spans="1:19" hidden="1">
      <c r="A2224" s="134" t="s">
        <v>81</v>
      </c>
      <c r="C2224" s="29">
        <v>113508999</v>
      </c>
      <c r="D2224" s="29"/>
      <c r="F2224" s="29" t="s">
        <v>970</v>
      </c>
      <c r="G2224" s="29" t="s">
        <v>737</v>
      </c>
      <c r="H2224" s="120" t="s">
        <v>981</v>
      </c>
      <c r="I2224" s="120">
        <v>45770</v>
      </c>
      <c r="J2224" s="120">
        <f t="shared" si="27"/>
        <v>45775</v>
      </c>
      <c r="K2224" s="120"/>
      <c r="L2224" s="120"/>
      <c r="M2224" s="120"/>
      <c r="N2224" s="120">
        <v>45790</v>
      </c>
      <c r="O2224" s="29" t="s">
        <v>1246</v>
      </c>
      <c r="P2224" s="29"/>
      <c r="Q2224" s="81"/>
      <c r="R2224" s="29">
        <v>195</v>
      </c>
      <c r="S2224" s="124" t="s">
        <v>1291</v>
      </c>
    </row>
    <row r="2225" spans="1:19" hidden="1">
      <c r="A2225" s="134" t="s">
        <v>81</v>
      </c>
      <c r="C2225" s="29">
        <v>113509013</v>
      </c>
      <c r="D2225" s="29"/>
      <c r="F2225" s="29" t="s">
        <v>970</v>
      </c>
      <c r="G2225" s="29" t="s">
        <v>737</v>
      </c>
      <c r="H2225" s="120" t="s">
        <v>981</v>
      </c>
      <c r="I2225" s="120">
        <v>45770</v>
      </c>
      <c r="J2225" s="120">
        <f t="shared" si="27"/>
        <v>45775</v>
      </c>
      <c r="K2225" s="120"/>
      <c r="L2225" s="120"/>
      <c r="M2225" s="120"/>
      <c r="N2225" s="120">
        <v>45790</v>
      </c>
      <c r="O2225" s="29" t="s">
        <v>1246</v>
      </c>
      <c r="P2225" s="29"/>
      <c r="Q2225" s="81"/>
      <c r="R2225" s="29">
        <v>55</v>
      </c>
      <c r="S2225" s="124" t="s">
        <v>1291</v>
      </c>
    </row>
    <row r="2226" spans="1:19" hidden="1">
      <c r="A2226" s="134" t="s">
        <v>81</v>
      </c>
      <c r="C2226" s="29">
        <v>113509027</v>
      </c>
      <c r="D2226" s="29"/>
      <c r="F2226" s="29" t="s">
        <v>970</v>
      </c>
      <c r="G2226" s="29" t="s">
        <v>737</v>
      </c>
      <c r="H2226" s="120" t="s">
        <v>981</v>
      </c>
      <c r="I2226" s="120">
        <v>45770</v>
      </c>
      <c r="J2226" s="120">
        <f t="shared" si="27"/>
        <v>45775</v>
      </c>
      <c r="K2226" s="120"/>
      <c r="L2226" s="120"/>
      <c r="M2226" s="120"/>
      <c r="N2226" s="120">
        <v>45790</v>
      </c>
      <c r="O2226" s="29" t="s">
        <v>1246</v>
      </c>
      <c r="P2226" s="29"/>
      <c r="Q2226" s="81"/>
      <c r="R2226" s="29">
        <v>365</v>
      </c>
      <c r="S2226" s="124" t="s">
        <v>1295</v>
      </c>
    </row>
    <row r="2227" spans="1:19" hidden="1">
      <c r="A2227" s="134" t="s">
        <v>81</v>
      </c>
      <c r="C2227" s="29">
        <v>113509043</v>
      </c>
      <c r="D2227" s="29"/>
      <c r="F2227" s="29" t="s">
        <v>970</v>
      </c>
      <c r="G2227" s="29" t="s">
        <v>737</v>
      </c>
      <c r="H2227" s="120" t="s">
        <v>981</v>
      </c>
      <c r="I2227" s="120">
        <v>45770</v>
      </c>
      <c r="J2227" s="120">
        <f t="shared" si="27"/>
        <v>45775</v>
      </c>
      <c r="K2227" s="120"/>
      <c r="L2227" s="120"/>
      <c r="M2227" s="120"/>
      <c r="N2227" s="120">
        <v>45790</v>
      </c>
      <c r="O2227" s="29" t="s">
        <v>1246</v>
      </c>
      <c r="P2227" s="29"/>
      <c r="Q2227" s="81"/>
      <c r="R2227" s="29">
        <v>51</v>
      </c>
      <c r="S2227" s="124" t="s">
        <v>1295</v>
      </c>
    </row>
    <row r="2228" spans="1:19" hidden="1">
      <c r="A2228" s="134" t="s">
        <v>81</v>
      </c>
      <c r="C2228" s="29">
        <v>113509054</v>
      </c>
      <c r="D2228" s="29"/>
      <c r="F2228" s="29" t="s">
        <v>970</v>
      </c>
      <c r="G2228" s="29" t="s">
        <v>737</v>
      </c>
      <c r="H2228" s="120" t="s">
        <v>981</v>
      </c>
      <c r="I2228" s="120">
        <v>45770</v>
      </c>
      <c r="J2228" s="120">
        <f t="shared" si="27"/>
        <v>45775</v>
      </c>
      <c r="K2228" s="120"/>
      <c r="L2228" s="120"/>
      <c r="M2228" s="120"/>
      <c r="N2228" s="120">
        <v>45790</v>
      </c>
      <c r="O2228" s="29" t="s">
        <v>1246</v>
      </c>
      <c r="P2228" s="29"/>
      <c r="Q2228" s="81"/>
      <c r="R2228" s="29">
        <v>350</v>
      </c>
      <c r="S2228" s="124" t="s">
        <v>1295</v>
      </c>
    </row>
    <row r="2229" spans="1:19" hidden="1">
      <c r="A2229" s="134" t="s">
        <v>81</v>
      </c>
      <c r="C2229" s="29">
        <v>113509355</v>
      </c>
      <c r="D2229" s="29"/>
      <c r="F2229" s="29" t="s">
        <v>970</v>
      </c>
      <c r="G2229" s="29" t="s">
        <v>737</v>
      </c>
      <c r="H2229" s="120" t="s">
        <v>981</v>
      </c>
      <c r="I2229" s="120">
        <v>45770</v>
      </c>
      <c r="J2229" s="120">
        <f t="shared" si="27"/>
        <v>45775</v>
      </c>
      <c r="K2229" s="120"/>
      <c r="L2229" s="120"/>
      <c r="M2229" s="120"/>
      <c r="N2229" s="120">
        <v>45790</v>
      </c>
      <c r="O2229" s="29" t="s">
        <v>1246</v>
      </c>
      <c r="P2229" s="29"/>
      <c r="Q2229" s="81"/>
      <c r="R2229" s="29">
        <v>275</v>
      </c>
      <c r="S2229" s="124" t="s">
        <v>1290</v>
      </c>
    </row>
    <row r="2230" spans="1:19" hidden="1">
      <c r="A2230" s="134" t="s">
        <v>81</v>
      </c>
      <c r="C2230" s="29">
        <v>113509366</v>
      </c>
      <c r="D2230" s="29"/>
      <c r="F2230" s="29" t="s">
        <v>970</v>
      </c>
      <c r="G2230" s="29" t="s">
        <v>737</v>
      </c>
      <c r="H2230" s="120" t="s">
        <v>981</v>
      </c>
      <c r="I2230" s="120">
        <v>45770</v>
      </c>
      <c r="J2230" s="120">
        <f t="shared" si="27"/>
        <v>45775</v>
      </c>
      <c r="K2230" s="120"/>
      <c r="L2230" s="120"/>
      <c r="M2230" s="120"/>
      <c r="N2230" s="120">
        <v>45790</v>
      </c>
      <c r="O2230" s="29" t="s">
        <v>1246</v>
      </c>
      <c r="P2230" s="29"/>
      <c r="Q2230" s="81"/>
      <c r="R2230" s="29">
        <v>57</v>
      </c>
      <c r="S2230" s="124" t="s">
        <v>1293</v>
      </c>
    </row>
    <row r="2231" spans="1:19" hidden="1">
      <c r="A2231" s="134" t="s">
        <v>81</v>
      </c>
      <c r="C2231" s="29">
        <v>113509369</v>
      </c>
      <c r="D2231" s="29"/>
      <c r="F2231" s="29" t="s">
        <v>970</v>
      </c>
      <c r="G2231" s="29" t="s">
        <v>737</v>
      </c>
      <c r="H2231" s="120" t="s">
        <v>981</v>
      </c>
      <c r="I2231" s="120">
        <v>45770</v>
      </c>
      <c r="J2231" s="120">
        <f t="shared" si="27"/>
        <v>45775</v>
      </c>
      <c r="K2231" s="120"/>
      <c r="L2231" s="120"/>
      <c r="M2231" s="120"/>
      <c r="N2231" s="120">
        <v>45790</v>
      </c>
      <c r="O2231" s="29" t="s">
        <v>1246</v>
      </c>
      <c r="P2231" s="29"/>
      <c r="Q2231" s="81"/>
      <c r="R2231" s="29">
        <v>90</v>
      </c>
      <c r="S2231" s="124" t="s">
        <v>1290</v>
      </c>
    </row>
    <row r="2232" spans="1:19" hidden="1">
      <c r="A2232" s="134" t="s">
        <v>81</v>
      </c>
      <c r="C2232" s="29">
        <v>113509372</v>
      </c>
      <c r="D2232" s="29"/>
      <c r="F2232" s="29" t="s">
        <v>970</v>
      </c>
      <c r="G2232" s="29" t="s">
        <v>737</v>
      </c>
      <c r="H2232" s="120" t="s">
        <v>981</v>
      </c>
      <c r="I2232" s="120">
        <v>45770</v>
      </c>
      <c r="J2232" s="120">
        <f t="shared" si="27"/>
        <v>45775</v>
      </c>
      <c r="K2232" s="120"/>
      <c r="L2232" s="120"/>
      <c r="M2232" s="120"/>
      <c r="N2232" s="120">
        <v>45790</v>
      </c>
      <c r="O2232" s="29" t="s">
        <v>1246</v>
      </c>
      <c r="P2232" s="29"/>
      <c r="Q2232" s="81"/>
      <c r="R2232" s="29">
        <v>80</v>
      </c>
      <c r="S2232" s="124" t="s">
        <v>1294</v>
      </c>
    </row>
    <row r="2233" spans="1:19" hidden="1">
      <c r="A2233" s="134" t="s">
        <v>81</v>
      </c>
      <c r="C2233" s="29">
        <v>113509378</v>
      </c>
      <c r="D2233" s="29"/>
      <c r="F2233" s="29" t="s">
        <v>970</v>
      </c>
      <c r="G2233" s="29" t="s">
        <v>737</v>
      </c>
      <c r="H2233" s="120" t="s">
        <v>981</v>
      </c>
      <c r="I2233" s="120">
        <v>45770</v>
      </c>
      <c r="J2233" s="120">
        <f t="shared" si="27"/>
        <v>45775</v>
      </c>
      <c r="K2233" s="120"/>
      <c r="L2233" s="120"/>
      <c r="M2233" s="120"/>
      <c r="N2233" s="120">
        <v>45790</v>
      </c>
      <c r="O2233" s="29" t="s">
        <v>1246</v>
      </c>
      <c r="P2233" s="29"/>
      <c r="Q2233" s="81"/>
      <c r="R2233" s="29">
        <v>300</v>
      </c>
      <c r="S2233" s="124" t="s">
        <v>1291</v>
      </c>
    </row>
    <row r="2234" spans="1:19" hidden="1">
      <c r="A2234" s="134" t="s">
        <v>81</v>
      </c>
      <c r="C2234" s="29">
        <v>113509380</v>
      </c>
      <c r="D2234" s="29"/>
      <c r="F2234" s="29" t="s">
        <v>970</v>
      </c>
      <c r="G2234" s="29" t="s">
        <v>737</v>
      </c>
      <c r="H2234" s="120" t="s">
        <v>981</v>
      </c>
      <c r="I2234" s="120">
        <v>45770</v>
      </c>
      <c r="J2234" s="120">
        <f t="shared" si="27"/>
        <v>45775</v>
      </c>
      <c r="K2234" s="120"/>
      <c r="L2234" s="120"/>
      <c r="M2234" s="120"/>
      <c r="N2234" s="120">
        <v>45790</v>
      </c>
      <c r="O2234" s="29" t="s">
        <v>1246</v>
      </c>
      <c r="P2234" s="29"/>
      <c r="Q2234" s="81"/>
      <c r="R2234" s="150">
        <v>55</v>
      </c>
      <c r="S2234" s="124" t="s">
        <v>1291</v>
      </c>
    </row>
    <row r="2235" spans="1:19" hidden="1">
      <c r="A2235" s="134" t="s">
        <v>81</v>
      </c>
      <c r="C2235" s="29">
        <v>113509383</v>
      </c>
      <c r="D2235" s="29"/>
      <c r="F2235" s="29" t="s">
        <v>970</v>
      </c>
      <c r="G2235" s="29" t="s">
        <v>737</v>
      </c>
      <c r="H2235" s="120" t="s">
        <v>981</v>
      </c>
      <c r="I2235" s="120">
        <v>45770</v>
      </c>
      <c r="J2235" s="120">
        <f t="shared" si="27"/>
        <v>45775</v>
      </c>
      <c r="K2235" s="120"/>
      <c r="L2235" s="120"/>
      <c r="M2235" s="120"/>
      <c r="N2235" s="120">
        <v>45790</v>
      </c>
      <c r="O2235" s="29" t="s">
        <v>1246</v>
      </c>
      <c r="P2235" s="29"/>
      <c r="Q2235" s="81"/>
      <c r="R2235" s="150">
        <v>55</v>
      </c>
      <c r="S2235" s="124" t="s">
        <v>1291</v>
      </c>
    </row>
    <row r="2236" spans="1:19" hidden="1">
      <c r="A2236" s="134" t="s">
        <v>81</v>
      </c>
      <c r="C2236" s="29">
        <v>113509390</v>
      </c>
      <c r="D2236" s="29"/>
      <c r="F2236" s="29" t="s">
        <v>970</v>
      </c>
      <c r="G2236" s="29" t="s">
        <v>737</v>
      </c>
      <c r="H2236" s="120" t="s">
        <v>981</v>
      </c>
      <c r="I2236" s="120">
        <v>45770</v>
      </c>
      <c r="J2236" s="120">
        <f t="shared" si="27"/>
        <v>45775</v>
      </c>
      <c r="K2236" s="120"/>
      <c r="L2236" s="120"/>
      <c r="M2236" s="120"/>
      <c r="N2236" s="120">
        <v>45790</v>
      </c>
      <c r="O2236" s="29" t="s">
        <v>1246</v>
      </c>
      <c r="P2236" s="29"/>
      <c r="Q2236" s="81"/>
      <c r="R2236" s="29">
        <v>375</v>
      </c>
      <c r="S2236" s="124" t="s">
        <v>1291</v>
      </c>
    </row>
    <row r="2237" spans="1:19" hidden="1">
      <c r="A2237" s="134" t="s">
        <v>81</v>
      </c>
      <c r="C2237" s="29">
        <v>113509394</v>
      </c>
      <c r="D2237" s="29"/>
      <c r="F2237" s="29" t="s">
        <v>970</v>
      </c>
      <c r="G2237" s="29" t="s">
        <v>737</v>
      </c>
      <c r="H2237" s="120" t="s">
        <v>981</v>
      </c>
      <c r="I2237" s="120">
        <v>45770</v>
      </c>
      <c r="J2237" s="120">
        <f t="shared" si="27"/>
        <v>45775</v>
      </c>
      <c r="K2237" s="120"/>
      <c r="L2237" s="120"/>
      <c r="M2237" s="120"/>
      <c r="N2237" s="120">
        <v>45790</v>
      </c>
      <c r="O2237" s="29" t="s">
        <v>1246</v>
      </c>
      <c r="P2237" s="29"/>
      <c r="Q2237" s="81"/>
      <c r="R2237" s="29">
        <v>53</v>
      </c>
      <c r="S2237" s="124" t="s">
        <v>1291</v>
      </c>
    </row>
    <row r="2238" spans="1:19" hidden="1">
      <c r="A2238" s="134" t="s">
        <v>81</v>
      </c>
      <c r="C2238" s="29">
        <v>113509400</v>
      </c>
      <c r="D2238" s="29"/>
      <c r="F2238" s="29" t="s">
        <v>970</v>
      </c>
      <c r="G2238" s="29" t="s">
        <v>737</v>
      </c>
      <c r="H2238" s="120" t="s">
        <v>981</v>
      </c>
      <c r="I2238" s="120">
        <v>45770</v>
      </c>
      <c r="J2238" s="120">
        <f t="shared" si="27"/>
        <v>45775</v>
      </c>
      <c r="K2238" s="120"/>
      <c r="L2238" s="120"/>
      <c r="M2238" s="120"/>
      <c r="N2238" s="120">
        <v>45790</v>
      </c>
      <c r="O2238" s="29" t="s">
        <v>1246</v>
      </c>
      <c r="P2238" s="29"/>
      <c r="Q2238" s="81"/>
      <c r="R2238" s="29">
        <v>450</v>
      </c>
      <c r="S2238" s="124" t="s">
        <v>1291</v>
      </c>
    </row>
    <row r="2239" spans="1:19" hidden="1">
      <c r="A2239" s="134" t="s">
        <v>81</v>
      </c>
      <c r="C2239" s="29">
        <v>113509404</v>
      </c>
      <c r="D2239" s="29"/>
      <c r="F2239" s="29" t="s">
        <v>970</v>
      </c>
      <c r="G2239" s="29" t="s">
        <v>737</v>
      </c>
      <c r="H2239" s="120" t="s">
        <v>981</v>
      </c>
      <c r="I2239" s="120">
        <v>45770</v>
      </c>
      <c r="J2239" s="120">
        <f t="shared" si="27"/>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 t="shared" si="27"/>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 t="shared" si="27"/>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 t="shared" si="27"/>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 t="shared" si="27"/>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 t="shared" si="27"/>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 t="shared" si="27"/>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 t="shared" si="27"/>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 t="shared" si="27"/>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 t="shared" si="27"/>
        <v>45741</v>
      </c>
      <c r="K2248" s="120"/>
      <c r="L2248" s="120"/>
      <c r="M2248" s="120"/>
      <c r="N2248" s="120"/>
      <c r="O2248" s="29" t="s">
        <v>877</v>
      </c>
      <c r="P2248" s="120"/>
      <c r="Q2248" s="81"/>
      <c r="R2248" s="29"/>
      <c r="S2248" s="123"/>
    </row>
    <row r="2249" spans="1:19" hidden="1">
      <c r="A2249" s="134" t="s">
        <v>1061</v>
      </c>
      <c r="C2249" s="29">
        <v>106501312</v>
      </c>
      <c r="D2249" s="29"/>
      <c r="F2249" s="29" t="s">
        <v>139</v>
      </c>
      <c r="G2249" s="29" t="s">
        <v>737</v>
      </c>
      <c r="H2249" s="29" t="s">
        <v>38</v>
      </c>
      <c r="I2249" s="120">
        <v>45763</v>
      </c>
      <c r="J2249" s="120">
        <f t="shared" si="27"/>
        <v>45768</v>
      </c>
      <c r="K2249" s="120"/>
      <c r="L2249" s="120"/>
      <c r="M2249" s="120"/>
      <c r="N2249" s="29"/>
      <c r="O2249" s="29" t="s">
        <v>877</v>
      </c>
      <c r="P2249" s="120"/>
      <c r="Q2249" s="81"/>
      <c r="R2249" s="29">
        <v>120</v>
      </c>
    </row>
    <row r="2250" spans="1:19" hidden="1">
      <c r="A2250" s="134" t="s">
        <v>1061</v>
      </c>
      <c r="C2250" s="29">
        <v>104500095</v>
      </c>
      <c r="D2250" s="29"/>
      <c r="F2250" s="29" t="s">
        <v>139</v>
      </c>
      <c r="G2250" s="29" t="s">
        <v>737</v>
      </c>
      <c r="H2250" s="29" t="s">
        <v>38</v>
      </c>
      <c r="I2250" s="120">
        <v>45761</v>
      </c>
      <c r="J2250" s="120">
        <f t="shared" si="27"/>
        <v>45764</v>
      </c>
      <c r="K2250" s="120"/>
      <c r="L2250" s="120"/>
      <c r="M2250" s="120"/>
      <c r="N2250" s="120">
        <v>45763</v>
      </c>
      <c r="O2250" s="29" t="s">
        <v>877</v>
      </c>
      <c r="P2250" s="120"/>
      <c r="Q2250" s="81"/>
      <c r="R2250" s="29">
        <v>425</v>
      </c>
    </row>
    <row r="2251" spans="1:19" hidden="1">
      <c r="A2251" s="134" t="s">
        <v>1271</v>
      </c>
      <c r="C2251" s="29">
        <v>104500101</v>
      </c>
      <c r="D2251" s="29"/>
      <c r="F2251" s="29" t="s">
        <v>139</v>
      </c>
      <c r="G2251" s="29" t="s">
        <v>737</v>
      </c>
      <c r="H2251" s="29" t="s">
        <v>38</v>
      </c>
      <c r="I2251" s="120">
        <v>45761</v>
      </c>
      <c r="J2251" s="120">
        <f t="shared" si="27"/>
        <v>45764</v>
      </c>
      <c r="K2251" s="120"/>
      <c r="L2251" s="120"/>
      <c r="M2251" s="120"/>
      <c r="N2251" s="120">
        <v>45763</v>
      </c>
      <c r="O2251" s="29" t="s">
        <v>877</v>
      </c>
      <c r="P2251" s="120"/>
      <c r="Q2251" s="81"/>
      <c r="R2251" s="29">
        <v>175</v>
      </c>
    </row>
    <row r="2252" spans="1:19" hidden="1">
      <c r="A2252" s="134" t="s">
        <v>1272</v>
      </c>
      <c r="C2252" s="29">
        <v>104500132</v>
      </c>
      <c r="D2252" s="29"/>
      <c r="F2252" s="29" t="s">
        <v>139</v>
      </c>
      <c r="G2252" s="29" t="s">
        <v>737</v>
      </c>
      <c r="H2252" s="29" t="s">
        <v>38</v>
      </c>
      <c r="I2252" s="120">
        <v>45761</v>
      </c>
      <c r="J2252" s="120">
        <f t="shared" si="27"/>
        <v>45764</v>
      </c>
      <c r="K2252" s="120"/>
      <c r="L2252" s="120"/>
      <c r="M2252" s="120"/>
      <c r="N2252" s="120">
        <v>45763</v>
      </c>
      <c r="O2252" s="29" t="s">
        <v>877</v>
      </c>
      <c r="P2252" s="29"/>
      <c r="Q2252" s="81"/>
      <c r="R2252" s="29">
        <v>200</v>
      </c>
    </row>
    <row r="2253" spans="1:19" hidden="1">
      <c r="A2253" s="134" t="s">
        <v>1272</v>
      </c>
      <c r="C2253" s="29">
        <v>104500146</v>
      </c>
      <c r="D2253" s="29"/>
      <c r="F2253" s="29" t="s">
        <v>139</v>
      </c>
      <c r="G2253" s="29" t="s">
        <v>737</v>
      </c>
      <c r="H2253" s="29" t="s">
        <v>38</v>
      </c>
      <c r="I2253" s="120">
        <v>45761</v>
      </c>
      <c r="J2253" s="120">
        <f t="shared" si="27"/>
        <v>45764</v>
      </c>
      <c r="K2253" s="120">
        <v>45791</v>
      </c>
      <c r="L2253" s="120"/>
      <c r="M2253" s="120"/>
      <c r="N2253" s="120">
        <v>45763</v>
      </c>
      <c r="O2253" s="29" t="s">
        <v>877</v>
      </c>
      <c r="P2253" s="120"/>
      <c r="Q2253" s="81"/>
      <c r="R2253" s="29">
        <v>400</v>
      </c>
    </row>
    <row r="2254" spans="1:19" hidden="1">
      <c r="A2254" s="134" t="s">
        <v>1272</v>
      </c>
      <c r="C2254" s="29">
        <v>104500189</v>
      </c>
      <c r="D2254" s="29"/>
      <c r="F2254" s="29" t="s">
        <v>139</v>
      </c>
      <c r="G2254" s="29" t="s">
        <v>737</v>
      </c>
      <c r="H2254" s="29" t="s">
        <v>38</v>
      </c>
      <c r="I2254" s="120">
        <v>45761</v>
      </c>
      <c r="J2254" s="120">
        <f t="shared" si="27"/>
        <v>45764</v>
      </c>
      <c r="K2254" s="120">
        <v>45791</v>
      </c>
      <c r="L2254" s="120"/>
      <c r="M2254" s="120"/>
      <c r="N2254" s="120">
        <v>45763</v>
      </c>
      <c r="O2254" s="29" t="s">
        <v>877</v>
      </c>
      <c r="P2254" s="29"/>
      <c r="Q2254" s="81"/>
      <c r="R2254" s="29">
        <v>200</v>
      </c>
    </row>
    <row r="2255" spans="1:19" hidden="1">
      <c r="A2255" s="134" t="s">
        <v>1272</v>
      </c>
      <c r="C2255" s="29">
        <v>104500259</v>
      </c>
      <c r="D2255" s="29"/>
      <c r="F2255" s="29" t="s">
        <v>139</v>
      </c>
      <c r="G2255" s="29" t="s">
        <v>737</v>
      </c>
      <c r="H2255" s="29" t="s">
        <v>38</v>
      </c>
      <c r="I2255" s="120">
        <v>45761</v>
      </c>
      <c r="J2255" s="120">
        <f t="shared" si="27"/>
        <v>45764</v>
      </c>
      <c r="K2255" s="120">
        <v>45791</v>
      </c>
      <c r="L2255" s="120"/>
      <c r="M2255" s="120"/>
      <c r="N2255" s="120">
        <v>45763</v>
      </c>
      <c r="O2255" s="29" t="s">
        <v>877</v>
      </c>
      <c r="P2255" s="29"/>
      <c r="Q2255" s="81"/>
      <c r="R2255" s="29">
        <v>250</v>
      </c>
    </row>
    <row r="2256" spans="1:19" hidden="1">
      <c r="A2256" s="134" t="s">
        <v>1272</v>
      </c>
      <c r="C2256" s="29">
        <v>104500318</v>
      </c>
      <c r="D2256" s="29"/>
      <c r="F2256" s="29" t="s">
        <v>139</v>
      </c>
      <c r="G2256" s="29" t="s">
        <v>737</v>
      </c>
      <c r="H2256" s="29" t="s">
        <v>38</v>
      </c>
      <c r="I2256" s="120">
        <v>45761</v>
      </c>
      <c r="J2256" s="120">
        <f t="shared" si="27"/>
        <v>45764</v>
      </c>
      <c r="K2256" s="120">
        <v>45791</v>
      </c>
      <c r="L2256" s="120"/>
      <c r="M2256" s="120"/>
      <c r="N2256" s="120">
        <v>45763</v>
      </c>
      <c r="O2256" s="29" t="s">
        <v>877</v>
      </c>
      <c r="P2256" s="29"/>
      <c r="Q2256" s="81"/>
      <c r="R2256" s="29">
        <v>210</v>
      </c>
    </row>
    <row r="2257" spans="1:18" hidden="1">
      <c r="A2257" s="134" t="s">
        <v>1102</v>
      </c>
      <c r="C2257" s="29">
        <v>104501676</v>
      </c>
      <c r="D2257" s="29"/>
      <c r="F2257" s="29" t="s">
        <v>139</v>
      </c>
      <c r="G2257" s="29" t="s">
        <v>737</v>
      </c>
      <c r="H2257" s="29" t="s">
        <v>38</v>
      </c>
      <c r="I2257" s="120">
        <v>45761</v>
      </c>
      <c r="J2257" s="120">
        <f t="shared" si="27"/>
        <v>45764</v>
      </c>
      <c r="K2257" s="120">
        <v>45791</v>
      </c>
      <c r="L2257" s="120"/>
      <c r="M2257" s="120"/>
      <c r="N2257" s="120">
        <v>45763</v>
      </c>
      <c r="O2257" s="29" t="s">
        <v>877</v>
      </c>
      <c r="P2257" s="120"/>
      <c r="Q2257" s="81"/>
      <c r="R2257" s="29">
        <v>230</v>
      </c>
    </row>
    <row r="2258" spans="1:18" hidden="1">
      <c r="A2258" s="134" t="s">
        <v>346</v>
      </c>
      <c r="C2258" s="29">
        <v>104502093</v>
      </c>
      <c r="D2258" s="29"/>
      <c r="F2258" s="29" t="s">
        <v>139</v>
      </c>
      <c r="G2258" s="29" t="s">
        <v>737</v>
      </c>
      <c r="H2258" s="29" t="s">
        <v>38</v>
      </c>
      <c r="I2258" s="120">
        <v>45761</v>
      </c>
      <c r="J2258" s="120">
        <f t="shared" si="27"/>
        <v>45764</v>
      </c>
      <c r="K2258" s="120">
        <v>45791</v>
      </c>
      <c r="L2258" s="120"/>
      <c r="M2258" s="120"/>
      <c r="N2258" s="120">
        <v>45763</v>
      </c>
      <c r="O2258" s="29" t="s">
        <v>877</v>
      </c>
      <c r="P2258" s="120"/>
      <c r="Q2258" s="81"/>
      <c r="R2258" s="29">
        <v>275</v>
      </c>
    </row>
    <row r="2259" spans="1:18" hidden="1">
      <c r="A2259" s="134" t="s">
        <v>1074</v>
      </c>
      <c r="C2259" s="29">
        <v>104503075</v>
      </c>
      <c r="D2259" s="29"/>
      <c r="F2259" s="29" t="s">
        <v>139</v>
      </c>
      <c r="G2259" s="29" t="s">
        <v>737</v>
      </c>
      <c r="H2259" s="29" t="s">
        <v>38</v>
      </c>
      <c r="I2259" s="120">
        <v>45761</v>
      </c>
      <c r="J2259" s="120">
        <f t="shared" si="27"/>
        <v>45764</v>
      </c>
      <c r="K2259" s="120">
        <v>45791</v>
      </c>
      <c r="L2259" s="120"/>
      <c r="M2259" s="120"/>
      <c r="N2259" s="120">
        <v>45763</v>
      </c>
      <c r="O2259" s="29" t="s">
        <v>877</v>
      </c>
      <c r="P2259" s="120"/>
      <c r="Q2259" s="81"/>
      <c r="R2259" s="29">
        <v>230</v>
      </c>
    </row>
    <row r="2260" spans="1:18" hidden="1">
      <c r="A2260" s="134" t="s">
        <v>1074</v>
      </c>
      <c r="C2260" s="29">
        <v>104503122</v>
      </c>
      <c r="D2260" s="29"/>
      <c r="F2260" s="29" t="s">
        <v>139</v>
      </c>
      <c r="G2260" s="29" t="s">
        <v>737</v>
      </c>
      <c r="H2260" s="29" t="s">
        <v>38</v>
      </c>
      <c r="I2260" s="120">
        <v>45761</v>
      </c>
      <c r="J2260" s="120">
        <f t="shared" si="27"/>
        <v>45764</v>
      </c>
      <c r="K2260" s="120">
        <v>45791</v>
      </c>
      <c r="L2260" s="120"/>
      <c r="M2260" s="120"/>
      <c r="N2260" s="120">
        <v>45763</v>
      </c>
      <c r="O2260" s="29" t="s">
        <v>877</v>
      </c>
      <c r="P2260" s="120"/>
      <c r="Q2260" s="81"/>
      <c r="R2260" s="29">
        <v>250</v>
      </c>
    </row>
    <row r="2261" spans="1:18" hidden="1">
      <c r="A2261" s="134" t="s">
        <v>1074</v>
      </c>
      <c r="C2261" s="29">
        <v>104503156</v>
      </c>
      <c r="D2261" s="29"/>
      <c r="F2261" s="29" t="s">
        <v>139</v>
      </c>
      <c r="G2261" s="29" t="s">
        <v>737</v>
      </c>
      <c r="H2261" s="29" t="s">
        <v>38</v>
      </c>
      <c r="I2261" s="120">
        <v>45761</v>
      </c>
      <c r="J2261" s="120">
        <f t="shared" si="27"/>
        <v>45764</v>
      </c>
      <c r="K2261" s="120">
        <v>45791</v>
      </c>
      <c r="L2261" s="120"/>
      <c r="M2261" s="120"/>
      <c r="N2261" s="120">
        <v>45763</v>
      </c>
      <c r="O2261" s="29" t="s">
        <v>877</v>
      </c>
      <c r="P2261" s="120"/>
      <c r="Q2261" s="81"/>
      <c r="R2261" s="29">
        <v>300</v>
      </c>
    </row>
    <row r="2262" spans="1:18" hidden="1">
      <c r="A2262" s="134" t="s">
        <v>1074</v>
      </c>
      <c r="C2262" s="29">
        <v>104503184</v>
      </c>
      <c r="D2262" s="29"/>
      <c r="F2262" s="29" t="s">
        <v>139</v>
      </c>
      <c r="G2262" s="29" t="s">
        <v>737</v>
      </c>
      <c r="H2262" s="29" t="s">
        <v>38</v>
      </c>
      <c r="I2262" s="120">
        <v>45761</v>
      </c>
      <c r="J2262" s="120">
        <f t="shared" si="27"/>
        <v>45764</v>
      </c>
      <c r="K2262" s="120">
        <v>45791</v>
      </c>
      <c r="L2262" s="120"/>
      <c r="M2262" s="120"/>
      <c r="N2262" s="120">
        <v>45763</v>
      </c>
      <c r="O2262" s="29" t="s">
        <v>877</v>
      </c>
      <c r="P2262" s="120"/>
      <c r="Q2262" s="81"/>
      <c r="R2262" s="29">
        <v>230</v>
      </c>
    </row>
    <row r="2263" spans="1:18" hidden="1">
      <c r="A2263" s="134" t="s">
        <v>1074</v>
      </c>
      <c r="C2263" s="29">
        <v>104503230</v>
      </c>
      <c r="D2263" s="29"/>
      <c r="F2263" s="29" t="s">
        <v>139</v>
      </c>
      <c r="G2263" s="29" t="s">
        <v>737</v>
      </c>
      <c r="H2263" s="29" t="s">
        <v>38</v>
      </c>
      <c r="I2263" s="120">
        <v>45761</v>
      </c>
      <c r="J2263" s="120">
        <f t="shared" si="27"/>
        <v>45764</v>
      </c>
      <c r="K2263" s="120">
        <v>45791</v>
      </c>
      <c r="L2263" s="120"/>
      <c r="M2263" s="120"/>
      <c r="N2263" s="120">
        <v>45763</v>
      </c>
      <c r="O2263" s="29" t="s">
        <v>877</v>
      </c>
      <c r="P2263" s="120"/>
      <c r="Q2263" s="81"/>
      <c r="R2263" s="29">
        <v>230</v>
      </c>
    </row>
    <row r="2264" spans="1:18" hidden="1">
      <c r="A2264" s="134" t="s">
        <v>1074</v>
      </c>
      <c r="C2264" s="29">
        <v>104503264</v>
      </c>
      <c r="D2264" s="29"/>
      <c r="F2264" s="29" t="s">
        <v>139</v>
      </c>
      <c r="G2264" s="29" t="s">
        <v>737</v>
      </c>
      <c r="H2264" s="29" t="s">
        <v>38</v>
      </c>
      <c r="I2264" s="120">
        <v>45761</v>
      </c>
      <c r="J2264" s="120">
        <f t="shared" si="27"/>
        <v>45764</v>
      </c>
      <c r="K2264" s="120">
        <v>45791</v>
      </c>
      <c r="L2264" s="120"/>
      <c r="M2264" s="120"/>
      <c r="N2264" s="120">
        <v>45763</v>
      </c>
      <c r="O2264" s="29" t="s">
        <v>877</v>
      </c>
      <c r="P2264" s="120"/>
      <c r="Q2264" s="81"/>
      <c r="R2264" s="29">
        <v>200</v>
      </c>
    </row>
    <row r="2265" spans="1:18" hidden="1">
      <c r="A2265" s="134" t="s">
        <v>1074</v>
      </c>
      <c r="C2265" s="29">
        <v>104503296</v>
      </c>
      <c r="D2265" s="29"/>
      <c r="F2265" s="29" t="s">
        <v>139</v>
      </c>
      <c r="G2265" s="29" t="s">
        <v>737</v>
      </c>
      <c r="H2265" s="29" t="s">
        <v>38</v>
      </c>
      <c r="I2265" s="120">
        <v>45761</v>
      </c>
      <c r="J2265" s="120">
        <f t="shared" si="27"/>
        <v>45764</v>
      </c>
      <c r="K2265" s="120">
        <v>45791</v>
      </c>
      <c r="L2265" s="120"/>
      <c r="M2265" s="120"/>
      <c r="N2265" s="120">
        <v>45763</v>
      </c>
      <c r="O2265" s="29" t="s">
        <v>877</v>
      </c>
      <c r="P2265" s="120"/>
      <c r="Q2265" s="81"/>
      <c r="R2265" s="29">
        <v>270</v>
      </c>
    </row>
    <row r="2266" spans="1:18" hidden="1">
      <c r="A2266" s="134" t="s">
        <v>1074</v>
      </c>
      <c r="C2266" s="29">
        <v>104503362</v>
      </c>
      <c r="D2266" s="29"/>
      <c r="F2266" s="29" t="s">
        <v>139</v>
      </c>
      <c r="G2266" s="29" t="s">
        <v>737</v>
      </c>
      <c r="H2266" s="29" t="s">
        <v>38</v>
      </c>
      <c r="I2266" s="120">
        <v>45761</v>
      </c>
      <c r="J2266" s="120">
        <f t="shared" si="27"/>
        <v>45764</v>
      </c>
      <c r="K2266" s="120">
        <v>45791</v>
      </c>
      <c r="L2266" s="120"/>
      <c r="M2266" s="120"/>
      <c r="N2266" s="120">
        <v>45763</v>
      </c>
      <c r="O2266" s="29" t="s">
        <v>877</v>
      </c>
      <c r="P2266" s="120"/>
      <c r="Q2266" s="81"/>
      <c r="R2266" s="29">
        <v>270</v>
      </c>
    </row>
    <row r="2267" spans="1:18" hidden="1">
      <c r="A2267" s="134" t="s">
        <v>1270</v>
      </c>
      <c r="C2267" s="29">
        <v>104503533</v>
      </c>
      <c r="D2267" s="29"/>
      <c r="F2267" s="29" t="s">
        <v>139</v>
      </c>
      <c r="G2267" s="29" t="s">
        <v>737</v>
      </c>
      <c r="H2267" s="29" t="s">
        <v>38</v>
      </c>
      <c r="I2267" s="120">
        <v>45761</v>
      </c>
      <c r="J2267" s="120">
        <f t="shared" si="27"/>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139</v>
      </c>
      <c r="G2268" s="29" t="s">
        <v>16</v>
      </c>
      <c r="H2268" s="29" t="s">
        <v>38</v>
      </c>
      <c r="I2268" s="120">
        <v>45779</v>
      </c>
      <c r="J2268" s="120">
        <f t="shared" si="27"/>
        <v>45784</v>
      </c>
      <c r="K2268" s="120">
        <v>45810</v>
      </c>
      <c r="L2268" s="120"/>
      <c r="M2268" s="120"/>
      <c r="N2268" s="120">
        <v>45790</v>
      </c>
      <c r="O2268" s="29" t="s">
        <v>1296</v>
      </c>
      <c r="P2268" s="29"/>
      <c r="Q2268" s="156">
        <v>1200</v>
      </c>
    </row>
    <row r="2269" spans="1:18" hidden="1">
      <c r="A2269" s="134" t="s">
        <v>974</v>
      </c>
      <c r="C2269" s="29">
        <v>129500091</v>
      </c>
      <c r="D2269" s="29"/>
      <c r="E2269" s="29"/>
      <c r="F2269" s="29" t="s">
        <v>139</v>
      </c>
      <c r="G2269" s="29" t="s">
        <v>737</v>
      </c>
      <c r="H2269" s="29" t="s">
        <v>38</v>
      </c>
      <c r="I2269" s="120">
        <v>45779</v>
      </c>
      <c r="J2269" s="120">
        <f t="shared" si="27"/>
        <v>45784</v>
      </c>
      <c r="K2269" s="120">
        <v>45810</v>
      </c>
      <c r="L2269" s="120"/>
      <c r="M2269" s="120"/>
      <c r="N2269" s="29"/>
      <c r="O2269" s="29" t="s">
        <v>1297</v>
      </c>
      <c r="P2269" s="120"/>
      <c r="Q2269" s="156">
        <v>300</v>
      </c>
    </row>
    <row r="2270" spans="1:18" hidden="1">
      <c r="A2270" s="134" t="s">
        <v>1101</v>
      </c>
      <c r="C2270" s="29">
        <v>122501620</v>
      </c>
      <c r="D2270" s="29"/>
      <c r="E2270" s="29"/>
      <c r="F2270" s="29" t="s">
        <v>139</v>
      </c>
      <c r="G2270" s="29" t="s">
        <v>16</v>
      </c>
      <c r="H2270" s="29" t="s">
        <v>38</v>
      </c>
      <c r="I2270" s="120">
        <v>45779</v>
      </c>
      <c r="J2270" s="120">
        <f t="shared" si="27"/>
        <v>45784</v>
      </c>
      <c r="K2270" s="120">
        <v>45810</v>
      </c>
      <c r="L2270" s="120"/>
      <c r="M2270" s="120"/>
      <c r="N2270" s="120">
        <v>45790</v>
      </c>
      <c r="O2270" s="29" t="s">
        <v>1084</v>
      </c>
      <c r="P2270" s="29"/>
      <c r="Q2270" s="156">
        <v>500</v>
      </c>
    </row>
    <row r="2271" spans="1:18" hidden="1">
      <c r="A2271" s="134" t="s">
        <v>1101</v>
      </c>
      <c r="C2271" s="29">
        <v>122501629</v>
      </c>
      <c r="D2271" s="29"/>
      <c r="E2271" s="29"/>
      <c r="F2271" s="29" t="s">
        <v>139</v>
      </c>
      <c r="G2271" s="29" t="s">
        <v>16</v>
      </c>
      <c r="H2271" s="29" t="s">
        <v>38</v>
      </c>
      <c r="I2271" s="120">
        <v>45779</v>
      </c>
      <c r="J2271" s="120">
        <f t="shared" si="27"/>
        <v>45784</v>
      </c>
      <c r="K2271" s="120">
        <v>45810</v>
      </c>
      <c r="L2271" s="120"/>
      <c r="M2271" s="120"/>
      <c r="N2271" s="120">
        <v>45790</v>
      </c>
      <c r="O2271" s="29" t="s">
        <v>1084</v>
      </c>
      <c r="P2271" s="29"/>
      <c r="Q2271" s="156">
        <v>850</v>
      </c>
    </row>
    <row r="2272" spans="1:18" hidden="1">
      <c r="A2272" s="134" t="s">
        <v>980</v>
      </c>
      <c r="C2272" s="29">
        <v>125503675</v>
      </c>
      <c r="D2272" s="29"/>
      <c r="E2272" s="29"/>
      <c r="F2272" s="29" t="s">
        <v>139</v>
      </c>
      <c r="G2272" s="29" t="s">
        <v>16</v>
      </c>
      <c r="H2272" s="29" t="s">
        <v>38</v>
      </c>
      <c r="I2272" s="120">
        <v>45779</v>
      </c>
      <c r="J2272" s="120">
        <f t="shared" si="27"/>
        <v>45784</v>
      </c>
      <c r="K2272" s="120">
        <v>45810</v>
      </c>
      <c r="L2272" s="120"/>
      <c r="M2272" s="120"/>
      <c r="N2272" s="120">
        <v>45790</v>
      </c>
      <c r="O2272" s="29" t="s">
        <v>1084</v>
      </c>
      <c r="P2272" s="29"/>
      <c r="Q2272" s="156">
        <v>1300</v>
      </c>
    </row>
    <row r="2273" spans="1:18" hidden="1">
      <c r="A2273" s="134" t="s">
        <v>980</v>
      </c>
      <c r="C2273" s="29">
        <v>125503648</v>
      </c>
      <c r="D2273" s="29"/>
      <c r="E2273" s="29"/>
      <c r="F2273" s="29" t="s">
        <v>139</v>
      </c>
      <c r="G2273" s="29" t="s">
        <v>16</v>
      </c>
      <c r="H2273" s="29" t="s">
        <v>38</v>
      </c>
      <c r="I2273" s="120">
        <v>45779</v>
      </c>
      <c r="J2273" s="120">
        <f t="shared" ref="J2273:J2336" si="28">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139</v>
      </c>
      <c r="G2274" s="29" t="s">
        <v>16</v>
      </c>
      <c r="H2274" s="29" t="s">
        <v>38</v>
      </c>
      <c r="I2274" s="120">
        <v>45779</v>
      </c>
      <c r="J2274" s="120">
        <f t="shared" si="28"/>
        <v>45784</v>
      </c>
      <c r="K2274" s="120">
        <v>45810</v>
      </c>
      <c r="L2274" s="120"/>
      <c r="M2274" s="120"/>
      <c r="N2274" s="120">
        <v>45790</v>
      </c>
      <c r="O2274" s="29" t="s">
        <v>1084</v>
      </c>
      <c r="P2274" s="29"/>
      <c r="Q2274" s="156">
        <v>265</v>
      </c>
    </row>
    <row r="2275" spans="1:18" hidden="1">
      <c r="A2275" s="134" t="s">
        <v>1101</v>
      </c>
      <c r="C2275" s="29">
        <v>122501613</v>
      </c>
      <c r="D2275" s="29"/>
      <c r="E2275" s="29"/>
      <c r="F2275" s="29" t="s">
        <v>139</v>
      </c>
      <c r="G2275" s="29" t="s">
        <v>16</v>
      </c>
      <c r="H2275" s="29" t="s">
        <v>38</v>
      </c>
      <c r="I2275" s="120">
        <v>45779</v>
      </c>
      <c r="J2275" s="120">
        <f t="shared" si="28"/>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139</v>
      </c>
      <c r="G2276" s="29" t="s">
        <v>16</v>
      </c>
      <c r="H2276" s="29" t="s">
        <v>38</v>
      </c>
      <c r="I2276" s="120">
        <v>45779</v>
      </c>
      <c r="J2276" s="120">
        <f t="shared" si="28"/>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139</v>
      </c>
      <c r="G2277" s="29" t="s">
        <v>16</v>
      </c>
      <c r="H2277" s="29" t="s">
        <v>38</v>
      </c>
      <c r="I2277" s="120">
        <v>45779</v>
      </c>
      <c r="J2277" s="120">
        <f t="shared" si="28"/>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139</v>
      </c>
      <c r="G2278" s="29" t="s">
        <v>16</v>
      </c>
      <c r="H2278" s="29" t="s">
        <v>38</v>
      </c>
      <c r="I2278" s="120">
        <v>45779</v>
      </c>
      <c r="J2278" s="120">
        <f t="shared" si="28"/>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139</v>
      </c>
      <c r="G2279" s="29" t="s">
        <v>16</v>
      </c>
      <c r="H2279" s="29" t="s">
        <v>38</v>
      </c>
      <c r="I2279" s="120">
        <v>45779</v>
      </c>
      <c r="J2279" s="120">
        <f t="shared" si="28"/>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139</v>
      </c>
      <c r="G2280" s="29" t="s">
        <v>16</v>
      </c>
      <c r="H2280" s="29" t="s">
        <v>38</v>
      </c>
      <c r="I2280" s="120">
        <v>45779</v>
      </c>
      <c r="J2280" s="120">
        <f t="shared" si="28"/>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139</v>
      </c>
      <c r="G2281" s="29" t="s">
        <v>16</v>
      </c>
      <c r="H2281" s="29" t="s">
        <v>38</v>
      </c>
      <c r="I2281" s="120">
        <v>45779</v>
      </c>
      <c r="J2281" s="120">
        <f t="shared" si="28"/>
        <v>45784</v>
      </c>
      <c r="K2281" s="120">
        <v>45810</v>
      </c>
      <c r="L2281" s="120"/>
      <c r="M2281" s="120"/>
      <c r="N2281" s="120">
        <v>45790</v>
      </c>
      <c r="O2281" s="29" t="s">
        <v>1084</v>
      </c>
      <c r="P2281" s="29"/>
      <c r="Q2281" s="156">
        <v>550</v>
      </c>
    </row>
    <row r="2282" spans="1:18" hidden="1">
      <c r="A2282" s="134" t="s">
        <v>960</v>
      </c>
      <c r="C2282" s="29">
        <v>126501048</v>
      </c>
      <c r="D2282" s="29"/>
      <c r="E2282" s="29"/>
      <c r="F2282" s="29" t="s">
        <v>139</v>
      </c>
      <c r="G2282" s="29" t="s">
        <v>16</v>
      </c>
      <c r="H2282" s="29" t="s">
        <v>38</v>
      </c>
      <c r="I2282" s="120">
        <v>45783</v>
      </c>
      <c r="J2282" s="120">
        <f t="shared" si="28"/>
        <v>45786</v>
      </c>
      <c r="K2282" s="120">
        <v>45814</v>
      </c>
      <c r="L2282" s="120"/>
      <c r="M2282" s="120"/>
      <c r="N2282" s="29"/>
      <c r="O2282" s="29" t="s">
        <v>1298</v>
      </c>
      <c r="P2282" s="120"/>
      <c r="Q2282" s="156">
        <v>1000</v>
      </c>
    </row>
    <row r="2283" spans="1:18" hidden="1">
      <c r="A2283" s="134" t="s">
        <v>960</v>
      </c>
      <c r="C2283" s="29">
        <v>126501063</v>
      </c>
      <c r="D2283" s="29"/>
      <c r="E2283" s="29"/>
      <c r="F2283" s="29" t="s">
        <v>139</v>
      </c>
      <c r="G2283" s="29" t="s">
        <v>16</v>
      </c>
      <c r="H2283" s="29" t="s">
        <v>38</v>
      </c>
      <c r="I2283" s="120">
        <v>45783</v>
      </c>
      <c r="J2283" s="120">
        <f t="shared" si="28"/>
        <v>45786</v>
      </c>
      <c r="K2283" s="120">
        <v>45814</v>
      </c>
      <c r="L2283" s="120"/>
      <c r="M2283" s="120"/>
      <c r="N2283" s="29"/>
      <c r="O2283" s="29" t="s">
        <v>1298</v>
      </c>
      <c r="P2283" s="120"/>
      <c r="Q2283" s="156">
        <v>500</v>
      </c>
    </row>
    <row r="2284" spans="1:18" hidden="1">
      <c r="A2284" s="134" t="s">
        <v>960</v>
      </c>
      <c r="C2284" s="29">
        <v>126501072</v>
      </c>
      <c r="D2284" s="29"/>
      <c r="E2284" s="29"/>
      <c r="F2284" s="29" t="s">
        <v>139</v>
      </c>
      <c r="G2284" s="29" t="s">
        <v>16</v>
      </c>
      <c r="H2284" s="29" t="s">
        <v>38</v>
      </c>
      <c r="I2284" s="120">
        <v>45783</v>
      </c>
      <c r="J2284" s="120">
        <f t="shared" si="28"/>
        <v>45786</v>
      </c>
      <c r="K2284" s="120">
        <v>45814</v>
      </c>
      <c r="L2284" s="120"/>
      <c r="M2284" s="120"/>
      <c r="N2284" s="29"/>
      <c r="O2284" s="29" t="s">
        <v>1298</v>
      </c>
      <c r="P2284" s="120"/>
      <c r="Q2284" s="156">
        <v>1000</v>
      </c>
    </row>
    <row r="2285" spans="1:18" hidden="1">
      <c r="A2285" s="134" t="s">
        <v>1053</v>
      </c>
      <c r="C2285" s="29">
        <v>107504331</v>
      </c>
      <c r="D2285" s="29"/>
      <c r="E2285" s="29"/>
      <c r="F2285" s="29" t="s">
        <v>139</v>
      </c>
      <c r="G2285" s="29" t="s">
        <v>737</v>
      </c>
      <c r="H2285" s="29" t="s">
        <v>38</v>
      </c>
      <c r="I2285" s="120">
        <v>45764</v>
      </c>
      <c r="J2285" s="120">
        <f t="shared" si="28"/>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139</v>
      </c>
      <c r="G2286" s="29" t="s">
        <v>737</v>
      </c>
      <c r="H2286" s="29" t="s">
        <v>38</v>
      </c>
      <c r="I2286" s="120">
        <v>45764</v>
      </c>
      <c r="J2286" s="120">
        <f t="shared" si="28"/>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139</v>
      </c>
      <c r="G2287" s="29" t="s">
        <v>737</v>
      </c>
      <c r="H2287" s="29" t="s">
        <v>38</v>
      </c>
      <c r="I2287" s="120">
        <v>45764</v>
      </c>
      <c r="J2287" s="120">
        <f t="shared" si="28"/>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139</v>
      </c>
      <c r="G2288" s="29" t="s">
        <v>737</v>
      </c>
      <c r="H2288" s="29" t="s">
        <v>38</v>
      </c>
      <c r="I2288" s="120">
        <v>45768</v>
      </c>
      <c r="J2288" s="120">
        <f t="shared" si="28"/>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139</v>
      </c>
      <c r="G2289" s="29" t="s">
        <v>737</v>
      </c>
      <c r="H2289" s="29" t="s">
        <v>38</v>
      </c>
      <c r="I2289" s="120">
        <v>45768</v>
      </c>
      <c r="J2289" s="120">
        <f t="shared" si="28"/>
        <v>45771</v>
      </c>
      <c r="K2289" s="120">
        <v>45798</v>
      </c>
      <c r="L2289" s="120"/>
      <c r="M2289" s="120"/>
      <c r="N2289" s="29"/>
      <c r="O2289" s="29" t="s">
        <v>877</v>
      </c>
      <c r="P2289" s="120"/>
      <c r="Q2289" s="81">
        <v>420</v>
      </c>
    </row>
    <row r="2290" spans="1:18" hidden="1">
      <c r="A2290" s="134" t="s">
        <v>1067</v>
      </c>
      <c r="C2290" s="29">
        <v>111500626</v>
      </c>
      <c r="D2290" s="29"/>
      <c r="E2290" s="29"/>
      <c r="F2290" s="29" t="s">
        <v>139</v>
      </c>
      <c r="G2290" s="29" t="s">
        <v>737</v>
      </c>
      <c r="H2290" s="29" t="s">
        <v>38</v>
      </c>
      <c r="I2290" s="120">
        <v>45768</v>
      </c>
      <c r="J2290" s="120">
        <f t="shared" si="28"/>
        <v>45771</v>
      </c>
      <c r="K2290" s="120">
        <v>45798</v>
      </c>
      <c r="L2290" s="120"/>
      <c r="M2290" s="120"/>
      <c r="N2290" s="29"/>
      <c r="O2290" s="29" t="s">
        <v>877</v>
      </c>
      <c r="P2290" s="120"/>
      <c r="Q2290" s="81">
        <v>160</v>
      </c>
    </row>
    <row r="2291" spans="1:18" hidden="1">
      <c r="A2291" s="134" t="s">
        <v>1067</v>
      </c>
      <c r="C2291" s="29">
        <v>111500677</v>
      </c>
      <c r="D2291" s="29"/>
      <c r="E2291" s="29"/>
      <c r="F2291" s="29" t="s">
        <v>139</v>
      </c>
      <c r="G2291" s="29" t="s">
        <v>737</v>
      </c>
      <c r="H2291" s="29" t="s">
        <v>38</v>
      </c>
      <c r="I2291" s="120">
        <v>45768</v>
      </c>
      <c r="J2291" s="120">
        <f t="shared" si="28"/>
        <v>45771</v>
      </c>
      <c r="K2291" s="120">
        <v>45798</v>
      </c>
      <c r="L2291" s="120"/>
      <c r="M2291" s="120"/>
      <c r="N2291" s="29"/>
      <c r="O2291" s="29" t="s">
        <v>877</v>
      </c>
      <c r="P2291" s="120"/>
      <c r="Q2291" s="81">
        <v>80</v>
      </c>
    </row>
    <row r="2292" spans="1:18" hidden="1">
      <c r="A2292" s="134" t="s">
        <v>1052</v>
      </c>
      <c r="C2292" s="29">
        <v>111501708</v>
      </c>
      <c r="D2292" s="29">
        <v>136500095</v>
      </c>
      <c r="E2292" s="29"/>
      <c r="F2292" s="29" t="s">
        <v>139</v>
      </c>
      <c r="G2292" s="29" t="s">
        <v>737</v>
      </c>
      <c r="H2292" s="29" t="s">
        <v>38</v>
      </c>
      <c r="I2292" s="120">
        <v>45768</v>
      </c>
      <c r="J2292" s="120">
        <f t="shared" si="28"/>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139</v>
      </c>
      <c r="G2293" s="29" t="s">
        <v>737</v>
      </c>
      <c r="H2293" s="29" t="s">
        <v>38</v>
      </c>
      <c r="I2293" s="120">
        <v>45768</v>
      </c>
      <c r="J2293" s="120">
        <f t="shared" si="28"/>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139</v>
      </c>
      <c r="G2294" s="29" t="s">
        <v>737</v>
      </c>
      <c r="H2294" s="29" t="s">
        <v>38</v>
      </c>
      <c r="I2294" s="120">
        <v>45768</v>
      </c>
      <c r="J2294" s="120">
        <f t="shared" si="28"/>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139</v>
      </c>
      <c r="G2295" s="29" t="s">
        <v>737</v>
      </c>
      <c r="H2295" s="29" t="s">
        <v>38</v>
      </c>
      <c r="I2295" s="120">
        <v>45768</v>
      </c>
      <c r="J2295" s="120">
        <f t="shared" si="28"/>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139</v>
      </c>
      <c r="G2296" s="29" t="s">
        <v>737</v>
      </c>
      <c r="H2296" s="29" t="s">
        <v>38</v>
      </c>
      <c r="I2296" s="120">
        <v>45770</v>
      </c>
      <c r="J2296" s="120">
        <f t="shared" si="28"/>
        <v>45775</v>
      </c>
      <c r="K2296" s="120">
        <v>45800</v>
      </c>
      <c r="L2296" s="120"/>
      <c r="M2296" s="120"/>
      <c r="N2296" s="29"/>
      <c r="O2296" s="29" t="s">
        <v>877</v>
      </c>
      <c r="P2296" s="120"/>
      <c r="Q2296" s="81">
        <v>500</v>
      </c>
    </row>
    <row r="2297" spans="1:18" hidden="1">
      <c r="A2297" s="134" t="s">
        <v>1062</v>
      </c>
      <c r="C2297" s="29">
        <v>114500855</v>
      </c>
      <c r="D2297" s="29">
        <v>147502068</v>
      </c>
      <c r="E2297" s="29"/>
      <c r="F2297" s="29" t="s">
        <v>139</v>
      </c>
      <c r="G2297" s="29" t="s">
        <v>737</v>
      </c>
      <c r="H2297" s="29" t="s">
        <v>38</v>
      </c>
      <c r="I2297" s="120">
        <v>45771</v>
      </c>
      <c r="J2297" s="120">
        <f t="shared" si="28"/>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139</v>
      </c>
      <c r="G2298" s="29" t="s">
        <v>737</v>
      </c>
      <c r="H2298" s="29" t="s">
        <v>38</v>
      </c>
      <c r="I2298" s="120">
        <v>45771</v>
      </c>
      <c r="J2298" s="120">
        <f t="shared" si="28"/>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139</v>
      </c>
      <c r="G2299" s="29" t="s">
        <v>737</v>
      </c>
      <c r="H2299" s="29" t="s">
        <v>38</v>
      </c>
      <c r="I2299" s="120">
        <v>45771</v>
      </c>
      <c r="J2299" s="120">
        <f t="shared" si="28"/>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139</v>
      </c>
      <c r="G2300" s="29" t="s">
        <v>737</v>
      </c>
      <c r="H2300" s="29" t="s">
        <v>38</v>
      </c>
      <c r="I2300" s="120">
        <v>45775</v>
      </c>
      <c r="J2300" s="120">
        <f t="shared" si="28"/>
        <v>45778</v>
      </c>
      <c r="K2300" s="120">
        <v>45805</v>
      </c>
      <c r="L2300" s="120"/>
      <c r="M2300" s="120"/>
      <c r="O2300" s="29" t="s">
        <v>1289</v>
      </c>
      <c r="P2300" s="120"/>
      <c r="Q2300" s="81">
        <v>170</v>
      </c>
      <c r="R2300" s="134" t="s">
        <v>1289</v>
      </c>
    </row>
    <row r="2301" spans="1:18" hidden="1">
      <c r="A2301" s="134" t="s">
        <v>1067</v>
      </c>
      <c r="C2301" s="29">
        <v>119500240</v>
      </c>
      <c r="D2301" s="29"/>
      <c r="E2301" s="29"/>
      <c r="F2301" s="29" t="s">
        <v>139</v>
      </c>
      <c r="G2301" s="29" t="s">
        <v>737</v>
      </c>
      <c r="H2301" s="29" t="s">
        <v>38</v>
      </c>
      <c r="I2301" s="120">
        <v>45775</v>
      </c>
      <c r="J2301" s="120">
        <f t="shared" si="28"/>
        <v>45778</v>
      </c>
      <c r="K2301" s="120">
        <v>45805</v>
      </c>
      <c r="L2301" s="120"/>
      <c r="M2301" s="120"/>
      <c r="O2301" s="29" t="s">
        <v>1289</v>
      </c>
      <c r="P2301" s="120"/>
      <c r="Q2301" s="81">
        <v>550</v>
      </c>
      <c r="R2301" s="134" t="s">
        <v>1289</v>
      </c>
    </row>
    <row r="2302" spans="1:18" hidden="1">
      <c r="A2302" s="134" t="s">
        <v>1067</v>
      </c>
      <c r="C2302" s="29">
        <v>119500242</v>
      </c>
      <c r="D2302" s="29"/>
      <c r="E2302" s="29"/>
      <c r="F2302" s="29" t="s">
        <v>139</v>
      </c>
      <c r="G2302" s="29" t="s">
        <v>737</v>
      </c>
      <c r="H2302" s="29" t="s">
        <v>38</v>
      </c>
      <c r="I2302" s="120">
        <v>45775</v>
      </c>
      <c r="J2302" s="120">
        <f t="shared" si="28"/>
        <v>45778</v>
      </c>
      <c r="K2302" s="120">
        <v>45805</v>
      </c>
      <c r="L2302" s="120"/>
      <c r="M2302" s="120"/>
      <c r="N2302" s="29"/>
      <c r="O2302" s="29" t="s">
        <v>877</v>
      </c>
      <c r="P2302" s="120"/>
      <c r="Q2302" s="156">
        <v>270</v>
      </c>
    </row>
    <row r="2303" spans="1:18" hidden="1">
      <c r="A2303" s="134" t="s">
        <v>1067</v>
      </c>
      <c r="C2303" s="29">
        <v>119500244</v>
      </c>
      <c r="D2303" s="29"/>
      <c r="E2303" s="29"/>
      <c r="F2303" s="29" t="s">
        <v>139</v>
      </c>
      <c r="G2303" s="29" t="s">
        <v>737</v>
      </c>
      <c r="H2303" s="29" t="s">
        <v>38</v>
      </c>
      <c r="I2303" s="120">
        <v>45775</v>
      </c>
      <c r="J2303" s="120">
        <f t="shared" si="28"/>
        <v>45778</v>
      </c>
      <c r="K2303" s="120">
        <v>45805</v>
      </c>
      <c r="L2303" s="120"/>
      <c r="M2303" s="120"/>
      <c r="N2303" s="29"/>
      <c r="O2303" s="29" t="s">
        <v>877</v>
      </c>
      <c r="P2303" s="120"/>
      <c r="Q2303" s="156">
        <v>570</v>
      </c>
    </row>
    <row r="2304" spans="1:18" hidden="1">
      <c r="A2304" s="134" t="s">
        <v>1067</v>
      </c>
      <c r="C2304" s="29">
        <v>119500251</v>
      </c>
      <c r="D2304" s="29"/>
      <c r="E2304" s="29"/>
      <c r="F2304" s="29" t="s">
        <v>139</v>
      </c>
      <c r="G2304" s="29" t="s">
        <v>737</v>
      </c>
      <c r="H2304" s="29" t="s">
        <v>38</v>
      </c>
      <c r="I2304" s="120">
        <v>45775</v>
      </c>
      <c r="J2304" s="120">
        <f t="shared" si="28"/>
        <v>45778</v>
      </c>
      <c r="K2304" s="120">
        <v>45805</v>
      </c>
      <c r="L2304" s="120"/>
      <c r="M2304" s="120"/>
      <c r="N2304" s="29"/>
      <c r="O2304" s="29" t="s">
        <v>877</v>
      </c>
      <c r="P2304" s="120"/>
      <c r="Q2304" s="156">
        <v>450</v>
      </c>
    </row>
    <row r="2305" spans="1:18" hidden="1">
      <c r="A2305" s="134" t="s">
        <v>1067</v>
      </c>
      <c r="C2305" s="29">
        <v>119500257</v>
      </c>
      <c r="D2305" s="29">
        <v>147501882</v>
      </c>
      <c r="E2305" s="29"/>
      <c r="F2305" s="29" t="s">
        <v>139</v>
      </c>
      <c r="G2305" s="29" t="s">
        <v>737</v>
      </c>
      <c r="H2305" s="29" t="s">
        <v>38</v>
      </c>
      <c r="I2305" s="120">
        <v>45775</v>
      </c>
      <c r="J2305" s="120">
        <f t="shared" si="28"/>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139</v>
      </c>
      <c r="G2306" s="29" t="s">
        <v>737</v>
      </c>
      <c r="H2306" s="29" t="s">
        <v>38</v>
      </c>
      <c r="I2306" s="120">
        <v>45775</v>
      </c>
      <c r="J2306" s="120">
        <f t="shared" si="28"/>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139</v>
      </c>
      <c r="G2307" s="29" t="s">
        <v>737</v>
      </c>
      <c r="H2307" s="29" t="s">
        <v>38</v>
      </c>
      <c r="I2307" s="120">
        <v>45784</v>
      </c>
      <c r="J2307" s="120">
        <f t="shared" si="28"/>
        <v>45789</v>
      </c>
      <c r="K2307" s="120">
        <v>45815</v>
      </c>
      <c r="L2307" s="120"/>
      <c r="M2307" s="120"/>
      <c r="N2307" s="29"/>
      <c r="O2307" s="29" t="s">
        <v>877</v>
      </c>
      <c r="P2307" s="120"/>
      <c r="Q2307" s="156">
        <v>50</v>
      </c>
    </row>
    <row r="2308" spans="1:18" hidden="1">
      <c r="A2308" s="134" t="s">
        <v>952</v>
      </c>
      <c r="C2308" s="29">
        <v>127504535</v>
      </c>
      <c r="D2308" s="29"/>
      <c r="E2308" s="29"/>
      <c r="F2308" s="29" t="s">
        <v>139</v>
      </c>
      <c r="G2308" s="29" t="s">
        <v>737</v>
      </c>
      <c r="H2308" s="29" t="s">
        <v>38</v>
      </c>
      <c r="I2308" s="120">
        <v>45784</v>
      </c>
      <c r="J2308" s="120">
        <f t="shared" si="28"/>
        <v>45789</v>
      </c>
      <c r="K2308" s="120">
        <v>45815</v>
      </c>
      <c r="L2308" s="120"/>
      <c r="M2308" s="120"/>
      <c r="N2308" s="29"/>
      <c r="O2308" s="29" t="s">
        <v>877</v>
      </c>
      <c r="P2308" s="120"/>
      <c r="Q2308" s="156">
        <v>300</v>
      </c>
    </row>
    <row r="2309" spans="1:18" hidden="1">
      <c r="A2309" s="134" t="s">
        <v>952</v>
      </c>
      <c r="C2309" s="29">
        <v>127504570</v>
      </c>
      <c r="D2309" s="29"/>
      <c r="E2309" s="29"/>
      <c r="F2309" s="29" t="s">
        <v>139</v>
      </c>
      <c r="G2309" s="29" t="s">
        <v>737</v>
      </c>
      <c r="H2309" s="29" t="s">
        <v>38</v>
      </c>
      <c r="I2309" s="120">
        <v>45784</v>
      </c>
      <c r="J2309" s="120">
        <f t="shared" si="28"/>
        <v>45789</v>
      </c>
      <c r="K2309" s="120">
        <v>45815</v>
      </c>
      <c r="L2309" s="120"/>
      <c r="M2309" s="120"/>
      <c r="N2309" s="29"/>
      <c r="O2309" s="29" t="s">
        <v>877</v>
      </c>
      <c r="P2309" s="120"/>
      <c r="Q2309" s="156">
        <v>300</v>
      </c>
    </row>
    <row r="2310" spans="1:18" hidden="1">
      <c r="A2310" s="134" t="s">
        <v>952</v>
      </c>
      <c r="C2310" s="29">
        <v>127504593</v>
      </c>
      <c r="D2310" s="29"/>
      <c r="E2310" s="29"/>
      <c r="F2310" s="29" t="s">
        <v>139</v>
      </c>
      <c r="G2310" s="29" t="s">
        <v>737</v>
      </c>
      <c r="H2310" s="29" t="s">
        <v>38</v>
      </c>
      <c r="I2310" s="120">
        <v>45784</v>
      </c>
      <c r="J2310" s="120">
        <f t="shared" si="28"/>
        <v>45789</v>
      </c>
      <c r="K2310" s="120">
        <v>45815</v>
      </c>
      <c r="L2310" s="120"/>
      <c r="M2310" s="120"/>
      <c r="N2310" s="29"/>
      <c r="O2310" s="29" t="s">
        <v>877</v>
      </c>
      <c r="P2310" s="120"/>
      <c r="Q2310" s="156">
        <v>300</v>
      </c>
    </row>
    <row r="2311" spans="1:18" hidden="1">
      <c r="A2311" s="134" t="s">
        <v>1102</v>
      </c>
      <c r="C2311" s="29">
        <v>128501134</v>
      </c>
      <c r="D2311" s="29"/>
      <c r="E2311" s="29"/>
      <c r="F2311" s="29" t="s">
        <v>139</v>
      </c>
      <c r="G2311" s="29" t="s">
        <v>737</v>
      </c>
      <c r="H2311" s="29" t="s">
        <v>38</v>
      </c>
      <c r="I2311" s="120">
        <v>45785</v>
      </c>
      <c r="J2311" s="120">
        <f t="shared" si="28"/>
        <v>45790</v>
      </c>
      <c r="K2311" s="120">
        <v>45816</v>
      </c>
      <c r="L2311" s="120"/>
      <c r="M2311" s="120"/>
      <c r="N2311" s="29"/>
      <c r="O2311" s="29" t="s">
        <v>877</v>
      </c>
      <c r="P2311" s="120"/>
      <c r="Q2311" s="156">
        <v>300</v>
      </c>
    </row>
    <row r="2312" spans="1:18" hidden="1">
      <c r="A2312" s="134" t="s">
        <v>1102</v>
      </c>
      <c r="C2312" s="29">
        <v>128501084</v>
      </c>
      <c r="D2312" s="29"/>
      <c r="E2312" s="29"/>
      <c r="F2312" s="29" t="s">
        <v>139</v>
      </c>
      <c r="G2312" s="29" t="s">
        <v>737</v>
      </c>
      <c r="H2312" s="29" t="s">
        <v>38</v>
      </c>
      <c r="I2312" s="120">
        <v>45785</v>
      </c>
      <c r="J2312" s="120">
        <f t="shared" si="28"/>
        <v>45790</v>
      </c>
      <c r="K2312" s="120">
        <v>45816</v>
      </c>
      <c r="L2312" s="120"/>
      <c r="M2312" s="120"/>
      <c r="N2312" s="29"/>
      <c r="O2312" s="29" t="s">
        <v>877</v>
      </c>
      <c r="P2312" s="120"/>
      <c r="Q2312" s="156">
        <v>500</v>
      </c>
    </row>
    <row r="2313" spans="1:18" hidden="1">
      <c r="A2313" s="134" t="s">
        <v>1102</v>
      </c>
      <c r="C2313" s="29">
        <v>128501092</v>
      </c>
      <c r="D2313" s="29"/>
      <c r="E2313" s="29"/>
      <c r="F2313" s="29" t="s">
        <v>139</v>
      </c>
      <c r="G2313" s="29" t="s">
        <v>737</v>
      </c>
      <c r="H2313" s="29" t="s">
        <v>38</v>
      </c>
      <c r="I2313" s="120">
        <v>45785</v>
      </c>
      <c r="J2313" s="120">
        <f t="shared" si="28"/>
        <v>45790</v>
      </c>
      <c r="K2313" s="120">
        <v>45816</v>
      </c>
      <c r="L2313" s="120"/>
      <c r="M2313" s="120"/>
      <c r="N2313" s="29"/>
      <c r="O2313" s="29" t="s">
        <v>877</v>
      </c>
      <c r="P2313" s="120"/>
      <c r="Q2313" s="156">
        <v>900</v>
      </c>
    </row>
    <row r="2314" spans="1:18" hidden="1">
      <c r="A2314" s="134" t="s">
        <v>1102</v>
      </c>
      <c r="C2314" s="29">
        <v>128501118</v>
      </c>
      <c r="D2314" s="29"/>
      <c r="E2314" s="29"/>
      <c r="F2314" s="29" t="s">
        <v>139</v>
      </c>
      <c r="G2314" s="29" t="s">
        <v>737</v>
      </c>
      <c r="H2314" s="29" t="s">
        <v>38</v>
      </c>
      <c r="I2314" s="120">
        <v>45785</v>
      </c>
      <c r="J2314" s="120">
        <f t="shared" si="28"/>
        <v>45790</v>
      </c>
      <c r="K2314" s="120">
        <v>45816</v>
      </c>
      <c r="L2314" s="120"/>
      <c r="M2314" s="120"/>
      <c r="N2314" s="29"/>
      <c r="O2314" s="29" t="s">
        <v>877</v>
      </c>
      <c r="P2314" s="120"/>
      <c r="Q2314" s="156">
        <v>900</v>
      </c>
    </row>
    <row r="2315" spans="1:18" hidden="1">
      <c r="A2315" s="134" t="s">
        <v>1102</v>
      </c>
      <c r="C2315" s="29">
        <v>128501125</v>
      </c>
      <c r="D2315" s="29"/>
      <c r="E2315" s="29"/>
      <c r="F2315" s="29" t="s">
        <v>139</v>
      </c>
      <c r="G2315" s="29" t="s">
        <v>737</v>
      </c>
      <c r="H2315" s="29" t="s">
        <v>38</v>
      </c>
      <c r="I2315" s="120">
        <v>45785</v>
      </c>
      <c r="J2315" s="120">
        <f t="shared" si="28"/>
        <v>45790</v>
      </c>
      <c r="K2315" s="120">
        <v>45816</v>
      </c>
      <c r="L2315" s="120"/>
      <c r="M2315" s="120"/>
      <c r="N2315" s="29"/>
      <c r="O2315" s="29" t="s">
        <v>877</v>
      </c>
      <c r="P2315" s="120"/>
      <c r="Q2315" s="156">
        <v>200</v>
      </c>
    </row>
    <row r="2316" spans="1:18" hidden="1">
      <c r="A2316" s="134" t="s">
        <v>1102</v>
      </c>
      <c r="C2316" s="29">
        <v>128501144</v>
      </c>
      <c r="D2316" s="29"/>
      <c r="E2316" s="29"/>
      <c r="F2316" s="29" t="s">
        <v>139</v>
      </c>
      <c r="G2316" s="29" t="s">
        <v>737</v>
      </c>
      <c r="H2316" s="29" t="s">
        <v>38</v>
      </c>
      <c r="I2316" s="120">
        <v>45785</v>
      </c>
      <c r="J2316" s="120">
        <f t="shared" si="28"/>
        <v>45790</v>
      </c>
      <c r="K2316" s="120">
        <v>45816</v>
      </c>
      <c r="L2316" s="120"/>
      <c r="M2316" s="120"/>
      <c r="N2316" s="29"/>
      <c r="O2316" s="29" t="s">
        <v>877</v>
      </c>
      <c r="P2316" s="120"/>
      <c r="Q2316" s="156">
        <v>500</v>
      </c>
    </row>
    <row r="2317" spans="1:18" hidden="1">
      <c r="A2317" s="134" t="s">
        <v>1102</v>
      </c>
      <c r="C2317" s="29">
        <v>128501153</v>
      </c>
      <c r="D2317" s="29"/>
      <c r="E2317" s="29"/>
      <c r="F2317" s="29" t="s">
        <v>139</v>
      </c>
      <c r="G2317" s="29" t="s">
        <v>737</v>
      </c>
      <c r="H2317" s="29" t="s">
        <v>38</v>
      </c>
      <c r="I2317" s="120">
        <v>45785</v>
      </c>
      <c r="J2317" s="120">
        <f t="shared" si="28"/>
        <v>45790</v>
      </c>
      <c r="K2317" s="120">
        <v>45816</v>
      </c>
      <c r="L2317" s="120"/>
      <c r="M2317" s="120"/>
      <c r="N2317" s="29"/>
      <c r="O2317" s="29" t="s">
        <v>877</v>
      </c>
      <c r="P2317" s="120"/>
      <c r="Q2317" s="156">
        <v>110</v>
      </c>
    </row>
    <row r="2318" spans="1:18" hidden="1">
      <c r="A2318" s="134" t="s">
        <v>1102</v>
      </c>
      <c r="C2318" s="29">
        <v>128501161</v>
      </c>
      <c r="D2318" s="29"/>
      <c r="E2318" s="29"/>
      <c r="F2318" s="29" t="s">
        <v>139</v>
      </c>
      <c r="G2318" s="29" t="s">
        <v>737</v>
      </c>
      <c r="H2318" s="29" t="s">
        <v>38</v>
      </c>
      <c r="I2318" s="120">
        <v>45785</v>
      </c>
      <c r="J2318" s="120">
        <f t="shared" si="28"/>
        <v>45790</v>
      </c>
      <c r="K2318" s="120">
        <v>45816</v>
      </c>
      <c r="L2318" s="120"/>
      <c r="M2318" s="120"/>
      <c r="N2318" s="29"/>
      <c r="O2318" s="29" t="s">
        <v>877</v>
      </c>
      <c r="P2318" s="120"/>
      <c r="Q2318" s="156">
        <v>200</v>
      </c>
    </row>
    <row r="2319" spans="1:18" hidden="1">
      <c r="A2319" s="134" t="s">
        <v>1102</v>
      </c>
      <c r="C2319" s="29">
        <v>128501171</v>
      </c>
      <c r="D2319" s="29"/>
      <c r="E2319" s="29"/>
      <c r="F2319" s="29" t="s">
        <v>139</v>
      </c>
      <c r="G2319" s="29" t="s">
        <v>737</v>
      </c>
      <c r="H2319" s="29" t="s">
        <v>38</v>
      </c>
      <c r="I2319" s="120">
        <v>45785</v>
      </c>
      <c r="J2319" s="120">
        <f t="shared" si="28"/>
        <v>45790</v>
      </c>
      <c r="K2319" s="120">
        <v>45816</v>
      </c>
      <c r="L2319" s="120"/>
      <c r="M2319" s="120"/>
      <c r="N2319" s="29"/>
      <c r="O2319" s="29" t="s">
        <v>877</v>
      </c>
      <c r="P2319" s="120"/>
      <c r="Q2319" s="156">
        <v>250</v>
      </c>
    </row>
    <row r="2320" spans="1:18" hidden="1">
      <c r="A2320" s="134" t="s">
        <v>1102</v>
      </c>
      <c r="C2320" s="29">
        <v>128501177</v>
      </c>
      <c r="D2320" s="29"/>
      <c r="E2320" s="29"/>
      <c r="F2320" s="29" t="s">
        <v>139</v>
      </c>
      <c r="G2320" s="29" t="s">
        <v>737</v>
      </c>
      <c r="H2320" s="29" t="s">
        <v>38</v>
      </c>
      <c r="I2320" s="120">
        <v>45785</v>
      </c>
      <c r="J2320" s="120">
        <f t="shared" si="28"/>
        <v>45790</v>
      </c>
      <c r="K2320" s="120">
        <v>45816</v>
      </c>
      <c r="L2320" s="120"/>
      <c r="M2320" s="120"/>
      <c r="N2320" s="29"/>
      <c r="O2320" s="29" t="s">
        <v>877</v>
      </c>
      <c r="P2320" s="120"/>
      <c r="Q2320" s="156">
        <v>180</v>
      </c>
    </row>
    <row r="2321" spans="1:18" hidden="1">
      <c r="A2321" s="134" t="s">
        <v>1102</v>
      </c>
      <c r="C2321" s="29">
        <v>128501188</v>
      </c>
      <c r="D2321" s="29"/>
      <c r="E2321" s="29"/>
      <c r="F2321" s="29" t="s">
        <v>139</v>
      </c>
      <c r="G2321" s="29" t="s">
        <v>737</v>
      </c>
      <c r="H2321" s="29" t="s">
        <v>38</v>
      </c>
      <c r="I2321" s="120">
        <v>45785</v>
      </c>
      <c r="J2321" s="120">
        <f t="shared" si="28"/>
        <v>45790</v>
      </c>
      <c r="K2321" s="120">
        <v>45816</v>
      </c>
      <c r="L2321" s="120"/>
      <c r="M2321" s="120"/>
      <c r="N2321" s="29"/>
      <c r="O2321" s="29" t="s">
        <v>877</v>
      </c>
      <c r="P2321" s="120"/>
      <c r="Q2321" s="156">
        <v>550</v>
      </c>
    </row>
    <row r="2322" spans="1:18" hidden="1">
      <c r="A2322" s="134" t="s">
        <v>710</v>
      </c>
      <c r="C2322" s="29">
        <v>128501583</v>
      </c>
      <c r="D2322" s="29"/>
      <c r="E2322" s="29"/>
      <c r="F2322" s="29" t="s">
        <v>139</v>
      </c>
      <c r="G2322" s="29" t="s">
        <v>737</v>
      </c>
      <c r="H2322" s="29" t="s">
        <v>38</v>
      </c>
      <c r="I2322" s="120">
        <v>45785</v>
      </c>
      <c r="J2322" s="120">
        <f t="shared" si="28"/>
        <v>45790</v>
      </c>
      <c r="K2322" s="120">
        <v>45816</v>
      </c>
      <c r="L2322" s="120"/>
      <c r="M2322" s="120"/>
      <c r="N2322" s="29"/>
      <c r="O2322" s="29" t="s">
        <v>877</v>
      </c>
      <c r="P2322" s="120"/>
      <c r="Q2322" s="156">
        <v>990</v>
      </c>
    </row>
    <row r="2323" spans="1:18" hidden="1">
      <c r="A2323" s="134" t="s">
        <v>710</v>
      </c>
      <c r="C2323" s="29">
        <v>128501601</v>
      </c>
      <c r="D2323" s="29"/>
      <c r="E2323" s="29"/>
      <c r="F2323" s="29" t="s">
        <v>139</v>
      </c>
      <c r="G2323" s="29" t="s">
        <v>737</v>
      </c>
      <c r="H2323" s="29" t="s">
        <v>38</v>
      </c>
      <c r="I2323" s="120">
        <v>45785</v>
      </c>
      <c r="J2323" s="120">
        <f t="shared" si="28"/>
        <v>45790</v>
      </c>
      <c r="K2323" s="120">
        <v>45816</v>
      </c>
      <c r="L2323" s="120"/>
      <c r="M2323" s="120"/>
      <c r="N2323" s="29"/>
      <c r="O2323" s="29" t="s">
        <v>877</v>
      </c>
      <c r="P2323" s="120"/>
      <c r="Q2323" s="156">
        <v>60</v>
      </c>
    </row>
    <row r="2324" spans="1:18" hidden="1">
      <c r="A2324" s="134" t="s">
        <v>710</v>
      </c>
      <c r="C2324" s="29">
        <v>128501615</v>
      </c>
      <c r="D2324" s="29"/>
      <c r="E2324" s="29"/>
      <c r="F2324" s="29" t="s">
        <v>139</v>
      </c>
      <c r="G2324" s="29" t="s">
        <v>737</v>
      </c>
      <c r="H2324" s="29" t="s">
        <v>38</v>
      </c>
      <c r="I2324" s="120">
        <v>45785</v>
      </c>
      <c r="J2324" s="120">
        <f t="shared" si="28"/>
        <v>45790</v>
      </c>
      <c r="K2324" s="120">
        <v>45816</v>
      </c>
      <c r="L2324" s="120"/>
      <c r="M2324" s="120"/>
      <c r="N2324" s="29"/>
      <c r="O2324" s="29" t="s">
        <v>877</v>
      </c>
      <c r="P2324" s="120"/>
      <c r="Q2324" s="156">
        <v>60</v>
      </c>
    </row>
    <row r="2325" spans="1:18" hidden="1">
      <c r="A2325" s="134" t="s">
        <v>710</v>
      </c>
      <c r="C2325" s="29">
        <v>128501627</v>
      </c>
      <c r="D2325" s="29"/>
      <c r="E2325" s="29"/>
      <c r="F2325" s="29" t="s">
        <v>139</v>
      </c>
      <c r="G2325" s="29" t="s">
        <v>737</v>
      </c>
      <c r="H2325" s="29" t="s">
        <v>38</v>
      </c>
      <c r="I2325" s="120">
        <v>45785</v>
      </c>
      <c r="J2325" s="120">
        <f t="shared" si="28"/>
        <v>45790</v>
      </c>
      <c r="K2325" s="120">
        <v>45816</v>
      </c>
      <c r="L2325" s="120"/>
      <c r="M2325" s="120"/>
      <c r="N2325" s="29"/>
      <c r="O2325" s="29" t="s">
        <v>877</v>
      </c>
      <c r="P2325" s="120"/>
      <c r="Q2325" s="156">
        <v>60</v>
      </c>
    </row>
    <row r="2326" spans="1:18" hidden="1">
      <c r="A2326" s="134" t="s">
        <v>710</v>
      </c>
      <c r="C2326" s="29">
        <v>128501652</v>
      </c>
      <c r="D2326" s="29"/>
      <c r="E2326" s="29"/>
      <c r="F2326" s="29" t="s">
        <v>139</v>
      </c>
      <c r="G2326" s="29" t="s">
        <v>737</v>
      </c>
      <c r="H2326" s="29" t="s">
        <v>38</v>
      </c>
      <c r="I2326" s="120">
        <v>45785</v>
      </c>
      <c r="J2326" s="120">
        <f t="shared" si="28"/>
        <v>45790</v>
      </c>
      <c r="K2326" s="120">
        <v>45816</v>
      </c>
      <c r="L2326" s="120"/>
      <c r="M2326" s="120"/>
      <c r="N2326" s="29"/>
      <c r="O2326" s="29" t="s">
        <v>877</v>
      </c>
      <c r="P2326" s="120"/>
      <c r="Q2326" s="156">
        <v>375</v>
      </c>
    </row>
    <row r="2327" spans="1:18" hidden="1">
      <c r="A2327" s="134" t="s">
        <v>710</v>
      </c>
      <c r="C2327" s="29">
        <v>128501685</v>
      </c>
      <c r="D2327" s="29"/>
      <c r="E2327" s="29"/>
      <c r="F2327" s="29" t="s">
        <v>139</v>
      </c>
      <c r="G2327" s="29" t="s">
        <v>737</v>
      </c>
      <c r="H2327" s="29" t="s">
        <v>38</v>
      </c>
      <c r="I2327" s="120">
        <v>45785</v>
      </c>
      <c r="J2327" s="120">
        <f t="shared" si="28"/>
        <v>45790</v>
      </c>
      <c r="K2327" s="120">
        <v>45816</v>
      </c>
      <c r="L2327" s="120"/>
      <c r="M2327" s="120"/>
      <c r="N2327" s="29"/>
      <c r="O2327" s="29" t="s">
        <v>877</v>
      </c>
      <c r="P2327" s="120"/>
      <c r="Q2327" s="156">
        <v>275</v>
      </c>
    </row>
    <row r="2328" spans="1:18" hidden="1">
      <c r="A2328" s="134" t="s">
        <v>710</v>
      </c>
      <c r="C2328" s="29">
        <v>128501712</v>
      </c>
      <c r="D2328" s="29"/>
      <c r="E2328" s="29"/>
      <c r="F2328" s="29" t="s">
        <v>139</v>
      </c>
      <c r="G2328" s="29" t="s">
        <v>737</v>
      </c>
      <c r="H2328" s="29" t="s">
        <v>38</v>
      </c>
      <c r="I2328" s="120">
        <v>45785</v>
      </c>
      <c r="J2328" s="120">
        <f t="shared" si="28"/>
        <v>45790</v>
      </c>
      <c r="K2328" s="120">
        <v>45816</v>
      </c>
      <c r="L2328" s="120"/>
      <c r="M2328" s="120"/>
      <c r="N2328" s="29"/>
      <c r="O2328" s="29" t="s">
        <v>877</v>
      </c>
      <c r="P2328" s="120"/>
      <c r="Q2328" s="156">
        <v>60</v>
      </c>
    </row>
    <row r="2329" spans="1:18" hidden="1">
      <c r="A2329" s="134" t="s">
        <v>710</v>
      </c>
      <c r="C2329" s="29">
        <v>128501743</v>
      </c>
      <c r="D2329" s="29"/>
      <c r="E2329" s="29"/>
      <c r="F2329" s="29" t="s">
        <v>139</v>
      </c>
      <c r="G2329" s="29" t="s">
        <v>737</v>
      </c>
      <c r="H2329" s="29" t="s">
        <v>38</v>
      </c>
      <c r="I2329" s="120">
        <v>45785</v>
      </c>
      <c r="J2329" s="120">
        <f t="shared" si="28"/>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 t="shared" si="28"/>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 t="shared" si="28"/>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 t="shared" si="28"/>
        <v>45791</v>
      </c>
      <c r="K2332" s="120">
        <v>45817</v>
      </c>
      <c r="L2332" s="120"/>
      <c r="M2332" s="120"/>
      <c r="N2332" s="120"/>
      <c r="O2332" s="29" t="s">
        <v>877</v>
      </c>
      <c r="P2332" s="120"/>
      <c r="Q2332" s="156">
        <v>280</v>
      </c>
    </row>
    <row r="2333" spans="1:18" hidden="1">
      <c r="A2333" s="134" t="s">
        <v>710</v>
      </c>
      <c r="C2333" s="29">
        <v>129500101</v>
      </c>
      <c r="D2333" s="29"/>
      <c r="E2333" s="29"/>
      <c r="F2333" s="29" t="s">
        <v>139</v>
      </c>
      <c r="G2333" s="29" t="s">
        <v>737</v>
      </c>
      <c r="H2333" s="29" t="s">
        <v>38</v>
      </c>
      <c r="I2333" s="120">
        <v>45786</v>
      </c>
      <c r="J2333" s="120">
        <f t="shared" si="28"/>
        <v>45791</v>
      </c>
      <c r="K2333" s="120">
        <v>45817</v>
      </c>
      <c r="L2333" s="120"/>
      <c r="M2333" s="120"/>
      <c r="N2333" s="29"/>
      <c r="O2333" s="29" t="s">
        <v>877</v>
      </c>
      <c r="P2333" s="120"/>
      <c r="Q2333" s="156">
        <v>500</v>
      </c>
    </row>
    <row r="2334" spans="1:18" hidden="1">
      <c r="A2334" s="134" t="s">
        <v>710</v>
      </c>
      <c r="C2334" s="29">
        <v>129500104</v>
      </c>
      <c r="D2334" s="29"/>
      <c r="E2334" s="29"/>
      <c r="F2334" s="29" t="s">
        <v>139</v>
      </c>
      <c r="G2334" s="29" t="s">
        <v>737</v>
      </c>
      <c r="H2334" s="29" t="s">
        <v>38</v>
      </c>
      <c r="I2334" s="120">
        <v>45786</v>
      </c>
      <c r="J2334" s="120">
        <f t="shared" si="28"/>
        <v>45791</v>
      </c>
      <c r="K2334" s="120">
        <v>45817</v>
      </c>
      <c r="L2334" s="120"/>
      <c r="M2334" s="120"/>
      <c r="N2334" s="29"/>
      <c r="O2334" s="29" t="s">
        <v>877</v>
      </c>
      <c r="P2334" s="120"/>
      <c r="Q2334" s="156">
        <v>300</v>
      </c>
    </row>
    <row r="2335" spans="1:18" hidden="1">
      <c r="A2335" s="134" t="s">
        <v>710</v>
      </c>
      <c r="C2335" s="29">
        <v>129500114</v>
      </c>
      <c r="D2335" s="29"/>
      <c r="E2335" s="29"/>
      <c r="F2335" s="29" t="s">
        <v>139</v>
      </c>
      <c r="G2335" s="29" t="s">
        <v>737</v>
      </c>
      <c r="H2335" s="29" t="s">
        <v>38</v>
      </c>
      <c r="I2335" s="120">
        <v>45786</v>
      </c>
      <c r="J2335" s="120">
        <f t="shared" si="28"/>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139</v>
      </c>
      <c r="G2336" s="29" t="s">
        <v>737</v>
      </c>
      <c r="H2336" s="29" t="s">
        <v>1066</v>
      </c>
      <c r="I2336" s="120">
        <v>45776</v>
      </c>
      <c r="J2336" s="120">
        <f t="shared" si="28"/>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139</v>
      </c>
      <c r="G2337" s="29" t="s">
        <v>737</v>
      </c>
      <c r="H2337" s="29" t="s">
        <v>1066</v>
      </c>
      <c r="I2337" s="120">
        <v>45776</v>
      </c>
      <c r="J2337" s="120">
        <f t="shared" ref="J2337:J2400" si="29">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139</v>
      </c>
      <c r="G2338" s="29" t="s">
        <v>737</v>
      </c>
      <c r="H2338" s="29" t="s">
        <v>1066</v>
      </c>
      <c r="I2338" s="120">
        <v>45776</v>
      </c>
      <c r="J2338" s="120">
        <f t="shared" si="29"/>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139</v>
      </c>
      <c r="G2339" s="29" t="s">
        <v>737</v>
      </c>
      <c r="H2339" s="29" t="s">
        <v>1066</v>
      </c>
      <c r="I2339" s="120">
        <v>45776</v>
      </c>
      <c r="J2339" s="120">
        <f t="shared" si="29"/>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139</v>
      </c>
      <c r="G2340" s="29" t="s">
        <v>737</v>
      </c>
      <c r="H2340" s="29" t="s">
        <v>1066</v>
      </c>
      <c r="I2340" s="120">
        <v>45776</v>
      </c>
      <c r="J2340" s="120">
        <f t="shared" si="29"/>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139</v>
      </c>
      <c r="G2341" s="29" t="s">
        <v>737</v>
      </c>
      <c r="H2341" s="29" t="s">
        <v>1066</v>
      </c>
      <c r="I2341" s="120">
        <v>45776</v>
      </c>
      <c r="J2341" s="120">
        <f t="shared" si="29"/>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139</v>
      </c>
      <c r="G2342" s="29" t="s">
        <v>737</v>
      </c>
      <c r="H2342" s="29" t="s">
        <v>38</v>
      </c>
      <c r="I2342" s="120">
        <v>45779</v>
      </c>
      <c r="J2342" s="120">
        <f t="shared" si="29"/>
        <v>45784</v>
      </c>
      <c r="K2342" s="120">
        <v>45816</v>
      </c>
      <c r="L2342" s="120"/>
      <c r="M2342" s="120"/>
      <c r="N2342" s="29"/>
      <c r="O2342" s="29" t="s">
        <v>877</v>
      </c>
      <c r="P2342" s="120"/>
      <c r="Q2342" s="156">
        <v>250</v>
      </c>
    </row>
    <row r="2343" spans="1:18" hidden="1">
      <c r="A2343" s="134" t="s">
        <v>1302</v>
      </c>
      <c r="C2343" s="29">
        <v>122501284</v>
      </c>
      <c r="D2343" s="29"/>
      <c r="E2343" s="29"/>
      <c r="F2343" s="29" t="s">
        <v>139</v>
      </c>
      <c r="G2343" s="29" t="s">
        <v>737</v>
      </c>
      <c r="H2343" s="29" t="s">
        <v>38</v>
      </c>
      <c r="I2343" s="120">
        <v>45779</v>
      </c>
      <c r="J2343" s="120">
        <f t="shared" si="29"/>
        <v>45784</v>
      </c>
      <c r="K2343" s="120">
        <v>45810</v>
      </c>
      <c r="L2343" s="120"/>
      <c r="M2343" s="120"/>
      <c r="N2343" s="29"/>
      <c r="O2343" s="29" t="s">
        <v>877</v>
      </c>
      <c r="P2343" s="120"/>
      <c r="Q2343" s="156">
        <v>30</v>
      </c>
    </row>
    <row r="2344" spans="1:18" hidden="1">
      <c r="A2344" s="134" t="s">
        <v>1301</v>
      </c>
      <c r="C2344" s="29">
        <v>122501374</v>
      </c>
      <c r="D2344" s="29"/>
      <c r="E2344" s="29"/>
      <c r="F2344" s="29" t="s">
        <v>139</v>
      </c>
      <c r="G2344" s="29" t="s">
        <v>737</v>
      </c>
      <c r="H2344" s="29" t="s">
        <v>38</v>
      </c>
      <c r="I2344" s="120">
        <v>45779</v>
      </c>
      <c r="J2344" s="120">
        <f t="shared" si="29"/>
        <v>45784</v>
      </c>
      <c r="K2344" s="120">
        <v>45810</v>
      </c>
      <c r="L2344" s="120"/>
      <c r="M2344" s="120"/>
      <c r="N2344" s="29"/>
      <c r="O2344" s="29" t="s">
        <v>877</v>
      </c>
      <c r="P2344" s="120"/>
      <c r="Q2344" s="156">
        <v>500</v>
      </c>
    </row>
    <row r="2345" spans="1:18" hidden="1">
      <c r="A2345" s="134" t="s">
        <v>974</v>
      </c>
      <c r="C2345" s="29">
        <v>129500087</v>
      </c>
      <c r="D2345" s="29">
        <v>148501570</v>
      </c>
      <c r="E2345" s="29"/>
      <c r="F2345" s="29" t="s">
        <v>139</v>
      </c>
      <c r="G2345" s="29" t="s">
        <v>737</v>
      </c>
      <c r="H2345" s="29" t="s">
        <v>38</v>
      </c>
      <c r="I2345" s="120">
        <v>45779</v>
      </c>
      <c r="J2345" s="120">
        <f t="shared" si="29"/>
        <v>45784</v>
      </c>
      <c r="K2345" s="120">
        <v>45810</v>
      </c>
      <c r="L2345" s="120"/>
      <c r="M2345" s="120"/>
      <c r="N2345" s="29"/>
      <c r="O2345" s="29" t="s">
        <v>1084</v>
      </c>
      <c r="P2345" s="120"/>
      <c r="Q2345" s="156">
        <v>300</v>
      </c>
    </row>
    <row r="2346" spans="1:18" hidden="1">
      <c r="A2346" s="134" t="s">
        <v>934</v>
      </c>
      <c r="C2346" s="29">
        <v>122501846</v>
      </c>
      <c r="D2346" s="29">
        <v>148502763</v>
      </c>
      <c r="E2346" s="29"/>
      <c r="F2346" s="29" t="s">
        <v>139</v>
      </c>
      <c r="G2346" s="29" t="s">
        <v>16</v>
      </c>
      <c r="H2346" s="29" t="s">
        <v>38</v>
      </c>
      <c r="I2346" s="120">
        <v>45779</v>
      </c>
      <c r="J2346" s="120">
        <f t="shared" si="29"/>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139</v>
      </c>
      <c r="G2347" s="29" t="s">
        <v>16</v>
      </c>
      <c r="H2347" s="29" t="s">
        <v>38</v>
      </c>
      <c r="I2347" s="120">
        <v>45779</v>
      </c>
      <c r="J2347" s="120">
        <f t="shared" si="29"/>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139</v>
      </c>
      <c r="G2348" s="29" t="s">
        <v>16</v>
      </c>
      <c r="H2348" s="29" t="s">
        <v>38</v>
      </c>
      <c r="I2348" s="120">
        <v>45779</v>
      </c>
      <c r="J2348" s="120">
        <f t="shared" si="29"/>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139</v>
      </c>
      <c r="G2349" s="29" t="s">
        <v>16</v>
      </c>
      <c r="H2349" s="29" t="s">
        <v>38</v>
      </c>
      <c r="I2349" s="120">
        <v>45779</v>
      </c>
      <c r="J2349" s="120">
        <f t="shared" si="29"/>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139</v>
      </c>
      <c r="G2350" s="29" t="s">
        <v>16</v>
      </c>
      <c r="H2350" s="29" t="s">
        <v>38</v>
      </c>
      <c r="I2350" s="120">
        <v>45779</v>
      </c>
      <c r="J2350" s="120">
        <f t="shared" si="29"/>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139</v>
      </c>
      <c r="G2351" s="29" t="s">
        <v>16</v>
      </c>
      <c r="H2351" s="29" t="s">
        <v>38</v>
      </c>
      <c r="I2351" s="120">
        <v>45779</v>
      </c>
      <c r="J2351" s="120">
        <f t="shared" si="29"/>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139</v>
      </c>
      <c r="G2352" s="29" t="s">
        <v>737</v>
      </c>
      <c r="H2352" s="29" t="s">
        <v>38</v>
      </c>
      <c r="I2352" s="120">
        <v>45779</v>
      </c>
      <c r="J2352" s="120">
        <f t="shared" si="29"/>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139</v>
      </c>
      <c r="G2353" s="29" t="s">
        <v>737</v>
      </c>
      <c r="H2353" s="29" t="s">
        <v>38</v>
      </c>
      <c r="I2353" s="120">
        <v>45779</v>
      </c>
      <c r="J2353" s="120">
        <f t="shared" si="29"/>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139</v>
      </c>
      <c r="G2354" s="29" t="s">
        <v>737</v>
      </c>
      <c r="H2354" s="29" t="s">
        <v>38</v>
      </c>
      <c r="I2354" s="120">
        <v>45779</v>
      </c>
      <c r="J2354" s="120">
        <f t="shared" si="29"/>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139</v>
      </c>
      <c r="G2355" s="29" t="s">
        <v>737</v>
      </c>
      <c r="H2355" s="29" t="s">
        <v>38</v>
      </c>
      <c r="I2355" s="120">
        <v>45779</v>
      </c>
      <c r="J2355" s="120">
        <f t="shared" si="29"/>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139</v>
      </c>
      <c r="G2356" s="29" t="s">
        <v>737</v>
      </c>
      <c r="H2356" s="29" t="s">
        <v>38</v>
      </c>
      <c r="I2356" s="120">
        <v>45779</v>
      </c>
      <c r="J2356" s="120">
        <f t="shared" si="29"/>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139</v>
      </c>
      <c r="G2357" s="29" t="s">
        <v>737</v>
      </c>
      <c r="H2357" s="29" t="s">
        <v>38</v>
      </c>
      <c r="I2357" s="120">
        <v>45779</v>
      </c>
      <c r="J2357" s="120">
        <f t="shared" si="29"/>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139</v>
      </c>
      <c r="G2358" s="29" t="s">
        <v>737</v>
      </c>
      <c r="H2358" s="29" t="s">
        <v>38</v>
      </c>
      <c r="I2358" s="120">
        <v>45779</v>
      </c>
      <c r="J2358" s="120">
        <f t="shared" si="29"/>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139</v>
      </c>
      <c r="G2359" s="29" t="s">
        <v>737</v>
      </c>
      <c r="H2359" s="29" t="s">
        <v>38</v>
      </c>
      <c r="I2359" s="120">
        <v>45779</v>
      </c>
      <c r="J2359" s="120">
        <f t="shared" si="29"/>
        <v>45784</v>
      </c>
      <c r="K2359" s="120">
        <v>45810</v>
      </c>
      <c r="L2359" s="120"/>
      <c r="M2359" s="120"/>
      <c r="N2359" s="29"/>
      <c r="O2359" s="29" t="s">
        <v>1084</v>
      </c>
      <c r="P2359" s="120"/>
      <c r="Q2359" s="156">
        <v>560</v>
      </c>
    </row>
    <row r="2360" spans="1:18" hidden="1">
      <c r="A2360" s="134" t="s">
        <v>974</v>
      </c>
      <c r="C2360" s="29">
        <v>129500096</v>
      </c>
      <c r="D2360" s="29">
        <v>150500066</v>
      </c>
      <c r="E2360" s="29"/>
      <c r="F2360" s="29" t="s">
        <v>139</v>
      </c>
      <c r="G2360" s="29" t="s">
        <v>737</v>
      </c>
      <c r="H2360" s="29" t="s">
        <v>38</v>
      </c>
      <c r="I2360" s="120">
        <v>45779</v>
      </c>
      <c r="J2360" s="120">
        <f t="shared" si="29"/>
        <v>45784</v>
      </c>
      <c r="K2360" s="120">
        <v>45810</v>
      </c>
      <c r="L2360" s="120"/>
      <c r="M2360" s="120"/>
      <c r="N2360" s="29"/>
      <c r="O2360" s="29" t="s">
        <v>1084</v>
      </c>
      <c r="P2360" s="120"/>
      <c r="Q2360" s="156">
        <v>400</v>
      </c>
    </row>
    <row r="2361" spans="1:18" hidden="1">
      <c r="A2361" s="134" t="s">
        <v>1063</v>
      </c>
      <c r="C2361" s="29">
        <v>125502775</v>
      </c>
      <c r="D2361" s="29"/>
      <c r="E2361" s="29"/>
      <c r="F2361" s="29" t="s">
        <v>139</v>
      </c>
      <c r="G2361" s="29" t="s">
        <v>16</v>
      </c>
      <c r="H2361" s="29" t="s">
        <v>38</v>
      </c>
      <c r="I2361" s="120">
        <v>45782</v>
      </c>
      <c r="J2361" s="120">
        <f t="shared" si="29"/>
        <v>45785</v>
      </c>
      <c r="K2361" s="120">
        <v>45813</v>
      </c>
      <c r="L2361" s="120"/>
      <c r="M2361" s="120"/>
      <c r="N2361" s="29"/>
      <c r="O2361" s="29" t="s">
        <v>877</v>
      </c>
      <c r="P2361" s="120"/>
      <c r="Q2361" s="156">
        <v>400</v>
      </c>
    </row>
    <row r="2362" spans="1:18" hidden="1">
      <c r="A2362" s="134" t="s">
        <v>1063</v>
      </c>
      <c r="C2362" s="29">
        <v>125502808</v>
      </c>
      <c r="D2362" s="29"/>
      <c r="E2362" s="29"/>
      <c r="F2362" s="29" t="s">
        <v>139</v>
      </c>
      <c r="G2362" s="29" t="s">
        <v>16</v>
      </c>
      <c r="H2362" s="29" t="s">
        <v>38</v>
      </c>
      <c r="I2362" s="120">
        <v>45782</v>
      </c>
      <c r="J2362" s="120">
        <f t="shared" si="29"/>
        <v>45785</v>
      </c>
      <c r="K2362" s="120">
        <v>45810</v>
      </c>
      <c r="L2362" s="120"/>
      <c r="M2362" s="120"/>
      <c r="N2362" s="29"/>
      <c r="O2362" s="29" t="s">
        <v>877</v>
      </c>
      <c r="P2362" s="120"/>
      <c r="Q2362" s="156">
        <v>160</v>
      </c>
    </row>
    <row r="2363" spans="1:18" hidden="1">
      <c r="A2363" s="134" t="s">
        <v>960</v>
      </c>
      <c r="C2363" s="29">
        <v>126501042</v>
      </c>
      <c r="D2363" s="29">
        <v>148504966</v>
      </c>
      <c r="E2363" s="29"/>
      <c r="F2363" s="29" t="s">
        <v>139</v>
      </c>
      <c r="G2363" s="29" t="s">
        <v>16</v>
      </c>
      <c r="H2363" s="29" t="s">
        <v>38</v>
      </c>
      <c r="I2363" s="120">
        <v>45783</v>
      </c>
      <c r="J2363" s="120">
        <f t="shared" si="29"/>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139</v>
      </c>
      <c r="G2364" s="29" t="s">
        <v>16</v>
      </c>
      <c r="H2364" s="29" t="s">
        <v>38</v>
      </c>
      <c r="I2364" s="120">
        <v>45783</v>
      </c>
      <c r="J2364" s="120">
        <f t="shared" si="29"/>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139</v>
      </c>
      <c r="G2365" s="29" t="s">
        <v>737</v>
      </c>
      <c r="H2365" s="29" t="s">
        <v>38</v>
      </c>
      <c r="I2365" s="120">
        <v>45783</v>
      </c>
      <c r="J2365" s="120">
        <f t="shared" si="29"/>
        <v>45786</v>
      </c>
      <c r="K2365" s="120">
        <v>45814</v>
      </c>
      <c r="L2365" s="120"/>
      <c r="M2365" s="120"/>
      <c r="O2365" s="29" t="s">
        <v>877</v>
      </c>
      <c r="P2365" s="120"/>
      <c r="Q2365" s="156">
        <v>450</v>
      </c>
    </row>
    <row r="2366" spans="1:18" hidden="1">
      <c r="A2366" s="134" t="s">
        <v>1303</v>
      </c>
      <c r="C2366" s="29">
        <v>127500104</v>
      </c>
      <c r="D2366" s="29"/>
      <c r="E2366" s="29"/>
      <c r="F2366" s="29" t="s">
        <v>139</v>
      </c>
      <c r="G2366" s="29" t="s">
        <v>737</v>
      </c>
      <c r="H2366" s="29" t="s">
        <v>38</v>
      </c>
      <c r="I2366" s="120">
        <v>45783</v>
      </c>
      <c r="J2366" s="120">
        <f t="shared" si="29"/>
        <v>45786</v>
      </c>
      <c r="K2366" s="120">
        <v>45814</v>
      </c>
      <c r="L2366" s="120"/>
      <c r="M2366" s="120"/>
      <c r="O2366" s="29" t="s">
        <v>877</v>
      </c>
      <c r="P2366" s="120"/>
      <c r="Q2366" s="156">
        <v>700</v>
      </c>
    </row>
    <row r="2367" spans="1:18" hidden="1">
      <c r="A2367" s="134" t="s">
        <v>1303</v>
      </c>
      <c r="C2367" s="29">
        <v>127500108</v>
      </c>
      <c r="D2367" s="29"/>
      <c r="E2367" s="29"/>
      <c r="F2367" s="29" t="s">
        <v>139</v>
      </c>
      <c r="G2367" s="29" t="s">
        <v>737</v>
      </c>
      <c r="H2367" s="29" t="s">
        <v>38</v>
      </c>
      <c r="I2367" s="120">
        <v>45783</v>
      </c>
      <c r="J2367" s="120">
        <f t="shared" si="29"/>
        <v>45786</v>
      </c>
      <c r="K2367" s="120">
        <v>45814</v>
      </c>
      <c r="L2367" s="120"/>
      <c r="M2367" s="120"/>
      <c r="O2367" s="29" t="s">
        <v>877</v>
      </c>
      <c r="P2367" s="120"/>
      <c r="Q2367" s="156">
        <v>700</v>
      </c>
    </row>
    <row r="2368" spans="1:18" hidden="1">
      <c r="A2368" s="134" t="s">
        <v>1303</v>
      </c>
      <c r="C2368" s="29">
        <v>127500099</v>
      </c>
      <c r="D2368" s="29"/>
      <c r="E2368" s="29"/>
      <c r="F2368" s="29" t="s">
        <v>139</v>
      </c>
      <c r="G2368" s="29" t="s">
        <v>737</v>
      </c>
      <c r="H2368" s="29" t="s">
        <v>38</v>
      </c>
      <c r="I2368" s="120">
        <v>45783</v>
      </c>
      <c r="J2368" s="120">
        <f t="shared" si="29"/>
        <v>45786</v>
      </c>
      <c r="K2368" s="120">
        <v>45814</v>
      </c>
      <c r="L2368" s="120"/>
      <c r="M2368" s="120"/>
      <c r="O2368" s="29" t="s">
        <v>877</v>
      </c>
      <c r="P2368" s="120"/>
      <c r="Q2368" s="156">
        <v>650</v>
      </c>
    </row>
    <row r="2369" spans="1:18" hidden="1">
      <c r="A2369" s="134" t="s">
        <v>1303</v>
      </c>
      <c r="C2369" s="29" t="s">
        <v>1303</v>
      </c>
      <c r="D2369" s="29"/>
      <c r="E2369" s="29"/>
      <c r="F2369" s="29" t="s">
        <v>139</v>
      </c>
      <c r="G2369" s="29" t="s">
        <v>737</v>
      </c>
      <c r="H2369" s="29" t="s">
        <v>38</v>
      </c>
      <c r="I2369" s="120">
        <v>45783</v>
      </c>
      <c r="J2369" s="120">
        <f t="shared" si="29"/>
        <v>45786</v>
      </c>
      <c r="K2369" s="120">
        <v>45814</v>
      </c>
      <c r="L2369" s="120"/>
      <c r="M2369" s="120"/>
      <c r="O2369" s="29" t="s">
        <v>877</v>
      </c>
      <c r="P2369" s="120"/>
      <c r="Q2369" s="156">
        <v>300</v>
      </c>
    </row>
    <row r="2370" spans="1:18" hidden="1">
      <c r="A2370" s="134" t="s">
        <v>1303</v>
      </c>
      <c r="C2370" s="29" t="s">
        <v>1303</v>
      </c>
      <c r="D2370" s="29"/>
      <c r="E2370" s="29"/>
      <c r="F2370" s="29" t="s">
        <v>139</v>
      </c>
      <c r="G2370" s="29" t="s">
        <v>737</v>
      </c>
      <c r="H2370" s="29" t="s">
        <v>38</v>
      </c>
      <c r="I2370" s="120">
        <v>45783</v>
      </c>
      <c r="J2370" s="120">
        <f t="shared" si="29"/>
        <v>45786</v>
      </c>
      <c r="K2370" s="120">
        <v>45814</v>
      </c>
      <c r="L2370" s="120"/>
      <c r="M2370" s="120"/>
      <c r="O2370" s="29" t="s">
        <v>877</v>
      </c>
      <c r="P2370" s="120"/>
      <c r="Q2370" s="156">
        <v>125</v>
      </c>
    </row>
    <row r="2371" spans="1:18" hidden="1">
      <c r="A2371" s="134" t="s">
        <v>960</v>
      </c>
      <c r="C2371" s="29">
        <v>127500089</v>
      </c>
      <c r="D2371" s="29">
        <v>148505006</v>
      </c>
      <c r="E2371" s="29"/>
      <c r="F2371" s="29" t="s">
        <v>139</v>
      </c>
      <c r="G2371" s="29" t="s">
        <v>16</v>
      </c>
      <c r="H2371" s="29" t="s">
        <v>38</v>
      </c>
      <c r="I2371" s="120">
        <v>45784</v>
      </c>
      <c r="J2371" s="120">
        <f t="shared" si="29"/>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139</v>
      </c>
      <c r="G2372" s="29" t="s">
        <v>737</v>
      </c>
      <c r="H2372" s="29" t="s">
        <v>38</v>
      </c>
      <c r="I2372" s="120">
        <v>45784</v>
      </c>
      <c r="J2372" s="120">
        <f t="shared" si="29"/>
        <v>45789</v>
      </c>
      <c r="K2372" s="120">
        <v>45815</v>
      </c>
      <c r="L2372" s="120"/>
      <c r="M2372" s="120"/>
      <c r="N2372" s="29"/>
      <c r="O2372" s="29" t="s">
        <v>877</v>
      </c>
      <c r="P2372" s="120"/>
      <c r="Q2372" s="156">
        <v>250</v>
      </c>
    </row>
    <row r="2373" spans="1:18" hidden="1">
      <c r="A2373" s="134" t="s">
        <v>952</v>
      </c>
      <c r="C2373" s="29">
        <v>127504664</v>
      </c>
      <c r="D2373" s="29"/>
      <c r="E2373" s="29"/>
      <c r="F2373" s="29" t="s">
        <v>139</v>
      </c>
      <c r="G2373" s="29" t="s">
        <v>737</v>
      </c>
      <c r="H2373" s="29" t="s">
        <v>38</v>
      </c>
      <c r="I2373" s="120">
        <v>45784</v>
      </c>
      <c r="J2373" s="120">
        <f t="shared" si="29"/>
        <v>45789</v>
      </c>
      <c r="K2373" s="120">
        <v>45815</v>
      </c>
      <c r="L2373" s="120"/>
      <c r="M2373" s="120"/>
      <c r="N2373" s="29"/>
      <c r="O2373" s="29" t="s">
        <v>877</v>
      </c>
      <c r="P2373" s="120"/>
      <c r="Q2373" s="156">
        <v>400</v>
      </c>
    </row>
    <row r="2374" spans="1:18" hidden="1">
      <c r="A2374" s="134" t="s">
        <v>952</v>
      </c>
      <c r="C2374" s="29">
        <v>127504715</v>
      </c>
      <c r="D2374" s="29"/>
      <c r="E2374" s="29"/>
      <c r="F2374" s="29" t="s">
        <v>139</v>
      </c>
      <c r="G2374" s="29" t="s">
        <v>737</v>
      </c>
      <c r="H2374" s="29" t="s">
        <v>38</v>
      </c>
      <c r="I2374" s="120">
        <v>45784</v>
      </c>
      <c r="J2374" s="120">
        <f t="shared" si="29"/>
        <v>45789</v>
      </c>
      <c r="K2374" s="120">
        <v>45815</v>
      </c>
      <c r="L2374" s="120"/>
      <c r="M2374" s="120"/>
      <c r="N2374" s="29"/>
      <c r="O2374" s="29" t="s">
        <v>877</v>
      </c>
      <c r="P2374" s="120"/>
      <c r="Q2374" s="156">
        <v>890</v>
      </c>
    </row>
    <row r="2375" spans="1:18" hidden="1">
      <c r="A2375" s="160" t="s">
        <v>1304</v>
      </c>
      <c r="B2375" s="160"/>
      <c r="C2375" s="29">
        <v>143500248</v>
      </c>
      <c r="D2375" s="29"/>
      <c r="E2375" s="29"/>
      <c r="F2375" s="29" t="s">
        <v>139</v>
      </c>
      <c r="G2375" s="29" t="s">
        <v>737</v>
      </c>
      <c r="H2375" s="29" t="s">
        <v>38</v>
      </c>
      <c r="I2375" s="120">
        <v>45800</v>
      </c>
      <c r="J2375" s="120">
        <f t="shared" si="29"/>
        <v>45805</v>
      </c>
      <c r="K2375" s="120">
        <v>45831</v>
      </c>
      <c r="L2375" s="120"/>
      <c r="M2375" s="120"/>
      <c r="N2375" s="120">
        <v>45805</v>
      </c>
      <c r="O2375" s="29" t="s">
        <v>877</v>
      </c>
      <c r="P2375" s="120"/>
      <c r="Q2375" s="156">
        <v>200</v>
      </c>
    </row>
    <row r="2376" spans="1:18" hidden="1">
      <c r="A2376" s="134" t="s">
        <v>1215</v>
      </c>
      <c r="C2376" s="29">
        <v>134500501</v>
      </c>
      <c r="D2376" s="29"/>
      <c r="E2376" s="29"/>
      <c r="F2376" s="29" t="s">
        <v>139</v>
      </c>
      <c r="G2376" s="29" t="s">
        <v>737</v>
      </c>
      <c r="H2376" s="29" t="s">
        <v>38</v>
      </c>
      <c r="I2376" s="120">
        <v>45791</v>
      </c>
      <c r="J2376" s="120">
        <f t="shared" si="29"/>
        <v>45796</v>
      </c>
      <c r="K2376" s="120">
        <v>45822</v>
      </c>
      <c r="L2376" s="120"/>
      <c r="M2376" s="120"/>
      <c r="N2376" s="120">
        <v>45791</v>
      </c>
      <c r="O2376" s="29" t="s">
        <v>895</v>
      </c>
      <c r="P2376" s="120"/>
      <c r="Q2376" s="156">
        <v>250</v>
      </c>
    </row>
    <row r="2377" spans="1:18" hidden="1">
      <c r="A2377" s="134" t="s">
        <v>1302</v>
      </c>
      <c r="C2377" s="29">
        <v>133503131</v>
      </c>
      <c r="D2377" s="29"/>
      <c r="E2377" s="29"/>
      <c r="F2377" s="29" t="s">
        <v>139</v>
      </c>
      <c r="G2377" s="29" t="s">
        <v>737</v>
      </c>
      <c r="H2377" s="29" t="s">
        <v>38</v>
      </c>
      <c r="I2377" s="120">
        <v>45790</v>
      </c>
      <c r="J2377" s="120">
        <f t="shared" si="29"/>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 t="shared" si="29"/>
        <v>45793</v>
      </c>
      <c r="K2378" s="120">
        <v>45821</v>
      </c>
      <c r="L2378" s="120"/>
      <c r="M2378" s="120"/>
      <c r="O2378" s="29" t="s">
        <v>877</v>
      </c>
      <c r="P2378" s="120"/>
      <c r="Q2378" s="156">
        <v>65</v>
      </c>
    </row>
    <row r="2379" spans="1:18" hidden="1">
      <c r="A2379" s="134" t="s">
        <v>1271</v>
      </c>
      <c r="C2379" s="29">
        <v>134500389</v>
      </c>
      <c r="D2379" s="29"/>
      <c r="E2379" s="29"/>
      <c r="F2379" s="29" t="s">
        <v>139</v>
      </c>
      <c r="G2379" s="29" t="s">
        <v>737</v>
      </c>
      <c r="H2379" s="29" t="s">
        <v>38</v>
      </c>
      <c r="I2379" s="120">
        <v>45791</v>
      </c>
      <c r="J2379" s="120">
        <f t="shared" si="29"/>
        <v>45796</v>
      </c>
      <c r="K2379" s="120">
        <v>45822</v>
      </c>
      <c r="L2379" s="120"/>
      <c r="M2379" s="120"/>
      <c r="O2379" s="29" t="s">
        <v>877</v>
      </c>
      <c r="P2379" s="120"/>
      <c r="Q2379" s="156">
        <v>1000</v>
      </c>
    </row>
    <row r="2380" spans="1:18" hidden="1">
      <c r="A2380" s="134" t="s">
        <v>952</v>
      </c>
      <c r="C2380" s="29">
        <v>134500868</v>
      </c>
      <c r="D2380" s="29"/>
      <c r="E2380" s="29"/>
      <c r="F2380" s="29" t="s">
        <v>139</v>
      </c>
      <c r="G2380" s="29" t="s">
        <v>737</v>
      </c>
      <c r="H2380" s="29" t="s">
        <v>38</v>
      </c>
      <c r="I2380" s="120">
        <v>45791</v>
      </c>
      <c r="J2380" s="120">
        <f t="shared" si="29"/>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139</v>
      </c>
      <c r="G2381" s="29" t="s">
        <v>737</v>
      </c>
      <c r="H2381" s="29" t="s">
        <v>38</v>
      </c>
      <c r="I2381" s="120">
        <v>45791</v>
      </c>
      <c r="J2381" s="120">
        <f t="shared" si="29"/>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139</v>
      </c>
      <c r="G2382" s="29" t="s">
        <v>737</v>
      </c>
      <c r="H2382" s="29" t="s">
        <v>38</v>
      </c>
      <c r="I2382" s="120">
        <v>45791</v>
      </c>
      <c r="J2382" s="120">
        <f t="shared" si="29"/>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139</v>
      </c>
      <c r="G2383" s="29" t="s">
        <v>737</v>
      </c>
      <c r="H2383" s="29" t="s">
        <v>38</v>
      </c>
      <c r="I2383" s="120">
        <v>45791</v>
      </c>
      <c r="J2383" s="120">
        <f t="shared" si="29"/>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139</v>
      </c>
      <c r="G2384" s="29" t="s">
        <v>737</v>
      </c>
      <c r="H2384" s="29" t="s">
        <v>38</v>
      </c>
      <c r="I2384" s="120">
        <v>45791</v>
      </c>
      <c r="J2384" s="120">
        <f t="shared" si="29"/>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139</v>
      </c>
      <c r="G2385" s="29" t="s">
        <v>16</v>
      </c>
      <c r="H2385" s="29" t="s">
        <v>38</v>
      </c>
      <c r="I2385" s="120">
        <v>45790</v>
      </c>
      <c r="J2385" s="120">
        <f t="shared" si="29"/>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139</v>
      </c>
      <c r="G2386" s="29" t="s">
        <v>737</v>
      </c>
      <c r="H2386" s="29" t="s">
        <v>38</v>
      </c>
      <c r="I2386" s="120">
        <v>45792</v>
      </c>
      <c r="J2386" s="120">
        <f t="shared" si="29"/>
        <v>45797</v>
      </c>
      <c r="K2386" s="120">
        <v>45823</v>
      </c>
      <c r="L2386" s="120"/>
      <c r="M2386" s="120"/>
      <c r="N2386" s="120">
        <v>45797</v>
      </c>
      <c r="O2386" s="29" t="s">
        <v>1246</v>
      </c>
      <c r="P2386" s="29"/>
      <c r="Q2386" s="156">
        <v>300</v>
      </c>
    </row>
    <row r="2387" spans="1:18" hidden="1">
      <c r="A2387" s="134" t="s">
        <v>1067</v>
      </c>
      <c r="C2387" s="29">
        <v>132500119</v>
      </c>
      <c r="D2387" s="29"/>
      <c r="E2387" s="29"/>
      <c r="F2387" s="29" t="s">
        <v>139</v>
      </c>
      <c r="G2387" s="29" t="s">
        <v>737</v>
      </c>
      <c r="H2387" s="29" t="s">
        <v>38</v>
      </c>
      <c r="I2387" s="120">
        <v>45789</v>
      </c>
      <c r="J2387" s="120">
        <f t="shared" si="29"/>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139</v>
      </c>
      <c r="G2388" s="29" t="s">
        <v>737</v>
      </c>
      <c r="H2388" s="29" t="s">
        <v>38</v>
      </c>
      <c r="I2388" s="120">
        <v>45789</v>
      </c>
      <c r="J2388" s="120">
        <f t="shared" si="29"/>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139</v>
      </c>
      <c r="G2389" s="29" t="s">
        <v>737</v>
      </c>
      <c r="H2389" s="29" t="s">
        <v>38</v>
      </c>
      <c r="I2389" s="120">
        <v>45789</v>
      </c>
      <c r="J2389" s="120">
        <f t="shared" si="29"/>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139</v>
      </c>
      <c r="G2390" s="29" t="s">
        <v>737</v>
      </c>
      <c r="H2390" s="29" t="s">
        <v>38</v>
      </c>
      <c r="I2390" s="120">
        <v>45789</v>
      </c>
      <c r="J2390" s="120">
        <f t="shared" si="29"/>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139</v>
      </c>
      <c r="G2391" s="29" t="s">
        <v>737</v>
      </c>
      <c r="H2391" s="29" t="s">
        <v>38</v>
      </c>
      <c r="I2391" s="120">
        <v>45789</v>
      </c>
      <c r="J2391" s="120">
        <f t="shared" si="29"/>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 t="shared" si="29"/>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139</v>
      </c>
      <c r="G2393" s="29" t="s">
        <v>16</v>
      </c>
      <c r="H2393" s="29" t="s">
        <v>38</v>
      </c>
      <c r="I2393" s="120">
        <v>45790</v>
      </c>
      <c r="J2393" s="120">
        <f t="shared" si="29"/>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139</v>
      </c>
      <c r="G2394" s="29" t="s">
        <v>16</v>
      </c>
      <c r="H2394" s="29" t="s">
        <v>38</v>
      </c>
      <c r="I2394" s="120">
        <v>45790</v>
      </c>
      <c r="J2394" s="120">
        <f t="shared" si="29"/>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139</v>
      </c>
      <c r="G2395" s="29" t="s">
        <v>16</v>
      </c>
      <c r="H2395" s="29" t="s">
        <v>38</v>
      </c>
      <c r="I2395" s="120">
        <v>45790</v>
      </c>
      <c r="J2395" s="120">
        <f t="shared" si="29"/>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139</v>
      </c>
      <c r="G2396" s="29" t="s">
        <v>16</v>
      </c>
      <c r="H2396" s="29" t="s">
        <v>38</v>
      </c>
      <c r="I2396" s="120">
        <v>45790</v>
      </c>
      <c r="J2396" s="120">
        <f t="shared" si="29"/>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139</v>
      </c>
      <c r="G2397" s="29" t="s">
        <v>16</v>
      </c>
      <c r="H2397" s="29" t="s">
        <v>38</v>
      </c>
      <c r="I2397" s="120">
        <v>45790</v>
      </c>
      <c r="J2397" s="120">
        <f t="shared" si="29"/>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139</v>
      </c>
      <c r="G2398" s="29" t="s">
        <v>16</v>
      </c>
      <c r="H2398" s="29" t="s">
        <v>38</v>
      </c>
      <c r="I2398" s="120">
        <v>45790</v>
      </c>
      <c r="J2398" s="120">
        <f t="shared" si="29"/>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139</v>
      </c>
      <c r="G2399" s="29" t="s">
        <v>737</v>
      </c>
      <c r="H2399" s="29" t="s">
        <v>38</v>
      </c>
      <c r="I2399" s="120">
        <v>45791</v>
      </c>
      <c r="J2399" s="120">
        <f t="shared" si="29"/>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139</v>
      </c>
      <c r="G2400" s="29" t="s">
        <v>737</v>
      </c>
      <c r="H2400" s="29" t="s">
        <v>38</v>
      </c>
      <c r="I2400" s="120">
        <v>45817</v>
      </c>
      <c r="J2400" s="120">
        <f t="shared" si="29"/>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 t="shared" ref="J2401:J2464" si="30">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 t="shared" si="30"/>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 t="shared" si="30"/>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 t="shared" si="30"/>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 t="shared" si="30"/>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 t="shared" si="30"/>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 t="shared" si="30"/>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 t="shared" si="30"/>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 t="shared" si="30"/>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 t="shared" si="30"/>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 t="shared" si="30"/>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139</v>
      </c>
      <c r="G2412" s="29" t="s">
        <v>737</v>
      </c>
      <c r="H2412" s="29" t="s">
        <v>38</v>
      </c>
      <c r="I2412" s="120">
        <v>45791</v>
      </c>
      <c r="J2412" s="120">
        <f t="shared" si="30"/>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139</v>
      </c>
      <c r="G2413" s="29" t="s">
        <v>737</v>
      </c>
      <c r="H2413" s="29" t="s">
        <v>38</v>
      </c>
      <c r="I2413" s="120">
        <v>45791</v>
      </c>
      <c r="J2413" s="120">
        <f t="shared" si="30"/>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139</v>
      </c>
      <c r="G2414" s="29" t="s">
        <v>737</v>
      </c>
      <c r="H2414" s="29" t="s">
        <v>38</v>
      </c>
      <c r="I2414" s="120">
        <v>45791</v>
      </c>
      <c r="J2414" s="120">
        <f t="shared" si="30"/>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 t="shared" si="30"/>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 t="shared" si="30"/>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 t="shared" si="30"/>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 t="shared" si="30"/>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 t="shared" si="30"/>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 t="shared" si="30"/>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 t="shared" si="30"/>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 t="shared" si="30"/>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139</v>
      </c>
      <c r="G2423" s="29" t="s">
        <v>737</v>
      </c>
      <c r="H2423" s="29" t="s">
        <v>38</v>
      </c>
      <c r="I2423" s="120">
        <v>45793</v>
      </c>
      <c r="J2423" s="120">
        <f t="shared" si="30"/>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139</v>
      </c>
      <c r="G2424" s="29" t="s">
        <v>737</v>
      </c>
      <c r="H2424" s="29" t="s">
        <v>38</v>
      </c>
      <c r="I2424" s="120">
        <v>45793</v>
      </c>
      <c r="J2424" s="120">
        <f t="shared" si="30"/>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139</v>
      </c>
      <c r="G2425" s="29" t="s">
        <v>737</v>
      </c>
      <c r="H2425" s="29" t="s">
        <v>38</v>
      </c>
      <c r="I2425" s="120">
        <v>45793</v>
      </c>
      <c r="J2425" s="120">
        <f t="shared" si="30"/>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139</v>
      </c>
      <c r="G2426" s="29" t="s">
        <v>737</v>
      </c>
      <c r="H2426" s="29" t="s">
        <v>38</v>
      </c>
      <c r="I2426" s="120">
        <v>45793</v>
      </c>
      <c r="J2426" s="120">
        <f t="shared" si="30"/>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139</v>
      </c>
      <c r="G2427" s="29" t="s">
        <v>737</v>
      </c>
      <c r="H2427" s="29" t="s">
        <v>38</v>
      </c>
      <c r="I2427" s="120">
        <v>45793</v>
      </c>
      <c r="J2427" s="120">
        <f t="shared" si="30"/>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139</v>
      </c>
      <c r="G2428" s="29" t="s">
        <v>737</v>
      </c>
      <c r="H2428" s="29" t="s">
        <v>38</v>
      </c>
      <c r="I2428" s="120">
        <v>45793</v>
      </c>
      <c r="J2428" s="120">
        <f t="shared" si="30"/>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139</v>
      </c>
      <c r="G2429" s="29" t="s">
        <v>737</v>
      </c>
      <c r="H2429" s="29" t="s">
        <v>38</v>
      </c>
      <c r="I2429" s="120">
        <v>45793</v>
      </c>
      <c r="J2429" s="120">
        <f t="shared" si="30"/>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139</v>
      </c>
      <c r="G2430" s="29" t="s">
        <v>737</v>
      </c>
      <c r="H2430" s="29" t="s">
        <v>38</v>
      </c>
      <c r="I2430" s="120">
        <v>45793</v>
      </c>
      <c r="J2430" s="120">
        <f t="shared" si="30"/>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139</v>
      </c>
      <c r="G2431" s="29" t="s">
        <v>737</v>
      </c>
      <c r="H2431" s="29" t="s">
        <v>38</v>
      </c>
      <c r="I2431" s="120">
        <v>45793</v>
      </c>
      <c r="J2431" s="120">
        <f t="shared" si="30"/>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 t="shared" si="30"/>
        <v>45799</v>
      </c>
      <c r="K2432" s="120">
        <v>45827</v>
      </c>
      <c r="L2432" s="120"/>
      <c r="M2432" s="120"/>
      <c r="N2432" s="120">
        <v>45797</v>
      </c>
      <c r="O2432" s="29" t="s">
        <v>877</v>
      </c>
      <c r="P2432" s="120"/>
      <c r="Q2432" s="156">
        <v>350</v>
      </c>
    </row>
    <row r="2433" spans="1:18" hidden="1">
      <c r="A2433" s="134" t="s">
        <v>1311</v>
      </c>
      <c r="C2433" s="29">
        <v>160503596</v>
      </c>
      <c r="D2433" s="29"/>
      <c r="E2433" s="29"/>
      <c r="F2433" s="29" t="s">
        <v>139</v>
      </c>
      <c r="G2433" s="29" t="s">
        <v>737</v>
      </c>
      <c r="H2433" s="29" t="s">
        <v>38</v>
      </c>
      <c r="I2433" s="120">
        <v>45814</v>
      </c>
      <c r="J2433" s="120">
        <f t="shared" si="30"/>
        <v>45819</v>
      </c>
      <c r="K2433" s="120">
        <v>45844</v>
      </c>
      <c r="L2433" s="120"/>
      <c r="M2433" s="120"/>
      <c r="N2433" s="120">
        <v>45810</v>
      </c>
      <c r="O2433" s="29" t="s">
        <v>877</v>
      </c>
      <c r="P2433" s="120"/>
      <c r="Q2433" s="156">
        <v>1500</v>
      </c>
    </row>
    <row r="2434" spans="1:18" hidden="1">
      <c r="A2434" s="134" t="s">
        <v>1311</v>
      </c>
      <c r="C2434" s="29">
        <v>160503427</v>
      </c>
      <c r="D2434" s="29"/>
      <c r="E2434" s="29"/>
      <c r="F2434" s="29" t="s">
        <v>139</v>
      </c>
      <c r="G2434" s="29" t="s">
        <v>737</v>
      </c>
      <c r="H2434" s="29" t="s">
        <v>38</v>
      </c>
      <c r="I2434" s="120">
        <v>45817</v>
      </c>
      <c r="J2434" s="120">
        <f t="shared" si="30"/>
        <v>45820</v>
      </c>
      <c r="K2434" s="120">
        <v>45847</v>
      </c>
      <c r="L2434" s="120"/>
      <c r="M2434" s="120"/>
      <c r="N2434" s="29"/>
      <c r="O2434" s="29" t="s">
        <v>877</v>
      </c>
      <c r="P2434" s="120"/>
      <c r="Q2434" s="156">
        <v>450</v>
      </c>
    </row>
    <row r="2435" spans="1:18" hidden="1">
      <c r="A2435" s="134" t="s">
        <v>1311</v>
      </c>
      <c r="C2435" s="29">
        <v>160503513</v>
      </c>
      <c r="D2435" s="29"/>
      <c r="E2435" s="29"/>
      <c r="F2435" s="29" t="s">
        <v>139</v>
      </c>
      <c r="G2435" s="29" t="s">
        <v>737</v>
      </c>
      <c r="H2435" s="29" t="s">
        <v>38</v>
      </c>
      <c r="I2435" s="120">
        <v>45817</v>
      </c>
      <c r="J2435" s="120">
        <f t="shared" si="30"/>
        <v>45820</v>
      </c>
      <c r="K2435" s="120">
        <v>45847</v>
      </c>
      <c r="L2435" s="120"/>
      <c r="M2435" s="120"/>
      <c r="N2435" s="29"/>
      <c r="O2435" s="29" t="s">
        <v>877</v>
      </c>
      <c r="P2435" s="120"/>
      <c r="Q2435" s="156">
        <v>1260</v>
      </c>
    </row>
    <row r="2436" spans="1:18" hidden="1">
      <c r="A2436" s="134" t="s">
        <v>1311</v>
      </c>
      <c r="C2436" s="29">
        <v>160503625</v>
      </c>
      <c r="D2436" s="29"/>
      <c r="E2436" s="29"/>
      <c r="F2436" s="29" t="s">
        <v>139</v>
      </c>
      <c r="G2436" s="29" t="s">
        <v>737</v>
      </c>
      <c r="H2436" s="29" t="s">
        <v>38</v>
      </c>
      <c r="I2436" s="120">
        <v>45817</v>
      </c>
      <c r="J2436" s="120">
        <f t="shared" si="30"/>
        <v>45820</v>
      </c>
      <c r="K2436" s="120">
        <v>45847</v>
      </c>
      <c r="L2436" s="120"/>
      <c r="M2436" s="120"/>
      <c r="N2436" s="29"/>
      <c r="O2436" s="29" t="s">
        <v>877</v>
      </c>
      <c r="P2436" s="120"/>
      <c r="Q2436" s="156">
        <v>1500</v>
      </c>
    </row>
    <row r="2437" spans="1:18" hidden="1">
      <c r="A2437" s="134" t="s">
        <v>1311</v>
      </c>
      <c r="C2437" s="29">
        <v>160503705</v>
      </c>
      <c r="D2437" s="29"/>
      <c r="E2437" s="29"/>
      <c r="F2437" s="29" t="s">
        <v>139</v>
      </c>
      <c r="G2437" s="29" t="s">
        <v>737</v>
      </c>
      <c r="H2437" s="29" t="s">
        <v>38</v>
      </c>
      <c r="I2437" s="120">
        <v>45817</v>
      </c>
      <c r="J2437" s="120">
        <f t="shared" si="30"/>
        <v>45820</v>
      </c>
      <c r="K2437" s="120">
        <v>45847</v>
      </c>
      <c r="L2437" s="120"/>
      <c r="M2437" s="120"/>
      <c r="N2437" s="29"/>
      <c r="O2437" s="29" t="s">
        <v>877</v>
      </c>
      <c r="P2437" s="120"/>
      <c r="Q2437" s="156">
        <v>40</v>
      </c>
    </row>
    <row r="2438" spans="1:18" hidden="1">
      <c r="A2438" s="134" t="s">
        <v>1311</v>
      </c>
      <c r="C2438" s="29">
        <v>160503793</v>
      </c>
      <c r="D2438" s="29"/>
      <c r="E2438" s="29"/>
      <c r="F2438" s="29" t="s">
        <v>139</v>
      </c>
      <c r="G2438" s="29" t="s">
        <v>737</v>
      </c>
      <c r="H2438" s="29" t="s">
        <v>38</v>
      </c>
      <c r="I2438" s="120">
        <v>45817</v>
      </c>
      <c r="J2438" s="120">
        <f t="shared" si="30"/>
        <v>45820</v>
      </c>
      <c r="K2438" s="120">
        <v>45847</v>
      </c>
      <c r="L2438" s="120"/>
      <c r="M2438" s="120"/>
      <c r="N2438" s="29"/>
      <c r="O2438" s="29" t="s">
        <v>877</v>
      </c>
      <c r="P2438" s="120"/>
      <c r="Q2438" s="156">
        <v>1100</v>
      </c>
    </row>
    <row r="2439" spans="1:18" hidden="1">
      <c r="A2439" s="134" t="s">
        <v>1311</v>
      </c>
      <c r="C2439" s="29">
        <v>160503894</v>
      </c>
      <c r="D2439" s="29"/>
      <c r="E2439" s="29"/>
      <c r="F2439" s="29" t="s">
        <v>139</v>
      </c>
      <c r="G2439" s="29" t="s">
        <v>737</v>
      </c>
      <c r="H2439" s="29" t="s">
        <v>38</v>
      </c>
      <c r="I2439" s="120">
        <v>45817</v>
      </c>
      <c r="J2439" s="120">
        <f t="shared" si="30"/>
        <v>45820</v>
      </c>
      <c r="K2439" s="120">
        <v>45847</v>
      </c>
      <c r="L2439" s="120"/>
      <c r="M2439" s="120"/>
      <c r="N2439" s="29"/>
      <c r="O2439" s="29" t="s">
        <v>877</v>
      </c>
      <c r="P2439" s="120"/>
      <c r="Q2439" s="156">
        <v>570</v>
      </c>
    </row>
    <row r="2440" spans="1:18" hidden="1">
      <c r="A2440" s="134" t="s">
        <v>1311</v>
      </c>
      <c r="C2440" s="29">
        <v>160504211</v>
      </c>
      <c r="D2440" s="29"/>
      <c r="E2440" s="29"/>
      <c r="F2440" s="29" t="s">
        <v>139</v>
      </c>
      <c r="G2440" s="29" t="s">
        <v>737</v>
      </c>
      <c r="H2440" s="29" t="s">
        <v>38</v>
      </c>
      <c r="I2440" s="120">
        <v>45817</v>
      </c>
      <c r="J2440" s="120">
        <f t="shared" si="30"/>
        <v>45820</v>
      </c>
      <c r="K2440" s="120">
        <v>45847</v>
      </c>
      <c r="L2440" s="120"/>
      <c r="M2440" s="120"/>
      <c r="N2440" s="29"/>
      <c r="O2440" s="29" t="s">
        <v>877</v>
      </c>
      <c r="P2440" s="120"/>
      <c r="Q2440" s="156">
        <v>200</v>
      </c>
    </row>
    <row r="2441" spans="1:18" hidden="1">
      <c r="A2441" s="134" t="s">
        <v>1311</v>
      </c>
      <c r="C2441" s="29">
        <v>160504235</v>
      </c>
      <c r="D2441" s="29"/>
      <c r="E2441" s="29"/>
      <c r="F2441" s="29" t="s">
        <v>139</v>
      </c>
      <c r="G2441" s="29" t="s">
        <v>737</v>
      </c>
      <c r="H2441" s="29" t="s">
        <v>38</v>
      </c>
      <c r="I2441" s="120">
        <v>45817</v>
      </c>
      <c r="J2441" s="120">
        <f t="shared" si="30"/>
        <v>45820</v>
      </c>
      <c r="K2441" s="120">
        <v>45847</v>
      </c>
      <c r="L2441" s="120"/>
      <c r="M2441" s="120"/>
      <c r="N2441" s="29"/>
      <c r="O2441" s="29" t="s">
        <v>877</v>
      </c>
      <c r="P2441" s="120"/>
      <c r="Q2441" s="156">
        <v>250</v>
      </c>
    </row>
    <row r="2442" spans="1:18" hidden="1">
      <c r="A2442" s="134" t="s">
        <v>1311</v>
      </c>
      <c r="C2442" s="29">
        <v>160504281</v>
      </c>
      <c r="D2442" s="29"/>
      <c r="E2442" s="29"/>
      <c r="F2442" s="29" t="s">
        <v>139</v>
      </c>
      <c r="G2442" s="29" t="s">
        <v>737</v>
      </c>
      <c r="H2442" s="29" t="s">
        <v>38</v>
      </c>
      <c r="I2442" s="120">
        <v>45817</v>
      </c>
      <c r="J2442" s="120">
        <f t="shared" si="30"/>
        <v>45820</v>
      </c>
      <c r="K2442" s="120">
        <v>45847</v>
      </c>
      <c r="L2442" s="120"/>
      <c r="M2442" s="120"/>
      <c r="N2442" s="29"/>
      <c r="O2442" s="29" t="s">
        <v>877</v>
      </c>
      <c r="P2442" s="120"/>
      <c r="Q2442" s="156">
        <v>530</v>
      </c>
    </row>
    <row r="2443" spans="1:18" hidden="1">
      <c r="A2443" s="134" t="s">
        <v>1312</v>
      </c>
      <c r="C2443" s="29">
        <v>161503640</v>
      </c>
      <c r="D2443" s="29"/>
      <c r="E2443" s="29"/>
      <c r="F2443" s="29" t="s">
        <v>139</v>
      </c>
      <c r="G2443" s="29" t="s">
        <v>737</v>
      </c>
      <c r="H2443" s="29" t="s">
        <v>38</v>
      </c>
      <c r="I2443" s="120">
        <v>45818</v>
      </c>
      <c r="J2443" s="120">
        <f t="shared" si="30"/>
        <v>45821</v>
      </c>
      <c r="K2443" s="120">
        <v>45848</v>
      </c>
      <c r="L2443" s="120"/>
      <c r="M2443" s="120"/>
      <c r="N2443" s="120">
        <v>45825</v>
      </c>
      <c r="O2443" s="29" t="s">
        <v>877</v>
      </c>
      <c r="P2443" s="120"/>
      <c r="Q2443" s="156">
        <v>65</v>
      </c>
    </row>
    <row r="2444" spans="1:18" hidden="1">
      <c r="A2444" s="134" t="s">
        <v>1070</v>
      </c>
      <c r="C2444" s="29">
        <v>134501393</v>
      </c>
      <c r="D2444" s="29"/>
      <c r="E2444" s="29"/>
      <c r="F2444" s="29" t="s">
        <v>139</v>
      </c>
      <c r="G2444" s="29" t="s">
        <v>737</v>
      </c>
      <c r="H2444" s="29" t="s">
        <v>38</v>
      </c>
      <c r="I2444" s="120">
        <v>45791</v>
      </c>
      <c r="J2444" s="120">
        <f t="shared" si="30"/>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139</v>
      </c>
      <c r="G2445" s="29" t="s">
        <v>737</v>
      </c>
      <c r="H2445" s="29" t="s">
        <v>38</v>
      </c>
      <c r="I2445" s="120">
        <v>45791</v>
      </c>
      <c r="J2445" s="120">
        <f t="shared" si="30"/>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139</v>
      </c>
      <c r="G2446" s="29" t="s">
        <v>737</v>
      </c>
      <c r="H2446" s="29" t="s">
        <v>38</v>
      </c>
      <c r="I2446" s="120">
        <v>45791</v>
      </c>
      <c r="J2446" s="120">
        <f t="shared" si="30"/>
        <v>45796</v>
      </c>
      <c r="K2446" s="120">
        <v>45822</v>
      </c>
      <c r="L2446" s="120"/>
      <c r="M2446" s="120"/>
      <c r="N2446" s="120">
        <v>45797</v>
      </c>
      <c r="O2446" s="29" t="s">
        <v>877</v>
      </c>
      <c r="P2446" s="120"/>
      <c r="Q2446" s="156">
        <v>685</v>
      </c>
    </row>
    <row r="2447" spans="1:18" hidden="1">
      <c r="A2447" s="134" t="s">
        <v>973</v>
      </c>
      <c r="C2447" s="29">
        <v>134501374</v>
      </c>
      <c r="D2447" s="29"/>
      <c r="E2447" s="29"/>
      <c r="F2447" s="29" t="s">
        <v>139</v>
      </c>
      <c r="G2447" s="29" t="s">
        <v>737</v>
      </c>
      <c r="H2447" s="29" t="s">
        <v>38</v>
      </c>
      <c r="I2447" s="120">
        <v>45791</v>
      </c>
      <c r="J2447" s="120">
        <f t="shared" si="30"/>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139</v>
      </c>
      <c r="G2448" s="29" t="s">
        <v>737</v>
      </c>
      <c r="H2448" s="29" t="s">
        <v>38</v>
      </c>
      <c r="I2448" s="120">
        <v>45791</v>
      </c>
      <c r="J2448" s="120">
        <f t="shared" si="30"/>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139</v>
      </c>
      <c r="G2449" s="29" t="s">
        <v>737</v>
      </c>
      <c r="H2449" s="29" t="s">
        <v>38</v>
      </c>
      <c r="I2449" s="120">
        <v>45791</v>
      </c>
      <c r="J2449" s="120">
        <f t="shared" si="30"/>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139</v>
      </c>
      <c r="G2450" s="29" t="s">
        <v>737</v>
      </c>
      <c r="H2450" s="29" t="s">
        <v>38</v>
      </c>
      <c r="I2450" s="120">
        <v>45791</v>
      </c>
      <c r="J2450" s="120">
        <f t="shared" si="30"/>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139</v>
      </c>
      <c r="G2451" s="29" t="s">
        <v>737</v>
      </c>
      <c r="H2451" s="29" t="s">
        <v>38</v>
      </c>
      <c r="I2451" s="120">
        <v>45791</v>
      </c>
      <c r="J2451" s="120">
        <f t="shared" si="30"/>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139</v>
      </c>
      <c r="G2452" s="29" t="s">
        <v>737</v>
      </c>
      <c r="H2452" s="29" t="s">
        <v>38</v>
      </c>
      <c r="I2452" s="120">
        <v>45791</v>
      </c>
      <c r="J2452" s="120">
        <f t="shared" si="30"/>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139</v>
      </c>
      <c r="G2453" s="29" t="s">
        <v>737</v>
      </c>
      <c r="H2453" s="29" t="s">
        <v>38</v>
      </c>
      <c r="I2453" s="120">
        <v>45791</v>
      </c>
      <c r="J2453" s="120">
        <f t="shared" si="30"/>
        <v>45796</v>
      </c>
      <c r="K2453" s="120">
        <v>45822</v>
      </c>
      <c r="L2453" s="120"/>
      <c r="M2453" s="120"/>
      <c r="N2453" s="120">
        <v>45797</v>
      </c>
      <c r="O2453" s="29" t="s">
        <v>877</v>
      </c>
      <c r="P2453" s="120"/>
      <c r="Q2453" s="156">
        <v>600</v>
      </c>
    </row>
    <row r="2454" spans="1:18" hidden="1">
      <c r="A2454" s="134" t="s">
        <v>1047</v>
      </c>
      <c r="C2454" s="29">
        <v>134501911</v>
      </c>
      <c r="D2454" s="29"/>
      <c r="E2454" s="29"/>
      <c r="F2454" s="29" t="s">
        <v>139</v>
      </c>
      <c r="G2454" s="29" t="s">
        <v>737</v>
      </c>
      <c r="H2454" s="29" t="s">
        <v>38</v>
      </c>
      <c r="I2454" s="120">
        <v>45791</v>
      </c>
      <c r="J2454" s="120">
        <f t="shared" si="30"/>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139</v>
      </c>
      <c r="G2455" s="29" t="s">
        <v>737</v>
      </c>
      <c r="H2455" s="29" t="s">
        <v>38</v>
      </c>
      <c r="I2455" s="120">
        <v>45791</v>
      </c>
      <c r="J2455" s="120">
        <f t="shared" si="30"/>
        <v>45796</v>
      </c>
      <c r="K2455" s="120">
        <v>45822</v>
      </c>
      <c r="L2455" s="120"/>
      <c r="M2455" s="120"/>
      <c r="N2455" s="120">
        <v>45797</v>
      </c>
      <c r="O2455" s="29" t="s">
        <v>877</v>
      </c>
      <c r="P2455" s="120"/>
      <c r="Q2455" s="156">
        <v>260</v>
      </c>
    </row>
    <row r="2456" spans="1:18" hidden="1">
      <c r="A2456" s="134" t="s">
        <v>1049</v>
      </c>
      <c r="C2456" s="29">
        <v>134502311</v>
      </c>
      <c r="D2456" s="29"/>
      <c r="E2456" s="29"/>
      <c r="F2456" s="29" t="s">
        <v>139</v>
      </c>
      <c r="G2456" s="29" t="s">
        <v>737</v>
      </c>
      <c r="H2456" s="29" t="s">
        <v>38</v>
      </c>
      <c r="I2456" s="120">
        <v>45791</v>
      </c>
      <c r="J2456" s="120">
        <f t="shared" si="30"/>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139</v>
      </c>
      <c r="G2457" s="29" t="s">
        <v>737</v>
      </c>
      <c r="H2457" s="29" t="s">
        <v>38</v>
      </c>
      <c r="I2457" s="120">
        <v>45791</v>
      </c>
      <c r="J2457" s="120">
        <f t="shared" si="30"/>
        <v>45796</v>
      </c>
      <c r="K2457" s="120">
        <v>45822</v>
      </c>
      <c r="L2457" s="120"/>
      <c r="M2457" s="120"/>
      <c r="N2457" s="120">
        <v>45797</v>
      </c>
      <c r="O2457" s="29" t="s">
        <v>877</v>
      </c>
      <c r="P2457" s="120"/>
      <c r="Q2457" s="156">
        <v>330</v>
      </c>
    </row>
    <row r="2458" spans="1:18" hidden="1">
      <c r="A2458" s="134" t="s">
        <v>1070</v>
      </c>
      <c r="C2458" s="29">
        <v>135500110</v>
      </c>
      <c r="D2458" s="29"/>
      <c r="E2458" s="29"/>
      <c r="F2458" s="29" t="s">
        <v>139</v>
      </c>
      <c r="G2458" s="29" t="s">
        <v>737</v>
      </c>
      <c r="H2458" s="29" t="s">
        <v>38</v>
      </c>
      <c r="I2458" s="120">
        <v>45792</v>
      </c>
      <c r="J2458" s="120">
        <f t="shared" si="30"/>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139</v>
      </c>
      <c r="G2459" s="29" t="s">
        <v>737</v>
      </c>
      <c r="H2459" s="29" t="s">
        <v>38</v>
      </c>
      <c r="I2459" s="120">
        <v>45792</v>
      </c>
      <c r="J2459" s="120">
        <f t="shared" si="30"/>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139</v>
      </c>
      <c r="G2460" s="29" t="s">
        <v>737</v>
      </c>
      <c r="H2460" s="29" t="s">
        <v>38</v>
      </c>
      <c r="I2460" s="120">
        <v>45792</v>
      </c>
      <c r="J2460" s="120">
        <f t="shared" si="30"/>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139</v>
      </c>
      <c r="G2461" s="29" t="s">
        <v>737</v>
      </c>
      <c r="H2461" s="29" t="s">
        <v>38</v>
      </c>
      <c r="I2461" s="120">
        <v>45792</v>
      </c>
      <c r="J2461" s="120">
        <f t="shared" si="30"/>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139</v>
      </c>
      <c r="G2462" s="29" t="s">
        <v>737</v>
      </c>
      <c r="H2462" s="29" t="s">
        <v>38</v>
      </c>
      <c r="I2462" s="120">
        <v>45792</v>
      </c>
      <c r="J2462" s="120">
        <f t="shared" si="30"/>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139</v>
      </c>
      <c r="G2463" s="29" t="s">
        <v>737</v>
      </c>
      <c r="H2463" s="29" t="s">
        <v>38</v>
      </c>
      <c r="I2463" s="120">
        <v>45792</v>
      </c>
      <c r="J2463" s="120">
        <f t="shared" si="30"/>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139</v>
      </c>
      <c r="G2464" s="29" t="s">
        <v>737</v>
      </c>
      <c r="H2464" s="29" t="s">
        <v>38</v>
      </c>
      <c r="I2464" s="120">
        <v>45792</v>
      </c>
      <c r="J2464" s="120">
        <f t="shared" si="30"/>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139</v>
      </c>
      <c r="G2465" s="29" t="s">
        <v>737</v>
      </c>
      <c r="H2465" s="29" t="s">
        <v>38</v>
      </c>
      <c r="I2465" s="120">
        <v>45792</v>
      </c>
      <c r="J2465" s="120">
        <f t="shared" ref="J2465:J2528" si="31">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139</v>
      </c>
      <c r="G2466" s="29" t="s">
        <v>737</v>
      </c>
      <c r="H2466" s="29" t="s">
        <v>38</v>
      </c>
      <c r="I2466" s="120">
        <v>45792</v>
      </c>
      <c r="J2466" s="120">
        <f t="shared" si="31"/>
        <v>45797</v>
      </c>
      <c r="K2466" s="120">
        <v>45823</v>
      </c>
      <c r="L2466" s="120"/>
      <c r="M2466" s="120"/>
      <c r="N2466" s="120">
        <v>45797</v>
      </c>
      <c r="O2466" s="29" t="s">
        <v>877</v>
      </c>
      <c r="P2466" s="120"/>
      <c r="Q2466" s="156">
        <v>230</v>
      </c>
    </row>
    <row r="2467" spans="1:18" hidden="1">
      <c r="A2467" s="134" t="s">
        <v>1047</v>
      </c>
      <c r="C2467" s="29">
        <v>135501040</v>
      </c>
      <c r="D2467" s="29"/>
      <c r="E2467" s="29"/>
      <c r="F2467" s="29" t="s">
        <v>139</v>
      </c>
      <c r="G2467" s="29" t="s">
        <v>737</v>
      </c>
      <c r="H2467" s="29" t="s">
        <v>38</v>
      </c>
      <c r="I2467" s="120">
        <v>45792</v>
      </c>
      <c r="J2467" s="120">
        <f t="shared" si="31"/>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139</v>
      </c>
      <c r="G2468" s="29" t="s">
        <v>737</v>
      </c>
      <c r="H2468" s="29" t="s">
        <v>38</v>
      </c>
      <c r="I2468" s="120">
        <v>45792</v>
      </c>
      <c r="J2468" s="120">
        <f t="shared" si="31"/>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139</v>
      </c>
      <c r="G2469" s="29" t="s">
        <v>737</v>
      </c>
      <c r="H2469" s="29" t="s">
        <v>38</v>
      </c>
      <c r="I2469" s="120">
        <v>45792</v>
      </c>
      <c r="J2469" s="120">
        <f t="shared" si="31"/>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139</v>
      </c>
      <c r="G2470" s="29" t="s">
        <v>737</v>
      </c>
      <c r="H2470" s="29" t="s">
        <v>38</v>
      </c>
      <c r="I2470" s="120">
        <v>45792</v>
      </c>
      <c r="J2470" s="120">
        <f t="shared" si="31"/>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 t="shared" si="31"/>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 t="shared" si="31"/>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 t="shared" si="31"/>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 t="shared" si="31"/>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 t="shared" si="31"/>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139</v>
      </c>
      <c r="G2476" s="29" t="s">
        <v>737</v>
      </c>
      <c r="H2476" s="29" t="s">
        <v>38</v>
      </c>
      <c r="I2476" s="120">
        <v>45793</v>
      </c>
      <c r="J2476" s="120">
        <f t="shared" si="31"/>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139</v>
      </c>
      <c r="G2477" s="29" t="s">
        <v>737</v>
      </c>
      <c r="H2477" s="29" t="s">
        <v>38</v>
      </c>
      <c r="I2477" s="120">
        <v>45793</v>
      </c>
      <c r="J2477" s="120">
        <f t="shared" si="31"/>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 t="shared" si="31"/>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 t="shared" si="31"/>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 t="shared" si="31"/>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 t="shared" si="31"/>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 t="shared" si="31"/>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139</v>
      </c>
      <c r="G2483" s="29" t="s">
        <v>737</v>
      </c>
      <c r="H2483" s="29" t="s">
        <v>38</v>
      </c>
      <c r="I2483" s="120">
        <v>45800</v>
      </c>
      <c r="J2483" s="120">
        <f t="shared" si="31"/>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139</v>
      </c>
      <c r="G2484" s="29" t="s">
        <v>737</v>
      </c>
      <c r="H2484" s="29" t="s">
        <v>1066</v>
      </c>
      <c r="I2484" s="120">
        <v>45804</v>
      </c>
      <c r="J2484" s="120">
        <f t="shared" si="31"/>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139</v>
      </c>
      <c r="G2485" s="29" t="s">
        <v>737</v>
      </c>
      <c r="H2485" s="29" t="s">
        <v>1066</v>
      </c>
      <c r="I2485" s="120">
        <v>45804</v>
      </c>
      <c r="J2485" s="120">
        <f t="shared" si="31"/>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139</v>
      </c>
      <c r="G2486" s="29" t="s">
        <v>737</v>
      </c>
      <c r="H2486" s="29" t="s">
        <v>1066</v>
      </c>
      <c r="I2486" s="120">
        <v>45804</v>
      </c>
      <c r="J2486" s="120">
        <f t="shared" si="31"/>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139</v>
      </c>
      <c r="G2487" s="29" t="s">
        <v>737</v>
      </c>
      <c r="H2487" s="29" t="s">
        <v>1066</v>
      </c>
      <c r="I2487" s="120">
        <v>45804</v>
      </c>
      <c r="J2487" s="120">
        <f t="shared" si="31"/>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139</v>
      </c>
      <c r="G2488" s="29" t="s">
        <v>737</v>
      </c>
      <c r="H2488" s="29" t="s">
        <v>1066</v>
      </c>
      <c r="I2488" s="120">
        <v>45804</v>
      </c>
      <c r="J2488" s="120">
        <f t="shared" si="31"/>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139</v>
      </c>
      <c r="G2489" s="29" t="s">
        <v>737</v>
      </c>
      <c r="H2489" s="29" t="s">
        <v>1066</v>
      </c>
      <c r="I2489" s="120">
        <v>45804</v>
      </c>
      <c r="J2489" s="120">
        <f t="shared" si="31"/>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139</v>
      </c>
      <c r="G2490" s="29" t="s">
        <v>737</v>
      </c>
      <c r="H2490" s="29" t="s">
        <v>1066</v>
      </c>
      <c r="I2490" s="120">
        <v>45804</v>
      </c>
      <c r="J2490" s="120">
        <f t="shared" si="31"/>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139</v>
      </c>
      <c r="G2491" s="29" t="s">
        <v>737</v>
      </c>
      <c r="H2491" s="29" t="s">
        <v>1066</v>
      </c>
      <c r="I2491" s="120">
        <v>45804</v>
      </c>
      <c r="J2491" s="120">
        <f t="shared" si="31"/>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139</v>
      </c>
      <c r="G2492" s="29" t="s">
        <v>737</v>
      </c>
      <c r="H2492" s="29" t="s">
        <v>1066</v>
      </c>
      <c r="I2492" s="120">
        <v>45804</v>
      </c>
      <c r="J2492" s="120">
        <f t="shared" si="31"/>
        <v>45807</v>
      </c>
      <c r="K2492" s="120">
        <v>45835</v>
      </c>
      <c r="L2492" s="120"/>
      <c r="M2492" s="120"/>
      <c r="N2492" s="120">
        <v>45805</v>
      </c>
      <c r="O2492" s="29" t="s">
        <v>877</v>
      </c>
      <c r="P2492" s="120"/>
      <c r="Q2492" s="156">
        <v>1200</v>
      </c>
    </row>
    <row r="2493" spans="1:18" hidden="1">
      <c r="A2493" s="134" t="s">
        <v>1067</v>
      </c>
      <c r="C2493" s="29">
        <v>147501882</v>
      </c>
      <c r="D2493" s="29"/>
      <c r="E2493" s="29"/>
      <c r="F2493" s="29" t="s">
        <v>139</v>
      </c>
      <c r="G2493" s="29" t="s">
        <v>737</v>
      </c>
      <c r="H2493" s="29" t="s">
        <v>1066</v>
      </c>
      <c r="I2493" s="120">
        <v>45804</v>
      </c>
      <c r="J2493" s="120">
        <f t="shared" si="31"/>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139</v>
      </c>
      <c r="G2494" s="29" t="s">
        <v>737</v>
      </c>
      <c r="H2494" s="29" t="s">
        <v>1066</v>
      </c>
      <c r="I2494" s="120">
        <v>45804</v>
      </c>
      <c r="J2494" s="120">
        <f t="shared" si="31"/>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139</v>
      </c>
      <c r="G2495" s="29" t="s">
        <v>737</v>
      </c>
      <c r="H2495" s="29" t="s">
        <v>1066</v>
      </c>
      <c r="I2495" s="120">
        <v>45804</v>
      </c>
      <c r="J2495" s="120">
        <f t="shared" si="31"/>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139</v>
      </c>
      <c r="G2496" s="29" t="s">
        <v>737</v>
      </c>
      <c r="H2496" s="29" t="s">
        <v>1066</v>
      </c>
      <c r="I2496" s="120">
        <v>45804</v>
      </c>
      <c r="J2496" s="120">
        <f t="shared" si="31"/>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139</v>
      </c>
      <c r="G2497" s="29" t="s">
        <v>737</v>
      </c>
      <c r="H2497" s="29" t="s">
        <v>1066</v>
      </c>
      <c r="I2497" s="120">
        <v>45804</v>
      </c>
      <c r="J2497" s="120">
        <f t="shared" si="31"/>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139</v>
      </c>
      <c r="G2498" s="29" t="s">
        <v>737</v>
      </c>
      <c r="H2498" s="29" t="s">
        <v>38</v>
      </c>
      <c r="I2498" s="120">
        <v>45805</v>
      </c>
      <c r="J2498" s="120">
        <f t="shared" si="31"/>
        <v>45810</v>
      </c>
      <c r="K2498" s="120">
        <v>45836</v>
      </c>
      <c r="L2498" s="120"/>
      <c r="M2498" s="120"/>
      <c r="N2498" s="120">
        <v>45805</v>
      </c>
      <c r="O2498" s="29" t="s">
        <v>877</v>
      </c>
      <c r="P2498" s="120"/>
      <c r="Q2498" s="156">
        <v>1200</v>
      </c>
    </row>
    <row r="2499" spans="1:18" hidden="1">
      <c r="A2499" s="134" t="s">
        <v>960</v>
      </c>
      <c r="C2499" s="29">
        <v>148504943</v>
      </c>
      <c r="D2499" s="29"/>
      <c r="E2499" s="29"/>
      <c r="F2499" s="29" t="s">
        <v>139</v>
      </c>
      <c r="G2499" s="29" t="s">
        <v>737</v>
      </c>
      <c r="H2499" s="29" t="s">
        <v>38</v>
      </c>
      <c r="I2499" s="120">
        <v>45805</v>
      </c>
      <c r="J2499" s="120">
        <f t="shared" si="31"/>
        <v>45810</v>
      </c>
      <c r="K2499" s="120">
        <v>45836</v>
      </c>
      <c r="L2499" s="120"/>
      <c r="M2499" s="120"/>
      <c r="N2499" s="120">
        <v>45805</v>
      </c>
      <c r="O2499" s="29" t="s">
        <v>877</v>
      </c>
      <c r="P2499" s="120"/>
      <c r="Q2499" s="156">
        <v>1300</v>
      </c>
    </row>
    <row r="2500" spans="1:18" hidden="1">
      <c r="A2500" s="134" t="s">
        <v>960</v>
      </c>
      <c r="C2500" s="29">
        <v>148504966</v>
      </c>
      <c r="D2500" s="29"/>
      <c r="E2500" s="29"/>
      <c r="F2500" s="29" t="s">
        <v>139</v>
      </c>
      <c r="G2500" s="29" t="s">
        <v>737</v>
      </c>
      <c r="H2500" s="29" t="s">
        <v>38</v>
      </c>
      <c r="I2500" s="120">
        <v>45805</v>
      </c>
      <c r="J2500" s="120">
        <f t="shared" si="31"/>
        <v>45810</v>
      </c>
      <c r="K2500" s="120">
        <v>45836</v>
      </c>
      <c r="L2500" s="120"/>
      <c r="M2500" s="120"/>
      <c r="N2500" s="120">
        <v>45805</v>
      </c>
      <c r="O2500" s="29" t="s">
        <v>877</v>
      </c>
      <c r="P2500" s="120"/>
      <c r="Q2500" s="156">
        <v>1000</v>
      </c>
    </row>
    <row r="2501" spans="1:18" hidden="1">
      <c r="A2501" s="134" t="s">
        <v>960</v>
      </c>
      <c r="C2501" s="29">
        <v>148504989</v>
      </c>
      <c r="D2501" s="29"/>
      <c r="E2501" s="29"/>
      <c r="F2501" s="29" t="s">
        <v>139</v>
      </c>
      <c r="G2501" s="29" t="s">
        <v>737</v>
      </c>
      <c r="H2501" s="29" t="s">
        <v>38</v>
      </c>
      <c r="I2501" s="120">
        <v>45805</v>
      </c>
      <c r="J2501" s="120">
        <f t="shared" si="31"/>
        <v>45810</v>
      </c>
      <c r="K2501" s="120">
        <v>45836</v>
      </c>
      <c r="L2501" s="120"/>
      <c r="M2501" s="120"/>
      <c r="N2501" s="120">
        <v>45805</v>
      </c>
      <c r="O2501" s="29" t="s">
        <v>877</v>
      </c>
      <c r="P2501" s="120"/>
      <c r="Q2501" s="156">
        <v>1000</v>
      </c>
    </row>
    <row r="2502" spans="1:18" hidden="1">
      <c r="A2502" s="134" t="s">
        <v>960</v>
      </c>
      <c r="C2502" s="29">
        <v>148505006</v>
      </c>
      <c r="D2502" s="29"/>
      <c r="E2502" s="29"/>
      <c r="F2502" s="29" t="s">
        <v>139</v>
      </c>
      <c r="G2502" s="29" t="s">
        <v>737</v>
      </c>
      <c r="H2502" s="29" t="s">
        <v>38</v>
      </c>
      <c r="I2502" s="120">
        <v>45805</v>
      </c>
      <c r="J2502" s="120">
        <f t="shared" si="31"/>
        <v>45810</v>
      </c>
      <c r="K2502" s="120">
        <v>45836</v>
      </c>
      <c r="L2502" s="120"/>
      <c r="M2502" s="120"/>
      <c r="N2502" s="120">
        <v>45805</v>
      </c>
      <c r="O2502" s="29" t="s">
        <v>877</v>
      </c>
      <c r="P2502" s="120"/>
      <c r="Q2502" s="156">
        <v>2000</v>
      </c>
    </row>
    <row r="2503" spans="1:18" hidden="1">
      <c r="A2503" s="134" t="s">
        <v>960</v>
      </c>
      <c r="C2503" s="29">
        <v>148505029</v>
      </c>
      <c r="D2503" s="29"/>
      <c r="E2503" s="29"/>
      <c r="F2503" s="29" t="s">
        <v>139</v>
      </c>
      <c r="G2503" s="29" t="s">
        <v>737</v>
      </c>
      <c r="H2503" s="29" t="s">
        <v>38</v>
      </c>
      <c r="I2503" s="120">
        <v>45805</v>
      </c>
      <c r="J2503" s="120">
        <f t="shared" si="31"/>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139</v>
      </c>
      <c r="G2504" s="29" t="s">
        <v>737</v>
      </c>
      <c r="H2504" s="29" t="s">
        <v>38</v>
      </c>
      <c r="I2504" s="120">
        <v>45805</v>
      </c>
      <c r="J2504" s="120">
        <f t="shared" si="31"/>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139</v>
      </c>
      <c r="G2505" s="29" t="s">
        <v>737</v>
      </c>
      <c r="H2505" s="29" t="s">
        <v>38</v>
      </c>
      <c r="I2505" s="120">
        <v>45805</v>
      </c>
      <c r="J2505" s="120">
        <f t="shared" si="31"/>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139</v>
      </c>
      <c r="G2506" s="29" t="s">
        <v>737</v>
      </c>
      <c r="H2506" s="29" t="s">
        <v>38</v>
      </c>
      <c r="I2506" s="120">
        <v>45805</v>
      </c>
      <c r="J2506" s="120">
        <f t="shared" si="31"/>
        <v>45810</v>
      </c>
      <c r="K2506" s="120">
        <v>45836</v>
      </c>
      <c r="L2506" s="120"/>
      <c r="M2506" s="120"/>
      <c r="N2506" s="120">
        <v>45805</v>
      </c>
      <c r="O2506" s="29" t="s">
        <v>877</v>
      </c>
      <c r="P2506" s="120"/>
      <c r="Q2506" s="156">
        <v>130</v>
      </c>
    </row>
    <row r="2507" spans="1:18" hidden="1">
      <c r="A2507" s="134" t="s">
        <v>974</v>
      </c>
      <c r="C2507" s="29">
        <v>148501570</v>
      </c>
      <c r="D2507" s="29"/>
      <c r="E2507" s="29"/>
      <c r="F2507" s="29" t="s">
        <v>139</v>
      </c>
      <c r="G2507" s="29" t="s">
        <v>737</v>
      </c>
      <c r="H2507" s="29" t="s">
        <v>38</v>
      </c>
      <c r="I2507" s="120">
        <v>45805</v>
      </c>
      <c r="J2507" s="120">
        <f t="shared" si="31"/>
        <v>45810</v>
      </c>
      <c r="K2507" s="120">
        <v>45836</v>
      </c>
      <c r="L2507" s="120"/>
      <c r="M2507" s="120"/>
      <c r="N2507" s="120">
        <v>45805</v>
      </c>
      <c r="O2507" s="29" t="s">
        <v>877</v>
      </c>
      <c r="P2507" s="120"/>
      <c r="Q2507" s="156">
        <v>300</v>
      </c>
    </row>
    <row r="2508" spans="1:18" hidden="1">
      <c r="A2508" s="134" t="s">
        <v>974</v>
      </c>
      <c r="C2508" s="29">
        <v>148501617</v>
      </c>
      <c r="D2508" s="29"/>
      <c r="E2508" s="29"/>
      <c r="F2508" s="29" t="s">
        <v>139</v>
      </c>
      <c r="G2508" s="29" t="s">
        <v>737</v>
      </c>
      <c r="H2508" s="29" t="s">
        <v>38</v>
      </c>
      <c r="I2508" s="120">
        <v>45805</v>
      </c>
      <c r="J2508" s="120">
        <f t="shared" si="31"/>
        <v>45810</v>
      </c>
      <c r="K2508" s="120">
        <v>45836</v>
      </c>
      <c r="L2508" s="120"/>
      <c r="M2508" s="120"/>
      <c r="N2508" s="120">
        <v>45805</v>
      </c>
      <c r="O2508" s="29" t="s">
        <v>877</v>
      </c>
      <c r="P2508" s="120"/>
      <c r="Q2508" s="156">
        <v>900</v>
      </c>
    </row>
    <row r="2509" spans="1:18" hidden="1">
      <c r="A2509" s="134" t="s">
        <v>974</v>
      </c>
      <c r="C2509" s="29">
        <v>148501633</v>
      </c>
      <c r="D2509" s="29"/>
      <c r="E2509" s="29"/>
      <c r="F2509" s="29" t="s">
        <v>139</v>
      </c>
      <c r="G2509" s="29" t="s">
        <v>737</v>
      </c>
      <c r="H2509" s="29" t="s">
        <v>38</v>
      </c>
      <c r="I2509" s="120">
        <v>45805</v>
      </c>
      <c r="J2509" s="120">
        <f t="shared" si="31"/>
        <v>45810</v>
      </c>
      <c r="K2509" s="120">
        <v>45836</v>
      </c>
      <c r="L2509" s="120"/>
      <c r="M2509" s="120"/>
      <c r="N2509" s="120">
        <v>45805</v>
      </c>
      <c r="O2509" s="29" t="s">
        <v>877</v>
      </c>
      <c r="P2509" s="120"/>
      <c r="Q2509" s="156">
        <v>400</v>
      </c>
    </row>
    <row r="2510" spans="1:18" hidden="1">
      <c r="A2510" s="134" t="s">
        <v>974</v>
      </c>
      <c r="C2510" s="29">
        <v>148501665</v>
      </c>
      <c r="D2510" s="29"/>
      <c r="E2510" s="29"/>
      <c r="F2510" s="29" t="s">
        <v>139</v>
      </c>
      <c r="G2510" s="29" t="s">
        <v>737</v>
      </c>
      <c r="H2510" s="29" t="s">
        <v>38</v>
      </c>
      <c r="I2510" s="120">
        <v>45805</v>
      </c>
      <c r="J2510" s="120">
        <f t="shared" si="31"/>
        <v>45810</v>
      </c>
      <c r="K2510" s="120">
        <v>45836</v>
      </c>
      <c r="L2510" s="120"/>
      <c r="M2510" s="120"/>
      <c r="N2510" s="120">
        <v>45805</v>
      </c>
      <c r="O2510" s="29" t="s">
        <v>877</v>
      </c>
      <c r="P2510" s="120"/>
      <c r="Q2510" s="156">
        <v>320</v>
      </c>
    </row>
    <row r="2511" spans="1:18" hidden="1">
      <c r="A2511" s="134" t="s">
        <v>974</v>
      </c>
      <c r="C2511" s="29">
        <v>148501680</v>
      </c>
      <c r="D2511" s="29"/>
      <c r="E2511" s="29"/>
      <c r="F2511" s="29" t="s">
        <v>139</v>
      </c>
      <c r="G2511" s="29" t="s">
        <v>737</v>
      </c>
      <c r="H2511" s="29" t="s">
        <v>38</v>
      </c>
      <c r="I2511" s="120">
        <v>45805</v>
      </c>
      <c r="J2511" s="120">
        <f t="shared" si="31"/>
        <v>45810</v>
      </c>
      <c r="K2511" s="120">
        <v>45836</v>
      </c>
      <c r="L2511" s="120"/>
      <c r="M2511" s="120"/>
      <c r="N2511" s="120">
        <v>45805</v>
      </c>
      <c r="O2511" s="29" t="s">
        <v>877</v>
      </c>
      <c r="P2511" s="120"/>
      <c r="Q2511" s="156">
        <v>700</v>
      </c>
    </row>
    <row r="2512" spans="1:18" hidden="1">
      <c r="A2512" s="134" t="s">
        <v>974</v>
      </c>
      <c r="C2512" s="29">
        <v>148501690</v>
      </c>
      <c r="D2512" s="29"/>
      <c r="E2512" s="29"/>
      <c r="F2512" s="29" t="s">
        <v>139</v>
      </c>
      <c r="G2512" s="29" t="s">
        <v>737</v>
      </c>
      <c r="H2512" s="29" t="s">
        <v>38</v>
      </c>
      <c r="I2512" s="120">
        <v>45805</v>
      </c>
      <c r="J2512" s="120">
        <f t="shared" si="31"/>
        <v>45810</v>
      </c>
      <c r="K2512" s="120">
        <v>45836</v>
      </c>
      <c r="L2512" s="120"/>
      <c r="M2512" s="120"/>
      <c r="N2512" s="120">
        <v>45805</v>
      </c>
      <c r="O2512" s="29" t="s">
        <v>877</v>
      </c>
      <c r="P2512" s="120"/>
      <c r="Q2512" s="156">
        <v>350</v>
      </c>
    </row>
    <row r="2513" spans="1:17" hidden="1">
      <c r="A2513" s="134" t="s">
        <v>1067</v>
      </c>
      <c r="C2513" s="29">
        <v>148500220</v>
      </c>
      <c r="D2513" s="29"/>
      <c r="E2513" s="29"/>
      <c r="F2513" s="29" t="s">
        <v>139</v>
      </c>
      <c r="G2513" s="29" t="s">
        <v>737</v>
      </c>
      <c r="H2513" s="29" t="s">
        <v>38</v>
      </c>
      <c r="I2513" s="120">
        <v>45805</v>
      </c>
      <c r="J2513" s="120">
        <f t="shared" si="31"/>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139</v>
      </c>
      <c r="G2514" s="29" t="s">
        <v>737</v>
      </c>
      <c r="H2514" s="29" t="s">
        <v>38</v>
      </c>
      <c r="I2514" s="120">
        <v>45807</v>
      </c>
      <c r="J2514" s="120">
        <f t="shared" si="31"/>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139</v>
      </c>
      <c r="G2515" s="29" t="s">
        <v>737</v>
      </c>
      <c r="H2515" s="29" t="s">
        <v>38</v>
      </c>
      <c r="I2515" s="120">
        <v>45807</v>
      </c>
      <c r="J2515" s="120">
        <f t="shared" si="31"/>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139</v>
      </c>
      <c r="G2516" s="29" t="s">
        <v>737</v>
      </c>
      <c r="H2516" s="29" t="s">
        <v>38</v>
      </c>
      <c r="I2516" s="120">
        <v>45807</v>
      </c>
      <c r="J2516" s="120">
        <f t="shared" si="31"/>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139</v>
      </c>
      <c r="G2517" s="29" t="s">
        <v>737</v>
      </c>
      <c r="H2517" s="29" t="s">
        <v>38</v>
      </c>
      <c r="I2517" s="120">
        <v>45807</v>
      </c>
      <c r="J2517" s="120">
        <f t="shared" si="31"/>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 t="shared" si="31"/>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 t="shared" si="31"/>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139</v>
      </c>
      <c r="G2520" s="29" t="s">
        <v>737</v>
      </c>
      <c r="H2520" s="29" t="s">
        <v>38</v>
      </c>
      <c r="I2520" s="120">
        <v>45811</v>
      </c>
      <c r="J2520" s="120">
        <f t="shared" si="31"/>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139</v>
      </c>
      <c r="G2521" s="29" t="s">
        <v>737</v>
      </c>
      <c r="H2521" s="29" t="s">
        <v>38</v>
      </c>
      <c r="I2521" s="120">
        <v>45811</v>
      </c>
      <c r="J2521" s="120">
        <f t="shared" si="31"/>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139</v>
      </c>
      <c r="G2522" s="29" t="s">
        <v>737</v>
      </c>
      <c r="H2522" s="29" t="s">
        <v>38</v>
      </c>
      <c r="I2522" s="120">
        <v>45811</v>
      </c>
      <c r="J2522" s="120">
        <f t="shared" si="31"/>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139</v>
      </c>
      <c r="G2523" s="29" t="s">
        <v>737</v>
      </c>
      <c r="H2523" s="29" t="s">
        <v>38</v>
      </c>
      <c r="I2523" s="120">
        <v>45811</v>
      </c>
      <c r="J2523" s="120">
        <f t="shared" si="31"/>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139</v>
      </c>
      <c r="G2524" s="29" t="s">
        <v>737</v>
      </c>
      <c r="H2524" s="29" t="s">
        <v>38</v>
      </c>
      <c r="I2524" s="120">
        <v>45811</v>
      </c>
      <c r="J2524" s="120">
        <f t="shared" si="31"/>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139</v>
      </c>
      <c r="G2525" s="29" t="s">
        <v>737</v>
      </c>
      <c r="H2525" s="29" t="s">
        <v>38</v>
      </c>
      <c r="I2525" s="120">
        <v>45811</v>
      </c>
      <c r="J2525" s="120">
        <f t="shared" si="31"/>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139</v>
      </c>
      <c r="G2526" s="29" t="s">
        <v>16</v>
      </c>
      <c r="H2526" s="29" t="s">
        <v>38</v>
      </c>
      <c r="I2526" s="120">
        <v>45811</v>
      </c>
      <c r="J2526" s="120">
        <f t="shared" si="31"/>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139</v>
      </c>
      <c r="G2527" s="29" t="s">
        <v>16</v>
      </c>
      <c r="H2527" s="29" t="s">
        <v>38</v>
      </c>
      <c r="I2527" s="120">
        <v>45814</v>
      </c>
      <c r="J2527" s="120">
        <f t="shared" si="31"/>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139</v>
      </c>
      <c r="G2528" s="29" t="s">
        <v>16</v>
      </c>
      <c r="H2528" s="29" t="s">
        <v>38</v>
      </c>
      <c r="I2528" s="120">
        <v>45814</v>
      </c>
      <c r="J2528" s="120">
        <f t="shared" si="31"/>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139</v>
      </c>
      <c r="G2529" s="29" t="s">
        <v>16</v>
      </c>
      <c r="H2529" s="29" t="s">
        <v>38</v>
      </c>
      <c r="I2529" s="120">
        <v>45814</v>
      </c>
      <c r="J2529" s="120">
        <f t="shared" ref="J2529:J2592" si="32">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139</v>
      </c>
      <c r="G2530" s="29" t="s">
        <v>737</v>
      </c>
      <c r="H2530" s="29" t="s">
        <v>38</v>
      </c>
      <c r="I2530" s="120">
        <v>45819</v>
      </c>
      <c r="J2530" s="120">
        <f t="shared" si="32"/>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139</v>
      </c>
      <c r="G2531" s="29" t="s">
        <v>737</v>
      </c>
      <c r="H2531" s="29" t="s">
        <v>38</v>
      </c>
      <c r="I2531" s="120">
        <v>45819</v>
      </c>
      <c r="J2531" s="120">
        <f t="shared" si="32"/>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139</v>
      </c>
      <c r="G2532" s="29" t="s">
        <v>737</v>
      </c>
      <c r="H2532" s="29" t="s">
        <v>38</v>
      </c>
      <c r="I2532" s="120">
        <v>45819</v>
      </c>
      <c r="J2532" s="120">
        <f t="shared" si="32"/>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139</v>
      </c>
      <c r="G2533" s="29" t="s">
        <v>737</v>
      </c>
      <c r="H2533" s="29" t="s">
        <v>38</v>
      </c>
      <c r="I2533" s="120">
        <v>45819</v>
      </c>
      <c r="J2533" s="120">
        <f t="shared" si="32"/>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139</v>
      </c>
      <c r="G2534" s="29" t="s">
        <v>737</v>
      </c>
      <c r="H2534" s="29" t="s">
        <v>38</v>
      </c>
      <c r="I2534" s="120">
        <v>45819</v>
      </c>
      <c r="J2534" s="120">
        <f t="shared" si="32"/>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139</v>
      </c>
      <c r="G2535" s="29" t="s">
        <v>737</v>
      </c>
      <c r="H2535" s="29" t="s">
        <v>38</v>
      </c>
      <c r="I2535" s="120">
        <v>45819</v>
      </c>
      <c r="J2535" s="120">
        <f t="shared" si="32"/>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139</v>
      </c>
      <c r="G2536" s="29" t="s">
        <v>737</v>
      </c>
      <c r="H2536" s="29" t="s">
        <v>38</v>
      </c>
      <c r="I2536" s="120">
        <v>45819</v>
      </c>
      <c r="J2536" s="120">
        <f t="shared" si="32"/>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139</v>
      </c>
      <c r="G2537" s="29" t="s">
        <v>737</v>
      </c>
      <c r="H2537" s="29" t="s">
        <v>38</v>
      </c>
      <c r="I2537" s="120">
        <v>45819</v>
      </c>
      <c r="J2537" s="120">
        <f t="shared" si="32"/>
        <v>45824</v>
      </c>
      <c r="K2537" s="120">
        <v>45849</v>
      </c>
      <c r="L2537" s="120"/>
      <c r="M2537" s="120"/>
      <c r="N2537" s="29"/>
      <c r="O2537" s="29" t="s">
        <v>877</v>
      </c>
      <c r="P2537" s="120"/>
      <c r="Q2537" s="81">
        <v>200</v>
      </c>
    </row>
    <row r="2538" spans="1:18" hidden="1">
      <c r="A2538" s="134" t="s">
        <v>1307</v>
      </c>
      <c r="C2538" s="29">
        <v>162500157</v>
      </c>
      <c r="D2538" s="29"/>
      <c r="E2538" s="29"/>
      <c r="F2538" s="29" t="s">
        <v>139</v>
      </c>
      <c r="G2538" s="29" t="s">
        <v>737</v>
      </c>
      <c r="H2538" s="29" t="s">
        <v>38</v>
      </c>
      <c r="I2538" s="120">
        <v>45819</v>
      </c>
      <c r="J2538" s="120">
        <f t="shared" si="32"/>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139</v>
      </c>
      <c r="G2539" s="29" t="s">
        <v>737</v>
      </c>
      <c r="H2539" s="29" t="s">
        <v>38</v>
      </c>
      <c r="I2539" s="120">
        <v>45821</v>
      </c>
      <c r="J2539" s="120">
        <f t="shared" si="32"/>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139</v>
      </c>
      <c r="G2540" s="29" t="s">
        <v>737</v>
      </c>
      <c r="H2540" s="29" t="s">
        <v>38</v>
      </c>
      <c r="I2540" s="120">
        <v>45821</v>
      </c>
      <c r="J2540" s="120">
        <f t="shared" si="32"/>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139</v>
      </c>
      <c r="G2541" s="29" t="s">
        <v>737</v>
      </c>
      <c r="H2541" s="29" t="s">
        <v>38</v>
      </c>
      <c r="I2541" s="120">
        <v>45821</v>
      </c>
      <c r="J2541" s="120">
        <f t="shared" si="32"/>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139</v>
      </c>
      <c r="G2542" s="29" t="s">
        <v>737</v>
      </c>
      <c r="H2542" s="29" t="s">
        <v>38</v>
      </c>
      <c r="I2542" s="120">
        <v>45821</v>
      </c>
      <c r="J2542" s="120">
        <f t="shared" si="32"/>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139</v>
      </c>
      <c r="G2543" s="29" t="s">
        <v>737</v>
      </c>
      <c r="H2543" s="29" t="s">
        <v>38</v>
      </c>
      <c r="I2543" s="120">
        <v>45821</v>
      </c>
      <c r="J2543" s="120">
        <f t="shared" si="32"/>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139</v>
      </c>
      <c r="G2544" s="29" t="s">
        <v>737</v>
      </c>
      <c r="H2544" s="29" t="s">
        <v>38</v>
      </c>
      <c r="I2544" s="120">
        <v>45821</v>
      </c>
      <c r="J2544" s="120">
        <f t="shared" si="32"/>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139</v>
      </c>
      <c r="G2545" s="29" t="s">
        <v>737</v>
      </c>
      <c r="H2545" s="29" t="s">
        <v>38</v>
      </c>
      <c r="I2545" s="120">
        <v>45821</v>
      </c>
      <c r="J2545" s="120">
        <f t="shared" si="32"/>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139</v>
      </c>
      <c r="G2546" s="29" t="s">
        <v>737</v>
      </c>
      <c r="H2546" s="29" t="s">
        <v>38</v>
      </c>
      <c r="I2546" s="120">
        <v>45821</v>
      </c>
      <c r="J2546" s="120">
        <f t="shared" si="32"/>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139</v>
      </c>
      <c r="G2547" s="29" t="s">
        <v>737</v>
      </c>
      <c r="H2547" s="29" t="s">
        <v>38</v>
      </c>
      <c r="I2547" s="120">
        <v>45821</v>
      </c>
      <c r="J2547" s="120">
        <f t="shared" si="32"/>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139</v>
      </c>
      <c r="G2548" s="29" t="s">
        <v>737</v>
      </c>
      <c r="H2548" s="29" t="s">
        <v>38</v>
      </c>
      <c r="I2548" s="120">
        <v>45821</v>
      </c>
      <c r="J2548" s="120">
        <f t="shared" si="32"/>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139</v>
      </c>
      <c r="G2549" s="29" t="s">
        <v>737</v>
      </c>
      <c r="H2549" s="29" t="s">
        <v>38</v>
      </c>
      <c r="I2549" s="120">
        <v>45821</v>
      </c>
      <c r="J2549" s="120">
        <f t="shared" si="32"/>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139</v>
      </c>
      <c r="G2550" s="29" t="s">
        <v>737</v>
      </c>
      <c r="H2550" s="29" t="s">
        <v>38</v>
      </c>
      <c r="I2550" s="120">
        <v>45821</v>
      </c>
      <c r="J2550" s="120">
        <f t="shared" si="32"/>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139</v>
      </c>
      <c r="G2551" s="29" t="s">
        <v>737</v>
      </c>
      <c r="H2551" s="29" t="s">
        <v>38</v>
      </c>
      <c r="I2551" s="120">
        <v>45821</v>
      </c>
      <c r="J2551" s="120">
        <f t="shared" si="32"/>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139</v>
      </c>
      <c r="G2552" s="29" t="s">
        <v>737</v>
      </c>
      <c r="H2552" s="29" t="s">
        <v>38</v>
      </c>
      <c r="I2552" s="120">
        <v>45821</v>
      </c>
      <c r="J2552" s="120">
        <f t="shared" si="32"/>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 t="shared" si="32"/>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 t="shared" si="32"/>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 t="shared" si="32"/>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 t="shared" si="32"/>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 t="shared" si="32"/>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 t="shared" si="32"/>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 t="shared" si="32"/>
        <v>45831</v>
      </c>
      <c r="K2559" s="120">
        <v>45856</v>
      </c>
      <c r="L2559" s="120"/>
      <c r="M2559" s="120"/>
      <c r="N2559" s="29"/>
      <c r="O2559" s="29" t="s">
        <v>1246</v>
      </c>
      <c r="P2559" s="29"/>
      <c r="Q2559" s="81">
        <v>250</v>
      </c>
    </row>
    <row r="2560" spans="1:18" hidden="1">
      <c r="A2560" s="134" t="s">
        <v>81</v>
      </c>
      <c r="C2560" s="29">
        <v>169509414</v>
      </c>
      <c r="D2560" s="29"/>
      <c r="E2560" s="29"/>
      <c r="F2560" s="29" t="s">
        <v>1315</v>
      </c>
      <c r="G2560" s="29" t="s">
        <v>737</v>
      </c>
      <c r="H2560" s="29" t="s">
        <v>981</v>
      </c>
      <c r="I2560" s="120">
        <v>45826</v>
      </c>
      <c r="J2560" s="120">
        <f t="shared" si="32"/>
        <v>45831</v>
      </c>
      <c r="K2560" s="120">
        <v>45856</v>
      </c>
      <c r="L2560" s="120"/>
      <c r="M2560" s="120"/>
      <c r="N2560" s="29"/>
      <c r="O2560" s="29" t="s">
        <v>1246</v>
      </c>
      <c r="P2560" s="29"/>
      <c r="Q2560" s="81">
        <v>270</v>
      </c>
    </row>
    <row r="2561" spans="1:17" hidden="1">
      <c r="A2561" s="134" t="s">
        <v>81</v>
      </c>
      <c r="C2561" s="29">
        <v>169509418</v>
      </c>
      <c r="D2561" s="29"/>
      <c r="E2561" s="29"/>
      <c r="F2561" s="29" t="s">
        <v>1315</v>
      </c>
      <c r="G2561" s="29" t="s">
        <v>737</v>
      </c>
      <c r="H2561" s="29" t="s">
        <v>981</v>
      </c>
      <c r="I2561" s="120">
        <v>45826</v>
      </c>
      <c r="J2561" s="120">
        <f t="shared" si="32"/>
        <v>45831</v>
      </c>
      <c r="K2561" s="120">
        <v>45856</v>
      </c>
      <c r="L2561" s="120"/>
      <c r="M2561" s="120"/>
      <c r="N2561" s="29"/>
      <c r="O2561" s="29" t="s">
        <v>1246</v>
      </c>
      <c r="P2561" s="29"/>
      <c r="Q2561" s="81">
        <v>48</v>
      </c>
    </row>
    <row r="2562" spans="1:17" hidden="1">
      <c r="A2562" s="134" t="s">
        <v>81</v>
      </c>
      <c r="C2562" s="29">
        <v>169509425</v>
      </c>
      <c r="D2562" s="29"/>
      <c r="E2562" s="29"/>
      <c r="F2562" s="29" t="s">
        <v>1315</v>
      </c>
      <c r="G2562" s="29" t="s">
        <v>737</v>
      </c>
      <c r="H2562" s="29" t="s">
        <v>981</v>
      </c>
      <c r="I2562" s="120">
        <v>45826</v>
      </c>
      <c r="J2562" s="120">
        <f t="shared" si="32"/>
        <v>45831</v>
      </c>
      <c r="K2562" s="120">
        <v>45856</v>
      </c>
      <c r="L2562" s="120"/>
      <c r="M2562" s="120"/>
      <c r="N2562" s="29"/>
      <c r="O2562" s="29" t="s">
        <v>1246</v>
      </c>
      <c r="P2562" s="29"/>
      <c r="Q2562" s="81">
        <v>48</v>
      </c>
    </row>
    <row r="2563" spans="1:17" hidden="1">
      <c r="A2563" s="134" t="s">
        <v>81</v>
      </c>
      <c r="C2563" s="29">
        <v>169509429</v>
      </c>
      <c r="D2563" s="29"/>
      <c r="E2563" s="29"/>
      <c r="F2563" s="29" t="s">
        <v>1315</v>
      </c>
      <c r="G2563" s="29" t="s">
        <v>737</v>
      </c>
      <c r="H2563" s="29" t="s">
        <v>981</v>
      </c>
      <c r="I2563" s="120">
        <v>45826</v>
      </c>
      <c r="J2563" s="120">
        <f t="shared" si="32"/>
        <v>45831</v>
      </c>
      <c r="K2563" s="120">
        <v>45856</v>
      </c>
      <c r="L2563" s="120"/>
      <c r="M2563" s="120"/>
      <c r="N2563" s="29"/>
      <c r="O2563" s="29" t="s">
        <v>1246</v>
      </c>
      <c r="P2563" s="29"/>
      <c r="Q2563" s="81">
        <v>580</v>
      </c>
    </row>
    <row r="2564" spans="1:17" hidden="1">
      <c r="A2564" s="134" t="s">
        <v>81</v>
      </c>
      <c r="C2564" s="29">
        <v>169509434</v>
      </c>
      <c r="D2564" s="29"/>
      <c r="E2564" s="29"/>
      <c r="F2564" s="29" t="s">
        <v>1315</v>
      </c>
      <c r="G2564" s="29" t="s">
        <v>737</v>
      </c>
      <c r="H2564" s="29" t="s">
        <v>981</v>
      </c>
      <c r="I2564" s="120">
        <v>45826</v>
      </c>
      <c r="J2564" s="120">
        <f t="shared" si="32"/>
        <v>45831</v>
      </c>
      <c r="K2564" s="120">
        <v>45856</v>
      </c>
      <c r="L2564" s="120"/>
      <c r="M2564" s="120"/>
      <c r="N2564" s="29"/>
      <c r="O2564" s="29" t="s">
        <v>877</v>
      </c>
      <c r="P2564" s="120"/>
      <c r="Q2564" s="81">
        <v>45</v>
      </c>
    </row>
    <row r="2565" spans="1:17" hidden="1">
      <c r="A2565" s="119" t="s">
        <v>81</v>
      </c>
      <c r="B2565" s="119"/>
      <c r="C2565" s="29">
        <v>169509438</v>
      </c>
      <c r="D2565" s="29"/>
      <c r="E2565" s="29"/>
      <c r="F2565" s="29" t="s">
        <v>1315</v>
      </c>
      <c r="G2565" s="29" t="s">
        <v>737</v>
      </c>
      <c r="H2565" s="29" t="s">
        <v>981</v>
      </c>
      <c r="I2565" s="120">
        <v>45826</v>
      </c>
      <c r="J2565" s="120">
        <f t="shared" si="32"/>
        <v>45831</v>
      </c>
      <c r="K2565" s="120">
        <v>45856</v>
      </c>
      <c r="L2565" s="120"/>
      <c r="M2565" s="120"/>
      <c r="N2565" s="29"/>
      <c r="O2565" s="29" t="s">
        <v>877</v>
      </c>
      <c r="P2565" s="120"/>
      <c r="Q2565" s="81">
        <v>270</v>
      </c>
    </row>
    <row r="2566" spans="1:17" hidden="1">
      <c r="A2566" s="119" t="s">
        <v>81</v>
      </c>
      <c r="B2566" s="119"/>
      <c r="C2566" s="29">
        <v>169509442</v>
      </c>
      <c r="D2566" s="29"/>
      <c r="E2566" s="29"/>
      <c r="F2566" s="29" t="s">
        <v>1315</v>
      </c>
      <c r="G2566" s="29" t="s">
        <v>737</v>
      </c>
      <c r="H2566" s="29" t="s">
        <v>981</v>
      </c>
      <c r="I2566" s="120">
        <v>45826</v>
      </c>
      <c r="J2566" s="120">
        <f t="shared" si="32"/>
        <v>45831</v>
      </c>
      <c r="K2566" s="120">
        <v>45856</v>
      </c>
      <c r="L2566" s="120"/>
      <c r="M2566" s="120"/>
      <c r="N2566" s="29"/>
      <c r="O2566" s="29" t="s">
        <v>1246</v>
      </c>
      <c r="P2566" s="29"/>
      <c r="Q2566" s="81">
        <v>300</v>
      </c>
    </row>
    <row r="2567" spans="1:17" hidden="1">
      <c r="A2567" s="119" t="s">
        <v>81</v>
      </c>
      <c r="B2567" s="119"/>
      <c r="C2567" s="29">
        <v>169509448</v>
      </c>
      <c r="D2567" s="29"/>
      <c r="E2567" s="29"/>
      <c r="F2567" s="29" t="s">
        <v>1315</v>
      </c>
      <c r="G2567" s="29" t="s">
        <v>737</v>
      </c>
      <c r="H2567" s="29" t="s">
        <v>981</v>
      </c>
      <c r="I2567" s="120">
        <v>45826</v>
      </c>
      <c r="J2567" s="120">
        <f t="shared" si="32"/>
        <v>45831</v>
      </c>
      <c r="K2567" s="120">
        <v>45856</v>
      </c>
      <c r="L2567" s="120"/>
      <c r="M2567" s="120"/>
      <c r="N2567" s="29"/>
      <c r="O2567" s="29" t="s">
        <v>1246</v>
      </c>
      <c r="P2567" s="29"/>
      <c r="Q2567" s="81">
        <v>45</v>
      </c>
    </row>
    <row r="2568" spans="1:17" hidden="1">
      <c r="A2568" s="119" t="s">
        <v>81</v>
      </c>
      <c r="B2568" s="119"/>
      <c r="C2568" s="29">
        <v>169509478</v>
      </c>
      <c r="D2568" s="29"/>
      <c r="E2568" s="29"/>
      <c r="F2568" s="29" t="s">
        <v>1315</v>
      </c>
      <c r="G2568" s="29" t="s">
        <v>737</v>
      </c>
      <c r="H2568" s="29" t="s">
        <v>981</v>
      </c>
      <c r="I2568" s="120">
        <v>45826</v>
      </c>
      <c r="J2568" s="120">
        <f t="shared" si="32"/>
        <v>45831</v>
      </c>
      <c r="K2568" s="120">
        <v>45856</v>
      </c>
      <c r="L2568" s="120"/>
      <c r="M2568" s="120"/>
      <c r="N2568" s="29"/>
      <c r="O2568" s="29" t="s">
        <v>1246</v>
      </c>
      <c r="P2568" s="29"/>
      <c r="Q2568" s="81">
        <v>150</v>
      </c>
    </row>
    <row r="2569" spans="1:17" hidden="1">
      <c r="A2569" s="119" t="s">
        <v>81</v>
      </c>
      <c r="B2569" s="119"/>
      <c r="C2569" s="29">
        <v>169509489</v>
      </c>
      <c r="D2569" s="29"/>
      <c r="E2569" s="29"/>
      <c r="F2569" s="29" t="s">
        <v>1315</v>
      </c>
      <c r="G2569" s="29" t="s">
        <v>737</v>
      </c>
      <c r="H2569" s="29" t="s">
        <v>981</v>
      </c>
      <c r="I2569" s="120">
        <v>45826</v>
      </c>
      <c r="J2569" s="120">
        <f t="shared" si="32"/>
        <v>45831</v>
      </c>
      <c r="K2569" s="120">
        <v>45856</v>
      </c>
      <c r="L2569" s="120"/>
      <c r="M2569" s="120"/>
      <c r="N2569" s="29"/>
      <c r="O2569" s="29" t="s">
        <v>1246</v>
      </c>
      <c r="P2569" s="29"/>
      <c r="Q2569" s="81">
        <v>44</v>
      </c>
    </row>
    <row r="2570" spans="1:17" hidden="1">
      <c r="A2570" s="119" t="s">
        <v>81</v>
      </c>
      <c r="B2570" s="119"/>
      <c r="C2570" s="29">
        <v>169509540</v>
      </c>
      <c r="D2570" s="29"/>
      <c r="E2570" s="29"/>
      <c r="F2570" s="29" t="s">
        <v>1315</v>
      </c>
      <c r="G2570" s="29" t="s">
        <v>737</v>
      </c>
      <c r="H2570" s="29" t="s">
        <v>981</v>
      </c>
      <c r="I2570" s="120">
        <v>45826</v>
      </c>
      <c r="J2570" s="120">
        <f t="shared" si="32"/>
        <v>45831</v>
      </c>
      <c r="K2570" s="120">
        <v>45856</v>
      </c>
      <c r="L2570" s="120"/>
      <c r="M2570" s="120"/>
      <c r="N2570" s="29"/>
      <c r="O2570" s="29" t="s">
        <v>1246</v>
      </c>
      <c r="P2570" s="29"/>
      <c r="Q2570" s="81">
        <v>125</v>
      </c>
    </row>
    <row r="2571" spans="1:17" hidden="1">
      <c r="A2571" s="119" t="s">
        <v>81</v>
      </c>
      <c r="B2571" s="119"/>
      <c r="C2571" s="29">
        <v>169509495</v>
      </c>
      <c r="D2571" s="29"/>
      <c r="E2571" s="29"/>
      <c r="F2571" s="29" t="s">
        <v>1315</v>
      </c>
      <c r="G2571" s="29" t="s">
        <v>737</v>
      </c>
      <c r="H2571" s="29" t="s">
        <v>981</v>
      </c>
      <c r="I2571" s="120">
        <v>45826</v>
      </c>
      <c r="J2571" s="120">
        <f t="shared" si="32"/>
        <v>45831</v>
      </c>
      <c r="K2571" s="120">
        <v>45856</v>
      </c>
      <c r="L2571" s="120"/>
      <c r="M2571" s="120"/>
      <c r="N2571" s="29"/>
      <c r="O2571" s="29" t="s">
        <v>877</v>
      </c>
      <c r="P2571" s="120"/>
      <c r="Q2571" s="81">
        <v>375</v>
      </c>
    </row>
    <row r="2572" spans="1:17" hidden="1">
      <c r="A2572" s="119" t="s">
        <v>81</v>
      </c>
      <c r="B2572" s="119"/>
      <c r="C2572" s="29">
        <v>169509519</v>
      </c>
      <c r="D2572" s="29"/>
      <c r="E2572" s="29"/>
      <c r="F2572" s="29" t="s">
        <v>1315</v>
      </c>
      <c r="G2572" s="29" t="s">
        <v>737</v>
      </c>
      <c r="H2572" s="29" t="s">
        <v>981</v>
      </c>
      <c r="I2572" s="120">
        <v>45826</v>
      </c>
      <c r="J2572" s="120">
        <f t="shared" si="32"/>
        <v>45831</v>
      </c>
      <c r="K2572" s="120">
        <v>45856</v>
      </c>
      <c r="L2572" s="120"/>
      <c r="M2572" s="120"/>
      <c r="N2572" s="29"/>
      <c r="O2572" s="29" t="s">
        <v>1246</v>
      </c>
      <c r="P2572" s="29"/>
      <c r="Q2572" s="81">
        <v>150</v>
      </c>
    </row>
    <row r="2573" spans="1:17" hidden="1">
      <c r="A2573" s="119" t="s">
        <v>81</v>
      </c>
      <c r="B2573" s="119"/>
      <c r="C2573" s="29">
        <v>169509521</v>
      </c>
      <c r="D2573" s="29"/>
      <c r="E2573" s="29"/>
      <c r="F2573" s="29" t="s">
        <v>1315</v>
      </c>
      <c r="G2573" s="29" t="s">
        <v>737</v>
      </c>
      <c r="H2573" s="29" t="s">
        <v>981</v>
      </c>
      <c r="I2573" s="120">
        <v>45826</v>
      </c>
      <c r="J2573" s="120">
        <f t="shared" si="32"/>
        <v>45831</v>
      </c>
      <c r="K2573" s="120">
        <v>45856</v>
      </c>
      <c r="L2573" s="120"/>
      <c r="M2573" s="120"/>
      <c r="N2573" s="29"/>
      <c r="O2573" s="29" t="s">
        <v>1246</v>
      </c>
      <c r="P2573" s="29"/>
      <c r="Q2573" s="81">
        <v>45</v>
      </c>
    </row>
    <row r="2574" spans="1:17" hidden="1">
      <c r="A2574" s="119" t="s">
        <v>81</v>
      </c>
      <c r="B2574" s="119"/>
      <c r="C2574" s="29">
        <v>169509525</v>
      </c>
      <c r="D2574" s="29"/>
      <c r="E2574" s="29"/>
      <c r="F2574" s="29" t="s">
        <v>1315</v>
      </c>
      <c r="G2574" s="29" t="s">
        <v>737</v>
      </c>
      <c r="H2574" s="29" t="s">
        <v>981</v>
      </c>
      <c r="I2574" s="120">
        <v>45826</v>
      </c>
      <c r="J2574" s="120">
        <f t="shared" si="32"/>
        <v>45831</v>
      </c>
      <c r="K2574" s="120">
        <v>45856</v>
      </c>
      <c r="L2574" s="120"/>
      <c r="M2574" s="120"/>
      <c r="N2574" s="29"/>
      <c r="O2574" s="29" t="s">
        <v>1246</v>
      </c>
      <c r="P2574" s="29"/>
      <c r="Q2574" s="81">
        <v>245</v>
      </c>
    </row>
    <row r="2575" spans="1:17" hidden="1">
      <c r="A2575" s="119" t="s">
        <v>81</v>
      </c>
      <c r="B2575" s="119"/>
      <c r="C2575" s="29">
        <v>169509528</v>
      </c>
      <c r="D2575" s="29"/>
      <c r="E2575" s="29"/>
      <c r="F2575" s="29" t="s">
        <v>1315</v>
      </c>
      <c r="G2575" s="29" t="s">
        <v>737</v>
      </c>
      <c r="H2575" s="29" t="s">
        <v>981</v>
      </c>
      <c r="I2575" s="120">
        <v>45826</v>
      </c>
      <c r="J2575" s="120">
        <f t="shared" si="32"/>
        <v>45831</v>
      </c>
      <c r="K2575" s="120">
        <v>45856</v>
      </c>
      <c r="L2575" s="120"/>
      <c r="M2575" s="120"/>
      <c r="N2575" s="29"/>
      <c r="O2575" s="29" t="s">
        <v>1246</v>
      </c>
      <c r="P2575" s="29"/>
      <c r="Q2575" s="81">
        <v>48</v>
      </c>
    </row>
    <row r="2576" spans="1:17" hidden="1">
      <c r="A2576" s="134" t="s">
        <v>81</v>
      </c>
      <c r="C2576" s="29">
        <v>169509534</v>
      </c>
      <c r="D2576" s="29"/>
      <c r="E2576" s="29"/>
      <c r="F2576" s="29" t="s">
        <v>1315</v>
      </c>
      <c r="G2576" s="29" t="s">
        <v>737</v>
      </c>
      <c r="H2576" s="29" t="s">
        <v>981</v>
      </c>
      <c r="I2576" s="120">
        <v>45826</v>
      </c>
      <c r="J2576" s="120">
        <f t="shared" si="32"/>
        <v>45831</v>
      </c>
      <c r="K2576" s="120">
        <v>45856</v>
      </c>
      <c r="L2576" s="120"/>
      <c r="M2576" s="120"/>
      <c r="N2576" s="29"/>
      <c r="O2576" s="29" t="s">
        <v>1246</v>
      </c>
      <c r="P2576" s="29"/>
      <c r="Q2576" s="81">
        <v>48</v>
      </c>
    </row>
    <row r="2577" spans="1:17" hidden="1">
      <c r="A2577" s="134" t="s">
        <v>81</v>
      </c>
      <c r="C2577" s="29">
        <v>169509543</v>
      </c>
      <c r="D2577" s="29"/>
      <c r="E2577" s="29"/>
      <c r="F2577" s="29" t="s">
        <v>1315</v>
      </c>
      <c r="G2577" s="29" t="s">
        <v>737</v>
      </c>
      <c r="H2577" s="29" t="s">
        <v>981</v>
      </c>
      <c r="I2577" s="120">
        <v>45826</v>
      </c>
      <c r="J2577" s="120">
        <f t="shared" si="32"/>
        <v>45831</v>
      </c>
      <c r="K2577" s="120">
        <v>45856</v>
      </c>
      <c r="L2577" s="120"/>
      <c r="M2577" s="120"/>
      <c r="N2577" s="29"/>
      <c r="O2577" s="29" t="s">
        <v>1246</v>
      </c>
      <c r="P2577" s="29"/>
      <c r="Q2577" s="81">
        <v>90</v>
      </c>
    </row>
    <row r="2578" spans="1:17" hidden="1">
      <c r="A2578" s="134" t="s">
        <v>81</v>
      </c>
      <c r="C2578" s="29">
        <v>169509550</v>
      </c>
      <c r="D2578" s="29"/>
      <c r="E2578" s="29"/>
      <c r="F2578" s="29" t="s">
        <v>1315</v>
      </c>
      <c r="G2578" s="29" t="s">
        <v>737</v>
      </c>
      <c r="H2578" s="29" t="s">
        <v>981</v>
      </c>
      <c r="I2578" s="120">
        <v>45826</v>
      </c>
      <c r="J2578" s="120">
        <f t="shared" si="32"/>
        <v>45831</v>
      </c>
      <c r="K2578" s="120">
        <v>45856</v>
      </c>
      <c r="L2578" s="120"/>
      <c r="M2578" s="120"/>
      <c r="N2578" s="29"/>
      <c r="O2578" s="29" t="s">
        <v>1246</v>
      </c>
      <c r="P2578" s="29"/>
      <c r="Q2578" s="81">
        <v>225</v>
      </c>
    </row>
    <row r="2579" spans="1:17" hidden="1">
      <c r="A2579" s="134" t="s">
        <v>81</v>
      </c>
      <c r="C2579" s="29">
        <v>169509555</v>
      </c>
      <c r="D2579" s="29"/>
      <c r="E2579" s="29"/>
      <c r="F2579" s="29" t="s">
        <v>1315</v>
      </c>
      <c r="G2579" s="29" t="s">
        <v>737</v>
      </c>
      <c r="H2579" s="29" t="s">
        <v>981</v>
      </c>
      <c r="I2579" s="120">
        <v>45826</v>
      </c>
      <c r="J2579" s="120">
        <f t="shared" si="32"/>
        <v>45831</v>
      </c>
      <c r="K2579" s="120">
        <v>45856</v>
      </c>
      <c r="L2579" s="120"/>
      <c r="M2579" s="120"/>
      <c r="N2579" s="29"/>
      <c r="O2579" s="29" t="s">
        <v>1246</v>
      </c>
      <c r="P2579" s="29"/>
      <c r="Q2579" s="81">
        <v>195</v>
      </c>
    </row>
    <row r="2580" spans="1:17" hidden="1">
      <c r="A2580" s="119" t="s">
        <v>81</v>
      </c>
      <c r="B2580" s="119"/>
      <c r="C2580" s="29">
        <v>169509559</v>
      </c>
      <c r="D2580" s="29"/>
      <c r="E2580" s="29"/>
      <c r="F2580" s="29" t="s">
        <v>1315</v>
      </c>
      <c r="G2580" s="29" t="s">
        <v>737</v>
      </c>
      <c r="H2580" s="29" t="s">
        <v>981</v>
      </c>
      <c r="I2580" s="120">
        <v>45826</v>
      </c>
      <c r="J2580" s="120">
        <f t="shared" si="32"/>
        <v>45831</v>
      </c>
      <c r="K2580" s="120">
        <v>45856</v>
      </c>
      <c r="L2580" s="120"/>
      <c r="M2580" s="120"/>
      <c r="N2580" s="29"/>
      <c r="O2580" s="29" t="s">
        <v>1246</v>
      </c>
      <c r="P2580" s="29"/>
      <c r="Q2580" s="81">
        <v>55</v>
      </c>
    </row>
    <row r="2581" spans="1:17" hidden="1">
      <c r="A2581" s="119" t="s">
        <v>81</v>
      </c>
      <c r="B2581" s="119"/>
      <c r="C2581" s="29">
        <v>169509563</v>
      </c>
      <c r="F2581" s="29" t="s">
        <v>1315</v>
      </c>
      <c r="G2581" s="29" t="s">
        <v>737</v>
      </c>
      <c r="H2581" s="29" t="s">
        <v>981</v>
      </c>
      <c r="I2581" s="120">
        <v>45826</v>
      </c>
      <c r="J2581" s="120">
        <f t="shared" si="32"/>
        <v>45831</v>
      </c>
      <c r="K2581" s="120">
        <v>45856</v>
      </c>
      <c r="L2581" s="120"/>
      <c r="M2581" s="120"/>
      <c r="N2581" s="29"/>
      <c r="O2581" s="29" t="s">
        <v>1246</v>
      </c>
      <c r="P2581" s="134"/>
      <c r="Q2581" s="81">
        <v>365</v>
      </c>
    </row>
    <row r="2582" spans="1:17" hidden="1">
      <c r="A2582" s="119" t="s">
        <v>81</v>
      </c>
      <c r="B2582" s="119"/>
      <c r="C2582" s="29">
        <v>169509567</v>
      </c>
      <c r="F2582" s="29" t="s">
        <v>1315</v>
      </c>
      <c r="G2582" s="29" t="s">
        <v>737</v>
      </c>
      <c r="H2582" s="29" t="s">
        <v>981</v>
      </c>
      <c r="I2582" s="120">
        <v>45826</v>
      </c>
      <c r="J2582" s="120">
        <f t="shared" si="32"/>
        <v>45831</v>
      </c>
      <c r="K2582" s="120">
        <v>45856</v>
      </c>
      <c r="L2582" s="120"/>
      <c r="M2582" s="120"/>
      <c r="N2582" s="29"/>
      <c r="O2582" s="29" t="s">
        <v>1246</v>
      </c>
      <c r="P2582" s="134"/>
      <c r="Q2582" s="81">
        <v>51</v>
      </c>
    </row>
    <row r="2583" spans="1:17" hidden="1">
      <c r="A2583" s="134" t="s">
        <v>81</v>
      </c>
      <c r="C2583" s="29">
        <v>169509571</v>
      </c>
      <c r="F2583" s="29" t="s">
        <v>1315</v>
      </c>
      <c r="G2583" s="29" t="s">
        <v>737</v>
      </c>
      <c r="H2583" s="29" t="s">
        <v>981</v>
      </c>
      <c r="I2583" s="120">
        <v>45826</v>
      </c>
      <c r="J2583" s="120">
        <f t="shared" si="32"/>
        <v>45831</v>
      </c>
      <c r="K2583" s="120">
        <v>45856</v>
      </c>
      <c r="L2583" s="120"/>
      <c r="M2583" s="120"/>
      <c r="N2583" s="29"/>
      <c r="O2583" s="29" t="s">
        <v>1246</v>
      </c>
      <c r="P2583" s="134"/>
      <c r="Q2583" s="81">
        <v>350</v>
      </c>
    </row>
    <row r="2584" spans="1:17" hidden="1">
      <c r="A2584" s="134" t="s">
        <v>81</v>
      </c>
      <c r="C2584" s="29">
        <v>169509605</v>
      </c>
      <c r="F2584" s="29" t="s">
        <v>1315</v>
      </c>
      <c r="G2584" s="29" t="s">
        <v>737</v>
      </c>
      <c r="H2584" s="29" t="s">
        <v>981</v>
      </c>
      <c r="I2584" s="120">
        <v>45826</v>
      </c>
      <c r="J2584" s="120">
        <f t="shared" si="32"/>
        <v>45831</v>
      </c>
      <c r="K2584" s="120">
        <v>45856</v>
      </c>
      <c r="L2584" s="120"/>
      <c r="M2584" s="120"/>
      <c r="N2584" s="29"/>
      <c r="O2584" s="29" t="s">
        <v>1246</v>
      </c>
      <c r="P2584" s="134"/>
      <c r="Q2584" s="81">
        <v>275</v>
      </c>
    </row>
    <row r="2585" spans="1:17" hidden="1">
      <c r="A2585" s="134" t="s">
        <v>81</v>
      </c>
      <c r="C2585" s="29">
        <v>169509606</v>
      </c>
      <c r="F2585" s="29" t="s">
        <v>1315</v>
      </c>
      <c r="G2585" s="29" t="s">
        <v>737</v>
      </c>
      <c r="H2585" s="29" t="s">
        <v>981</v>
      </c>
      <c r="I2585" s="120">
        <v>45826</v>
      </c>
      <c r="J2585" s="120">
        <f t="shared" si="32"/>
        <v>45831</v>
      </c>
      <c r="K2585" s="120">
        <v>45856</v>
      </c>
      <c r="L2585" s="120"/>
      <c r="M2585" s="120"/>
      <c r="N2585" s="29"/>
      <c r="O2585" s="29" t="s">
        <v>1246</v>
      </c>
      <c r="P2585" s="134"/>
      <c r="Q2585" s="81">
        <v>57</v>
      </c>
    </row>
    <row r="2586" spans="1:17" hidden="1">
      <c r="A2586" s="134" t="s">
        <v>81</v>
      </c>
      <c r="C2586" s="29">
        <v>169509610</v>
      </c>
      <c r="F2586" s="29" t="s">
        <v>1315</v>
      </c>
      <c r="G2586" s="29" t="s">
        <v>737</v>
      </c>
      <c r="H2586" s="29" t="s">
        <v>981</v>
      </c>
      <c r="I2586" s="120">
        <v>45826</v>
      </c>
      <c r="J2586" s="120">
        <f t="shared" si="32"/>
        <v>45831</v>
      </c>
      <c r="K2586" s="120">
        <v>45856</v>
      </c>
      <c r="L2586" s="120"/>
      <c r="M2586" s="120"/>
      <c r="N2586" s="29"/>
      <c r="O2586" s="29" t="s">
        <v>1246</v>
      </c>
      <c r="P2586" s="134"/>
      <c r="Q2586" s="81">
        <v>90</v>
      </c>
    </row>
    <row r="2587" spans="1:17" hidden="1">
      <c r="A2587" s="134" t="s">
        <v>81</v>
      </c>
      <c r="C2587" s="29">
        <v>169509614</v>
      </c>
      <c r="F2587" s="29" t="s">
        <v>1315</v>
      </c>
      <c r="G2587" s="29" t="s">
        <v>737</v>
      </c>
      <c r="H2587" s="29" t="s">
        <v>981</v>
      </c>
      <c r="I2587" s="120">
        <v>45826</v>
      </c>
      <c r="J2587" s="120">
        <f t="shared" si="32"/>
        <v>45831</v>
      </c>
      <c r="K2587" s="120">
        <v>45856</v>
      </c>
      <c r="L2587" s="120"/>
      <c r="M2587" s="120"/>
      <c r="N2587" s="29"/>
      <c r="O2587" s="29" t="s">
        <v>1246</v>
      </c>
      <c r="P2587" s="134"/>
      <c r="Q2587" s="81">
        <v>80</v>
      </c>
    </row>
    <row r="2588" spans="1:17" hidden="1">
      <c r="A2588" s="134" t="s">
        <v>81</v>
      </c>
      <c r="C2588" s="29">
        <v>169509616</v>
      </c>
      <c r="D2588" s="29"/>
      <c r="E2588" s="29"/>
      <c r="F2588" s="29" t="s">
        <v>1315</v>
      </c>
      <c r="G2588" s="29" t="s">
        <v>737</v>
      </c>
      <c r="H2588" s="29" t="s">
        <v>981</v>
      </c>
      <c r="I2588" s="120">
        <v>45826</v>
      </c>
      <c r="J2588" s="120">
        <f t="shared" si="32"/>
        <v>45831</v>
      </c>
      <c r="K2588" s="120">
        <v>45856</v>
      </c>
      <c r="L2588" s="120"/>
      <c r="M2588" s="120"/>
      <c r="N2588" s="29"/>
      <c r="O2588" s="29" t="s">
        <v>1246</v>
      </c>
      <c r="P2588" s="29"/>
      <c r="Q2588" s="81">
        <v>300</v>
      </c>
    </row>
    <row r="2589" spans="1:17" hidden="1">
      <c r="A2589" s="134" t="s">
        <v>81</v>
      </c>
      <c r="C2589" s="29">
        <v>169509618</v>
      </c>
      <c r="D2589" s="29"/>
      <c r="E2589" s="29"/>
      <c r="F2589" s="29" t="s">
        <v>1315</v>
      </c>
      <c r="G2589" s="29" t="s">
        <v>737</v>
      </c>
      <c r="H2589" s="29" t="s">
        <v>981</v>
      </c>
      <c r="I2589" s="120">
        <v>45826</v>
      </c>
      <c r="J2589" s="120">
        <f t="shared" si="32"/>
        <v>45831</v>
      </c>
      <c r="K2589" s="120">
        <v>45856</v>
      </c>
      <c r="L2589" s="120"/>
      <c r="M2589" s="120"/>
      <c r="N2589" s="29"/>
      <c r="O2589" s="29" t="s">
        <v>1246</v>
      </c>
      <c r="P2589" s="29"/>
      <c r="Q2589" s="81">
        <v>55</v>
      </c>
    </row>
    <row r="2590" spans="1:17" hidden="1">
      <c r="A2590" s="119" t="s">
        <v>81</v>
      </c>
      <c r="B2590" s="119"/>
      <c r="C2590" s="29">
        <v>169509621</v>
      </c>
      <c r="D2590" s="29"/>
      <c r="E2590" s="29"/>
      <c r="F2590" s="29" t="s">
        <v>1315</v>
      </c>
      <c r="G2590" s="29" t="s">
        <v>737</v>
      </c>
      <c r="H2590" s="29" t="s">
        <v>981</v>
      </c>
      <c r="I2590" s="120">
        <v>45826</v>
      </c>
      <c r="J2590" s="120">
        <f t="shared" si="32"/>
        <v>45831</v>
      </c>
      <c r="K2590" s="120">
        <v>45856</v>
      </c>
      <c r="L2590" s="120"/>
      <c r="M2590" s="120"/>
      <c r="N2590" s="29"/>
      <c r="O2590" s="29" t="s">
        <v>1246</v>
      </c>
      <c r="P2590" s="29"/>
      <c r="Q2590" s="81">
        <v>55</v>
      </c>
    </row>
    <row r="2591" spans="1:17" hidden="1">
      <c r="A2591" s="119" t="s">
        <v>81</v>
      </c>
      <c r="B2591" s="119"/>
      <c r="C2591" s="29">
        <v>169509623</v>
      </c>
      <c r="D2591" s="29"/>
      <c r="E2591" s="29"/>
      <c r="F2591" s="29" t="s">
        <v>1315</v>
      </c>
      <c r="G2591" s="29" t="s">
        <v>737</v>
      </c>
      <c r="H2591" s="29" t="s">
        <v>981</v>
      </c>
      <c r="I2591" s="120">
        <v>45826</v>
      </c>
      <c r="J2591" s="120">
        <f t="shared" si="32"/>
        <v>45831</v>
      </c>
      <c r="K2591" s="120">
        <v>45856</v>
      </c>
      <c r="L2591" s="120"/>
      <c r="M2591" s="120"/>
      <c r="N2591" s="29"/>
      <c r="O2591" s="29" t="s">
        <v>1246</v>
      </c>
      <c r="P2591" s="29"/>
      <c r="Q2591" s="81">
        <v>375</v>
      </c>
    </row>
    <row r="2592" spans="1:17" hidden="1">
      <c r="A2592" s="119" t="s">
        <v>81</v>
      </c>
      <c r="B2592" s="119"/>
      <c r="C2592" s="29">
        <v>169509626</v>
      </c>
      <c r="D2592" s="29"/>
      <c r="E2592" s="29"/>
      <c r="F2592" s="29" t="s">
        <v>1315</v>
      </c>
      <c r="G2592" s="29" t="s">
        <v>737</v>
      </c>
      <c r="H2592" s="29" t="s">
        <v>981</v>
      </c>
      <c r="I2592" s="120">
        <v>45826</v>
      </c>
      <c r="J2592" s="120">
        <f t="shared" si="32"/>
        <v>45831</v>
      </c>
      <c r="K2592" s="120">
        <v>45856</v>
      </c>
      <c r="L2592" s="120"/>
      <c r="M2592" s="120"/>
      <c r="N2592" s="29"/>
      <c r="O2592" s="29" t="s">
        <v>1246</v>
      </c>
      <c r="P2592" s="29"/>
      <c r="Q2592" s="81">
        <v>53</v>
      </c>
    </row>
    <row r="2593" spans="1:17" hidden="1">
      <c r="A2593" s="119" t="s">
        <v>81</v>
      </c>
      <c r="B2593" s="119"/>
      <c r="C2593" s="29">
        <v>160509630</v>
      </c>
      <c r="D2593" s="29"/>
      <c r="E2593" s="29"/>
      <c r="F2593" s="29" t="s">
        <v>1315</v>
      </c>
      <c r="G2593" s="29" t="s">
        <v>737</v>
      </c>
      <c r="H2593" s="29" t="s">
        <v>981</v>
      </c>
      <c r="I2593" s="120">
        <v>45826</v>
      </c>
      <c r="J2593" s="120">
        <f t="shared" ref="J2593:J2656" si="33">WORKDAY(I2593, 3)</f>
        <v>45831</v>
      </c>
      <c r="K2593" s="120">
        <v>45856</v>
      </c>
      <c r="L2593" s="120"/>
      <c r="M2593" s="120"/>
      <c r="N2593" s="29"/>
      <c r="O2593" s="29" t="s">
        <v>1246</v>
      </c>
      <c r="P2593" s="29"/>
      <c r="Q2593" s="81">
        <v>450</v>
      </c>
    </row>
    <row r="2594" spans="1:17" hidden="1">
      <c r="A2594" s="119" t="s">
        <v>81</v>
      </c>
      <c r="B2594" s="119"/>
      <c r="C2594" s="29">
        <v>169509633</v>
      </c>
      <c r="D2594" s="29"/>
      <c r="E2594" s="29"/>
      <c r="F2594" s="29" t="s">
        <v>1315</v>
      </c>
      <c r="G2594" s="29" t="s">
        <v>737</v>
      </c>
      <c r="H2594" s="29" t="s">
        <v>981</v>
      </c>
      <c r="I2594" s="120">
        <v>45826</v>
      </c>
      <c r="J2594" s="120">
        <f t="shared" si="33"/>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139</v>
      </c>
      <c r="G2595" s="29" t="s">
        <v>737</v>
      </c>
      <c r="H2595" s="29" t="s">
        <v>38</v>
      </c>
      <c r="I2595" s="120">
        <v>45828</v>
      </c>
      <c r="J2595" s="120">
        <f t="shared" si="33"/>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139</v>
      </c>
      <c r="G2596" s="29" t="s">
        <v>737</v>
      </c>
      <c r="H2596" s="29" t="s">
        <v>38</v>
      </c>
      <c r="I2596" s="120">
        <v>45828</v>
      </c>
      <c r="J2596" s="120">
        <f t="shared" si="33"/>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139</v>
      </c>
      <c r="G2597" s="29" t="s">
        <v>737</v>
      </c>
      <c r="H2597" s="29" t="s">
        <v>38</v>
      </c>
      <c r="I2597" s="120">
        <v>45828</v>
      </c>
      <c r="J2597" s="120">
        <f t="shared" si="33"/>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139</v>
      </c>
      <c r="G2598" s="29" t="s">
        <v>737</v>
      </c>
      <c r="H2598" s="29" t="s">
        <v>38</v>
      </c>
      <c r="I2598" s="120">
        <v>45828</v>
      </c>
      <c r="J2598" s="120">
        <f t="shared" si="33"/>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139</v>
      </c>
      <c r="G2599" s="29" t="s">
        <v>737</v>
      </c>
      <c r="H2599" s="29" t="s">
        <v>38</v>
      </c>
      <c r="I2599" s="120">
        <v>45828</v>
      </c>
      <c r="J2599" s="120">
        <f t="shared" si="33"/>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139</v>
      </c>
      <c r="G2600" s="29" t="s">
        <v>737</v>
      </c>
      <c r="H2600" s="29" t="s">
        <v>38</v>
      </c>
      <c r="I2600" s="120">
        <v>45828</v>
      </c>
      <c r="J2600" s="120">
        <f t="shared" si="33"/>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139</v>
      </c>
      <c r="G2601" s="29" t="s">
        <v>737</v>
      </c>
      <c r="H2601" s="29" t="s">
        <v>38</v>
      </c>
      <c r="I2601" s="120">
        <v>45828</v>
      </c>
      <c r="J2601" s="120">
        <f t="shared" si="33"/>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139</v>
      </c>
      <c r="G2602" s="29" t="s">
        <v>737</v>
      </c>
      <c r="H2602" s="29" t="s">
        <v>38</v>
      </c>
      <c r="I2602" s="120">
        <v>45828</v>
      </c>
      <c r="J2602" s="120">
        <f t="shared" si="33"/>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139</v>
      </c>
      <c r="G2603" s="29" t="s">
        <v>737</v>
      </c>
      <c r="H2603" s="29" t="s">
        <v>38</v>
      </c>
      <c r="I2603" s="120">
        <v>45831</v>
      </c>
      <c r="J2603" s="120">
        <f t="shared" si="33"/>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139</v>
      </c>
      <c r="G2604" s="29" t="s">
        <v>737</v>
      </c>
      <c r="H2604" s="29" t="s">
        <v>38</v>
      </c>
      <c r="I2604" s="120">
        <v>45831</v>
      </c>
      <c r="J2604" s="120">
        <f t="shared" si="33"/>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139</v>
      </c>
      <c r="G2605" s="29" t="s">
        <v>737</v>
      </c>
      <c r="H2605" s="29" t="s">
        <v>38</v>
      </c>
      <c r="I2605" s="120">
        <v>45831</v>
      </c>
      <c r="J2605" s="120">
        <f t="shared" si="33"/>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139</v>
      </c>
      <c r="G2606" s="29" t="s">
        <v>737</v>
      </c>
      <c r="H2606" s="29" t="s">
        <v>38</v>
      </c>
      <c r="I2606" s="120">
        <v>45831</v>
      </c>
      <c r="J2606" s="120">
        <f t="shared" si="33"/>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139</v>
      </c>
      <c r="G2607" s="29" t="s">
        <v>737</v>
      </c>
      <c r="H2607" s="29" t="s">
        <v>38</v>
      </c>
      <c r="I2607" s="120">
        <v>45832</v>
      </c>
      <c r="J2607" s="120">
        <f t="shared" si="33"/>
        <v>45835</v>
      </c>
      <c r="K2607" s="120">
        <v>45862</v>
      </c>
      <c r="L2607" s="120"/>
      <c r="M2607" s="120"/>
      <c r="N2607" s="29"/>
      <c r="O2607" s="29" t="s">
        <v>894</v>
      </c>
      <c r="P2607" s="120"/>
      <c r="Q2607" s="81">
        <v>620</v>
      </c>
    </row>
    <row r="2608" spans="1:17" hidden="1">
      <c r="A2608" s="134" t="s">
        <v>977</v>
      </c>
      <c r="C2608" s="29">
        <v>175501182</v>
      </c>
      <c r="D2608" s="29">
        <v>134509054</v>
      </c>
      <c r="E2608" s="29"/>
      <c r="F2608" s="29" t="s">
        <v>139</v>
      </c>
      <c r="G2608" s="29" t="s">
        <v>737</v>
      </c>
      <c r="H2608" s="29" t="s">
        <v>38</v>
      </c>
      <c r="I2608" s="120">
        <v>45832</v>
      </c>
      <c r="J2608" s="120">
        <f t="shared" si="33"/>
        <v>45835</v>
      </c>
      <c r="K2608" s="120">
        <v>45862</v>
      </c>
      <c r="L2608" s="120"/>
      <c r="M2608" s="120"/>
      <c r="N2608" s="29"/>
      <c r="O2608" s="29" t="s">
        <v>894</v>
      </c>
      <c r="P2608" s="120"/>
      <c r="Q2608" s="81">
        <v>240</v>
      </c>
    </row>
    <row r="2609" spans="1:17" hidden="1">
      <c r="A2609" s="134" t="s">
        <v>977</v>
      </c>
      <c r="C2609" s="29">
        <v>175501186</v>
      </c>
      <c r="D2609" s="29">
        <v>134509055</v>
      </c>
      <c r="E2609" s="29"/>
      <c r="F2609" s="29" t="s">
        <v>139</v>
      </c>
      <c r="G2609" s="29" t="s">
        <v>737</v>
      </c>
      <c r="H2609" s="29" t="s">
        <v>38</v>
      </c>
      <c r="I2609" s="120">
        <v>45832</v>
      </c>
      <c r="J2609" s="120">
        <f t="shared" si="33"/>
        <v>45835</v>
      </c>
      <c r="K2609" s="120">
        <v>45862</v>
      </c>
      <c r="L2609" s="120"/>
      <c r="M2609" s="120"/>
      <c r="N2609" s="29"/>
      <c r="O2609" s="29" t="s">
        <v>894</v>
      </c>
      <c r="P2609" s="29"/>
      <c r="Q2609" s="81">
        <v>180</v>
      </c>
    </row>
    <row r="2610" spans="1:17" hidden="1">
      <c r="A2610" s="134" t="s">
        <v>977</v>
      </c>
      <c r="C2610" s="29">
        <v>175501191</v>
      </c>
      <c r="D2610" s="29">
        <v>134509056</v>
      </c>
      <c r="E2610" s="29"/>
      <c r="F2610" s="29" t="s">
        <v>139</v>
      </c>
      <c r="G2610" s="29" t="s">
        <v>737</v>
      </c>
      <c r="H2610" s="29" t="s">
        <v>38</v>
      </c>
      <c r="I2610" s="120">
        <v>45832</v>
      </c>
      <c r="J2610" s="120">
        <f t="shared" si="33"/>
        <v>45835</v>
      </c>
      <c r="K2610" s="120">
        <v>45862</v>
      </c>
      <c r="L2610" s="120"/>
      <c r="M2610" s="120"/>
      <c r="N2610" s="29"/>
      <c r="O2610" s="29" t="s">
        <v>894</v>
      </c>
      <c r="P2610" s="29"/>
      <c r="Q2610" s="81">
        <v>140</v>
      </c>
    </row>
    <row r="2611" spans="1:17" hidden="1">
      <c r="A2611" s="134" t="s">
        <v>977</v>
      </c>
      <c r="C2611" s="29">
        <v>175501201</v>
      </c>
      <c r="D2611" s="29">
        <v>134509057</v>
      </c>
      <c r="E2611" s="29"/>
      <c r="F2611" s="29" t="s">
        <v>139</v>
      </c>
      <c r="G2611" s="29" t="s">
        <v>737</v>
      </c>
      <c r="H2611" s="29" t="s">
        <v>38</v>
      </c>
      <c r="I2611" s="120">
        <v>45832</v>
      </c>
      <c r="J2611" s="120">
        <f t="shared" si="33"/>
        <v>45835</v>
      </c>
      <c r="K2611" s="120">
        <v>45862</v>
      </c>
      <c r="L2611" s="120"/>
      <c r="M2611" s="120"/>
      <c r="N2611" s="29"/>
      <c r="O2611" s="29" t="s">
        <v>894</v>
      </c>
      <c r="P2611" s="29"/>
      <c r="Q2611" s="81">
        <v>240</v>
      </c>
    </row>
    <row r="2612" spans="1:17" hidden="1">
      <c r="A2612" s="134" t="s">
        <v>977</v>
      </c>
      <c r="C2612" s="29">
        <v>175501205</v>
      </c>
      <c r="D2612" s="29">
        <v>134509058</v>
      </c>
      <c r="E2612" s="29"/>
      <c r="F2612" s="29" t="s">
        <v>139</v>
      </c>
      <c r="G2612" s="29" t="s">
        <v>737</v>
      </c>
      <c r="H2612" s="29" t="s">
        <v>38</v>
      </c>
      <c r="I2612" s="120">
        <v>45832</v>
      </c>
      <c r="J2612" s="120">
        <f t="shared" si="33"/>
        <v>45835</v>
      </c>
      <c r="K2612" s="120">
        <v>45862</v>
      </c>
      <c r="L2612" s="120"/>
      <c r="M2612" s="120"/>
      <c r="N2612" s="29"/>
      <c r="O2612" s="29" t="s">
        <v>894</v>
      </c>
      <c r="P2612" s="29"/>
      <c r="Q2612" s="81">
        <v>220</v>
      </c>
    </row>
    <row r="2613" spans="1:17" hidden="1">
      <c r="A2613" s="134" t="s">
        <v>977</v>
      </c>
      <c r="C2613" s="29">
        <v>175501214</v>
      </c>
      <c r="D2613" s="29">
        <v>134509059</v>
      </c>
      <c r="E2613" s="29"/>
      <c r="F2613" s="29" t="s">
        <v>139</v>
      </c>
      <c r="G2613" s="29" t="s">
        <v>737</v>
      </c>
      <c r="H2613" s="29" t="s">
        <v>38</v>
      </c>
      <c r="I2613" s="120">
        <v>45832</v>
      </c>
      <c r="J2613" s="120">
        <f t="shared" si="33"/>
        <v>45835</v>
      </c>
      <c r="K2613" s="120">
        <v>45862</v>
      </c>
      <c r="L2613" s="120"/>
      <c r="M2613" s="120"/>
      <c r="N2613" s="29"/>
      <c r="O2613" s="29" t="s">
        <v>894</v>
      </c>
      <c r="P2613" s="29"/>
      <c r="Q2613" s="81">
        <v>190</v>
      </c>
    </row>
    <row r="2614" spans="1:17" hidden="1">
      <c r="A2614" s="134" t="s">
        <v>977</v>
      </c>
      <c r="C2614" s="29">
        <v>175501219</v>
      </c>
      <c r="D2614" s="29">
        <v>134509060</v>
      </c>
      <c r="E2614" s="29"/>
      <c r="F2614" s="29" t="s">
        <v>139</v>
      </c>
      <c r="G2614" s="29" t="s">
        <v>737</v>
      </c>
      <c r="H2614" s="29" t="s">
        <v>38</v>
      </c>
      <c r="I2614" s="120">
        <v>45832</v>
      </c>
      <c r="J2614" s="120">
        <f t="shared" si="33"/>
        <v>45835</v>
      </c>
      <c r="K2614" s="120">
        <v>45862</v>
      </c>
      <c r="L2614" s="120"/>
      <c r="M2614" s="120"/>
      <c r="N2614" s="29"/>
      <c r="O2614" s="29" t="s">
        <v>894</v>
      </c>
      <c r="P2614" s="29"/>
      <c r="Q2614" s="81">
        <v>630</v>
      </c>
    </row>
    <row r="2615" spans="1:17" hidden="1">
      <c r="A2615" s="134" t="s">
        <v>977</v>
      </c>
      <c r="C2615" s="29">
        <v>175501223</v>
      </c>
      <c r="D2615" s="29">
        <v>134509061</v>
      </c>
      <c r="E2615" s="29"/>
      <c r="F2615" s="29" t="s">
        <v>139</v>
      </c>
      <c r="G2615" s="29" t="s">
        <v>737</v>
      </c>
      <c r="H2615" s="29" t="s">
        <v>38</v>
      </c>
      <c r="I2615" s="120">
        <v>45832</v>
      </c>
      <c r="J2615" s="120">
        <f t="shared" si="33"/>
        <v>45835</v>
      </c>
      <c r="K2615" s="120">
        <v>45862</v>
      </c>
      <c r="L2615" s="120"/>
      <c r="M2615" s="120"/>
      <c r="N2615" s="29"/>
      <c r="O2615" s="29" t="s">
        <v>894</v>
      </c>
      <c r="P2615" s="29"/>
      <c r="Q2615" s="81">
        <v>220</v>
      </c>
    </row>
    <row r="2616" spans="1:17" hidden="1">
      <c r="A2616" s="134" t="s">
        <v>977</v>
      </c>
      <c r="C2616" s="29">
        <v>175501232</v>
      </c>
      <c r="D2616" s="29">
        <v>134509062</v>
      </c>
      <c r="E2616" s="29"/>
      <c r="F2616" s="29" t="s">
        <v>139</v>
      </c>
      <c r="G2616" s="29" t="s">
        <v>737</v>
      </c>
      <c r="H2616" s="29" t="s">
        <v>38</v>
      </c>
      <c r="I2616" s="120">
        <v>45832</v>
      </c>
      <c r="J2616" s="120">
        <f t="shared" si="33"/>
        <v>45835</v>
      </c>
      <c r="K2616" s="120">
        <v>45862</v>
      </c>
      <c r="L2616" s="120"/>
      <c r="M2616" s="120"/>
      <c r="N2616" s="29"/>
      <c r="O2616" s="29" t="s">
        <v>894</v>
      </c>
      <c r="P2616" s="29"/>
      <c r="Q2616" s="81">
        <v>660</v>
      </c>
    </row>
    <row r="2617" spans="1:17" hidden="1">
      <c r="A2617" s="134" t="s">
        <v>977</v>
      </c>
      <c r="C2617" s="29">
        <v>175501239</v>
      </c>
      <c r="D2617" s="29">
        <v>134509063</v>
      </c>
      <c r="E2617" s="29"/>
      <c r="F2617" s="29" t="s">
        <v>139</v>
      </c>
      <c r="G2617" s="29" t="s">
        <v>737</v>
      </c>
      <c r="H2617" s="29" t="s">
        <v>38</v>
      </c>
      <c r="I2617" s="120">
        <v>45832</v>
      </c>
      <c r="J2617" s="120">
        <f t="shared" si="33"/>
        <v>45835</v>
      </c>
      <c r="K2617" s="120">
        <v>45862</v>
      </c>
      <c r="L2617" s="120"/>
      <c r="M2617" s="120"/>
      <c r="N2617" s="29"/>
      <c r="O2617" s="29" t="s">
        <v>894</v>
      </c>
      <c r="P2617" s="29"/>
      <c r="Q2617" s="81">
        <v>400</v>
      </c>
    </row>
    <row r="2618" spans="1:17" hidden="1">
      <c r="A2618" s="134" t="s">
        <v>934</v>
      </c>
      <c r="C2618" s="29">
        <v>174500436</v>
      </c>
      <c r="D2618" s="29">
        <v>148502763</v>
      </c>
      <c r="E2618" s="29"/>
      <c r="F2618" s="29" t="s">
        <v>139</v>
      </c>
      <c r="G2618" s="29" t="s">
        <v>737</v>
      </c>
      <c r="H2618" s="29" t="s">
        <v>38</v>
      </c>
      <c r="I2618" s="120">
        <v>45831</v>
      </c>
      <c r="J2618" s="120">
        <f t="shared" si="33"/>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139</v>
      </c>
      <c r="G2619" s="29" t="s">
        <v>737</v>
      </c>
      <c r="H2619" s="29" t="s">
        <v>38</v>
      </c>
      <c r="I2619" s="120">
        <v>45831</v>
      </c>
      <c r="J2619" s="120">
        <f t="shared" si="33"/>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139</v>
      </c>
      <c r="G2620" s="29" t="s">
        <v>737</v>
      </c>
      <c r="H2620" s="29" t="s">
        <v>38</v>
      </c>
      <c r="I2620" s="120">
        <v>45831</v>
      </c>
      <c r="J2620" s="120">
        <f t="shared" si="33"/>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139</v>
      </c>
      <c r="G2621" s="29" t="s">
        <v>737</v>
      </c>
      <c r="H2621" s="29" t="s">
        <v>38</v>
      </c>
      <c r="I2621" s="120">
        <v>45832</v>
      </c>
      <c r="J2621" s="120">
        <f t="shared" si="33"/>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139</v>
      </c>
      <c r="G2622" s="29" t="s">
        <v>737</v>
      </c>
      <c r="H2622" s="29" t="s">
        <v>38</v>
      </c>
      <c r="I2622" s="120">
        <v>45832</v>
      </c>
      <c r="J2622" s="120">
        <f t="shared" si="33"/>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139</v>
      </c>
      <c r="G2623" s="29" t="s">
        <v>737</v>
      </c>
      <c r="H2623" s="29" t="s">
        <v>38</v>
      </c>
      <c r="I2623" s="120">
        <v>45832</v>
      </c>
      <c r="J2623" s="120">
        <f t="shared" si="33"/>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139</v>
      </c>
      <c r="G2624" s="29" t="s">
        <v>737</v>
      </c>
      <c r="H2624" s="29" t="s">
        <v>38</v>
      </c>
      <c r="I2624" s="120">
        <v>45832</v>
      </c>
      <c r="J2624" s="120">
        <f t="shared" si="33"/>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139</v>
      </c>
      <c r="G2625" s="29" t="s">
        <v>737</v>
      </c>
      <c r="H2625" s="29" t="s">
        <v>38</v>
      </c>
      <c r="I2625" s="120">
        <v>45832</v>
      </c>
      <c r="J2625" s="120">
        <f t="shared" si="33"/>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139</v>
      </c>
      <c r="G2626" s="29" t="s">
        <v>737</v>
      </c>
      <c r="H2626" s="29" t="s">
        <v>38</v>
      </c>
      <c r="I2626" s="120">
        <v>45832</v>
      </c>
      <c r="J2626" s="120">
        <f t="shared" si="33"/>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139</v>
      </c>
      <c r="G2627" s="29" t="s">
        <v>737</v>
      </c>
      <c r="H2627" s="29" t="s">
        <v>38</v>
      </c>
      <c r="I2627" s="120">
        <v>45832</v>
      </c>
      <c r="J2627" s="120">
        <f t="shared" si="33"/>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139</v>
      </c>
      <c r="G2628" s="29" t="s">
        <v>737</v>
      </c>
      <c r="H2628" s="29" t="s">
        <v>38</v>
      </c>
      <c r="I2628" s="120">
        <v>45832</v>
      </c>
      <c r="J2628" s="120">
        <f t="shared" si="33"/>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139</v>
      </c>
      <c r="G2629" s="29" t="s">
        <v>737</v>
      </c>
      <c r="H2629" s="29" t="s">
        <v>38</v>
      </c>
      <c r="I2629" s="120">
        <v>45832</v>
      </c>
      <c r="J2629" s="120">
        <f t="shared" si="33"/>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139</v>
      </c>
      <c r="G2630" s="29" t="s">
        <v>737</v>
      </c>
      <c r="H2630" s="29" t="s">
        <v>38</v>
      </c>
      <c r="I2630" s="120">
        <v>45832</v>
      </c>
      <c r="J2630" s="120">
        <f t="shared" si="33"/>
        <v>45835</v>
      </c>
      <c r="K2630" s="120">
        <v>45862</v>
      </c>
      <c r="L2630" s="120"/>
      <c r="M2630" s="120"/>
      <c r="N2630" s="29"/>
      <c r="O2630" s="29" t="s">
        <v>877</v>
      </c>
      <c r="P2630" s="120"/>
      <c r="Q2630" s="81">
        <v>280</v>
      </c>
    </row>
    <row r="2631" spans="1:17" hidden="1">
      <c r="A2631" s="134" t="s">
        <v>980</v>
      </c>
      <c r="C2631" s="29">
        <v>184502952</v>
      </c>
      <c r="D2631" s="29">
        <v>84501315</v>
      </c>
      <c r="E2631" s="29"/>
      <c r="F2631" s="29" t="s">
        <v>139</v>
      </c>
      <c r="G2631" s="29" t="s">
        <v>16</v>
      </c>
      <c r="H2631" s="29" t="s">
        <v>38</v>
      </c>
      <c r="I2631" s="120">
        <v>45841</v>
      </c>
      <c r="J2631" s="120">
        <f t="shared" si="33"/>
        <v>45846</v>
      </c>
      <c r="K2631" s="120">
        <v>45872</v>
      </c>
      <c r="L2631" s="120"/>
      <c r="M2631" s="120"/>
      <c r="N2631" s="29"/>
      <c r="O2631" s="29" t="s">
        <v>877</v>
      </c>
      <c r="P2631" s="120"/>
      <c r="Q2631" s="156">
        <v>1300</v>
      </c>
    </row>
    <row r="2632" spans="1:17" hidden="1">
      <c r="A2632" s="134" t="s">
        <v>980</v>
      </c>
      <c r="C2632" s="29">
        <v>184502958</v>
      </c>
      <c r="D2632" s="29">
        <v>84501406</v>
      </c>
      <c r="E2632" s="29"/>
      <c r="F2632" s="29" t="s">
        <v>139</v>
      </c>
      <c r="G2632" s="29" t="s">
        <v>16</v>
      </c>
      <c r="H2632" s="29" t="s">
        <v>38</v>
      </c>
      <c r="I2632" s="120">
        <v>45841</v>
      </c>
      <c r="J2632" s="120">
        <f t="shared" si="33"/>
        <v>45846</v>
      </c>
      <c r="K2632" s="120">
        <v>45872</v>
      </c>
      <c r="L2632" s="120"/>
      <c r="M2632" s="120"/>
      <c r="N2632" s="29"/>
      <c r="O2632" s="29" t="s">
        <v>877</v>
      </c>
      <c r="P2632" s="120"/>
      <c r="Q2632" s="156">
        <v>1000</v>
      </c>
    </row>
    <row r="2633" spans="1:17" hidden="1">
      <c r="A2633" s="134" t="s">
        <v>980</v>
      </c>
      <c r="C2633" s="29">
        <v>184502967</v>
      </c>
      <c r="D2633" s="29">
        <v>84501665</v>
      </c>
      <c r="E2633" s="29"/>
      <c r="F2633" s="29" t="s">
        <v>139</v>
      </c>
      <c r="G2633" s="29" t="s">
        <v>16</v>
      </c>
      <c r="H2633" s="29" t="s">
        <v>38</v>
      </c>
      <c r="I2633" s="120">
        <v>45841</v>
      </c>
      <c r="J2633" s="120">
        <f t="shared" si="33"/>
        <v>45846</v>
      </c>
      <c r="K2633" s="120">
        <v>45872</v>
      </c>
      <c r="L2633" s="120"/>
      <c r="M2633" s="120"/>
      <c r="N2633" s="29"/>
      <c r="O2633" s="29" t="s">
        <v>877</v>
      </c>
      <c r="P2633" s="120"/>
      <c r="Q2633" s="156">
        <v>265</v>
      </c>
    </row>
    <row r="2634" spans="1:17" hidden="1">
      <c r="A2634" s="134" t="s">
        <v>980</v>
      </c>
      <c r="C2634" s="29">
        <v>184502987</v>
      </c>
      <c r="D2634" s="29">
        <v>84502023</v>
      </c>
      <c r="E2634" s="29"/>
      <c r="F2634" s="29" t="s">
        <v>139</v>
      </c>
      <c r="G2634" s="29" t="s">
        <v>16</v>
      </c>
      <c r="H2634" s="29" t="s">
        <v>38</v>
      </c>
      <c r="I2634" s="120">
        <v>45841</v>
      </c>
      <c r="J2634" s="120">
        <f t="shared" si="33"/>
        <v>45846</v>
      </c>
      <c r="K2634" s="120">
        <v>45872</v>
      </c>
      <c r="L2634" s="120"/>
      <c r="M2634" s="120"/>
      <c r="N2634" s="29"/>
      <c r="O2634" s="29" t="s">
        <v>877</v>
      </c>
      <c r="P2634" s="120"/>
      <c r="Q2634" s="156">
        <v>530</v>
      </c>
    </row>
    <row r="2635" spans="1:17" hidden="1">
      <c r="A2635" s="134" t="s">
        <v>980</v>
      </c>
      <c r="C2635" s="29">
        <v>184502993</v>
      </c>
      <c r="D2635" s="29">
        <v>84502055</v>
      </c>
      <c r="E2635" s="29"/>
      <c r="F2635" s="29" t="s">
        <v>139</v>
      </c>
      <c r="G2635" s="29" t="s">
        <v>16</v>
      </c>
      <c r="H2635" s="29" t="s">
        <v>38</v>
      </c>
      <c r="I2635" s="120">
        <v>45841</v>
      </c>
      <c r="J2635" s="120">
        <f t="shared" si="33"/>
        <v>45846</v>
      </c>
      <c r="K2635" s="120">
        <v>45872</v>
      </c>
      <c r="L2635" s="120"/>
      <c r="M2635" s="120"/>
      <c r="N2635" s="29"/>
      <c r="O2635" s="29" t="s">
        <v>877</v>
      </c>
      <c r="P2635" s="120"/>
      <c r="Q2635" s="156">
        <v>530</v>
      </c>
    </row>
    <row r="2636" spans="1:17" hidden="1">
      <c r="A2636" s="134" t="s">
        <v>980</v>
      </c>
      <c r="C2636" s="29">
        <v>184503008</v>
      </c>
      <c r="D2636" s="29">
        <v>84502097</v>
      </c>
      <c r="E2636" s="29"/>
      <c r="F2636" s="29" t="s">
        <v>139</v>
      </c>
      <c r="G2636" s="29" t="s">
        <v>16</v>
      </c>
      <c r="H2636" s="29" t="s">
        <v>38</v>
      </c>
      <c r="I2636" s="120">
        <v>45841</v>
      </c>
      <c r="J2636" s="120">
        <f t="shared" si="33"/>
        <v>45846</v>
      </c>
      <c r="K2636" s="120">
        <v>45872</v>
      </c>
      <c r="L2636" s="120"/>
      <c r="M2636" s="120"/>
      <c r="N2636" s="29"/>
      <c r="O2636" s="29" t="s">
        <v>877</v>
      </c>
      <c r="P2636" s="120"/>
      <c r="Q2636" s="156">
        <v>730</v>
      </c>
    </row>
    <row r="2637" spans="1:17" hidden="1">
      <c r="A2637" s="134" t="s">
        <v>934</v>
      </c>
      <c r="C2637" s="29">
        <v>188501923</v>
      </c>
      <c r="D2637" s="29">
        <v>174500436</v>
      </c>
      <c r="E2637" s="29"/>
      <c r="F2637" s="29" t="s">
        <v>139</v>
      </c>
      <c r="G2637" s="29" t="s">
        <v>16</v>
      </c>
      <c r="H2637" s="29" t="s">
        <v>38</v>
      </c>
      <c r="I2637" s="120">
        <v>45845</v>
      </c>
      <c r="J2637" s="120">
        <f t="shared" si="33"/>
        <v>45848</v>
      </c>
      <c r="K2637" s="120">
        <v>45876</v>
      </c>
      <c r="L2637" s="120"/>
      <c r="M2637" s="120"/>
      <c r="N2637" s="29"/>
      <c r="O2637" s="29" t="s">
        <v>877</v>
      </c>
      <c r="P2637" s="120"/>
      <c r="Q2637" s="156">
        <v>110</v>
      </c>
    </row>
    <row r="2638" spans="1:17" hidden="1">
      <c r="A2638" s="134" t="s">
        <v>934</v>
      </c>
      <c r="C2638" s="29">
        <v>188501932</v>
      </c>
      <c r="D2638" s="29">
        <v>174500449</v>
      </c>
      <c r="E2638" s="29"/>
      <c r="F2638" s="29" t="s">
        <v>139</v>
      </c>
      <c r="G2638" s="29" t="s">
        <v>16</v>
      </c>
      <c r="H2638" s="29" t="s">
        <v>38</v>
      </c>
      <c r="I2638" s="120">
        <v>45845</v>
      </c>
      <c r="J2638" s="120">
        <f t="shared" si="33"/>
        <v>45848</v>
      </c>
      <c r="K2638" s="120">
        <v>45876</v>
      </c>
      <c r="L2638" s="120"/>
      <c r="M2638" s="120"/>
      <c r="N2638" s="29"/>
      <c r="O2638" s="29" t="s">
        <v>877</v>
      </c>
      <c r="P2638" s="120"/>
      <c r="Q2638" s="156">
        <v>500</v>
      </c>
    </row>
    <row r="2639" spans="1:17" hidden="1">
      <c r="A2639" s="134" t="s">
        <v>934</v>
      </c>
      <c r="C2639" s="29">
        <v>188501941</v>
      </c>
      <c r="D2639" s="29">
        <v>174500453</v>
      </c>
      <c r="E2639" s="29"/>
      <c r="F2639" s="29" t="s">
        <v>139</v>
      </c>
      <c r="G2639" s="29" t="s">
        <v>16</v>
      </c>
      <c r="H2639" s="29" t="s">
        <v>38</v>
      </c>
      <c r="I2639" s="120">
        <v>45845</v>
      </c>
      <c r="J2639" s="120">
        <f t="shared" si="33"/>
        <v>45848</v>
      </c>
      <c r="K2639" s="120">
        <v>45876</v>
      </c>
      <c r="L2639" s="120"/>
      <c r="M2639" s="120"/>
      <c r="N2639" s="29"/>
      <c r="O2639" s="29" t="s">
        <v>877</v>
      </c>
      <c r="P2639" s="120"/>
      <c r="Q2639" s="156">
        <v>130</v>
      </c>
    </row>
    <row r="2640" spans="1:17" hidden="1">
      <c r="A2640" s="134" t="s">
        <v>898</v>
      </c>
      <c r="C2640" s="29">
        <v>188501985</v>
      </c>
      <c r="D2640" s="29">
        <v>154501532</v>
      </c>
      <c r="E2640" s="29"/>
      <c r="F2640" s="29" t="s">
        <v>139</v>
      </c>
      <c r="G2640" s="29" t="s">
        <v>16</v>
      </c>
      <c r="H2640" s="29" t="s">
        <v>38</v>
      </c>
      <c r="I2640" s="120">
        <v>45845</v>
      </c>
      <c r="J2640" s="120">
        <f t="shared" si="33"/>
        <v>45848</v>
      </c>
      <c r="K2640" s="120">
        <v>45876</v>
      </c>
      <c r="L2640" s="120"/>
      <c r="M2640" s="120"/>
      <c r="N2640" s="29"/>
      <c r="O2640" s="29" t="s">
        <v>1246</v>
      </c>
      <c r="P2640" s="29"/>
      <c r="Q2640" s="156">
        <v>730</v>
      </c>
    </row>
    <row r="2641" spans="1:18" hidden="1">
      <c r="A2641" s="134" t="s">
        <v>898</v>
      </c>
      <c r="C2641" s="29">
        <v>188501993</v>
      </c>
      <c r="D2641" s="29">
        <v>154503817</v>
      </c>
      <c r="E2641" s="29"/>
      <c r="F2641" s="29" t="s">
        <v>139</v>
      </c>
      <c r="G2641" s="29" t="s">
        <v>16</v>
      </c>
      <c r="H2641" s="29" t="s">
        <v>38</v>
      </c>
      <c r="I2641" s="120">
        <v>45845</v>
      </c>
      <c r="J2641" s="120">
        <f t="shared" si="33"/>
        <v>45848</v>
      </c>
      <c r="K2641" s="120">
        <v>45876</v>
      </c>
      <c r="L2641" s="120"/>
      <c r="M2641" s="120"/>
      <c r="N2641" s="29"/>
      <c r="O2641" s="29" t="s">
        <v>1246</v>
      </c>
      <c r="P2641" s="29"/>
      <c r="Q2641" s="156">
        <v>460</v>
      </c>
    </row>
    <row r="2642" spans="1:18" hidden="1">
      <c r="A2642" s="134" t="s">
        <v>1320</v>
      </c>
      <c r="C2642" s="29">
        <v>196500188</v>
      </c>
      <c r="D2642" s="29"/>
      <c r="E2642" s="29"/>
      <c r="F2642" s="29" t="s">
        <v>139</v>
      </c>
      <c r="G2642" s="29" t="s">
        <v>737</v>
      </c>
      <c r="H2642" s="29" t="s">
        <v>38</v>
      </c>
      <c r="I2642" s="120">
        <v>45852</v>
      </c>
      <c r="J2642" s="120">
        <f t="shared" si="33"/>
        <v>45855</v>
      </c>
      <c r="K2642" s="120">
        <v>45883</v>
      </c>
      <c r="L2642" s="120"/>
      <c r="M2642" s="120"/>
      <c r="N2642" s="29"/>
      <c r="O2642" s="29" t="s">
        <v>877</v>
      </c>
      <c r="P2642" s="120"/>
      <c r="Q2642" s="156">
        <v>230</v>
      </c>
    </row>
    <row r="2643" spans="1:18" hidden="1">
      <c r="A2643" s="134" t="s">
        <v>1062</v>
      </c>
      <c r="C2643" s="29">
        <v>195504943</v>
      </c>
      <c r="D2643" s="29">
        <v>160500824</v>
      </c>
      <c r="E2643" s="29"/>
      <c r="F2643" s="29" t="s">
        <v>139</v>
      </c>
      <c r="G2643" s="29" t="s">
        <v>737</v>
      </c>
      <c r="H2643" s="29" t="s">
        <v>38</v>
      </c>
      <c r="I2643" s="120">
        <v>45852</v>
      </c>
      <c r="J2643" s="120">
        <f t="shared" si="33"/>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139</v>
      </c>
      <c r="G2644" s="29" t="s">
        <v>737</v>
      </c>
      <c r="H2644" s="29" t="s">
        <v>38</v>
      </c>
      <c r="I2644" s="120">
        <v>45833</v>
      </c>
      <c r="J2644" s="120">
        <f t="shared" si="33"/>
        <v>45838</v>
      </c>
      <c r="K2644" s="120">
        <v>45863</v>
      </c>
      <c r="L2644" s="120"/>
      <c r="M2644" s="120"/>
      <c r="N2644" s="29"/>
      <c r="O2644" s="29" t="s">
        <v>1246</v>
      </c>
      <c r="P2644" s="29"/>
      <c r="Q2644" s="156">
        <v>900</v>
      </c>
    </row>
    <row r="2645" spans="1:18" hidden="1">
      <c r="A2645" s="134" t="s">
        <v>974</v>
      </c>
      <c r="C2645" s="29">
        <v>181502133</v>
      </c>
      <c r="D2645" s="29">
        <v>150500064</v>
      </c>
      <c r="E2645" s="29"/>
      <c r="F2645" s="29" t="s">
        <v>139</v>
      </c>
      <c r="G2645" s="29" t="s">
        <v>737</v>
      </c>
      <c r="H2645" s="29" t="s">
        <v>38</v>
      </c>
      <c r="I2645" s="120">
        <v>45838</v>
      </c>
      <c r="J2645" s="120">
        <f t="shared" si="33"/>
        <v>45841</v>
      </c>
      <c r="K2645" s="120">
        <v>45868</v>
      </c>
      <c r="L2645" s="120"/>
      <c r="M2645" s="120"/>
      <c r="N2645" s="29"/>
      <c r="O2645" s="29" t="s">
        <v>1246</v>
      </c>
      <c r="P2645" s="29"/>
      <c r="Q2645" s="156">
        <v>560</v>
      </c>
    </row>
    <row r="2646" spans="1:18" hidden="1">
      <c r="A2646" s="134" t="s">
        <v>974</v>
      </c>
      <c r="C2646" s="29">
        <v>181502172</v>
      </c>
      <c r="D2646" s="29">
        <v>148501570</v>
      </c>
      <c r="E2646" s="29"/>
      <c r="F2646" s="29" t="s">
        <v>139</v>
      </c>
      <c r="G2646" s="29" t="s">
        <v>737</v>
      </c>
      <c r="H2646" s="29" t="s">
        <v>38</v>
      </c>
      <c r="I2646" s="120">
        <v>45838</v>
      </c>
      <c r="J2646" s="120">
        <f t="shared" si="33"/>
        <v>45841</v>
      </c>
      <c r="K2646" s="120">
        <v>45868</v>
      </c>
      <c r="L2646" s="120"/>
      <c r="M2646" s="120"/>
      <c r="N2646" s="29"/>
      <c r="O2646" s="29" t="s">
        <v>1246</v>
      </c>
      <c r="P2646" s="29"/>
      <c r="Q2646" s="156">
        <v>300</v>
      </c>
    </row>
    <row r="2647" spans="1:18" hidden="1">
      <c r="A2647" s="134" t="s">
        <v>974</v>
      </c>
      <c r="C2647" s="29">
        <v>181502210</v>
      </c>
      <c r="D2647" s="29">
        <v>145501680</v>
      </c>
      <c r="E2647" s="29"/>
      <c r="F2647" s="29" t="s">
        <v>139</v>
      </c>
      <c r="G2647" s="29" t="s">
        <v>737</v>
      </c>
      <c r="H2647" s="29" t="s">
        <v>38</v>
      </c>
      <c r="I2647" s="120">
        <v>45838</v>
      </c>
      <c r="J2647" s="120">
        <f t="shared" si="33"/>
        <v>45841</v>
      </c>
      <c r="K2647" s="120">
        <v>45868</v>
      </c>
      <c r="L2647" s="120"/>
      <c r="M2647" s="120"/>
      <c r="N2647" s="29"/>
      <c r="O2647" s="29" t="s">
        <v>1246</v>
      </c>
      <c r="P2647" s="29"/>
      <c r="Q2647" s="156">
        <v>700</v>
      </c>
    </row>
    <row r="2648" spans="1:18" hidden="1">
      <c r="A2648" s="134" t="s">
        <v>974</v>
      </c>
      <c r="C2648" s="29">
        <v>181502219</v>
      </c>
      <c r="D2648" s="29">
        <v>150500061</v>
      </c>
      <c r="E2648" s="29"/>
      <c r="F2648" s="29" t="s">
        <v>139</v>
      </c>
      <c r="G2648" s="29" t="s">
        <v>737</v>
      </c>
      <c r="H2648" s="29" t="s">
        <v>38</v>
      </c>
      <c r="I2648" s="120">
        <v>45838</v>
      </c>
      <c r="J2648" s="120">
        <f t="shared" si="33"/>
        <v>45841</v>
      </c>
      <c r="K2648" s="120">
        <v>45868</v>
      </c>
      <c r="L2648" s="120"/>
      <c r="M2648" s="120"/>
      <c r="N2648" s="29"/>
      <c r="O2648" s="29" t="s">
        <v>1246</v>
      </c>
      <c r="P2648" s="29"/>
      <c r="Q2648" s="156">
        <v>400</v>
      </c>
    </row>
    <row r="2649" spans="1:18" hidden="1">
      <c r="A2649" s="134" t="s">
        <v>974</v>
      </c>
      <c r="C2649" s="29">
        <v>181502290</v>
      </c>
      <c r="D2649" s="29">
        <v>148501665</v>
      </c>
      <c r="E2649" s="29"/>
      <c r="F2649" s="29" t="s">
        <v>139</v>
      </c>
      <c r="G2649" s="29" t="s">
        <v>737</v>
      </c>
      <c r="H2649" s="29" t="s">
        <v>38</v>
      </c>
      <c r="I2649" s="120">
        <v>45838</v>
      </c>
      <c r="J2649" s="120">
        <f t="shared" si="33"/>
        <v>45841</v>
      </c>
      <c r="K2649" s="120">
        <v>45868</v>
      </c>
      <c r="L2649" s="120"/>
      <c r="M2649" s="120"/>
      <c r="N2649" s="29"/>
      <c r="O2649" s="29" t="s">
        <v>1246</v>
      </c>
      <c r="P2649" s="29"/>
      <c r="Q2649" s="156">
        <v>320</v>
      </c>
    </row>
    <row r="2650" spans="1:18" hidden="1">
      <c r="A2650" s="134" t="s">
        <v>1049</v>
      </c>
      <c r="C2650" s="29">
        <v>182505805</v>
      </c>
      <c r="D2650" s="29"/>
      <c r="E2650" s="29"/>
      <c r="F2650" s="29" t="s">
        <v>139</v>
      </c>
      <c r="G2650" s="29" t="s">
        <v>737</v>
      </c>
      <c r="H2650" s="29" t="s">
        <v>38</v>
      </c>
      <c r="I2650" s="120">
        <v>45839</v>
      </c>
      <c r="J2650" s="120">
        <f t="shared" si="33"/>
        <v>45842</v>
      </c>
      <c r="K2650" s="120">
        <v>45870</v>
      </c>
      <c r="L2650" s="120"/>
      <c r="M2650" s="120"/>
      <c r="N2650" s="29"/>
      <c r="O2650" s="29" t="s">
        <v>1246</v>
      </c>
      <c r="P2650" s="29"/>
      <c r="Q2650" s="156">
        <v>280</v>
      </c>
    </row>
    <row r="2651" spans="1:18" hidden="1">
      <c r="A2651" s="134" t="s">
        <v>1049</v>
      </c>
      <c r="C2651" s="29">
        <v>182505854</v>
      </c>
      <c r="D2651" s="29"/>
      <c r="E2651" s="29"/>
      <c r="F2651" s="29" t="s">
        <v>139</v>
      </c>
      <c r="G2651" s="29" t="s">
        <v>737</v>
      </c>
      <c r="H2651" s="29" t="s">
        <v>38</v>
      </c>
      <c r="I2651" s="120">
        <v>45839</v>
      </c>
      <c r="J2651" s="120">
        <f t="shared" si="33"/>
        <v>45842</v>
      </c>
      <c r="K2651" s="120">
        <v>45870</v>
      </c>
      <c r="L2651" s="120"/>
      <c r="M2651" s="120"/>
      <c r="N2651" s="29"/>
      <c r="O2651" s="29" t="s">
        <v>1246</v>
      </c>
      <c r="P2651" s="29"/>
      <c r="Q2651" s="156">
        <v>220</v>
      </c>
    </row>
    <row r="2652" spans="1:18" hidden="1">
      <c r="A2652" s="134" t="s">
        <v>1049</v>
      </c>
      <c r="C2652" s="29">
        <v>182505887</v>
      </c>
      <c r="D2652" s="29"/>
      <c r="E2652" s="29"/>
      <c r="F2652" s="29" t="s">
        <v>139</v>
      </c>
      <c r="G2652" s="29" t="s">
        <v>737</v>
      </c>
      <c r="H2652" s="29" t="s">
        <v>38</v>
      </c>
      <c r="I2652" s="120">
        <v>45839</v>
      </c>
      <c r="J2652" s="120">
        <f t="shared" si="33"/>
        <v>45842</v>
      </c>
      <c r="K2652" s="120">
        <v>45870</v>
      </c>
      <c r="L2652" s="120"/>
      <c r="M2652" s="120"/>
      <c r="N2652" s="29"/>
      <c r="O2652" s="29" t="s">
        <v>1246</v>
      </c>
      <c r="P2652" s="29"/>
      <c r="Q2652" s="156">
        <v>180</v>
      </c>
    </row>
    <row r="2653" spans="1:18" hidden="1">
      <c r="A2653" s="134" t="s">
        <v>1049</v>
      </c>
      <c r="C2653" s="29">
        <v>182505900</v>
      </c>
      <c r="D2653" s="29"/>
      <c r="E2653" s="29"/>
      <c r="F2653" s="29" t="s">
        <v>139</v>
      </c>
      <c r="G2653" s="29" t="s">
        <v>737</v>
      </c>
      <c r="H2653" s="29" t="s">
        <v>38</v>
      </c>
      <c r="I2653" s="120">
        <v>45839</v>
      </c>
      <c r="J2653" s="120">
        <f t="shared" si="33"/>
        <v>45842</v>
      </c>
      <c r="K2653" s="120">
        <v>45870</v>
      </c>
      <c r="L2653" s="120"/>
      <c r="M2653" s="120"/>
      <c r="N2653" s="29"/>
      <c r="O2653" s="29" t="s">
        <v>1246</v>
      </c>
      <c r="P2653" s="29"/>
      <c r="Q2653" s="156">
        <v>170</v>
      </c>
    </row>
    <row r="2654" spans="1:18" hidden="1">
      <c r="A2654" s="134" t="s">
        <v>1049</v>
      </c>
      <c r="C2654" s="29">
        <v>182505946</v>
      </c>
      <c r="D2654" s="29"/>
      <c r="E2654" s="29"/>
      <c r="F2654" s="29" t="s">
        <v>139</v>
      </c>
      <c r="G2654" s="29" t="s">
        <v>737</v>
      </c>
      <c r="H2654" s="29" t="s">
        <v>38</v>
      </c>
      <c r="I2654" s="120">
        <v>45839</v>
      </c>
      <c r="J2654" s="120">
        <f t="shared" si="33"/>
        <v>45842</v>
      </c>
      <c r="K2654" s="120">
        <v>45870</v>
      </c>
      <c r="L2654" s="120"/>
      <c r="M2654" s="120"/>
      <c r="N2654" s="29"/>
      <c r="O2654" s="29" t="s">
        <v>1246</v>
      </c>
      <c r="P2654" s="29"/>
      <c r="Q2654" s="156">
        <v>90</v>
      </c>
    </row>
    <row r="2655" spans="1:18" hidden="1">
      <c r="A2655" s="134" t="s">
        <v>1049</v>
      </c>
      <c r="C2655" s="29">
        <v>182505965</v>
      </c>
      <c r="D2655" s="29"/>
      <c r="E2655" s="29"/>
      <c r="F2655" s="29" t="s">
        <v>139</v>
      </c>
      <c r="G2655" s="29" t="s">
        <v>737</v>
      </c>
      <c r="H2655" s="29" t="s">
        <v>38</v>
      </c>
      <c r="I2655" s="120">
        <v>45839</v>
      </c>
      <c r="J2655" s="120">
        <f t="shared" si="33"/>
        <v>45842</v>
      </c>
      <c r="K2655" s="120">
        <v>45870</v>
      </c>
      <c r="L2655" s="120"/>
      <c r="M2655" s="120"/>
      <c r="N2655" s="29"/>
      <c r="O2655" s="29" t="s">
        <v>1246</v>
      </c>
      <c r="P2655" s="29"/>
      <c r="Q2655" s="156">
        <v>350</v>
      </c>
    </row>
    <row r="2656" spans="1:18" hidden="1">
      <c r="A2656" s="134" t="s">
        <v>980</v>
      </c>
      <c r="C2656" s="29">
        <v>196500162</v>
      </c>
      <c r="D2656" s="29"/>
      <c r="E2656" s="29"/>
      <c r="F2656" s="29" t="s">
        <v>139</v>
      </c>
      <c r="G2656" s="29" t="s">
        <v>16</v>
      </c>
      <c r="H2656" s="29" t="s">
        <v>38</v>
      </c>
      <c r="I2656" s="120">
        <v>45853</v>
      </c>
      <c r="J2656" s="120">
        <f t="shared" si="33"/>
        <v>45856</v>
      </c>
      <c r="K2656" s="120">
        <v>45884</v>
      </c>
      <c r="L2656" s="120"/>
      <c r="M2656" s="120"/>
      <c r="N2656" s="29"/>
      <c r="O2656" s="29" t="s">
        <v>877</v>
      </c>
      <c r="P2656" s="120"/>
      <c r="Q2656" s="156">
        <v>1500</v>
      </c>
    </row>
    <row r="2657" spans="1:18" hidden="1">
      <c r="A2657" s="134" t="s">
        <v>1321</v>
      </c>
      <c r="C2657" s="29">
        <v>196501055</v>
      </c>
      <c r="D2657" s="29"/>
      <c r="E2657" s="29"/>
      <c r="F2657" s="29" t="s">
        <v>139</v>
      </c>
      <c r="G2657" s="29" t="s">
        <v>16</v>
      </c>
      <c r="H2657" s="29" t="s">
        <v>38</v>
      </c>
      <c r="I2657" s="120">
        <v>45853</v>
      </c>
      <c r="J2657" s="120">
        <f t="shared" ref="J2657:J2720" si="34">WORKDAY(I2657, 3)</f>
        <v>45856</v>
      </c>
      <c r="K2657" s="120">
        <v>45884</v>
      </c>
      <c r="L2657" s="120"/>
      <c r="M2657" s="120"/>
      <c r="N2657" s="29"/>
      <c r="O2657" s="29" t="s">
        <v>877</v>
      </c>
      <c r="P2657" s="120"/>
      <c r="Q2657" s="156">
        <v>40</v>
      </c>
    </row>
    <row r="2658" spans="1:18" hidden="1">
      <c r="A2658" s="134" t="s">
        <v>1321</v>
      </c>
      <c r="C2658" s="29">
        <v>196501124</v>
      </c>
      <c r="D2658" s="29"/>
      <c r="E2658" s="29"/>
      <c r="F2658" s="29" t="s">
        <v>139</v>
      </c>
      <c r="G2658" s="29" t="s">
        <v>16</v>
      </c>
      <c r="H2658" s="29" t="s">
        <v>38</v>
      </c>
      <c r="I2658" s="120">
        <v>45853</v>
      </c>
      <c r="J2658" s="120">
        <f t="shared" si="34"/>
        <v>45856</v>
      </c>
      <c r="K2658" s="120">
        <v>45884</v>
      </c>
      <c r="L2658" s="120"/>
      <c r="M2658" s="120"/>
      <c r="N2658" s="29"/>
      <c r="O2658" s="29" t="s">
        <v>877</v>
      </c>
      <c r="P2658" s="120"/>
      <c r="Q2658" s="156">
        <v>1120</v>
      </c>
    </row>
    <row r="2659" spans="1:18" hidden="1">
      <c r="A2659" s="134" t="s">
        <v>1322</v>
      </c>
      <c r="C2659" s="29">
        <v>218501895</v>
      </c>
      <c r="D2659" s="29"/>
      <c r="E2659" s="29"/>
      <c r="F2659" s="29" t="s">
        <v>139</v>
      </c>
      <c r="G2659" s="29" t="s">
        <v>737</v>
      </c>
      <c r="H2659" s="29" t="s">
        <v>38</v>
      </c>
      <c r="I2659" s="120">
        <v>45875</v>
      </c>
      <c r="J2659" s="120">
        <f t="shared" si="34"/>
        <v>45880</v>
      </c>
      <c r="K2659" s="120">
        <v>45906</v>
      </c>
      <c r="L2659" s="120"/>
      <c r="M2659" s="120"/>
      <c r="N2659" s="29"/>
      <c r="O2659" s="29" t="s">
        <v>877</v>
      </c>
      <c r="P2659" s="29"/>
      <c r="Q2659" s="156"/>
    </row>
    <row r="2660" spans="1:18" ht="18.75" hidden="1">
      <c r="A2660" s="134" t="s">
        <v>1321</v>
      </c>
      <c r="C2660" s="29">
        <v>196501190</v>
      </c>
      <c r="D2660" s="29"/>
      <c r="E2660" s="29"/>
      <c r="F2660" s="29" t="s">
        <v>139</v>
      </c>
      <c r="G2660" s="29" t="s">
        <v>16</v>
      </c>
      <c r="H2660" s="29" t="s">
        <v>38</v>
      </c>
      <c r="I2660" s="120">
        <v>45853</v>
      </c>
      <c r="J2660" s="120">
        <f t="shared" si="34"/>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139</v>
      </c>
      <c r="G2661" s="29" t="s">
        <v>16</v>
      </c>
      <c r="H2661" s="29" t="s">
        <v>38</v>
      </c>
      <c r="I2661" s="120">
        <v>45853</v>
      </c>
      <c r="J2661" s="120">
        <f t="shared" si="34"/>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139</v>
      </c>
      <c r="G2662" s="29" t="s">
        <v>737</v>
      </c>
      <c r="H2662" s="29" t="s">
        <v>38</v>
      </c>
      <c r="I2662" s="120">
        <v>45855</v>
      </c>
      <c r="J2662" s="120">
        <f t="shared" si="34"/>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139</v>
      </c>
      <c r="G2663" s="29" t="s">
        <v>737</v>
      </c>
      <c r="H2663" s="29" t="s">
        <v>38</v>
      </c>
      <c r="I2663" s="120">
        <v>45860</v>
      </c>
      <c r="J2663" s="120">
        <f t="shared" si="34"/>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139</v>
      </c>
      <c r="G2664" s="29" t="s">
        <v>737</v>
      </c>
      <c r="H2664" s="29" t="s">
        <v>38</v>
      </c>
      <c r="I2664" s="120">
        <v>45860</v>
      </c>
      <c r="J2664" s="120">
        <f t="shared" si="34"/>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139</v>
      </c>
      <c r="G2665" s="29" t="s">
        <v>737</v>
      </c>
      <c r="H2665" s="29" t="s">
        <v>38</v>
      </c>
      <c r="I2665" s="120">
        <v>45860</v>
      </c>
      <c r="J2665" s="120">
        <f t="shared" si="34"/>
        <v>45863</v>
      </c>
      <c r="K2665" s="120">
        <v>45891</v>
      </c>
      <c r="L2665" s="120"/>
      <c r="M2665" s="120"/>
      <c r="N2665" s="29"/>
      <c r="O2665" s="29" t="s">
        <v>877</v>
      </c>
      <c r="P2665" s="120"/>
      <c r="Q2665" s="156">
        <v>300</v>
      </c>
    </row>
    <row r="2666" spans="1:18" hidden="1">
      <c r="A2666" s="134" t="s">
        <v>502</v>
      </c>
      <c r="C2666" s="29">
        <v>203501474</v>
      </c>
      <c r="D2666" s="29">
        <v>174500570</v>
      </c>
      <c r="E2666" s="29"/>
      <c r="F2666" s="29" t="s">
        <v>139</v>
      </c>
      <c r="G2666" s="29" t="s">
        <v>737</v>
      </c>
      <c r="H2666" s="29" t="s">
        <v>38</v>
      </c>
      <c r="I2666" s="120">
        <v>45860</v>
      </c>
      <c r="J2666" s="120">
        <f t="shared" si="34"/>
        <v>45863</v>
      </c>
      <c r="K2666" s="120">
        <v>45891</v>
      </c>
      <c r="L2666" s="120"/>
      <c r="M2666" s="120"/>
      <c r="N2666" s="29"/>
      <c r="O2666" s="29" t="s">
        <v>877</v>
      </c>
      <c r="P2666" s="120"/>
      <c r="Q2666" s="156">
        <v>270</v>
      </c>
    </row>
    <row r="2667" spans="1:18" hidden="1">
      <c r="A2667" s="134" t="s">
        <v>502</v>
      </c>
      <c r="C2667" s="29">
        <v>203501482</v>
      </c>
      <c r="D2667" s="29">
        <v>174500619</v>
      </c>
      <c r="E2667" s="29"/>
      <c r="F2667" s="29" t="s">
        <v>139</v>
      </c>
      <c r="G2667" s="29" t="s">
        <v>737</v>
      </c>
      <c r="H2667" s="29" t="s">
        <v>38</v>
      </c>
      <c r="I2667" s="120">
        <v>45860</v>
      </c>
      <c r="J2667" s="120">
        <f t="shared" si="34"/>
        <v>45863</v>
      </c>
      <c r="K2667" s="120">
        <v>45891</v>
      </c>
      <c r="L2667" s="120"/>
      <c r="M2667" s="120"/>
      <c r="N2667" s="29"/>
      <c r="O2667" s="29" t="s">
        <v>877</v>
      </c>
      <c r="P2667" s="120"/>
      <c r="Q2667" s="156">
        <v>800</v>
      </c>
    </row>
    <row r="2668" spans="1:18" hidden="1">
      <c r="A2668" s="134" t="s">
        <v>502</v>
      </c>
      <c r="C2668" s="29">
        <v>203501493</v>
      </c>
      <c r="D2668" s="29">
        <v>174500645</v>
      </c>
      <c r="E2668" s="29"/>
      <c r="F2668" s="29" t="s">
        <v>139</v>
      </c>
      <c r="G2668" s="29" t="s">
        <v>737</v>
      </c>
      <c r="H2668" s="29" t="s">
        <v>38</v>
      </c>
      <c r="I2668" s="120">
        <v>45860</v>
      </c>
      <c r="J2668" s="120">
        <f t="shared" si="34"/>
        <v>45863</v>
      </c>
      <c r="K2668" s="120">
        <v>45891</v>
      </c>
      <c r="L2668" s="120"/>
      <c r="M2668" s="120"/>
      <c r="N2668" s="29"/>
      <c r="O2668" s="29" t="s">
        <v>877</v>
      </c>
      <c r="P2668" s="120"/>
      <c r="Q2668" s="156">
        <v>710</v>
      </c>
    </row>
    <row r="2669" spans="1:18" hidden="1">
      <c r="A2669" s="134" t="s">
        <v>1245</v>
      </c>
      <c r="C2669" s="29">
        <v>203501511</v>
      </c>
      <c r="D2669" s="29">
        <v>171503657</v>
      </c>
      <c r="E2669" s="29"/>
      <c r="F2669" s="29" t="s">
        <v>139</v>
      </c>
      <c r="G2669" s="29" t="s">
        <v>737</v>
      </c>
      <c r="H2669" s="29" t="s">
        <v>38</v>
      </c>
      <c r="I2669" s="120">
        <v>45860</v>
      </c>
      <c r="J2669" s="120">
        <f t="shared" si="34"/>
        <v>45863</v>
      </c>
      <c r="K2669" s="120">
        <v>45891</v>
      </c>
      <c r="L2669" s="120"/>
      <c r="M2669" s="120"/>
      <c r="N2669" s="29"/>
      <c r="O2669" s="29" t="s">
        <v>877</v>
      </c>
      <c r="P2669" s="120"/>
      <c r="Q2669" s="156">
        <v>420</v>
      </c>
    </row>
    <row r="2670" spans="1:18" hidden="1">
      <c r="A2670" s="134" t="s">
        <v>502</v>
      </c>
      <c r="C2670" s="29">
        <v>203501518</v>
      </c>
      <c r="D2670" s="29">
        <v>174500653</v>
      </c>
      <c r="E2670" s="29"/>
      <c r="F2670" s="29" t="s">
        <v>139</v>
      </c>
      <c r="G2670" s="29" t="s">
        <v>737</v>
      </c>
      <c r="H2670" s="29" t="s">
        <v>38</v>
      </c>
      <c r="I2670" s="120">
        <v>45860</v>
      </c>
      <c r="J2670" s="120">
        <f t="shared" si="34"/>
        <v>45863</v>
      </c>
      <c r="K2670" s="120">
        <v>45891</v>
      </c>
      <c r="L2670" s="120"/>
      <c r="M2670" s="120"/>
      <c r="N2670" s="29"/>
      <c r="O2670" s="29" t="s">
        <v>877</v>
      </c>
      <c r="P2670" s="120"/>
      <c r="Q2670" s="156">
        <v>980</v>
      </c>
    </row>
    <row r="2671" spans="1:18" hidden="1">
      <c r="A2671" s="134" t="s">
        <v>1245</v>
      </c>
      <c r="C2671" s="29">
        <v>203501533</v>
      </c>
      <c r="D2671" s="29">
        <v>171503712</v>
      </c>
      <c r="E2671" s="29"/>
      <c r="F2671" s="29" t="s">
        <v>139</v>
      </c>
      <c r="G2671" s="29" t="s">
        <v>737</v>
      </c>
      <c r="H2671" s="29" t="s">
        <v>38</v>
      </c>
      <c r="I2671" s="120">
        <v>45860</v>
      </c>
      <c r="J2671" s="120">
        <f t="shared" si="34"/>
        <v>45863</v>
      </c>
      <c r="K2671" s="120">
        <v>45891</v>
      </c>
      <c r="L2671" s="120"/>
      <c r="M2671" s="120"/>
      <c r="N2671" s="29"/>
      <c r="O2671" s="29" t="s">
        <v>877</v>
      </c>
      <c r="P2671" s="120"/>
      <c r="Q2671" s="156">
        <v>370</v>
      </c>
    </row>
    <row r="2672" spans="1:18" hidden="1">
      <c r="A2672" s="134" t="s">
        <v>1245</v>
      </c>
      <c r="C2672" s="29">
        <v>203501547</v>
      </c>
      <c r="D2672" s="29">
        <v>171503742</v>
      </c>
      <c r="E2672" s="29"/>
      <c r="F2672" s="29" t="s">
        <v>139</v>
      </c>
      <c r="G2672" s="29" t="s">
        <v>737</v>
      </c>
      <c r="H2672" s="29" t="s">
        <v>38</v>
      </c>
      <c r="I2672" s="120">
        <v>45860</v>
      </c>
      <c r="J2672" s="120">
        <f t="shared" si="34"/>
        <v>45863</v>
      </c>
      <c r="K2672" s="120">
        <v>45891</v>
      </c>
      <c r="L2672" s="120"/>
      <c r="M2672" s="120"/>
      <c r="N2672" s="29"/>
      <c r="O2672" s="29" t="s">
        <v>877</v>
      </c>
      <c r="P2672" s="120"/>
      <c r="Q2672" s="156">
        <v>350</v>
      </c>
    </row>
    <row r="2673" spans="1:18" hidden="1">
      <c r="A2673" s="134" t="s">
        <v>1245</v>
      </c>
      <c r="C2673" s="29">
        <v>203501567</v>
      </c>
      <c r="D2673" s="29">
        <v>171503746</v>
      </c>
      <c r="E2673" s="29"/>
      <c r="F2673" s="29" t="s">
        <v>139</v>
      </c>
      <c r="G2673" s="29" t="s">
        <v>737</v>
      </c>
      <c r="H2673" s="29" t="s">
        <v>38</v>
      </c>
      <c r="I2673" s="120">
        <v>45860</v>
      </c>
      <c r="J2673" s="120">
        <f t="shared" si="34"/>
        <v>45863</v>
      </c>
      <c r="K2673" s="120">
        <v>45891</v>
      </c>
      <c r="L2673" s="120"/>
      <c r="M2673" s="120"/>
      <c r="N2673" s="29"/>
      <c r="O2673" s="29" t="s">
        <v>877</v>
      </c>
      <c r="P2673" s="120"/>
      <c r="Q2673" s="156">
        <v>670</v>
      </c>
    </row>
    <row r="2674" spans="1:18" hidden="1">
      <c r="A2674" s="134" t="s">
        <v>1245</v>
      </c>
      <c r="C2674" s="29">
        <v>203501580</v>
      </c>
      <c r="D2674" s="29">
        <v>171503668</v>
      </c>
      <c r="E2674" s="29"/>
      <c r="F2674" s="29" t="s">
        <v>139</v>
      </c>
      <c r="G2674" s="29" t="s">
        <v>737</v>
      </c>
      <c r="H2674" s="29" t="s">
        <v>38</v>
      </c>
      <c r="I2674" s="120">
        <v>45860</v>
      </c>
      <c r="J2674" s="120">
        <f t="shared" si="34"/>
        <v>45863</v>
      </c>
      <c r="K2674" s="120">
        <v>45891</v>
      </c>
      <c r="L2674" s="120"/>
      <c r="M2674" s="120"/>
      <c r="N2674" s="29"/>
      <c r="O2674" s="29" t="s">
        <v>877</v>
      </c>
      <c r="P2674" s="120"/>
      <c r="Q2674" s="156">
        <v>920</v>
      </c>
    </row>
    <row r="2675" spans="1:18" hidden="1">
      <c r="A2675" s="134" t="s">
        <v>1245</v>
      </c>
      <c r="C2675" s="29">
        <v>203501594</v>
      </c>
      <c r="D2675" s="29">
        <v>171503705</v>
      </c>
      <c r="E2675" s="29"/>
      <c r="F2675" s="29" t="s">
        <v>139</v>
      </c>
      <c r="G2675" s="29" t="s">
        <v>737</v>
      </c>
      <c r="H2675" s="29" t="s">
        <v>38</v>
      </c>
      <c r="I2675" s="120">
        <v>45860</v>
      </c>
      <c r="J2675" s="120">
        <f t="shared" si="34"/>
        <v>45863</v>
      </c>
      <c r="K2675" s="120">
        <v>45891</v>
      </c>
      <c r="L2675" s="120"/>
      <c r="M2675" s="120"/>
      <c r="N2675" s="29"/>
      <c r="O2675" s="29" t="s">
        <v>877</v>
      </c>
      <c r="P2675" s="120"/>
      <c r="Q2675" s="156">
        <v>840</v>
      </c>
    </row>
    <row r="2676" spans="1:18" hidden="1">
      <c r="A2676" s="134" t="s">
        <v>1245</v>
      </c>
      <c r="C2676" s="29">
        <v>203501605</v>
      </c>
      <c r="D2676" s="29">
        <v>171503722</v>
      </c>
      <c r="E2676" s="29"/>
      <c r="F2676" s="29" t="s">
        <v>139</v>
      </c>
      <c r="G2676" s="29" t="s">
        <v>737</v>
      </c>
      <c r="H2676" s="29" t="s">
        <v>38</v>
      </c>
      <c r="I2676" s="120">
        <v>45860</v>
      </c>
      <c r="J2676" s="120">
        <f t="shared" si="34"/>
        <v>45863</v>
      </c>
      <c r="K2676" s="120">
        <v>45891</v>
      </c>
      <c r="L2676" s="120"/>
      <c r="M2676" s="120"/>
      <c r="N2676" s="29"/>
      <c r="O2676" s="29" t="s">
        <v>877</v>
      </c>
      <c r="P2676" s="120"/>
      <c r="Q2676" s="156">
        <v>780</v>
      </c>
    </row>
    <row r="2677" spans="1:18" hidden="1">
      <c r="A2677" s="134" t="s">
        <v>1245</v>
      </c>
      <c r="C2677" s="29">
        <v>203501611</v>
      </c>
      <c r="D2677" s="29">
        <v>171503732</v>
      </c>
      <c r="E2677" s="29"/>
      <c r="F2677" s="29" t="s">
        <v>139</v>
      </c>
      <c r="G2677" s="29" t="s">
        <v>737</v>
      </c>
      <c r="H2677" s="29" t="s">
        <v>38</v>
      </c>
      <c r="I2677" s="120">
        <v>45860</v>
      </c>
      <c r="J2677" s="120">
        <f t="shared" si="34"/>
        <v>45863</v>
      </c>
      <c r="K2677" s="120">
        <v>45891</v>
      </c>
      <c r="L2677" s="120"/>
      <c r="M2677" s="120"/>
      <c r="N2677" s="29"/>
      <c r="O2677" s="29" t="s">
        <v>877</v>
      </c>
      <c r="P2677" s="120"/>
      <c r="Q2677" s="156">
        <v>620</v>
      </c>
    </row>
    <row r="2678" spans="1:18" hidden="1">
      <c r="A2678" s="134" t="s">
        <v>977</v>
      </c>
      <c r="C2678" s="29">
        <v>203501618</v>
      </c>
      <c r="D2678" s="29">
        <v>175501223</v>
      </c>
      <c r="E2678" s="29"/>
      <c r="F2678" s="29" t="s">
        <v>139</v>
      </c>
      <c r="G2678" s="29" t="s">
        <v>737</v>
      </c>
      <c r="H2678" s="29" t="s">
        <v>38</v>
      </c>
      <c r="I2678" s="120">
        <v>45860</v>
      </c>
      <c r="J2678" s="120">
        <f t="shared" si="34"/>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139</v>
      </c>
      <c r="G2679" s="29" t="s">
        <v>737</v>
      </c>
      <c r="H2679" s="29" t="s">
        <v>38</v>
      </c>
      <c r="I2679" s="120">
        <v>45860</v>
      </c>
      <c r="J2679" s="120">
        <f t="shared" si="34"/>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139</v>
      </c>
      <c r="G2680" s="29" t="s">
        <v>737</v>
      </c>
      <c r="H2680" s="29" t="s">
        <v>38</v>
      </c>
      <c r="I2680" s="120">
        <v>45860</v>
      </c>
      <c r="J2680" s="120">
        <f t="shared" si="34"/>
        <v>45863</v>
      </c>
      <c r="K2680" s="120">
        <v>45891</v>
      </c>
      <c r="L2680" s="120"/>
      <c r="M2680" s="120"/>
      <c r="N2680" s="29"/>
      <c r="O2680" s="29" t="s">
        <v>877</v>
      </c>
      <c r="P2680" s="120"/>
      <c r="Q2680" s="156">
        <v>240</v>
      </c>
    </row>
    <row r="2681" spans="1:18" hidden="1">
      <c r="A2681" s="134" t="s">
        <v>977</v>
      </c>
      <c r="C2681" s="29">
        <v>203501647</v>
      </c>
      <c r="D2681" s="29">
        <v>175501205</v>
      </c>
      <c r="E2681" s="29"/>
      <c r="F2681" s="29" t="s">
        <v>139</v>
      </c>
      <c r="G2681" s="29" t="s">
        <v>737</v>
      </c>
      <c r="H2681" s="29" t="s">
        <v>38</v>
      </c>
      <c r="I2681" s="120">
        <v>45860</v>
      </c>
      <c r="J2681" s="120">
        <f t="shared" si="34"/>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139</v>
      </c>
      <c r="G2682" s="29" t="s">
        <v>737</v>
      </c>
      <c r="H2682" s="29" t="s">
        <v>38</v>
      </c>
      <c r="I2682" s="120">
        <v>45860</v>
      </c>
      <c r="J2682" s="120">
        <f t="shared" si="34"/>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139</v>
      </c>
      <c r="G2683" s="29" t="s">
        <v>737</v>
      </c>
      <c r="H2683" s="29" t="s">
        <v>38</v>
      </c>
      <c r="I2683" s="120">
        <v>45860</v>
      </c>
      <c r="J2683" s="120">
        <f t="shared" si="34"/>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139</v>
      </c>
      <c r="G2684" s="29" t="s">
        <v>737</v>
      </c>
      <c r="H2684" s="29" t="s">
        <v>38</v>
      </c>
      <c r="I2684" s="120">
        <v>45860</v>
      </c>
      <c r="J2684" s="120">
        <f t="shared" si="34"/>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139</v>
      </c>
      <c r="G2685" s="29" t="s">
        <v>737</v>
      </c>
      <c r="H2685" s="29" t="s">
        <v>38</v>
      </c>
      <c r="I2685" s="120">
        <v>45860</v>
      </c>
      <c r="J2685" s="120">
        <f t="shared" si="34"/>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139</v>
      </c>
      <c r="G2686" s="29" t="s">
        <v>737</v>
      </c>
      <c r="H2686" s="29" t="s">
        <v>38</v>
      </c>
      <c r="I2686" s="120">
        <v>45860</v>
      </c>
      <c r="J2686" s="120">
        <f t="shared" si="34"/>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139</v>
      </c>
      <c r="G2687" s="29" t="s">
        <v>737</v>
      </c>
      <c r="H2687" s="29" t="s">
        <v>38</v>
      </c>
      <c r="I2687" s="120">
        <v>45860</v>
      </c>
      <c r="J2687" s="120">
        <f t="shared" si="34"/>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139</v>
      </c>
      <c r="G2688" s="29" t="s">
        <v>737</v>
      </c>
      <c r="H2688" s="29" t="s">
        <v>38</v>
      </c>
      <c r="I2688" s="120">
        <v>45860</v>
      </c>
      <c r="J2688" s="120">
        <f t="shared" si="34"/>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139</v>
      </c>
      <c r="G2689" s="29" t="s">
        <v>737</v>
      </c>
      <c r="H2689" s="29" t="s">
        <v>38</v>
      </c>
      <c r="I2689" s="120">
        <v>45860</v>
      </c>
      <c r="J2689" s="120">
        <f t="shared" si="34"/>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139</v>
      </c>
      <c r="G2690" s="29" t="s">
        <v>737</v>
      </c>
      <c r="H2690" s="29" t="s">
        <v>38</v>
      </c>
      <c r="I2690" s="120">
        <v>45860</v>
      </c>
      <c r="J2690" s="120">
        <f t="shared" si="34"/>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139</v>
      </c>
      <c r="G2691" s="29" t="s">
        <v>737</v>
      </c>
      <c r="H2691" s="29" t="s">
        <v>38</v>
      </c>
      <c r="I2691" s="120">
        <v>45860</v>
      </c>
      <c r="J2691" s="120">
        <f t="shared" si="34"/>
        <v>45863</v>
      </c>
      <c r="K2691" s="120">
        <v>45891</v>
      </c>
      <c r="L2691" s="120"/>
      <c r="M2691" s="120"/>
      <c r="N2691" s="29"/>
      <c r="O2691" s="29" t="s">
        <v>877</v>
      </c>
      <c r="P2691" s="120"/>
      <c r="Q2691" s="156">
        <v>280</v>
      </c>
    </row>
    <row r="2692" spans="1:17" hidden="1">
      <c r="A2692" s="119" t="s">
        <v>934</v>
      </c>
      <c r="B2692" s="119"/>
      <c r="C2692" s="29">
        <v>205504490</v>
      </c>
      <c r="D2692" s="29"/>
      <c r="E2692" s="29"/>
      <c r="F2692" s="29" t="s">
        <v>139</v>
      </c>
      <c r="G2692" s="29" t="s">
        <v>737</v>
      </c>
      <c r="H2692" s="29" t="s">
        <v>38</v>
      </c>
      <c r="I2692" s="120">
        <v>45862</v>
      </c>
      <c r="J2692" s="120">
        <f t="shared" si="34"/>
        <v>45867</v>
      </c>
      <c r="K2692" s="120">
        <v>45893</v>
      </c>
      <c r="L2692" s="120"/>
      <c r="M2692" s="120"/>
      <c r="N2692" s="29"/>
      <c r="O2692" s="29" t="s">
        <v>877</v>
      </c>
      <c r="P2692" s="120"/>
      <c r="Q2692" s="156">
        <v>1300</v>
      </c>
    </row>
    <row r="2693" spans="1:17" hidden="1">
      <c r="A2693" s="119" t="s">
        <v>934</v>
      </c>
      <c r="B2693" s="119"/>
      <c r="C2693" s="29">
        <v>205504501</v>
      </c>
      <c r="D2693" s="29"/>
      <c r="E2693" s="29"/>
      <c r="F2693" s="29" t="s">
        <v>139</v>
      </c>
      <c r="G2693" s="29" t="s">
        <v>737</v>
      </c>
      <c r="H2693" s="29" t="s">
        <v>38</v>
      </c>
      <c r="I2693" s="120">
        <v>45862</v>
      </c>
      <c r="J2693" s="120">
        <f t="shared" si="34"/>
        <v>45867</v>
      </c>
      <c r="K2693" s="120">
        <v>45893</v>
      </c>
      <c r="L2693" s="120"/>
      <c r="M2693" s="120"/>
      <c r="N2693" s="29"/>
      <c r="O2693" s="29" t="s">
        <v>877</v>
      </c>
      <c r="P2693" s="120"/>
      <c r="Q2693" s="156">
        <v>130</v>
      </c>
    </row>
    <row r="2694" spans="1:17" hidden="1">
      <c r="A2694" s="119" t="s">
        <v>934</v>
      </c>
      <c r="B2694" s="119"/>
      <c r="C2694" s="29">
        <v>205504506</v>
      </c>
      <c r="D2694" s="29"/>
      <c r="E2694" s="29"/>
      <c r="F2694" s="29" t="s">
        <v>139</v>
      </c>
      <c r="G2694" s="29" t="s">
        <v>737</v>
      </c>
      <c r="H2694" s="29" t="s">
        <v>38</v>
      </c>
      <c r="I2694" s="120">
        <v>45862</v>
      </c>
      <c r="J2694" s="120">
        <f t="shared" si="34"/>
        <v>45867</v>
      </c>
      <c r="K2694" s="120">
        <v>45893</v>
      </c>
      <c r="L2694" s="120"/>
      <c r="M2694" s="120"/>
      <c r="N2694" s="29"/>
      <c r="O2694" s="29" t="s">
        <v>877</v>
      </c>
      <c r="P2694" s="120"/>
      <c r="Q2694" s="156">
        <v>500</v>
      </c>
    </row>
    <row r="2695" spans="1:17" hidden="1">
      <c r="A2695" s="134" t="s">
        <v>278</v>
      </c>
      <c r="C2695" s="29">
        <v>206503010</v>
      </c>
      <c r="D2695" s="29"/>
      <c r="E2695" s="29"/>
      <c r="F2695" s="29" t="s">
        <v>139</v>
      </c>
      <c r="G2695" s="29" t="s">
        <v>737</v>
      </c>
      <c r="H2695" s="29" t="s">
        <v>38</v>
      </c>
      <c r="I2695" s="120">
        <v>45862</v>
      </c>
      <c r="J2695" s="120">
        <f t="shared" si="34"/>
        <v>45867</v>
      </c>
      <c r="K2695" s="120">
        <v>45893</v>
      </c>
      <c r="L2695" s="120"/>
      <c r="M2695" s="120"/>
      <c r="N2695" s="29"/>
      <c r="O2695" s="29" t="s">
        <v>877</v>
      </c>
      <c r="P2695" s="29"/>
      <c r="Q2695" s="156">
        <v>300</v>
      </c>
    </row>
    <row r="2696" spans="1:17" hidden="1">
      <c r="A2696" s="134" t="s">
        <v>1062</v>
      </c>
      <c r="C2696" s="29">
        <v>209506587</v>
      </c>
      <c r="D2696" s="29">
        <v>182501798</v>
      </c>
      <c r="E2696" s="29"/>
      <c r="F2696" s="29" t="s">
        <v>139</v>
      </c>
      <c r="G2696" s="29" t="s">
        <v>737</v>
      </c>
      <c r="H2696" s="29" t="s">
        <v>38</v>
      </c>
      <c r="I2696" s="120">
        <v>45866</v>
      </c>
      <c r="J2696" s="120">
        <f t="shared" si="34"/>
        <v>45869</v>
      </c>
      <c r="K2696" s="120">
        <v>45897</v>
      </c>
      <c r="L2696" s="120"/>
      <c r="M2696" s="120"/>
      <c r="N2696" s="29"/>
      <c r="O2696" s="29" t="s">
        <v>877</v>
      </c>
      <c r="P2696" s="29"/>
      <c r="Q2696" s="156">
        <v>1000</v>
      </c>
    </row>
    <row r="2697" spans="1:17" hidden="1">
      <c r="A2697" s="134" t="s">
        <v>1062</v>
      </c>
      <c r="C2697" s="29">
        <v>209506596</v>
      </c>
      <c r="D2697" s="29">
        <v>182501814</v>
      </c>
      <c r="E2697" s="29"/>
      <c r="F2697" s="29" t="s">
        <v>139</v>
      </c>
      <c r="G2697" s="29" t="s">
        <v>737</v>
      </c>
      <c r="H2697" s="29" t="s">
        <v>38</v>
      </c>
      <c r="I2697" s="120">
        <v>45866</v>
      </c>
      <c r="J2697" s="120">
        <f t="shared" si="34"/>
        <v>45869</v>
      </c>
      <c r="K2697" s="120">
        <v>45897</v>
      </c>
      <c r="L2697" s="120"/>
      <c r="M2697" s="120"/>
      <c r="N2697" s="29"/>
      <c r="O2697" s="29" t="s">
        <v>877</v>
      </c>
      <c r="P2697" s="120"/>
      <c r="Q2697" s="156">
        <v>300</v>
      </c>
    </row>
    <row r="2698" spans="1:17" hidden="1">
      <c r="A2698" s="134" t="s">
        <v>1325</v>
      </c>
      <c r="C2698" s="29">
        <v>210500158</v>
      </c>
      <c r="D2698" s="29"/>
      <c r="E2698" s="29"/>
      <c r="F2698" s="29" t="s">
        <v>139</v>
      </c>
      <c r="G2698" s="29" t="s">
        <v>16</v>
      </c>
      <c r="H2698" s="29" t="s">
        <v>38</v>
      </c>
      <c r="I2698" s="120">
        <v>45867</v>
      </c>
      <c r="J2698" s="120">
        <f t="shared" si="34"/>
        <v>45870</v>
      </c>
      <c r="K2698" s="120">
        <v>45898</v>
      </c>
      <c r="L2698" s="120"/>
      <c r="M2698" s="120"/>
      <c r="N2698" s="120">
        <v>45867</v>
      </c>
      <c r="O2698" s="29" t="s">
        <v>877</v>
      </c>
      <c r="P2698" s="120"/>
      <c r="Q2698" s="156">
        <v>740</v>
      </c>
    </row>
    <row r="2699" spans="1:17" hidden="1">
      <c r="A2699" s="134" t="s">
        <v>1325</v>
      </c>
      <c r="C2699" s="29">
        <v>210500163</v>
      </c>
      <c r="D2699" s="29"/>
      <c r="E2699" s="29"/>
      <c r="F2699" s="29" t="s">
        <v>139</v>
      </c>
      <c r="G2699" s="29" t="s">
        <v>16</v>
      </c>
      <c r="H2699" s="29" t="s">
        <v>38</v>
      </c>
      <c r="I2699" s="120">
        <v>45867</v>
      </c>
      <c r="J2699" s="120">
        <f t="shared" si="34"/>
        <v>45870</v>
      </c>
      <c r="K2699" s="120">
        <v>45898</v>
      </c>
      <c r="L2699" s="120"/>
      <c r="M2699" s="120"/>
      <c r="N2699" s="120">
        <v>45867</v>
      </c>
      <c r="O2699" s="29" t="s">
        <v>877</v>
      </c>
      <c r="P2699" s="120"/>
      <c r="Q2699" s="156">
        <v>355</v>
      </c>
    </row>
    <row r="2700" spans="1:17" hidden="1">
      <c r="A2700" s="134" t="s">
        <v>1325</v>
      </c>
      <c r="C2700" s="29">
        <v>210500187</v>
      </c>
      <c r="D2700" s="29"/>
      <c r="E2700" s="29"/>
      <c r="F2700" s="29" t="s">
        <v>139</v>
      </c>
      <c r="G2700" s="29" t="s">
        <v>16</v>
      </c>
      <c r="H2700" s="29" t="s">
        <v>38</v>
      </c>
      <c r="I2700" s="120">
        <v>45867</v>
      </c>
      <c r="J2700" s="120">
        <f t="shared" si="34"/>
        <v>45870</v>
      </c>
      <c r="K2700" s="120">
        <v>45898</v>
      </c>
      <c r="L2700" s="120"/>
      <c r="M2700" s="120"/>
      <c r="N2700" s="120">
        <v>45867</v>
      </c>
      <c r="O2700" s="29" t="s">
        <v>877</v>
      </c>
      <c r="P2700" s="120"/>
      <c r="Q2700" s="156">
        <v>1300</v>
      </c>
    </row>
    <row r="2701" spans="1:17" hidden="1">
      <c r="A2701" s="134" t="s">
        <v>1325</v>
      </c>
      <c r="C2701" s="29">
        <v>210500192</v>
      </c>
      <c r="D2701" s="29"/>
      <c r="E2701" s="29"/>
      <c r="F2701" s="29" t="s">
        <v>139</v>
      </c>
      <c r="G2701" s="29" t="s">
        <v>16</v>
      </c>
      <c r="H2701" s="29" t="s">
        <v>38</v>
      </c>
      <c r="I2701" s="120">
        <v>45867</v>
      </c>
      <c r="J2701" s="120">
        <f t="shared" si="34"/>
        <v>45870</v>
      </c>
      <c r="K2701" s="120">
        <v>45898</v>
      </c>
      <c r="L2701" s="120"/>
      <c r="M2701" s="120"/>
      <c r="N2701" s="120">
        <v>45867</v>
      </c>
      <c r="O2701" s="29" t="s">
        <v>877</v>
      </c>
      <c r="P2701" s="120"/>
      <c r="Q2701" s="156">
        <v>1300</v>
      </c>
    </row>
    <row r="2702" spans="1:17" hidden="1">
      <c r="A2702" s="134" t="s">
        <v>1325</v>
      </c>
      <c r="C2702" s="29">
        <v>210500193</v>
      </c>
      <c r="D2702" s="29"/>
      <c r="E2702" s="29"/>
      <c r="F2702" s="29" t="s">
        <v>139</v>
      </c>
      <c r="G2702" s="29" t="s">
        <v>16</v>
      </c>
      <c r="H2702" s="29" t="s">
        <v>38</v>
      </c>
      <c r="I2702" s="120">
        <v>45867</v>
      </c>
      <c r="J2702" s="120">
        <f t="shared" si="34"/>
        <v>45870</v>
      </c>
      <c r="K2702" s="120">
        <v>45898</v>
      </c>
      <c r="L2702" s="120"/>
      <c r="M2702" s="120"/>
      <c r="N2702" s="120">
        <v>45867</v>
      </c>
      <c r="O2702" s="29" t="s">
        <v>877</v>
      </c>
      <c r="P2702" s="120"/>
      <c r="Q2702" s="156">
        <v>1300</v>
      </c>
    </row>
    <row r="2703" spans="1:17" hidden="1">
      <c r="A2703" s="134" t="s">
        <v>1325</v>
      </c>
      <c r="C2703" s="29">
        <v>210500196</v>
      </c>
      <c r="D2703" s="29"/>
      <c r="E2703" s="29"/>
      <c r="F2703" s="29" t="s">
        <v>139</v>
      </c>
      <c r="G2703" s="29" t="s">
        <v>16</v>
      </c>
      <c r="H2703" s="29" t="s">
        <v>38</v>
      </c>
      <c r="I2703" s="120">
        <v>45867</v>
      </c>
      <c r="J2703" s="120">
        <f t="shared" si="34"/>
        <v>45870</v>
      </c>
      <c r="K2703" s="120">
        <v>45898</v>
      </c>
      <c r="L2703" s="120"/>
      <c r="M2703" s="120"/>
      <c r="N2703" s="120">
        <v>45867</v>
      </c>
      <c r="O2703" s="29" t="s">
        <v>877</v>
      </c>
      <c r="P2703" s="120"/>
      <c r="Q2703" s="156">
        <v>1300</v>
      </c>
    </row>
    <row r="2704" spans="1:17" hidden="1">
      <c r="A2704" s="134" t="s">
        <v>1325</v>
      </c>
      <c r="C2704" s="29">
        <v>210500201</v>
      </c>
      <c r="D2704" s="29"/>
      <c r="E2704" s="29"/>
      <c r="F2704" s="29" t="s">
        <v>139</v>
      </c>
      <c r="G2704" s="29" t="s">
        <v>16</v>
      </c>
      <c r="H2704" s="29" t="s">
        <v>38</v>
      </c>
      <c r="I2704" s="120">
        <v>45867</v>
      </c>
      <c r="J2704" s="120">
        <f t="shared" si="34"/>
        <v>45870</v>
      </c>
      <c r="K2704" s="120">
        <v>45898</v>
      </c>
      <c r="L2704" s="120"/>
      <c r="M2704" s="120"/>
      <c r="N2704" s="120">
        <v>45867</v>
      </c>
      <c r="O2704" s="29" t="s">
        <v>877</v>
      </c>
      <c r="P2704" s="120"/>
      <c r="Q2704" s="156">
        <v>1100</v>
      </c>
    </row>
    <row r="2705" spans="1:18" hidden="1">
      <c r="A2705" s="134" t="s">
        <v>1325</v>
      </c>
      <c r="C2705" s="29">
        <v>210500203</v>
      </c>
      <c r="D2705" s="29"/>
      <c r="E2705" s="29"/>
      <c r="F2705" s="29" t="s">
        <v>139</v>
      </c>
      <c r="G2705" s="29" t="s">
        <v>16</v>
      </c>
      <c r="H2705" s="29" t="s">
        <v>38</v>
      </c>
      <c r="I2705" s="120">
        <v>45867</v>
      </c>
      <c r="J2705" s="120">
        <f t="shared" si="34"/>
        <v>45870</v>
      </c>
      <c r="K2705" s="120">
        <v>45898</v>
      </c>
      <c r="L2705" s="120"/>
      <c r="M2705" s="120"/>
      <c r="N2705" s="120">
        <v>45867</v>
      </c>
      <c r="O2705" s="29" t="s">
        <v>877</v>
      </c>
      <c r="P2705" s="120"/>
      <c r="Q2705" s="156">
        <v>1200</v>
      </c>
    </row>
    <row r="2706" spans="1:18" hidden="1">
      <c r="A2706" s="134" t="s">
        <v>1325</v>
      </c>
      <c r="C2706" s="29">
        <v>210500207</v>
      </c>
      <c r="D2706" s="29"/>
      <c r="E2706" s="29"/>
      <c r="F2706" s="29" t="s">
        <v>139</v>
      </c>
      <c r="G2706" s="29" t="s">
        <v>16</v>
      </c>
      <c r="H2706" s="29" t="s">
        <v>38</v>
      </c>
      <c r="I2706" s="120">
        <v>45867</v>
      </c>
      <c r="J2706" s="120">
        <f t="shared" si="34"/>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139</v>
      </c>
      <c r="G2707" s="29" t="s">
        <v>16</v>
      </c>
      <c r="H2707" s="29" t="s">
        <v>38</v>
      </c>
      <c r="I2707" s="120">
        <v>45867</v>
      </c>
      <c r="J2707" s="120">
        <f t="shared" si="34"/>
        <v>45870</v>
      </c>
      <c r="K2707" s="120">
        <v>45898</v>
      </c>
      <c r="L2707" s="120"/>
      <c r="M2707" s="120"/>
      <c r="N2707" s="120">
        <v>45867</v>
      </c>
      <c r="O2707" s="29" t="s">
        <v>877</v>
      </c>
      <c r="P2707" s="120"/>
      <c r="Q2707" s="156">
        <v>1100</v>
      </c>
    </row>
    <row r="2708" spans="1:18" hidden="1">
      <c r="A2708" s="134" t="s">
        <v>1325</v>
      </c>
      <c r="C2708" s="29">
        <v>210500216</v>
      </c>
      <c r="D2708" s="29"/>
      <c r="E2708" s="29"/>
      <c r="F2708" s="29" t="s">
        <v>139</v>
      </c>
      <c r="G2708" s="29" t="s">
        <v>16</v>
      </c>
      <c r="H2708" s="29" t="s">
        <v>38</v>
      </c>
      <c r="I2708" s="120">
        <v>45867</v>
      </c>
      <c r="J2708" s="120">
        <f t="shared" si="34"/>
        <v>45870</v>
      </c>
      <c r="K2708" s="120">
        <v>45898</v>
      </c>
      <c r="L2708" s="120"/>
      <c r="M2708" s="120"/>
      <c r="N2708" s="120">
        <v>45867</v>
      </c>
      <c r="O2708" s="29" t="s">
        <v>877</v>
      </c>
      <c r="P2708" s="120"/>
      <c r="Q2708" s="156">
        <v>1350</v>
      </c>
    </row>
    <row r="2709" spans="1:18" hidden="1">
      <c r="A2709" s="134" t="s">
        <v>1325</v>
      </c>
      <c r="C2709" s="29">
        <v>210500223</v>
      </c>
      <c r="D2709" s="29"/>
      <c r="E2709" s="29"/>
      <c r="F2709" s="29" t="s">
        <v>139</v>
      </c>
      <c r="G2709" s="29" t="s">
        <v>16</v>
      </c>
      <c r="H2709" s="29" t="s">
        <v>38</v>
      </c>
      <c r="I2709" s="120">
        <v>45867</v>
      </c>
      <c r="J2709" s="120">
        <f t="shared" si="34"/>
        <v>45870</v>
      </c>
      <c r="K2709" s="120">
        <v>45898</v>
      </c>
      <c r="L2709" s="120"/>
      <c r="M2709" s="120"/>
      <c r="N2709" s="120">
        <v>45867</v>
      </c>
      <c r="O2709" s="29" t="s">
        <v>877</v>
      </c>
      <c r="P2709" s="120"/>
      <c r="Q2709" s="156">
        <v>600</v>
      </c>
    </row>
    <row r="2710" spans="1:18" hidden="1">
      <c r="A2710" s="134" t="s">
        <v>1327</v>
      </c>
      <c r="C2710" s="29">
        <v>247500357</v>
      </c>
      <c r="D2710" s="29"/>
      <c r="E2710" s="29"/>
      <c r="F2710" s="29" t="s">
        <v>139</v>
      </c>
      <c r="G2710" s="29" t="s">
        <v>16</v>
      </c>
      <c r="H2710" s="29" t="s">
        <v>38</v>
      </c>
      <c r="I2710" s="120">
        <v>45904</v>
      </c>
      <c r="J2710" s="120">
        <f t="shared" si="34"/>
        <v>45909</v>
      </c>
      <c r="K2710" s="120">
        <v>45934</v>
      </c>
      <c r="L2710" s="120"/>
      <c r="M2710" s="120"/>
      <c r="N2710" s="29"/>
      <c r="O2710" s="29" t="s">
        <v>877</v>
      </c>
      <c r="P2710" s="120"/>
      <c r="Q2710" s="156">
        <v>300</v>
      </c>
    </row>
    <row r="2711" spans="1:18" hidden="1">
      <c r="A2711" s="134" t="s">
        <v>1328</v>
      </c>
      <c r="C2711" s="29">
        <v>224500283</v>
      </c>
      <c r="D2711" s="29">
        <v>253500106</v>
      </c>
      <c r="E2711" s="29"/>
      <c r="F2711" s="29" t="s">
        <v>139</v>
      </c>
      <c r="G2711" s="29" t="s">
        <v>16</v>
      </c>
      <c r="H2711" s="29" t="s">
        <v>38</v>
      </c>
      <c r="I2711" s="120">
        <v>45881</v>
      </c>
      <c r="J2711" s="120">
        <f t="shared" si="34"/>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139</v>
      </c>
      <c r="G2712" s="29" t="s">
        <v>16</v>
      </c>
      <c r="H2712" s="29" t="s">
        <v>38</v>
      </c>
      <c r="I2712" s="120">
        <v>45881</v>
      </c>
      <c r="J2712" s="120">
        <f t="shared" si="34"/>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139</v>
      </c>
      <c r="G2713" s="29" t="s">
        <v>16</v>
      </c>
      <c r="H2713" s="29" t="s">
        <v>38</v>
      </c>
      <c r="I2713" s="120">
        <v>45881</v>
      </c>
      <c r="J2713" s="120">
        <f t="shared" si="34"/>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139</v>
      </c>
      <c r="G2714" s="29" t="s">
        <v>16</v>
      </c>
      <c r="H2714" s="29" t="s">
        <v>38</v>
      </c>
      <c r="I2714" s="120">
        <v>45881</v>
      </c>
      <c r="J2714" s="120">
        <f t="shared" si="34"/>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139</v>
      </c>
      <c r="G2715" s="29" t="s">
        <v>16</v>
      </c>
      <c r="H2715" s="29" t="s">
        <v>38</v>
      </c>
      <c r="I2715" s="120">
        <v>45881</v>
      </c>
      <c r="J2715" s="120">
        <f t="shared" si="34"/>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139</v>
      </c>
      <c r="G2716" s="29" t="s">
        <v>16</v>
      </c>
      <c r="H2716" s="29" t="s">
        <v>38</v>
      </c>
      <c r="I2716" s="120">
        <v>45881</v>
      </c>
      <c r="J2716" s="120">
        <f t="shared" si="34"/>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139</v>
      </c>
      <c r="G2717" s="29" t="s">
        <v>16</v>
      </c>
      <c r="H2717" s="29" t="s">
        <v>38</v>
      </c>
      <c r="I2717" s="120">
        <v>45881</v>
      </c>
      <c r="J2717" s="120">
        <f t="shared" si="34"/>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139</v>
      </c>
      <c r="G2718" s="29" t="s">
        <v>16</v>
      </c>
      <c r="H2718" s="29" t="s">
        <v>38</v>
      </c>
      <c r="I2718" s="120">
        <v>45881</v>
      </c>
      <c r="J2718" s="120">
        <f t="shared" si="34"/>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139</v>
      </c>
      <c r="G2719" s="29" t="s">
        <v>16</v>
      </c>
      <c r="H2719" s="29" t="s">
        <v>38</v>
      </c>
      <c r="I2719" s="120">
        <v>45881</v>
      </c>
      <c r="J2719" s="120">
        <f t="shared" si="34"/>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139</v>
      </c>
      <c r="G2720" s="29" t="s">
        <v>16</v>
      </c>
      <c r="H2720" s="29" t="s">
        <v>38</v>
      </c>
      <c r="I2720" s="120">
        <v>45881</v>
      </c>
      <c r="J2720" s="120">
        <f t="shared" si="34"/>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139</v>
      </c>
      <c r="G2721" s="29" t="s">
        <v>16</v>
      </c>
      <c r="H2721" s="29" t="s">
        <v>38</v>
      </c>
      <c r="I2721" s="120">
        <v>45881</v>
      </c>
      <c r="J2721" s="120">
        <f t="shared" ref="J2721:J2759" si="35">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139</v>
      </c>
      <c r="G2722" s="29" t="s">
        <v>16</v>
      </c>
      <c r="H2722" s="29" t="s">
        <v>38</v>
      </c>
      <c r="I2722" s="120">
        <v>45881</v>
      </c>
      <c r="J2722" s="120">
        <f t="shared" si="35"/>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139</v>
      </c>
      <c r="G2723" s="29" t="s">
        <v>16</v>
      </c>
      <c r="H2723" s="29" t="s">
        <v>38</v>
      </c>
      <c r="I2723" s="120">
        <v>45881</v>
      </c>
      <c r="J2723" s="120">
        <f t="shared" si="35"/>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139</v>
      </c>
      <c r="G2724" s="29" t="s">
        <v>16</v>
      </c>
      <c r="H2724" s="29" t="s">
        <v>38</v>
      </c>
      <c r="I2724" s="120">
        <v>45881</v>
      </c>
      <c r="J2724" s="120">
        <f t="shared" si="35"/>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139</v>
      </c>
      <c r="G2725" s="29" t="s">
        <v>16</v>
      </c>
      <c r="H2725" s="29" t="s">
        <v>38</v>
      </c>
      <c r="I2725" s="120">
        <v>45881</v>
      </c>
      <c r="J2725" s="120">
        <f t="shared" si="35"/>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139</v>
      </c>
      <c r="G2726" s="29" t="s">
        <v>16</v>
      </c>
      <c r="H2726" s="29" t="s">
        <v>38</v>
      </c>
      <c r="I2726" s="120">
        <v>45881</v>
      </c>
      <c r="J2726" s="120">
        <f t="shared" si="35"/>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139</v>
      </c>
      <c r="G2727" s="29" t="s">
        <v>16</v>
      </c>
      <c r="H2727" s="29" t="s">
        <v>38</v>
      </c>
      <c r="I2727" s="120">
        <v>45881</v>
      </c>
      <c r="J2727" s="120">
        <f t="shared" si="35"/>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139</v>
      </c>
      <c r="G2728" s="29" t="s">
        <v>16</v>
      </c>
      <c r="H2728" s="29" t="s">
        <v>38</v>
      </c>
      <c r="I2728" s="120">
        <v>45881</v>
      </c>
      <c r="J2728" s="120">
        <f t="shared" si="35"/>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139</v>
      </c>
      <c r="G2729" s="29" t="s">
        <v>16</v>
      </c>
      <c r="H2729" s="29" t="s">
        <v>38</v>
      </c>
      <c r="I2729" s="120">
        <v>45881</v>
      </c>
      <c r="J2729" s="120">
        <f t="shared" si="35"/>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139</v>
      </c>
      <c r="G2730" s="29" t="s">
        <v>16</v>
      </c>
      <c r="H2730" s="29" t="s">
        <v>38</v>
      </c>
      <c r="I2730" s="120">
        <v>45881</v>
      </c>
      <c r="J2730" s="120">
        <f t="shared" si="35"/>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139</v>
      </c>
      <c r="G2731" s="29" t="s">
        <v>16</v>
      </c>
      <c r="H2731" s="29" t="s">
        <v>38</v>
      </c>
      <c r="I2731" s="120">
        <v>45881</v>
      </c>
      <c r="J2731" s="120">
        <f t="shared" si="35"/>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139</v>
      </c>
      <c r="G2732" s="29" t="s">
        <v>16</v>
      </c>
      <c r="H2732" s="29" t="s">
        <v>38</v>
      </c>
      <c r="I2732" s="120">
        <v>45881</v>
      </c>
      <c r="J2732" s="120">
        <f t="shared" si="35"/>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139</v>
      </c>
      <c r="G2733" s="29" t="s">
        <v>16</v>
      </c>
      <c r="H2733" s="29" t="s">
        <v>38</v>
      </c>
      <c r="I2733" s="120">
        <v>45881</v>
      </c>
      <c r="J2733" s="120">
        <f t="shared" si="35"/>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139</v>
      </c>
      <c r="G2734" s="29" t="s">
        <v>16</v>
      </c>
      <c r="H2734" s="29" t="s">
        <v>38</v>
      </c>
      <c r="I2734" s="120">
        <v>45881</v>
      </c>
      <c r="J2734" s="120">
        <f t="shared" si="35"/>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139</v>
      </c>
      <c r="G2735" s="29" t="s">
        <v>16</v>
      </c>
      <c r="H2735" s="29" t="s">
        <v>38</v>
      </c>
      <c r="I2735" s="120">
        <v>45881</v>
      </c>
      <c r="J2735" s="120">
        <f t="shared" si="35"/>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139</v>
      </c>
      <c r="G2736" s="29" t="s">
        <v>16</v>
      </c>
      <c r="H2736" s="29" t="s">
        <v>38</v>
      </c>
      <c r="I2736" s="120">
        <v>45881</v>
      </c>
      <c r="J2736" s="120">
        <f t="shared" si="35"/>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139</v>
      </c>
      <c r="G2737" s="29" t="s">
        <v>16</v>
      </c>
      <c r="H2737" s="29" t="s">
        <v>38</v>
      </c>
      <c r="I2737" s="120">
        <v>45881</v>
      </c>
      <c r="J2737" s="120">
        <f t="shared" si="35"/>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139</v>
      </c>
      <c r="G2738" s="29" t="s">
        <v>16</v>
      </c>
      <c r="H2738" s="29" t="s">
        <v>38</v>
      </c>
      <c r="I2738" s="120">
        <v>45881</v>
      </c>
      <c r="J2738" s="120">
        <f t="shared" si="35"/>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139</v>
      </c>
      <c r="G2739" s="29" t="s">
        <v>16</v>
      </c>
      <c r="H2739" s="29" t="s">
        <v>38</v>
      </c>
      <c r="I2739" s="120">
        <v>45881</v>
      </c>
      <c r="J2739" s="120">
        <f t="shared" si="35"/>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139</v>
      </c>
      <c r="G2740" s="29" t="s">
        <v>16</v>
      </c>
      <c r="H2740" s="29" t="s">
        <v>38</v>
      </c>
      <c r="I2740" s="120">
        <v>45881</v>
      </c>
      <c r="J2740" s="120">
        <f t="shared" si="35"/>
        <v>45884</v>
      </c>
      <c r="K2740" s="120">
        <v>45912</v>
      </c>
      <c r="L2740" s="120"/>
      <c r="M2740" s="120"/>
      <c r="N2740" s="120">
        <v>45881</v>
      </c>
      <c r="O2740" s="29" t="s">
        <v>877</v>
      </c>
      <c r="P2740" s="120"/>
      <c r="Q2740" s="156">
        <v>330</v>
      </c>
    </row>
    <row r="2741" spans="1:17" hidden="1">
      <c r="A2741" s="134" t="s">
        <v>1330</v>
      </c>
      <c r="C2741" s="29">
        <v>224502305</v>
      </c>
      <c r="D2741" s="29"/>
      <c r="E2741" s="29"/>
      <c r="F2741" s="29" t="s">
        <v>139</v>
      </c>
      <c r="G2741" s="29" t="s">
        <v>16</v>
      </c>
      <c r="H2741" s="29" t="s">
        <v>38</v>
      </c>
      <c r="I2741" s="120">
        <v>45881</v>
      </c>
      <c r="J2741" s="120">
        <f t="shared" si="35"/>
        <v>45884</v>
      </c>
      <c r="K2741" s="120">
        <v>45912</v>
      </c>
      <c r="L2741" s="120"/>
      <c r="M2741" s="120"/>
      <c r="N2741" s="120">
        <v>45881</v>
      </c>
      <c r="O2741" s="29" t="s">
        <v>877</v>
      </c>
      <c r="P2741" s="120"/>
      <c r="Q2741" s="156">
        <v>330</v>
      </c>
    </row>
    <row r="2742" spans="1:17" hidden="1">
      <c r="A2742" s="134" t="s">
        <v>1330</v>
      </c>
      <c r="C2742" s="29">
        <v>224502396</v>
      </c>
      <c r="D2742" s="29"/>
      <c r="E2742" s="29"/>
      <c r="F2742" s="29" t="s">
        <v>139</v>
      </c>
      <c r="G2742" s="29" t="s">
        <v>16</v>
      </c>
      <c r="H2742" s="29" t="s">
        <v>38</v>
      </c>
      <c r="I2742" s="120">
        <v>45881</v>
      </c>
      <c r="J2742" s="120">
        <f t="shared" si="35"/>
        <v>45884</v>
      </c>
      <c r="K2742" s="120">
        <v>45912</v>
      </c>
      <c r="L2742" s="120"/>
      <c r="M2742" s="120"/>
      <c r="N2742" s="120">
        <v>45881</v>
      </c>
      <c r="O2742" s="29" t="s">
        <v>877</v>
      </c>
      <c r="P2742" s="120"/>
      <c r="Q2742" s="156">
        <v>270</v>
      </c>
    </row>
    <row r="2743" spans="1:17" hidden="1">
      <c r="A2743" s="134" t="s">
        <v>1330</v>
      </c>
      <c r="C2743" s="29">
        <v>224502438</v>
      </c>
      <c r="D2743" s="29"/>
      <c r="E2743" s="29"/>
      <c r="F2743" s="29" t="s">
        <v>139</v>
      </c>
      <c r="G2743" s="29" t="s">
        <v>16</v>
      </c>
      <c r="H2743" s="29" t="s">
        <v>38</v>
      </c>
      <c r="I2743" s="120">
        <v>45881</v>
      </c>
      <c r="J2743" s="120">
        <f t="shared" si="35"/>
        <v>45884</v>
      </c>
      <c r="K2743" s="120">
        <v>45912</v>
      </c>
      <c r="L2743" s="120"/>
      <c r="M2743" s="120"/>
      <c r="N2743" s="120">
        <v>45881</v>
      </c>
      <c r="O2743" s="29" t="s">
        <v>877</v>
      </c>
      <c r="P2743" s="120"/>
      <c r="Q2743" s="156">
        <v>270</v>
      </c>
    </row>
    <row r="2744" spans="1:17" hidden="1">
      <c r="A2744" s="134" t="s">
        <v>351</v>
      </c>
      <c r="C2744" s="29">
        <v>220501746</v>
      </c>
      <c r="D2744" s="29"/>
      <c r="E2744" s="29"/>
      <c r="F2744" s="29" t="s">
        <v>139</v>
      </c>
      <c r="G2744" s="29" t="s">
        <v>737</v>
      </c>
      <c r="H2744" s="29" t="s">
        <v>38</v>
      </c>
      <c r="I2744" s="120">
        <v>45877</v>
      </c>
      <c r="J2744" s="120">
        <f t="shared" si="35"/>
        <v>45882</v>
      </c>
      <c r="K2744" s="120">
        <v>45908</v>
      </c>
      <c r="L2744" s="120"/>
      <c r="M2744" s="120"/>
      <c r="N2744" s="120">
        <v>45877</v>
      </c>
      <c r="O2744" s="29" t="s">
        <v>877</v>
      </c>
      <c r="P2744" s="120"/>
      <c r="Q2744" s="156">
        <v>200</v>
      </c>
    </row>
    <row r="2745" spans="1:17" hidden="1">
      <c r="A2745" s="134" t="s">
        <v>1331</v>
      </c>
      <c r="C2745" s="29">
        <v>224500247</v>
      </c>
      <c r="D2745" s="29"/>
      <c r="E2745" s="29"/>
      <c r="F2745" s="29" t="s">
        <v>139</v>
      </c>
      <c r="G2745" s="29" t="s">
        <v>16</v>
      </c>
      <c r="H2745" s="29" t="s">
        <v>38</v>
      </c>
      <c r="I2745" s="120">
        <v>45881</v>
      </c>
      <c r="J2745" s="120">
        <f t="shared" si="35"/>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139</v>
      </c>
      <c r="G2746" s="29" t="s">
        <v>16</v>
      </c>
      <c r="H2746" s="29" t="s">
        <v>38</v>
      </c>
      <c r="I2746" s="120">
        <v>45881</v>
      </c>
      <c r="J2746" s="120">
        <f t="shared" si="35"/>
        <v>45884</v>
      </c>
      <c r="K2746" s="120">
        <v>45912</v>
      </c>
      <c r="L2746" s="120"/>
      <c r="M2746" s="120"/>
      <c r="N2746" s="120">
        <v>45881</v>
      </c>
      <c r="O2746" s="29" t="s">
        <v>877</v>
      </c>
      <c r="P2746" s="120"/>
      <c r="Q2746" s="156">
        <v>200</v>
      </c>
    </row>
    <row r="2747" spans="1:17" hidden="1">
      <c r="A2747" s="134" t="s">
        <v>898</v>
      </c>
      <c r="C2747" s="29">
        <v>224505850</v>
      </c>
      <c r="D2747" s="29"/>
      <c r="E2747" s="29"/>
      <c r="F2747" s="29" t="s">
        <v>139</v>
      </c>
      <c r="G2747" s="29" t="s">
        <v>16</v>
      </c>
      <c r="H2747" s="29" t="s">
        <v>38</v>
      </c>
      <c r="I2747" s="120">
        <v>45881</v>
      </c>
      <c r="J2747" s="120">
        <f t="shared" si="35"/>
        <v>45884</v>
      </c>
      <c r="K2747" s="120">
        <v>45912</v>
      </c>
      <c r="L2747" s="120"/>
      <c r="M2747" s="120"/>
      <c r="N2747" s="120">
        <v>45881</v>
      </c>
      <c r="O2747" s="29" t="s">
        <v>877</v>
      </c>
      <c r="P2747" s="120"/>
      <c r="Q2747" s="156">
        <v>50</v>
      </c>
    </row>
    <row r="2748" spans="1:17" hidden="1">
      <c r="A2748" s="134" t="s">
        <v>898</v>
      </c>
      <c r="C2748" s="29">
        <v>224505882</v>
      </c>
      <c r="D2748" s="29"/>
      <c r="E2748" s="29"/>
      <c r="F2748" s="29" t="s">
        <v>139</v>
      </c>
      <c r="G2748" s="29" t="s">
        <v>16</v>
      </c>
      <c r="H2748" s="29" t="s">
        <v>38</v>
      </c>
      <c r="I2748" s="120">
        <v>45881</v>
      </c>
      <c r="J2748" s="120">
        <f t="shared" si="35"/>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139</v>
      </c>
      <c r="G2749" s="29" t="s">
        <v>737</v>
      </c>
      <c r="H2749" s="29" t="s">
        <v>38</v>
      </c>
      <c r="I2749" s="120">
        <v>45884</v>
      </c>
      <c r="J2749" s="120">
        <f t="shared" si="35"/>
        <v>45889</v>
      </c>
      <c r="K2749" s="120">
        <v>45915</v>
      </c>
      <c r="L2749" s="120"/>
      <c r="M2749" s="120"/>
      <c r="N2749" s="29"/>
      <c r="O2749" s="29" t="s">
        <v>877</v>
      </c>
      <c r="P2749" s="120"/>
      <c r="Q2749" s="156">
        <v>200</v>
      </c>
    </row>
    <row r="2750" spans="1:17" hidden="1">
      <c r="A2750" s="119" t="s">
        <v>1054</v>
      </c>
      <c r="B2750" s="119"/>
      <c r="C2750" s="29">
        <v>231500207</v>
      </c>
      <c r="D2750" s="29"/>
      <c r="E2750" s="29"/>
      <c r="F2750" s="29" t="s">
        <v>139</v>
      </c>
      <c r="G2750" s="29" t="s">
        <v>737</v>
      </c>
      <c r="H2750" s="29" t="s">
        <v>38</v>
      </c>
      <c r="I2750" s="120">
        <v>45888</v>
      </c>
      <c r="J2750" s="120">
        <f t="shared" si="35"/>
        <v>45891</v>
      </c>
      <c r="K2750" s="120">
        <v>45919</v>
      </c>
      <c r="L2750" s="120"/>
      <c r="M2750" s="120"/>
      <c r="N2750" s="29"/>
      <c r="O2750" s="29" t="s">
        <v>877</v>
      </c>
      <c r="P2750" s="120"/>
      <c r="Q2750" s="156">
        <v>300</v>
      </c>
    </row>
    <row r="2751" spans="1:17" hidden="1">
      <c r="A2751" s="119" t="s">
        <v>1054</v>
      </c>
      <c r="B2751" s="119"/>
      <c r="C2751" s="29">
        <v>231500211</v>
      </c>
      <c r="D2751" s="29"/>
      <c r="E2751" s="29"/>
      <c r="F2751" s="29" t="s">
        <v>139</v>
      </c>
      <c r="G2751" s="29" t="s">
        <v>737</v>
      </c>
      <c r="H2751" s="29" t="s">
        <v>38</v>
      </c>
      <c r="I2751" s="120">
        <v>45888</v>
      </c>
      <c r="J2751" s="120">
        <f t="shared" si="35"/>
        <v>45891</v>
      </c>
      <c r="K2751" s="120">
        <v>45919</v>
      </c>
      <c r="L2751" s="120"/>
      <c r="M2751" s="120"/>
      <c r="N2751" s="29"/>
      <c r="O2751" s="29" t="s">
        <v>877</v>
      </c>
      <c r="P2751" s="120"/>
      <c r="Q2751" s="156">
        <v>300</v>
      </c>
    </row>
    <row r="2752" spans="1:17" hidden="1">
      <c r="A2752" s="119" t="s">
        <v>1054</v>
      </c>
      <c r="B2752" s="119"/>
      <c r="C2752" s="29">
        <v>231500213</v>
      </c>
      <c r="D2752" s="29"/>
      <c r="E2752" s="29"/>
      <c r="F2752" s="29" t="s">
        <v>139</v>
      </c>
      <c r="G2752" s="29" t="s">
        <v>737</v>
      </c>
      <c r="H2752" s="29" t="s">
        <v>38</v>
      </c>
      <c r="I2752" s="120">
        <v>45888</v>
      </c>
      <c r="J2752" s="120">
        <f t="shared" si="35"/>
        <v>45891</v>
      </c>
      <c r="K2752" s="120">
        <v>45919</v>
      </c>
      <c r="L2752" s="120"/>
      <c r="M2752" s="120"/>
      <c r="N2752" s="29"/>
      <c r="O2752" s="29" t="s">
        <v>877</v>
      </c>
      <c r="P2752" s="120"/>
      <c r="Q2752" s="156">
        <v>150</v>
      </c>
    </row>
    <row r="2753" spans="1:18" hidden="1">
      <c r="A2753" s="119" t="s">
        <v>974</v>
      </c>
      <c r="B2753" s="119"/>
      <c r="C2753" s="29">
        <v>231500216</v>
      </c>
      <c r="D2753" s="29"/>
      <c r="E2753" s="29"/>
      <c r="F2753" s="29" t="s">
        <v>139</v>
      </c>
      <c r="G2753" s="29" t="s">
        <v>737</v>
      </c>
      <c r="H2753" s="29" t="s">
        <v>38</v>
      </c>
      <c r="I2753" s="120">
        <v>45888</v>
      </c>
      <c r="J2753" s="120">
        <f t="shared" si="35"/>
        <v>45891</v>
      </c>
      <c r="K2753" s="120">
        <v>45919</v>
      </c>
      <c r="L2753" s="120"/>
      <c r="M2753" s="120"/>
      <c r="N2753" s="29"/>
      <c r="O2753" s="29" t="s">
        <v>877</v>
      </c>
      <c r="P2753" s="120"/>
      <c r="Q2753" s="156">
        <v>150</v>
      </c>
    </row>
    <row r="2754" spans="1:18" hidden="1">
      <c r="A2754" s="119" t="s">
        <v>974</v>
      </c>
      <c r="B2754" s="119"/>
      <c r="C2754" s="29">
        <v>231500217</v>
      </c>
      <c r="D2754" s="29"/>
      <c r="E2754" s="29"/>
      <c r="F2754" s="29" t="s">
        <v>139</v>
      </c>
      <c r="G2754" s="29" t="s">
        <v>737</v>
      </c>
      <c r="H2754" s="29" t="s">
        <v>38</v>
      </c>
      <c r="I2754" s="120">
        <v>45888</v>
      </c>
      <c r="J2754" s="120">
        <f t="shared" si="35"/>
        <v>45891</v>
      </c>
      <c r="K2754" s="120">
        <v>45919</v>
      </c>
      <c r="L2754" s="120"/>
      <c r="M2754" s="120"/>
      <c r="N2754" s="29"/>
      <c r="O2754" s="29" t="s">
        <v>877</v>
      </c>
      <c r="P2754" s="120"/>
      <c r="Q2754" s="156">
        <v>400</v>
      </c>
    </row>
    <row r="2755" spans="1:18" hidden="1">
      <c r="A2755" s="119" t="s">
        <v>974</v>
      </c>
      <c r="B2755" s="119"/>
      <c r="C2755" s="29">
        <v>233500103</v>
      </c>
      <c r="D2755" s="29"/>
      <c r="E2755" s="29"/>
      <c r="F2755" s="29" t="s">
        <v>139</v>
      </c>
      <c r="G2755" s="29" t="s">
        <v>737</v>
      </c>
      <c r="H2755" s="29" t="s">
        <v>38</v>
      </c>
      <c r="I2755" s="120">
        <v>45890</v>
      </c>
      <c r="J2755" s="120">
        <f t="shared" si="35"/>
        <v>45895</v>
      </c>
      <c r="K2755" s="120">
        <v>45921</v>
      </c>
      <c r="L2755" s="120"/>
      <c r="M2755" s="120"/>
      <c r="N2755" s="29"/>
      <c r="O2755" s="29" t="s">
        <v>877</v>
      </c>
      <c r="P2755" s="120"/>
      <c r="Q2755" s="156">
        <v>360</v>
      </c>
    </row>
    <row r="2756" spans="1:18" hidden="1">
      <c r="A2756" s="119" t="s">
        <v>974</v>
      </c>
      <c r="B2756" s="119"/>
      <c r="C2756" s="29">
        <v>233500110</v>
      </c>
      <c r="D2756" s="29"/>
      <c r="E2756" s="29"/>
      <c r="F2756" s="29" t="s">
        <v>139</v>
      </c>
      <c r="G2756" s="29" t="s">
        <v>737</v>
      </c>
      <c r="H2756" s="29" t="s">
        <v>38</v>
      </c>
      <c r="I2756" s="120">
        <v>45890</v>
      </c>
      <c r="J2756" s="120">
        <f t="shared" si="35"/>
        <v>45895</v>
      </c>
      <c r="K2756" s="120">
        <v>45921</v>
      </c>
      <c r="L2756" s="120"/>
      <c r="M2756" s="120"/>
      <c r="N2756" s="29"/>
      <c r="O2756" s="29" t="s">
        <v>877</v>
      </c>
      <c r="P2756" s="120"/>
      <c r="Q2756" s="156">
        <v>250</v>
      </c>
    </row>
    <row r="2757" spans="1:18" hidden="1">
      <c r="A2757" s="119" t="s">
        <v>974</v>
      </c>
      <c r="B2757" s="119"/>
      <c r="C2757" s="29">
        <v>233500115</v>
      </c>
      <c r="D2757" s="29"/>
      <c r="E2757" s="29"/>
      <c r="F2757" s="29" t="s">
        <v>139</v>
      </c>
      <c r="G2757" s="29" t="s">
        <v>737</v>
      </c>
      <c r="H2757" s="29" t="s">
        <v>38</v>
      </c>
      <c r="I2757" s="120">
        <v>45890</v>
      </c>
      <c r="J2757" s="120">
        <f t="shared" si="35"/>
        <v>45895</v>
      </c>
      <c r="K2757" s="120">
        <v>45921</v>
      </c>
      <c r="L2757" s="120"/>
      <c r="M2757" s="120"/>
      <c r="N2757" s="29"/>
      <c r="O2757" s="29" t="s">
        <v>877</v>
      </c>
      <c r="P2757" s="120"/>
      <c r="Q2757" s="156">
        <v>200</v>
      </c>
    </row>
    <row r="2758" spans="1:18" hidden="1">
      <c r="A2758" s="134" t="s">
        <v>1332</v>
      </c>
      <c r="C2758" s="29">
        <v>210501300</v>
      </c>
      <c r="D2758" s="29"/>
      <c r="E2758" s="29"/>
      <c r="F2758" s="29" t="s">
        <v>139</v>
      </c>
      <c r="G2758" s="29" t="s">
        <v>16</v>
      </c>
      <c r="H2758" s="29" t="s">
        <v>38</v>
      </c>
      <c r="I2758" s="120">
        <v>45867</v>
      </c>
      <c r="J2758" s="120">
        <f t="shared" si="35"/>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139</v>
      </c>
      <c r="G2759" s="29" t="s">
        <v>737</v>
      </c>
      <c r="H2759" s="29" t="s">
        <v>38</v>
      </c>
      <c r="I2759" s="120">
        <v>45916</v>
      </c>
      <c r="J2759" s="120">
        <f t="shared" si="35"/>
        <v>45919</v>
      </c>
      <c r="K2759" s="120">
        <v>45946</v>
      </c>
      <c r="L2759" s="120"/>
      <c r="M2759" s="120"/>
      <c r="N2759" s="29"/>
      <c r="O2759" s="29" t="s">
        <v>877</v>
      </c>
      <c r="P2759" s="120"/>
      <c r="Q2759" s="156">
        <v>75</v>
      </c>
    </row>
    <row r="2760" spans="1:18" hidden="1">
      <c r="A2760" s="134" t="s">
        <v>1062</v>
      </c>
      <c r="C2760" s="29">
        <v>239500135</v>
      </c>
      <c r="D2760" s="29">
        <v>209506587</v>
      </c>
      <c r="E2760" s="29"/>
      <c r="F2760" s="29" t="s">
        <v>139</v>
      </c>
      <c r="G2760" s="29" t="s">
        <v>737</v>
      </c>
      <c r="H2760" s="29" t="s">
        <v>38</v>
      </c>
      <c r="I2760" s="120">
        <v>45896</v>
      </c>
      <c r="J2760" s="120">
        <f t="shared" ref="J2760:J2791" si="36">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139</v>
      </c>
      <c r="G2761" s="29" t="s">
        <v>737</v>
      </c>
      <c r="H2761" s="29" t="s">
        <v>38</v>
      </c>
      <c r="I2761" s="120">
        <v>45896</v>
      </c>
      <c r="J2761" s="120">
        <f t="shared" si="36"/>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 t="shared" si="36"/>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139</v>
      </c>
      <c r="G2763" s="29" t="s">
        <v>16</v>
      </c>
      <c r="H2763" s="29" t="s">
        <v>38</v>
      </c>
      <c r="I2763" s="120">
        <v>45911</v>
      </c>
      <c r="J2763" s="120">
        <f t="shared" si="36"/>
        <v>45916</v>
      </c>
      <c r="K2763" s="120">
        <v>45941</v>
      </c>
      <c r="L2763" s="120"/>
      <c r="M2763" s="120"/>
      <c r="N2763" s="29"/>
      <c r="O2763" s="29" t="s">
        <v>895</v>
      </c>
      <c r="P2763" s="120"/>
      <c r="Q2763" s="156">
        <v>50</v>
      </c>
    </row>
    <row r="2764" spans="1:18" hidden="1">
      <c r="A2764" s="134" t="s">
        <v>1328</v>
      </c>
      <c r="C2764" s="29">
        <v>254500120</v>
      </c>
      <c r="D2764" s="29">
        <v>224500510</v>
      </c>
      <c r="E2764" s="29"/>
      <c r="F2764" s="29" t="s">
        <v>139</v>
      </c>
      <c r="G2764" s="29" t="s">
        <v>16</v>
      </c>
      <c r="H2764" s="29" t="s">
        <v>38</v>
      </c>
      <c r="I2764" s="120">
        <v>45911</v>
      </c>
      <c r="J2764" s="120">
        <f t="shared" si="36"/>
        <v>45916</v>
      </c>
      <c r="K2764" s="120">
        <v>45941</v>
      </c>
      <c r="L2764" s="120"/>
      <c r="M2764" s="120"/>
      <c r="N2764" s="29"/>
      <c r="O2764" s="29" t="s">
        <v>877</v>
      </c>
      <c r="P2764" s="120"/>
      <c r="Q2764" s="156">
        <v>260</v>
      </c>
    </row>
    <row r="2765" spans="1:18" hidden="1">
      <c r="A2765" s="134" t="s">
        <v>1328</v>
      </c>
      <c r="C2765" s="29">
        <v>254500122</v>
      </c>
      <c r="D2765" s="29">
        <v>224500530</v>
      </c>
      <c r="E2765" s="29"/>
      <c r="F2765" s="29" t="s">
        <v>139</v>
      </c>
      <c r="G2765" s="29" t="s">
        <v>16</v>
      </c>
      <c r="H2765" s="29" t="s">
        <v>38</v>
      </c>
      <c r="I2765" s="120">
        <v>45911</v>
      </c>
      <c r="J2765" s="120">
        <f t="shared" si="36"/>
        <v>45916</v>
      </c>
      <c r="K2765" s="120">
        <v>45941</v>
      </c>
      <c r="L2765" s="120"/>
      <c r="M2765" s="120"/>
      <c r="N2765" s="29"/>
      <c r="O2765" s="29" t="s">
        <v>877</v>
      </c>
      <c r="P2765" s="120"/>
      <c r="Q2765" s="156">
        <v>50</v>
      </c>
    </row>
    <row r="2766" spans="1:18" hidden="1">
      <c r="A2766" s="134" t="s">
        <v>1328</v>
      </c>
      <c r="C2766" s="29">
        <v>255500074</v>
      </c>
      <c r="D2766" s="29">
        <v>224500549</v>
      </c>
      <c r="E2766" s="29"/>
      <c r="F2766" s="29" t="s">
        <v>139</v>
      </c>
      <c r="G2766" s="29" t="s">
        <v>16</v>
      </c>
      <c r="H2766" s="29" t="s">
        <v>38</v>
      </c>
      <c r="I2766" s="120">
        <v>45912</v>
      </c>
      <c r="J2766" s="120">
        <f t="shared" si="36"/>
        <v>45917</v>
      </c>
      <c r="K2766" s="120">
        <v>45942</v>
      </c>
      <c r="L2766" s="120"/>
      <c r="M2766" s="120"/>
      <c r="N2766" s="29"/>
      <c r="O2766" s="29" t="s">
        <v>877</v>
      </c>
      <c r="P2766" s="120"/>
      <c r="Q2766" s="156">
        <v>300</v>
      </c>
    </row>
    <row r="2767" spans="1:18" hidden="1">
      <c r="A2767" s="134" t="s">
        <v>1328</v>
      </c>
      <c r="C2767" s="29">
        <v>255500075</v>
      </c>
      <c r="D2767" s="29">
        <v>224500568</v>
      </c>
      <c r="E2767" s="29"/>
      <c r="F2767" s="29" t="s">
        <v>139</v>
      </c>
      <c r="G2767" s="29" t="s">
        <v>16</v>
      </c>
      <c r="H2767" s="29" t="s">
        <v>38</v>
      </c>
      <c r="I2767" s="120">
        <v>45912</v>
      </c>
      <c r="J2767" s="120">
        <f t="shared" si="36"/>
        <v>45917</v>
      </c>
      <c r="K2767" s="120">
        <v>45942</v>
      </c>
      <c r="L2767" s="120"/>
      <c r="M2767" s="120"/>
      <c r="N2767" s="29"/>
      <c r="O2767" s="29" t="s">
        <v>877</v>
      </c>
      <c r="P2767" s="120"/>
      <c r="Q2767" s="156">
        <v>300</v>
      </c>
    </row>
    <row r="2768" spans="1:18" hidden="1">
      <c r="A2768" s="134" t="s">
        <v>1328</v>
      </c>
      <c r="C2768" s="29">
        <v>255500076</v>
      </c>
      <c r="D2768" s="29">
        <v>224500578</v>
      </c>
      <c r="E2768" s="29"/>
      <c r="F2768" s="29" t="s">
        <v>139</v>
      </c>
      <c r="G2768" s="29" t="s">
        <v>16</v>
      </c>
      <c r="H2768" s="29" t="s">
        <v>38</v>
      </c>
      <c r="I2768" s="120">
        <v>45912</v>
      </c>
      <c r="J2768" s="120">
        <f t="shared" si="36"/>
        <v>45917</v>
      </c>
      <c r="K2768" s="120">
        <v>45942</v>
      </c>
      <c r="L2768" s="120"/>
      <c r="M2768" s="120"/>
      <c r="N2768" s="29"/>
      <c r="O2768" s="29" t="s">
        <v>877</v>
      </c>
      <c r="P2768" s="120"/>
      <c r="Q2768" s="156">
        <v>300</v>
      </c>
    </row>
    <row r="2769" spans="1:18" hidden="1">
      <c r="A2769" s="134" t="s">
        <v>1337</v>
      </c>
      <c r="C2769" s="29">
        <v>241503946</v>
      </c>
      <c r="D2769" s="29"/>
      <c r="E2769" s="29"/>
      <c r="F2769" s="29" t="s">
        <v>139</v>
      </c>
      <c r="G2769" s="29" t="s">
        <v>16</v>
      </c>
      <c r="H2769" s="29" t="s">
        <v>38</v>
      </c>
      <c r="I2769" s="120">
        <v>45898</v>
      </c>
      <c r="J2769" s="120">
        <f t="shared" si="36"/>
        <v>45903</v>
      </c>
      <c r="K2769" s="120">
        <v>45925</v>
      </c>
      <c r="L2769" s="120"/>
      <c r="M2769" s="120"/>
      <c r="N2769" s="29"/>
      <c r="O2769" s="29" t="s">
        <v>894</v>
      </c>
      <c r="P2769" s="120"/>
      <c r="Q2769" s="156">
        <v>200</v>
      </c>
    </row>
    <row r="2770" spans="1:18" hidden="1">
      <c r="A2770" s="134" t="s">
        <v>1337</v>
      </c>
      <c r="C2770" s="29">
        <v>251505878</v>
      </c>
      <c r="D2770" s="29"/>
      <c r="E2770" s="29"/>
      <c r="F2770" s="29" t="s">
        <v>139</v>
      </c>
      <c r="G2770" s="29" t="s">
        <v>16</v>
      </c>
      <c r="H2770" s="29" t="s">
        <v>38</v>
      </c>
      <c r="I2770" s="120">
        <v>45908</v>
      </c>
      <c r="J2770" s="120">
        <f t="shared" si="36"/>
        <v>45911</v>
      </c>
      <c r="K2770" s="120">
        <v>45938</v>
      </c>
      <c r="L2770" s="120"/>
      <c r="M2770" s="120"/>
      <c r="N2770" s="29"/>
      <c r="O2770" s="29" t="s">
        <v>894</v>
      </c>
      <c r="P2770" s="120"/>
      <c r="Q2770" s="156">
        <v>500</v>
      </c>
    </row>
    <row r="2771" spans="1:18" hidden="1">
      <c r="A2771" s="134" t="s">
        <v>1337</v>
      </c>
      <c r="C2771" s="29">
        <v>251505869</v>
      </c>
      <c r="D2771" s="29"/>
      <c r="E2771" s="29"/>
      <c r="F2771" s="29" t="s">
        <v>139</v>
      </c>
      <c r="G2771" s="29" t="s">
        <v>16</v>
      </c>
      <c r="H2771" s="29" t="s">
        <v>38</v>
      </c>
      <c r="I2771" s="120">
        <v>45908</v>
      </c>
      <c r="J2771" s="120">
        <f t="shared" si="36"/>
        <v>45911</v>
      </c>
      <c r="K2771" s="120">
        <v>45938</v>
      </c>
      <c r="L2771" s="120"/>
      <c r="M2771" s="120"/>
      <c r="N2771" s="29"/>
      <c r="O2771" s="29" t="s">
        <v>894</v>
      </c>
      <c r="P2771" s="120"/>
      <c r="Q2771" s="156">
        <v>350</v>
      </c>
    </row>
    <row r="2772" spans="1:18" hidden="1">
      <c r="A2772" s="134" t="s">
        <v>1337</v>
      </c>
      <c r="C2772" s="29">
        <v>251505886</v>
      </c>
      <c r="D2772" s="29"/>
      <c r="E2772" s="29"/>
      <c r="F2772" s="29" t="s">
        <v>139</v>
      </c>
      <c r="G2772" s="29" t="s">
        <v>16</v>
      </c>
      <c r="H2772" s="29" t="s">
        <v>38</v>
      </c>
      <c r="I2772" s="120">
        <v>45908</v>
      </c>
      <c r="J2772" s="120">
        <f t="shared" si="36"/>
        <v>45911</v>
      </c>
      <c r="K2772" s="120">
        <v>45938</v>
      </c>
      <c r="L2772" s="120"/>
      <c r="M2772" s="120"/>
      <c r="N2772" s="29"/>
      <c r="O2772" s="29" t="s">
        <v>894</v>
      </c>
      <c r="P2772" s="120"/>
      <c r="Q2772" s="156">
        <v>250</v>
      </c>
    </row>
    <row r="2773" spans="1:18" hidden="1">
      <c r="A2773" s="134" t="s">
        <v>1337</v>
      </c>
      <c r="C2773" s="29">
        <v>247500241</v>
      </c>
      <c r="D2773" s="29"/>
      <c r="E2773" s="29"/>
      <c r="F2773" s="29" t="s">
        <v>139</v>
      </c>
      <c r="G2773" s="29" t="s">
        <v>16</v>
      </c>
      <c r="H2773" s="29" t="s">
        <v>38</v>
      </c>
      <c r="I2773" s="120">
        <v>45904</v>
      </c>
      <c r="J2773" s="120">
        <f t="shared" si="36"/>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139</v>
      </c>
      <c r="G2774" s="29" t="s">
        <v>16</v>
      </c>
      <c r="H2774" s="29" t="s">
        <v>38</v>
      </c>
      <c r="I2774" s="120">
        <v>45903</v>
      </c>
      <c r="J2774" s="120">
        <f t="shared" si="36"/>
        <v>45908</v>
      </c>
      <c r="K2774" s="120">
        <v>45933</v>
      </c>
      <c r="L2774" s="120"/>
      <c r="M2774" s="120"/>
      <c r="N2774" s="29"/>
      <c r="O2774" s="29" t="s">
        <v>894</v>
      </c>
      <c r="P2774" s="120"/>
      <c r="Q2774" s="156">
        <v>320</v>
      </c>
    </row>
    <row r="2775" spans="1:18" hidden="1">
      <c r="A2775" s="134" t="s">
        <v>1337</v>
      </c>
      <c r="C2775" s="29">
        <v>246500132</v>
      </c>
      <c r="D2775" s="29"/>
      <c r="E2775" s="29"/>
      <c r="F2775" s="29" t="s">
        <v>139</v>
      </c>
      <c r="G2775" s="29" t="s">
        <v>16</v>
      </c>
      <c r="H2775" s="29" t="s">
        <v>38</v>
      </c>
      <c r="I2775" s="120">
        <v>45903</v>
      </c>
      <c r="J2775" s="120">
        <f t="shared" si="36"/>
        <v>45908</v>
      </c>
      <c r="K2775" s="120">
        <v>45933</v>
      </c>
      <c r="L2775" s="120"/>
      <c r="M2775" s="120"/>
      <c r="N2775" s="29"/>
      <c r="O2775" s="29" t="s">
        <v>894</v>
      </c>
      <c r="P2775" s="120"/>
      <c r="Q2775" s="156">
        <v>475</v>
      </c>
    </row>
    <row r="2776" spans="1:18" hidden="1">
      <c r="A2776" s="134" t="s">
        <v>1337</v>
      </c>
      <c r="C2776" s="29">
        <v>246500140</v>
      </c>
      <c r="D2776" s="29"/>
      <c r="E2776" s="29"/>
      <c r="F2776" s="29" t="s">
        <v>139</v>
      </c>
      <c r="G2776" s="29" t="s">
        <v>16</v>
      </c>
      <c r="H2776" s="29" t="s">
        <v>38</v>
      </c>
      <c r="I2776" s="120">
        <v>45903</v>
      </c>
      <c r="J2776" s="120">
        <f t="shared" si="36"/>
        <v>45908</v>
      </c>
      <c r="K2776" s="120">
        <v>45933</v>
      </c>
      <c r="L2776" s="120"/>
      <c r="M2776" s="120"/>
      <c r="N2776" s="29"/>
      <c r="O2776" s="29" t="s">
        <v>894</v>
      </c>
      <c r="P2776" s="120"/>
      <c r="Q2776" s="156">
        <v>350</v>
      </c>
    </row>
    <row r="2777" spans="1:18" hidden="1">
      <c r="A2777" s="134" t="s">
        <v>1337</v>
      </c>
      <c r="C2777" s="29">
        <v>246500146</v>
      </c>
      <c r="D2777" s="29"/>
      <c r="E2777" s="29"/>
      <c r="F2777" s="29" t="s">
        <v>139</v>
      </c>
      <c r="G2777" s="29" t="s">
        <v>16</v>
      </c>
      <c r="H2777" s="29" t="s">
        <v>38</v>
      </c>
      <c r="I2777" s="120">
        <v>45903</v>
      </c>
      <c r="J2777" s="120">
        <f t="shared" si="36"/>
        <v>45908</v>
      </c>
      <c r="K2777" s="120">
        <v>45933</v>
      </c>
      <c r="L2777" s="120"/>
      <c r="M2777" s="120"/>
      <c r="N2777" s="29"/>
      <c r="O2777" s="29" t="s">
        <v>894</v>
      </c>
      <c r="P2777" s="120"/>
      <c r="Q2777" s="156">
        <v>320</v>
      </c>
    </row>
    <row r="2778" spans="1:18" hidden="1">
      <c r="A2778" s="134" t="s">
        <v>1337</v>
      </c>
      <c r="C2778" s="29">
        <v>247500244</v>
      </c>
      <c r="D2778" s="29"/>
      <c r="E2778" s="29"/>
      <c r="F2778" s="29" t="s">
        <v>139</v>
      </c>
      <c r="G2778" s="29" t="s">
        <v>16</v>
      </c>
      <c r="H2778" s="29" t="s">
        <v>38</v>
      </c>
      <c r="I2778" s="120">
        <v>45904</v>
      </c>
      <c r="J2778" s="120">
        <f t="shared" si="36"/>
        <v>45909</v>
      </c>
      <c r="K2778" s="120">
        <v>45934</v>
      </c>
      <c r="L2778" s="120"/>
      <c r="M2778" s="120"/>
      <c r="N2778" s="29"/>
      <c r="O2778" s="29" t="s">
        <v>894</v>
      </c>
      <c r="P2778" s="120"/>
      <c r="Q2778" s="156">
        <v>350</v>
      </c>
    </row>
    <row r="2779" spans="1:18" hidden="1">
      <c r="A2779" s="134" t="s">
        <v>1337</v>
      </c>
      <c r="C2779" s="29">
        <v>247500249</v>
      </c>
      <c r="D2779" s="29"/>
      <c r="E2779" s="29"/>
      <c r="F2779" s="29" t="s">
        <v>139</v>
      </c>
      <c r="G2779" s="29" t="s">
        <v>16</v>
      </c>
      <c r="H2779" s="29" t="s">
        <v>38</v>
      </c>
      <c r="I2779" s="120">
        <v>45904</v>
      </c>
      <c r="J2779" s="120">
        <f t="shared" si="36"/>
        <v>45909</v>
      </c>
      <c r="K2779" s="120">
        <v>45934</v>
      </c>
      <c r="L2779" s="120"/>
      <c r="M2779" s="120"/>
      <c r="N2779" s="29"/>
      <c r="O2779" s="29" t="s">
        <v>894</v>
      </c>
      <c r="P2779" s="120"/>
      <c r="Q2779" s="156">
        <v>350</v>
      </c>
    </row>
    <row r="2780" spans="1:18" hidden="1">
      <c r="A2780" s="134" t="s">
        <v>1337</v>
      </c>
      <c r="C2780" s="29">
        <v>247500251</v>
      </c>
      <c r="D2780" s="29"/>
      <c r="E2780" s="29"/>
      <c r="F2780" s="29" t="s">
        <v>139</v>
      </c>
      <c r="G2780" s="29" t="s">
        <v>16</v>
      </c>
      <c r="H2780" s="29" t="s">
        <v>38</v>
      </c>
      <c r="I2780" s="120">
        <v>45904</v>
      </c>
      <c r="J2780" s="120">
        <f t="shared" si="36"/>
        <v>45909</v>
      </c>
      <c r="K2780" s="120">
        <v>45934</v>
      </c>
      <c r="L2780" s="120"/>
      <c r="M2780" s="120"/>
      <c r="N2780" s="29"/>
      <c r="O2780" s="29" t="s">
        <v>894</v>
      </c>
      <c r="P2780" s="120"/>
      <c r="Q2780" s="156">
        <v>350</v>
      </c>
    </row>
    <row r="2781" spans="1:18" hidden="1">
      <c r="A2781" s="134" t="s">
        <v>1337</v>
      </c>
      <c r="C2781" s="29">
        <v>247500254</v>
      </c>
      <c r="D2781" s="29">
        <v>275500491</v>
      </c>
      <c r="E2781" s="29"/>
      <c r="F2781" s="29" t="s">
        <v>139</v>
      </c>
      <c r="G2781" s="29" t="s">
        <v>16</v>
      </c>
      <c r="H2781" s="29" t="s">
        <v>38</v>
      </c>
      <c r="I2781" s="120">
        <v>45904</v>
      </c>
      <c r="J2781" s="120">
        <f t="shared" si="36"/>
        <v>45909</v>
      </c>
      <c r="K2781" s="120">
        <v>45934</v>
      </c>
      <c r="L2781" s="120"/>
      <c r="M2781" s="120"/>
      <c r="N2781" s="29"/>
      <c r="O2781" s="29" t="s">
        <v>894</v>
      </c>
      <c r="P2781" s="120"/>
      <c r="Q2781" s="156">
        <v>150</v>
      </c>
    </row>
    <row r="2782" spans="1:18" hidden="1">
      <c r="A2782" s="134" t="s">
        <v>1337</v>
      </c>
      <c r="C2782" s="29">
        <v>245500081</v>
      </c>
      <c r="D2782" s="29">
        <v>275500497</v>
      </c>
      <c r="E2782" s="29"/>
      <c r="F2782" s="29" t="s">
        <v>139</v>
      </c>
      <c r="G2782" s="29" t="s">
        <v>16</v>
      </c>
      <c r="H2782" s="29" t="s">
        <v>38</v>
      </c>
      <c r="I2782" s="120">
        <v>45902</v>
      </c>
      <c r="J2782" s="120">
        <f t="shared" si="36"/>
        <v>45905</v>
      </c>
      <c r="K2782" s="120">
        <v>45932</v>
      </c>
      <c r="L2782" s="120"/>
      <c r="M2782" s="120"/>
      <c r="N2782" s="29"/>
      <c r="O2782" s="29" t="s">
        <v>894</v>
      </c>
      <c r="P2782" s="120"/>
      <c r="Q2782" s="156">
        <v>240</v>
      </c>
    </row>
    <row r="2783" spans="1:18" hidden="1">
      <c r="A2783" s="134" t="s">
        <v>1337</v>
      </c>
      <c r="C2783" s="29">
        <v>245500087</v>
      </c>
      <c r="D2783" s="29">
        <v>275500504</v>
      </c>
      <c r="E2783" s="29"/>
      <c r="F2783" s="29" t="s">
        <v>139</v>
      </c>
      <c r="G2783" s="29" t="s">
        <v>16</v>
      </c>
      <c r="H2783" s="29" t="s">
        <v>38</v>
      </c>
      <c r="I2783" s="120">
        <v>45902</v>
      </c>
      <c r="J2783" s="120">
        <f t="shared" si="36"/>
        <v>45905</v>
      </c>
      <c r="K2783" s="120">
        <v>45932</v>
      </c>
      <c r="L2783" s="120"/>
      <c r="M2783" s="120"/>
      <c r="N2783" s="29"/>
      <c r="O2783" s="29" t="s">
        <v>894</v>
      </c>
      <c r="P2783" s="120"/>
      <c r="Q2783" s="156">
        <v>400</v>
      </c>
    </row>
    <row r="2784" spans="1:18" hidden="1">
      <c r="A2784" s="134" t="s">
        <v>1337</v>
      </c>
      <c r="C2784" s="29">
        <v>245500091</v>
      </c>
      <c r="D2784" s="29">
        <v>275500513</v>
      </c>
      <c r="E2784" s="29"/>
      <c r="F2784" s="29" t="s">
        <v>139</v>
      </c>
      <c r="G2784" s="29" t="s">
        <v>16</v>
      </c>
      <c r="H2784" s="29" t="s">
        <v>38</v>
      </c>
      <c r="I2784" s="120">
        <v>45902</v>
      </c>
      <c r="J2784" s="120">
        <f t="shared" si="36"/>
        <v>45905</v>
      </c>
      <c r="K2784" s="120">
        <v>45932</v>
      </c>
      <c r="L2784" s="120"/>
      <c r="M2784" s="120"/>
      <c r="N2784" s="29"/>
      <c r="O2784" s="29" t="s">
        <v>894</v>
      </c>
      <c r="P2784" s="120"/>
      <c r="Q2784" s="156">
        <v>400</v>
      </c>
    </row>
    <row r="2785" spans="1:18" hidden="1">
      <c r="A2785" s="134" t="s">
        <v>1337</v>
      </c>
      <c r="C2785" s="29">
        <v>245500095</v>
      </c>
      <c r="D2785" s="29">
        <v>275500519</v>
      </c>
      <c r="E2785" s="29"/>
      <c r="F2785" s="29" t="s">
        <v>139</v>
      </c>
      <c r="G2785" s="29" t="s">
        <v>16</v>
      </c>
      <c r="H2785" s="29" t="s">
        <v>38</v>
      </c>
      <c r="I2785" s="120">
        <v>45902</v>
      </c>
      <c r="J2785" s="120">
        <f t="shared" si="36"/>
        <v>45905</v>
      </c>
      <c r="K2785" s="120">
        <v>45932</v>
      </c>
      <c r="L2785" s="120"/>
      <c r="M2785" s="120"/>
      <c r="N2785" s="29"/>
      <c r="O2785" s="29" t="s">
        <v>894</v>
      </c>
      <c r="P2785" s="120"/>
      <c r="Q2785" s="156">
        <v>400</v>
      </c>
    </row>
    <row r="2786" spans="1:18" hidden="1">
      <c r="A2786" s="134" t="s">
        <v>1055</v>
      </c>
      <c r="C2786" s="29">
        <v>253501864</v>
      </c>
      <c r="D2786" s="29"/>
      <c r="E2786" s="29"/>
      <c r="F2786" s="29" t="s">
        <v>139</v>
      </c>
      <c r="G2786" s="29" t="s">
        <v>737</v>
      </c>
      <c r="H2786" s="29" t="s">
        <v>38</v>
      </c>
      <c r="I2786" s="120">
        <v>45910</v>
      </c>
      <c r="J2786" s="120">
        <f t="shared" si="36"/>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139</v>
      </c>
      <c r="G2787" s="29" t="s">
        <v>16</v>
      </c>
      <c r="H2787" s="29" t="s">
        <v>38</v>
      </c>
      <c r="I2787" s="120">
        <v>45903</v>
      </c>
      <c r="J2787" s="120">
        <f t="shared" si="36"/>
        <v>45908</v>
      </c>
      <c r="K2787" s="120">
        <v>45933</v>
      </c>
      <c r="L2787" s="120"/>
      <c r="M2787" s="120"/>
      <c r="N2787" s="29"/>
      <c r="O2787" s="29" t="s">
        <v>8</v>
      </c>
      <c r="P2787" s="120"/>
      <c r="Q2787" s="156">
        <v>1500</v>
      </c>
    </row>
    <row r="2788" spans="1:18" hidden="1">
      <c r="A2788" s="119" t="s">
        <v>1339</v>
      </c>
      <c r="B2788" s="119"/>
      <c r="C2788" s="29">
        <v>247500231</v>
      </c>
      <c r="D2788" s="29"/>
      <c r="E2788" s="29"/>
      <c r="F2788" s="29" t="s">
        <v>139</v>
      </c>
      <c r="G2788" s="29" t="s">
        <v>16</v>
      </c>
      <c r="H2788" s="29" t="s">
        <v>38</v>
      </c>
      <c r="I2788" s="120">
        <v>45904</v>
      </c>
      <c r="J2788" s="120">
        <f t="shared" si="36"/>
        <v>45909</v>
      </c>
      <c r="K2788" s="120">
        <v>45934</v>
      </c>
      <c r="L2788" s="120"/>
      <c r="M2788" s="120"/>
      <c r="N2788" s="29"/>
      <c r="O2788" s="29" t="s">
        <v>8</v>
      </c>
      <c r="P2788" s="120"/>
      <c r="Q2788" s="156">
        <v>1500</v>
      </c>
    </row>
    <row r="2789" spans="1:18" hidden="1">
      <c r="A2789" s="134" t="s">
        <v>1050</v>
      </c>
      <c r="C2789" s="29">
        <v>255503021</v>
      </c>
      <c r="D2789" s="29"/>
      <c r="E2789" s="29"/>
      <c r="F2789" s="29" t="s">
        <v>139</v>
      </c>
      <c r="G2789" s="29" t="s">
        <v>737</v>
      </c>
      <c r="H2789" s="29" t="s">
        <v>38</v>
      </c>
      <c r="I2789" s="120">
        <v>45912</v>
      </c>
      <c r="J2789" s="120">
        <f t="shared" si="36"/>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139</v>
      </c>
      <c r="G2790" s="29" t="s">
        <v>737</v>
      </c>
      <c r="H2790" s="29" t="s">
        <v>38</v>
      </c>
      <c r="I2790" s="120">
        <v>45922</v>
      </c>
      <c r="J2790" s="120">
        <f t="shared" si="36"/>
        <v>45925</v>
      </c>
      <c r="K2790" s="120">
        <v>45952</v>
      </c>
      <c r="L2790" s="120"/>
      <c r="M2790" s="120"/>
      <c r="N2790" s="29"/>
      <c r="O2790" s="29" t="s">
        <v>1340</v>
      </c>
      <c r="P2790" s="120"/>
      <c r="Q2790" s="156">
        <v>200</v>
      </c>
    </row>
    <row r="2791" spans="1:18" hidden="1">
      <c r="A2791" s="134" t="s">
        <v>1055</v>
      </c>
      <c r="C2791" s="29">
        <v>253501751</v>
      </c>
      <c r="D2791" s="29"/>
      <c r="E2791" s="29"/>
      <c r="F2791" s="29" t="s">
        <v>139</v>
      </c>
      <c r="G2791" s="29" t="s">
        <v>737</v>
      </c>
      <c r="H2791" s="29" t="s">
        <v>38</v>
      </c>
      <c r="I2791" s="120">
        <v>45910</v>
      </c>
      <c r="J2791" s="120">
        <f t="shared" si="36"/>
        <v>45915</v>
      </c>
      <c r="K2791" s="120">
        <v>45940</v>
      </c>
      <c r="L2791" s="120"/>
      <c r="M2791" s="120"/>
      <c r="N2791" s="29"/>
      <c r="O2791" s="29" t="s">
        <v>1340</v>
      </c>
      <c r="P2791" s="120"/>
      <c r="Q2791" s="156">
        <v>225</v>
      </c>
    </row>
    <row r="2792" spans="1:18" hidden="1">
      <c r="A2792" s="134" t="s">
        <v>1055</v>
      </c>
      <c r="C2792" s="29">
        <v>253501610</v>
      </c>
      <c r="D2792" s="29"/>
      <c r="E2792" s="29"/>
      <c r="F2792" s="29" t="s">
        <v>139</v>
      </c>
      <c r="G2792" s="29" t="s">
        <v>737</v>
      </c>
      <c r="H2792" s="29" t="s">
        <v>38</v>
      </c>
      <c r="I2792" s="120">
        <v>45910</v>
      </c>
      <c r="J2792" s="120">
        <f t="shared" ref="J2792:J2812" si="37">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139</v>
      </c>
      <c r="G2793" s="29" t="s">
        <v>737</v>
      </c>
      <c r="H2793" s="29" t="s">
        <v>38</v>
      </c>
      <c r="I2793" s="120">
        <v>45910</v>
      </c>
      <c r="J2793" s="120">
        <f t="shared" si="37"/>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139</v>
      </c>
      <c r="G2794" s="29" t="s">
        <v>16</v>
      </c>
      <c r="H2794" s="29" t="s">
        <v>38</v>
      </c>
      <c r="I2794" s="120">
        <v>45898</v>
      </c>
      <c r="J2794" s="120">
        <f t="shared" si="37"/>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139</v>
      </c>
      <c r="G2795" s="29" t="s">
        <v>16</v>
      </c>
      <c r="H2795" s="29" t="s">
        <v>38</v>
      </c>
      <c r="I2795" s="120">
        <v>45898</v>
      </c>
      <c r="J2795" s="120">
        <f t="shared" si="37"/>
        <v>45903</v>
      </c>
      <c r="K2795" s="120">
        <v>45925</v>
      </c>
      <c r="L2795" s="120"/>
      <c r="M2795" s="120"/>
      <c r="N2795" s="29"/>
      <c r="O2795" s="29" t="s">
        <v>8</v>
      </c>
      <c r="P2795" s="29"/>
      <c r="Q2795" s="156">
        <v>500</v>
      </c>
      <c r="R2795" s="134" t="s">
        <v>1342</v>
      </c>
    </row>
    <row r="2796" spans="1:18" hidden="1">
      <c r="A2796" s="134" t="s">
        <v>1050</v>
      </c>
      <c r="C2796" s="29">
        <v>281500419</v>
      </c>
      <c r="F2796" s="29" t="s">
        <v>139</v>
      </c>
      <c r="G2796" s="29" t="s">
        <v>954</v>
      </c>
      <c r="H2796" s="29" t="s">
        <v>38</v>
      </c>
      <c r="I2796" s="120">
        <v>45938</v>
      </c>
      <c r="J2796" s="120">
        <f t="shared" si="37"/>
        <v>45943</v>
      </c>
      <c r="K2796" s="120">
        <v>45969</v>
      </c>
      <c r="L2796" s="120"/>
      <c r="M2796" s="120"/>
      <c r="O2796" s="29" t="s">
        <v>1340</v>
      </c>
      <c r="P2796" s="120"/>
      <c r="Q2796" s="81">
        <v>200</v>
      </c>
    </row>
    <row r="2797" spans="1:18" hidden="1">
      <c r="A2797" s="134" t="s">
        <v>1049</v>
      </c>
      <c r="C2797" s="29">
        <v>275500416</v>
      </c>
      <c r="D2797" s="29"/>
      <c r="E2797" s="29"/>
      <c r="F2797" s="29" t="s">
        <v>139</v>
      </c>
      <c r="G2797" s="29" t="s">
        <v>954</v>
      </c>
      <c r="H2797" s="29" t="s">
        <v>38</v>
      </c>
      <c r="I2797" s="120">
        <v>45932</v>
      </c>
      <c r="J2797" s="120">
        <f t="shared" si="37"/>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139</v>
      </c>
      <c r="G2798" s="29" t="s">
        <v>954</v>
      </c>
      <c r="H2798" s="29" t="s">
        <v>38</v>
      </c>
      <c r="I2798" s="120">
        <v>45929</v>
      </c>
      <c r="J2798" s="120">
        <f t="shared" si="37"/>
        <v>45932</v>
      </c>
      <c r="K2798" s="120">
        <v>45960</v>
      </c>
      <c r="L2798" s="120"/>
      <c r="M2798" s="120"/>
      <c r="N2798" s="29"/>
      <c r="O2798" s="29" t="s">
        <v>1340</v>
      </c>
      <c r="P2798" s="120"/>
      <c r="Q2798" s="156">
        <v>70</v>
      </c>
    </row>
    <row r="2799" spans="1:18" hidden="1">
      <c r="A2799" s="134" t="s">
        <v>1343</v>
      </c>
      <c r="C2799" s="29">
        <v>260505820</v>
      </c>
      <c r="D2799" s="29"/>
      <c r="E2799" s="29"/>
      <c r="F2799" s="29" t="s">
        <v>139</v>
      </c>
      <c r="G2799" s="29" t="s">
        <v>737</v>
      </c>
      <c r="H2799" s="29" t="s">
        <v>38</v>
      </c>
      <c r="I2799" s="120">
        <v>45917</v>
      </c>
      <c r="J2799" s="120">
        <f t="shared" si="37"/>
        <v>45922</v>
      </c>
      <c r="K2799" s="120">
        <v>45947</v>
      </c>
      <c r="L2799" s="120"/>
      <c r="M2799" s="120"/>
      <c r="N2799" s="29"/>
      <c r="O2799" s="29" t="s">
        <v>877</v>
      </c>
      <c r="P2799" s="29"/>
      <c r="Q2799" s="156">
        <v>150</v>
      </c>
    </row>
    <row r="2800" spans="1:18" hidden="1">
      <c r="A2800" s="134" t="s">
        <v>1343</v>
      </c>
      <c r="C2800" s="29">
        <v>260505920</v>
      </c>
      <c r="D2800" s="29"/>
      <c r="E2800" s="29"/>
      <c r="F2800" s="29" t="s">
        <v>139</v>
      </c>
      <c r="G2800" s="29" t="s">
        <v>737</v>
      </c>
      <c r="H2800" s="29" t="s">
        <v>38</v>
      </c>
      <c r="I2800" s="120">
        <v>45917</v>
      </c>
      <c r="J2800" s="120">
        <f t="shared" si="37"/>
        <v>45922</v>
      </c>
      <c r="K2800" s="120">
        <v>45947</v>
      </c>
      <c r="L2800" s="120"/>
      <c r="M2800" s="120"/>
      <c r="N2800" s="29"/>
      <c r="O2800" s="29" t="s">
        <v>877</v>
      </c>
      <c r="P2800" s="29"/>
      <c r="Q2800" s="156">
        <v>400</v>
      </c>
    </row>
    <row r="2801" spans="1:18" hidden="1">
      <c r="A2801" s="134" t="s">
        <v>1343</v>
      </c>
      <c r="C2801" s="29">
        <v>260505975</v>
      </c>
      <c r="D2801" s="29"/>
      <c r="E2801" s="29"/>
      <c r="F2801" s="29" t="s">
        <v>139</v>
      </c>
      <c r="G2801" s="29" t="s">
        <v>737</v>
      </c>
      <c r="H2801" s="29" t="s">
        <v>38</v>
      </c>
      <c r="I2801" s="120">
        <v>45917</v>
      </c>
      <c r="J2801" s="120">
        <f t="shared" si="37"/>
        <v>45922</v>
      </c>
      <c r="K2801" s="120">
        <v>45947</v>
      </c>
      <c r="L2801" s="120"/>
      <c r="M2801" s="120"/>
      <c r="N2801" s="29"/>
      <c r="O2801" s="29" t="s">
        <v>877</v>
      </c>
      <c r="P2801" s="29"/>
      <c r="Q2801" s="156">
        <v>75</v>
      </c>
    </row>
    <row r="2802" spans="1:18" hidden="1">
      <c r="A2802" s="134" t="s">
        <v>1343</v>
      </c>
      <c r="C2802" s="29">
        <v>260506029</v>
      </c>
      <c r="D2802" s="29"/>
      <c r="E2802" s="29"/>
      <c r="F2802" s="29" t="s">
        <v>139</v>
      </c>
      <c r="G2802" s="29" t="s">
        <v>737</v>
      </c>
      <c r="H2802" s="29" t="s">
        <v>38</v>
      </c>
      <c r="I2802" s="120">
        <v>45917</v>
      </c>
      <c r="J2802" s="120">
        <f t="shared" si="37"/>
        <v>45922</v>
      </c>
      <c r="K2802" s="120">
        <v>45947</v>
      </c>
      <c r="L2802" s="120"/>
      <c r="M2802" s="120"/>
      <c r="N2802" s="29"/>
      <c r="O2802" s="29" t="s">
        <v>877</v>
      </c>
      <c r="P2802" s="29"/>
      <c r="Q2802" s="156">
        <v>460</v>
      </c>
    </row>
    <row r="2803" spans="1:18" hidden="1">
      <c r="A2803" s="134" t="s">
        <v>1343</v>
      </c>
      <c r="C2803" s="29">
        <v>260506075</v>
      </c>
      <c r="D2803" s="29"/>
      <c r="E2803" s="29"/>
      <c r="F2803" s="29" t="s">
        <v>139</v>
      </c>
      <c r="G2803" s="29" t="s">
        <v>737</v>
      </c>
      <c r="H2803" s="29" t="s">
        <v>38</v>
      </c>
      <c r="I2803" s="120">
        <v>45917</v>
      </c>
      <c r="J2803" s="120">
        <f t="shared" si="37"/>
        <v>45922</v>
      </c>
      <c r="K2803" s="120">
        <v>45947</v>
      </c>
      <c r="L2803" s="120"/>
      <c r="M2803" s="120"/>
      <c r="N2803" s="29"/>
      <c r="O2803" s="29" t="s">
        <v>877</v>
      </c>
      <c r="P2803" s="29"/>
      <c r="Q2803" s="156">
        <v>60</v>
      </c>
    </row>
    <row r="2804" spans="1:18" hidden="1">
      <c r="A2804" s="134" t="s">
        <v>1343</v>
      </c>
      <c r="C2804" s="29">
        <v>260506162</v>
      </c>
      <c r="D2804" s="29"/>
      <c r="E2804" s="29"/>
      <c r="F2804" s="29" t="s">
        <v>139</v>
      </c>
      <c r="G2804" s="29" t="s">
        <v>737</v>
      </c>
      <c r="H2804" s="29" t="s">
        <v>38</v>
      </c>
      <c r="I2804" s="120">
        <v>45917</v>
      </c>
      <c r="J2804" s="120">
        <f t="shared" si="37"/>
        <v>45922</v>
      </c>
      <c r="K2804" s="120">
        <v>45947</v>
      </c>
      <c r="L2804" s="120"/>
      <c r="M2804" s="120"/>
      <c r="N2804" s="29"/>
      <c r="O2804" s="29" t="s">
        <v>877</v>
      </c>
      <c r="P2804" s="29"/>
      <c r="Q2804" s="156">
        <v>440</v>
      </c>
    </row>
    <row r="2805" spans="1:18" hidden="1">
      <c r="A2805" s="134" t="s">
        <v>1343</v>
      </c>
      <c r="C2805" s="29">
        <v>261500148</v>
      </c>
      <c r="D2805" s="29"/>
      <c r="E2805" s="29"/>
      <c r="F2805" s="29" t="s">
        <v>139</v>
      </c>
      <c r="G2805" s="29" t="s">
        <v>737</v>
      </c>
      <c r="H2805" s="29" t="s">
        <v>38</v>
      </c>
      <c r="I2805" s="120">
        <v>45918</v>
      </c>
      <c r="J2805" s="120">
        <f t="shared" si="37"/>
        <v>45923</v>
      </c>
      <c r="K2805" s="120">
        <v>45948</v>
      </c>
      <c r="L2805" s="120"/>
      <c r="M2805" s="120"/>
      <c r="N2805" s="29"/>
      <c r="O2805" s="29" t="s">
        <v>877</v>
      </c>
      <c r="P2805" s="29"/>
      <c r="Q2805" s="156">
        <v>75</v>
      </c>
    </row>
    <row r="2806" spans="1:18" hidden="1">
      <c r="A2806" s="134" t="s">
        <v>1343</v>
      </c>
      <c r="C2806" s="29">
        <v>261500153</v>
      </c>
      <c r="D2806" s="29"/>
      <c r="E2806" s="29"/>
      <c r="F2806" s="29" t="s">
        <v>139</v>
      </c>
      <c r="G2806" s="29" t="s">
        <v>737</v>
      </c>
      <c r="H2806" s="29" t="s">
        <v>38</v>
      </c>
      <c r="I2806" s="120">
        <v>45918</v>
      </c>
      <c r="J2806" s="120">
        <f t="shared" si="37"/>
        <v>45923</v>
      </c>
      <c r="K2806" s="120">
        <v>45948</v>
      </c>
      <c r="L2806" s="120"/>
      <c r="M2806" s="120"/>
      <c r="N2806" s="29"/>
      <c r="O2806" s="29" t="s">
        <v>877</v>
      </c>
      <c r="P2806" s="29"/>
      <c r="Q2806" s="156">
        <v>95</v>
      </c>
    </row>
    <row r="2807" spans="1:18" hidden="1">
      <c r="A2807" s="134" t="s">
        <v>1343</v>
      </c>
      <c r="C2807" s="29">
        <v>261500157</v>
      </c>
      <c r="D2807" s="29"/>
      <c r="E2807" s="29"/>
      <c r="F2807" s="29" t="s">
        <v>139</v>
      </c>
      <c r="G2807" s="29" t="s">
        <v>737</v>
      </c>
      <c r="H2807" s="29" t="s">
        <v>38</v>
      </c>
      <c r="I2807" s="120">
        <v>45918</v>
      </c>
      <c r="J2807" s="120">
        <f t="shared" si="37"/>
        <v>45923</v>
      </c>
      <c r="K2807" s="120">
        <v>45948</v>
      </c>
      <c r="L2807" s="120"/>
      <c r="M2807" s="120"/>
      <c r="N2807" s="29"/>
      <c r="O2807" s="29" t="s">
        <v>877</v>
      </c>
      <c r="P2807" s="29"/>
      <c r="Q2807" s="156" t="s">
        <v>1344</v>
      </c>
    </row>
    <row r="2808" spans="1:18" hidden="1">
      <c r="A2808" s="134" t="s">
        <v>1343</v>
      </c>
      <c r="C2808" s="29">
        <v>261500166</v>
      </c>
      <c r="D2808" s="29"/>
      <c r="E2808" s="29"/>
      <c r="F2808" s="29" t="s">
        <v>139</v>
      </c>
      <c r="G2808" s="29" t="s">
        <v>737</v>
      </c>
      <c r="H2808" s="29" t="s">
        <v>38</v>
      </c>
      <c r="I2808" s="120">
        <v>45918</v>
      </c>
      <c r="J2808" s="120">
        <f t="shared" si="37"/>
        <v>45923</v>
      </c>
      <c r="K2808" s="120">
        <v>45948</v>
      </c>
      <c r="L2808" s="120"/>
      <c r="M2808" s="120"/>
      <c r="N2808" s="29"/>
      <c r="O2808" s="29" t="s">
        <v>877</v>
      </c>
      <c r="P2808" s="29"/>
      <c r="Q2808" s="156">
        <v>100</v>
      </c>
    </row>
    <row r="2809" spans="1:18" hidden="1">
      <c r="A2809" s="134" t="s">
        <v>1343</v>
      </c>
      <c r="C2809" s="29">
        <v>264500172</v>
      </c>
      <c r="D2809" s="29"/>
      <c r="E2809" s="29"/>
      <c r="F2809" s="29" t="s">
        <v>139</v>
      </c>
      <c r="G2809" s="29" t="s">
        <v>737</v>
      </c>
      <c r="H2809" s="29" t="s">
        <v>38</v>
      </c>
      <c r="I2809" s="120">
        <v>45918</v>
      </c>
      <c r="J2809" s="120">
        <f t="shared" si="37"/>
        <v>45923</v>
      </c>
      <c r="K2809" s="120">
        <v>45948</v>
      </c>
      <c r="L2809" s="120"/>
      <c r="M2809" s="120"/>
      <c r="N2809" s="29"/>
      <c r="O2809" s="29" t="s">
        <v>877</v>
      </c>
      <c r="P2809" s="29"/>
      <c r="Q2809" s="156">
        <v>200</v>
      </c>
    </row>
    <row r="2810" spans="1:18" hidden="1">
      <c r="A2810" s="134" t="s">
        <v>1343</v>
      </c>
      <c r="C2810" s="29">
        <v>261500181</v>
      </c>
      <c r="D2810" s="29"/>
      <c r="E2810" s="29"/>
      <c r="F2810" s="29" t="s">
        <v>139</v>
      </c>
      <c r="G2810" s="29" t="s">
        <v>737</v>
      </c>
      <c r="H2810" s="29" t="s">
        <v>38</v>
      </c>
      <c r="I2810" s="120">
        <v>45918</v>
      </c>
      <c r="J2810" s="120">
        <f t="shared" si="37"/>
        <v>45923</v>
      </c>
      <c r="K2810" s="120">
        <v>45948</v>
      </c>
      <c r="L2810" s="120"/>
      <c r="M2810" s="120"/>
      <c r="N2810" s="29"/>
      <c r="O2810" s="29" t="s">
        <v>877</v>
      </c>
      <c r="P2810" s="29"/>
      <c r="Q2810" s="156">
        <v>350</v>
      </c>
    </row>
    <row r="2811" spans="1:18" hidden="1">
      <c r="A2811" s="134" t="s">
        <v>1343</v>
      </c>
      <c r="C2811" s="29">
        <v>261500186</v>
      </c>
      <c r="D2811" s="29"/>
      <c r="E2811" s="29"/>
      <c r="F2811" s="29" t="s">
        <v>139</v>
      </c>
      <c r="G2811" s="29" t="s">
        <v>737</v>
      </c>
      <c r="H2811" s="29" t="s">
        <v>38</v>
      </c>
      <c r="I2811" s="120">
        <v>45918</v>
      </c>
      <c r="J2811" s="120">
        <f t="shared" si="37"/>
        <v>45923</v>
      </c>
      <c r="K2811" s="120">
        <v>45948</v>
      </c>
      <c r="L2811" s="120"/>
      <c r="M2811" s="120"/>
      <c r="N2811" s="29"/>
      <c r="O2811" s="29" t="s">
        <v>877</v>
      </c>
      <c r="P2811" s="29"/>
      <c r="Q2811" s="156">
        <v>165</v>
      </c>
    </row>
    <row r="2812" spans="1:18" hidden="1">
      <c r="A2812" s="134" t="s">
        <v>1343</v>
      </c>
      <c r="C2812" s="29">
        <v>261500195</v>
      </c>
      <c r="D2812" s="29"/>
      <c r="E2812" s="29"/>
      <c r="F2812" s="29" t="s">
        <v>139</v>
      </c>
      <c r="G2812" s="29" t="s">
        <v>737</v>
      </c>
      <c r="H2812" s="29" t="s">
        <v>38</v>
      </c>
      <c r="I2812" s="120">
        <v>45918</v>
      </c>
      <c r="J2812" s="120">
        <f t="shared" si="37"/>
        <v>45923</v>
      </c>
      <c r="K2812" s="120">
        <v>45948</v>
      </c>
      <c r="L2812" s="120"/>
      <c r="M2812" s="120"/>
      <c r="N2812" s="29"/>
      <c r="O2812" s="29" t="s">
        <v>877</v>
      </c>
      <c r="P2812" s="29"/>
      <c r="Q2812" s="156">
        <v>300</v>
      </c>
    </row>
    <row r="2813" spans="1:18" hidden="1">
      <c r="A2813" s="134" t="s">
        <v>1055</v>
      </c>
      <c r="C2813" s="29">
        <v>273505320</v>
      </c>
      <c r="D2813" s="29"/>
      <c r="E2813" s="29"/>
      <c r="F2813" s="29" t="s">
        <v>139</v>
      </c>
      <c r="G2813" s="29" t="s">
        <v>954</v>
      </c>
      <c r="H2813" s="29" t="s">
        <v>38</v>
      </c>
      <c r="I2813" s="120">
        <v>45930</v>
      </c>
      <c r="J2813" s="120">
        <f t="shared" ref="J2813:J2827" si="38">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139</v>
      </c>
      <c r="G2814" s="29" t="s">
        <v>737</v>
      </c>
      <c r="H2814" s="29" t="s">
        <v>38</v>
      </c>
      <c r="I2814" s="120">
        <v>45916</v>
      </c>
      <c r="J2814" s="120">
        <f t="shared" si="38"/>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139</v>
      </c>
      <c r="G2815" s="29" t="s">
        <v>737</v>
      </c>
      <c r="H2815" s="29" t="s">
        <v>38</v>
      </c>
      <c r="I2815" s="120">
        <v>45910</v>
      </c>
      <c r="J2815" s="120">
        <f t="shared" si="38"/>
        <v>45915</v>
      </c>
      <c r="K2815" s="120">
        <v>45940</v>
      </c>
      <c r="L2815" s="120"/>
      <c r="M2815" s="120"/>
      <c r="N2815" s="29"/>
      <c r="O2815" s="29" t="s">
        <v>1084</v>
      </c>
      <c r="P2815" s="120"/>
      <c r="Q2815" s="156">
        <v>300</v>
      </c>
    </row>
    <row r="2816" spans="1:18" hidden="1">
      <c r="A2816" s="134" t="s">
        <v>1055</v>
      </c>
      <c r="C2816" s="29">
        <v>253501725</v>
      </c>
      <c r="D2816" s="29"/>
      <c r="E2816" s="29"/>
      <c r="F2816" s="29" t="s">
        <v>139</v>
      </c>
      <c r="G2816" s="29" t="s">
        <v>737</v>
      </c>
      <c r="H2816" s="29" t="s">
        <v>38</v>
      </c>
      <c r="I2816" s="120">
        <v>45910</v>
      </c>
      <c r="J2816" s="120">
        <f t="shared" si="38"/>
        <v>45915</v>
      </c>
      <c r="K2816" s="120">
        <v>45940</v>
      </c>
      <c r="L2816" s="120"/>
      <c r="M2816" s="120"/>
      <c r="N2816" s="29"/>
      <c r="O2816" s="29" t="s">
        <v>1084</v>
      </c>
      <c r="P2816" s="120"/>
      <c r="Q2816" s="156">
        <v>50</v>
      </c>
    </row>
    <row r="2817" spans="1:18" hidden="1">
      <c r="A2817" s="134" t="s">
        <v>1055</v>
      </c>
      <c r="C2817" s="29">
        <v>253501777</v>
      </c>
      <c r="D2817" s="29"/>
      <c r="E2817" s="29"/>
      <c r="F2817" s="29" t="s">
        <v>139</v>
      </c>
      <c r="G2817" s="29" t="s">
        <v>737</v>
      </c>
      <c r="H2817" s="29" t="s">
        <v>38</v>
      </c>
      <c r="I2817" s="120">
        <v>45910</v>
      </c>
      <c r="J2817" s="120">
        <f t="shared" si="38"/>
        <v>45915</v>
      </c>
      <c r="K2817" s="120">
        <v>45940</v>
      </c>
      <c r="L2817" s="120"/>
      <c r="M2817" s="120"/>
      <c r="N2817" s="29"/>
      <c r="O2817" s="29" t="s">
        <v>1084</v>
      </c>
      <c r="P2817" s="120"/>
      <c r="Q2817" s="156">
        <v>200</v>
      </c>
    </row>
    <row r="2818" spans="1:18" hidden="1">
      <c r="A2818" s="134" t="s">
        <v>1055</v>
      </c>
      <c r="C2818" s="29">
        <v>253501818</v>
      </c>
      <c r="D2818" s="29"/>
      <c r="E2818" s="29"/>
      <c r="F2818" s="29" t="s">
        <v>139</v>
      </c>
      <c r="G2818" s="29" t="s">
        <v>737</v>
      </c>
      <c r="H2818" s="29" t="s">
        <v>38</v>
      </c>
      <c r="I2818" s="120">
        <v>45910</v>
      </c>
      <c r="J2818" s="120">
        <f t="shared" si="38"/>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139</v>
      </c>
      <c r="G2819" s="29" t="s">
        <v>737</v>
      </c>
      <c r="H2819" s="29" t="s">
        <v>38</v>
      </c>
      <c r="I2819" s="120">
        <v>45910</v>
      </c>
      <c r="J2819" s="120">
        <f t="shared" si="38"/>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139</v>
      </c>
      <c r="G2820" s="29" t="s">
        <v>737</v>
      </c>
      <c r="H2820" s="29" t="s">
        <v>38</v>
      </c>
      <c r="I2820" s="120">
        <v>45910</v>
      </c>
      <c r="J2820" s="120">
        <f t="shared" si="38"/>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139</v>
      </c>
      <c r="G2821" s="29" t="s">
        <v>737</v>
      </c>
      <c r="H2821" s="29" t="s">
        <v>38</v>
      </c>
      <c r="I2821" s="120">
        <v>45910</v>
      </c>
      <c r="J2821" s="120">
        <f t="shared" si="38"/>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139</v>
      </c>
      <c r="G2822" s="29" t="s">
        <v>737</v>
      </c>
      <c r="H2822" s="29" t="s">
        <v>38</v>
      </c>
      <c r="I2822" s="120">
        <v>45910</v>
      </c>
      <c r="J2822" s="120">
        <f t="shared" si="38"/>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139</v>
      </c>
      <c r="G2823" s="29" t="s">
        <v>954</v>
      </c>
      <c r="H2823" s="29" t="s">
        <v>38</v>
      </c>
      <c r="I2823" s="120">
        <v>45959</v>
      </c>
      <c r="J2823" s="120">
        <f t="shared" si="38"/>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139</v>
      </c>
      <c r="G2824" s="29" t="s">
        <v>954</v>
      </c>
      <c r="H2824" s="29" t="s">
        <v>38</v>
      </c>
      <c r="I2824" s="120">
        <v>45959</v>
      </c>
      <c r="J2824" s="120">
        <f t="shared" si="38"/>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139</v>
      </c>
      <c r="G2825" s="29" t="s">
        <v>954</v>
      </c>
      <c r="H2825" s="29" t="s">
        <v>38</v>
      </c>
      <c r="I2825" s="120">
        <v>45959</v>
      </c>
      <c r="J2825" s="120">
        <f t="shared" si="38"/>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139</v>
      </c>
      <c r="G2826" s="29" t="s">
        <v>954</v>
      </c>
      <c r="H2826" s="29" t="s">
        <v>38</v>
      </c>
      <c r="I2826" s="120">
        <v>45959</v>
      </c>
      <c r="J2826" s="120">
        <f t="shared" si="38"/>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139</v>
      </c>
      <c r="G2827" s="29" t="s">
        <v>954</v>
      </c>
      <c r="H2827" s="29" t="s">
        <v>38</v>
      </c>
      <c r="I2827" s="120">
        <v>45959</v>
      </c>
      <c r="J2827" s="120">
        <f t="shared" si="38"/>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139</v>
      </c>
      <c r="G2828" s="29" t="s">
        <v>954</v>
      </c>
      <c r="H2828" s="29" t="s">
        <v>38</v>
      </c>
      <c r="I2828" s="120">
        <v>45933</v>
      </c>
      <c r="J2828" s="120">
        <f t="shared" ref="J2828:J2859" si="39">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139</v>
      </c>
      <c r="G2829" s="29" t="s">
        <v>954</v>
      </c>
      <c r="H2829" s="29" t="s">
        <v>38</v>
      </c>
      <c r="I2829" s="120">
        <v>45933</v>
      </c>
      <c r="J2829" s="120">
        <f t="shared" si="39"/>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139</v>
      </c>
      <c r="G2830" s="29" t="s">
        <v>954</v>
      </c>
      <c r="H2830" s="29" t="s">
        <v>38</v>
      </c>
      <c r="I2830" s="120">
        <v>45933</v>
      </c>
      <c r="J2830" s="120">
        <f t="shared" si="39"/>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139</v>
      </c>
      <c r="G2831" s="29" t="s">
        <v>954</v>
      </c>
      <c r="H2831" s="29" t="s">
        <v>38</v>
      </c>
      <c r="I2831" s="120">
        <v>45933</v>
      </c>
      <c r="J2831" s="120">
        <f t="shared" si="39"/>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139</v>
      </c>
      <c r="G2832" s="29" t="s">
        <v>954</v>
      </c>
      <c r="H2832" s="29" t="s">
        <v>38</v>
      </c>
      <c r="I2832" s="120">
        <v>45932</v>
      </c>
      <c r="J2832" s="120">
        <f t="shared" si="39"/>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139</v>
      </c>
      <c r="G2833" s="29" t="s">
        <v>954</v>
      </c>
      <c r="H2833" s="29" t="s">
        <v>38</v>
      </c>
      <c r="I2833" s="120">
        <v>45932</v>
      </c>
      <c r="J2833" s="120">
        <f t="shared" si="39"/>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139</v>
      </c>
      <c r="G2834" s="29" t="s">
        <v>954</v>
      </c>
      <c r="H2834" s="29" t="s">
        <v>38</v>
      </c>
      <c r="I2834" s="120">
        <v>45932</v>
      </c>
      <c r="J2834" s="120">
        <f t="shared" si="39"/>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139</v>
      </c>
      <c r="G2835" s="29" t="s">
        <v>954</v>
      </c>
      <c r="H2835" s="29" t="s">
        <v>38</v>
      </c>
      <c r="I2835" s="120">
        <v>45932</v>
      </c>
      <c r="J2835" s="120">
        <f t="shared" si="39"/>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139</v>
      </c>
      <c r="G2836" s="29" t="s">
        <v>954</v>
      </c>
      <c r="H2836" s="29" t="s">
        <v>38</v>
      </c>
      <c r="I2836" s="120">
        <v>45932</v>
      </c>
      <c r="J2836" s="120">
        <f t="shared" si="39"/>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139</v>
      </c>
      <c r="G2837" s="29" t="s">
        <v>954</v>
      </c>
      <c r="H2837" s="29" t="s">
        <v>38</v>
      </c>
      <c r="I2837" s="120">
        <v>45931</v>
      </c>
      <c r="J2837" s="120">
        <f t="shared" si="39"/>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139</v>
      </c>
      <c r="G2838" s="29" t="s">
        <v>954</v>
      </c>
      <c r="H2838" s="29" t="s">
        <v>38</v>
      </c>
      <c r="I2838" s="120">
        <v>45931</v>
      </c>
      <c r="J2838" s="120">
        <f t="shared" si="39"/>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139</v>
      </c>
      <c r="G2839" s="29" t="s">
        <v>954</v>
      </c>
      <c r="H2839" s="29" t="s">
        <v>38</v>
      </c>
      <c r="I2839" s="120">
        <v>45931</v>
      </c>
      <c r="J2839" s="120">
        <f t="shared" si="39"/>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139</v>
      </c>
      <c r="G2840" s="29" t="s">
        <v>954</v>
      </c>
      <c r="H2840" s="29" t="s">
        <v>38</v>
      </c>
      <c r="I2840" s="120">
        <v>45931</v>
      </c>
      <c r="J2840" s="120">
        <f t="shared" si="39"/>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139</v>
      </c>
      <c r="G2841" s="29" t="s">
        <v>954</v>
      </c>
      <c r="H2841" s="29" t="s">
        <v>38</v>
      </c>
      <c r="I2841" s="120">
        <v>45931</v>
      </c>
      <c r="J2841" s="120">
        <f t="shared" si="39"/>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139</v>
      </c>
      <c r="G2842" s="29" t="s">
        <v>954</v>
      </c>
      <c r="H2842" s="29" t="s">
        <v>38</v>
      </c>
      <c r="I2842" s="120">
        <v>45931</v>
      </c>
      <c r="J2842" s="120">
        <f t="shared" si="39"/>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139</v>
      </c>
      <c r="G2843" s="29" t="s">
        <v>954</v>
      </c>
      <c r="H2843" s="29" t="s">
        <v>38</v>
      </c>
      <c r="I2843" s="120">
        <v>45929</v>
      </c>
      <c r="J2843" s="120">
        <f t="shared" si="39"/>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139</v>
      </c>
      <c r="G2844" s="29" t="s">
        <v>954</v>
      </c>
      <c r="H2844" s="29" t="s">
        <v>38</v>
      </c>
      <c r="I2844" s="120">
        <v>45938</v>
      </c>
      <c r="J2844" s="120">
        <f t="shared" si="39"/>
        <v>45943</v>
      </c>
      <c r="K2844" s="120">
        <v>45969</v>
      </c>
      <c r="L2844" s="120"/>
      <c r="M2844" s="120"/>
      <c r="O2844" s="29" t="s">
        <v>877</v>
      </c>
      <c r="P2844" s="120"/>
      <c r="Q2844" s="156">
        <v>600</v>
      </c>
      <c r="R2844" s="134" t="s">
        <v>1348</v>
      </c>
    </row>
    <row r="2845" spans="1:18" hidden="1">
      <c r="A2845" s="134" t="s">
        <v>1055</v>
      </c>
      <c r="C2845" s="29">
        <v>286505216</v>
      </c>
      <c r="D2845" s="29"/>
      <c r="E2845" s="29"/>
      <c r="F2845" s="29" t="s">
        <v>139</v>
      </c>
      <c r="G2845" s="29" t="s">
        <v>954</v>
      </c>
      <c r="H2845" s="29" t="s">
        <v>38</v>
      </c>
      <c r="I2845" s="120">
        <v>45943</v>
      </c>
      <c r="J2845" s="120">
        <f t="shared" si="39"/>
        <v>45946</v>
      </c>
      <c r="K2845" s="29"/>
      <c r="L2845" s="29"/>
      <c r="M2845" s="29"/>
      <c r="N2845" s="29"/>
      <c r="O2845" s="29" t="s">
        <v>877</v>
      </c>
      <c r="P2845" s="120"/>
      <c r="Q2845" s="156"/>
      <c r="R2845" s="134" t="s">
        <v>1348</v>
      </c>
    </row>
    <row r="2846" spans="1:18" hidden="1">
      <c r="A2846" s="134" t="s">
        <v>1055</v>
      </c>
      <c r="C2846" s="29">
        <v>286505225</v>
      </c>
      <c r="D2846" s="29"/>
      <c r="E2846" s="29"/>
      <c r="F2846" s="29" t="s">
        <v>139</v>
      </c>
      <c r="G2846" s="29" t="s">
        <v>954</v>
      </c>
      <c r="H2846" s="29" t="s">
        <v>38</v>
      </c>
      <c r="I2846" s="120">
        <v>45943</v>
      </c>
      <c r="J2846" s="120">
        <f t="shared" si="39"/>
        <v>45946</v>
      </c>
      <c r="K2846" s="29"/>
      <c r="L2846" s="29"/>
      <c r="M2846" s="29"/>
      <c r="N2846" s="29"/>
      <c r="O2846" s="29" t="s">
        <v>877</v>
      </c>
      <c r="P2846" s="120"/>
      <c r="Q2846" s="156"/>
      <c r="R2846" s="134" t="s">
        <v>1348</v>
      </c>
    </row>
    <row r="2847" spans="1:18" hidden="1">
      <c r="A2847" s="134" t="s">
        <v>1055</v>
      </c>
      <c r="C2847" s="29">
        <v>286505248</v>
      </c>
      <c r="D2847" s="29"/>
      <c r="E2847" s="29"/>
      <c r="F2847" s="29" t="s">
        <v>139</v>
      </c>
      <c r="G2847" s="29" t="s">
        <v>954</v>
      </c>
      <c r="H2847" s="29" t="s">
        <v>38</v>
      </c>
      <c r="I2847" s="120">
        <v>45943</v>
      </c>
      <c r="J2847" s="120">
        <f t="shared" si="39"/>
        <v>45946</v>
      </c>
      <c r="K2847" s="29"/>
      <c r="L2847" s="29"/>
      <c r="M2847" s="29"/>
      <c r="N2847" s="29"/>
      <c r="O2847" s="29" t="s">
        <v>877</v>
      </c>
      <c r="P2847" s="120"/>
      <c r="Q2847" s="156"/>
      <c r="R2847" s="134" t="s">
        <v>1348</v>
      </c>
    </row>
    <row r="2848" spans="1:18" hidden="1">
      <c r="A2848" s="134" t="s">
        <v>1049</v>
      </c>
      <c r="C2848" s="29">
        <v>286505198</v>
      </c>
      <c r="D2848" s="29"/>
      <c r="E2848" s="29"/>
      <c r="F2848" s="29" t="s">
        <v>139</v>
      </c>
      <c r="G2848" s="29" t="s">
        <v>954</v>
      </c>
      <c r="H2848" s="29" t="s">
        <v>38</v>
      </c>
      <c r="I2848" s="120">
        <v>45943</v>
      </c>
      <c r="J2848" s="120">
        <f t="shared" si="39"/>
        <v>45946</v>
      </c>
      <c r="K2848" s="29"/>
      <c r="L2848" s="29"/>
      <c r="M2848" s="29"/>
      <c r="N2848" s="29"/>
      <c r="O2848" s="29" t="s">
        <v>877</v>
      </c>
      <c r="P2848" s="120"/>
      <c r="Q2848" s="156"/>
      <c r="R2848" s="134" t="s">
        <v>1348</v>
      </c>
    </row>
    <row r="2849" spans="1:18" hidden="1">
      <c r="A2849" s="134" t="s">
        <v>1349</v>
      </c>
      <c r="C2849" s="29">
        <v>282501403</v>
      </c>
      <c r="D2849" s="29"/>
      <c r="E2849" s="29"/>
      <c r="F2849" s="29" t="s">
        <v>139</v>
      </c>
      <c r="G2849" s="29" t="s">
        <v>954</v>
      </c>
      <c r="H2849" s="29" t="s">
        <v>38</v>
      </c>
      <c r="I2849" s="120">
        <v>45939</v>
      </c>
      <c r="J2849" s="120">
        <f t="shared" si="39"/>
        <v>45944</v>
      </c>
      <c r="K2849" s="120">
        <v>45970</v>
      </c>
      <c r="L2849" s="120"/>
      <c r="M2849" s="120"/>
      <c r="N2849" s="29"/>
      <c r="O2849" s="29" t="s">
        <v>877</v>
      </c>
      <c r="P2849" s="120"/>
      <c r="Q2849" s="156"/>
      <c r="R2849" s="162"/>
    </row>
    <row r="2850" spans="1:18" hidden="1">
      <c r="A2850" s="134" t="s">
        <v>1349</v>
      </c>
      <c r="C2850" s="29">
        <v>282501411</v>
      </c>
      <c r="D2850" s="29"/>
      <c r="E2850" s="29"/>
      <c r="F2850" s="29" t="s">
        <v>139</v>
      </c>
      <c r="G2850" s="29" t="s">
        <v>954</v>
      </c>
      <c r="H2850" s="29" t="s">
        <v>38</v>
      </c>
      <c r="I2850" s="120">
        <v>45939</v>
      </c>
      <c r="J2850" s="120">
        <f t="shared" si="39"/>
        <v>45944</v>
      </c>
      <c r="K2850" s="120">
        <v>45970</v>
      </c>
      <c r="L2850" s="120"/>
      <c r="M2850" s="120"/>
      <c r="N2850" s="29"/>
      <c r="O2850" s="29" t="s">
        <v>877</v>
      </c>
      <c r="P2850" s="120"/>
      <c r="Q2850" s="156"/>
      <c r="R2850" s="162"/>
    </row>
    <row r="2851" spans="1:18" hidden="1">
      <c r="A2851" s="134" t="s">
        <v>1349</v>
      </c>
      <c r="C2851" s="29">
        <v>282501422</v>
      </c>
      <c r="D2851" s="29"/>
      <c r="E2851" s="29"/>
      <c r="F2851" s="29" t="s">
        <v>139</v>
      </c>
      <c r="G2851" s="29" t="s">
        <v>954</v>
      </c>
      <c r="H2851" s="29" t="s">
        <v>38</v>
      </c>
      <c r="I2851" s="120">
        <v>45939</v>
      </c>
      <c r="J2851" s="120">
        <f t="shared" si="39"/>
        <v>45944</v>
      </c>
      <c r="K2851" s="120">
        <v>45970</v>
      </c>
      <c r="L2851" s="120"/>
      <c r="M2851" s="120"/>
      <c r="N2851" s="29"/>
      <c r="O2851" s="29" t="s">
        <v>877</v>
      </c>
      <c r="P2851" s="120"/>
      <c r="Q2851" s="156"/>
      <c r="R2851" s="162"/>
    </row>
    <row r="2852" spans="1:18" hidden="1">
      <c r="A2852" s="134" t="s">
        <v>1349</v>
      </c>
      <c r="C2852" s="29">
        <v>282501433</v>
      </c>
      <c r="D2852" s="29"/>
      <c r="E2852" s="29"/>
      <c r="F2852" s="29" t="s">
        <v>139</v>
      </c>
      <c r="G2852" s="29" t="s">
        <v>954</v>
      </c>
      <c r="H2852" s="29" t="s">
        <v>38</v>
      </c>
      <c r="I2852" s="120">
        <v>45939</v>
      </c>
      <c r="J2852" s="120">
        <f t="shared" si="39"/>
        <v>45944</v>
      </c>
      <c r="K2852" s="120">
        <v>45970</v>
      </c>
      <c r="L2852" s="120"/>
      <c r="M2852" s="120"/>
      <c r="N2852" s="29"/>
      <c r="O2852" s="29" t="s">
        <v>877</v>
      </c>
      <c r="P2852" s="120"/>
      <c r="Q2852" s="156"/>
      <c r="R2852" s="162"/>
    </row>
    <row r="2853" spans="1:18" hidden="1">
      <c r="A2853" s="134" t="s">
        <v>1349</v>
      </c>
      <c r="C2853" s="29">
        <v>282501441</v>
      </c>
      <c r="D2853" s="29"/>
      <c r="E2853" s="29"/>
      <c r="F2853" s="29" t="s">
        <v>139</v>
      </c>
      <c r="G2853" s="29" t="s">
        <v>954</v>
      </c>
      <c r="H2853" s="29" t="s">
        <v>38</v>
      </c>
      <c r="I2853" s="120">
        <v>45939</v>
      </c>
      <c r="J2853" s="120">
        <f t="shared" si="39"/>
        <v>45944</v>
      </c>
      <c r="K2853" s="120">
        <v>45970</v>
      </c>
      <c r="L2853" s="120"/>
      <c r="M2853" s="120"/>
      <c r="N2853" s="29"/>
      <c r="O2853" s="29" t="s">
        <v>877</v>
      </c>
      <c r="P2853" s="120"/>
      <c r="Q2853" s="156"/>
      <c r="R2853" s="162"/>
    </row>
    <row r="2854" spans="1:18" hidden="1">
      <c r="A2854" s="134" t="s">
        <v>1349</v>
      </c>
      <c r="C2854" s="29">
        <v>282501458</v>
      </c>
      <c r="D2854" s="29"/>
      <c r="E2854" s="29"/>
      <c r="F2854" s="29" t="s">
        <v>139</v>
      </c>
      <c r="G2854" s="29" t="s">
        <v>954</v>
      </c>
      <c r="H2854" s="29" t="s">
        <v>38</v>
      </c>
      <c r="I2854" s="120">
        <v>45939</v>
      </c>
      <c r="J2854" s="120">
        <f t="shared" si="39"/>
        <v>45944</v>
      </c>
      <c r="K2854" s="120">
        <v>45970</v>
      </c>
      <c r="L2854" s="120"/>
      <c r="M2854" s="120"/>
      <c r="N2854" s="29"/>
      <c r="O2854" s="29" t="s">
        <v>877</v>
      </c>
      <c r="P2854" s="120"/>
      <c r="Q2854" s="156"/>
      <c r="R2854" s="162"/>
    </row>
    <row r="2855" spans="1:18" hidden="1">
      <c r="A2855" s="134" t="s">
        <v>1349</v>
      </c>
      <c r="C2855" s="29">
        <v>282501464</v>
      </c>
      <c r="D2855" s="29"/>
      <c r="E2855" s="29"/>
      <c r="F2855" s="29" t="s">
        <v>139</v>
      </c>
      <c r="G2855" s="29" t="s">
        <v>954</v>
      </c>
      <c r="H2855" s="29" t="s">
        <v>38</v>
      </c>
      <c r="I2855" s="120">
        <v>45939</v>
      </c>
      <c r="J2855" s="120">
        <f t="shared" si="39"/>
        <v>45944</v>
      </c>
      <c r="K2855" s="120">
        <v>45970</v>
      </c>
      <c r="L2855" s="120"/>
      <c r="M2855" s="120"/>
      <c r="N2855" s="29"/>
      <c r="O2855" s="29" t="s">
        <v>877</v>
      </c>
      <c r="P2855" s="120"/>
      <c r="Q2855" s="156"/>
      <c r="R2855" s="162"/>
    </row>
    <row r="2856" spans="1:18" hidden="1">
      <c r="A2856" s="134" t="s">
        <v>1349</v>
      </c>
      <c r="C2856" s="29">
        <v>282501473</v>
      </c>
      <c r="D2856" s="29"/>
      <c r="E2856" s="29"/>
      <c r="F2856" s="29" t="s">
        <v>139</v>
      </c>
      <c r="G2856" s="29" t="s">
        <v>954</v>
      </c>
      <c r="H2856" s="29" t="s">
        <v>38</v>
      </c>
      <c r="I2856" s="120">
        <v>45939</v>
      </c>
      <c r="J2856" s="120">
        <f t="shared" si="39"/>
        <v>45944</v>
      </c>
      <c r="K2856" s="120">
        <v>45970</v>
      </c>
      <c r="L2856" s="120"/>
      <c r="M2856" s="120"/>
      <c r="N2856" s="29"/>
      <c r="O2856" s="29" t="s">
        <v>877</v>
      </c>
      <c r="P2856" s="120"/>
      <c r="Q2856" s="156"/>
      <c r="R2856" s="162"/>
    </row>
    <row r="2857" spans="1:18" hidden="1">
      <c r="A2857" s="134" t="s">
        <v>1349</v>
      </c>
      <c r="C2857" s="29">
        <v>282501491</v>
      </c>
      <c r="D2857" s="29"/>
      <c r="E2857" s="29"/>
      <c r="F2857" s="29" t="s">
        <v>139</v>
      </c>
      <c r="G2857" s="29" t="s">
        <v>954</v>
      </c>
      <c r="H2857" s="29" t="s">
        <v>38</v>
      </c>
      <c r="I2857" s="120">
        <v>45939</v>
      </c>
      <c r="J2857" s="120">
        <f t="shared" si="39"/>
        <v>45944</v>
      </c>
      <c r="K2857" s="120">
        <v>45970</v>
      </c>
      <c r="L2857" s="120"/>
      <c r="M2857" s="120"/>
      <c r="N2857" s="29"/>
      <c r="O2857" s="29" t="s">
        <v>877</v>
      </c>
      <c r="P2857" s="120"/>
      <c r="Q2857" s="156"/>
      <c r="R2857" s="162"/>
    </row>
    <row r="2858" spans="1:18" hidden="1">
      <c r="A2858" s="134" t="s">
        <v>1349</v>
      </c>
      <c r="C2858" s="29">
        <v>282501499</v>
      </c>
      <c r="D2858" s="29"/>
      <c r="E2858" s="29"/>
      <c r="F2858" s="29" t="s">
        <v>139</v>
      </c>
      <c r="G2858" s="29" t="s">
        <v>954</v>
      </c>
      <c r="H2858" s="29" t="s">
        <v>38</v>
      </c>
      <c r="I2858" s="120">
        <v>45939</v>
      </c>
      <c r="J2858" s="120">
        <f t="shared" si="39"/>
        <v>45944</v>
      </c>
      <c r="K2858" s="120">
        <v>45970</v>
      </c>
      <c r="L2858" s="120"/>
      <c r="M2858" s="120"/>
      <c r="N2858" s="29"/>
      <c r="O2858" s="29" t="s">
        <v>877</v>
      </c>
      <c r="P2858" s="120"/>
      <c r="Q2858" s="156"/>
      <c r="R2858" s="162"/>
    </row>
    <row r="2859" spans="1:18" hidden="1">
      <c r="A2859" s="134" t="s">
        <v>1349</v>
      </c>
      <c r="C2859" s="29">
        <v>282501507</v>
      </c>
      <c r="D2859" s="29"/>
      <c r="E2859" s="29"/>
      <c r="F2859" s="29" t="s">
        <v>139</v>
      </c>
      <c r="G2859" s="29" t="s">
        <v>954</v>
      </c>
      <c r="H2859" s="29" t="s">
        <v>38</v>
      </c>
      <c r="I2859" s="120">
        <v>45939</v>
      </c>
      <c r="J2859" s="120">
        <f t="shared" si="39"/>
        <v>45944</v>
      </c>
      <c r="K2859" s="120">
        <v>45970</v>
      </c>
      <c r="L2859" s="120"/>
      <c r="M2859" s="120"/>
      <c r="N2859" s="29"/>
      <c r="O2859" s="29" t="s">
        <v>877</v>
      </c>
      <c r="P2859" s="120"/>
      <c r="Q2859" s="156"/>
      <c r="R2859" s="162"/>
    </row>
    <row r="2860" spans="1:18" hidden="1">
      <c r="A2860" s="134" t="s">
        <v>1349</v>
      </c>
      <c r="C2860" s="29">
        <v>282501513</v>
      </c>
      <c r="D2860" s="29"/>
      <c r="E2860" s="29"/>
      <c r="F2860" s="29" t="s">
        <v>139</v>
      </c>
      <c r="G2860" s="29" t="s">
        <v>954</v>
      </c>
      <c r="H2860" s="29" t="s">
        <v>38</v>
      </c>
      <c r="I2860" s="120">
        <v>45939</v>
      </c>
      <c r="J2860" s="120">
        <f t="shared" ref="J2860:J2891" si="40">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139</v>
      </c>
      <c r="G2861" s="29" t="s">
        <v>954</v>
      </c>
      <c r="H2861" s="29" t="s">
        <v>38</v>
      </c>
      <c r="I2861" s="120">
        <v>45939</v>
      </c>
      <c r="J2861" s="120">
        <f t="shared" si="40"/>
        <v>45944</v>
      </c>
      <c r="K2861" s="120">
        <v>45970</v>
      </c>
      <c r="L2861" s="120"/>
      <c r="M2861" s="120"/>
      <c r="N2861" s="29"/>
      <c r="O2861" s="29" t="s">
        <v>877</v>
      </c>
      <c r="P2861" s="120"/>
      <c r="Q2861" s="156"/>
      <c r="R2861" s="162"/>
    </row>
    <row r="2862" spans="1:18" hidden="1">
      <c r="A2862" s="134" t="s">
        <v>1349</v>
      </c>
      <c r="C2862" s="29">
        <v>282501528</v>
      </c>
      <c r="D2862" s="29"/>
      <c r="E2862" s="29"/>
      <c r="F2862" s="29" t="s">
        <v>139</v>
      </c>
      <c r="G2862" s="29" t="s">
        <v>954</v>
      </c>
      <c r="H2862" s="29" t="s">
        <v>38</v>
      </c>
      <c r="I2862" s="120">
        <v>45939</v>
      </c>
      <c r="J2862" s="120">
        <f t="shared" si="40"/>
        <v>45944</v>
      </c>
      <c r="K2862" s="120">
        <v>45970</v>
      </c>
      <c r="L2862" s="120"/>
      <c r="M2862" s="120"/>
      <c r="N2862" s="29"/>
      <c r="O2862" s="29" t="s">
        <v>877</v>
      </c>
      <c r="P2862" s="120"/>
      <c r="Q2862" s="156"/>
      <c r="R2862" s="162"/>
    </row>
    <row r="2863" spans="1:18" hidden="1">
      <c r="A2863" s="134" t="s">
        <v>1349</v>
      </c>
      <c r="C2863" s="29">
        <v>282501567</v>
      </c>
      <c r="D2863" s="29"/>
      <c r="E2863" s="29"/>
      <c r="F2863" s="29" t="s">
        <v>139</v>
      </c>
      <c r="G2863" s="29" t="s">
        <v>954</v>
      </c>
      <c r="H2863" s="29" t="s">
        <v>38</v>
      </c>
      <c r="I2863" s="120">
        <v>45939</v>
      </c>
      <c r="J2863" s="120">
        <f t="shared" si="40"/>
        <v>45944</v>
      </c>
      <c r="K2863" s="120">
        <v>45970</v>
      </c>
      <c r="L2863" s="120"/>
      <c r="M2863" s="120"/>
      <c r="N2863" s="29"/>
      <c r="O2863" s="29" t="s">
        <v>877</v>
      </c>
      <c r="P2863" s="120"/>
      <c r="Q2863" s="156"/>
      <c r="R2863" s="162"/>
    </row>
    <row r="2864" spans="1:18" hidden="1">
      <c r="A2864" s="134" t="s">
        <v>1349</v>
      </c>
      <c r="C2864" s="29">
        <v>282501558</v>
      </c>
      <c r="D2864" s="29"/>
      <c r="E2864" s="29"/>
      <c r="F2864" s="29" t="s">
        <v>139</v>
      </c>
      <c r="G2864" s="29" t="s">
        <v>954</v>
      </c>
      <c r="H2864" s="29" t="s">
        <v>38</v>
      </c>
      <c r="I2864" s="120">
        <v>45939</v>
      </c>
      <c r="J2864" s="120">
        <f t="shared" si="40"/>
        <v>45944</v>
      </c>
      <c r="K2864" s="120">
        <v>45970</v>
      </c>
      <c r="L2864" s="120"/>
      <c r="M2864" s="120"/>
      <c r="N2864" s="29"/>
      <c r="O2864" s="29" t="s">
        <v>877</v>
      </c>
      <c r="P2864" s="120"/>
      <c r="Q2864" s="156"/>
      <c r="R2864" s="162"/>
    </row>
    <row r="2865" spans="1:18" hidden="1">
      <c r="A2865" s="134" t="s">
        <v>1349</v>
      </c>
      <c r="C2865" s="29">
        <v>282501582</v>
      </c>
      <c r="D2865" s="29"/>
      <c r="E2865" s="29"/>
      <c r="F2865" s="29" t="s">
        <v>139</v>
      </c>
      <c r="G2865" s="29" t="s">
        <v>954</v>
      </c>
      <c r="H2865" s="29" t="s">
        <v>38</v>
      </c>
      <c r="I2865" s="120">
        <v>45939</v>
      </c>
      <c r="J2865" s="120">
        <f t="shared" si="40"/>
        <v>45944</v>
      </c>
      <c r="K2865" s="120">
        <v>45970</v>
      </c>
      <c r="L2865" s="120"/>
      <c r="M2865" s="120"/>
      <c r="N2865" s="29"/>
      <c r="O2865" s="29" t="s">
        <v>877</v>
      </c>
      <c r="P2865" s="120"/>
      <c r="Q2865" s="156"/>
      <c r="R2865" s="162"/>
    </row>
    <row r="2866" spans="1:18" hidden="1">
      <c r="A2866" s="134" t="s">
        <v>1349</v>
      </c>
      <c r="C2866" s="29">
        <v>282501594</v>
      </c>
      <c r="D2866" s="29"/>
      <c r="E2866" s="29"/>
      <c r="F2866" s="29" t="s">
        <v>139</v>
      </c>
      <c r="G2866" s="29" t="s">
        <v>954</v>
      </c>
      <c r="H2866" s="29" t="s">
        <v>38</v>
      </c>
      <c r="I2866" s="120">
        <v>45939</v>
      </c>
      <c r="J2866" s="120">
        <f t="shared" si="40"/>
        <v>45944</v>
      </c>
      <c r="K2866" s="120">
        <v>45970</v>
      </c>
      <c r="L2866" s="120"/>
      <c r="M2866" s="120"/>
      <c r="N2866" s="29"/>
      <c r="O2866" s="29" t="s">
        <v>877</v>
      </c>
      <c r="P2866" s="120"/>
      <c r="Q2866" s="156"/>
      <c r="R2866" s="162"/>
    </row>
    <row r="2867" spans="1:18" hidden="1">
      <c r="A2867" s="134" t="s">
        <v>1349</v>
      </c>
      <c r="C2867" s="29">
        <v>282501610</v>
      </c>
      <c r="D2867" s="29"/>
      <c r="E2867" s="29"/>
      <c r="F2867" s="29" t="s">
        <v>139</v>
      </c>
      <c r="G2867" s="29" t="s">
        <v>954</v>
      </c>
      <c r="H2867" s="29" t="s">
        <v>38</v>
      </c>
      <c r="I2867" s="120">
        <v>45939</v>
      </c>
      <c r="J2867" s="120">
        <f t="shared" si="40"/>
        <v>45944</v>
      </c>
      <c r="K2867" s="120">
        <v>45970</v>
      </c>
      <c r="L2867" s="120"/>
      <c r="M2867" s="120"/>
      <c r="N2867" s="29"/>
      <c r="O2867" s="29" t="s">
        <v>877</v>
      </c>
      <c r="P2867" s="120"/>
      <c r="Q2867" s="156"/>
      <c r="R2867" s="162"/>
    </row>
    <row r="2868" spans="1:18" hidden="1">
      <c r="A2868" s="134" t="s">
        <v>1349</v>
      </c>
      <c r="C2868" s="29">
        <v>282501615</v>
      </c>
      <c r="D2868" s="29"/>
      <c r="E2868" s="29"/>
      <c r="F2868" s="29" t="s">
        <v>139</v>
      </c>
      <c r="G2868" s="29" t="s">
        <v>954</v>
      </c>
      <c r="H2868" s="29" t="s">
        <v>38</v>
      </c>
      <c r="I2868" s="120">
        <v>45939</v>
      </c>
      <c r="J2868" s="120">
        <f t="shared" si="40"/>
        <v>45944</v>
      </c>
      <c r="K2868" s="120">
        <v>45970</v>
      </c>
      <c r="L2868" s="120"/>
      <c r="M2868" s="120"/>
      <c r="N2868" s="29"/>
      <c r="O2868" s="29" t="s">
        <v>877</v>
      </c>
      <c r="P2868" s="120"/>
      <c r="Q2868" s="156"/>
      <c r="R2868" s="162"/>
    </row>
    <row r="2869" spans="1:18" hidden="1">
      <c r="A2869" s="134" t="s">
        <v>1349</v>
      </c>
      <c r="C2869" s="29">
        <v>282501642</v>
      </c>
      <c r="D2869" s="29"/>
      <c r="E2869" s="29"/>
      <c r="F2869" s="29" t="s">
        <v>139</v>
      </c>
      <c r="G2869" s="29" t="s">
        <v>954</v>
      </c>
      <c r="H2869" s="29" t="s">
        <v>38</v>
      </c>
      <c r="I2869" s="120">
        <v>45939</v>
      </c>
      <c r="J2869" s="120">
        <f t="shared" si="40"/>
        <v>45944</v>
      </c>
      <c r="K2869" s="120">
        <v>45970</v>
      </c>
      <c r="L2869" s="120"/>
      <c r="M2869" s="120"/>
      <c r="N2869" s="29"/>
      <c r="O2869" s="29" t="s">
        <v>877</v>
      </c>
      <c r="P2869" s="120"/>
      <c r="Q2869" s="156"/>
      <c r="R2869" s="162"/>
    </row>
    <row r="2870" spans="1:18" hidden="1">
      <c r="A2870" s="134" t="s">
        <v>1349</v>
      </c>
      <c r="C2870" s="29">
        <v>282501648</v>
      </c>
      <c r="D2870" s="29"/>
      <c r="E2870" s="29"/>
      <c r="F2870" s="29" t="s">
        <v>139</v>
      </c>
      <c r="G2870" s="29" t="s">
        <v>954</v>
      </c>
      <c r="H2870" s="29" t="s">
        <v>38</v>
      </c>
      <c r="I2870" s="120">
        <v>45939</v>
      </c>
      <c r="J2870" s="120">
        <f t="shared" si="40"/>
        <v>45944</v>
      </c>
      <c r="K2870" s="120">
        <v>45970</v>
      </c>
      <c r="L2870" s="120"/>
      <c r="M2870" s="120"/>
      <c r="N2870" s="29"/>
      <c r="O2870" s="29" t="s">
        <v>877</v>
      </c>
      <c r="P2870" s="120"/>
      <c r="Q2870" s="156"/>
      <c r="R2870" s="162"/>
    </row>
    <row r="2871" spans="1:18" hidden="1">
      <c r="A2871" s="134" t="s">
        <v>1349</v>
      </c>
      <c r="C2871" s="29">
        <v>282501662</v>
      </c>
      <c r="D2871" s="29"/>
      <c r="E2871" s="29"/>
      <c r="F2871" s="29" t="s">
        <v>139</v>
      </c>
      <c r="G2871" s="29" t="s">
        <v>954</v>
      </c>
      <c r="H2871" s="29" t="s">
        <v>38</v>
      </c>
      <c r="I2871" s="120">
        <v>45939</v>
      </c>
      <c r="J2871" s="120">
        <f t="shared" si="40"/>
        <v>45944</v>
      </c>
      <c r="K2871" s="120">
        <v>45970</v>
      </c>
      <c r="L2871" s="120"/>
      <c r="M2871" s="120"/>
      <c r="N2871" s="29"/>
      <c r="O2871" s="29" t="s">
        <v>877</v>
      </c>
      <c r="P2871" s="120"/>
      <c r="Q2871" s="156"/>
      <c r="R2871" s="162"/>
    </row>
    <row r="2872" spans="1:18" hidden="1">
      <c r="A2872" s="134" t="s">
        <v>1349</v>
      </c>
      <c r="C2872" s="29">
        <v>282501673</v>
      </c>
      <c r="D2872" s="29"/>
      <c r="E2872" s="29"/>
      <c r="F2872" s="29" t="s">
        <v>139</v>
      </c>
      <c r="G2872" s="29" t="s">
        <v>954</v>
      </c>
      <c r="H2872" s="29" t="s">
        <v>38</v>
      </c>
      <c r="I2872" s="120">
        <v>45939</v>
      </c>
      <c r="J2872" s="120">
        <f t="shared" si="40"/>
        <v>45944</v>
      </c>
      <c r="K2872" s="120">
        <v>45970</v>
      </c>
      <c r="L2872" s="120"/>
      <c r="M2872" s="120"/>
      <c r="N2872" s="29"/>
      <c r="O2872" s="29" t="s">
        <v>877</v>
      </c>
      <c r="P2872" s="120"/>
      <c r="Q2872" s="156"/>
      <c r="R2872" s="162"/>
    </row>
    <row r="2873" spans="1:18" hidden="1">
      <c r="A2873" s="134" t="s">
        <v>1349</v>
      </c>
      <c r="C2873" s="29">
        <v>282501693</v>
      </c>
      <c r="D2873" s="29"/>
      <c r="E2873" s="29"/>
      <c r="F2873" s="29" t="s">
        <v>139</v>
      </c>
      <c r="G2873" s="29" t="s">
        <v>954</v>
      </c>
      <c r="H2873" s="29" t="s">
        <v>38</v>
      </c>
      <c r="I2873" s="120">
        <v>45939</v>
      </c>
      <c r="J2873" s="120">
        <f t="shared" si="40"/>
        <v>45944</v>
      </c>
      <c r="K2873" s="120">
        <v>45970</v>
      </c>
      <c r="L2873" s="120"/>
      <c r="M2873" s="120"/>
      <c r="N2873" s="29"/>
      <c r="O2873" s="29" t="s">
        <v>877</v>
      </c>
      <c r="P2873" s="120"/>
      <c r="Q2873" s="156"/>
      <c r="R2873" s="162"/>
    </row>
    <row r="2874" spans="1:18" hidden="1">
      <c r="A2874" s="134" t="s">
        <v>1349</v>
      </c>
      <c r="C2874" s="29">
        <v>282501708</v>
      </c>
      <c r="D2874" s="29"/>
      <c r="E2874" s="29"/>
      <c r="F2874" s="29" t="s">
        <v>139</v>
      </c>
      <c r="G2874" s="29" t="s">
        <v>954</v>
      </c>
      <c r="H2874" s="29" t="s">
        <v>38</v>
      </c>
      <c r="I2874" s="120">
        <v>45939</v>
      </c>
      <c r="J2874" s="120">
        <f t="shared" si="40"/>
        <v>45944</v>
      </c>
      <c r="K2874" s="120">
        <v>45970</v>
      </c>
      <c r="L2874" s="120"/>
      <c r="M2874" s="120"/>
      <c r="N2874" s="29"/>
      <c r="O2874" s="29" t="s">
        <v>877</v>
      </c>
      <c r="P2874" s="120"/>
      <c r="Q2874" s="156"/>
      <c r="R2874" s="162"/>
    </row>
    <row r="2875" spans="1:18" hidden="1">
      <c r="A2875" s="134" t="s">
        <v>1350</v>
      </c>
      <c r="C2875" s="29">
        <v>281502912</v>
      </c>
      <c r="D2875" s="29"/>
      <c r="E2875" s="29"/>
      <c r="F2875" s="29" t="s">
        <v>139</v>
      </c>
      <c r="G2875" s="29" t="s">
        <v>954</v>
      </c>
      <c r="H2875" s="29" t="s">
        <v>38</v>
      </c>
      <c r="I2875" s="120">
        <v>45938</v>
      </c>
      <c r="J2875" s="120">
        <f t="shared" si="40"/>
        <v>45943</v>
      </c>
      <c r="K2875" s="120">
        <v>45969</v>
      </c>
      <c r="L2875" s="120"/>
      <c r="M2875" s="120"/>
      <c r="N2875" s="29"/>
      <c r="O2875" s="29" t="s">
        <v>877</v>
      </c>
      <c r="P2875" s="120"/>
      <c r="Q2875" s="156"/>
      <c r="R2875" s="162"/>
    </row>
    <row r="2876" spans="1:18" hidden="1">
      <c r="A2876" s="134" t="s">
        <v>1350</v>
      </c>
      <c r="C2876" s="29">
        <v>281504002</v>
      </c>
      <c r="D2876" s="29"/>
      <c r="E2876" s="29"/>
      <c r="F2876" s="29" t="s">
        <v>139</v>
      </c>
      <c r="G2876" s="29" t="s">
        <v>954</v>
      </c>
      <c r="H2876" s="29" t="s">
        <v>38</v>
      </c>
      <c r="I2876" s="120">
        <v>45938</v>
      </c>
      <c r="J2876" s="120">
        <f t="shared" si="40"/>
        <v>45943</v>
      </c>
      <c r="K2876" s="120">
        <v>45969</v>
      </c>
      <c r="L2876" s="120"/>
      <c r="M2876" s="120"/>
      <c r="N2876" s="29"/>
      <c r="O2876" s="29" t="s">
        <v>877</v>
      </c>
      <c r="P2876" s="120"/>
      <c r="Q2876" s="156"/>
      <c r="R2876" s="162"/>
    </row>
    <row r="2877" spans="1:18" hidden="1">
      <c r="A2877" s="134" t="s">
        <v>1350</v>
      </c>
      <c r="C2877" s="29">
        <v>281503991</v>
      </c>
      <c r="D2877" s="29"/>
      <c r="E2877" s="29"/>
      <c r="F2877" s="29" t="s">
        <v>139</v>
      </c>
      <c r="G2877" s="29" t="s">
        <v>954</v>
      </c>
      <c r="H2877" s="29" t="s">
        <v>38</v>
      </c>
      <c r="I2877" s="120">
        <v>45938</v>
      </c>
      <c r="J2877" s="120">
        <f t="shared" si="40"/>
        <v>45943</v>
      </c>
      <c r="K2877" s="120">
        <v>45969</v>
      </c>
      <c r="L2877" s="120"/>
      <c r="M2877" s="120"/>
      <c r="N2877" s="29"/>
      <c r="O2877" s="29" t="s">
        <v>877</v>
      </c>
      <c r="P2877" s="120"/>
      <c r="Q2877" s="156"/>
      <c r="R2877" s="162"/>
    </row>
    <row r="2878" spans="1:18" hidden="1">
      <c r="A2878" s="134" t="s">
        <v>1350</v>
      </c>
      <c r="C2878" s="29">
        <v>281503976</v>
      </c>
      <c r="D2878" s="29"/>
      <c r="E2878" s="29"/>
      <c r="F2878" s="29" t="s">
        <v>139</v>
      </c>
      <c r="G2878" s="29" t="s">
        <v>954</v>
      </c>
      <c r="H2878" s="29" t="s">
        <v>38</v>
      </c>
      <c r="I2878" s="120">
        <v>45938</v>
      </c>
      <c r="J2878" s="120">
        <f t="shared" si="40"/>
        <v>45943</v>
      </c>
      <c r="K2878" s="120">
        <v>45969</v>
      </c>
      <c r="L2878" s="120"/>
      <c r="M2878" s="120"/>
      <c r="N2878" s="29"/>
      <c r="O2878" s="29" t="s">
        <v>877</v>
      </c>
      <c r="P2878" s="120"/>
      <c r="Q2878" s="156"/>
      <c r="R2878" s="162"/>
    </row>
    <row r="2879" spans="1:18" hidden="1">
      <c r="A2879" s="134" t="s">
        <v>1350</v>
      </c>
      <c r="C2879" s="29">
        <v>281503840</v>
      </c>
      <c r="D2879" s="29"/>
      <c r="E2879" s="29"/>
      <c r="F2879" s="29" t="s">
        <v>139</v>
      </c>
      <c r="G2879" s="29" t="s">
        <v>954</v>
      </c>
      <c r="H2879" s="29" t="s">
        <v>38</v>
      </c>
      <c r="I2879" s="120">
        <v>45938</v>
      </c>
      <c r="J2879" s="120">
        <f t="shared" si="40"/>
        <v>45943</v>
      </c>
      <c r="K2879" s="120">
        <v>45969</v>
      </c>
      <c r="L2879" s="120"/>
      <c r="M2879" s="120"/>
      <c r="N2879" s="29"/>
      <c r="O2879" s="29" t="s">
        <v>877</v>
      </c>
      <c r="P2879" s="120"/>
      <c r="Q2879" s="156"/>
      <c r="R2879" s="162"/>
    </row>
    <row r="2880" spans="1:18" hidden="1">
      <c r="A2880" s="134" t="s">
        <v>1350</v>
      </c>
      <c r="C2880" s="29">
        <v>281503852</v>
      </c>
      <c r="D2880" s="29"/>
      <c r="E2880" s="29"/>
      <c r="F2880" s="29" t="s">
        <v>139</v>
      </c>
      <c r="G2880" s="29" t="s">
        <v>954</v>
      </c>
      <c r="H2880" s="29" t="s">
        <v>38</v>
      </c>
      <c r="I2880" s="120">
        <v>45938</v>
      </c>
      <c r="J2880" s="120">
        <f t="shared" si="40"/>
        <v>45943</v>
      </c>
      <c r="K2880" s="120">
        <v>45969</v>
      </c>
      <c r="L2880" s="120"/>
      <c r="M2880" s="120"/>
      <c r="N2880" s="29"/>
      <c r="O2880" s="29" t="s">
        <v>877</v>
      </c>
      <c r="P2880" s="120"/>
      <c r="Q2880" s="156"/>
      <c r="R2880" s="162"/>
    </row>
    <row r="2881" spans="1:18" hidden="1">
      <c r="A2881" s="134" t="s">
        <v>1350</v>
      </c>
      <c r="C2881" s="29">
        <v>281503855</v>
      </c>
      <c r="D2881" s="29"/>
      <c r="E2881" s="29"/>
      <c r="F2881" s="29" t="s">
        <v>139</v>
      </c>
      <c r="G2881" s="29" t="s">
        <v>954</v>
      </c>
      <c r="H2881" s="29" t="s">
        <v>38</v>
      </c>
      <c r="I2881" s="120">
        <v>45938</v>
      </c>
      <c r="J2881" s="120">
        <f t="shared" si="40"/>
        <v>45943</v>
      </c>
      <c r="K2881" s="120">
        <v>45969</v>
      </c>
      <c r="L2881" s="120"/>
      <c r="M2881" s="120"/>
      <c r="N2881" s="29"/>
      <c r="O2881" s="29" t="s">
        <v>877</v>
      </c>
      <c r="P2881" s="120"/>
      <c r="Q2881" s="156"/>
      <c r="R2881" s="162"/>
    </row>
    <row r="2882" spans="1:18" hidden="1">
      <c r="A2882" s="134" t="s">
        <v>1350</v>
      </c>
      <c r="C2882" s="29">
        <v>281503879</v>
      </c>
      <c r="D2882" s="29"/>
      <c r="E2882" s="29"/>
      <c r="F2882" s="29" t="s">
        <v>139</v>
      </c>
      <c r="G2882" s="29" t="s">
        <v>954</v>
      </c>
      <c r="H2882" s="29" t="s">
        <v>38</v>
      </c>
      <c r="I2882" s="120">
        <v>45938</v>
      </c>
      <c r="J2882" s="120">
        <f t="shared" si="40"/>
        <v>45943</v>
      </c>
      <c r="K2882" s="120">
        <v>45969</v>
      </c>
      <c r="L2882" s="120"/>
      <c r="M2882" s="120"/>
      <c r="N2882" s="29"/>
      <c r="O2882" s="29" t="s">
        <v>877</v>
      </c>
      <c r="P2882" s="120"/>
      <c r="Q2882" s="156"/>
      <c r="R2882" s="162"/>
    </row>
    <row r="2883" spans="1:18" hidden="1">
      <c r="A2883" s="134" t="s">
        <v>1350</v>
      </c>
      <c r="C2883" s="29">
        <v>281503891</v>
      </c>
      <c r="D2883" s="29"/>
      <c r="E2883" s="29"/>
      <c r="F2883" s="29" t="s">
        <v>139</v>
      </c>
      <c r="G2883" s="29" t="s">
        <v>954</v>
      </c>
      <c r="H2883" s="29" t="s">
        <v>38</v>
      </c>
      <c r="I2883" s="120">
        <v>45938</v>
      </c>
      <c r="J2883" s="120">
        <f t="shared" si="40"/>
        <v>45943</v>
      </c>
      <c r="K2883" s="120">
        <v>45969</v>
      </c>
      <c r="L2883" s="120"/>
      <c r="M2883" s="120"/>
      <c r="N2883" s="29"/>
      <c r="O2883" s="29" t="s">
        <v>877</v>
      </c>
      <c r="P2883" s="120"/>
      <c r="Q2883" s="156"/>
      <c r="R2883" s="162"/>
    </row>
    <row r="2884" spans="1:18" hidden="1">
      <c r="A2884" s="134" t="s">
        <v>1350</v>
      </c>
      <c r="C2884" s="29">
        <v>281503907</v>
      </c>
      <c r="D2884" s="29"/>
      <c r="E2884" s="29"/>
      <c r="F2884" s="29" t="s">
        <v>139</v>
      </c>
      <c r="G2884" s="29" t="s">
        <v>954</v>
      </c>
      <c r="H2884" s="29" t="s">
        <v>38</v>
      </c>
      <c r="I2884" s="120">
        <v>45938</v>
      </c>
      <c r="J2884" s="120">
        <f t="shared" si="40"/>
        <v>45943</v>
      </c>
      <c r="K2884" s="120">
        <v>45969</v>
      </c>
      <c r="L2884" s="120"/>
      <c r="M2884" s="120"/>
      <c r="N2884" s="29"/>
      <c r="O2884" s="29" t="s">
        <v>877</v>
      </c>
      <c r="P2884" s="120"/>
      <c r="Q2884" s="156"/>
      <c r="R2884" s="162"/>
    </row>
    <row r="2885" spans="1:18" hidden="1">
      <c r="A2885" s="134" t="s">
        <v>1350</v>
      </c>
      <c r="C2885" s="29">
        <v>281503924</v>
      </c>
      <c r="D2885" s="29"/>
      <c r="E2885" s="29"/>
      <c r="F2885" s="29" t="s">
        <v>139</v>
      </c>
      <c r="G2885" s="29" t="s">
        <v>954</v>
      </c>
      <c r="H2885" s="29" t="s">
        <v>38</v>
      </c>
      <c r="I2885" s="120">
        <v>45938</v>
      </c>
      <c r="J2885" s="120">
        <f t="shared" si="40"/>
        <v>45943</v>
      </c>
      <c r="K2885" s="120">
        <v>45969</v>
      </c>
      <c r="L2885" s="120"/>
      <c r="M2885" s="120"/>
      <c r="N2885" s="29"/>
      <c r="O2885" s="29" t="s">
        <v>877</v>
      </c>
      <c r="P2885" s="120"/>
      <c r="Q2885" s="156"/>
      <c r="R2885" s="162"/>
    </row>
    <row r="2886" spans="1:18" hidden="1">
      <c r="A2886" s="134" t="s">
        <v>1350</v>
      </c>
      <c r="C2886" s="29">
        <v>281503941</v>
      </c>
      <c r="D2886" s="29"/>
      <c r="E2886" s="29"/>
      <c r="F2886" s="29" t="s">
        <v>139</v>
      </c>
      <c r="G2886" s="29" t="s">
        <v>954</v>
      </c>
      <c r="H2886" s="29" t="s">
        <v>38</v>
      </c>
      <c r="I2886" s="120">
        <v>45938</v>
      </c>
      <c r="J2886" s="120">
        <f t="shared" si="40"/>
        <v>45943</v>
      </c>
      <c r="K2886" s="120">
        <v>45969</v>
      </c>
      <c r="L2886" s="120"/>
      <c r="M2886" s="120"/>
      <c r="N2886" s="29"/>
      <c r="O2886" s="29" t="s">
        <v>877</v>
      </c>
      <c r="P2886" s="120"/>
      <c r="Q2886" s="156"/>
      <c r="R2886" s="162"/>
    </row>
    <row r="2887" spans="1:18" hidden="1">
      <c r="A2887" s="134" t="s">
        <v>1350</v>
      </c>
      <c r="C2887" s="29">
        <v>281503954</v>
      </c>
      <c r="D2887" s="29"/>
      <c r="E2887" s="29"/>
      <c r="F2887" s="29" t="s">
        <v>139</v>
      </c>
      <c r="G2887" s="29" t="s">
        <v>954</v>
      </c>
      <c r="H2887" s="29" t="s">
        <v>38</v>
      </c>
      <c r="I2887" s="120">
        <v>45938</v>
      </c>
      <c r="J2887" s="120">
        <f t="shared" si="40"/>
        <v>45943</v>
      </c>
      <c r="K2887" s="120">
        <v>45969</v>
      </c>
      <c r="L2887" s="120"/>
      <c r="M2887" s="120"/>
      <c r="N2887" s="29"/>
      <c r="O2887" s="29" t="s">
        <v>877</v>
      </c>
      <c r="P2887" s="120"/>
      <c r="Q2887" s="156"/>
      <c r="R2887" s="162"/>
    </row>
    <row r="2888" spans="1:18" hidden="1">
      <c r="A2888" s="134" t="s">
        <v>1350</v>
      </c>
      <c r="C2888" s="29">
        <v>281503964</v>
      </c>
      <c r="D2888" s="29"/>
      <c r="E2888" s="29"/>
      <c r="F2888" s="29" t="s">
        <v>139</v>
      </c>
      <c r="G2888" s="29" t="s">
        <v>954</v>
      </c>
      <c r="H2888" s="29" t="s">
        <v>38</v>
      </c>
      <c r="I2888" s="120">
        <v>45938</v>
      </c>
      <c r="J2888" s="120">
        <f t="shared" si="40"/>
        <v>45943</v>
      </c>
      <c r="K2888" s="120">
        <v>45969</v>
      </c>
      <c r="L2888" s="120"/>
      <c r="M2888" s="120"/>
      <c r="N2888" s="29"/>
      <c r="O2888" s="29" t="s">
        <v>877</v>
      </c>
      <c r="P2888" s="120"/>
      <c r="Q2888" s="156"/>
      <c r="R2888" s="162"/>
    </row>
    <row r="2889" spans="1:18" hidden="1">
      <c r="A2889" s="134" t="s">
        <v>1350</v>
      </c>
      <c r="C2889" s="29">
        <v>281503372</v>
      </c>
      <c r="D2889" s="29"/>
      <c r="E2889" s="29"/>
      <c r="F2889" s="29" t="s">
        <v>139</v>
      </c>
      <c r="G2889" s="29" t="s">
        <v>954</v>
      </c>
      <c r="H2889" s="29" t="s">
        <v>38</v>
      </c>
      <c r="I2889" s="120">
        <v>45938</v>
      </c>
      <c r="J2889" s="120">
        <f t="shared" si="40"/>
        <v>45943</v>
      </c>
      <c r="K2889" s="120">
        <v>45969</v>
      </c>
      <c r="L2889" s="120"/>
      <c r="M2889" s="120"/>
      <c r="N2889" s="29"/>
      <c r="O2889" s="29" t="s">
        <v>877</v>
      </c>
      <c r="P2889" s="120"/>
      <c r="Q2889" s="156"/>
      <c r="R2889" s="162"/>
    </row>
    <row r="2890" spans="1:18" hidden="1">
      <c r="A2890" s="134" t="s">
        <v>1350</v>
      </c>
      <c r="C2890" s="29">
        <v>281503396</v>
      </c>
      <c r="D2890" s="29"/>
      <c r="E2890" s="29"/>
      <c r="F2890" s="29" t="s">
        <v>139</v>
      </c>
      <c r="G2890" s="29" t="s">
        <v>954</v>
      </c>
      <c r="H2890" s="29" t="s">
        <v>38</v>
      </c>
      <c r="I2890" s="120">
        <v>45938</v>
      </c>
      <c r="J2890" s="120">
        <f t="shared" si="40"/>
        <v>45943</v>
      </c>
      <c r="K2890" s="120">
        <v>45969</v>
      </c>
      <c r="L2890" s="120"/>
      <c r="M2890" s="120"/>
      <c r="N2890" s="29"/>
      <c r="O2890" s="29" t="s">
        <v>877</v>
      </c>
      <c r="P2890" s="120"/>
      <c r="Q2890" s="156"/>
      <c r="R2890" s="162"/>
    </row>
    <row r="2891" spans="1:18" hidden="1">
      <c r="A2891" s="134" t="s">
        <v>1350</v>
      </c>
      <c r="C2891" s="29">
        <v>281503422</v>
      </c>
      <c r="D2891" s="29"/>
      <c r="E2891" s="29"/>
      <c r="F2891" s="29" t="s">
        <v>139</v>
      </c>
      <c r="G2891" s="29" t="s">
        <v>954</v>
      </c>
      <c r="H2891" s="29" t="s">
        <v>38</v>
      </c>
      <c r="I2891" s="120">
        <v>45938</v>
      </c>
      <c r="J2891" s="120">
        <f t="shared" si="40"/>
        <v>45943</v>
      </c>
      <c r="K2891" s="120">
        <v>45969</v>
      </c>
      <c r="L2891" s="120"/>
      <c r="M2891" s="120"/>
      <c r="N2891" s="29"/>
      <c r="O2891" s="29" t="s">
        <v>877</v>
      </c>
      <c r="P2891" s="120"/>
      <c r="Q2891" s="156"/>
      <c r="R2891" s="162"/>
    </row>
    <row r="2892" spans="1:18" hidden="1">
      <c r="A2892" s="134" t="s">
        <v>1350</v>
      </c>
      <c r="C2892" s="29">
        <v>281503471</v>
      </c>
      <c r="D2892" s="29"/>
      <c r="E2892" s="29"/>
      <c r="F2892" s="29" t="s">
        <v>139</v>
      </c>
      <c r="G2892" s="29" t="s">
        <v>954</v>
      </c>
      <c r="H2892" s="29" t="s">
        <v>38</v>
      </c>
      <c r="I2892" s="120">
        <v>45938</v>
      </c>
      <c r="J2892" s="120">
        <f t="shared" ref="J2892:J2918" si="41">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139</v>
      </c>
      <c r="G2893" s="29" t="s">
        <v>954</v>
      </c>
      <c r="H2893" s="29" t="s">
        <v>38</v>
      </c>
      <c r="I2893" s="120">
        <v>45938</v>
      </c>
      <c r="J2893" s="120">
        <f t="shared" si="41"/>
        <v>45943</v>
      </c>
      <c r="K2893" s="120">
        <v>45969</v>
      </c>
      <c r="L2893" s="120"/>
      <c r="M2893" s="120"/>
      <c r="N2893" s="29"/>
      <c r="O2893" s="29" t="s">
        <v>877</v>
      </c>
      <c r="P2893" s="120"/>
      <c r="Q2893" s="156"/>
      <c r="R2893" s="162"/>
    </row>
    <row r="2894" spans="1:18" hidden="1">
      <c r="A2894" s="134" t="s">
        <v>1350</v>
      </c>
      <c r="C2894" s="29">
        <v>281503513</v>
      </c>
      <c r="D2894" s="29"/>
      <c r="E2894" s="29"/>
      <c r="F2894" s="29" t="s">
        <v>139</v>
      </c>
      <c r="G2894" s="29" t="s">
        <v>954</v>
      </c>
      <c r="H2894" s="29" t="s">
        <v>38</v>
      </c>
      <c r="I2894" s="120">
        <v>45938</v>
      </c>
      <c r="J2894" s="120">
        <f t="shared" si="41"/>
        <v>45943</v>
      </c>
      <c r="K2894" s="120">
        <v>45969</v>
      </c>
      <c r="L2894" s="120"/>
      <c r="M2894" s="120"/>
      <c r="N2894" s="29"/>
      <c r="O2894" s="29" t="s">
        <v>877</v>
      </c>
      <c r="P2894" s="120"/>
      <c r="Q2894" s="156"/>
      <c r="R2894" s="162"/>
    </row>
    <row r="2895" spans="1:18" hidden="1">
      <c r="A2895" s="134" t="s">
        <v>1350</v>
      </c>
      <c r="C2895" s="29">
        <v>281503519</v>
      </c>
      <c r="D2895" s="29"/>
      <c r="E2895" s="29"/>
      <c r="F2895" s="29" t="s">
        <v>139</v>
      </c>
      <c r="G2895" s="29" t="s">
        <v>954</v>
      </c>
      <c r="H2895" s="29" t="s">
        <v>38</v>
      </c>
      <c r="I2895" s="120">
        <v>45938</v>
      </c>
      <c r="J2895" s="120">
        <f t="shared" si="41"/>
        <v>45943</v>
      </c>
      <c r="K2895" s="120">
        <v>45969</v>
      </c>
      <c r="L2895" s="120"/>
      <c r="M2895" s="120"/>
      <c r="N2895" s="29"/>
      <c r="O2895" s="29" t="s">
        <v>877</v>
      </c>
      <c r="P2895" s="120"/>
      <c r="Q2895" s="156"/>
      <c r="R2895" s="162"/>
    </row>
    <row r="2896" spans="1:18" hidden="1">
      <c r="A2896" s="134" t="s">
        <v>1350</v>
      </c>
      <c r="C2896" s="29">
        <v>281503810</v>
      </c>
      <c r="D2896" s="29"/>
      <c r="E2896" s="29"/>
      <c r="F2896" s="29" t="s">
        <v>139</v>
      </c>
      <c r="G2896" s="29" t="s">
        <v>954</v>
      </c>
      <c r="H2896" s="29" t="s">
        <v>38</v>
      </c>
      <c r="I2896" s="120">
        <v>45938</v>
      </c>
      <c r="J2896" s="120">
        <f t="shared" si="41"/>
        <v>45943</v>
      </c>
      <c r="K2896" s="120">
        <v>45969</v>
      </c>
      <c r="L2896" s="120"/>
      <c r="M2896" s="120"/>
      <c r="N2896" s="29"/>
      <c r="O2896" s="29" t="s">
        <v>877</v>
      </c>
      <c r="P2896" s="120"/>
      <c r="Q2896" s="156"/>
      <c r="R2896" s="162"/>
    </row>
    <row r="2897" spans="1:18" hidden="1">
      <c r="A2897" s="134" t="s">
        <v>1350</v>
      </c>
      <c r="C2897" s="29">
        <v>281503826</v>
      </c>
      <c r="D2897" s="29"/>
      <c r="E2897" s="29"/>
      <c r="F2897" s="29" t="s">
        <v>139</v>
      </c>
      <c r="G2897" s="29" t="s">
        <v>954</v>
      </c>
      <c r="H2897" s="29" t="s">
        <v>38</v>
      </c>
      <c r="I2897" s="120">
        <v>45938</v>
      </c>
      <c r="J2897" s="120">
        <f t="shared" si="41"/>
        <v>45943</v>
      </c>
      <c r="K2897" s="120">
        <v>45969</v>
      </c>
      <c r="L2897" s="120"/>
      <c r="M2897" s="120"/>
      <c r="N2897" s="29"/>
      <c r="O2897" s="29" t="s">
        <v>877</v>
      </c>
      <c r="P2897" s="120"/>
      <c r="Q2897" s="156"/>
      <c r="R2897" s="162"/>
    </row>
    <row r="2898" spans="1:18" hidden="1">
      <c r="A2898" s="134" t="s">
        <v>1350</v>
      </c>
      <c r="C2898" s="29">
        <v>281503061</v>
      </c>
      <c r="D2898" s="29"/>
      <c r="E2898" s="29"/>
      <c r="F2898" s="29" t="s">
        <v>139</v>
      </c>
      <c r="G2898" s="29" t="s">
        <v>954</v>
      </c>
      <c r="H2898" s="29" t="s">
        <v>38</v>
      </c>
      <c r="I2898" s="120">
        <v>45938</v>
      </c>
      <c r="J2898" s="120">
        <f t="shared" si="41"/>
        <v>45943</v>
      </c>
      <c r="K2898" s="120">
        <v>45969</v>
      </c>
      <c r="L2898" s="120"/>
      <c r="M2898" s="120"/>
      <c r="N2898" s="29"/>
      <c r="O2898" s="29" t="s">
        <v>877</v>
      </c>
      <c r="P2898" s="120"/>
      <c r="Q2898" s="156"/>
      <c r="R2898" s="162"/>
    </row>
    <row r="2899" spans="1:18" hidden="1">
      <c r="A2899" s="134" t="s">
        <v>1350</v>
      </c>
      <c r="C2899" s="29">
        <v>281503070</v>
      </c>
      <c r="D2899" s="29"/>
      <c r="E2899" s="29"/>
      <c r="F2899" s="29" t="s">
        <v>139</v>
      </c>
      <c r="G2899" s="29" t="s">
        <v>954</v>
      </c>
      <c r="H2899" s="29" t="s">
        <v>38</v>
      </c>
      <c r="I2899" s="120">
        <v>45938</v>
      </c>
      <c r="J2899" s="120">
        <f t="shared" si="41"/>
        <v>45943</v>
      </c>
      <c r="K2899" s="120">
        <v>45969</v>
      </c>
      <c r="L2899" s="120"/>
      <c r="M2899" s="120"/>
      <c r="N2899" s="29"/>
      <c r="O2899" s="29" t="s">
        <v>877</v>
      </c>
      <c r="P2899" s="120"/>
      <c r="Q2899" s="156"/>
      <c r="R2899" s="162"/>
    </row>
    <row r="2900" spans="1:18" hidden="1">
      <c r="A2900" s="134" t="s">
        <v>1350</v>
      </c>
      <c r="C2900" s="29">
        <v>281503079</v>
      </c>
      <c r="D2900" s="29"/>
      <c r="E2900" s="29"/>
      <c r="F2900" s="29" t="s">
        <v>139</v>
      </c>
      <c r="G2900" s="29" t="s">
        <v>954</v>
      </c>
      <c r="H2900" s="29" t="s">
        <v>38</v>
      </c>
      <c r="I2900" s="120">
        <v>45938</v>
      </c>
      <c r="J2900" s="120">
        <f t="shared" si="41"/>
        <v>45943</v>
      </c>
      <c r="K2900" s="120">
        <v>45969</v>
      </c>
      <c r="L2900" s="120"/>
      <c r="M2900" s="120"/>
      <c r="N2900" s="29"/>
      <c r="O2900" s="29" t="s">
        <v>877</v>
      </c>
      <c r="P2900" s="120"/>
      <c r="Q2900" s="156"/>
      <c r="R2900" s="162"/>
    </row>
    <row r="2901" spans="1:18" hidden="1">
      <c r="A2901" s="134" t="s">
        <v>1350</v>
      </c>
      <c r="C2901" s="29">
        <v>281503095</v>
      </c>
      <c r="D2901" s="29"/>
      <c r="E2901" s="29"/>
      <c r="F2901" s="29" t="s">
        <v>139</v>
      </c>
      <c r="G2901" s="29" t="s">
        <v>954</v>
      </c>
      <c r="H2901" s="29" t="s">
        <v>38</v>
      </c>
      <c r="I2901" s="120">
        <v>45938</v>
      </c>
      <c r="J2901" s="120">
        <f t="shared" si="41"/>
        <v>45943</v>
      </c>
      <c r="K2901" s="120">
        <v>45969</v>
      </c>
      <c r="L2901" s="120"/>
      <c r="M2901" s="120"/>
      <c r="N2901" s="29"/>
      <c r="O2901" s="29" t="s">
        <v>877</v>
      </c>
      <c r="P2901" s="120"/>
      <c r="Q2901" s="156"/>
      <c r="R2901" s="162"/>
    </row>
    <row r="2902" spans="1:18" hidden="1">
      <c r="A2902" s="134" t="s">
        <v>1350</v>
      </c>
      <c r="C2902" s="29">
        <v>281503103</v>
      </c>
      <c r="D2902" s="29"/>
      <c r="E2902" s="29"/>
      <c r="F2902" s="29" t="s">
        <v>139</v>
      </c>
      <c r="G2902" s="29" t="s">
        <v>954</v>
      </c>
      <c r="H2902" s="29" t="s">
        <v>38</v>
      </c>
      <c r="I2902" s="120">
        <v>45938</v>
      </c>
      <c r="J2902" s="120">
        <f t="shared" si="41"/>
        <v>45943</v>
      </c>
      <c r="K2902" s="120">
        <v>45969</v>
      </c>
      <c r="L2902" s="120"/>
      <c r="M2902" s="120"/>
      <c r="N2902" s="29"/>
      <c r="O2902" s="29" t="s">
        <v>877</v>
      </c>
      <c r="P2902" s="120"/>
      <c r="Q2902" s="156"/>
      <c r="R2902" s="162"/>
    </row>
    <row r="2903" spans="1:18" hidden="1">
      <c r="A2903" s="134" t="s">
        <v>1350</v>
      </c>
      <c r="C2903" s="29">
        <v>281503114</v>
      </c>
      <c r="D2903" s="29"/>
      <c r="E2903" s="29"/>
      <c r="F2903" s="29" t="s">
        <v>139</v>
      </c>
      <c r="G2903" s="29" t="s">
        <v>954</v>
      </c>
      <c r="H2903" s="29" t="s">
        <v>38</v>
      </c>
      <c r="I2903" s="120">
        <v>45938</v>
      </c>
      <c r="J2903" s="120">
        <f t="shared" si="41"/>
        <v>45943</v>
      </c>
      <c r="K2903" s="120">
        <v>45969</v>
      </c>
      <c r="L2903" s="120"/>
      <c r="M2903" s="120"/>
      <c r="N2903" s="29"/>
      <c r="O2903" s="29" t="s">
        <v>877</v>
      </c>
      <c r="P2903" s="120"/>
      <c r="Q2903" s="156"/>
      <c r="R2903" s="162"/>
    </row>
    <row r="2904" spans="1:18" hidden="1">
      <c r="A2904" s="134" t="s">
        <v>1350</v>
      </c>
      <c r="C2904" s="29">
        <v>281503221</v>
      </c>
      <c r="D2904" s="29"/>
      <c r="E2904" s="29"/>
      <c r="F2904" s="29" t="s">
        <v>139</v>
      </c>
      <c r="G2904" s="29" t="s">
        <v>954</v>
      </c>
      <c r="H2904" s="29" t="s">
        <v>38</v>
      </c>
      <c r="I2904" s="120">
        <v>45938</v>
      </c>
      <c r="J2904" s="120">
        <f t="shared" si="41"/>
        <v>45943</v>
      </c>
      <c r="K2904" s="120">
        <v>45969</v>
      </c>
      <c r="L2904" s="120"/>
      <c r="M2904" s="120"/>
      <c r="N2904" s="29"/>
      <c r="O2904" s="29" t="s">
        <v>877</v>
      </c>
      <c r="P2904" s="120"/>
      <c r="Q2904" s="156"/>
      <c r="R2904" s="162"/>
    </row>
    <row r="2905" spans="1:18" hidden="1">
      <c r="A2905" s="134" t="s">
        <v>1350</v>
      </c>
      <c r="C2905" s="29">
        <v>281503241</v>
      </c>
      <c r="D2905" s="29"/>
      <c r="E2905" s="29"/>
      <c r="F2905" s="29" t="s">
        <v>139</v>
      </c>
      <c r="G2905" s="29" t="s">
        <v>954</v>
      </c>
      <c r="H2905" s="29" t="s">
        <v>38</v>
      </c>
      <c r="I2905" s="120">
        <v>45938</v>
      </c>
      <c r="J2905" s="120">
        <f t="shared" si="41"/>
        <v>45943</v>
      </c>
      <c r="K2905" s="120">
        <v>45969</v>
      </c>
      <c r="L2905" s="120"/>
      <c r="M2905" s="120"/>
      <c r="N2905" s="29"/>
      <c r="O2905" s="29" t="s">
        <v>877</v>
      </c>
      <c r="P2905" s="120"/>
      <c r="Q2905" s="156"/>
      <c r="R2905" s="162"/>
    </row>
    <row r="2906" spans="1:18" hidden="1">
      <c r="A2906" s="134" t="s">
        <v>1350</v>
      </c>
      <c r="C2906" s="29">
        <v>281503265</v>
      </c>
      <c r="D2906" s="29"/>
      <c r="E2906" s="29"/>
      <c r="F2906" s="29" t="s">
        <v>139</v>
      </c>
      <c r="G2906" s="29" t="s">
        <v>954</v>
      </c>
      <c r="H2906" s="29" t="s">
        <v>38</v>
      </c>
      <c r="I2906" s="120">
        <v>45938</v>
      </c>
      <c r="J2906" s="120">
        <f t="shared" si="41"/>
        <v>45943</v>
      </c>
      <c r="K2906" s="120">
        <v>45969</v>
      </c>
      <c r="L2906" s="120"/>
      <c r="M2906" s="120"/>
      <c r="N2906" s="29"/>
      <c r="O2906" s="29" t="s">
        <v>877</v>
      </c>
      <c r="P2906" s="120"/>
      <c r="Q2906" s="156"/>
      <c r="R2906" s="162"/>
    </row>
    <row r="2907" spans="1:18" hidden="1">
      <c r="A2907" s="134" t="s">
        <v>1350</v>
      </c>
      <c r="C2907" s="29">
        <v>281503331</v>
      </c>
      <c r="D2907" s="29"/>
      <c r="E2907" s="29"/>
      <c r="F2907" s="29" t="s">
        <v>139</v>
      </c>
      <c r="G2907" s="29" t="s">
        <v>954</v>
      </c>
      <c r="H2907" s="29" t="s">
        <v>38</v>
      </c>
      <c r="I2907" s="120">
        <v>45938</v>
      </c>
      <c r="J2907" s="120">
        <f t="shared" si="41"/>
        <v>45943</v>
      </c>
      <c r="K2907" s="120">
        <v>45969</v>
      </c>
      <c r="L2907" s="120"/>
      <c r="M2907" s="120"/>
      <c r="N2907" s="29"/>
      <c r="O2907" s="29" t="s">
        <v>877</v>
      </c>
      <c r="P2907" s="120"/>
      <c r="Q2907" s="156"/>
      <c r="R2907" s="162"/>
    </row>
    <row r="2908" spans="1:18" hidden="1">
      <c r="A2908" s="134" t="s">
        <v>1350</v>
      </c>
      <c r="C2908" s="29">
        <v>281503345</v>
      </c>
      <c r="D2908" s="29"/>
      <c r="E2908" s="29"/>
      <c r="F2908" s="29" t="s">
        <v>139</v>
      </c>
      <c r="G2908" s="29" t="s">
        <v>954</v>
      </c>
      <c r="H2908" s="29" t="s">
        <v>38</v>
      </c>
      <c r="I2908" s="120">
        <v>45938</v>
      </c>
      <c r="J2908" s="120">
        <f t="shared" si="41"/>
        <v>45943</v>
      </c>
      <c r="K2908" s="120">
        <v>45969</v>
      </c>
      <c r="L2908" s="120"/>
      <c r="M2908" s="120"/>
      <c r="N2908" s="29"/>
      <c r="O2908" s="29" t="s">
        <v>877</v>
      </c>
      <c r="P2908" s="120"/>
      <c r="Q2908" s="156"/>
      <c r="R2908" s="162"/>
    </row>
    <row r="2909" spans="1:18" hidden="1">
      <c r="A2909" s="134" t="s">
        <v>1350</v>
      </c>
      <c r="C2909" s="29">
        <v>281503036</v>
      </c>
      <c r="D2909" s="29"/>
      <c r="E2909" s="29"/>
      <c r="F2909" s="29" t="s">
        <v>139</v>
      </c>
      <c r="G2909" s="29" t="s">
        <v>954</v>
      </c>
      <c r="H2909" s="29" t="s">
        <v>38</v>
      </c>
      <c r="I2909" s="120">
        <v>45938</v>
      </c>
      <c r="J2909" s="120">
        <f t="shared" si="41"/>
        <v>45943</v>
      </c>
      <c r="K2909" s="120">
        <v>45969</v>
      </c>
      <c r="L2909" s="120"/>
      <c r="M2909" s="120"/>
      <c r="N2909" s="29"/>
      <c r="O2909" s="29" t="s">
        <v>877</v>
      </c>
      <c r="P2909" s="120"/>
      <c r="Q2909" s="156"/>
      <c r="R2909" s="162"/>
    </row>
    <row r="2910" spans="1:18" hidden="1">
      <c r="A2910" s="134" t="s">
        <v>1350</v>
      </c>
      <c r="C2910" s="29">
        <v>281503047</v>
      </c>
      <c r="D2910" s="29"/>
      <c r="E2910" s="29"/>
      <c r="F2910" s="29" t="s">
        <v>139</v>
      </c>
      <c r="G2910" s="29" t="s">
        <v>954</v>
      </c>
      <c r="H2910" s="29" t="s">
        <v>38</v>
      </c>
      <c r="I2910" s="120">
        <v>45938</v>
      </c>
      <c r="J2910" s="120">
        <f t="shared" si="41"/>
        <v>45943</v>
      </c>
      <c r="K2910" s="120">
        <v>45969</v>
      </c>
      <c r="L2910" s="120"/>
      <c r="M2910" s="120"/>
      <c r="N2910" s="29"/>
      <c r="O2910" s="29" t="s">
        <v>877</v>
      </c>
      <c r="P2910" s="120"/>
      <c r="Q2910" s="156"/>
      <c r="R2910" s="162"/>
    </row>
    <row r="2911" spans="1:18" hidden="1">
      <c r="A2911" s="134" t="s">
        <v>1350</v>
      </c>
      <c r="C2911" s="29">
        <v>281502994</v>
      </c>
      <c r="D2911" s="29"/>
      <c r="E2911" s="29"/>
      <c r="F2911" s="29" t="s">
        <v>139</v>
      </c>
      <c r="G2911" s="29" t="s">
        <v>954</v>
      </c>
      <c r="H2911" s="29" t="s">
        <v>38</v>
      </c>
      <c r="I2911" s="120">
        <v>45938</v>
      </c>
      <c r="J2911" s="120">
        <f t="shared" si="41"/>
        <v>45943</v>
      </c>
      <c r="K2911" s="120">
        <v>45969</v>
      </c>
      <c r="L2911" s="120"/>
      <c r="M2911" s="120"/>
      <c r="N2911" s="29"/>
      <c r="O2911" s="29" t="s">
        <v>877</v>
      </c>
      <c r="P2911" s="120"/>
      <c r="Q2911" s="156"/>
      <c r="R2911" s="162"/>
    </row>
    <row r="2912" spans="1:18" hidden="1">
      <c r="A2912" s="134" t="s">
        <v>1350</v>
      </c>
      <c r="C2912" s="29">
        <v>281503006</v>
      </c>
      <c r="D2912" s="29"/>
      <c r="E2912" s="29"/>
      <c r="F2912" s="29" t="s">
        <v>139</v>
      </c>
      <c r="G2912" s="29" t="s">
        <v>954</v>
      </c>
      <c r="H2912" s="29" t="s">
        <v>38</v>
      </c>
      <c r="I2912" s="120">
        <v>45938</v>
      </c>
      <c r="J2912" s="120">
        <f t="shared" si="41"/>
        <v>45943</v>
      </c>
      <c r="K2912" s="120">
        <v>45969</v>
      </c>
      <c r="L2912" s="120"/>
      <c r="M2912" s="120"/>
      <c r="N2912" s="29"/>
      <c r="O2912" s="29" t="s">
        <v>877</v>
      </c>
      <c r="P2912" s="120"/>
      <c r="Q2912" s="156"/>
      <c r="R2912" s="162"/>
    </row>
    <row r="2913" spans="1:18" hidden="1">
      <c r="A2913" s="134" t="s">
        <v>1350</v>
      </c>
      <c r="C2913" s="29">
        <v>281502963</v>
      </c>
      <c r="D2913" s="29"/>
      <c r="E2913" s="29"/>
      <c r="F2913" s="29" t="s">
        <v>139</v>
      </c>
      <c r="G2913" s="29" t="s">
        <v>954</v>
      </c>
      <c r="H2913" s="29" t="s">
        <v>38</v>
      </c>
      <c r="I2913" s="120">
        <v>45938</v>
      </c>
      <c r="J2913" s="120">
        <f t="shared" si="41"/>
        <v>45943</v>
      </c>
      <c r="K2913" s="120">
        <v>45969</v>
      </c>
      <c r="L2913" s="120"/>
      <c r="M2913" s="120"/>
      <c r="N2913" s="29"/>
      <c r="O2913" s="29" t="s">
        <v>877</v>
      </c>
      <c r="P2913" s="120"/>
      <c r="Q2913" s="156"/>
      <c r="R2913" s="162"/>
    </row>
    <row r="2914" spans="1:18" hidden="1">
      <c r="A2914" s="134" t="s">
        <v>1350</v>
      </c>
      <c r="C2914" s="29">
        <v>281502982</v>
      </c>
      <c r="D2914" s="29"/>
      <c r="E2914" s="29"/>
      <c r="F2914" s="29" t="s">
        <v>139</v>
      </c>
      <c r="G2914" s="29" t="s">
        <v>954</v>
      </c>
      <c r="H2914" s="29" t="s">
        <v>38</v>
      </c>
      <c r="I2914" s="120">
        <v>45938</v>
      </c>
      <c r="J2914" s="120">
        <f t="shared" si="41"/>
        <v>45943</v>
      </c>
      <c r="K2914" s="120">
        <v>45969</v>
      </c>
      <c r="L2914" s="120"/>
      <c r="M2914" s="120"/>
      <c r="N2914" s="29"/>
      <c r="O2914" s="29" t="s">
        <v>877</v>
      </c>
      <c r="P2914" s="120"/>
      <c r="Q2914" s="156"/>
      <c r="R2914" s="162"/>
    </row>
    <row r="2915" spans="1:18" hidden="1">
      <c r="A2915" s="134" t="s">
        <v>1350</v>
      </c>
      <c r="C2915" s="29">
        <v>281502950</v>
      </c>
      <c r="D2915" s="29"/>
      <c r="E2915" s="29"/>
      <c r="F2915" s="29" t="s">
        <v>139</v>
      </c>
      <c r="G2915" s="29" t="s">
        <v>954</v>
      </c>
      <c r="H2915" s="29" t="s">
        <v>38</v>
      </c>
      <c r="I2915" s="120">
        <v>45938</v>
      </c>
      <c r="J2915" s="120">
        <f t="shared" si="41"/>
        <v>45943</v>
      </c>
      <c r="K2915" s="120">
        <v>45969</v>
      </c>
      <c r="L2915" s="120"/>
      <c r="M2915" s="120"/>
      <c r="N2915" s="29"/>
      <c r="O2915" s="29" t="s">
        <v>877</v>
      </c>
      <c r="P2915" s="120"/>
      <c r="Q2915" s="156"/>
      <c r="R2915" s="162"/>
    </row>
    <row r="2916" spans="1:18" hidden="1">
      <c r="A2916" s="134" t="s">
        <v>1350</v>
      </c>
      <c r="C2916" s="29">
        <v>281502943</v>
      </c>
      <c r="D2916" s="29"/>
      <c r="E2916" s="29"/>
      <c r="F2916" s="29" t="s">
        <v>139</v>
      </c>
      <c r="G2916" s="29" t="s">
        <v>954</v>
      </c>
      <c r="H2916" s="29" t="s">
        <v>38</v>
      </c>
      <c r="I2916" s="120">
        <v>45938</v>
      </c>
      <c r="J2916" s="120">
        <f t="shared" si="41"/>
        <v>45943</v>
      </c>
      <c r="K2916" s="120">
        <v>45969</v>
      </c>
      <c r="L2916" s="120"/>
      <c r="M2916" s="120"/>
      <c r="N2916" s="29"/>
      <c r="O2916" s="29" t="s">
        <v>877</v>
      </c>
      <c r="P2916" s="120"/>
      <c r="Q2916" s="156"/>
      <c r="R2916" s="162"/>
    </row>
    <row r="2917" spans="1:18" hidden="1">
      <c r="A2917" s="134" t="s">
        <v>1351</v>
      </c>
      <c r="C2917" s="29">
        <v>295505166</v>
      </c>
      <c r="D2917" s="29"/>
      <c r="E2917" s="29"/>
      <c r="F2917" s="29" t="s">
        <v>139</v>
      </c>
      <c r="G2917" s="29" t="s">
        <v>954</v>
      </c>
      <c r="H2917" s="29" t="s">
        <v>38</v>
      </c>
      <c r="I2917" s="120">
        <v>45952</v>
      </c>
      <c r="J2917" s="120">
        <f t="shared" si="41"/>
        <v>45957</v>
      </c>
      <c r="K2917" s="120">
        <v>45983</v>
      </c>
      <c r="L2917" s="120"/>
      <c r="M2917" s="120"/>
      <c r="N2917" s="29"/>
      <c r="O2917" s="29" t="s">
        <v>1246</v>
      </c>
      <c r="P2917" s="29"/>
      <c r="Q2917" s="156"/>
    </row>
    <row r="2918" spans="1:18" hidden="1">
      <c r="A2918" s="134" t="s">
        <v>1351</v>
      </c>
      <c r="C2918" s="29">
        <v>295505181</v>
      </c>
      <c r="D2918" s="29"/>
      <c r="E2918" s="29"/>
      <c r="F2918" s="29" t="s">
        <v>139</v>
      </c>
      <c r="G2918" s="29" t="s">
        <v>954</v>
      </c>
      <c r="H2918" s="29" t="s">
        <v>38</v>
      </c>
      <c r="I2918" s="120">
        <v>45952</v>
      </c>
      <c r="J2918" s="120">
        <f t="shared" si="41"/>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 t="shared" ref="J2919:J2954" si="42">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139</v>
      </c>
      <c r="G2920" s="29" t="s">
        <v>16</v>
      </c>
      <c r="H2920" s="29" t="s">
        <v>38</v>
      </c>
      <c r="I2920" s="120">
        <v>45910</v>
      </c>
      <c r="J2920" s="120">
        <f t="shared" si="42"/>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139</v>
      </c>
      <c r="G2921" s="29" t="s">
        <v>16</v>
      </c>
      <c r="H2921" s="29" t="s">
        <v>38</v>
      </c>
      <c r="I2921" s="120">
        <v>45910</v>
      </c>
      <c r="J2921" s="120">
        <f t="shared" si="42"/>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139</v>
      </c>
      <c r="G2922" s="29" t="s">
        <v>16</v>
      </c>
      <c r="H2922" s="29" t="s">
        <v>38</v>
      </c>
      <c r="I2922" s="120">
        <v>45910</v>
      </c>
      <c r="J2922" s="120">
        <f t="shared" si="42"/>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139</v>
      </c>
      <c r="G2923" s="29" t="s">
        <v>16</v>
      </c>
      <c r="H2923" s="29" t="s">
        <v>38</v>
      </c>
      <c r="I2923" s="120">
        <v>45910</v>
      </c>
      <c r="J2923" s="120">
        <f t="shared" si="42"/>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139</v>
      </c>
      <c r="G2924" s="29" t="s">
        <v>16</v>
      </c>
      <c r="H2924" s="29" t="s">
        <v>38</v>
      </c>
      <c r="I2924" s="120">
        <v>45910</v>
      </c>
      <c r="J2924" s="120">
        <f t="shared" si="42"/>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139</v>
      </c>
      <c r="G2925" s="29" t="s">
        <v>16</v>
      </c>
      <c r="H2925" s="29" t="s">
        <v>38</v>
      </c>
      <c r="I2925" s="120">
        <v>45911</v>
      </c>
      <c r="J2925" s="120">
        <f t="shared" si="42"/>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139</v>
      </c>
      <c r="G2926" s="29" t="s">
        <v>16</v>
      </c>
      <c r="H2926" s="29" t="s">
        <v>38</v>
      </c>
      <c r="I2926" s="120">
        <v>45911</v>
      </c>
      <c r="J2926" s="120">
        <f t="shared" si="42"/>
        <v>45916</v>
      </c>
      <c r="K2926" s="120">
        <v>45941</v>
      </c>
      <c r="L2926" s="120"/>
      <c r="M2926" s="120"/>
      <c r="N2926" s="29"/>
      <c r="O2926" s="29" t="s">
        <v>877</v>
      </c>
      <c r="P2926" s="120"/>
      <c r="Q2926" s="156">
        <v>300</v>
      </c>
    </row>
    <row r="2927" spans="1:18" hidden="1">
      <c r="A2927" s="134" t="s">
        <v>1330</v>
      </c>
      <c r="C2927" s="29">
        <v>253500113</v>
      </c>
      <c r="D2927" s="29">
        <v>224501630</v>
      </c>
      <c r="E2927" s="29"/>
      <c r="F2927" s="29" t="s">
        <v>139</v>
      </c>
      <c r="G2927" s="29" t="s">
        <v>16</v>
      </c>
      <c r="H2927" s="29" t="s">
        <v>38</v>
      </c>
      <c r="I2927" s="120">
        <v>45910</v>
      </c>
      <c r="J2927" s="120">
        <f t="shared" si="42"/>
        <v>45915</v>
      </c>
      <c r="K2927" s="120">
        <v>45940</v>
      </c>
      <c r="L2927" s="120"/>
      <c r="M2927" s="120"/>
      <c r="N2927" s="29"/>
      <c r="O2927" s="29" t="s">
        <v>877</v>
      </c>
      <c r="P2927" s="120"/>
      <c r="Q2927" s="156">
        <v>850</v>
      </c>
    </row>
    <row r="2928" spans="1:18" hidden="1">
      <c r="A2928" s="134" t="s">
        <v>1330</v>
      </c>
      <c r="C2928" s="29">
        <v>253500114</v>
      </c>
      <c r="D2928" s="29">
        <v>224501690</v>
      </c>
      <c r="E2928" s="29"/>
      <c r="F2928" s="29" t="s">
        <v>139</v>
      </c>
      <c r="G2928" s="29" t="s">
        <v>16</v>
      </c>
      <c r="H2928" s="29" t="s">
        <v>38</v>
      </c>
      <c r="I2928" s="120">
        <v>45910</v>
      </c>
      <c r="J2928" s="120">
        <f t="shared" si="42"/>
        <v>45915</v>
      </c>
      <c r="K2928" s="120">
        <v>45940</v>
      </c>
      <c r="L2928" s="120"/>
      <c r="M2928" s="120"/>
      <c r="N2928" s="29"/>
      <c r="O2928" s="29" t="s">
        <v>877</v>
      </c>
      <c r="P2928" s="120"/>
      <c r="Q2928" s="156">
        <v>270</v>
      </c>
    </row>
    <row r="2929" spans="1:17" hidden="1">
      <c r="A2929" s="134" t="s">
        <v>1330</v>
      </c>
      <c r="C2929" s="29">
        <v>253500115</v>
      </c>
      <c r="D2929" s="29">
        <v>224501706</v>
      </c>
      <c r="E2929" s="29"/>
      <c r="F2929" s="29" t="s">
        <v>139</v>
      </c>
      <c r="G2929" s="29" t="s">
        <v>16</v>
      </c>
      <c r="H2929" s="29" t="s">
        <v>38</v>
      </c>
      <c r="I2929" s="120">
        <v>45910</v>
      </c>
      <c r="J2929" s="120">
        <f t="shared" si="42"/>
        <v>45915</v>
      </c>
      <c r="K2929" s="120">
        <v>45940</v>
      </c>
      <c r="L2929" s="120"/>
      <c r="M2929" s="120"/>
      <c r="N2929" s="29"/>
      <c r="O2929" s="29" t="s">
        <v>877</v>
      </c>
      <c r="P2929" s="120"/>
      <c r="Q2929" s="156">
        <v>250</v>
      </c>
    </row>
    <row r="2930" spans="1:17" hidden="1">
      <c r="A2930" s="134" t="s">
        <v>1330</v>
      </c>
      <c r="C2930" s="29">
        <v>253500116</v>
      </c>
      <c r="D2930" s="29">
        <v>224501746</v>
      </c>
      <c r="E2930" s="29"/>
      <c r="F2930" s="29" t="s">
        <v>139</v>
      </c>
      <c r="G2930" s="29" t="s">
        <v>16</v>
      </c>
      <c r="H2930" s="29" t="s">
        <v>38</v>
      </c>
      <c r="I2930" s="120">
        <v>45910</v>
      </c>
      <c r="J2930" s="120">
        <f t="shared" si="42"/>
        <v>45915</v>
      </c>
      <c r="K2930" s="120">
        <v>45940</v>
      </c>
      <c r="L2930" s="120"/>
      <c r="M2930" s="120"/>
      <c r="N2930" s="29"/>
      <c r="O2930" s="29" t="s">
        <v>877</v>
      </c>
      <c r="P2930" s="120"/>
      <c r="Q2930" s="156">
        <v>250</v>
      </c>
    </row>
    <row r="2931" spans="1:17" hidden="1">
      <c r="A2931" s="134" t="s">
        <v>1330</v>
      </c>
      <c r="C2931" s="29">
        <v>254500136</v>
      </c>
      <c r="D2931" s="29">
        <v>224502043</v>
      </c>
      <c r="E2931" s="29"/>
      <c r="F2931" s="29" t="s">
        <v>139</v>
      </c>
      <c r="G2931" s="29" t="s">
        <v>16</v>
      </c>
      <c r="H2931" s="29" t="s">
        <v>38</v>
      </c>
      <c r="I2931" s="120">
        <v>45911</v>
      </c>
      <c r="J2931" s="120">
        <f t="shared" si="42"/>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139</v>
      </c>
      <c r="G2932" s="29" t="s">
        <v>16</v>
      </c>
      <c r="H2932" s="29" t="s">
        <v>38</v>
      </c>
      <c r="I2932" s="120">
        <v>45911</v>
      </c>
      <c r="J2932" s="120">
        <f t="shared" si="42"/>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139</v>
      </c>
      <c r="G2933" s="29" t="s">
        <v>16</v>
      </c>
      <c r="H2933" s="29" t="s">
        <v>38</v>
      </c>
      <c r="I2933" s="120">
        <v>45911</v>
      </c>
      <c r="J2933" s="120">
        <f t="shared" si="42"/>
        <v>45916</v>
      </c>
      <c r="K2933" s="120">
        <v>45941</v>
      </c>
      <c r="L2933" s="120"/>
      <c r="M2933" s="120"/>
      <c r="N2933" s="29"/>
      <c r="O2933" s="29" t="s">
        <v>1246</v>
      </c>
      <c r="P2933" s="120"/>
      <c r="Q2933" s="156">
        <v>50</v>
      </c>
    </row>
    <row r="2934" spans="1:17" hidden="1">
      <c r="A2934" s="134" t="s">
        <v>1330</v>
      </c>
      <c r="C2934" s="29">
        <v>254500129</v>
      </c>
      <c r="D2934" s="29">
        <v>224501796</v>
      </c>
      <c r="E2934" s="29"/>
      <c r="F2934" s="29" t="s">
        <v>139</v>
      </c>
      <c r="G2934" s="29" t="s">
        <v>16</v>
      </c>
      <c r="H2934" s="29" t="s">
        <v>38</v>
      </c>
      <c r="I2934" s="120">
        <v>45911</v>
      </c>
      <c r="J2934" s="120">
        <f t="shared" si="42"/>
        <v>45916</v>
      </c>
      <c r="K2934" s="120">
        <v>45941</v>
      </c>
      <c r="L2934" s="120"/>
      <c r="M2934" s="120"/>
      <c r="N2934" s="29"/>
      <c r="O2934" s="29" t="s">
        <v>1246</v>
      </c>
      <c r="P2934" s="120"/>
      <c r="Q2934" s="156">
        <v>50</v>
      </c>
    </row>
    <row r="2935" spans="1:17" hidden="1">
      <c r="A2935" s="134" t="s">
        <v>1330</v>
      </c>
      <c r="C2935" s="29">
        <v>254500130</v>
      </c>
      <c r="D2935" s="29">
        <v>224501819</v>
      </c>
      <c r="E2935" s="29"/>
      <c r="F2935" s="29" t="s">
        <v>139</v>
      </c>
      <c r="G2935" s="29" t="s">
        <v>16</v>
      </c>
      <c r="H2935" s="29" t="s">
        <v>38</v>
      </c>
      <c r="I2935" s="120">
        <v>45911</v>
      </c>
      <c r="J2935" s="120">
        <f t="shared" si="42"/>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139</v>
      </c>
      <c r="G2936" s="29" t="s">
        <v>16</v>
      </c>
      <c r="H2936" s="29" t="s">
        <v>38</v>
      </c>
      <c r="I2936" s="120">
        <v>45911</v>
      </c>
      <c r="J2936" s="120">
        <f t="shared" si="42"/>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139</v>
      </c>
      <c r="G2937" s="29" t="s">
        <v>16</v>
      </c>
      <c r="H2937" s="29" t="s">
        <v>38</v>
      </c>
      <c r="I2937" s="120">
        <v>45911</v>
      </c>
      <c r="J2937" s="120">
        <f t="shared" si="42"/>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139</v>
      </c>
      <c r="G2938" s="29" t="s">
        <v>16</v>
      </c>
      <c r="H2938" s="29" t="s">
        <v>38</v>
      </c>
      <c r="I2938" s="120">
        <v>45912</v>
      </c>
      <c r="J2938" s="120">
        <f t="shared" si="42"/>
        <v>45917</v>
      </c>
      <c r="K2938" s="120">
        <v>45942</v>
      </c>
      <c r="L2938" s="120"/>
      <c r="M2938" s="120"/>
      <c r="N2938" s="29"/>
      <c r="O2938" s="29" t="s">
        <v>877</v>
      </c>
      <c r="P2938" s="120"/>
      <c r="Q2938" s="156">
        <v>350</v>
      </c>
    </row>
    <row r="2939" spans="1:17" hidden="1">
      <c r="A2939" s="134" t="s">
        <v>1330</v>
      </c>
      <c r="C2939" s="29">
        <v>255500080</v>
      </c>
      <c r="D2939" s="29">
        <v>224502215</v>
      </c>
      <c r="E2939" s="29"/>
      <c r="F2939" s="29" t="s">
        <v>139</v>
      </c>
      <c r="G2939" s="29" t="s">
        <v>16</v>
      </c>
      <c r="H2939" s="29" t="s">
        <v>38</v>
      </c>
      <c r="I2939" s="120">
        <v>45912</v>
      </c>
      <c r="J2939" s="120">
        <f t="shared" si="42"/>
        <v>45917</v>
      </c>
      <c r="K2939" s="120">
        <v>45942</v>
      </c>
      <c r="L2939" s="120"/>
      <c r="M2939" s="120"/>
      <c r="N2939" s="29"/>
      <c r="O2939" s="29" t="s">
        <v>877</v>
      </c>
      <c r="P2939" s="120"/>
      <c r="Q2939" s="156">
        <v>200</v>
      </c>
    </row>
    <row r="2940" spans="1:17" hidden="1">
      <c r="A2940" s="134" t="s">
        <v>1330</v>
      </c>
      <c r="C2940" s="29">
        <v>255500081</v>
      </c>
      <c r="D2940" s="29">
        <v>224502237</v>
      </c>
      <c r="E2940" s="29"/>
      <c r="F2940" s="29" t="s">
        <v>139</v>
      </c>
      <c r="G2940" s="29" t="s">
        <v>16</v>
      </c>
      <c r="H2940" s="29" t="s">
        <v>38</v>
      </c>
      <c r="I2940" s="120">
        <v>45912</v>
      </c>
      <c r="J2940" s="120">
        <f t="shared" si="42"/>
        <v>45917</v>
      </c>
      <c r="K2940" s="120">
        <v>45942</v>
      </c>
      <c r="L2940" s="120"/>
      <c r="M2940" s="120"/>
      <c r="N2940" s="29"/>
      <c r="O2940" s="29" t="s">
        <v>877</v>
      </c>
      <c r="P2940" s="120"/>
      <c r="Q2940" s="156">
        <v>150</v>
      </c>
    </row>
    <row r="2941" spans="1:17" hidden="1">
      <c r="A2941" s="134" t="s">
        <v>1330</v>
      </c>
      <c r="C2941" s="29">
        <v>255500082</v>
      </c>
      <c r="D2941" s="29">
        <v>224502265</v>
      </c>
      <c r="E2941" s="29"/>
      <c r="F2941" s="29" t="s">
        <v>139</v>
      </c>
      <c r="G2941" s="29" t="s">
        <v>16</v>
      </c>
      <c r="H2941" s="29" t="s">
        <v>38</v>
      </c>
      <c r="I2941" s="120">
        <v>45912</v>
      </c>
      <c r="J2941" s="120">
        <f t="shared" si="42"/>
        <v>45917</v>
      </c>
      <c r="K2941" s="120">
        <v>45942</v>
      </c>
      <c r="L2941" s="120"/>
      <c r="M2941" s="120"/>
      <c r="N2941" s="29"/>
      <c r="O2941" s="29" t="s">
        <v>877</v>
      </c>
      <c r="P2941" s="120"/>
      <c r="Q2941" s="156">
        <v>330</v>
      </c>
    </row>
    <row r="2942" spans="1:17" hidden="1">
      <c r="A2942" s="134" t="s">
        <v>1330</v>
      </c>
      <c r="C2942" s="29">
        <v>255500088</v>
      </c>
      <c r="D2942" s="29">
        <v>224502305</v>
      </c>
      <c r="E2942" s="29"/>
      <c r="F2942" s="29" t="s">
        <v>139</v>
      </c>
      <c r="G2942" s="29" t="s">
        <v>16</v>
      </c>
      <c r="H2942" s="29" t="s">
        <v>38</v>
      </c>
      <c r="I2942" s="120">
        <v>45912</v>
      </c>
      <c r="J2942" s="120">
        <f t="shared" si="42"/>
        <v>45917</v>
      </c>
      <c r="K2942" s="120">
        <v>45942</v>
      </c>
      <c r="L2942" s="120"/>
      <c r="M2942" s="120"/>
      <c r="N2942" s="29"/>
      <c r="O2942" s="29" t="s">
        <v>877</v>
      </c>
      <c r="P2942" s="120"/>
      <c r="Q2942" s="156">
        <v>330</v>
      </c>
    </row>
    <row r="2943" spans="1:17" hidden="1">
      <c r="A2943" s="134" t="s">
        <v>1330</v>
      </c>
      <c r="C2943" s="29">
        <v>255500080</v>
      </c>
      <c r="D2943" s="29">
        <v>224502396</v>
      </c>
      <c r="E2943" s="29"/>
      <c r="F2943" s="29" t="s">
        <v>139</v>
      </c>
      <c r="G2943" s="29" t="s">
        <v>16</v>
      </c>
      <c r="H2943" s="29" t="s">
        <v>38</v>
      </c>
      <c r="I2943" s="120">
        <v>45912</v>
      </c>
      <c r="J2943" s="120">
        <f t="shared" si="42"/>
        <v>45917</v>
      </c>
      <c r="K2943" s="120">
        <v>45942</v>
      </c>
      <c r="L2943" s="120"/>
      <c r="M2943" s="120"/>
      <c r="N2943" s="29"/>
      <c r="O2943" s="29" t="s">
        <v>877</v>
      </c>
      <c r="P2943" s="120"/>
      <c r="Q2943" s="156">
        <v>270</v>
      </c>
    </row>
    <row r="2944" spans="1:17" hidden="1">
      <c r="A2944" s="134" t="s">
        <v>1330</v>
      </c>
      <c r="C2944" s="29">
        <v>255500091</v>
      </c>
      <c r="D2944" s="29">
        <v>224502438</v>
      </c>
      <c r="E2944" s="29"/>
      <c r="F2944" s="29" t="s">
        <v>139</v>
      </c>
      <c r="G2944" s="29" t="s">
        <v>16</v>
      </c>
      <c r="H2944" s="29" t="s">
        <v>38</v>
      </c>
      <c r="I2944" s="120">
        <v>45912</v>
      </c>
      <c r="J2944" s="120">
        <f t="shared" si="42"/>
        <v>45917</v>
      </c>
      <c r="K2944" s="120">
        <v>45942</v>
      </c>
      <c r="L2944" s="120"/>
      <c r="M2944" s="120"/>
      <c r="N2944" s="29"/>
      <c r="O2944" s="29" t="s">
        <v>877</v>
      </c>
      <c r="P2944" s="120"/>
      <c r="Q2944" s="156">
        <v>270</v>
      </c>
    </row>
    <row r="2945" spans="1:18" hidden="1">
      <c r="A2945" s="134" t="s">
        <v>1330</v>
      </c>
      <c r="C2945" s="29">
        <v>255500077</v>
      </c>
      <c r="D2945" s="29">
        <v>224502097</v>
      </c>
      <c r="E2945" s="29"/>
      <c r="F2945" s="29" t="s">
        <v>139</v>
      </c>
      <c r="G2945" s="29" t="s">
        <v>16</v>
      </c>
      <c r="H2945" s="29" t="s">
        <v>38</v>
      </c>
      <c r="I2945" s="120">
        <v>45912</v>
      </c>
      <c r="J2945" s="120">
        <f t="shared" si="42"/>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139</v>
      </c>
      <c r="G2946" s="29" t="s">
        <v>16</v>
      </c>
      <c r="H2946" s="29" t="s">
        <v>38</v>
      </c>
      <c r="I2946" s="120">
        <v>45912</v>
      </c>
      <c r="J2946" s="120">
        <f t="shared" si="42"/>
        <v>45917</v>
      </c>
      <c r="K2946" s="120">
        <v>45942</v>
      </c>
      <c r="L2946" s="120"/>
      <c r="M2946" s="120"/>
      <c r="N2946" s="29"/>
      <c r="O2946" s="29" t="s">
        <v>877</v>
      </c>
      <c r="P2946" s="120"/>
      <c r="Q2946" s="156">
        <v>370</v>
      </c>
    </row>
    <row r="2947" spans="1:18" hidden="1">
      <c r="A2947" s="134" t="s">
        <v>1352</v>
      </c>
      <c r="C2947" s="29">
        <v>275502618</v>
      </c>
      <c r="D2947" s="29"/>
      <c r="E2947" s="29"/>
      <c r="F2947" s="29" t="s">
        <v>139</v>
      </c>
      <c r="G2947" s="29" t="s">
        <v>16</v>
      </c>
      <c r="H2947" s="29" t="s">
        <v>38</v>
      </c>
      <c r="I2947" s="120">
        <v>45965</v>
      </c>
      <c r="J2947" s="120">
        <f t="shared" si="42"/>
        <v>45968</v>
      </c>
      <c r="K2947" s="120">
        <v>45995</v>
      </c>
      <c r="L2947" s="120"/>
      <c r="M2947" s="120"/>
      <c r="N2947" s="29"/>
      <c r="O2947" s="29" t="s">
        <v>10</v>
      </c>
      <c r="P2947" s="29"/>
      <c r="Q2947" s="156">
        <v>1300</v>
      </c>
    </row>
    <row r="2948" spans="1:18" hidden="1">
      <c r="A2948" s="134" t="s">
        <v>1352</v>
      </c>
      <c r="C2948" s="29">
        <v>276500073</v>
      </c>
      <c r="D2948" s="29"/>
      <c r="E2948" s="29"/>
      <c r="F2948" s="29" t="s">
        <v>139</v>
      </c>
      <c r="G2948" s="29" t="s">
        <v>16</v>
      </c>
      <c r="H2948" s="29" t="s">
        <v>38</v>
      </c>
      <c r="I2948" s="120">
        <v>45933</v>
      </c>
      <c r="J2948" s="120">
        <f t="shared" si="42"/>
        <v>45938</v>
      </c>
      <c r="K2948" s="120">
        <v>45933</v>
      </c>
      <c r="L2948" s="120"/>
      <c r="M2948" s="120"/>
      <c r="N2948" s="29"/>
      <c r="O2948" s="29" t="s">
        <v>10</v>
      </c>
      <c r="P2948" s="29"/>
      <c r="Q2948" s="156">
        <v>850</v>
      </c>
    </row>
    <row r="2949" spans="1:18" hidden="1">
      <c r="A2949" s="134" t="s">
        <v>1352</v>
      </c>
      <c r="C2949" s="29">
        <v>276500079</v>
      </c>
      <c r="D2949" s="29"/>
      <c r="E2949" s="29"/>
      <c r="F2949" s="29" t="s">
        <v>139</v>
      </c>
      <c r="G2949" s="29" t="s">
        <v>16</v>
      </c>
      <c r="H2949" s="29" t="s">
        <v>38</v>
      </c>
      <c r="I2949" s="120">
        <v>45933</v>
      </c>
      <c r="J2949" s="120">
        <f t="shared" si="42"/>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139</v>
      </c>
      <c r="G2950" s="29" t="s">
        <v>16</v>
      </c>
      <c r="H2950" s="29" t="s">
        <v>38</v>
      </c>
      <c r="I2950" s="120">
        <v>45936</v>
      </c>
      <c r="J2950" s="120">
        <f t="shared" si="42"/>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139</v>
      </c>
      <c r="G2951" s="29" t="s">
        <v>16</v>
      </c>
      <c r="H2951" s="29" t="s">
        <v>38</v>
      </c>
      <c r="I2951" s="120">
        <v>45958</v>
      </c>
      <c r="J2951" s="120">
        <f t="shared" si="42"/>
        <v>45961</v>
      </c>
      <c r="K2951" s="120">
        <v>45989</v>
      </c>
      <c r="L2951" s="120"/>
      <c r="M2951" s="120"/>
      <c r="N2951" s="29"/>
      <c r="O2951" s="29" t="s">
        <v>1246</v>
      </c>
      <c r="P2951" s="29"/>
      <c r="Q2951" s="156">
        <v>565</v>
      </c>
    </row>
    <row r="2952" spans="1:18" hidden="1">
      <c r="A2952" s="134" t="s">
        <v>1352</v>
      </c>
      <c r="C2952" s="29">
        <v>301500176</v>
      </c>
      <c r="D2952" s="29"/>
      <c r="E2952" s="29"/>
      <c r="F2952" s="29" t="s">
        <v>139</v>
      </c>
      <c r="G2952" s="29" t="s">
        <v>16</v>
      </c>
      <c r="H2952" s="29" t="s">
        <v>38</v>
      </c>
      <c r="I2952" s="120">
        <v>45958</v>
      </c>
      <c r="J2952" s="120">
        <f t="shared" si="42"/>
        <v>45961</v>
      </c>
      <c r="K2952" s="120">
        <v>45989</v>
      </c>
      <c r="L2952" s="120"/>
      <c r="M2952" s="120"/>
      <c r="N2952" s="29"/>
      <c r="O2952" s="29" t="s">
        <v>1246</v>
      </c>
      <c r="P2952" s="29"/>
      <c r="Q2952" s="156">
        <v>1100</v>
      </c>
    </row>
    <row r="2953" spans="1:18" hidden="1">
      <c r="A2953" s="134" t="s">
        <v>1325</v>
      </c>
      <c r="C2953" s="29">
        <v>304500355</v>
      </c>
      <c r="D2953" s="29"/>
      <c r="E2953" s="29"/>
      <c r="F2953" s="29" t="s">
        <v>139</v>
      </c>
      <c r="G2953" s="29" t="s">
        <v>16</v>
      </c>
      <c r="H2953" s="29" t="s">
        <v>38</v>
      </c>
      <c r="I2953" s="120">
        <v>45961</v>
      </c>
      <c r="J2953" s="120">
        <f t="shared" si="42"/>
        <v>45966</v>
      </c>
      <c r="K2953" s="120">
        <v>45992</v>
      </c>
      <c r="L2953" s="120"/>
      <c r="M2953" s="120"/>
      <c r="N2953" s="29"/>
      <c r="O2953" s="29" t="s">
        <v>877</v>
      </c>
      <c r="P2953" s="120"/>
      <c r="Q2953" s="156"/>
    </row>
    <row r="2954" spans="1:18" hidden="1">
      <c r="A2954" s="134" t="s">
        <v>1355</v>
      </c>
      <c r="C2954" s="29">
        <v>275501749</v>
      </c>
      <c r="D2954" s="29"/>
      <c r="E2954" s="29"/>
      <c r="F2954" s="29" t="s">
        <v>139</v>
      </c>
      <c r="G2954" s="29" t="s">
        <v>16</v>
      </c>
      <c r="H2954" s="29" t="s">
        <v>38</v>
      </c>
      <c r="I2954" s="120">
        <v>45932</v>
      </c>
      <c r="J2954" s="120">
        <f t="shared" si="42"/>
        <v>45937</v>
      </c>
      <c r="K2954" s="120">
        <v>45963</v>
      </c>
      <c r="L2954" s="120"/>
      <c r="M2954" s="120"/>
      <c r="N2954" s="29"/>
      <c r="O2954" s="29" t="s">
        <v>877</v>
      </c>
      <c r="P2954" s="120"/>
      <c r="Q2954" s="156">
        <v>170</v>
      </c>
    </row>
    <row r="2955" spans="1:18" hidden="1">
      <c r="A2955" s="134" t="s">
        <v>1356</v>
      </c>
      <c r="C2955" s="29">
        <v>308504653</v>
      </c>
      <c r="D2955" s="29"/>
      <c r="E2955" s="29"/>
      <c r="F2955" s="29" t="s">
        <v>139</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139</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139</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139</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139</v>
      </c>
      <c r="G2959" s="29" t="s">
        <v>16</v>
      </c>
      <c r="H2959" s="29" t="s">
        <v>38</v>
      </c>
      <c r="I2959" s="120">
        <v>45895</v>
      </c>
      <c r="J2959" s="120">
        <f t="shared" ref="J2959:J2970" si="43">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139</v>
      </c>
      <c r="G2960" s="29" t="s">
        <v>16</v>
      </c>
      <c r="H2960" s="29" t="s">
        <v>38</v>
      </c>
      <c r="I2960" s="120">
        <v>45902</v>
      </c>
      <c r="J2960" s="120">
        <f t="shared" si="43"/>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139</v>
      </c>
      <c r="G2961" s="29" t="s">
        <v>16</v>
      </c>
      <c r="H2961" s="29" t="s">
        <v>38</v>
      </c>
      <c r="I2961" s="120">
        <v>45902</v>
      </c>
      <c r="J2961" s="120">
        <f t="shared" si="43"/>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139</v>
      </c>
      <c r="G2962" s="29" t="s">
        <v>16</v>
      </c>
      <c r="H2962" s="29" t="s">
        <v>38</v>
      </c>
      <c r="I2962" s="120">
        <v>45908</v>
      </c>
      <c r="J2962" s="120">
        <f t="shared" si="43"/>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139</v>
      </c>
      <c r="G2963" s="29" t="s">
        <v>16</v>
      </c>
      <c r="H2963" s="29" t="s">
        <v>38</v>
      </c>
      <c r="I2963" s="120">
        <v>45909</v>
      </c>
      <c r="J2963" s="120">
        <f t="shared" si="43"/>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139</v>
      </c>
      <c r="G2964" s="29" t="s">
        <v>16</v>
      </c>
      <c r="H2964" s="29" t="s">
        <v>38</v>
      </c>
      <c r="I2964" s="120">
        <v>45910</v>
      </c>
      <c r="J2964" s="120">
        <f t="shared" si="43"/>
        <v>45915</v>
      </c>
      <c r="K2964" s="120">
        <v>45940</v>
      </c>
      <c r="L2964" s="120"/>
      <c r="M2964" s="120"/>
      <c r="N2964" s="29"/>
      <c r="O2964" s="29" t="s">
        <v>877</v>
      </c>
      <c r="P2964" s="120"/>
      <c r="Q2964" s="156">
        <v>1000</v>
      </c>
    </row>
    <row r="2965" spans="1:18" hidden="1">
      <c r="A2965" s="134" t="s">
        <v>1357</v>
      </c>
      <c r="C2965" s="29">
        <v>251505986</v>
      </c>
      <c r="D2965" s="29"/>
      <c r="E2965" s="29"/>
      <c r="F2965" s="29" t="s">
        <v>139</v>
      </c>
      <c r="G2965" s="29" t="s">
        <v>16</v>
      </c>
      <c r="H2965" s="29" t="s">
        <v>38</v>
      </c>
      <c r="I2965" s="120">
        <v>45908</v>
      </c>
      <c r="J2965" s="120">
        <f t="shared" si="43"/>
        <v>45911</v>
      </c>
      <c r="K2965" s="120">
        <v>45938</v>
      </c>
      <c r="L2965" s="120"/>
      <c r="M2965" s="120"/>
      <c r="N2965" s="29"/>
      <c r="O2965" s="29" t="s">
        <v>877</v>
      </c>
      <c r="P2965" s="120"/>
      <c r="Q2965" s="156">
        <v>1700</v>
      </c>
    </row>
    <row r="2966" spans="1:18" hidden="1">
      <c r="A2966" s="134" t="s">
        <v>1357</v>
      </c>
      <c r="C2966" s="29">
        <v>252500166</v>
      </c>
      <c r="D2966" s="29"/>
      <c r="E2966" s="29"/>
      <c r="F2966" s="29" t="s">
        <v>139</v>
      </c>
      <c r="G2966" s="29" t="s">
        <v>16</v>
      </c>
      <c r="H2966" s="29" t="s">
        <v>38</v>
      </c>
      <c r="I2966" s="120">
        <v>45909</v>
      </c>
      <c r="J2966" s="120">
        <f t="shared" si="43"/>
        <v>45912</v>
      </c>
      <c r="K2966" s="120">
        <v>45939</v>
      </c>
      <c r="L2966" s="120"/>
      <c r="M2966" s="120"/>
      <c r="N2966" s="29"/>
      <c r="O2966" s="29" t="s">
        <v>877</v>
      </c>
      <c r="P2966" s="120"/>
      <c r="Q2966" s="156">
        <v>1400</v>
      </c>
    </row>
    <row r="2967" spans="1:18" hidden="1">
      <c r="A2967" s="134" t="s">
        <v>1357</v>
      </c>
      <c r="C2967" s="29">
        <v>253500129</v>
      </c>
      <c r="D2967" s="29"/>
      <c r="E2967" s="29"/>
      <c r="F2967" s="29" t="s">
        <v>139</v>
      </c>
      <c r="G2967" s="29" t="s">
        <v>16</v>
      </c>
      <c r="H2967" s="29" t="s">
        <v>38</v>
      </c>
      <c r="I2967" s="120">
        <v>45910</v>
      </c>
      <c r="J2967" s="120">
        <f t="shared" si="43"/>
        <v>45915</v>
      </c>
      <c r="K2967" s="120">
        <v>45940</v>
      </c>
      <c r="L2967" s="120"/>
      <c r="M2967" s="120"/>
      <c r="N2967" s="29"/>
      <c r="O2967" s="29" t="s">
        <v>877</v>
      </c>
      <c r="P2967" s="120"/>
      <c r="Q2967" s="156">
        <v>1400</v>
      </c>
    </row>
    <row r="2968" spans="1:18" hidden="1">
      <c r="A2968" s="134" t="s">
        <v>1357</v>
      </c>
      <c r="C2968" s="29">
        <v>255500084</v>
      </c>
      <c r="D2968" s="29"/>
      <c r="E2968" s="29"/>
      <c r="F2968" s="29" t="s">
        <v>139</v>
      </c>
      <c r="G2968" s="29" t="s">
        <v>16</v>
      </c>
      <c r="H2968" s="29" t="s">
        <v>38</v>
      </c>
      <c r="I2968" s="120">
        <v>45912</v>
      </c>
      <c r="J2968" s="120">
        <f t="shared" si="43"/>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139</v>
      </c>
      <c r="G2969" s="29" t="s">
        <v>16</v>
      </c>
      <c r="H2969" s="29" t="s">
        <v>38</v>
      </c>
      <c r="I2969" s="120">
        <v>45915</v>
      </c>
      <c r="J2969" s="120">
        <f t="shared" si="43"/>
        <v>45918</v>
      </c>
      <c r="K2969" s="120">
        <v>45945</v>
      </c>
      <c r="L2969" s="120"/>
      <c r="M2969" s="120"/>
      <c r="N2969" s="29"/>
      <c r="O2969" s="29" t="s">
        <v>877</v>
      </c>
      <c r="P2969" s="120"/>
      <c r="Q2969" s="156">
        <v>1400</v>
      </c>
      <c r="R2969" s="119"/>
    </row>
    <row r="2970" spans="1:18" hidden="1">
      <c r="A2970" s="134" t="s">
        <v>980</v>
      </c>
      <c r="C2970" s="29">
        <v>234500683</v>
      </c>
      <c r="D2970" s="29"/>
      <c r="E2970" s="29"/>
      <c r="F2970" s="29" t="s">
        <v>139</v>
      </c>
      <c r="G2970" s="29" t="s">
        <v>16</v>
      </c>
      <c r="H2970" s="29" t="s">
        <v>38</v>
      </c>
      <c r="I2970" s="120">
        <v>45891</v>
      </c>
      <c r="J2970" s="120">
        <f t="shared" si="43"/>
        <v>45896</v>
      </c>
      <c r="K2970" s="120">
        <v>45922</v>
      </c>
      <c r="L2970" s="120"/>
      <c r="M2970" s="120"/>
      <c r="N2970" s="29"/>
      <c r="O2970" s="29" t="s">
        <v>877</v>
      </c>
      <c r="P2970" s="120"/>
      <c r="Q2970" s="156">
        <v>730</v>
      </c>
    </row>
    <row r="2971" spans="1:18" hidden="1">
      <c r="A2971" s="134" t="s">
        <v>1358</v>
      </c>
      <c r="C2971" s="29">
        <v>309505225</v>
      </c>
      <c r="D2971" s="29"/>
      <c r="E2971" s="29"/>
      <c r="F2971" s="29" t="s">
        <v>139</v>
      </c>
      <c r="G2971" s="29" t="s">
        <v>16</v>
      </c>
      <c r="H2971" s="29" t="s">
        <v>38</v>
      </c>
      <c r="I2971" s="120">
        <v>45967</v>
      </c>
      <c r="J2971" s="120">
        <f>WORKDAY(I2971, 3)</f>
        <v>45972</v>
      </c>
      <c r="K2971" s="120">
        <v>45997</v>
      </c>
      <c r="L2971" s="120"/>
      <c r="M2971" s="120"/>
      <c r="N2971" s="29"/>
      <c r="O2971" s="29" t="s">
        <v>68</v>
      </c>
      <c r="P2971" s="29"/>
      <c r="Q2971" s="156">
        <v>150</v>
      </c>
      <c r="R2971" s="134" t="s">
        <v>1359</v>
      </c>
    </row>
    <row r="2972" spans="1:18" hidden="1">
      <c r="A2972" s="134" t="s">
        <v>1358</v>
      </c>
      <c r="C2972" s="29">
        <v>309505253</v>
      </c>
      <c r="D2972" s="29"/>
      <c r="E2972" s="29"/>
      <c r="F2972" s="29" t="s">
        <v>139</v>
      </c>
      <c r="G2972" s="29" t="s">
        <v>16</v>
      </c>
      <c r="H2972" s="29" t="s">
        <v>38</v>
      </c>
      <c r="I2972" s="120">
        <v>45967</v>
      </c>
      <c r="J2972" s="120">
        <f>WORKDAY(I2972, 3)</f>
        <v>45972</v>
      </c>
      <c r="K2972" s="120">
        <v>45997</v>
      </c>
      <c r="L2972" s="120"/>
      <c r="M2972" s="120"/>
      <c r="N2972" s="29"/>
      <c r="O2972" s="29" t="s">
        <v>68</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68</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68</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68</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68</v>
      </c>
      <c r="P2976" s="29"/>
      <c r="Q2976" s="156">
        <v>210</v>
      </c>
      <c r="R2976" s="134" t="s">
        <v>1361</v>
      </c>
    </row>
    <row r="2977" spans="1:18" hidden="1">
      <c r="A2977" s="134" t="s">
        <v>1332</v>
      </c>
      <c r="C2977" s="29">
        <v>301503050</v>
      </c>
      <c r="D2977" s="29"/>
      <c r="E2977" s="29"/>
      <c r="F2977" s="29" t="s">
        <v>139</v>
      </c>
      <c r="G2977" s="29" t="s">
        <v>16</v>
      </c>
      <c r="H2977" s="29" t="s">
        <v>38</v>
      </c>
      <c r="I2977" s="120">
        <v>45958</v>
      </c>
      <c r="J2977" s="120">
        <f>WORKDAY(I2977, 3)</f>
        <v>45961</v>
      </c>
      <c r="K2977" s="120">
        <v>45989</v>
      </c>
      <c r="L2977" s="120"/>
      <c r="M2977" s="120"/>
      <c r="N2977" s="29"/>
      <c r="O2977" s="29" t="s">
        <v>68</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68</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139</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139</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139</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139</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179</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179</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179</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179</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179</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179</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179</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139</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139</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139</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139</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139</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139</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139</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139</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139</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139</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139</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139</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139</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139</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139</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139</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139</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139</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139</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139</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139</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139</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139</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139</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139</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139</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139</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139</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139</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139</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139</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139</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139</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139</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139</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139</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139</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139</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139</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139</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139</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139</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139</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139</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139</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139</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139</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139</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139</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139</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139</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139</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139</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139</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139</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139</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139</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139</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139</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139</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139</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139</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139</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139</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139</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139</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139</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139</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139</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139</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139</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139</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139</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139</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139</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139</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139</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139</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139</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139</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139</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139</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139</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139</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139</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139</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139</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139</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139</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139</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139</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139</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139</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139</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139</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139</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139</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139</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139</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139</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139</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139</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139</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139</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139</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139</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139</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139</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139</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139</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139</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139</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139</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139</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139</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139</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139</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139</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139</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139</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139</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139</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139</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139</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139</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139</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139</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139</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139</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139</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139</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139</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139</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139</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139</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139</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139</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139</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139</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139</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139</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139</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139</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139</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139</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139</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139</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139</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139</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139</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139</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139</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139</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139</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139</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139</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139</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139</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139</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139</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139</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139</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139</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139</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139</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139</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139</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139</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139</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139</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139</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139</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139</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139</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139</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139</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139</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139</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139</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139</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139</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139</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139</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139</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139</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139</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139</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139</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139</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139</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139</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139</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139</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139</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139</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139</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139</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139</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139</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139</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139</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139</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139</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139</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139</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139</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139</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139</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139</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139</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139</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139</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139</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139</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139</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139</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139</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139</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139</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139</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139</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139</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139</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139</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139</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139</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139</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139</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139</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139</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139</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139</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139</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139</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139</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139</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139</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139</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139</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139</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139</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139</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139</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139</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65</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65</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65</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65</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65</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65</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65</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65</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65</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65</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65</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65</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65</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65</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65</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65</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77</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65</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65</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65</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65</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65</v>
      </c>
      <c r="G3368" s="29" t="s">
        <v>737</v>
      </c>
      <c r="H3368" s="29" t="s">
        <v>38</v>
      </c>
      <c r="I3368" s="120">
        <v>45999</v>
      </c>
      <c r="J3368" s="120">
        <v>46001</v>
      </c>
      <c r="K3368" s="120">
        <v>45665</v>
      </c>
      <c r="L3368" s="120"/>
      <c r="M3368" s="120"/>
      <c r="N3368" s="29"/>
      <c r="O3368" s="29" t="s">
        <v>1416</v>
      </c>
      <c r="P3368" s="120"/>
      <c r="Q3368" s="156" t="s">
        <v>71</v>
      </c>
    </row>
    <row r="3369" spans="1:18" hidden="1">
      <c r="A3369" s="160" t="s">
        <v>1052</v>
      </c>
      <c r="B3369" s="160"/>
      <c r="C3369" s="88">
        <v>342504546</v>
      </c>
      <c r="D3369" s="29"/>
      <c r="E3369" s="29"/>
      <c r="F3369" s="29" t="s">
        <v>65</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71</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67</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67</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67</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85</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81</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81</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81</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81</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81</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81</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81</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81</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81</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81</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81</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164</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164</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164</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164</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65</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65</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65</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65</v>
      </c>
      <c r="G3532" s="29" t="s">
        <v>737</v>
      </c>
      <c r="H3532" s="29" t="s">
        <v>22</v>
      </c>
      <c r="I3532" s="120">
        <v>46028</v>
      </c>
      <c r="J3532" s="120">
        <v>46030</v>
      </c>
      <c r="K3532" s="120">
        <v>46058</v>
      </c>
      <c r="L3532" s="120"/>
      <c r="M3532" s="120"/>
      <c r="N3532" s="29"/>
      <c r="O3532" s="29" t="s">
        <v>9</v>
      </c>
      <c r="P3532" s="120"/>
      <c r="Q3532" s="156" t="s">
        <v>1441</v>
      </c>
    </row>
    <row r="3533" spans="1:17" hidden="1">
      <c r="A3533" s="160" t="s">
        <v>81</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81</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81</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81</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81</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81</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81</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81</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81</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81</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81</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164</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164</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164</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164</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164</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164</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164</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164</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164</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164</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164</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164</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65</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156</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156</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156</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156</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156</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156</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156</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156</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156</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156</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156</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156</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156</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156</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156</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156</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156</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156</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156</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156</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156</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156</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156</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156</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156</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156</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156</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156</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156</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156</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156</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65</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65</v>
      </c>
      <c r="G3626" s="29" t="s">
        <v>737</v>
      </c>
      <c r="H3626" s="29" t="s">
        <v>22</v>
      </c>
      <c r="I3626" s="120">
        <v>46042</v>
      </c>
      <c r="J3626" s="120">
        <v>46044</v>
      </c>
      <c r="K3626" s="120">
        <v>46072</v>
      </c>
      <c r="L3626" s="120"/>
      <c r="M3626" s="120"/>
      <c r="N3626" s="29"/>
      <c r="O3626" s="29" t="s">
        <v>9</v>
      </c>
      <c r="P3626" s="120"/>
      <c r="Q3626" s="156" t="s">
        <v>70</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81</v>
      </c>
      <c r="B3666" s="160"/>
      <c r="C3666" s="88" t="s">
        <v>1591</v>
      </c>
      <c r="D3666" s="29"/>
      <c r="E3666" s="29"/>
      <c r="F3666" s="29" t="s">
        <v>65</v>
      </c>
      <c r="G3666" s="29" t="s">
        <v>737</v>
      </c>
      <c r="H3666" s="29" t="s">
        <v>30</v>
      </c>
      <c r="I3666" s="120">
        <v>46056</v>
      </c>
      <c r="J3666" s="120">
        <v>46058</v>
      </c>
      <c r="K3666" s="120">
        <v>46086</v>
      </c>
      <c r="L3666" s="120"/>
      <c r="M3666" s="120"/>
      <c r="N3666" s="29"/>
      <c r="O3666" s="29" t="s">
        <v>9</v>
      </c>
      <c r="P3666" s="120"/>
      <c r="Q3666" s="156"/>
    </row>
    <row r="3667" spans="1:17">
      <c r="A3667" s="160" t="s">
        <v>81</v>
      </c>
      <c r="B3667" s="160"/>
      <c r="C3667" s="88" t="s">
        <v>1592</v>
      </c>
      <c r="D3667" s="29"/>
      <c r="E3667" s="29"/>
      <c r="F3667" s="29" t="s">
        <v>65</v>
      </c>
      <c r="G3667" s="29" t="s">
        <v>737</v>
      </c>
      <c r="H3667" s="29" t="s">
        <v>30</v>
      </c>
      <c r="I3667" s="120">
        <v>46056</v>
      </c>
      <c r="J3667" s="120">
        <v>46058</v>
      </c>
      <c r="K3667" s="120">
        <v>46086</v>
      </c>
      <c r="L3667" s="120"/>
      <c r="M3667" s="120"/>
      <c r="N3667" s="29"/>
      <c r="O3667" s="29" t="s">
        <v>9</v>
      </c>
      <c r="P3667" s="120"/>
      <c r="Q3667" s="156"/>
    </row>
    <row r="3668" spans="1:17">
      <c r="A3668" s="160" t="s">
        <v>81</v>
      </c>
      <c r="B3668" s="160"/>
      <c r="C3668" s="88" t="s">
        <v>1593</v>
      </c>
      <c r="D3668" s="29"/>
      <c r="E3668" s="29"/>
      <c r="F3668" s="29" t="s">
        <v>65</v>
      </c>
      <c r="G3668" s="29" t="s">
        <v>737</v>
      </c>
      <c r="H3668" s="29" t="s">
        <v>30</v>
      </c>
      <c r="I3668" s="120">
        <v>46056</v>
      </c>
      <c r="J3668" s="120">
        <v>46058</v>
      </c>
      <c r="K3668" s="120">
        <v>46086</v>
      </c>
      <c r="L3668" s="120"/>
      <c r="M3668" s="120"/>
      <c r="N3668" s="29"/>
      <c r="O3668" s="29" t="s">
        <v>9</v>
      </c>
      <c r="P3668" s="120"/>
      <c r="Q3668" s="156"/>
    </row>
    <row r="3669" spans="1:17">
      <c r="A3669" s="160" t="s">
        <v>81</v>
      </c>
      <c r="B3669" s="160"/>
      <c r="C3669" s="88" t="s">
        <v>1594</v>
      </c>
      <c r="D3669" s="29"/>
      <c r="E3669" s="29"/>
      <c r="F3669" s="29" t="s">
        <v>65</v>
      </c>
      <c r="G3669" s="29" t="s">
        <v>737</v>
      </c>
      <c r="H3669" s="29" t="s">
        <v>30</v>
      </c>
      <c r="I3669" s="120">
        <v>46056</v>
      </c>
      <c r="J3669" s="120">
        <v>46058</v>
      </c>
      <c r="K3669" s="120">
        <v>46086</v>
      </c>
      <c r="L3669" s="120"/>
      <c r="M3669" s="120"/>
      <c r="N3669" s="29"/>
      <c r="O3669" s="29" t="s">
        <v>9</v>
      </c>
      <c r="P3669" s="120"/>
      <c r="Q3669" s="156"/>
    </row>
    <row r="3670" spans="1:17">
      <c r="A3670" s="160" t="s">
        <v>81</v>
      </c>
      <c r="B3670" s="160"/>
      <c r="C3670" s="88" t="s">
        <v>1595</v>
      </c>
      <c r="D3670" s="130" t="s">
        <v>1596</v>
      </c>
      <c r="E3670" s="29"/>
      <c r="F3670" s="29" t="s">
        <v>65</v>
      </c>
      <c r="G3670" s="29" t="s">
        <v>737</v>
      </c>
      <c r="H3670" s="29" t="s">
        <v>30</v>
      </c>
      <c r="I3670" s="120">
        <v>46084</v>
      </c>
      <c r="J3670" s="120">
        <v>46086</v>
      </c>
      <c r="K3670" s="120">
        <v>46116</v>
      </c>
      <c r="L3670" s="120"/>
      <c r="M3670" s="120"/>
      <c r="N3670" s="29"/>
      <c r="O3670" s="29" t="s">
        <v>1348</v>
      </c>
      <c r="P3670" s="120"/>
      <c r="Q3670" s="156"/>
    </row>
    <row r="3671" spans="1:17">
      <c r="A3671" s="160" t="s">
        <v>81</v>
      </c>
      <c r="B3671" s="160"/>
      <c r="C3671" s="88" t="s">
        <v>1597</v>
      </c>
      <c r="D3671" s="29"/>
      <c r="E3671" s="29"/>
      <c r="F3671" s="29" t="s">
        <v>65</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65</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65</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65</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65</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65</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65</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65</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65</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65</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65</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65</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65</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65</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65</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65</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65</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65</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65</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65</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65</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65</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65</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65</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65</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65</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65</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65</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65</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65</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65</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65</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65</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65</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65</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65</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65</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65</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65</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65</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65</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65</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65</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65</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65</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65</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65</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65</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65</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63</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63</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63</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179</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179</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179</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156</v>
      </c>
      <c r="G3819" s="29" t="s">
        <v>59</v>
      </c>
      <c r="H3819" s="29" t="s">
        <v>157</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156</v>
      </c>
      <c r="G3820" s="29" t="s">
        <v>59</v>
      </c>
      <c r="H3820" s="29" t="s">
        <v>157</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156</v>
      </c>
      <c r="G3821" s="29" t="s">
        <v>59</v>
      </c>
      <c r="H3821" s="29" t="s">
        <v>157</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156</v>
      </c>
      <c r="G3822" s="29" t="s">
        <v>59</v>
      </c>
      <c r="H3822" s="29" t="s">
        <v>157</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156</v>
      </c>
      <c r="G3823" s="29" t="s">
        <v>59</v>
      </c>
      <c r="H3823" s="29" t="s">
        <v>157</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156</v>
      </c>
      <c r="G3824" s="29" t="s">
        <v>59</v>
      </c>
      <c r="H3824" s="29" t="s">
        <v>157</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156</v>
      </c>
      <c r="G3825" s="29" t="s">
        <v>59</v>
      </c>
      <c r="H3825" s="29" t="s">
        <v>157</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156</v>
      </c>
      <c r="G3826" s="29" t="s">
        <v>59</v>
      </c>
      <c r="H3826" s="29" t="s">
        <v>157</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156</v>
      </c>
      <c r="G3827" s="29" t="s">
        <v>59</v>
      </c>
      <c r="H3827" s="29" t="s">
        <v>157</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156</v>
      </c>
      <c r="G3828" s="29" t="s">
        <v>59</v>
      </c>
      <c r="H3828" s="29" t="s">
        <v>157</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156</v>
      </c>
      <c r="G3829" s="29" t="s">
        <v>59</v>
      </c>
      <c r="H3829" s="29" t="s">
        <v>157</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139</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139</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139</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139</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139</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139</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139</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139</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139</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139</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65</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139</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139</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139</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139</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139</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139</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139</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63</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63</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63</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65</v>
      </c>
      <c r="G3878" s="3" t="s">
        <v>18</v>
      </c>
      <c r="H3878" s="3" t="s">
        <v>30</v>
      </c>
      <c r="I3878" s="55">
        <v>46131</v>
      </c>
      <c r="J3878" s="75">
        <v>46133</v>
      </c>
      <c r="K3878" s="75">
        <v>46160</v>
      </c>
      <c r="L3878" s="75"/>
      <c r="M3878" s="75"/>
      <c r="N3878" s="4"/>
      <c r="O3878" s="4" t="s">
        <v>10</v>
      </c>
      <c r="P3878" s="75"/>
      <c r="Q3878" s="80" t="s">
        <v>79</v>
      </c>
      <c r="R3878" s="1" t="s">
        <v>1837</v>
      </c>
    </row>
    <row r="3879" spans="1:121">
      <c r="A3879" s="97" t="s">
        <v>1838</v>
      </c>
      <c r="B3879" s="97"/>
      <c r="C3879" s="98" t="s">
        <v>1839</v>
      </c>
      <c r="D3879" s="99"/>
      <c r="E3879" s="99"/>
      <c r="F3879" s="99" t="s">
        <v>63</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63</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63</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65</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65</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81</v>
      </c>
      <c r="B3884" s="89"/>
      <c r="C3884" s="88" t="s">
        <v>1849</v>
      </c>
      <c r="D3884" s="29"/>
      <c r="E3884" s="29"/>
      <c r="F3884" s="29" t="s">
        <v>65</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62</v>
      </c>
      <c r="B3885" s="165"/>
      <c r="C3885" s="88">
        <v>112607528</v>
      </c>
      <c r="D3885" s="29"/>
      <c r="E3885" s="29"/>
      <c r="F3885" s="29" t="s">
        <v>179</v>
      </c>
      <c r="G3885" s="3" t="s">
        <v>59</v>
      </c>
      <c r="H3885" s="3" t="s">
        <v>180</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62</v>
      </c>
      <c r="B3886" s="165"/>
      <c r="C3886" s="88">
        <v>112607580</v>
      </c>
      <c r="D3886" s="29"/>
      <c r="E3886" s="29"/>
      <c r="F3886" s="29" t="s">
        <v>1851</v>
      </c>
      <c r="G3886" s="3" t="s">
        <v>59</v>
      </c>
      <c r="H3886" s="3" t="s">
        <v>180</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62</v>
      </c>
      <c r="B3887" s="165"/>
      <c r="C3887" s="88">
        <v>112607639</v>
      </c>
      <c r="D3887" s="29"/>
      <c r="E3887" s="29"/>
      <c r="F3887" s="29" t="s">
        <v>1852</v>
      </c>
      <c r="G3887" s="3" t="s">
        <v>59</v>
      </c>
      <c r="H3887" s="3" t="s">
        <v>180</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62</v>
      </c>
      <c r="B3888" s="165"/>
      <c r="C3888" s="88">
        <v>112607697</v>
      </c>
      <c r="D3888" s="29"/>
      <c r="E3888" s="29"/>
      <c r="F3888" s="29" t="s">
        <v>1853</v>
      </c>
      <c r="G3888" s="3" t="s">
        <v>59</v>
      </c>
      <c r="H3888" s="3" t="s">
        <v>180</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62</v>
      </c>
      <c r="B3889" s="165"/>
      <c r="C3889" s="88">
        <v>112607808</v>
      </c>
      <c r="D3889" s="29"/>
      <c r="E3889" s="29"/>
      <c r="F3889" s="29" t="s">
        <v>1854</v>
      </c>
      <c r="G3889" s="3" t="s">
        <v>59</v>
      </c>
      <c r="H3889" s="3" t="s">
        <v>180</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21"/>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21"/>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21"/>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21"/>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21"/>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21"/>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21"/>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21"/>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21"/>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21"/>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21"/>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179</v>
      </c>
      <c r="G3914" s="3" t="s">
        <v>59</v>
      </c>
      <c r="H3914" s="3" t="s">
        <v>180</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179</v>
      </c>
      <c r="G3915" s="3" t="s">
        <v>59</v>
      </c>
      <c r="H3915" s="3" t="s">
        <v>180</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179</v>
      </c>
      <c r="G3916" s="3" t="s">
        <v>59</v>
      </c>
      <c r="H3916" s="3" t="s">
        <v>180</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179</v>
      </c>
      <c r="G3917" s="3" t="s">
        <v>59</v>
      </c>
      <c r="H3917" s="3" t="s">
        <v>180</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179</v>
      </c>
      <c r="G3918" s="3" t="s">
        <v>59</v>
      </c>
      <c r="H3918" s="3" t="s">
        <v>180</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179</v>
      </c>
      <c r="G3919" s="3" t="s">
        <v>59</v>
      </c>
      <c r="H3919" s="3" t="s">
        <v>180</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179</v>
      </c>
      <c r="G3942" s="3" t="s">
        <v>59</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179</v>
      </c>
      <c r="G3943" s="3" t="s">
        <v>59</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179</v>
      </c>
      <c r="G3944" s="3" t="s">
        <v>59</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179</v>
      </c>
      <c r="G3945" s="3" t="s">
        <v>59</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179</v>
      </c>
      <c r="G3946" s="3" t="s">
        <v>59</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179</v>
      </c>
      <c r="G3947" s="3" t="s">
        <v>59</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179</v>
      </c>
      <c r="G3948" s="3" t="s">
        <v>59</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63</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63</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65</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92</v>
      </c>
      <c r="G3952" s="3" t="s">
        <v>16</v>
      </c>
      <c r="H3952" s="3" t="s">
        <v>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92</v>
      </c>
      <c r="G3953" s="3" t="s">
        <v>16</v>
      </c>
      <c r="H3953" s="3" t="s">
        <v>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92</v>
      </c>
      <c r="G3954" s="3" t="s">
        <v>16</v>
      </c>
      <c r="H3954" s="3" t="s">
        <v>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92</v>
      </c>
      <c r="G3955" s="3" t="s">
        <v>16</v>
      </c>
      <c r="H3955" s="3" t="s">
        <v>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92</v>
      </c>
      <c r="G3956" s="3" t="s">
        <v>16</v>
      </c>
      <c r="H3956" s="3" t="s">
        <v>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97</v>
      </c>
      <c r="G3957" s="3" t="s">
        <v>59</v>
      </c>
      <c r="H3957" s="3" t="s">
        <v>98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97</v>
      </c>
      <c r="G3958" s="3" t="s">
        <v>59</v>
      </c>
      <c r="H3958" s="3" t="s">
        <v>98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97</v>
      </c>
      <c r="G3959" s="3" t="s">
        <v>59</v>
      </c>
      <c r="H3959" s="3" t="s">
        <v>98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97</v>
      </c>
      <c r="G3960" s="3" t="s">
        <v>59</v>
      </c>
      <c r="H3960" s="3" t="s">
        <v>98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97</v>
      </c>
      <c r="G3961" s="3" t="s">
        <v>59</v>
      </c>
      <c r="H3961" s="3" t="s">
        <v>98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81</v>
      </c>
      <c r="B3993" s="171"/>
      <c r="C3993" s="88" t="s">
        <v>1894</v>
      </c>
      <c r="D3993" s="29"/>
      <c r="E3993" s="29"/>
      <c r="F3993" s="29" t="s">
        <v>65</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s="217" customFormat="1">
      <c r="A3994" s="171" t="s">
        <v>1397</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s="217" customFormat="1">
      <c r="A3995" s="171" t="s">
        <v>1397</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s="217" customFormat="1">
      <c r="A3996" s="171" t="s">
        <v>1397</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s="217" customFormat="1">
      <c r="A3997" s="180" t="s">
        <v>1897</v>
      </c>
      <c r="B3997" s="180"/>
      <c r="C3997" s="88">
        <v>122600510</v>
      </c>
      <c r="D3997" s="29"/>
      <c r="E3997" s="29"/>
      <c r="F3997" s="29" t="s">
        <v>92</v>
      </c>
      <c r="G3997" s="3" t="s">
        <v>16</v>
      </c>
      <c r="H3997" s="3" t="s">
        <v>93</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92</v>
      </c>
      <c r="G3998" s="3" t="s">
        <v>16</v>
      </c>
      <c r="H3998" s="3" t="s">
        <v>93</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92</v>
      </c>
      <c r="G3999" s="3" t="s">
        <v>16</v>
      </c>
      <c r="H3999" s="3" t="s">
        <v>93</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92</v>
      </c>
      <c r="G4000" s="3" t="s">
        <v>16</v>
      </c>
      <c r="H4000" s="3" t="s">
        <v>93</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92</v>
      </c>
      <c r="G4001" s="3" t="s">
        <v>16</v>
      </c>
      <c r="H4001" s="3" t="s">
        <v>93</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92</v>
      </c>
      <c r="G4002" s="3" t="s">
        <v>16</v>
      </c>
      <c r="H4002" s="3" t="s">
        <v>93</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92</v>
      </c>
      <c r="G4003" s="3" t="s">
        <v>16</v>
      </c>
      <c r="H4003" s="3" t="s">
        <v>93</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92</v>
      </c>
      <c r="G4004" s="3" t="s">
        <v>16</v>
      </c>
      <c r="H4004" s="3" t="s">
        <v>93</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92</v>
      </c>
      <c r="G4005" s="3" t="s">
        <v>16</v>
      </c>
      <c r="H4005" s="3" t="s">
        <v>93</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92</v>
      </c>
      <c r="G4006" s="3" t="s">
        <v>16</v>
      </c>
      <c r="H4006" s="3" t="s">
        <v>93</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92</v>
      </c>
      <c r="G4007" s="3" t="s">
        <v>16</v>
      </c>
      <c r="H4007" s="3" t="s">
        <v>93</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92</v>
      </c>
      <c r="G4008" s="3" t="s">
        <v>16</v>
      </c>
      <c r="H4008" s="3" t="s">
        <v>93</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92</v>
      </c>
      <c r="G4009" s="3" t="s">
        <v>16</v>
      </c>
      <c r="H4009" s="3" t="s">
        <v>93</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63</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63</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63</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63</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63</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63</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63</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E5F6784-9371-4737-9AF0-DEA86CD0FE8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2026-06-20T22:22:52Z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