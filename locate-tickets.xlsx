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9" documentId="8_{7F841BAC-E3D2-4E4B-A3CA-97B4D46101DD}" xr6:coauthVersionLast="47" xr6:coauthVersionMax="47" xr10:uidLastSave="{714C5378-09ED-4DAD-8D83-CC2036712BB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<sst xmlns="http://schemas.openxmlformats.org/spreadsheetml/2006/main" count="25459" uniqueCount="1834">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</sst>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149</c:v>
                </c:pt>
                <c:pt idx="1">
                  <c:v>146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149</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149</v>
      </c>
      <c r="E3" s="199"/>
      <c r="F3" s="199"/>
      <c r="G3" s="191" cm="1">
        <f t="array" ref="G3">SUMPRODUCT((UPPER(Master!L2:L350)="CLEAR")*1)</f>
        <v>146</v>
      </c>
      <c r="H3" s="191"/>
      <c r="I3" s="191"/>
      <c r="J3" s="194" cm="1">
        <f t="array" ref="J3">SUMPRODUCT((UPPER(Master!L2:L350)="EXPIRED")*1)</f>
        <v>0</v>
      </c>
      <c r="K3" s="194"/>
      <c r="L3" s="194"/>
      <c r="P3" s="181" t="s">
        <v>10</v>
      </c>
      <c r="Q3" s="181" cm="1">
        <f t="array" ref="Q3">SUMPRODUCT((UPPER(Master!L2:L350)="CLEAR")*1)</f>
        <v>146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30</v>
      </c>
      <c r="C26" s="110" cm="1">
        <f t="array" ref="C26">IF(A26="","",SUMPRODUCT((UPPER(Master!F2:F350)=A26)*(UPPER(Master!L2:L350)="CLEAR")))</f>
        <v>40</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149</v>
      </c>
      <c r="C39" s="91">
        <f>SUMIF(A24:A38,"&lt;&gt;",C24:C38)</f>
        <v>146</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149</v>
      </c>
      <c r="D47" t="s">
        <v>16</v>
      </c>
      <c r="E47">
        <f>E27</f>
        <v>83</v>
      </c>
      <c r="G47" t="s">
        <v>29</v>
      </c>
      <c r="H47">
        <f>H27</f>
        <v>25</v>
      </c>
    </row>
    <row r="48" spans="1:12" hidden="1">
      <c r="A48" t="s">
        <v>10</v>
      </c>
      <c r="B48">
        <f>G3</f>
        <v>146</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240</v>
      </c>
      <c r="C52">
        <f>B59</f>
        <v>162</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78</v>
      </c>
    </row>
    <row r="59" spans="1:8" hidden="1">
      <c r="A59" t="s">
        <v>10</v>
      </c>
      <c r="B59">
        <f>COUNTIF(Master!L2:L94,"Clear")+COUNTIF(Master!L2:L94,"clear")+COUNTIF(Master!L2:L94,"CLEAR")</f>
        <v>162</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B296" sqref="B29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9</v>
      </c>
      <c r="O9" s="1" t="s">
        <v>57</v>
      </c>
    </row>
    <row r="10" spans="1:15" ht="15" customHeight="1">
      <c r="A10" s="170" t="s">
        <v>54</v>
      </c>
      <c r="B10" s="173">
        <v>104610123</v>
      </c>
      <c r="C10" s="173">
        <v>134609294</v>
      </c>
      <c r="E10" s="29" t="s">
        <v>55</v>
      </c>
      <c r="F10" s="3" t="s">
        <v>56</v>
      </c>
      <c r="G10" s="3" t="s">
        <v>29</v>
      </c>
      <c r="H10" s="55">
        <v>46126</v>
      </c>
      <c r="I10" s="55">
        <v>46129</v>
      </c>
      <c r="J10" s="55">
        <v>46156</v>
      </c>
      <c r="L10" s="3" t="s">
        <v>9</v>
      </c>
      <c r="O10" s="1" t="s">
        <v>57</v>
      </c>
    </row>
    <row r="11" spans="1:15" ht="15" customHeight="1">
      <c r="A11" s="170" t="s">
        <v>54</v>
      </c>
      <c r="B11" s="173">
        <v>104610138</v>
      </c>
      <c r="C11" s="173">
        <v>134609295</v>
      </c>
      <c r="E11" s="29" t="s">
        <v>55</v>
      </c>
      <c r="F11" s="3" t="s">
        <v>56</v>
      </c>
      <c r="G11" s="3" t="s">
        <v>29</v>
      </c>
      <c r="H11" s="55">
        <v>46126</v>
      </c>
      <c r="I11" s="55">
        <v>46129</v>
      </c>
      <c r="J11" s="55">
        <v>46156</v>
      </c>
      <c r="L11" s="3" t="s">
        <v>9</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9</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9</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9</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EB48F6D-EA2C-4D96-9FFB-9C56EBC610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