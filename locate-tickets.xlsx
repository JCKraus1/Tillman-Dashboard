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32" documentId="8_{7F841BAC-E3D2-4E4B-A3CA-97B4D46101DD}" xr6:coauthVersionLast="47" xr6:coauthVersionMax="47" xr10:uidLastSave="{6BC85951-7805-4E9B-994C-4AD00C0601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<sst xmlns="http://schemas.openxmlformats.org/spreadsheetml/2006/main" count="32207" uniqueCount="2104">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</sst>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134</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134</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134</v>
      </c>
      <c r="E3" s="248"/>
      <c r="F3" s="248"/>
      <c r="G3" s="240" cm="1">
        <f t="array" ref="G3">SUMPRODUCT((UPPER(Master!O2:O4409)="CLEAR")*1)</f>
        <v>511</v>
      </c>
      <c r="H3" s="240"/>
      <c r="I3" s="240"/>
      <c r="J3" s="243" cm="1">
        <f t="array" ref="J3">SUMPRODUCT((UPPER(Master!O2:O4409)="EXPIRED")*1)</f>
        <v>0</v>
      </c>
      <c r="K3" s="243"/>
      <c r="L3" s="243"/>
      <c r="O3" s="170"/>
      <c r="P3" s="169" t="s">
        <v>10</v>
      </c>
      <c r="Q3" s="169" cm="1">
        <f t="array" ref="Q3">SUMPRODUCT((UPPER(Master!O2:O4409)="CLEAR")*1)</f>
        <v>511</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1</v>
      </c>
      <c r="C36" s="108" cm="1">
        <f t="array" ref="C36">IF(A36="","",SUMPRODUCT((UPPER(Master!G2:G4409)=A36)*(UPPER(Master!O2:O4409)="CLEAR")))</f>
        <v>0</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134</v>
      </c>
      <c r="C39" s="91">
        <f>SUMIF(A24:A38,"&lt;&gt;",C24:C38)</f>
        <v>511</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134</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1801</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268</v>
      </c>
    </row>
    <row r="55" spans="1:2" hidden="1">
      <c r="A55" t="s">
        <v>10</v>
      </c>
      <c r="B55">
        <f>COUNTIF(Master!O2:O4409,"Clear")+COUNTIF(Master!O2:O4409,"clear")+COUNTIF(Master!O2:O4409,"CLEAR")</f>
        <v>1533</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C1" sqref="C1:F104857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hidden="1"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hidden="1"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hidden="1"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hidden="1"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hidden="1"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hidden="1"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hidden="1"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hidden="1"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hidden="1"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hidden="1"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hidden="1"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hidden="1"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hidden="1"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hidden="1"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hidden="1"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hidden="1"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hidden="1"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hidden="1"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hidden="1"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hidden="1"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hidden="1"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hidden="1"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hidden="1"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hidden="1"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hidden="1"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hidden="1"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hidden="1"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hidden="1"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hidden="1"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hidden="1"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hidden="1"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hidden="1"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hidden="1"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hidden="1"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hidden="1"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hidden="1"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hidden="1"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hidden="1"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hidden="1"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hidden="1"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hidden="1"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hidden="1"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hidden="1"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hidden="1"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hidden="1"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hidden="1"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hidden="1"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hidden="1"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hidden="1"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hidden="1"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hidden="1"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hidden="1"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hidden="1"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hidden="1"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hidden="1"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hidden="1"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hidden="1"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hidden="1"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hidden="1"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hidden="1"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hidden="1"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hidden="1"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hidden="1"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hidden="1"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hidden="1"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hidden="1"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hidden="1"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hidden="1"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hidden="1"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hidden="1"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hidden="1"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hidden="1"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hidden="1"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hidden="1"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hidden="1"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hidden="1"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hidden="1"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hidden="1"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hidden="1"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hidden="1"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hidden="1"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hidden="1"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hidden="1"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hidden="1"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hidden="1"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hidden="1"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hidden="1"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hidden="1"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hidden="1"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hidden="1"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hidden="1"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hidden="1"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hidden="1"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hidden="1"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hidden="1"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hidden="1"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hidden="1"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hidden="1"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hidden="1"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hidden="1"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hidden="1"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hidden="1"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hidden="1"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hidden="1"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hidden="1"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hidden="1"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hidden="1"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hidden="1"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hidden="1"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hidden="1"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hidden="1"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hidden="1"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hidden="1"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hidden="1"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hidden="1"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hidden="1"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hidden="1"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hidden="1"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hidden="1"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hidden="1"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hidden="1"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hidden="1"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hidden="1"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hidden="1"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hidden="1"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hidden="1"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hidden="1"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hidden="1"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hidden="1"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hidden="1"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hidden="1"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hidden="1"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hidden="1"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hidden="1"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hidden="1"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hidden="1"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hidden="1"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hidden="1"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hidden="1"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hidden="1"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hidden="1"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hidden="1"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hidden="1"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hidden="1"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hidden="1"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hidden="1"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hidden="1"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hidden="1"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hidden="1"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hidden="1"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hidden="1"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hidden="1"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hidden="1"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hidden="1"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hidden="1"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hidden="1"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hidden="1"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hidden="1"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hidden="1"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hidden="1"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hidden="1"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hidden="1"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hidden="1"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hidden="1"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hidden="1"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hidden="1"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hidden="1"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hidden="1"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hidden="1"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hidden="1"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hidden="1"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hidden="1"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hidden="1"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hidden="1"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hidden="1"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hidden="1"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hidden="1"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hidden="1"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hidden="1"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hidden="1"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hidden="1"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hidden="1"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hidden="1"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hidden="1"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hidden="1"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hidden="1"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hidden="1"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hidden="1"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hidden="1"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hidden="1"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hidden="1"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hidden="1"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hidden="1"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hidden="1"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hidden="1"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hidden="1"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hidden="1"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hidden="1"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hidden="1"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hidden="1"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hidden="1"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hidden="1"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hidden="1"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hidden="1"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hidden="1"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hidden="1"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hidden="1"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hidden="1"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hidden="1"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hidden="1"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hidden="1"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hidden="1"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hidden="1"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hidden="1"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hidden="1"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hidden="1"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hidden="1"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hidden="1"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hidden="1"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hidden="1"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hidden="1"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hidden="1"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hidden="1"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hidden="1"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hidden="1"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hidden="1"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hidden="1"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hidden="1"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hidden="1"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hidden="1"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hidden="1"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hidden="1"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hidden="1"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hidden="1"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hidden="1"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hidden="1"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hidden="1"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hidden="1"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hidden="1"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hidden="1"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hidden="1"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hidden="1"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hidden="1"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hidden="1"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hidden="1"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hidden="1"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hidden="1"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hidden="1"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hidden="1"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hidden="1"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hidden="1"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hidden="1"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hidden="1"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hidden="1"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hidden="1"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hidden="1"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hidden="1"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hidden="1"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hidden="1"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hidden="1"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hidden="1"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hidden="1"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hidden="1"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hidden="1"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hidden="1"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hidden="1"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hidden="1"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hidden="1"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hidden="1"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hidden="1"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hidden="1"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hidden="1"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hidden="1"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hidden="1"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hidden="1"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hidden="1"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hidden="1"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hidden="1"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hidden="1"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hidden="1"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hidden="1"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hidden="1"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hidden="1"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hidden="1"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hidden="1"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hidden="1"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hidden="1"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hidden="1"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hidden="1"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hidden="1"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hidden="1"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hidden="1"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hidden="1"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hidden="1"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hidden="1"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65</v>
      </c>
      <c r="H338" s="45" t="s">
        <v>30</v>
      </c>
      <c r="I338" s="55">
        <v>46223</v>
      </c>
      <c r="J338" s="55">
        <v>46226</v>
      </c>
      <c r="K338" s="55">
        <v>46254</v>
      </c>
      <c r="O338" s="3" t="s">
        <v>10</v>
      </c>
      <c r="P338" s="45"/>
      <c r="Q338" s="185"/>
      <c r="R338" s="186"/>
    </row>
    <row r="339" spans="1:18" ht="15" hidden="1" customHeight="1">
      <c r="A339" s="183" t="s">
        <v>184</v>
      </c>
      <c r="B339" s="183" t="s">
        <v>185</v>
      </c>
      <c r="C339" s="195">
        <v>201607447</v>
      </c>
      <c r="D339" s="168"/>
      <c r="E339" s="184"/>
      <c r="F339" s="29" t="s">
        <v>186</v>
      </c>
      <c r="G339" s="3" t="s">
        <v>65</v>
      </c>
      <c r="H339" s="45" t="s">
        <v>30</v>
      </c>
      <c r="I339" s="55">
        <v>46223</v>
      </c>
      <c r="J339" s="55">
        <v>46226</v>
      </c>
      <c r="K339" s="55">
        <v>46254</v>
      </c>
      <c r="O339" s="3" t="s">
        <v>10</v>
      </c>
      <c r="P339" s="45"/>
      <c r="Q339" s="185"/>
      <c r="R339" s="186"/>
    </row>
    <row r="340" spans="1:18" ht="15" hidden="1" customHeight="1">
      <c r="A340" s="183" t="s">
        <v>184</v>
      </c>
      <c r="B340" s="183" t="s">
        <v>185</v>
      </c>
      <c r="C340" s="195">
        <v>201607373</v>
      </c>
      <c r="D340" s="168"/>
      <c r="E340" s="184"/>
      <c r="F340" s="29" t="s">
        <v>187</v>
      </c>
      <c r="G340" s="3" t="s">
        <v>65</v>
      </c>
      <c r="H340" s="45" t="s">
        <v>30</v>
      </c>
      <c r="I340" s="55">
        <v>46223</v>
      </c>
      <c r="J340" s="55">
        <v>46226</v>
      </c>
      <c r="K340" s="55">
        <v>46254</v>
      </c>
      <c r="O340" s="3" t="s">
        <v>10</v>
      </c>
      <c r="P340" s="45"/>
      <c r="Q340" s="185"/>
      <c r="R340" s="186"/>
    </row>
    <row r="341" spans="1:18" ht="15" hidden="1" customHeight="1">
      <c r="A341" s="183" t="s">
        <v>184</v>
      </c>
      <c r="B341" s="183" t="s">
        <v>185</v>
      </c>
      <c r="C341" s="195">
        <v>201607333</v>
      </c>
      <c r="D341" s="168"/>
      <c r="E341" s="184"/>
      <c r="F341" s="29" t="s">
        <v>188</v>
      </c>
      <c r="G341" s="3" t="s">
        <v>65</v>
      </c>
      <c r="H341" s="45" t="s">
        <v>30</v>
      </c>
      <c r="I341" s="55">
        <v>46223</v>
      </c>
      <c r="J341" s="55">
        <v>46226</v>
      </c>
      <c r="K341" s="55">
        <v>46254</v>
      </c>
      <c r="O341" s="3" t="s">
        <v>10</v>
      </c>
      <c r="P341" s="45"/>
      <c r="Q341" s="185"/>
      <c r="R341" s="186"/>
    </row>
    <row r="342" spans="1:18" ht="15" hidden="1" customHeight="1">
      <c r="A342" s="183" t="s">
        <v>184</v>
      </c>
      <c r="B342" s="183" t="s">
        <v>185</v>
      </c>
      <c r="C342" s="195">
        <v>201607176</v>
      </c>
      <c r="D342" s="168"/>
      <c r="E342" s="184"/>
      <c r="F342" s="29" t="s">
        <v>189</v>
      </c>
      <c r="G342" s="3" t="s">
        <v>65</v>
      </c>
      <c r="H342" s="45" t="s">
        <v>30</v>
      </c>
      <c r="I342" s="55">
        <v>46223</v>
      </c>
      <c r="J342" s="55">
        <v>46226</v>
      </c>
      <c r="K342" s="55">
        <v>46254</v>
      </c>
      <c r="O342" s="3" t="s">
        <v>10</v>
      </c>
      <c r="P342" s="45"/>
      <c r="Q342" s="185"/>
      <c r="R342" s="186"/>
    </row>
    <row r="343" spans="1:18" ht="15" hidden="1" customHeight="1">
      <c r="A343" s="183" t="s">
        <v>184</v>
      </c>
      <c r="B343" s="183" t="s">
        <v>185</v>
      </c>
      <c r="C343" s="195">
        <v>201606856</v>
      </c>
      <c r="D343" s="168"/>
      <c r="E343" s="184"/>
      <c r="F343" s="29" t="s">
        <v>190</v>
      </c>
      <c r="G343" s="3" t="s">
        <v>65</v>
      </c>
      <c r="H343" s="45" t="s">
        <v>30</v>
      </c>
      <c r="I343" s="55">
        <v>46223</v>
      </c>
      <c r="J343" s="55">
        <v>46226</v>
      </c>
      <c r="K343" s="55">
        <v>46254</v>
      </c>
      <c r="O343" s="3" t="s">
        <v>10</v>
      </c>
      <c r="P343" s="45"/>
      <c r="Q343" s="185"/>
      <c r="R343" s="186"/>
    </row>
    <row r="344" spans="1:18" ht="15" hidden="1" customHeight="1">
      <c r="A344" s="183" t="s">
        <v>184</v>
      </c>
      <c r="B344" s="183" t="s">
        <v>185</v>
      </c>
      <c r="C344" s="195">
        <v>201606771</v>
      </c>
      <c r="D344" s="168"/>
      <c r="E344" s="184"/>
      <c r="F344" s="29" t="s">
        <v>191</v>
      </c>
      <c r="G344" s="3" t="s">
        <v>65</v>
      </c>
      <c r="H344" s="45" t="s">
        <v>30</v>
      </c>
      <c r="I344" s="55">
        <v>46223</v>
      </c>
      <c r="J344" s="55">
        <v>46226</v>
      </c>
      <c r="K344" s="55">
        <v>46254</v>
      </c>
      <c r="O344" s="3" t="s">
        <v>10</v>
      </c>
      <c r="P344" s="45"/>
      <c r="Q344" s="185"/>
      <c r="R344" s="186"/>
    </row>
    <row r="345" spans="1:18" ht="15" hidden="1" customHeight="1">
      <c r="A345" s="183" t="s">
        <v>184</v>
      </c>
      <c r="B345" s="183" t="s">
        <v>185</v>
      </c>
      <c r="C345" s="195">
        <v>201606620</v>
      </c>
      <c r="D345" s="168"/>
      <c r="E345" s="184"/>
      <c r="F345" s="29" t="s">
        <v>192</v>
      </c>
      <c r="G345" s="3" t="s">
        <v>65</v>
      </c>
      <c r="H345" s="45" t="s">
        <v>30</v>
      </c>
      <c r="I345" s="55">
        <v>46223</v>
      </c>
      <c r="J345" s="55">
        <v>46226</v>
      </c>
      <c r="K345" s="55">
        <v>46254</v>
      </c>
      <c r="O345" s="3" t="s">
        <v>10</v>
      </c>
      <c r="P345" s="45"/>
      <c r="Q345" s="185"/>
      <c r="R345" s="186"/>
    </row>
    <row r="346" spans="1:18" ht="15" hidden="1" customHeight="1">
      <c r="A346" s="183" t="s">
        <v>184</v>
      </c>
      <c r="B346" s="183" t="s">
        <v>185</v>
      </c>
      <c r="C346" s="195">
        <v>201606524</v>
      </c>
      <c r="D346" s="168"/>
      <c r="E346" s="184"/>
      <c r="F346" s="29" t="s">
        <v>193</v>
      </c>
      <c r="G346" s="3" t="s">
        <v>65</v>
      </c>
      <c r="H346" s="45" t="s">
        <v>30</v>
      </c>
      <c r="I346" s="55">
        <v>46223</v>
      </c>
      <c r="J346" s="55">
        <v>46226</v>
      </c>
      <c r="K346" s="55">
        <v>46254</v>
      </c>
      <c r="O346" s="3" t="s">
        <v>10</v>
      </c>
      <c r="P346" s="45"/>
      <c r="Q346" s="185"/>
      <c r="R346" s="186"/>
    </row>
    <row r="347" spans="1:18" ht="15" hidden="1" customHeight="1">
      <c r="A347" s="183" t="s">
        <v>184</v>
      </c>
      <c r="B347" s="183" t="s">
        <v>185</v>
      </c>
      <c r="C347" s="195">
        <v>201606296</v>
      </c>
      <c r="D347" s="168"/>
      <c r="E347" s="184"/>
      <c r="F347" s="29" t="s">
        <v>194</v>
      </c>
      <c r="G347" s="3" t="s">
        <v>65</v>
      </c>
      <c r="H347" s="45" t="s">
        <v>30</v>
      </c>
      <c r="I347" s="55">
        <v>46223</v>
      </c>
      <c r="J347" s="55">
        <v>46226</v>
      </c>
      <c r="K347" s="55">
        <v>46254</v>
      </c>
      <c r="O347" s="3" t="s">
        <v>10</v>
      </c>
      <c r="P347" s="45"/>
      <c r="Q347" s="185"/>
      <c r="R347" s="186"/>
    </row>
    <row r="348" spans="1:18" ht="15" hidden="1" customHeight="1">
      <c r="A348" s="183" t="s">
        <v>184</v>
      </c>
      <c r="B348" s="183" t="s">
        <v>185</v>
      </c>
      <c r="C348" s="195">
        <v>201606254</v>
      </c>
      <c r="D348" s="168"/>
      <c r="E348" s="184"/>
      <c r="F348" s="29" t="s">
        <v>195</v>
      </c>
      <c r="G348" s="3" t="s">
        <v>65</v>
      </c>
      <c r="H348" s="45" t="s">
        <v>30</v>
      </c>
      <c r="I348" s="55">
        <v>46223</v>
      </c>
      <c r="J348" s="55">
        <v>46226</v>
      </c>
      <c r="K348" s="55">
        <v>46254</v>
      </c>
      <c r="O348" s="3" t="s">
        <v>10</v>
      </c>
      <c r="P348" s="45"/>
      <c r="Q348" s="185"/>
      <c r="R348" s="186"/>
    </row>
    <row r="349" spans="1:18" ht="15" hidden="1" customHeight="1">
      <c r="A349" s="183" t="s">
        <v>184</v>
      </c>
      <c r="B349" s="183" t="s">
        <v>185</v>
      </c>
      <c r="C349" s="195">
        <v>201606165</v>
      </c>
      <c r="D349" s="168"/>
      <c r="E349" s="184"/>
      <c r="F349" s="29" t="s">
        <v>196</v>
      </c>
      <c r="G349" s="3" t="s">
        <v>65</v>
      </c>
      <c r="H349" s="45" t="s">
        <v>30</v>
      </c>
      <c r="I349" s="55">
        <v>46223</v>
      </c>
      <c r="J349" s="55">
        <v>46226</v>
      </c>
      <c r="K349" s="55">
        <v>46254</v>
      </c>
      <c r="O349" s="3" t="s">
        <v>10</v>
      </c>
      <c r="P349" s="45"/>
      <c r="Q349" s="185"/>
      <c r="R349" s="186"/>
    </row>
    <row r="350" spans="1:18" ht="15" hidden="1" customHeight="1">
      <c r="A350" s="183" t="s">
        <v>184</v>
      </c>
      <c r="B350" s="183" t="s">
        <v>185</v>
      </c>
      <c r="C350" s="195">
        <v>201606111</v>
      </c>
      <c r="D350" s="168"/>
      <c r="E350" s="184"/>
      <c r="F350" s="29" t="s">
        <v>197</v>
      </c>
      <c r="G350" s="3" t="s">
        <v>65</v>
      </c>
      <c r="H350" s="45" t="s">
        <v>30</v>
      </c>
      <c r="I350" s="55">
        <v>46223</v>
      </c>
      <c r="J350" s="55">
        <v>46226</v>
      </c>
      <c r="K350" s="55">
        <v>46254</v>
      </c>
      <c r="O350" s="3" t="s">
        <v>10</v>
      </c>
      <c r="P350" s="45"/>
      <c r="Q350" s="185"/>
      <c r="R350" s="186"/>
    </row>
    <row r="351" spans="1:18" ht="15" hidden="1" customHeight="1">
      <c r="A351" s="183" t="s">
        <v>198</v>
      </c>
      <c r="B351" s="183" t="s">
        <v>199</v>
      </c>
      <c r="C351" s="195">
        <v>204602747</v>
      </c>
      <c r="D351" s="235">
        <v>223603368</v>
      </c>
      <c r="E351" s="184"/>
      <c r="F351" s="235">
        <v>7275246235</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235">
        <v>223603352</v>
      </c>
      <c r="F352" s="235">
        <v>7275246235</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88</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96</v>
      </c>
      <c r="G354" s="3" t="s">
        <v>65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96</v>
      </c>
      <c r="G355" s="3" t="s">
        <v>65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96</v>
      </c>
      <c r="G356" s="3" t="s">
        <v>65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96</v>
      </c>
      <c r="G357" s="3" t="s">
        <v>65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96</v>
      </c>
      <c r="G358" s="3" t="s">
        <v>65</v>
      </c>
      <c r="H358" s="45" t="s">
        <v>30</v>
      </c>
      <c r="I358" s="55">
        <v>46227</v>
      </c>
      <c r="J358" s="55">
        <v>46230</v>
      </c>
      <c r="K358" s="55">
        <v>46258</v>
      </c>
      <c r="O358" s="3" t="s">
        <v>10</v>
      </c>
      <c r="R358" s="177"/>
    </row>
    <row r="359" spans="1:18" ht="15" hidden="1" customHeight="1">
      <c r="A359" s="183" t="s">
        <v>201</v>
      </c>
      <c r="B359" s="173" t="s">
        <v>202</v>
      </c>
      <c r="C359" s="195">
        <v>205600464</v>
      </c>
      <c r="D359" s="168"/>
      <c r="F359" s="29" t="s">
        <v>96</v>
      </c>
      <c r="G359" s="3" t="s">
        <v>65</v>
      </c>
      <c r="H359" s="45" t="s">
        <v>30</v>
      </c>
      <c r="I359" s="55">
        <v>46227</v>
      </c>
      <c r="J359" s="55">
        <v>46230</v>
      </c>
      <c r="K359" s="55">
        <v>46258</v>
      </c>
      <c r="O359" s="3" t="s">
        <v>10</v>
      </c>
      <c r="R359" s="177"/>
    </row>
    <row r="360" spans="1:18" ht="15" hidden="1" customHeight="1">
      <c r="A360" s="173" t="s">
        <v>203</v>
      </c>
      <c r="B360" s="173" t="s">
        <v>204</v>
      </c>
      <c r="C360" s="195">
        <v>203600145</v>
      </c>
      <c r="D360" s="168">
        <v>229601556</v>
      </c>
      <c r="F360" s="29" t="s">
        <v>138</v>
      </c>
      <c r="G360" s="3" t="s">
        <v>65</v>
      </c>
      <c r="H360" s="45" t="s">
        <v>30</v>
      </c>
      <c r="I360" s="55">
        <v>46251</v>
      </c>
      <c r="J360" s="55">
        <v>46254</v>
      </c>
      <c r="K360" s="55">
        <v>46282</v>
      </c>
      <c r="O360" s="3" t="s">
        <v>9</v>
      </c>
      <c r="R360" s="177" t="s">
        <v>205</v>
      </c>
    </row>
    <row r="361" spans="1:18" ht="15" hidden="1" customHeight="1">
      <c r="A361" s="173" t="s">
        <v>203</v>
      </c>
      <c r="B361" s="173" t="s">
        <v>204</v>
      </c>
      <c r="C361" s="195">
        <v>203600153</v>
      </c>
      <c r="D361" s="168">
        <v>229601586</v>
      </c>
      <c r="F361" s="29" t="s">
        <v>138</v>
      </c>
      <c r="G361" s="3" t="s">
        <v>65</v>
      </c>
      <c r="H361" s="45" t="s">
        <v>30</v>
      </c>
      <c r="I361" s="55">
        <v>46251</v>
      </c>
      <c r="J361" s="55">
        <v>46254</v>
      </c>
      <c r="K361" s="55">
        <v>46282</v>
      </c>
      <c r="O361" s="3" t="s">
        <v>9</v>
      </c>
      <c r="R361" s="177"/>
    </row>
    <row r="362" spans="1:18" ht="15" hidden="1" customHeight="1">
      <c r="A362" s="173" t="s">
        <v>203</v>
      </c>
      <c r="B362" s="173" t="s">
        <v>204</v>
      </c>
      <c r="C362" s="195">
        <v>203600157</v>
      </c>
      <c r="D362" s="168">
        <v>229601597</v>
      </c>
      <c r="F362" s="29" t="s">
        <v>138</v>
      </c>
      <c r="G362" s="3" t="s">
        <v>65</v>
      </c>
      <c r="H362" s="45" t="s">
        <v>30</v>
      </c>
      <c r="I362" s="55">
        <v>46251</v>
      </c>
      <c r="J362" s="55">
        <v>46254</v>
      </c>
      <c r="K362" s="55">
        <v>46282</v>
      </c>
      <c r="O362" s="3" t="s">
        <v>9</v>
      </c>
      <c r="R362" s="177"/>
    </row>
    <row r="363" spans="1:18" ht="15" hidden="1" customHeight="1">
      <c r="A363" s="173" t="s">
        <v>203</v>
      </c>
      <c r="B363" s="173" t="s">
        <v>204</v>
      </c>
      <c r="C363" s="195">
        <v>203600162</v>
      </c>
      <c r="D363" s="168">
        <v>229601564</v>
      </c>
      <c r="F363" s="29" t="s">
        <v>138</v>
      </c>
      <c r="G363" s="3" t="s">
        <v>65</v>
      </c>
      <c r="H363" s="45" t="s">
        <v>30</v>
      </c>
      <c r="I363" s="55">
        <v>46251</v>
      </c>
      <c r="J363" s="55">
        <v>46254</v>
      </c>
      <c r="K363" s="55">
        <v>46282</v>
      </c>
      <c r="O363" s="3" t="s">
        <v>9</v>
      </c>
      <c r="R363" s="177"/>
    </row>
    <row r="364" spans="1:18" ht="15" hidden="1" customHeight="1">
      <c r="A364" s="173" t="s">
        <v>203</v>
      </c>
      <c r="B364" s="173" t="s">
        <v>204</v>
      </c>
      <c r="C364" s="195">
        <v>203600168</v>
      </c>
      <c r="D364" s="168">
        <v>229601573</v>
      </c>
      <c r="F364" s="29" t="s">
        <v>138</v>
      </c>
      <c r="G364" s="3" t="s">
        <v>65</v>
      </c>
      <c r="H364" s="45" t="s">
        <v>30</v>
      </c>
      <c r="I364" s="55">
        <v>46251</v>
      </c>
      <c r="J364" s="55">
        <v>46254</v>
      </c>
      <c r="K364" s="55">
        <v>46282</v>
      </c>
      <c r="O364" s="3" t="s">
        <v>9</v>
      </c>
      <c r="R364" s="177"/>
    </row>
    <row r="365" spans="1:18" ht="15" hidden="1" customHeight="1">
      <c r="A365" s="173" t="s">
        <v>203</v>
      </c>
      <c r="B365" s="173" t="s">
        <v>204</v>
      </c>
      <c r="C365" s="195">
        <v>203600174</v>
      </c>
      <c r="D365" s="168">
        <v>229601604</v>
      </c>
      <c r="F365" s="29" t="s">
        <v>138</v>
      </c>
      <c r="G365" s="3" t="s">
        <v>65</v>
      </c>
      <c r="H365" s="45" t="s">
        <v>30</v>
      </c>
      <c r="I365" s="55">
        <v>46251</v>
      </c>
      <c r="J365" s="55">
        <v>46254</v>
      </c>
      <c r="K365" s="55">
        <v>46282</v>
      </c>
      <c r="O365" s="3" t="s">
        <v>9</v>
      </c>
      <c r="R365" s="177"/>
    </row>
    <row r="366" spans="1:18" ht="15" hidden="1" customHeight="1">
      <c r="A366" s="173" t="s">
        <v>203</v>
      </c>
      <c r="B366" s="173" t="s">
        <v>204</v>
      </c>
      <c r="C366" s="195">
        <v>203600178</v>
      </c>
      <c r="D366" s="168">
        <v>229601536</v>
      </c>
      <c r="F366" s="29" t="s">
        <v>138</v>
      </c>
      <c r="G366" s="3" t="s">
        <v>65</v>
      </c>
      <c r="H366" s="45" t="s">
        <v>30</v>
      </c>
      <c r="I366" s="55">
        <v>46251</v>
      </c>
      <c r="J366" s="55">
        <v>46254</v>
      </c>
      <c r="K366" s="55">
        <v>46282</v>
      </c>
      <c r="O366" s="3" t="s">
        <v>9</v>
      </c>
      <c r="R366" s="177" t="s">
        <v>206</v>
      </c>
    </row>
    <row r="367" spans="1:18" ht="15" hidden="1" customHeight="1">
      <c r="A367" s="173" t="s">
        <v>207</v>
      </c>
      <c r="B367" s="173"/>
      <c r="C367" s="195">
        <v>208600960</v>
      </c>
      <c r="D367" s="168"/>
      <c r="F367" s="29" t="s">
        <v>96</v>
      </c>
      <c r="G367" s="3" t="s">
        <v>65</v>
      </c>
      <c r="H367" s="45" t="s">
        <v>30</v>
      </c>
      <c r="I367" s="55">
        <v>46230</v>
      </c>
      <c r="J367" s="55">
        <v>46233</v>
      </c>
      <c r="K367" s="55">
        <v>46261</v>
      </c>
      <c r="O367" s="3" t="s">
        <v>10</v>
      </c>
      <c r="R367" s="177"/>
    </row>
    <row r="368" spans="1:18" ht="15" hidden="1" customHeight="1">
      <c r="A368" s="173" t="s">
        <v>207</v>
      </c>
      <c r="B368" s="173"/>
      <c r="C368" s="195">
        <v>208600922</v>
      </c>
      <c r="D368" s="168"/>
      <c r="F368" s="29" t="s">
        <v>96</v>
      </c>
      <c r="G368" s="3" t="s">
        <v>65</v>
      </c>
      <c r="H368" s="45" t="s">
        <v>30</v>
      </c>
      <c r="I368" s="55">
        <v>46230</v>
      </c>
      <c r="J368" s="55">
        <v>46233</v>
      </c>
      <c r="K368" s="55">
        <v>46261</v>
      </c>
      <c r="O368" s="3" t="s">
        <v>10</v>
      </c>
      <c r="R368" s="177"/>
    </row>
    <row r="369" spans="1:18" ht="15" hidden="1" customHeight="1">
      <c r="A369" s="173" t="s">
        <v>207</v>
      </c>
      <c r="B369" s="173"/>
      <c r="C369" s="195">
        <v>208600886</v>
      </c>
      <c r="D369" s="168"/>
      <c r="F369" s="29" t="s">
        <v>96</v>
      </c>
      <c r="G369" s="3" t="s">
        <v>65</v>
      </c>
      <c r="H369" s="45" t="s">
        <v>30</v>
      </c>
      <c r="I369" s="55">
        <v>46230</v>
      </c>
      <c r="J369" s="55">
        <v>46233</v>
      </c>
      <c r="K369" s="55">
        <v>46261</v>
      </c>
      <c r="O369" s="3" t="s">
        <v>10</v>
      </c>
      <c r="R369" s="177"/>
    </row>
    <row r="370" spans="1:18" ht="15" hidden="1" customHeight="1">
      <c r="A370" s="173" t="s">
        <v>207</v>
      </c>
      <c r="B370" s="173"/>
      <c r="C370" s="195">
        <v>208600860</v>
      </c>
      <c r="D370" s="168"/>
      <c r="F370" s="29" t="s">
        <v>96</v>
      </c>
      <c r="G370" s="3" t="s">
        <v>65</v>
      </c>
      <c r="H370" s="45" t="s">
        <v>30</v>
      </c>
      <c r="I370" s="55">
        <v>46230</v>
      </c>
      <c r="J370" s="55">
        <v>46233</v>
      </c>
      <c r="K370" s="55">
        <v>46261</v>
      </c>
      <c r="O370" s="3" t="s">
        <v>10</v>
      </c>
      <c r="R370" s="177"/>
    </row>
    <row r="371" spans="1:18" ht="15" hidden="1" customHeight="1">
      <c r="A371" s="173" t="s">
        <v>207</v>
      </c>
      <c r="B371" s="173"/>
      <c r="C371" s="195">
        <v>208600838</v>
      </c>
      <c r="D371" s="168"/>
      <c r="F371" s="29" t="s">
        <v>96</v>
      </c>
      <c r="G371" s="3" t="s">
        <v>65</v>
      </c>
      <c r="H371" s="45" t="s">
        <v>30</v>
      </c>
      <c r="I371" s="55">
        <v>46230</v>
      </c>
      <c r="J371" s="55">
        <v>46233</v>
      </c>
      <c r="K371" s="55">
        <v>46261</v>
      </c>
      <c r="O371" s="3" t="s">
        <v>10</v>
      </c>
      <c r="R371" s="177"/>
    </row>
    <row r="372" spans="1:18" ht="15" hidden="1" customHeight="1">
      <c r="A372" s="173" t="s">
        <v>207</v>
      </c>
      <c r="B372" s="173"/>
      <c r="C372" s="195">
        <v>208600814</v>
      </c>
      <c r="D372" s="168"/>
      <c r="F372" s="29" t="s">
        <v>96</v>
      </c>
      <c r="G372" s="3" t="s">
        <v>65</v>
      </c>
      <c r="H372" s="45" t="s">
        <v>30</v>
      </c>
      <c r="I372" s="55">
        <v>46230</v>
      </c>
      <c r="J372" s="55">
        <v>46233</v>
      </c>
      <c r="K372" s="55">
        <v>46261</v>
      </c>
      <c r="O372" s="3" t="s">
        <v>10</v>
      </c>
      <c r="R372" s="177"/>
    </row>
    <row r="373" spans="1:18" ht="15" hidden="1" customHeight="1">
      <c r="A373" s="173" t="s">
        <v>207</v>
      </c>
      <c r="B373" s="173"/>
      <c r="C373" s="195">
        <v>208600799</v>
      </c>
      <c r="D373" s="168"/>
      <c r="F373" s="29" t="s">
        <v>96</v>
      </c>
      <c r="G373" s="3" t="s">
        <v>65</v>
      </c>
      <c r="H373" s="45" t="s">
        <v>30</v>
      </c>
      <c r="I373" s="55">
        <v>46230</v>
      </c>
      <c r="J373" s="55">
        <v>46233</v>
      </c>
      <c r="K373" s="55">
        <v>46261</v>
      </c>
      <c r="O373" s="3" t="s">
        <v>10</v>
      </c>
      <c r="R373" s="177"/>
    </row>
    <row r="374" spans="1:18" ht="15" hidden="1" customHeight="1">
      <c r="A374" s="173" t="s">
        <v>208</v>
      </c>
      <c r="B374" s="173"/>
      <c r="C374" s="195">
        <v>209601074</v>
      </c>
      <c r="D374" s="168"/>
      <c r="F374" s="29" t="s">
        <v>88</v>
      </c>
      <c r="G374" s="3" t="s">
        <v>116</v>
      </c>
      <c r="H374" s="3" t="s">
        <v>30</v>
      </c>
      <c r="I374" s="55">
        <v>46231</v>
      </c>
      <c r="J374" s="55">
        <v>46234</v>
      </c>
      <c r="K374" s="55">
        <v>46262</v>
      </c>
      <c r="O374" s="3" t="s">
        <v>10</v>
      </c>
      <c r="R374" s="177"/>
    </row>
    <row r="375" spans="1:18" ht="15" hidden="1" customHeight="1">
      <c r="A375" s="173" t="s">
        <v>209</v>
      </c>
      <c r="B375" s="173" t="s">
        <v>210</v>
      </c>
      <c r="C375" s="195">
        <v>197609000</v>
      </c>
      <c r="D375" s="168"/>
      <c r="F375" s="29" t="s">
        <v>165</v>
      </c>
      <c r="G375" s="3" t="s">
        <v>116</v>
      </c>
      <c r="H375" s="3" t="s">
        <v>30</v>
      </c>
      <c r="I375" s="55">
        <v>46219</v>
      </c>
      <c r="J375" s="55">
        <v>46223</v>
      </c>
      <c r="K375" s="55">
        <v>46251</v>
      </c>
      <c r="O375" s="3" t="s">
        <v>10</v>
      </c>
      <c r="R375" s="177"/>
    </row>
    <row r="376" spans="1:18" ht="15" hidden="1" customHeight="1">
      <c r="A376" s="173" t="s">
        <v>209</v>
      </c>
      <c r="B376" s="173" t="s">
        <v>210</v>
      </c>
      <c r="C376" s="195">
        <v>197608963</v>
      </c>
      <c r="D376" s="168"/>
      <c r="F376" s="29" t="s">
        <v>165</v>
      </c>
      <c r="G376" s="3" t="s">
        <v>116</v>
      </c>
      <c r="H376" s="3" t="s">
        <v>30</v>
      </c>
      <c r="I376" s="55">
        <v>46219</v>
      </c>
      <c r="J376" s="55">
        <v>46223</v>
      </c>
      <c r="K376" s="55">
        <v>46251</v>
      </c>
      <c r="O376" s="3" t="s">
        <v>10</v>
      </c>
      <c r="R376" s="177"/>
    </row>
    <row r="377" spans="1:18" ht="15" hidden="1" customHeight="1">
      <c r="A377" s="173" t="s">
        <v>209</v>
      </c>
      <c r="B377" s="173" t="s">
        <v>210</v>
      </c>
      <c r="C377" s="195">
        <v>197608959</v>
      </c>
      <c r="D377" s="168"/>
      <c r="F377" s="29" t="s">
        <v>165</v>
      </c>
      <c r="G377" s="3" t="s">
        <v>116</v>
      </c>
      <c r="H377" s="3" t="s">
        <v>30</v>
      </c>
      <c r="I377" s="55">
        <v>46219</v>
      </c>
      <c r="J377" s="55">
        <v>46223</v>
      </c>
      <c r="K377" s="55">
        <v>46251</v>
      </c>
      <c r="O377" s="3" t="s">
        <v>10</v>
      </c>
      <c r="R377" s="177"/>
    </row>
    <row r="378" spans="1:18" ht="15" hidden="1" customHeight="1">
      <c r="A378" s="173" t="s">
        <v>211</v>
      </c>
      <c r="B378" s="173" t="s">
        <v>212</v>
      </c>
      <c r="C378" s="195">
        <v>197606934</v>
      </c>
      <c r="D378" s="168"/>
      <c r="F378" s="29" t="s">
        <v>165</v>
      </c>
      <c r="G378" s="3" t="s">
        <v>116</v>
      </c>
      <c r="H378" s="3" t="s">
        <v>30</v>
      </c>
      <c r="I378" s="55">
        <v>46219</v>
      </c>
      <c r="J378" s="55">
        <v>46223</v>
      </c>
      <c r="K378" s="55">
        <v>46251</v>
      </c>
      <c r="O378" s="3" t="s">
        <v>10</v>
      </c>
      <c r="R378" s="177"/>
    </row>
    <row r="379" spans="1:18" ht="15" hidden="1" customHeight="1">
      <c r="A379" s="173" t="s">
        <v>211</v>
      </c>
      <c r="B379" s="173" t="s">
        <v>212</v>
      </c>
      <c r="C379" s="195">
        <v>197607145</v>
      </c>
      <c r="D379" s="168"/>
      <c r="F379" s="29" t="s">
        <v>165</v>
      </c>
      <c r="G379" s="3" t="s">
        <v>116</v>
      </c>
      <c r="H379" s="3" t="s">
        <v>30</v>
      </c>
      <c r="I379" s="55">
        <v>46219</v>
      </c>
      <c r="J379" s="55">
        <v>46223</v>
      </c>
      <c r="K379" s="55">
        <v>46251</v>
      </c>
      <c r="O379" s="3" t="s">
        <v>10</v>
      </c>
      <c r="R379" s="177"/>
    </row>
    <row r="380" spans="1:18" ht="15" hidden="1" customHeight="1">
      <c r="A380" s="173" t="s">
        <v>211</v>
      </c>
      <c r="B380" s="173" t="s">
        <v>212</v>
      </c>
      <c r="C380" s="195">
        <v>197608159</v>
      </c>
      <c r="D380" s="168"/>
      <c r="F380" s="29" t="s">
        <v>165</v>
      </c>
      <c r="G380" s="3" t="s">
        <v>116</v>
      </c>
      <c r="H380" s="3" t="s">
        <v>30</v>
      </c>
      <c r="I380" s="55">
        <v>46219</v>
      </c>
      <c r="J380" s="55">
        <v>46223</v>
      </c>
      <c r="K380" s="55">
        <v>46251</v>
      </c>
      <c r="O380" s="3" t="s">
        <v>10</v>
      </c>
      <c r="R380" s="177"/>
    </row>
    <row r="381" spans="1:18" ht="15" hidden="1" customHeight="1">
      <c r="A381" s="173" t="s">
        <v>211</v>
      </c>
      <c r="B381" s="173" t="s">
        <v>212</v>
      </c>
      <c r="C381" s="195">
        <v>197608943</v>
      </c>
      <c r="D381" s="168"/>
      <c r="F381" s="29" t="s">
        <v>165</v>
      </c>
      <c r="G381" s="3" t="s">
        <v>116</v>
      </c>
      <c r="H381" s="3" t="s">
        <v>30</v>
      </c>
      <c r="I381" s="55">
        <v>46219</v>
      </c>
      <c r="J381" s="55">
        <v>46223</v>
      </c>
      <c r="K381" s="55">
        <v>46251</v>
      </c>
      <c r="O381" s="3" t="s">
        <v>10</v>
      </c>
      <c r="R381" s="177"/>
    </row>
    <row r="382" spans="1:18" ht="15" hidden="1" customHeight="1">
      <c r="A382" s="173" t="s">
        <v>213</v>
      </c>
      <c r="B382" s="173"/>
      <c r="C382" s="195">
        <v>197606132</v>
      </c>
      <c r="D382" s="168"/>
      <c r="F382" s="29" t="s">
        <v>165</v>
      </c>
      <c r="G382" s="3" t="s">
        <v>116</v>
      </c>
      <c r="H382" s="3" t="s">
        <v>30</v>
      </c>
      <c r="I382" s="55">
        <v>46219</v>
      </c>
      <c r="J382" s="55">
        <v>46223</v>
      </c>
      <c r="K382" s="55">
        <v>46251</v>
      </c>
      <c r="L382" s="55">
        <v>46224</v>
      </c>
      <c r="O382" s="3" t="s">
        <v>9</v>
      </c>
      <c r="R382" s="177"/>
    </row>
    <row r="383" spans="1:18" ht="15" hidden="1" customHeight="1">
      <c r="A383" s="173" t="s">
        <v>213</v>
      </c>
      <c r="B383" s="173"/>
      <c r="C383" s="195">
        <v>197606319</v>
      </c>
      <c r="D383" s="168"/>
      <c r="F383" s="29" t="s">
        <v>165</v>
      </c>
      <c r="G383" s="3" t="s">
        <v>116</v>
      </c>
      <c r="H383" s="3" t="s">
        <v>30</v>
      </c>
      <c r="I383" s="55">
        <v>46219</v>
      </c>
      <c r="J383" s="55">
        <v>46223</v>
      </c>
      <c r="K383" s="55">
        <v>46251</v>
      </c>
      <c r="L383" s="55">
        <v>46224</v>
      </c>
      <c r="O383" s="3" t="s">
        <v>9</v>
      </c>
      <c r="R383" s="177"/>
    </row>
    <row r="384" spans="1:18" ht="15" hidden="1" customHeight="1">
      <c r="A384" s="173" t="s">
        <v>213</v>
      </c>
      <c r="B384" s="173"/>
      <c r="C384" s="195">
        <v>197606349</v>
      </c>
      <c r="D384" s="168"/>
      <c r="F384" s="29" t="s">
        <v>165</v>
      </c>
      <c r="G384" s="3" t="s">
        <v>116</v>
      </c>
      <c r="H384" s="3" t="s">
        <v>30</v>
      </c>
      <c r="I384" s="55">
        <v>46219</v>
      </c>
      <c r="J384" s="55">
        <v>46223</v>
      </c>
      <c r="K384" s="55">
        <v>46251</v>
      </c>
      <c r="L384" s="55">
        <v>46224</v>
      </c>
      <c r="O384" s="3" t="s">
        <v>9</v>
      </c>
      <c r="R384" s="177"/>
    </row>
    <row r="385" spans="1:18" ht="15" hidden="1" customHeight="1">
      <c r="A385" s="173" t="s">
        <v>214</v>
      </c>
      <c r="B385" s="173"/>
      <c r="C385" s="195">
        <v>210601640</v>
      </c>
      <c r="D385" s="168"/>
      <c r="F385" s="29" t="s">
        <v>88</v>
      </c>
      <c r="G385" s="3" t="s">
        <v>200</v>
      </c>
      <c r="H385" s="3" t="s">
        <v>30</v>
      </c>
      <c r="I385" s="55">
        <v>46232</v>
      </c>
      <c r="J385" s="55">
        <v>46235</v>
      </c>
      <c r="K385" s="55">
        <v>46263</v>
      </c>
      <c r="O385" s="3" t="s">
        <v>9</v>
      </c>
      <c r="R385" s="177"/>
    </row>
    <row r="386" spans="1:18" ht="15" hidden="1" customHeight="1">
      <c r="A386" s="173" t="s">
        <v>215</v>
      </c>
      <c r="B386" s="173">
        <v>20260326</v>
      </c>
      <c r="C386" s="195">
        <v>193600653</v>
      </c>
      <c r="D386" s="168"/>
      <c r="F386" s="29" t="s">
        <v>122</v>
      </c>
      <c r="G386" s="3" t="s">
        <v>16</v>
      </c>
      <c r="H386" s="3" t="s">
        <v>216</v>
      </c>
      <c r="I386" s="55">
        <v>46217</v>
      </c>
      <c r="J386" s="55">
        <v>46220</v>
      </c>
      <c r="K386" s="55">
        <v>46248</v>
      </c>
      <c r="O386" s="3" t="s">
        <v>10</v>
      </c>
      <c r="P386" s="55">
        <v>46227</v>
      </c>
      <c r="R386" s="177"/>
    </row>
    <row r="387" spans="1:18" ht="15" hidden="1" customHeight="1">
      <c r="A387" s="173" t="s">
        <v>215</v>
      </c>
      <c r="B387" s="173">
        <v>20260326</v>
      </c>
      <c r="C387" s="195">
        <v>193600656</v>
      </c>
      <c r="D387" s="168"/>
      <c r="F387" s="29" t="s">
        <v>122</v>
      </c>
      <c r="G387" s="3" t="s">
        <v>16</v>
      </c>
      <c r="H387" s="3" t="s">
        <v>216</v>
      </c>
      <c r="I387" s="55">
        <v>46217</v>
      </c>
      <c r="J387" s="55">
        <v>46220</v>
      </c>
      <c r="K387" s="55">
        <v>46248</v>
      </c>
      <c r="O387" s="3" t="s">
        <v>10</v>
      </c>
      <c r="P387" s="55">
        <v>46227</v>
      </c>
      <c r="R387" s="177"/>
    </row>
    <row r="388" spans="1:18" ht="15" hidden="1" customHeight="1">
      <c r="A388" s="173" t="s">
        <v>215</v>
      </c>
      <c r="B388" s="173">
        <v>20260326</v>
      </c>
      <c r="C388" s="195">
        <v>193600661</v>
      </c>
      <c r="D388" s="168"/>
      <c r="F388" s="29" t="s">
        <v>122</v>
      </c>
      <c r="G388" s="3" t="s">
        <v>16</v>
      </c>
      <c r="H388" s="3" t="s">
        <v>216</v>
      </c>
      <c r="I388" s="55">
        <v>46217</v>
      </c>
      <c r="J388" s="55">
        <v>46220</v>
      </c>
      <c r="K388" s="55">
        <v>46248</v>
      </c>
      <c r="O388" s="3" t="s">
        <v>10</v>
      </c>
      <c r="P388" s="55">
        <v>46227</v>
      </c>
      <c r="R388" s="177"/>
    </row>
    <row r="389" spans="1:18" ht="15" hidden="1" customHeight="1">
      <c r="A389" s="173" t="s">
        <v>215</v>
      </c>
      <c r="B389" s="173">
        <v>20260326</v>
      </c>
      <c r="C389" s="195">
        <v>193600663</v>
      </c>
      <c r="D389" s="168"/>
      <c r="F389" s="29" t="s">
        <v>122</v>
      </c>
      <c r="G389" s="3" t="s">
        <v>16</v>
      </c>
      <c r="H389" s="3" t="s">
        <v>216</v>
      </c>
      <c r="I389" s="55">
        <v>46217</v>
      </c>
      <c r="J389" s="55">
        <v>46220</v>
      </c>
      <c r="K389" s="55">
        <v>46248</v>
      </c>
      <c r="O389" s="3" t="s">
        <v>10</v>
      </c>
      <c r="P389" s="55">
        <v>46227</v>
      </c>
      <c r="R389" s="177"/>
    </row>
    <row r="390" spans="1:18" ht="15" hidden="1" customHeight="1">
      <c r="A390" s="173" t="s">
        <v>215</v>
      </c>
      <c r="B390" s="173">
        <v>20260326</v>
      </c>
      <c r="C390" s="195">
        <v>193600674</v>
      </c>
      <c r="D390" s="168"/>
      <c r="F390" s="29" t="s">
        <v>122</v>
      </c>
      <c r="G390" s="3" t="s">
        <v>16</v>
      </c>
      <c r="H390" s="3" t="s">
        <v>216</v>
      </c>
      <c r="I390" s="55">
        <v>46217</v>
      </c>
      <c r="J390" s="55">
        <v>46220</v>
      </c>
      <c r="K390" s="55">
        <v>46248</v>
      </c>
      <c r="O390" s="3" t="s">
        <v>10</v>
      </c>
      <c r="P390" s="55">
        <v>46227</v>
      </c>
      <c r="R390" s="177"/>
    </row>
    <row r="391" spans="1:18" ht="15" hidden="1" customHeight="1">
      <c r="A391" s="173" t="s">
        <v>215</v>
      </c>
      <c r="B391" s="173">
        <v>20260326</v>
      </c>
      <c r="C391" s="195">
        <v>193600685</v>
      </c>
      <c r="D391" s="168"/>
      <c r="F391" s="29" t="s">
        <v>122</v>
      </c>
      <c r="G391" s="3" t="s">
        <v>16</v>
      </c>
      <c r="H391" s="3" t="s">
        <v>216</v>
      </c>
      <c r="I391" s="55">
        <v>46217</v>
      </c>
      <c r="J391" s="55">
        <v>46220</v>
      </c>
      <c r="K391" s="55">
        <v>46248</v>
      </c>
      <c r="O391" s="3" t="s">
        <v>10</v>
      </c>
      <c r="P391" s="55">
        <v>46227</v>
      </c>
      <c r="R391" s="177"/>
    </row>
    <row r="392" spans="1:18" ht="15" hidden="1" customHeight="1">
      <c r="A392" s="173" t="s">
        <v>215</v>
      </c>
      <c r="B392" s="173">
        <v>20260326</v>
      </c>
      <c r="C392" s="195">
        <v>193600689</v>
      </c>
      <c r="D392" s="168"/>
      <c r="F392" s="29" t="s">
        <v>122</v>
      </c>
      <c r="G392" s="3" t="s">
        <v>16</v>
      </c>
      <c r="H392" s="3" t="s">
        <v>216</v>
      </c>
      <c r="I392" s="55">
        <v>46217</v>
      </c>
      <c r="J392" s="55">
        <v>46220</v>
      </c>
      <c r="K392" s="55">
        <v>46248</v>
      </c>
      <c r="O392" s="3" t="s">
        <v>10</v>
      </c>
      <c r="P392" s="55">
        <v>46227</v>
      </c>
      <c r="R392" s="177"/>
    </row>
    <row r="393" spans="1:18" ht="15" hidden="1" customHeight="1">
      <c r="A393" s="173" t="s">
        <v>215</v>
      </c>
      <c r="B393" s="173">
        <v>20260326</v>
      </c>
      <c r="C393" s="195">
        <v>193600692</v>
      </c>
      <c r="D393" s="168"/>
      <c r="F393" s="29" t="s">
        <v>122</v>
      </c>
      <c r="G393" s="3" t="s">
        <v>16</v>
      </c>
      <c r="H393" s="3" t="s">
        <v>216</v>
      </c>
      <c r="I393" s="55">
        <v>46217</v>
      </c>
      <c r="J393" s="55">
        <v>46220</v>
      </c>
      <c r="K393" s="55">
        <v>46248</v>
      </c>
      <c r="O393" s="3" t="s">
        <v>10</v>
      </c>
      <c r="P393" s="55">
        <v>46227</v>
      </c>
      <c r="R393" s="177"/>
    </row>
    <row r="394" spans="1:18" ht="15" hidden="1" customHeight="1">
      <c r="A394" s="173" t="s">
        <v>217</v>
      </c>
      <c r="B394" s="173">
        <v>20260326</v>
      </c>
      <c r="C394" s="195">
        <v>194610581</v>
      </c>
      <c r="D394" s="168"/>
      <c r="F394" s="29" t="s">
        <v>122</v>
      </c>
      <c r="G394" s="3" t="s">
        <v>16</v>
      </c>
      <c r="H394" s="3" t="s">
        <v>216</v>
      </c>
      <c r="I394" s="55">
        <v>46217</v>
      </c>
      <c r="J394" s="55">
        <v>46220</v>
      </c>
      <c r="K394" s="55">
        <v>46248</v>
      </c>
      <c r="O394" s="3" t="s">
        <v>10</v>
      </c>
      <c r="P394" s="55">
        <v>46227</v>
      </c>
      <c r="R394" s="177"/>
    </row>
    <row r="395" spans="1:18" ht="15" hidden="1" customHeight="1">
      <c r="A395" s="173" t="s">
        <v>217</v>
      </c>
      <c r="B395" s="173">
        <v>20260326</v>
      </c>
      <c r="C395" s="195">
        <v>194610593</v>
      </c>
      <c r="D395" s="168"/>
      <c r="F395" s="29" t="s">
        <v>122</v>
      </c>
      <c r="G395" s="3" t="s">
        <v>16</v>
      </c>
      <c r="H395" s="3" t="s">
        <v>216</v>
      </c>
      <c r="I395" s="55">
        <v>46217</v>
      </c>
      <c r="J395" s="55">
        <v>46220</v>
      </c>
      <c r="K395" s="55">
        <v>46248</v>
      </c>
      <c r="O395" s="3" t="s">
        <v>10</v>
      </c>
      <c r="P395" s="55">
        <v>46227</v>
      </c>
      <c r="R395" s="177"/>
    </row>
    <row r="396" spans="1:18" ht="15" hidden="1" customHeight="1">
      <c r="A396" s="173" t="s">
        <v>217</v>
      </c>
      <c r="B396" s="173">
        <v>20260326</v>
      </c>
      <c r="C396" s="195">
        <v>194610600</v>
      </c>
      <c r="D396" s="168"/>
      <c r="F396" s="29" t="s">
        <v>122</v>
      </c>
      <c r="G396" s="3" t="s">
        <v>16</v>
      </c>
      <c r="H396" s="3" t="s">
        <v>216</v>
      </c>
      <c r="I396" s="55">
        <v>46217</v>
      </c>
      <c r="J396" s="55">
        <v>46220</v>
      </c>
      <c r="K396" s="55">
        <v>46248</v>
      </c>
      <c r="O396" s="3" t="s">
        <v>10</v>
      </c>
      <c r="P396" s="55">
        <v>46227</v>
      </c>
      <c r="R396" s="177"/>
    </row>
    <row r="397" spans="1:18" ht="15" hidden="1" customHeight="1">
      <c r="A397" s="173" t="s">
        <v>217</v>
      </c>
      <c r="B397" s="173">
        <v>20260326</v>
      </c>
      <c r="C397" s="195">
        <v>194610607</v>
      </c>
      <c r="D397" s="168"/>
      <c r="F397" s="29" t="s">
        <v>122</v>
      </c>
      <c r="G397" s="3" t="s">
        <v>16</v>
      </c>
      <c r="H397" s="3" t="s">
        <v>216</v>
      </c>
      <c r="I397" s="55">
        <v>46217</v>
      </c>
      <c r="J397" s="55">
        <v>46220</v>
      </c>
      <c r="K397" s="55">
        <v>46248</v>
      </c>
      <c r="O397" s="3" t="s">
        <v>10</v>
      </c>
      <c r="P397" s="55">
        <v>46227</v>
      </c>
      <c r="R397" s="177"/>
    </row>
    <row r="398" spans="1:18" ht="15" hidden="1" customHeight="1">
      <c r="A398" s="173" t="s">
        <v>217</v>
      </c>
      <c r="B398" s="173">
        <v>20260326</v>
      </c>
      <c r="C398" s="195">
        <v>194610614</v>
      </c>
      <c r="D398" s="168"/>
      <c r="F398" s="29" t="s">
        <v>122</v>
      </c>
      <c r="G398" s="3" t="s">
        <v>16</v>
      </c>
      <c r="H398" s="3" t="s">
        <v>216</v>
      </c>
      <c r="I398" s="55">
        <v>46217</v>
      </c>
      <c r="J398" s="55">
        <v>46220</v>
      </c>
      <c r="K398" s="55">
        <v>46248</v>
      </c>
      <c r="O398" s="3" t="s">
        <v>10</v>
      </c>
      <c r="P398" s="55">
        <v>46227</v>
      </c>
      <c r="R398" s="177"/>
    </row>
    <row r="399" spans="1:18" ht="15" hidden="1" customHeight="1">
      <c r="A399" s="173" t="s">
        <v>217</v>
      </c>
      <c r="B399" s="173">
        <v>20260326</v>
      </c>
      <c r="C399" s="195">
        <v>194610620</v>
      </c>
      <c r="D399" s="168"/>
      <c r="F399" s="29" t="s">
        <v>122</v>
      </c>
      <c r="G399" s="3" t="s">
        <v>16</v>
      </c>
      <c r="H399" s="3" t="s">
        <v>216</v>
      </c>
      <c r="I399" s="55">
        <v>46217</v>
      </c>
      <c r="J399" s="55">
        <v>46220</v>
      </c>
      <c r="K399" s="55">
        <v>46248</v>
      </c>
      <c r="O399" s="3" t="s">
        <v>10</v>
      </c>
      <c r="P399" s="55">
        <v>46227</v>
      </c>
      <c r="R399" s="177"/>
    </row>
    <row r="400" spans="1:18" ht="15" hidden="1" customHeight="1">
      <c r="A400" s="173" t="s">
        <v>217</v>
      </c>
      <c r="B400" s="173">
        <v>20260326</v>
      </c>
      <c r="C400" s="195">
        <v>194610627</v>
      </c>
      <c r="D400" s="168"/>
      <c r="F400" s="29" t="s">
        <v>122</v>
      </c>
      <c r="G400" s="3" t="s">
        <v>16</v>
      </c>
      <c r="H400" s="3" t="s">
        <v>216</v>
      </c>
      <c r="I400" s="55">
        <v>46217</v>
      </c>
      <c r="J400" s="55">
        <v>46220</v>
      </c>
      <c r="K400" s="55">
        <v>46248</v>
      </c>
      <c r="O400" s="3" t="s">
        <v>10</v>
      </c>
      <c r="P400" s="55">
        <v>46227</v>
      </c>
      <c r="R400" s="177"/>
    </row>
    <row r="401" spans="1:18" ht="15" hidden="1" customHeight="1">
      <c r="A401" s="173" t="s">
        <v>217</v>
      </c>
      <c r="B401" s="173">
        <v>20260326</v>
      </c>
      <c r="C401" s="195">
        <v>194610642</v>
      </c>
      <c r="D401" s="168"/>
      <c r="F401" s="29" t="s">
        <v>122</v>
      </c>
      <c r="G401" s="3" t="s">
        <v>16</v>
      </c>
      <c r="H401" s="3" t="s">
        <v>216</v>
      </c>
      <c r="I401" s="55">
        <v>46217</v>
      </c>
      <c r="J401" s="55">
        <v>46220</v>
      </c>
      <c r="K401" s="55">
        <v>46248</v>
      </c>
      <c r="O401" s="3" t="s">
        <v>10</v>
      </c>
      <c r="P401" s="55">
        <v>46227</v>
      </c>
      <c r="R401" s="177"/>
    </row>
    <row r="402" spans="1:18" ht="15" hidden="1" customHeight="1">
      <c r="A402" s="173" t="s">
        <v>217</v>
      </c>
      <c r="B402" s="173">
        <v>20260326</v>
      </c>
      <c r="C402" s="195">
        <v>194610651</v>
      </c>
      <c r="D402" s="168"/>
      <c r="F402" s="29" t="s">
        <v>122</v>
      </c>
      <c r="G402" s="3" t="s">
        <v>16</v>
      </c>
      <c r="H402" s="3" t="s">
        <v>216</v>
      </c>
      <c r="I402" s="55">
        <v>46217</v>
      </c>
      <c r="J402" s="55">
        <v>46220</v>
      </c>
      <c r="K402" s="55">
        <v>46248</v>
      </c>
      <c r="O402" s="3" t="s">
        <v>10</v>
      </c>
      <c r="P402" s="55">
        <v>46227</v>
      </c>
      <c r="R402" s="177"/>
    </row>
    <row r="403" spans="1:18" ht="15" hidden="1" customHeight="1">
      <c r="A403" s="173" t="s">
        <v>217</v>
      </c>
      <c r="B403" s="173">
        <v>20260326</v>
      </c>
      <c r="C403" s="195">
        <v>194610660</v>
      </c>
      <c r="D403" s="168"/>
      <c r="F403" s="29" t="s">
        <v>122</v>
      </c>
      <c r="G403" s="3" t="s">
        <v>16</v>
      </c>
      <c r="H403" s="3" t="s">
        <v>216</v>
      </c>
      <c r="I403" s="55">
        <v>46217</v>
      </c>
      <c r="J403" s="55">
        <v>46220</v>
      </c>
      <c r="K403" s="55">
        <v>46248</v>
      </c>
      <c r="O403" s="3" t="s">
        <v>10</v>
      </c>
      <c r="P403" s="55">
        <v>46227</v>
      </c>
      <c r="R403" s="177"/>
    </row>
    <row r="404" spans="1:18" ht="15" hidden="1" customHeight="1">
      <c r="A404" s="173" t="s">
        <v>217</v>
      </c>
      <c r="B404" s="173">
        <v>20260326</v>
      </c>
      <c r="C404" s="195">
        <v>194610666</v>
      </c>
      <c r="D404" s="168"/>
      <c r="F404" s="29" t="s">
        <v>122</v>
      </c>
      <c r="G404" s="3" t="s">
        <v>16</v>
      </c>
      <c r="H404" s="3" t="s">
        <v>216</v>
      </c>
      <c r="I404" s="55">
        <v>46217</v>
      </c>
      <c r="J404" s="55">
        <v>46220</v>
      </c>
      <c r="K404" s="55">
        <v>46248</v>
      </c>
      <c r="O404" s="3" t="s">
        <v>10</v>
      </c>
      <c r="P404" s="55">
        <v>46227</v>
      </c>
      <c r="R404" s="177"/>
    </row>
    <row r="405" spans="1:18" ht="15" hidden="1" customHeight="1">
      <c r="A405" s="173" t="s">
        <v>217</v>
      </c>
      <c r="B405" s="173">
        <v>20260326</v>
      </c>
      <c r="C405" s="195">
        <v>194610673</v>
      </c>
      <c r="D405" s="168"/>
      <c r="F405" s="29" t="s">
        <v>122</v>
      </c>
      <c r="G405" s="3" t="s">
        <v>16</v>
      </c>
      <c r="H405" s="3" t="s">
        <v>216</v>
      </c>
      <c r="I405" s="55">
        <v>46217</v>
      </c>
      <c r="J405" s="55">
        <v>46220</v>
      </c>
      <c r="K405" s="55">
        <v>46248</v>
      </c>
      <c r="O405" s="3" t="s">
        <v>10</v>
      </c>
      <c r="P405" s="55">
        <v>46227</v>
      </c>
      <c r="R405" s="177"/>
    </row>
    <row r="406" spans="1:18" ht="15" hidden="1" customHeight="1">
      <c r="A406" s="173" t="s">
        <v>218</v>
      </c>
      <c r="B406" s="173">
        <v>20260326</v>
      </c>
      <c r="C406" s="195">
        <v>194610816</v>
      </c>
      <c r="D406" s="168"/>
      <c r="F406" s="29" t="s">
        <v>122</v>
      </c>
      <c r="G406" s="3" t="s">
        <v>16</v>
      </c>
      <c r="H406" s="3" t="s">
        <v>216</v>
      </c>
      <c r="I406" s="55">
        <v>46217</v>
      </c>
      <c r="J406" s="55">
        <v>46220</v>
      </c>
      <c r="K406" s="55">
        <v>46248</v>
      </c>
      <c r="O406" s="3" t="s">
        <v>10</v>
      </c>
      <c r="P406" s="55">
        <v>46227</v>
      </c>
      <c r="R406" s="177"/>
    </row>
    <row r="407" spans="1:18" ht="15" hidden="1" customHeight="1">
      <c r="A407" s="173" t="s">
        <v>218</v>
      </c>
      <c r="B407" s="173">
        <v>20260326</v>
      </c>
      <c r="C407" s="195">
        <v>194610820</v>
      </c>
      <c r="D407" s="168"/>
      <c r="F407" s="29" t="s">
        <v>122</v>
      </c>
      <c r="G407" s="3" t="s">
        <v>16</v>
      </c>
      <c r="H407" s="3" t="s">
        <v>216</v>
      </c>
      <c r="I407" s="55">
        <v>46217</v>
      </c>
      <c r="J407" s="55">
        <v>46220</v>
      </c>
      <c r="K407" s="55">
        <v>46248</v>
      </c>
      <c r="O407" s="3" t="s">
        <v>10</v>
      </c>
      <c r="P407" s="55">
        <v>46227</v>
      </c>
      <c r="R407" s="177"/>
    </row>
    <row r="408" spans="1:18" ht="15" hidden="1" customHeight="1">
      <c r="A408" s="173" t="s">
        <v>218</v>
      </c>
      <c r="B408" s="173">
        <v>20260326</v>
      </c>
      <c r="C408" s="195">
        <v>194610824</v>
      </c>
      <c r="D408" s="168"/>
      <c r="F408" s="29" t="s">
        <v>122</v>
      </c>
      <c r="G408" s="3" t="s">
        <v>16</v>
      </c>
      <c r="H408" s="3" t="s">
        <v>216</v>
      </c>
      <c r="I408" s="55">
        <v>46217</v>
      </c>
      <c r="J408" s="55">
        <v>46220</v>
      </c>
      <c r="K408" s="55">
        <v>46248</v>
      </c>
      <c r="O408" s="3" t="s">
        <v>10</v>
      </c>
      <c r="P408" s="55">
        <v>46227</v>
      </c>
      <c r="R408" s="177"/>
    </row>
    <row r="409" spans="1:18" ht="15" hidden="1" customHeight="1">
      <c r="A409" s="173" t="s">
        <v>218</v>
      </c>
      <c r="B409" s="173">
        <v>20260326</v>
      </c>
      <c r="C409" s="195">
        <v>194610832</v>
      </c>
      <c r="D409" s="168"/>
      <c r="F409" s="29" t="s">
        <v>122</v>
      </c>
      <c r="G409" s="3" t="s">
        <v>16</v>
      </c>
      <c r="H409" s="3" t="s">
        <v>216</v>
      </c>
      <c r="I409" s="55">
        <v>46217</v>
      </c>
      <c r="J409" s="55">
        <v>46220</v>
      </c>
      <c r="K409" s="55">
        <v>46248</v>
      </c>
      <c r="O409" s="3" t="s">
        <v>10</v>
      </c>
      <c r="P409" s="55">
        <v>46227</v>
      </c>
      <c r="R409" s="177"/>
    </row>
    <row r="410" spans="1:18" ht="15" hidden="1" customHeight="1">
      <c r="A410" s="173" t="s">
        <v>218</v>
      </c>
      <c r="B410" s="173">
        <v>20260326</v>
      </c>
      <c r="C410" s="195">
        <v>194610841</v>
      </c>
      <c r="D410" s="168"/>
      <c r="F410" s="29" t="s">
        <v>122</v>
      </c>
      <c r="G410" s="3" t="s">
        <v>16</v>
      </c>
      <c r="H410" s="3" t="s">
        <v>216</v>
      </c>
      <c r="I410" s="55">
        <v>46217</v>
      </c>
      <c r="J410" s="55">
        <v>46220</v>
      </c>
      <c r="K410" s="55">
        <v>46248</v>
      </c>
      <c r="O410" s="3" t="s">
        <v>10</v>
      </c>
      <c r="P410" s="55">
        <v>46227</v>
      </c>
      <c r="R410" s="177"/>
    </row>
    <row r="411" spans="1:18" ht="15" hidden="1" customHeight="1">
      <c r="A411" s="173" t="s">
        <v>218</v>
      </c>
      <c r="B411" s="173">
        <v>20260326</v>
      </c>
      <c r="C411" s="195">
        <v>194610858</v>
      </c>
      <c r="D411" s="168"/>
      <c r="F411" s="29" t="s">
        <v>122</v>
      </c>
      <c r="G411" s="3" t="s">
        <v>16</v>
      </c>
      <c r="H411" s="3" t="s">
        <v>216</v>
      </c>
      <c r="I411" s="55">
        <v>46217</v>
      </c>
      <c r="J411" s="55">
        <v>46220</v>
      </c>
      <c r="K411" s="55">
        <v>46248</v>
      </c>
      <c r="O411" s="3" t="s">
        <v>10</v>
      </c>
      <c r="P411" s="55">
        <v>46227</v>
      </c>
      <c r="R411" s="177"/>
    </row>
    <row r="412" spans="1:18" ht="15" hidden="1" customHeight="1">
      <c r="A412" s="173" t="s">
        <v>218</v>
      </c>
      <c r="B412" s="173">
        <v>20260326</v>
      </c>
      <c r="C412" s="195">
        <v>194610871</v>
      </c>
      <c r="D412" s="168"/>
      <c r="F412" s="29" t="s">
        <v>122</v>
      </c>
      <c r="G412" s="3" t="s">
        <v>16</v>
      </c>
      <c r="H412" s="3" t="s">
        <v>216</v>
      </c>
      <c r="I412" s="55">
        <v>46217</v>
      </c>
      <c r="J412" s="55">
        <v>46220</v>
      </c>
      <c r="K412" s="55">
        <v>46248</v>
      </c>
      <c r="O412" s="3" t="s">
        <v>10</v>
      </c>
      <c r="P412" s="55">
        <v>46227</v>
      </c>
      <c r="R412" s="177"/>
    </row>
    <row r="413" spans="1:18" ht="15" hidden="1" customHeight="1">
      <c r="A413" s="173" t="s">
        <v>218</v>
      </c>
      <c r="B413" s="173">
        <v>20260326</v>
      </c>
      <c r="C413" s="195">
        <v>194610876</v>
      </c>
      <c r="D413" s="168"/>
      <c r="F413" s="29" t="s">
        <v>122</v>
      </c>
      <c r="G413" s="3" t="s">
        <v>16</v>
      </c>
      <c r="H413" s="3" t="s">
        <v>216</v>
      </c>
      <c r="I413" s="55">
        <v>46217</v>
      </c>
      <c r="J413" s="55">
        <v>46220</v>
      </c>
      <c r="K413" s="55">
        <v>46248</v>
      </c>
      <c r="O413" s="3" t="s">
        <v>10</v>
      </c>
      <c r="P413" s="55">
        <v>46227</v>
      </c>
      <c r="R413" s="177"/>
    </row>
    <row r="414" spans="1:18" ht="15" hidden="1" customHeight="1">
      <c r="A414" s="173" t="s">
        <v>218</v>
      </c>
      <c r="B414" s="173">
        <v>20260326</v>
      </c>
      <c r="C414" s="195">
        <v>194610880</v>
      </c>
      <c r="D414" s="168"/>
      <c r="F414" s="29" t="s">
        <v>122</v>
      </c>
      <c r="G414" s="3" t="s">
        <v>16</v>
      </c>
      <c r="H414" s="3" t="s">
        <v>216</v>
      </c>
      <c r="I414" s="55">
        <v>46217</v>
      </c>
      <c r="J414" s="55">
        <v>46220</v>
      </c>
      <c r="K414" s="55">
        <v>46248</v>
      </c>
      <c r="O414" s="3" t="s">
        <v>10</v>
      </c>
      <c r="P414" s="55">
        <v>46227</v>
      </c>
      <c r="R414" s="177"/>
    </row>
    <row r="415" spans="1:18" ht="15" hidden="1" customHeight="1">
      <c r="A415" s="173" t="s">
        <v>218</v>
      </c>
      <c r="B415" s="173">
        <v>20260326</v>
      </c>
      <c r="C415" s="195">
        <v>194610885</v>
      </c>
      <c r="D415" s="168"/>
      <c r="F415" s="29" t="s">
        <v>122</v>
      </c>
      <c r="G415" s="3" t="s">
        <v>16</v>
      </c>
      <c r="H415" s="3" t="s">
        <v>216</v>
      </c>
      <c r="I415" s="55">
        <v>46217</v>
      </c>
      <c r="J415" s="55">
        <v>46220</v>
      </c>
      <c r="K415" s="55">
        <v>46248</v>
      </c>
      <c r="O415" s="3" t="s">
        <v>10</v>
      </c>
      <c r="P415" s="55">
        <v>46227</v>
      </c>
      <c r="R415" s="177"/>
    </row>
    <row r="416" spans="1:18" ht="15" hidden="1" customHeight="1">
      <c r="A416" s="173" t="s">
        <v>218</v>
      </c>
      <c r="B416" s="173">
        <v>20260326</v>
      </c>
      <c r="C416" s="195">
        <v>194610890</v>
      </c>
      <c r="D416" s="168"/>
      <c r="E416" s="184"/>
      <c r="F416" s="29" t="s">
        <v>122</v>
      </c>
      <c r="G416" s="3" t="s">
        <v>16</v>
      </c>
      <c r="H416" s="3" t="s">
        <v>216</v>
      </c>
      <c r="I416" s="55">
        <v>46217</v>
      </c>
      <c r="J416" s="55">
        <v>46220</v>
      </c>
      <c r="K416" s="55">
        <v>46248</v>
      </c>
      <c r="L416" s="45"/>
      <c r="M416" s="45"/>
      <c r="N416" s="45"/>
      <c r="O416" s="3" t="s">
        <v>10</v>
      </c>
      <c r="P416" s="55">
        <v>46227</v>
      </c>
      <c r="Q416" s="185"/>
      <c r="R416" s="186"/>
    </row>
    <row r="417" spans="1:18" ht="15" hidden="1" customHeight="1">
      <c r="A417" s="173" t="s">
        <v>218</v>
      </c>
      <c r="B417" s="173">
        <v>20260326</v>
      </c>
      <c r="C417" s="195">
        <v>194610887</v>
      </c>
      <c r="D417" s="168"/>
      <c r="F417" s="29" t="s">
        <v>122</v>
      </c>
      <c r="G417" s="3" t="s">
        <v>16</v>
      </c>
      <c r="H417" s="3" t="s">
        <v>216</v>
      </c>
      <c r="I417" s="55">
        <v>46217</v>
      </c>
      <c r="J417" s="55">
        <v>46220</v>
      </c>
      <c r="K417" s="55">
        <v>46248</v>
      </c>
      <c r="O417" s="3" t="s">
        <v>10</v>
      </c>
      <c r="P417" s="55">
        <v>46227</v>
      </c>
      <c r="R417" s="177"/>
    </row>
    <row r="418" spans="1:18" ht="15" hidden="1" customHeight="1">
      <c r="A418" s="173" t="s">
        <v>219</v>
      </c>
      <c r="B418" s="173">
        <v>20260326</v>
      </c>
      <c r="C418" s="195">
        <v>198607633</v>
      </c>
      <c r="D418" s="203"/>
      <c r="E418" s="184"/>
      <c r="F418" s="29" t="s">
        <v>122</v>
      </c>
      <c r="G418" s="3" t="s">
        <v>16</v>
      </c>
      <c r="H418" s="3" t="s">
        <v>216</v>
      </c>
      <c r="I418" s="59">
        <v>46224</v>
      </c>
      <c r="J418" s="59">
        <v>46227</v>
      </c>
      <c r="K418" s="59">
        <v>46255</v>
      </c>
      <c r="L418" s="45"/>
      <c r="M418" s="45"/>
      <c r="N418" s="45"/>
      <c r="O418" s="3" t="s">
        <v>10</v>
      </c>
      <c r="P418" s="55">
        <v>46227</v>
      </c>
      <c r="Q418" s="185"/>
      <c r="R418" s="186"/>
    </row>
    <row r="419" spans="1:18" ht="15" hidden="1" customHeight="1">
      <c r="A419" s="173" t="s">
        <v>219</v>
      </c>
      <c r="B419" s="173">
        <v>20260326</v>
      </c>
      <c r="C419" s="195">
        <v>198607635</v>
      </c>
      <c r="D419" s="168"/>
      <c r="F419" s="29" t="s">
        <v>122</v>
      </c>
      <c r="G419" s="3" t="s">
        <v>16</v>
      </c>
      <c r="H419" s="3" t="s">
        <v>216</v>
      </c>
      <c r="I419" s="59">
        <v>46224</v>
      </c>
      <c r="J419" s="59">
        <v>46227</v>
      </c>
      <c r="K419" s="59">
        <v>46255</v>
      </c>
      <c r="O419" s="3" t="s">
        <v>10</v>
      </c>
      <c r="P419" s="55">
        <v>46227</v>
      </c>
      <c r="R419" s="177"/>
    </row>
    <row r="420" spans="1:18" ht="15" hidden="1" customHeight="1">
      <c r="A420" s="173" t="s">
        <v>219</v>
      </c>
      <c r="B420" s="173">
        <v>20260326</v>
      </c>
      <c r="C420" s="195">
        <v>198607638</v>
      </c>
      <c r="D420" s="168"/>
      <c r="F420" s="29" t="s">
        <v>122</v>
      </c>
      <c r="G420" s="3" t="s">
        <v>16</v>
      </c>
      <c r="H420" s="3" t="s">
        <v>216</v>
      </c>
      <c r="I420" s="59">
        <v>46224</v>
      </c>
      <c r="J420" s="59">
        <v>46227</v>
      </c>
      <c r="K420" s="59">
        <v>46255</v>
      </c>
      <c r="O420" s="3" t="s">
        <v>10</v>
      </c>
      <c r="P420" s="55">
        <v>46227</v>
      </c>
      <c r="R420" s="177"/>
    </row>
    <row r="421" spans="1:18" ht="15" hidden="1" customHeight="1">
      <c r="A421" s="173" t="s">
        <v>219</v>
      </c>
      <c r="B421" s="173">
        <v>20260326</v>
      </c>
      <c r="C421" s="195">
        <v>198607641</v>
      </c>
      <c r="D421" s="168"/>
      <c r="F421" s="29" t="s">
        <v>122</v>
      </c>
      <c r="G421" s="3" t="s">
        <v>16</v>
      </c>
      <c r="H421" s="3" t="s">
        <v>216</v>
      </c>
      <c r="I421" s="59">
        <v>46224</v>
      </c>
      <c r="J421" s="59">
        <v>46227</v>
      </c>
      <c r="K421" s="59">
        <v>46255</v>
      </c>
      <c r="O421" s="3" t="s">
        <v>10</v>
      </c>
      <c r="P421" s="55">
        <v>46227</v>
      </c>
      <c r="R421" s="177"/>
    </row>
    <row r="422" spans="1:18" ht="15" hidden="1" customHeight="1">
      <c r="A422" s="173" t="s">
        <v>219</v>
      </c>
      <c r="B422" s="173">
        <v>20260326</v>
      </c>
      <c r="C422" s="195">
        <v>198607648</v>
      </c>
      <c r="D422" s="168"/>
      <c r="F422" s="29" t="s">
        <v>122</v>
      </c>
      <c r="G422" s="3" t="s">
        <v>16</v>
      </c>
      <c r="H422" s="3" t="s">
        <v>216</v>
      </c>
      <c r="I422" s="59">
        <v>46224</v>
      </c>
      <c r="J422" s="59">
        <v>46227</v>
      </c>
      <c r="K422" s="59">
        <v>46255</v>
      </c>
      <c r="O422" s="3" t="s">
        <v>10</v>
      </c>
      <c r="P422" s="55">
        <v>46227</v>
      </c>
      <c r="R422" s="177"/>
    </row>
    <row r="423" spans="1:18" ht="15" hidden="1" customHeight="1">
      <c r="A423" s="173" t="s">
        <v>219</v>
      </c>
      <c r="B423" s="173">
        <v>20260326</v>
      </c>
      <c r="C423" s="195">
        <v>198607668</v>
      </c>
      <c r="D423" s="168"/>
      <c r="F423" s="29" t="s">
        <v>122</v>
      </c>
      <c r="G423" s="3" t="s">
        <v>16</v>
      </c>
      <c r="H423" s="3" t="s">
        <v>216</v>
      </c>
      <c r="I423" s="59">
        <v>46224</v>
      </c>
      <c r="J423" s="59">
        <v>46227</v>
      </c>
      <c r="K423" s="59">
        <v>46255</v>
      </c>
      <c r="O423" s="3" t="s">
        <v>10</v>
      </c>
      <c r="P423" s="55">
        <v>46227</v>
      </c>
      <c r="R423" s="177"/>
    </row>
    <row r="424" spans="1:18" ht="15" hidden="1" customHeight="1">
      <c r="A424" s="173" t="s">
        <v>219</v>
      </c>
      <c r="B424" s="173">
        <v>20260326</v>
      </c>
      <c r="C424" s="195">
        <v>198607710</v>
      </c>
      <c r="D424" s="168"/>
      <c r="F424" s="29" t="s">
        <v>122</v>
      </c>
      <c r="G424" s="3" t="s">
        <v>16</v>
      </c>
      <c r="H424" s="3" t="s">
        <v>216</v>
      </c>
      <c r="I424" s="59">
        <v>46224</v>
      </c>
      <c r="J424" s="59">
        <v>46227</v>
      </c>
      <c r="K424" s="59">
        <v>46255</v>
      </c>
      <c r="O424" s="3" t="s">
        <v>10</v>
      </c>
      <c r="P424" s="55">
        <v>46227</v>
      </c>
      <c r="R424" s="177"/>
    </row>
    <row r="425" spans="1:18" ht="15" hidden="1" customHeight="1">
      <c r="A425" s="173" t="s">
        <v>219</v>
      </c>
      <c r="B425" s="173">
        <v>20260326</v>
      </c>
      <c r="C425" s="195">
        <v>198607713</v>
      </c>
      <c r="D425" s="168"/>
      <c r="F425" s="29" t="s">
        <v>122</v>
      </c>
      <c r="G425" s="3" t="s">
        <v>16</v>
      </c>
      <c r="H425" s="3" t="s">
        <v>216</v>
      </c>
      <c r="I425" s="59">
        <v>46224</v>
      </c>
      <c r="J425" s="59">
        <v>46227</v>
      </c>
      <c r="K425" s="59">
        <v>46255</v>
      </c>
      <c r="O425" s="3" t="s">
        <v>10</v>
      </c>
      <c r="P425" s="55">
        <v>46227</v>
      </c>
      <c r="R425" s="177"/>
    </row>
    <row r="426" spans="1:18" ht="15" hidden="1" customHeight="1">
      <c r="A426" s="173" t="s">
        <v>219</v>
      </c>
      <c r="B426" s="173">
        <v>20260326</v>
      </c>
      <c r="C426" s="195">
        <v>198607717</v>
      </c>
      <c r="D426" s="168"/>
      <c r="F426" s="29" t="s">
        <v>122</v>
      </c>
      <c r="G426" s="3" t="s">
        <v>16</v>
      </c>
      <c r="H426" s="3" t="s">
        <v>216</v>
      </c>
      <c r="I426" s="59">
        <v>46224</v>
      </c>
      <c r="J426" s="59">
        <v>46227</v>
      </c>
      <c r="K426" s="59">
        <v>46255</v>
      </c>
      <c r="O426" s="3" t="s">
        <v>10</v>
      </c>
      <c r="P426" s="55">
        <v>46227</v>
      </c>
      <c r="R426" s="177"/>
    </row>
    <row r="427" spans="1:18" ht="15" hidden="1" customHeight="1">
      <c r="A427" s="173" t="s">
        <v>219</v>
      </c>
      <c r="B427" s="173">
        <v>20260326</v>
      </c>
      <c r="C427" s="195">
        <v>198607718</v>
      </c>
      <c r="D427" s="168"/>
      <c r="F427" s="29" t="s">
        <v>122</v>
      </c>
      <c r="G427" s="3" t="s">
        <v>16</v>
      </c>
      <c r="H427" s="3" t="s">
        <v>216</v>
      </c>
      <c r="I427" s="59">
        <v>46224</v>
      </c>
      <c r="J427" s="59">
        <v>46227</v>
      </c>
      <c r="K427" s="59">
        <v>46255</v>
      </c>
      <c r="O427" s="3" t="s">
        <v>10</v>
      </c>
      <c r="P427" s="55">
        <v>46227</v>
      </c>
      <c r="R427" s="177"/>
    </row>
    <row r="428" spans="1:18" ht="15" hidden="1" customHeight="1">
      <c r="A428" s="173" t="s">
        <v>219</v>
      </c>
      <c r="B428" s="173">
        <v>20260326</v>
      </c>
      <c r="C428" s="195">
        <v>198607724</v>
      </c>
      <c r="D428" s="168"/>
      <c r="F428" s="29" t="s">
        <v>122</v>
      </c>
      <c r="G428" s="3" t="s">
        <v>16</v>
      </c>
      <c r="H428" s="3" t="s">
        <v>216</v>
      </c>
      <c r="I428" s="59">
        <v>46224</v>
      </c>
      <c r="J428" s="59">
        <v>46227</v>
      </c>
      <c r="K428" s="59">
        <v>46255</v>
      </c>
      <c r="O428" s="3" t="s">
        <v>10</v>
      </c>
      <c r="P428" s="55">
        <v>46227</v>
      </c>
      <c r="R428" s="177"/>
    </row>
    <row r="429" spans="1:18" ht="15" hidden="1" customHeight="1">
      <c r="A429" s="173" t="s">
        <v>220</v>
      </c>
      <c r="B429" s="173">
        <v>20260326</v>
      </c>
      <c r="C429" s="195">
        <v>200600570</v>
      </c>
      <c r="D429" s="168"/>
      <c r="F429" s="29" t="s">
        <v>122</v>
      </c>
      <c r="G429" s="3" t="s">
        <v>16</v>
      </c>
      <c r="H429" s="3" t="s">
        <v>216</v>
      </c>
      <c r="I429" s="59">
        <v>46224</v>
      </c>
      <c r="J429" s="59">
        <v>46227</v>
      </c>
      <c r="K429" s="59">
        <v>46255</v>
      </c>
      <c r="O429" s="3" t="s">
        <v>10</v>
      </c>
      <c r="P429" s="55">
        <v>46227</v>
      </c>
      <c r="R429" s="177"/>
    </row>
    <row r="430" spans="1:18" ht="15" hidden="1" customHeight="1">
      <c r="A430" s="173" t="s">
        <v>220</v>
      </c>
      <c r="B430" s="173">
        <v>20260326</v>
      </c>
      <c r="C430" s="195">
        <v>200600573</v>
      </c>
      <c r="D430" s="168"/>
      <c r="F430" s="29" t="s">
        <v>122</v>
      </c>
      <c r="G430" s="3" t="s">
        <v>16</v>
      </c>
      <c r="H430" s="3" t="s">
        <v>216</v>
      </c>
      <c r="I430" s="59">
        <v>46224</v>
      </c>
      <c r="J430" s="59">
        <v>46227</v>
      </c>
      <c r="K430" s="59">
        <v>46255</v>
      </c>
      <c r="O430" s="3" t="s">
        <v>10</v>
      </c>
      <c r="P430" s="55">
        <v>46227</v>
      </c>
      <c r="R430" s="177"/>
    </row>
    <row r="431" spans="1:18" ht="15" hidden="1" customHeight="1">
      <c r="A431" s="173" t="s">
        <v>220</v>
      </c>
      <c r="B431" s="173">
        <v>20260326</v>
      </c>
      <c r="C431" s="195">
        <v>200600577</v>
      </c>
      <c r="D431" s="168"/>
      <c r="F431" s="29" t="s">
        <v>122</v>
      </c>
      <c r="G431" s="3" t="s">
        <v>16</v>
      </c>
      <c r="H431" s="3" t="s">
        <v>216</v>
      </c>
      <c r="I431" s="59">
        <v>46224</v>
      </c>
      <c r="J431" s="59">
        <v>46227</v>
      </c>
      <c r="K431" s="59">
        <v>46255</v>
      </c>
      <c r="O431" s="3" t="s">
        <v>10</v>
      </c>
      <c r="P431" s="55">
        <v>46227</v>
      </c>
      <c r="R431" s="177"/>
    </row>
    <row r="432" spans="1:18" ht="15" hidden="1" customHeight="1">
      <c r="A432" s="173" t="s">
        <v>220</v>
      </c>
      <c r="B432" s="173">
        <v>20260326</v>
      </c>
      <c r="C432" s="195">
        <v>200600581</v>
      </c>
      <c r="D432" s="168"/>
      <c r="F432" s="29" t="s">
        <v>122</v>
      </c>
      <c r="G432" s="3" t="s">
        <v>16</v>
      </c>
      <c r="H432" s="3" t="s">
        <v>216</v>
      </c>
      <c r="I432" s="59">
        <v>46224</v>
      </c>
      <c r="J432" s="59">
        <v>46227</v>
      </c>
      <c r="K432" s="59">
        <v>46255</v>
      </c>
      <c r="O432" s="3" t="s">
        <v>10</v>
      </c>
      <c r="P432" s="55">
        <v>46227</v>
      </c>
      <c r="R432" s="177"/>
    </row>
    <row r="433" spans="1:18" ht="15" hidden="1" customHeight="1">
      <c r="A433" s="173" t="s">
        <v>220</v>
      </c>
      <c r="B433" s="173">
        <v>20260326</v>
      </c>
      <c r="C433" s="195">
        <v>200600584</v>
      </c>
      <c r="D433" s="168"/>
      <c r="F433" s="29" t="s">
        <v>122</v>
      </c>
      <c r="G433" s="3" t="s">
        <v>16</v>
      </c>
      <c r="H433" s="3" t="s">
        <v>216</v>
      </c>
      <c r="I433" s="59">
        <v>46224</v>
      </c>
      <c r="J433" s="59">
        <v>46227</v>
      </c>
      <c r="K433" s="59">
        <v>46255</v>
      </c>
      <c r="O433" s="3" t="s">
        <v>10</v>
      </c>
      <c r="P433" s="55">
        <v>46227</v>
      </c>
      <c r="R433" s="177"/>
    </row>
    <row r="434" spans="1:18" ht="15" hidden="1" customHeight="1">
      <c r="A434" s="173" t="s">
        <v>220</v>
      </c>
      <c r="B434" s="173">
        <v>20260326</v>
      </c>
      <c r="C434" s="195">
        <v>200600586</v>
      </c>
      <c r="D434" s="168"/>
      <c r="F434" s="29" t="s">
        <v>122</v>
      </c>
      <c r="G434" s="3" t="s">
        <v>16</v>
      </c>
      <c r="H434" s="3" t="s">
        <v>216</v>
      </c>
      <c r="I434" s="59">
        <v>46224</v>
      </c>
      <c r="J434" s="59">
        <v>46227</v>
      </c>
      <c r="K434" s="59">
        <v>46255</v>
      </c>
      <c r="O434" s="3" t="s">
        <v>10</v>
      </c>
      <c r="P434" s="55">
        <v>46227</v>
      </c>
      <c r="R434" s="177"/>
    </row>
    <row r="435" spans="1:18" ht="15" hidden="1" customHeight="1">
      <c r="A435" s="173" t="s">
        <v>221</v>
      </c>
      <c r="B435" s="173">
        <v>20260326</v>
      </c>
      <c r="C435" s="195">
        <v>200600621</v>
      </c>
      <c r="D435" s="203"/>
      <c r="E435" s="184"/>
      <c r="F435" s="29" t="s">
        <v>122</v>
      </c>
      <c r="G435" s="3" t="s">
        <v>16</v>
      </c>
      <c r="H435" s="3" t="s">
        <v>216</v>
      </c>
      <c r="I435" s="59">
        <v>46224</v>
      </c>
      <c r="J435" s="59">
        <v>46227</v>
      </c>
      <c r="K435" s="59">
        <v>46255</v>
      </c>
      <c r="L435" s="45"/>
      <c r="M435" s="45"/>
      <c r="N435" s="45"/>
      <c r="O435" s="3" t="s">
        <v>10</v>
      </c>
      <c r="P435" s="55">
        <v>46227</v>
      </c>
      <c r="Q435" s="185"/>
      <c r="R435" s="186"/>
    </row>
    <row r="436" spans="1:18" ht="15" hidden="1" customHeight="1">
      <c r="A436" s="173" t="s">
        <v>221</v>
      </c>
      <c r="B436" s="173">
        <v>20260326</v>
      </c>
      <c r="C436" s="195">
        <v>200600627</v>
      </c>
      <c r="D436" s="168"/>
      <c r="F436" s="29" t="s">
        <v>122</v>
      </c>
      <c r="G436" s="3" t="s">
        <v>16</v>
      </c>
      <c r="H436" s="3" t="s">
        <v>216</v>
      </c>
      <c r="I436" s="59">
        <v>46224</v>
      </c>
      <c r="J436" s="59">
        <v>46227</v>
      </c>
      <c r="K436" s="59">
        <v>46255</v>
      </c>
      <c r="O436" s="3" t="s">
        <v>10</v>
      </c>
      <c r="P436" s="55">
        <v>46227</v>
      </c>
      <c r="R436" s="177"/>
    </row>
    <row r="437" spans="1:18" ht="15" hidden="1" customHeight="1">
      <c r="A437" s="173" t="s">
        <v>221</v>
      </c>
      <c r="B437" s="173">
        <v>20260326</v>
      </c>
      <c r="C437" s="195">
        <v>200600630</v>
      </c>
      <c r="D437" s="168"/>
      <c r="F437" s="29" t="s">
        <v>122</v>
      </c>
      <c r="G437" s="3" t="s">
        <v>16</v>
      </c>
      <c r="H437" s="3" t="s">
        <v>216</v>
      </c>
      <c r="I437" s="59">
        <v>46224</v>
      </c>
      <c r="J437" s="59">
        <v>46227</v>
      </c>
      <c r="K437" s="59">
        <v>46255</v>
      </c>
      <c r="O437" s="3" t="s">
        <v>10</v>
      </c>
      <c r="P437" s="55">
        <v>46227</v>
      </c>
      <c r="R437" s="177"/>
    </row>
    <row r="438" spans="1:18" ht="15" hidden="1" customHeight="1">
      <c r="A438" s="173" t="s">
        <v>221</v>
      </c>
      <c r="B438" s="173">
        <v>20260326</v>
      </c>
      <c r="C438" s="195">
        <v>200600632</v>
      </c>
      <c r="D438" s="168"/>
      <c r="F438" s="29" t="s">
        <v>122</v>
      </c>
      <c r="G438" s="3" t="s">
        <v>16</v>
      </c>
      <c r="H438" s="3" t="s">
        <v>216</v>
      </c>
      <c r="I438" s="59">
        <v>46224</v>
      </c>
      <c r="J438" s="59">
        <v>46227</v>
      </c>
      <c r="K438" s="59">
        <v>46255</v>
      </c>
      <c r="O438" s="3" t="s">
        <v>10</v>
      </c>
      <c r="P438" s="55">
        <v>46227</v>
      </c>
      <c r="R438" s="177"/>
    </row>
    <row r="439" spans="1:18" ht="15" hidden="1" customHeight="1">
      <c r="A439" s="173" t="s">
        <v>221</v>
      </c>
      <c r="B439" s="173">
        <v>20260326</v>
      </c>
      <c r="C439" s="195">
        <v>200600633</v>
      </c>
      <c r="D439" s="168"/>
      <c r="F439" s="29" t="s">
        <v>122</v>
      </c>
      <c r="G439" s="3" t="s">
        <v>16</v>
      </c>
      <c r="H439" s="3" t="s">
        <v>216</v>
      </c>
      <c r="I439" s="59">
        <v>46224</v>
      </c>
      <c r="J439" s="59">
        <v>46227</v>
      </c>
      <c r="K439" s="59">
        <v>46255</v>
      </c>
      <c r="O439" s="3" t="s">
        <v>10</v>
      </c>
      <c r="P439" s="55">
        <v>46227</v>
      </c>
      <c r="R439" s="177"/>
    </row>
    <row r="440" spans="1:18" ht="15" hidden="1" customHeight="1">
      <c r="A440" s="173" t="s">
        <v>221</v>
      </c>
      <c r="B440" s="183">
        <v>20260326</v>
      </c>
      <c r="C440" s="195">
        <v>200600634</v>
      </c>
      <c r="D440" s="168"/>
      <c r="F440" s="29" t="s">
        <v>122</v>
      </c>
      <c r="G440" s="3" t="s">
        <v>16</v>
      </c>
      <c r="H440" s="3" t="s">
        <v>216</v>
      </c>
      <c r="I440" s="59">
        <v>46224</v>
      </c>
      <c r="J440" s="59">
        <v>46227</v>
      </c>
      <c r="K440" s="59">
        <v>46255</v>
      </c>
      <c r="O440" s="3" t="s">
        <v>10</v>
      </c>
      <c r="P440" s="55">
        <v>46227</v>
      </c>
      <c r="R440" s="177"/>
    </row>
    <row r="441" spans="1:18" ht="15" hidden="1" customHeight="1">
      <c r="A441" s="183" t="s">
        <v>222</v>
      </c>
      <c r="B441" s="183"/>
      <c r="C441" s="195">
        <v>210603499</v>
      </c>
      <c r="D441" s="203"/>
      <c r="E441" s="184"/>
      <c r="F441" s="29" t="s">
        <v>88</v>
      </c>
      <c r="G441" s="3" t="s">
        <v>200</v>
      </c>
      <c r="H441" s="3" t="s">
        <v>30</v>
      </c>
      <c r="I441" s="55">
        <v>46232</v>
      </c>
      <c r="J441" s="55">
        <v>46235</v>
      </c>
      <c r="K441" s="55">
        <v>46263</v>
      </c>
      <c r="O441" s="3" t="s">
        <v>9</v>
      </c>
      <c r="R441" s="177"/>
    </row>
    <row r="442" spans="1:18" ht="15" hidden="1" customHeight="1">
      <c r="A442" s="216" t="s">
        <v>223</v>
      </c>
      <c r="B442" s="183"/>
      <c r="C442" s="195">
        <v>209605471</v>
      </c>
      <c r="D442" s="203"/>
      <c r="E442" s="184"/>
      <c r="F442" s="29" t="s">
        <v>149</v>
      </c>
      <c r="G442" s="3" t="s">
        <v>116</v>
      </c>
      <c r="H442" s="45" t="s">
        <v>150</v>
      </c>
      <c r="I442" s="55">
        <v>46232</v>
      </c>
      <c r="J442" s="55">
        <v>46235</v>
      </c>
      <c r="K442" s="55">
        <v>46263</v>
      </c>
      <c r="O442" s="3" t="s">
        <v>9</v>
      </c>
      <c r="R442" s="177"/>
    </row>
    <row r="443" spans="1:18" ht="15" hidden="1" customHeight="1">
      <c r="A443" s="216" t="s">
        <v>223</v>
      </c>
      <c r="B443" s="183" t="s">
        <v>224</v>
      </c>
      <c r="C443" s="195">
        <v>209605564</v>
      </c>
      <c r="D443" s="168"/>
      <c r="F443" s="29" t="s">
        <v>149</v>
      </c>
      <c r="G443" s="3" t="s">
        <v>116</v>
      </c>
      <c r="H443" s="45" t="s">
        <v>150</v>
      </c>
      <c r="I443" s="55">
        <v>46232</v>
      </c>
      <c r="J443" s="55">
        <v>46235</v>
      </c>
      <c r="K443" s="55">
        <v>46263</v>
      </c>
      <c r="O443" s="3" t="s">
        <v>9</v>
      </c>
      <c r="R443" s="177"/>
    </row>
    <row r="444" spans="1:18" ht="15" hidden="1" customHeight="1">
      <c r="A444" s="216" t="s">
        <v>223</v>
      </c>
      <c r="B444" s="183" t="s">
        <v>224</v>
      </c>
      <c r="C444" s="195">
        <v>209605647</v>
      </c>
      <c r="D444" s="168"/>
      <c r="F444" s="29" t="s">
        <v>149</v>
      </c>
      <c r="G444" s="3" t="s">
        <v>116</v>
      </c>
      <c r="H444" s="45" t="s">
        <v>150</v>
      </c>
      <c r="I444" s="55">
        <v>46232</v>
      </c>
      <c r="J444" s="55">
        <v>46235</v>
      </c>
      <c r="K444" s="55">
        <v>46263</v>
      </c>
      <c r="O444" s="3" t="s">
        <v>9</v>
      </c>
      <c r="R444" s="177"/>
    </row>
    <row r="445" spans="1:18" ht="15" hidden="1" customHeight="1">
      <c r="A445" s="216" t="s">
        <v>223</v>
      </c>
      <c r="B445" s="183" t="s">
        <v>224</v>
      </c>
      <c r="C445" s="195">
        <v>209605748</v>
      </c>
      <c r="D445" s="168"/>
      <c r="F445" s="29" t="s">
        <v>149</v>
      </c>
      <c r="G445" s="3" t="s">
        <v>116</v>
      </c>
      <c r="H445" s="45" t="s">
        <v>150</v>
      </c>
      <c r="I445" s="55">
        <v>46232</v>
      </c>
      <c r="J445" s="55">
        <v>46235</v>
      </c>
      <c r="K445" s="55">
        <v>46263</v>
      </c>
      <c r="O445" s="3" t="s">
        <v>9</v>
      </c>
      <c r="R445" s="177"/>
    </row>
    <row r="446" spans="1:18" ht="15" hidden="1" customHeight="1">
      <c r="A446" s="183" t="s">
        <v>184</v>
      </c>
      <c r="B446" s="183" t="s">
        <v>185</v>
      </c>
      <c r="C446" s="195">
        <v>210609327</v>
      </c>
      <c r="D446" s="203"/>
      <c r="E446" s="184"/>
      <c r="F446" s="184" t="s">
        <v>147</v>
      </c>
      <c r="G446" s="45" t="s">
        <v>225</v>
      </c>
      <c r="H446" s="45" t="s">
        <v>226</v>
      </c>
      <c r="I446" s="55">
        <v>46232</v>
      </c>
      <c r="J446" s="55">
        <v>46235</v>
      </c>
      <c r="K446" s="55">
        <v>46263</v>
      </c>
      <c r="L446" s="45"/>
      <c r="M446" s="45"/>
      <c r="N446" s="45"/>
      <c r="O446" s="3" t="s">
        <v>10</v>
      </c>
      <c r="P446" s="45"/>
      <c r="Q446" s="185"/>
      <c r="R446" s="186"/>
    </row>
    <row r="447" spans="1:18" ht="15" hidden="1" customHeight="1">
      <c r="A447" s="183" t="s">
        <v>184</v>
      </c>
      <c r="B447" s="183" t="s">
        <v>185</v>
      </c>
      <c r="C447" s="195">
        <v>210609318</v>
      </c>
      <c r="D447" s="168"/>
      <c r="F447" s="184" t="s">
        <v>147</v>
      </c>
      <c r="G447" s="45" t="s">
        <v>225</v>
      </c>
      <c r="H447" s="45" t="s">
        <v>226</v>
      </c>
      <c r="I447" s="55">
        <v>46232</v>
      </c>
      <c r="J447" s="55">
        <v>46235</v>
      </c>
      <c r="K447" s="55">
        <v>46263</v>
      </c>
      <c r="O447" s="3" t="s">
        <v>10</v>
      </c>
      <c r="R447" s="177"/>
    </row>
    <row r="448" spans="1:18" ht="15" hidden="1" customHeight="1">
      <c r="A448" s="183" t="s">
        <v>184</v>
      </c>
      <c r="B448" s="183" t="s">
        <v>185</v>
      </c>
      <c r="C448" s="195">
        <v>210609312</v>
      </c>
      <c r="D448" s="168"/>
      <c r="F448" s="184" t="s">
        <v>147</v>
      </c>
      <c r="G448" s="45" t="s">
        <v>225</v>
      </c>
      <c r="H448" s="45" t="s">
        <v>226</v>
      </c>
      <c r="I448" s="55">
        <v>46232</v>
      </c>
      <c r="J448" s="55">
        <v>46235</v>
      </c>
      <c r="K448" s="55">
        <v>46263</v>
      </c>
      <c r="O448" s="3" t="s">
        <v>10</v>
      </c>
      <c r="R448" s="177"/>
    </row>
    <row r="449" spans="1:18" ht="15" hidden="1" customHeight="1">
      <c r="A449" s="183" t="s">
        <v>184</v>
      </c>
      <c r="B449" s="183" t="s">
        <v>185</v>
      </c>
      <c r="C449" s="195">
        <v>210609305</v>
      </c>
      <c r="D449" s="168"/>
      <c r="F449" s="184" t="s">
        <v>147</v>
      </c>
      <c r="G449" s="45" t="s">
        <v>225</v>
      </c>
      <c r="H449" s="45" t="s">
        <v>226</v>
      </c>
      <c r="I449" s="55">
        <v>46232</v>
      </c>
      <c r="J449" s="55">
        <v>46235</v>
      </c>
      <c r="K449" s="55">
        <v>46263</v>
      </c>
      <c r="O449" s="3" t="s">
        <v>10</v>
      </c>
      <c r="R449" s="177"/>
    </row>
    <row r="450" spans="1:18" ht="15" hidden="1" customHeight="1">
      <c r="A450" s="183" t="s">
        <v>184</v>
      </c>
      <c r="B450" s="183" t="s">
        <v>185</v>
      </c>
      <c r="C450" s="195">
        <v>210609298</v>
      </c>
      <c r="D450" s="168"/>
      <c r="F450" s="184" t="s">
        <v>147</v>
      </c>
      <c r="G450" s="45" t="s">
        <v>225</v>
      </c>
      <c r="H450" s="45" t="s">
        <v>226</v>
      </c>
      <c r="I450" s="55">
        <v>46232</v>
      </c>
      <c r="J450" s="55">
        <v>46235</v>
      </c>
      <c r="K450" s="55">
        <v>46263</v>
      </c>
      <c r="O450" s="3" t="s">
        <v>10</v>
      </c>
      <c r="R450" s="177"/>
    </row>
    <row r="451" spans="1:18" ht="15" hidden="1" customHeight="1">
      <c r="A451" s="183" t="s">
        <v>184</v>
      </c>
      <c r="B451" s="183" t="s">
        <v>185</v>
      </c>
      <c r="C451" s="195">
        <v>210609286</v>
      </c>
      <c r="D451" s="168"/>
      <c r="F451" s="184" t="s">
        <v>147</v>
      </c>
      <c r="G451" s="45" t="s">
        <v>225</v>
      </c>
      <c r="H451" s="45" t="s">
        <v>226</v>
      </c>
      <c r="I451" s="55">
        <v>46232</v>
      </c>
      <c r="J451" s="55">
        <v>46235</v>
      </c>
      <c r="K451" s="55">
        <v>46263</v>
      </c>
      <c r="O451" s="3" t="s">
        <v>10</v>
      </c>
      <c r="R451" s="177"/>
    </row>
    <row r="452" spans="1:18" ht="15" hidden="1" customHeight="1">
      <c r="A452" s="183" t="s">
        <v>184</v>
      </c>
      <c r="B452" s="183" t="s">
        <v>185</v>
      </c>
      <c r="C452" s="195">
        <v>210609283</v>
      </c>
      <c r="D452" s="168"/>
      <c r="F452" s="184" t="s">
        <v>147</v>
      </c>
      <c r="G452" s="45" t="s">
        <v>225</v>
      </c>
      <c r="H452" s="45" t="s">
        <v>226</v>
      </c>
      <c r="I452" s="55">
        <v>46232</v>
      </c>
      <c r="J452" s="55">
        <v>46235</v>
      </c>
      <c r="K452" s="55">
        <v>46263</v>
      </c>
      <c r="O452" s="3" t="s">
        <v>10</v>
      </c>
      <c r="R452" s="177"/>
    </row>
    <row r="453" spans="1:18" ht="15" hidden="1" customHeight="1">
      <c r="A453" s="183" t="s">
        <v>184</v>
      </c>
      <c r="B453" s="183" t="s">
        <v>185</v>
      </c>
      <c r="C453" s="195">
        <v>210608880</v>
      </c>
      <c r="D453" s="168"/>
      <c r="F453" s="184" t="s">
        <v>147</v>
      </c>
      <c r="G453" s="45" t="s">
        <v>225</v>
      </c>
      <c r="H453" s="45" t="s">
        <v>226</v>
      </c>
      <c r="I453" s="55">
        <v>46232</v>
      </c>
      <c r="J453" s="55">
        <v>46235</v>
      </c>
      <c r="K453" s="55">
        <v>46263</v>
      </c>
      <c r="O453" s="3" t="s">
        <v>10</v>
      </c>
      <c r="R453" s="177"/>
    </row>
    <row r="454" spans="1:18" ht="15" hidden="1" customHeight="1">
      <c r="A454" s="183" t="s">
        <v>184</v>
      </c>
      <c r="B454" s="183" t="s">
        <v>185</v>
      </c>
      <c r="C454" s="195">
        <v>210608873</v>
      </c>
      <c r="D454" s="168"/>
      <c r="F454" s="184" t="s">
        <v>147</v>
      </c>
      <c r="G454" s="45" t="s">
        <v>225</v>
      </c>
      <c r="H454" s="45" t="s">
        <v>226</v>
      </c>
      <c r="I454" s="55">
        <v>46232</v>
      </c>
      <c r="J454" s="55">
        <v>46235</v>
      </c>
      <c r="K454" s="55">
        <v>46263</v>
      </c>
      <c r="O454" s="3" t="s">
        <v>10</v>
      </c>
      <c r="R454" s="177"/>
    </row>
    <row r="455" spans="1:18" ht="15" hidden="1" customHeight="1">
      <c r="A455" s="183" t="s">
        <v>184</v>
      </c>
      <c r="B455" s="183" t="s">
        <v>185</v>
      </c>
      <c r="C455" s="195">
        <v>210608863</v>
      </c>
      <c r="D455" s="168"/>
      <c r="F455" s="29" t="s">
        <v>147</v>
      </c>
      <c r="G455" s="3" t="s">
        <v>225</v>
      </c>
      <c r="H455" s="3" t="s">
        <v>226</v>
      </c>
      <c r="I455" s="59">
        <v>46232</v>
      </c>
      <c r="J455" s="55">
        <v>46235</v>
      </c>
      <c r="K455" s="55">
        <v>46263</v>
      </c>
      <c r="O455" s="3" t="s">
        <v>10</v>
      </c>
      <c r="R455" s="177"/>
    </row>
    <row r="456" spans="1:18" ht="15" hidden="1" customHeight="1">
      <c r="A456" s="173" t="s">
        <v>227</v>
      </c>
      <c r="B456" s="173" t="s">
        <v>228</v>
      </c>
      <c r="C456" s="195">
        <v>210609479</v>
      </c>
      <c r="D456" s="168"/>
      <c r="F456" s="29" t="s">
        <v>115</v>
      </c>
      <c r="G456" s="3" t="s">
        <v>116</v>
      </c>
      <c r="H456" s="3" t="s">
        <v>155</v>
      </c>
      <c r="I456" s="59" t="s">
        <v>229</v>
      </c>
      <c r="J456" s="55">
        <v>46237</v>
      </c>
      <c r="K456" s="55">
        <v>46263</v>
      </c>
      <c r="O456" s="3" t="s">
        <v>9</v>
      </c>
      <c r="R456" s="177"/>
    </row>
    <row r="457" spans="1:18" ht="15" hidden="1" customHeight="1">
      <c r="A457" s="173" t="s">
        <v>227</v>
      </c>
      <c r="B457" s="173" t="s">
        <v>228</v>
      </c>
      <c r="C457" s="195">
        <v>210609476</v>
      </c>
      <c r="D457" s="168"/>
      <c r="F457" s="29" t="s">
        <v>115</v>
      </c>
      <c r="G457" s="3" t="s">
        <v>116</v>
      </c>
      <c r="H457" s="3" t="s">
        <v>155</v>
      </c>
      <c r="I457" s="59" t="s">
        <v>229</v>
      </c>
      <c r="J457" s="55">
        <v>46237</v>
      </c>
      <c r="K457" s="55">
        <v>46263</v>
      </c>
      <c r="O457" s="3" t="s">
        <v>9</v>
      </c>
      <c r="R457" s="177"/>
    </row>
    <row r="458" spans="1:18" ht="15" hidden="1" customHeight="1">
      <c r="A458" s="173" t="s">
        <v>227</v>
      </c>
      <c r="B458" s="173" t="s">
        <v>228</v>
      </c>
      <c r="C458" s="195">
        <v>210609469</v>
      </c>
      <c r="D458" s="168"/>
      <c r="F458" s="29" t="s">
        <v>115</v>
      </c>
      <c r="G458" s="3" t="s">
        <v>116</v>
      </c>
      <c r="H458" s="3" t="s">
        <v>155</v>
      </c>
      <c r="I458" s="59" t="s">
        <v>229</v>
      </c>
      <c r="J458" s="55">
        <v>46237</v>
      </c>
      <c r="K458" s="55">
        <v>46263</v>
      </c>
      <c r="O458" s="3" t="s">
        <v>9</v>
      </c>
      <c r="R458" s="177"/>
    </row>
    <row r="459" spans="1:18" ht="15" hidden="1" customHeight="1">
      <c r="A459" s="173" t="s">
        <v>227</v>
      </c>
      <c r="B459" s="173" t="s">
        <v>228</v>
      </c>
      <c r="C459" s="195">
        <v>210609465</v>
      </c>
      <c r="D459" s="168"/>
      <c r="F459" s="29" t="s">
        <v>115</v>
      </c>
      <c r="G459" s="3" t="s">
        <v>116</v>
      </c>
      <c r="H459" s="3" t="s">
        <v>155</v>
      </c>
      <c r="I459" s="55" t="s">
        <v>229</v>
      </c>
      <c r="J459" s="55">
        <v>46237</v>
      </c>
      <c r="K459" s="55">
        <v>46263</v>
      </c>
      <c r="O459" s="3" t="s">
        <v>9</v>
      </c>
      <c r="R459" s="177"/>
    </row>
    <row r="460" spans="1:18" ht="15" hidden="1" customHeight="1">
      <c r="A460" s="173" t="s">
        <v>227</v>
      </c>
      <c r="B460" s="173" t="s">
        <v>228</v>
      </c>
      <c r="C460" s="195">
        <v>210609462</v>
      </c>
      <c r="D460" s="168"/>
      <c r="F460" s="29" t="s">
        <v>115</v>
      </c>
      <c r="G460" s="3" t="s">
        <v>116</v>
      </c>
      <c r="H460" s="3" t="s">
        <v>155</v>
      </c>
      <c r="I460" s="55" t="s">
        <v>229</v>
      </c>
      <c r="J460" s="55">
        <v>46237</v>
      </c>
      <c r="K460" s="55">
        <v>46263</v>
      </c>
      <c r="O460" s="3" t="s">
        <v>10</v>
      </c>
      <c r="R460" s="177"/>
    </row>
    <row r="461" spans="1:18" ht="15" hidden="1" customHeight="1">
      <c r="A461" s="173" t="s">
        <v>227</v>
      </c>
      <c r="B461" s="173" t="s">
        <v>228</v>
      </c>
      <c r="C461" s="195">
        <v>210609460</v>
      </c>
      <c r="D461" s="168"/>
      <c r="F461" s="29" t="s">
        <v>115</v>
      </c>
      <c r="G461" s="3" t="s">
        <v>116</v>
      </c>
      <c r="H461" s="3" t="s">
        <v>155</v>
      </c>
      <c r="I461" s="55" t="s">
        <v>229</v>
      </c>
      <c r="J461" s="55">
        <v>46237</v>
      </c>
      <c r="K461" s="55">
        <v>46263</v>
      </c>
      <c r="O461" s="3" t="s">
        <v>10</v>
      </c>
      <c r="R461" s="177"/>
    </row>
    <row r="462" spans="1:18" ht="15" hidden="1" customHeight="1">
      <c r="A462" s="173" t="s">
        <v>227</v>
      </c>
      <c r="B462" s="173" t="s">
        <v>228</v>
      </c>
      <c r="C462" s="197">
        <v>210609456</v>
      </c>
      <c r="D462" s="168"/>
      <c r="F462" s="29" t="s">
        <v>115</v>
      </c>
      <c r="G462" s="3" t="s">
        <v>116</v>
      </c>
      <c r="H462" s="3" t="s">
        <v>155</v>
      </c>
      <c r="I462" s="55" t="s">
        <v>229</v>
      </c>
      <c r="J462" s="55">
        <v>46237</v>
      </c>
      <c r="K462" s="55">
        <v>46263</v>
      </c>
      <c r="O462" s="3" t="s">
        <v>10</v>
      </c>
      <c r="R462" s="177"/>
    </row>
    <row r="463" spans="1:18" ht="15" hidden="1" customHeight="1">
      <c r="A463" s="173" t="s">
        <v>227</v>
      </c>
      <c r="B463" s="173" t="s">
        <v>228</v>
      </c>
      <c r="C463" s="234">
        <v>210609453</v>
      </c>
      <c r="D463" s="168"/>
      <c r="F463" s="29" t="s">
        <v>115</v>
      </c>
      <c r="G463" s="3" t="s">
        <v>116</v>
      </c>
      <c r="H463" s="3" t="s">
        <v>155</v>
      </c>
      <c r="I463" s="55" t="s">
        <v>229</v>
      </c>
      <c r="J463" s="55">
        <v>46237</v>
      </c>
      <c r="K463" s="55">
        <v>46263</v>
      </c>
      <c r="O463" s="3" t="s">
        <v>9</v>
      </c>
      <c r="R463" s="177"/>
    </row>
    <row r="464" spans="1:18" ht="15" hidden="1" customHeight="1">
      <c r="A464" s="173" t="s">
        <v>230</v>
      </c>
      <c r="B464" s="173" t="s">
        <v>231</v>
      </c>
      <c r="C464" s="195">
        <v>210609491</v>
      </c>
      <c r="D464" s="168"/>
      <c r="F464" s="184" t="s">
        <v>115</v>
      </c>
      <c r="G464" s="3" t="s">
        <v>116</v>
      </c>
      <c r="H464" s="3" t="s">
        <v>155</v>
      </c>
      <c r="I464" s="55" t="s">
        <v>229</v>
      </c>
      <c r="J464" s="55">
        <v>46237</v>
      </c>
      <c r="K464" s="55">
        <v>46263</v>
      </c>
      <c r="O464" s="3" t="s">
        <v>10</v>
      </c>
      <c r="R464" s="177"/>
    </row>
    <row r="465" spans="1:18" ht="15" hidden="1" customHeight="1">
      <c r="A465" s="173" t="s">
        <v>230</v>
      </c>
      <c r="B465" s="173" t="s">
        <v>231</v>
      </c>
      <c r="C465" s="195">
        <v>210609509</v>
      </c>
      <c r="D465" s="168"/>
      <c r="F465" s="184" t="s">
        <v>115</v>
      </c>
      <c r="G465" s="3" t="s">
        <v>116</v>
      </c>
      <c r="H465" s="3" t="s">
        <v>155</v>
      </c>
      <c r="I465" s="55" t="s">
        <v>229</v>
      </c>
      <c r="J465" s="55">
        <v>46237</v>
      </c>
      <c r="K465" s="55">
        <v>46263</v>
      </c>
      <c r="O465" s="3" t="s">
        <v>10</v>
      </c>
      <c r="R465" s="177"/>
    </row>
    <row r="466" spans="1:18" ht="15" hidden="1" customHeight="1">
      <c r="A466" s="173" t="s">
        <v>230</v>
      </c>
      <c r="B466" s="173" t="s">
        <v>231</v>
      </c>
      <c r="C466" s="195">
        <v>210609506</v>
      </c>
      <c r="D466" s="168"/>
      <c r="F466" s="184" t="s">
        <v>115</v>
      </c>
      <c r="G466" s="3" t="s">
        <v>116</v>
      </c>
      <c r="H466" s="3" t="s">
        <v>155</v>
      </c>
      <c r="I466" s="55" t="s">
        <v>229</v>
      </c>
      <c r="J466" s="55">
        <v>46237</v>
      </c>
      <c r="K466" s="55">
        <v>46263</v>
      </c>
      <c r="O466" s="3" t="s">
        <v>10</v>
      </c>
      <c r="R466" s="177"/>
    </row>
    <row r="467" spans="1:18" ht="15" hidden="1" customHeight="1">
      <c r="A467" s="173" t="s">
        <v>230</v>
      </c>
      <c r="B467" s="173" t="s">
        <v>231</v>
      </c>
      <c r="C467" s="195">
        <v>210609502</v>
      </c>
      <c r="D467" s="168"/>
      <c r="F467" s="184" t="s">
        <v>115</v>
      </c>
      <c r="G467" s="3" t="s">
        <v>116</v>
      </c>
      <c r="H467" s="3" t="s">
        <v>155</v>
      </c>
      <c r="I467" s="55" t="s">
        <v>229</v>
      </c>
      <c r="J467" s="55">
        <v>46237</v>
      </c>
      <c r="K467" s="55">
        <v>46263</v>
      </c>
      <c r="O467" s="3" t="s">
        <v>10</v>
      </c>
      <c r="R467" s="177"/>
    </row>
    <row r="468" spans="1:18" ht="15" hidden="1" customHeight="1">
      <c r="A468" s="173" t="s">
        <v>230</v>
      </c>
      <c r="B468" s="173" t="s">
        <v>231</v>
      </c>
      <c r="C468" s="195">
        <v>210609497</v>
      </c>
      <c r="D468" s="168"/>
      <c r="F468" s="184" t="s">
        <v>115</v>
      </c>
      <c r="G468" s="3" t="s">
        <v>116</v>
      </c>
      <c r="H468" s="3" t="s">
        <v>155</v>
      </c>
      <c r="I468" s="55" t="s">
        <v>229</v>
      </c>
      <c r="J468" s="55">
        <v>46237</v>
      </c>
      <c r="K468" s="55">
        <v>46263</v>
      </c>
      <c r="O468" s="3" t="s">
        <v>10</v>
      </c>
      <c r="R468" s="177"/>
    </row>
    <row r="469" spans="1:18" ht="15" hidden="1" customHeight="1">
      <c r="A469" s="173" t="s">
        <v>230</v>
      </c>
      <c r="B469" s="173" t="s">
        <v>231</v>
      </c>
      <c r="C469" s="195">
        <v>210609488</v>
      </c>
      <c r="D469" s="168"/>
      <c r="F469" s="184" t="s">
        <v>115</v>
      </c>
      <c r="G469" s="3" t="s">
        <v>116</v>
      </c>
      <c r="H469" s="3" t="s">
        <v>155</v>
      </c>
      <c r="I469" s="55" t="s">
        <v>229</v>
      </c>
      <c r="J469" s="55">
        <v>46237</v>
      </c>
      <c r="K469" s="55">
        <v>46263</v>
      </c>
      <c r="O469" s="3" t="s">
        <v>10</v>
      </c>
      <c r="R469" s="177"/>
    </row>
    <row r="470" spans="1:18" ht="15" hidden="1" customHeight="1">
      <c r="A470" s="173" t="s">
        <v>230</v>
      </c>
      <c r="B470" s="173" t="s">
        <v>231</v>
      </c>
      <c r="C470" s="195">
        <v>210609485</v>
      </c>
      <c r="D470" s="168"/>
      <c r="F470" s="29" t="s">
        <v>115</v>
      </c>
      <c r="G470" s="3" t="s">
        <v>116</v>
      </c>
      <c r="H470" s="3" t="s">
        <v>155</v>
      </c>
      <c r="I470" s="59" t="s">
        <v>229</v>
      </c>
      <c r="J470" s="55">
        <v>46237</v>
      </c>
      <c r="K470" s="55">
        <v>46263</v>
      </c>
      <c r="O470" s="3" t="s">
        <v>10</v>
      </c>
      <c r="R470" s="177"/>
    </row>
    <row r="471" spans="1:18" ht="15" hidden="1" customHeight="1">
      <c r="A471" s="173" t="s">
        <v>230</v>
      </c>
      <c r="B471" s="173" t="s">
        <v>231</v>
      </c>
      <c r="C471" s="195">
        <v>210609481</v>
      </c>
      <c r="D471" s="168"/>
      <c r="F471" s="29" t="s">
        <v>115</v>
      </c>
      <c r="G471" s="3" t="s">
        <v>116</v>
      </c>
      <c r="H471" s="3" t="s">
        <v>155</v>
      </c>
      <c r="I471" s="59" t="s">
        <v>229</v>
      </c>
      <c r="J471" s="55">
        <v>46237</v>
      </c>
      <c r="K471" s="55">
        <v>46263</v>
      </c>
      <c r="O471" s="3" t="s">
        <v>10</v>
      </c>
      <c r="R471" s="177"/>
    </row>
    <row r="472" spans="1:18" ht="15" hidden="1" customHeight="1">
      <c r="A472" s="173" t="s">
        <v>154</v>
      </c>
      <c r="B472" s="173">
        <v>20260307552</v>
      </c>
      <c r="C472" s="195">
        <v>211608286</v>
      </c>
      <c r="D472" s="168"/>
      <c r="F472" s="29" t="s">
        <v>115</v>
      </c>
      <c r="G472" s="3" t="s">
        <v>116</v>
      </c>
      <c r="H472" s="3" t="s">
        <v>155</v>
      </c>
      <c r="I472" s="59" t="s">
        <v>232</v>
      </c>
      <c r="J472" s="55">
        <v>46237</v>
      </c>
      <c r="K472" s="55">
        <v>46263</v>
      </c>
      <c r="O472" s="3" t="s">
        <v>10</v>
      </c>
      <c r="R472" s="177"/>
    </row>
    <row r="473" spans="1:18" ht="15" hidden="1" customHeight="1">
      <c r="A473" s="173" t="s">
        <v>154</v>
      </c>
      <c r="B473" s="173">
        <v>20260307552</v>
      </c>
      <c r="C473" s="195">
        <v>211608306</v>
      </c>
      <c r="D473" s="168"/>
      <c r="F473" s="29" t="s">
        <v>115</v>
      </c>
      <c r="G473" s="3" t="s">
        <v>116</v>
      </c>
      <c r="H473" s="3" t="s">
        <v>155</v>
      </c>
      <c r="I473" s="59" t="s">
        <v>232</v>
      </c>
      <c r="J473" s="55">
        <v>46237</v>
      </c>
      <c r="K473" s="55">
        <v>46263</v>
      </c>
      <c r="O473" s="3" t="s">
        <v>9</v>
      </c>
      <c r="R473" s="177"/>
    </row>
    <row r="474" spans="1:18" ht="15" hidden="1" customHeight="1">
      <c r="A474" s="173" t="s">
        <v>154</v>
      </c>
      <c r="B474" s="173">
        <v>20260307552</v>
      </c>
      <c r="C474" s="195">
        <v>211608305</v>
      </c>
      <c r="D474" s="168"/>
      <c r="F474" s="29" t="s">
        <v>115</v>
      </c>
      <c r="G474" s="3" t="s">
        <v>116</v>
      </c>
      <c r="H474" s="3" t="s">
        <v>155</v>
      </c>
      <c r="I474" s="55" t="s">
        <v>232</v>
      </c>
      <c r="J474" s="55">
        <v>46237</v>
      </c>
      <c r="K474" s="55">
        <v>46263</v>
      </c>
      <c r="O474" s="3" t="s">
        <v>9</v>
      </c>
      <c r="R474" s="177"/>
    </row>
    <row r="475" spans="1:18" ht="15" hidden="1" customHeight="1">
      <c r="A475" s="173" t="s">
        <v>154</v>
      </c>
      <c r="B475" s="173">
        <v>20260307552</v>
      </c>
      <c r="C475" s="195">
        <v>211608299</v>
      </c>
      <c r="D475" s="168"/>
      <c r="F475" s="29" t="s">
        <v>115</v>
      </c>
      <c r="G475" s="3" t="s">
        <v>116</v>
      </c>
      <c r="H475" s="3" t="s">
        <v>155</v>
      </c>
      <c r="I475" s="55" t="s">
        <v>232</v>
      </c>
      <c r="J475" s="55">
        <v>46237</v>
      </c>
      <c r="K475" s="55">
        <v>46263</v>
      </c>
      <c r="O475" s="3" t="s">
        <v>9</v>
      </c>
      <c r="R475" s="177"/>
    </row>
    <row r="476" spans="1:18" ht="15" hidden="1" customHeight="1">
      <c r="A476" s="173" t="s">
        <v>154</v>
      </c>
      <c r="B476" s="173">
        <v>20260307552</v>
      </c>
      <c r="C476" s="195">
        <v>211608300</v>
      </c>
      <c r="D476" s="168"/>
      <c r="F476" s="29" t="s">
        <v>115</v>
      </c>
      <c r="G476" s="3" t="s">
        <v>116</v>
      </c>
      <c r="H476" s="3" t="s">
        <v>155</v>
      </c>
      <c r="I476" s="55" t="s">
        <v>232</v>
      </c>
      <c r="J476" s="55">
        <v>46237</v>
      </c>
      <c r="K476" s="55">
        <v>46263</v>
      </c>
      <c r="O476" s="3" t="s">
        <v>9</v>
      </c>
      <c r="R476" s="177"/>
    </row>
    <row r="477" spans="1:18" ht="15" hidden="1" customHeight="1">
      <c r="A477" s="173" t="s">
        <v>154</v>
      </c>
      <c r="B477" s="173">
        <v>20260307552</v>
      </c>
      <c r="C477" s="195">
        <v>211608294</v>
      </c>
      <c r="D477" s="168"/>
      <c r="F477" s="29" t="s">
        <v>115</v>
      </c>
      <c r="G477" s="3" t="s">
        <v>116</v>
      </c>
      <c r="H477" s="3" t="s">
        <v>155</v>
      </c>
      <c r="I477" s="55" t="s">
        <v>232</v>
      </c>
      <c r="J477" s="55">
        <v>46237</v>
      </c>
      <c r="K477" s="55">
        <v>46263</v>
      </c>
      <c r="O477" s="3" t="s">
        <v>9</v>
      </c>
      <c r="R477" s="177"/>
    </row>
    <row r="478" spans="1:18" ht="15" hidden="1" customHeight="1">
      <c r="A478" s="183" t="s">
        <v>154</v>
      </c>
      <c r="B478" s="173">
        <v>20260307552</v>
      </c>
      <c r="C478" s="197">
        <v>211608291</v>
      </c>
      <c r="D478" s="203"/>
      <c r="E478" s="184"/>
      <c r="F478" s="29" t="s">
        <v>115</v>
      </c>
      <c r="G478" s="3" t="s">
        <v>116</v>
      </c>
      <c r="H478" s="3" t="s">
        <v>155</v>
      </c>
      <c r="I478" s="55" t="s">
        <v>232</v>
      </c>
      <c r="J478" s="55">
        <v>46237</v>
      </c>
      <c r="K478" s="55">
        <v>46263</v>
      </c>
      <c r="L478" s="45"/>
      <c r="M478" s="45"/>
      <c r="N478" s="45"/>
      <c r="O478" s="3" t="s">
        <v>9</v>
      </c>
      <c r="P478" s="45"/>
      <c r="Q478" s="185"/>
      <c r="R478" s="186"/>
    </row>
    <row r="479" spans="1:18" ht="15" customHeight="1">
      <c r="A479" s="183" t="s">
        <v>233</v>
      </c>
      <c r="B479" s="183" t="s">
        <v>234</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233</v>
      </c>
      <c r="B480" s="183" t="s">
        <v>234</v>
      </c>
      <c r="C480" s="195">
        <v>215604331</v>
      </c>
      <c r="D480" s="168"/>
      <c r="F480" s="29" t="s">
        <v>88</v>
      </c>
      <c r="G480" s="3" t="s">
        <v>116</v>
      </c>
      <c r="H480" s="3" t="s">
        <v>30</v>
      </c>
      <c r="I480" s="55">
        <v>46237</v>
      </c>
      <c r="J480" s="55">
        <v>46240</v>
      </c>
      <c r="K480" s="55">
        <v>46268</v>
      </c>
      <c r="O480" s="45" t="s">
        <v>10</v>
      </c>
      <c r="R480" s="177"/>
    </row>
    <row r="481" spans="1:18" ht="15" customHeight="1">
      <c r="A481" s="183" t="s">
        <v>233</v>
      </c>
      <c r="B481" s="183" t="s">
        <v>234</v>
      </c>
      <c r="C481" s="195">
        <v>215604384</v>
      </c>
      <c r="D481" s="168"/>
      <c r="F481" s="29" t="s">
        <v>88</v>
      </c>
      <c r="G481" s="3" t="s">
        <v>116</v>
      </c>
      <c r="H481" s="3" t="s">
        <v>30</v>
      </c>
      <c r="I481" s="55">
        <v>46237</v>
      </c>
      <c r="J481" s="55">
        <v>46240</v>
      </c>
      <c r="K481" s="55">
        <v>46268</v>
      </c>
      <c r="O481" s="45" t="s">
        <v>10</v>
      </c>
      <c r="R481" s="177"/>
    </row>
    <row r="482" spans="1:18" ht="15" customHeight="1">
      <c r="A482" s="183" t="s">
        <v>233</v>
      </c>
      <c r="B482" s="183" t="s">
        <v>234</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hidden="1" customHeight="1">
      <c r="A483" s="183" t="s">
        <v>235</v>
      </c>
      <c r="B483" s="183">
        <v>20254654</v>
      </c>
      <c r="C483" s="197">
        <v>216607470</v>
      </c>
      <c r="D483" s="168"/>
      <c r="F483" s="184" t="s">
        <v>236</v>
      </c>
      <c r="G483" s="45" t="s">
        <v>237</v>
      </c>
      <c r="H483" s="45" t="s">
        <v>30</v>
      </c>
      <c r="I483" s="59">
        <v>46234</v>
      </c>
      <c r="J483" s="59">
        <v>46239</v>
      </c>
      <c r="K483" s="59">
        <v>46265</v>
      </c>
      <c r="L483" s="45"/>
      <c r="M483" s="45"/>
      <c r="N483" s="45"/>
      <c r="O483" s="3" t="s">
        <v>60</v>
      </c>
      <c r="P483" s="45"/>
      <c r="Q483" s="185"/>
      <c r="R483" s="186"/>
    </row>
    <row r="484" spans="1:18" ht="15" hidden="1" customHeight="1">
      <c r="A484" s="183" t="s">
        <v>235</v>
      </c>
      <c r="B484" s="183">
        <v>20254654</v>
      </c>
      <c r="C484" s="195">
        <v>216607340</v>
      </c>
      <c r="D484" s="168"/>
      <c r="F484" s="184" t="s">
        <v>236</v>
      </c>
      <c r="G484" s="45" t="s">
        <v>237</v>
      </c>
      <c r="H484" s="45" t="s">
        <v>30</v>
      </c>
      <c r="I484" s="59">
        <v>46234</v>
      </c>
      <c r="J484" s="59">
        <v>46239</v>
      </c>
      <c r="K484" s="59">
        <v>46265</v>
      </c>
      <c r="O484" s="3" t="s">
        <v>60</v>
      </c>
      <c r="R484" s="177"/>
    </row>
    <row r="485" spans="1:18" ht="15" hidden="1" customHeight="1">
      <c r="A485" s="183" t="s">
        <v>235</v>
      </c>
      <c r="B485" s="183">
        <v>20254654</v>
      </c>
      <c r="C485" s="195">
        <v>216607274</v>
      </c>
      <c r="D485" s="168"/>
      <c r="F485" s="184" t="s">
        <v>236</v>
      </c>
      <c r="G485" s="45" t="s">
        <v>237</v>
      </c>
      <c r="H485" s="45" t="s">
        <v>30</v>
      </c>
      <c r="I485" s="59">
        <v>46234</v>
      </c>
      <c r="J485" s="59">
        <v>46239</v>
      </c>
      <c r="K485" s="59">
        <v>46265</v>
      </c>
      <c r="O485" s="3" t="s">
        <v>60</v>
      </c>
      <c r="R485" s="177"/>
    </row>
    <row r="486" spans="1:18" ht="15" hidden="1" customHeight="1">
      <c r="A486" s="183" t="s">
        <v>235</v>
      </c>
      <c r="B486" s="183">
        <v>20254654</v>
      </c>
      <c r="C486" s="195">
        <v>216607219</v>
      </c>
      <c r="D486" s="168"/>
      <c r="F486" s="184" t="s">
        <v>236</v>
      </c>
      <c r="G486" s="45" t="s">
        <v>237</v>
      </c>
      <c r="H486" s="45" t="s">
        <v>30</v>
      </c>
      <c r="I486" s="59">
        <v>46234</v>
      </c>
      <c r="J486" s="59">
        <v>46239</v>
      </c>
      <c r="K486" s="59">
        <v>46265</v>
      </c>
      <c r="O486" s="3" t="s">
        <v>60</v>
      </c>
      <c r="R486" s="177"/>
    </row>
    <row r="487" spans="1:18" ht="15" hidden="1" customHeight="1">
      <c r="A487" s="183" t="s">
        <v>235</v>
      </c>
      <c r="B487" s="183">
        <v>20254654</v>
      </c>
      <c r="C487" s="195">
        <v>216605143</v>
      </c>
      <c r="D487" s="168"/>
      <c r="F487" s="184" t="s">
        <v>236</v>
      </c>
      <c r="G487" s="45" t="s">
        <v>237</v>
      </c>
      <c r="H487" s="45" t="s">
        <v>30</v>
      </c>
      <c r="I487" s="59">
        <v>46234</v>
      </c>
      <c r="J487" s="59">
        <v>46239</v>
      </c>
      <c r="K487" s="59">
        <v>46265</v>
      </c>
      <c r="O487" s="3" t="s">
        <v>60</v>
      </c>
      <c r="R487" s="177"/>
    </row>
    <row r="488" spans="1:18" ht="15" hidden="1" customHeight="1">
      <c r="A488" s="183" t="s">
        <v>235</v>
      </c>
      <c r="B488" s="183">
        <v>20254654</v>
      </c>
      <c r="C488" s="195">
        <v>216605023</v>
      </c>
      <c r="D488" s="168"/>
      <c r="F488" s="184" t="s">
        <v>236</v>
      </c>
      <c r="G488" s="45" t="s">
        <v>237</v>
      </c>
      <c r="H488" s="45" t="s">
        <v>30</v>
      </c>
      <c r="I488" s="59">
        <v>46234</v>
      </c>
      <c r="J488" s="59">
        <v>46239</v>
      </c>
      <c r="K488" s="59">
        <v>46265</v>
      </c>
      <c r="O488" s="3" t="s">
        <v>60</v>
      </c>
      <c r="R488" s="177"/>
    </row>
    <row r="489" spans="1:18" ht="15" hidden="1" customHeight="1">
      <c r="A489" s="183" t="s">
        <v>235</v>
      </c>
      <c r="B489" s="183">
        <v>20254654</v>
      </c>
      <c r="C489" s="195">
        <v>216605095</v>
      </c>
      <c r="D489" s="168"/>
      <c r="F489" s="184" t="s">
        <v>236</v>
      </c>
      <c r="G489" s="45" t="s">
        <v>237</v>
      </c>
      <c r="H489" s="45" t="s">
        <v>30</v>
      </c>
      <c r="I489" s="59">
        <v>46234</v>
      </c>
      <c r="J489" s="59">
        <v>46239</v>
      </c>
      <c r="K489" s="59">
        <v>46265</v>
      </c>
      <c r="O489" s="3" t="s">
        <v>60</v>
      </c>
      <c r="R489" s="177"/>
    </row>
    <row r="490" spans="1:18" ht="15" hidden="1" customHeight="1">
      <c r="A490" s="183" t="s">
        <v>235</v>
      </c>
      <c r="B490" s="183">
        <v>20254654</v>
      </c>
      <c r="C490" s="195">
        <v>216605237</v>
      </c>
      <c r="D490" s="168"/>
      <c r="F490" s="184" t="s">
        <v>236</v>
      </c>
      <c r="G490" s="45" t="s">
        <v>237</v>
      </c>
      <c r="H490" s="45" t="s">
        <v>30</v>
      </c>
      <c r="I490" s="59">
        <v>46234</v>
      </c>
      <c r="J490" s="59">
        <v>46239</v>
      </c>
      <c r="K490" s="59">
        <v>46265</v>
      </c>
      <c r="O490" s="3" t="s">
        <v>60</v>
      </c>
      <c r="R490" s="177"/>
    </row>
    <row r="491" spans="1:18" ht="15" hidden="1" customHeight="1">
      <c r="A491" s="183" t="s">
        <v>235</v>
      </c>
      <c r="B491" s="183">
        <v>20254654</v>
      </c>
      <c r="C491" s="195">
        <v>216605254</v>
      </c>
      <c r="D491" s="168"/>
      <c r="F491" s="184" t="s">
        <v>236</v>
      </c>
      <c r="G491" s="45" t="s">
        <v>237</v>
      </c>
      <c r="H491" s="45" t="s">
        <v>30</v>
      </c>
      <c r="I491" s="59">
        <v>46234</v>
      </c>
      <c r="J491" s="59">
        <v>46239</v>
      </c>
      <c r="K491" s="59">
        <v>46265</v>
      </c>
      <c r="O491" s="3" t="s">
        <v>60</v>
      </c>
      <c r="R491" s="177"/>
    </row>
    <row r="492" spans="1:18" ht="15" hidden="1" customHeight="1">
      <c r="A492" s="183" t="s">
        <v>235</v>
      </c>
      <c r="B492" s="183">
        <v>20254654</v>
      </c>
      <c r="C492" s="195">
        <v>216605270</v>
      </c>
      <c r="D492" s="168"/>
      <c r="F492" s="184" t="s">
        <v>236</v>
      </c>
      <c r="G492" s="45" t="s">
        <v>237</v>
      </c>
      <c r="H492" s="45" t="s">
        <v>30</v>
      </c>
      <c r="I492" s="59">
        <v>46234</v>
      </c>
      <c r="J492" s="59">
        <v>46239</v>
      </c>
      <c r="K492" s="59">
        <v>46265</v>
      </c>
      <c r="O492" s="3" t="s">
        <v>60</v>
      </c>
      <c r="R492" s="177"/>
    </row>
    <row r="493" spans="1:18" ht="15" hidden="1" customHeight="1">
      <c r="A493" s="183" t="s">
        <v>235</v>
      </c>
      <c r="B493" s="183">
        <v>20254654</v>
      </c>
      <c r="C493" s="195">
        <v>216605280</v>
      </c>
      <c r="D493" s="168"/>
      <c r="F493" s="184" t="s">
        <v>236</v>
      </c>
      <c r="G493" s="45" t="s">
        <v>237</v>
      </c>
      <c r="H493" s="45" t="s">
        <v>30</v>
      </c>
      <c r="I493" s="59">
        <v>46234</v>
      </c>
      <c r="J493" s="59">
        <v>46239</v>
      </c>
      <c r="K493" s="59">
        <v>46265</v>
      </c>
      <c r="O493" s="3" t="s">
        <v>60</v>
      </c>
      <c r="R493" s="177"/>
    </row>
    <row r="494" spans="1:18" ht="15" hidden="1" customHeight="1">
      <c r="A494" s="183" t="s">
        <v>235</v>
      </c>
      <c r="B494" s="183">
        <v>20254654</v>
      </c>
      <c r="C494" s="195">
        <v>216605302</v>
      </c>
      <c r="D494" s="168"/>
      <c r="F494" s="184" t="s">
        <v>236</v>
      </c>
      <c r="G494" s="45" t="s">
        <v>237</v>
      </c>
      <c r="H494" s="45" t="s">
        <v>30</v>
      </c>
      <c r="I494" s="59">
        <v>46234</v>
      </c>
      <c r="J494" s="59">
        <v>46239</v>
      </c>
      <c r="K494" s="59">
        <v>46265</v>
      </c>
      <c r="O494" s="3" t="s">
        <v>60</v>
      </c>
      <c r="R494" s="177"/>
    </row>
    <row r="495" spans="1:18" ht="15" hidden="1" customHeight="1">
      <c r="A495" s="173" t="s">
        <v>238</v>
      </c>
      <c r="B495" s="173" t="s">
        <v>228</v>
      </c>
      <c r="C495">
        <v>200600185</v>
      </c>
      <c r="D495" s="168"/>
      <c r="F495" s="184" t="s">
        <v>239</v>
      </c>
      <c r="G495" s="45" t="s">
        <v>225</v>
      </c>
      <c r="H495" s="45" t="s">
        <v>240</v>
      </c>
      <c r="I495" s="59">
        <v>46230</v>
      </c>
      <c r="J495" s="59">
        <v>46235</v>
      </c>
      <c r="K495" s="59">
        <v>46261</v>
      </c>
      <c r="O495" s="3" t="s">
        <v>10</v>
      </c>
      <c r="R495" s="177"/>
    </row>
    <row r="496" spans="1:18" ht="15" hidden="1" customHeight="1">
      <c r="A496" s="173" t="s">
        <v>238</v>
      </c>
      <c r="B496" s="173" t="s">
        <v>228</v>
      </c>
      <c r="C496" s="195">
        <v>200600194</v>
      </c>
      <c r="D496" s="168"/>
      <c r="F496" s="184" t="s">
        <v>239</v>
      </c>
      <c r="G496" s="45" t="s">
        <v>225</v>
      </c>
      <c r="H496" s="45" t="s">
        <v>240</v>
      </c>
      <c r="I496" s="59">
        <v>46230</v>
      </c>
      <c r="J496" s="59">
        <v>46235</v>
      </c>
      <c r="K496" s="59">
        <v>46261</v>
      </c>
      <c r="O496" s="3" t="s">
        <v>10</v>
      </c>
      <c r="R496" s="177"/>
    </row>
    <row r="497" spans="1:18" ht="15" hidden="1" customHeight="1">
      <c r="A497" s="173" t="s">
        <v>238</v>
      </c>
      <c r="B497" s="173" t="s">
        <v>228</v>
      </c>
      <c r="C497" s="195">
        <v>200600195</v>
      </c>
      <c r="D497" s="168"/>
      <c r="F497" s="184" t="s">
        <v>239</v>
      </c>
      <c r="G497" s="45" t="s">
        <v>225</v>
      </c>
      <c r="H497" s="45" t="s">
        <v>240</v>
      </c>
      <c r="I497" s="59">
        <v>46230</v>
      </c>
      <c r="J497" s="59">
        <v>46235</v>
      </c>
      <c r="K497" s="59">
        <v>46261</v>
      </c>
      <c r="O497" s="3" t="s">
        <v>10</v>
      </c>
      <c r="R497" s="177"/>
    </row>
    <row r="498" spans="1:18" ht="15" hidden="1" customHeight="1">
      <c r="A498" s="173" t="s">
        <v>238</v>
      </c>
      <c r="B498" s="173" t="s">
        <v>231</v>
      </c>
      <c r="C498" s="195">
        <v>200600197</v>
      </c>
      <c r="D498" s="168"/>
      <c r="F498" s="184" t="s">
        <v>239</v>
      </c>
      <c r="G498" s="45" t="s">
        <v>225</v>
      </c>
      <c r="H498" s="45" t="s">
        <v>240</v>
      </c>
      <c r="I498" s="59">
        <v>46230</v>
      </c>
      <c r="J498" s="59">
        <v>46235</v>
      </c>
      <c r="K498" s="59">
        <v>46261</v>
      </c>
      <c r="O498" s="3" t="s">
        <v>10</v>
      </c>
      <c r="R498" s="177"/>
    </row>
    <row r="499" spans="1:18" ht="15" hidden="1" customHeight="1">
      <c r="A499" s="173" t="s">
        <v>238</v>
      </c>
      <c r="B499" s="173" t="s">
        <v>231</v>
      </c>
      <c r="C499" s="195">
        <v>200600199</v>
      </c>
      <c r="D499" s="168"/>
      <c r="F499" s="184" t="s">
        <v>239</v>
      </c>
      <c r="G499" s="45" t="s">
        <v>225</v>
      </c>
      <c r="H499" s="45" t="s">
        <v>240</v>
      </c>
      <c r="I499" s="59">
        <v>46230</v>
      </c>
      <c r="J499" s="59">
        <v>46235</v>
      </c>
      <c r="K499" s="59">
        <v>46261</v>
      </c>
      <c r="O499" s="3" t="s">
        <v>10</v>
      </c>
      <c r="R499" s="177"/>
    </row>
    <row r="500" spans="1:18" ht="15" hidden="1" customHeight="1">
      <c r="A500" s="173" t="s">
        <v>238</v>
      </c>
      <c r="B500" s="173" t="s">
        <v>231</v>
      </c>
      <c r="C500" s="195">
        <v>200600202</v>
      </c>
      <c r="D500" s="168"/>
      <c r="F500" s="184" t="s">
        <v>239</v>
      </c>
      <c r="G500" s="45" t="s">
        <v>225</v>
      </c>
      <c r="H500" s="45" t="s">
        <v>240</v>
      </c>
      <c r="I500" s="59">
        <v>46230</v>
      </c>
      <c r="J500" s="59">
        <v>46235</v>
      </c>
      <c r="K500" s="59">
        <v>46261</v>
      </c>
      <c r="O500" s="3" t="s">
        <v>10</v>
      </c>
      <c r="R500" s="177"/>
    </row>
    <row r="501" spans="1:18" ht="15" hidden="1" customHeight="1">
      <c r="A501" s="173" t="s">
        <v>238</v>
      </c>
      <c r="B501" s="173" t="s">
        <v>231</v>
      </c>
      <c r="C501" s="195">
        <v>200600205</v>
      </c>
      <c r="D501" s="168"/>
      <c r="F501" s="184" t="s">
        <v>239</v>
      </c>
      <c r="G501" s="45" t="s">
        <v>225</v>
      </c>
      <c r="H501" s="45" t="s">
        <v>240</v>
      </c>
      <c r="I501" s="59">
        <v>46230</v>
      </c>
      <c r="J501" s="59">
        <v>46235</v>
      </c>
      <c r="K501" s="59">
        <v>46261</v>
      </c>
      <c r="O501" s="3" t="s">
        <v>10</v>
      </c>
      <c r="R501" s="177"/>
    </row>
    <row r="502" spans="1:18" ht="15" hidden="1" customHeight="1">
      <c r="A502" s="173" t="s">
        <v>238</v>
      </c>
      <c r="B502" s="173" t="s">
        <v>231</v>
      </c>
      <c r="C502" s="195">
        <v>200600206</v>
      </c>
      <c r="D502" s="168"/>
      <c r="F502" s="29" t="s">
        <v>239</v>
      </c>
      <c r="G502" s="45" t="s">
        <v>225</v>
      </c>
      <c r="H502" s="45" t="s">
        <v>240</v>
      </c>
      <c r="I502" s="59">
        <v>46230</v>
      </c>
      <c r="J502" s="59">
        <v>46235</v>
      </c>
      <c r="K502" s="59">
        <v>46261</v>
      </c>
      <c r="O502" s="3" t="s">
        <v>10</v>
      </c>
      <c r="R502" s="177"/>
    </row>
    <row r="503" spans="1:18" ht="15" hidden="1" customHeight="1">
      <c r="A503" s="173" t="s">
        <v>238</v>
      </c>
      <c r="B503" s="173" t="s">
        <v>231</v>
      </c>
      <c r="C503" s="195">
        <v>200600208</v>
      </c>
      <c r="D503" s="168"/>
      <c r="F503" s="29" t="s">
        <v>239</v>
      </c>
      <c r="G503" s="45" t="s">
        <v>225</v>
      </c>
      <c r="H503" s="45" t="s">
        <v>240</v>
      </c>
      <c r="I503" s="59">
        <v>46230</v>
      </c>
      <c r="J503" s="59">
        <v>46235</v>
      </c>
      <c r="K503" s="59">
        <v>46261</v>
      </c>
      <c r="O503" s="3" t="s">
        <v>10</v>
      </c>
      <c r="R503" s="177"/>
    </row>
    <row r="504" spans="1:18" ht="15" hidden="1" customHeight="1">
      <c r="A504" s="173" t="s">
        <v>238</v>
      </c>
      <c r="B504" s="173" t="s">
        <v>231</v>
      </c>
      <c r="C504" s="195">
        <v>200600211</v>
      </c>
      <c r="D504" s="168"/>
      <c r="F504" s="29" t="s">
        <v>239</v>
      </c>
      <c r="G504" s="45" t="s">
        <v>225</v>
      </c>
      <c r="H504" s="45" t="s">
        <v>240</v>
      </c>
      <c r="I504" s="59">
        <v>46230</v>
      </c>
      <c r="J504" s="59">
        <v>46235</v>
      </c>
      <c r="K504" s="59">
        <v>46261</v>
      </c>
      <c r="O504" s="3" t="s">
        <v>10</v>
      </c>
      <c r="R504" s="177"/>
    </row>
    <row r="505" spans="1:18" ht="15" hidden="1" customHeight="1">
      <c r="A505" s="173" t="s">
        <v>238</v>
      </c>
      <c r="B505" s="173" t="s">
        <v>231</v>
      </c>
      <c r="C505" s="197">
        <v>200600212</v>
      </c>
      <c r="D505" s="203"/>
      <c r="E505" s="184"/>
      <c r="F505" s="29" t="s">
        <v>239</v>
      </c>
      <c r="G505" s="45" t="s">
        <v>225</v>
      </c>
      <c r="H505" s="45" t="s">
        <v>240</v>
      </c>
      <c r="I505" s="59">
        <v>46230</v>
      </c>
      <c r="J505" s="59">
        <v>46235</v>
      </c>
      <c r="K505" s="59">
        <v>46261</v>
      </c>
      <c r="L505" s="45"/>
      <c r="M505" s="45"/>
      <c r="N505" s="45"/>
      <c r="O505" s="3" t="s">
        <v>10</v>
      </c>
      <c r="P505" s="45"/>
      <c r="Q505" s="185"/>
      <c r="R505" s="186"/>
    </row>
    <row r="506" spans="1:18" ht="15" hidden="1" customHeight="1">
      <c r="A506" s="173" t="s">
        <v>241</v>
      </c>
      <c r="B506" s="173">
        <v>20260307552</v>
      </c>
      <c r="C506" s="195">
        <v>198607216</v>
      </c>
      <c r="D506" s="168"/>
      <c r="F506" s="29" t="s">
        <v>239</v>
      </c>
      <c r="G506" s="45" t="s">
        <v>225</v>
      </c>
      <c r="H506" s="45" t="s">
        <v>240</v>
      </c>
      <c r="I506" s="59">
        <v>46230</v>
      </c>
      <c r="J506" s="59">
        <v>46235</v>
      </c>
      <c r="K506" s="59">
        <v>46261</v>
      </c>
      <c r="O506" s="3" t="s">
        <v>10</v>
      </c>
      <c r="R506" s="177"/>
    </row>
    <row r="507" spans="1:18" ht="15" hidden="1" customHeight="1">
      <c r="A507" s="173" t="s">
        <v>241</v>
      </c>
      <c r="B507" s="173">
        <v>20260307552</v>
      </c>
      <c r="C507" s="195">
        <v>198607245</v>
      </c>
      <c r="D507" s="168"/>
      <c r="F507" s="29" t="s">
        <v>239</v>
      </c>
      <c r="G507" s="45" t="s">
        <v>225</v>
      </c>
      <c r="H507" s="45" t="s">
        <v>240</v>
      </c>
      <c r="I507" s="59">
        <v>46230</v>
      </c>
      <c r="J507" s="59">
        <v>46235</v>
      </c>
      <c r="K507" s="59">
        <v>46261</v>
      </c>
      <c r="O507" s="3" t="s">
        <v>10</v>
      </c>
      <c r="R507" s="177"/>
    </row>
    <row r="508" spans="1:18" ht="15" hidden="1" customHeight="1">
      <c r="A508" s="173" t="s">
        <v>241</v>
      </c>
      <c r="B508" s="173">
        <v>20260307552</v>
      </c>
      <c r="C508" s="195">
        <v>198607250</v>
      </c>
      <c r="D508" s="168"/>
      <c r="F508" s="29" t="s">
        <v>239</v>
      </c>
      <c r="G508" s="45" t="s">
        <v>225</v>
      </c>
      <c r="H508" s="45" t="s">
        <v>240</v>
      </c>
      <c r="I508" s="59">
        <v>46230</v>
      </c>
      <c r="J508" s="59">
        <v>46235</v>
      </c>
      <c r="K508" s="59">
        <v>46261</v>
      </c>
      <c r="O508" s="3" t="s">
        <v>10</v>
      </c>
      <c r="R508" s="177"/>
    </row>
    <row r="509" spans="1:18" ht="15" hidden="1" customHeight="1">
      <c r="A509" s="173" t="s">
        <v>241</v>
      </c>
      <c r="B509" s="173">
        <v>20260307552</v>
      </c>
      <c r="C509" s="195">
        <v>198607296</v>
      </c>
      <c r="D509" s="168"/>
      <c r="F509" s="29" t="s">
        <v>239</v>
      </c>
      <c r="G509" s="45" t="s">
        <v>225</v>
      </c>
      <c r="H509" s="45" t="s">
        <v>240</v>
      </c>
      <c r="I509" s="59">
        <v>46230</v>
      </c>
      <c r="J509" s="59">
        <v>46235</v>
      </c>
      <c r="K509" s="59">
        <v>46261</v>
      </c>
      <c r="O509" s="3" t="s">
        <v>10</v>
      </c>
      <c r="R509" s="177"/>
    </row>
    <row r="510" spans="1:18" ht="15" hidden="1" customHeight="1">
      <c r="A510" s="173" t="s">
        <v>241</v>
      </c>
      <c r="B510" s="173">
        <v>20260307552</v>
      </c>
      <c r="C510" s="195">
        <v>198607319</v>
      </c>
      <c r="D510" s="168"/>
      <c r="F510" s="29" t="s">
        <v>239</v>
      </c>
      <c r="G510" s="45" t="s">
        <v>225</v>
      </c>
      <c r="H510" s="45" t="s">
        <v>240</v>
      </c>
      <c r="I510" s="59">
        <v>46230</v>
      </c>
      <c r="J510" s="59">
        <v>46235</v>
      </c>
      <c r="K510" s="59">
        <v>46261</v>
      </c>
      <c r="O510" s="3" t="s">
        <v>10</v>
      </c>
      <c r="R510" s="177"/>
    </row>
    <row r="511" spans="1:18" ht="15" hidden="1" customHeight="1">
      <c r="A511" s="173" t="s">
        <v>241</v>
      </c>
      <c r="B511" s="173" t="s">
        <v>242</v>
      </c>
      <c r="C511" s="195">
        <v>198607339</v>
      </c>
      <c r="D511" s="168"/>
      <c r="F511" s="184" t="s">
        <v>239</v>
      </c>
      <c r="G511" s="45" t="s">
        <v>225</v>
      </c>
      <c r="H511" s="45" t="s">
        <v>240</v>
      </c>
      <c r="I511" s="59">
        <v>46230</v>
      </c>
      <c r="J511" s="59">
        <v>46235</v>
      </c>
      <c r="K511" s="59">
        <v>46261</v>
      </c>
      <c r="M511" s="232">
        <v>214600122</v>
      </c>
      <c r="O511" s="3" t="s">
        <v>10</v>
      </c>
      <c r="R511" s="177"/>
    </row>
    <row r="512" spans="1:18" ht="15" hidden="1" customHeight="1">
      <c r="A512" s="173" t="s">
        <v>241</v>
      </c>
      <c r="B512" s="173" t="s">
        <v>242</v>
      </c>
      <c r="C512" s="195">
        <v>198607346</v>
      </c>
      <c r="D512" s="168"/>
      <c r="F512" s="184" t="s">
        <v>239</v>
      </c>
      <c r="G512" s="45" t="s">
        <v>225</v>
      </c>
      <c r="H512" s="45" t="s">
        <v>240</v>
      </c>
      <c r="I512" s="59">
        <v>46230</v>
      </c>
      <c r="J512" s="59">
        <v>46235</v>
      </c>
      <c r="K512" s="59">
        <v>46261</v>
      </c>
      <c r="O512" s="3" t="s">
        <v>10</v>
      </c>
      <c r="R512" s="177"/>
    </row>
    <row r="513" spans="1:18" ht="15" hidden="1" customHeight="1">
      <c r="A513" s="173" t="s">
        <v>241</v>
      </c>
      <c r="B513" s="173" t="s">
        <v>242</v>
      </c>
      <c r="C513" s="195">
        <v>198607364</v>
      </c>
      <c r="D513" s="168"/>
      <c r="F513" s="184" t="s">
        <v>239</v>
      </c>
      <c r="G513" s="45" t="s">
        <v>225</v>
      </c>
      <c r="H513" s="45" t="s">
        <v>240</v>
      </c>
      <c r="I513" s="59">
        <v>46230</v>
      </c>
      <c r="J513" s="59">
        <v>46235</v>
      </c>
      <c r="K513" s="59">
        <v>46261</v>
      </c>
      <c r="O513" s="3" t="s">
        <v>10</v>
      </c>
      <c r="R513" s="177"/>
    </row>
    <row r="514" spans="1:18" ht="15" hidden="1" customHeight="1">
      <c r="A514" s="173" t="s">
        <v>241</v>
      </c>
      <c r="B514" s="173" t="s">
        <v>242</v>
      </c>
      <c r="C514" s="195">
        <v>198607376</v>
      </c>
      <c r="D514" s="168"/>
      <c r="F514" s="184" t="s">
        <v>239</v>
      </c>
      <c r="G514" s="45" t="s">
        <v>225</v>
      </c>
      <c r="H514" s="45" t="s">
        <v>240</v>
      </c>
      <c r="I514" s="59">
        <v>46230</v>
      </c>
      <c r="J514" s="59">
        <v>46235</v>
      </c>
      <c r="K514" s="59">
        <v>46261</v>
      </c>
      <c r="O514" s="3" t="s">
        <v>10</v>
      </c>
      <c r="R514" s="177"/>
    </row>
    <row r="515" spans="1:18" ht="15" hidden="1" customHeight="1">
      <c r="A515" s="173" t="s">
        <v>241</v>
      </c>
      <c r="B515" s="173" t="s">
        <v>242</v>
      </c>
      <c r="C515" s="195">
        <v>198607380</v>
      </c>
      <c r="D515" s="168"/>
      <c r="F515" s="184" t="s">
        <v>239</v>
      </c>
      <c r="G515" s="45" t="s">
        <v>225</v>
      </c>
      <c r="H515" s="45" t="s">
        <v>240</v>
      </c>
      <c r="I515" s="59">
        <v>46230</v>
      </c>
      <c r="J515" s="59">
        <v>46235</v>
      </c>
      <c r="K515" s="59">
        <v>46261</v>
      </c>
      <c r="O515" s="3" t="s">
        <v>10</v>
      </c>
      <c r="R515" s="177"/>
    </row>
    <row r="516" spans="1:18" ht="15" hidden="1" customHeight="1">
      <c r="A516" s="173" t="s">
        <v>241</v>
      </c>
      <c r="B516" s="173" t="s">
        <v>242</v>
      </c>
      <c r="C516" s="195">
        <v>198607403</v>
      </c>
      <c r="D516" s="168"/>
      <c r="F516" s="184" t="s">
        <v>239</v>
      </c>
      <c r="G516" s="45" t="s">
        <v>225</v>
      </c>
      <c r="H516" s="45" t="s">
        <v>240</v>
      </c>
      <c r="I516" s="59">
        <v>46230</v>
      </c>
      <c r="J516" s="59">
        <v>46235</v>
      </c>
      <c r="K516" s="59">
        <v>46261</v>
      </c>
      <c r="O516" s="3" t="s">
        <v>10</v>
      </c>
      <c r="R516" s="177"/>
    </row>
    <row r="517" spans="1:18" ht="15" hidden="1" customHeight="1">
      <c r="A517" s="173" t="s">
        <v>241</v>
      </c>
      <c r="B517" s="173" t="s">
        <v>242</v>
      </c>
      <c r="C517" s="197">
        <v>198607425</v>
      </c>
      <c r="D517" s="203"/>
      <c r="E517" s="184"/>
      <c r="F517" s="29" t="s">
        <v>239</v>
      </c>
      <c r="G517" s="45" t="s">
        <v>225</v>
      </c>
      <c r="H517" s="45" t="s">
        <v>240</v>
      </c>
      <c r="I517" s="59">
        <v>46230</v>
      </c>
      <c r="J517" s="59">
        <v>46235</v>
      </c>
      <c r="K517" s="59">
        <v>46261</v>
      </c>
      <c r="L517" s="45"/>
      <c r="M517" s="45"/>
      <c r="N517" s="45"/>
      <c r="O517" s="3" t="s">
        <v>10</v>
      </c>
      <c r="P517" s="45"/>
      <c r="Q517" s="185"/>
      <c r="R517" s="186"/>
    </row>
    <row r="518" spans="1:18" ht="15" hidden="1" customHeight="1">
      <c r="A518" s="173" t="s">
        <v>243</v>
      </c>
      <c r="B518" s="173" t="s">
        <v>244</v>
      </c>
      <c r="C518" s="195">
        <v>202610374</v>
      </c>
      <c r="D518" s="168"/>
      <c r="F518" s="29" t="s">
        <v>239</v>
      </c>
      <c r="G518" s="45" t="s">
        <v>225</v>
      </c>
      <c r="H518" s="45" t="s">
        <v>240</v>
      </c>
      <c r="I518" s="59">
        <v>46230</v>
      </c>
      <c r="J518" s="59">
        <v>46235</v>
      </c>
      <c r="K518" s="59">
        <v>46261</v>
      </c>
      <c r="O518" s="3" t="s">
        <v>10</v>
      </c>
      <c r="R518" s="177"/>
    </row>
    <row r="519" spans="1:18" ht="15" hidden="1" customHeight="1">
      <c r="A519" s="173" t="s">
        <v>243</v>
      </c>
      <c r="B519" s="173" t="s">
        <v>244</v>
      </c>
      <c r="C519" s="195">
        <v>202610376</v>
      </c>
      <c r="D519" s="168"/>
      <c r="F519" s="184" t="s">
        <v>239</v>
      </c>
      <c r="G519" s="45" t="s">
        <v>225</v>
      </c>
      <c r="H519" s="45" t="s">
        <v>240</v>
      </c>
      <c r="I519" s="59">
        <v>46230</v>
      </c>
      <c r="J519" s="59">
        <v>46235</v>
      </c>
      <c r="K519" s="59">
        <v>46261</v>
      </c>
      <c r="O519" s="3" t="s">
        <v>10</v>
      </c>
      <c r="R519" s="177"/>
    </row>
    <row r="520" spans="1:18" ht="15" hidden="1" customHeight="1">
      <c r="A520" s="173" t="s">
        <v>243</v>
      </c>
      <c r="B520" s="173" t="s">
        <v>244</v>
      </c>
      <c r="C520" s="195">
        <v>202610378</v>
      </c>
      <c r="D520" s="168"/>
      <c r="F520" s="184" t="s">
        <v>239</v>
      </c>
      <c r="G520" s="45" t="s">
        <v>225</v>
      </c>
      <c r="H520" s="45" t="s">
        <v>240</v>
      </c>
      <c r="I520" s="59">
        <v>46230</v>
      </c>
      <c r="J520" s="59">
        <v>46235</v>
      </c>
      <c r="K520" s="59">
        <v>46261</v>
      </c>
      <c r="O520" s="3" t="s">
        <v>10</v>
      </c>
      <c r="R520" s="177"/>
    </row>
    <row r="521" spans="1:18" ht="15" hidden="1" customHeight="1">
      <c r="A521" s="173" t="s">
        <v>243</v>
      </c>
      <c r="B521" s="173" t="s">
        <v>244</v>
      </c>
      <c r="C521" s="195">
        <v>202610380</v>
      </c>
      <c r="D521" s="168"/>
      <c r="F521" s="184" t="s">
        <v>239</v>
      </c>
      <c r="G521" s="45" t="s">
        <v>225</v>
      </c>
      <c r="H521" s="45" t="s">
        <v>240</v>
      </c>
      <c r="I521" s="59">
        <v>46230</v>
      </c>
      <c r="J521" s="59">
        <v>46235</v>
      </c>
      <c r="K521" s="59">
        <v>46261</v>
      </c>
      <c r="O521" s="3" t="s">
        <v>10</v>
      </c>
      <c r="R521" s="177"/>
    </row>
    <row r="522" spans="1:18" ht="15" hidden="1" customHeight="1">
      <c r="A522" s="173" t="s">
        <v>243</v>
      </c>
      <c r="B522" s="173" t="s">
        <v>244</v>
      </c>
      <c r="C522" s="195">
        <v>202610386</v>
      </c>
      <c r="D522" s="168"/>
      <c r="F522" s="184" t="s">
        <v>239</v>
      </c>
      <c r="G522" s="45" t="s">
        <v>225</v>
      </c>
      <c r="H522" s="45" t="s">
        <v>240</v>
      </c>
      <c r="I522" s="59">
        <v>46230</v>
      </c>
      <c r="J522" s="59">
        <v>46235</v>
      </c>
      <c r="K522" s="59">
        <v>46261</v>
      </c>
      <c r="O522" s="3" t="s">
        <v>10</v>
      </c>
      <c r="R522" s="177"/>
    </row>
    <row r="523" spans="1:18" ht="15" hidden="1" customHeight="1">
      <c r="A523" s="173" t="s">
        <v>243</v>
      </c>
      <c r="B523" s="173" t="s">
        <v>244</v>
      </c>
      <c r="C523" s="195">
        <v>202610387</v>
      </c>
      <c r="D523" s="168"/>
      <c r="F523" s="184" t="s">
        <v>239</v>
      </c>
      <c r="G523" s="45" t="s">
        <v>225</v>
      </c>
      <c r="H523" s="45" t="s">
        <v>240</v>
      </c>
      <c r="I523" s="59">
        <v>46230</v>
      </c>
      <c r="J523" s="59">
        <v>46235</v>
      </c>
      <c r="K523" s="59">
        <v>46261</v>
      </c>
      <c r="O523" s="3" t="s">
        <v>10</v>
      </c>
      <c r="R523" s="177"/>
    </row>
    <row r="524" spans="1:18" ht="15" hidden="1" customHeight="1">
      <c r="A524" s="173" t="s">
        <v>243</v>
      </c>
      <c r="B524" s="173" t="s">
        <v>244</v>
      </c>
      <c r="C524" s="195">
        <v>202610394</v>
      </c>
      <c r="D524" s="168"/>
      <c r="F524" s="184" t="s">
        <v>239</v>
      </c>
      <c r="G524" s="45" t="s">
        <v>225</v>
      </c>
      <c r="H524" s="45" t="s">
        <v>240</v>
      </c>
      <c r="I524" s="59">
        <v>46230</v>
      </c>
      <c r="J524" s="59">
        <v>46235</v>
      </c>
      <c r="K524" s="59">
        <v>46261</v>
      </c>
      <c r="O524" s="3" t="s">
        <v>10</v>
      </c>
      <c r="R524" s="177"/>
    </row>
    <row r="525" spans="1:18" ht="15" hidden="1" customHeight="1">
      <c r="A525" s="173" t="s">
        <v>243</v>
      </c>
      <c r="B525" s="173" t="s">
        <v>244</v>
      </c>
      <c r="C525" s="195">
        <v>202610398</v>
      </c>
      <c r="D525" s="168"/>
      <c r="F525" s="184" t="s">
        <v>239</v>
      </c>
      <c r="G525" s="45" t="s">
        <v>225</v>
      </c>
      <c r="H525" s="45" t="s">
        <v>240</v>
      </c>
      <c r="I525" s="59">
        <v>46230</v>
      </c>
      <c r="J525" s="59">
        <v>46235</v>
      </c>
      <c r="K525" s="59">
        <v>46261</v>
      </c>
      <c r="O525" s="3" t="s">
        <v>10</v>
      </c>
      <c r="R525" s="177"/>
    </row>
    <row r="526" spans="1:18" ht="15" hidden="1" customHeight="1">
      <c r="A526" s="173" t="s">
        <v>243</v>
      </c>
      <c r="B526" s="173" t="s">
        <v>244</v>
      </c>
      <c r="C526" s="195">
        <v>202610410</v>
      </c>
      <c r="D526" s="168"/>
      <c r="F526" s="29" t="s">
        <v>239</v>
      </c>
      <c r="G526" s="45" t="s">
        <v>225</v>
      </c>
      <c r="H526" s="45" t="s">
        <v>240</v>
      </c>
      <c r="I526" s="59">
        <v>46230</v>
      </c>
      <c r="J526" s="59">
        <v>46235</v>
      </c>
      <c r="K526" s="59">
        <v>46261</v>
      </c>
      <c r="O526" s="3" t="s">
        <v>10</v>
      </c>
      <c r="R526" s="177"/>
    </row>
    <row r="527" spans="1:18" ht="15" hidden="1" customHeight="1">
      <c r="A527" s="173" t="s">
        <v>243</v>
      </c>
      <c r="B527" s="173" t="s">
        <v>244</v>
      </c>
      <c r="C527" s="195">
        <v>202610411</v>
      </c>
      <c r="D527" s="168"/>
      <c r="F527" s="29" t="s">
        <v>239</v>
      </c>
      <c r="G527" s="45" t="s">
        <v>225</v>
      </c>
      <c r="H527" s="45" t="s">
        <v>240</v>
      </c>
      <c r="I527" s="59">
        <v>46230</v>
      </c>
      <c r="J527" s="59">
        <v>46235</v>
      </c>
      <c r="K527" s="59">
        <v>46261</v>
      </c>
      <c r="O527" s="3" t="s">
        <v>10</v>
      </c>
      <c r="R527" s="177"/>
    </row>
    <row r="528" spans="1:18" ht="15" hidden="1" customHeight="1">
      <c r="A528" s="173" t="s">
        <v>243</v>
      </c>
      <c r="B528" s="173" t="s">
        <v>244</v>
      </c>
      <c r="C528" s="195">
        <v>202610416</v>
      </c>
      <c r="D528" s="168"/>
      <c r="F528" s="29" t="s">
        <v>239</v>
      </c>
      <c r="G528" s="45" t="s">
        <v>225</v>
      </c>
      <c r="H528" s="45" t="s">
        <v>240</v>
      </c>
      <c r="I528" s="59">
        <v>46230</v>
      </c>
      <c r="J528" s="59">
        <v>46235</v>
      </c>
      <c r="K528" s="59">
        <v>46261</v>
      </c>
      <c r="O528" s="3" t="s">
        <v>10</v>
      </c>
      <c r="R528" s="177"/>
    </row>
    <row r="529" spans="1:18" ht="15" hidden="1" customHeight="1">
      <c r="A529" s="173" t="s">
        <v>243</v>
      </c>
      <c r="B529" s="173" t="s">
        <v>244</v>
      </c>
      <c r="C529" s="195">
        <v>202610426</v>
      </c>
      <c r="D529" s="168"/>
      <c r="F529" s="29" t="s">
        <v>239</v>
      </c>
      <c r="G529" s="45" t="s">
        <v>225</v>
      </c>
      <c r="H529" s="45" t="s">
        <v>240</v>
      </c>
      <c r="I529" s="59">
        <v>46230</v>
      </c>
      <c r="J529" s="59">
        <v>46235</v>
      </c>
      <c r="K529" s="59">
        <v>46261</v>
      </c>
      <c r="O529" s="3" t="s">
        <v>10</v>
      </c>
      <c r="R529" s="177"/>
    </row>
    <row r="530" spans="1:18" ht="15" hidden="1" customHeight="1">
      <c r="A530" s="173" t="s">
        <v>243</v>
      </c>
      <c r="B530" s="173" t="s">
        <v>244</v>
      </c>
      <c r="C530" s="195">
        <v>202610430</v>
      </c>
      <c r="D530" s="168"/>
      <c r="F530" s="29" t="s">
        <v>239</v>
      </c>
      <c r="G530" s="45" t="s">
        <v>225</v>
      </c>
      <c r="H530" s="45" t="s">
        <v>240</v>
      </c>
      <c r="I530" s="59">
        <v>46230</v>
      </c>
      <c r="J530" s="59">
        <v>46235</v>
      </c>
      <c r="K530" s="59">
        <v>46261</v>
      </c>
      <c r="O530" s="3" t="s">
        <v>10</v>
      </c>
      <c r="R530" s="177"/>
    </row>
    <row r="531" spans="1:18" ht="15" hidden="1" customHeight="1">
      <c r="A531" s="173" t="s">
        <v>243</v>
      </c>
      <c r="B531" s="173" t="s">
        <v>244</v>
      </c>
      <c r="C531" s="195">
        <v>202610431</v>
      </c>
      <c r="D531" s="168"/>
      <c r="F531" s="29" t="s">
        <v>239</v>
      </c>
      <c r="G531" s="45" t="s">
        <v>225</v>
      </c>
      <c r="H531" s="45" t="s">
        <v>240</v>
      </c>
      <c r="I531" s="59">
        <v>46230</v>
      </c>
      <c r="J531" s="59">
        <v>46235</v>
      </c>
      <c r="K531" s="59">
        <v>46261</v>
      </c>
      <c r="O531" s="3" t="s">
        <v>10</v>
      </c>
      <c r="R531" s="177"/>
    </row>
    <row r="532" spans="1:18" ht="15" hidden="1" customHeight="1">
      <c r="A532" s="173" t="s">
        <v>243</v>
      </c>
      <c r="B532" s="173" t="s">
        <v>244</v>
      </c>
      <c r="C532" s="195">
        <v>203600002</v>
      </c>
      <c r="D532" s="168"/>
      <c r="F532" s="29" t="s">
        <v>239</v>
      </c>
      <c r="G532" s="45" t="s">
        <v>225</v>
      </c>
      <c r="H532" s="45" t="s">
        <v>240</v>
      </c>
      <c r="I532" s="59">
        <v>46230</v>
      </c>
      <c r="J532" s="59">
        <v>46235</v>
      </c>
      <c r="K532" s="59">
        <v>46261</v>
      </c>
      <c r="O532" s="3" t="s">
        <v>10</v>
      </c>
      <c r="R532" s="177"/>
    </row>
    <row r="533" spans="1:18" ht="15" hidden="1" customHeight="1">
      <c r="A533" s="173" t="s">
        <v>243</v>
      </c>
      <c r="B533" s="173" t="s">
        <v>244</v>
      </c>
      <c r="C533" s="195">
        <v>203600004</v>
      </c>
      <c r="D533" s="203"/>
      <c r="E533" s="184"/>
      <c r="F533" s="29" t="s">
        <v>239</v>
      </c>
      <c r="G533" s="45" t="s">
        <v>225</v>
      </c>
      <c r="H533" s="45" t="s">
        <v>240</v>
      </c>
      <c r="I533" s="59">
        <v>46230</v>
      </c>
      <c r="J533" s="59">
        <v>46235</v>
      </c>
      <c r="K533" s="59">
        <v>46261</v>
      </c>
      <c r="L533" s="45"/>
      <c r="M533" s="45"/>
      <c r="N533" s="45"/>
      <c r="O533" s="3" t="s">
        <v>10</v>
      </c>
      <c r="P533" s="45"/>
      <c r="Q533" s="185"/>
      <c r="R533" s="186"/>
    </row>
    <row r="534" spans="1:18" ht="15" hidden="1" customHeight="1">
      <c r="A534" s="183" t="s">
        <v>245</v>
      </c>
      <c r="B534" s="173" t="s">
        <v>246</v>
      </c>
      <c r="C534" s="195">
        <v>203600005</v>
      </c>
      <c r="D534" s="203"/>
      <c r="E534" s="184"/>
      <c r="F534" s="29" t="s">
        <v>239</v>
      </c>
      <c r="G534" s="45" t="s">
        <v>225</v>
      </c>
      <c r="H534" s="45" t="s">
        <v>240</v>
      </c>
      <c r="I534" s="59">
        <v>46230</v>
      </c>
      <c r="J534" s="59">
        <v>46235</v>
      </c>
      <c r="K534" s="59">
        <v>46261</v>
      </c>
      <c r="L534" s="45"/>
      <c r="M534" s="45"/>
      <c r="N534" s="45"/>
      <c r="O534" s="3" t="s">
        <v>10</v>
      </c>
      <c r="P534" s="45"/>
      <c r="Q534" s="185"/>
      <c r="R534" s="186"/>
    </row>
    <row r="535" spans="1:18" ht="15" hidden="1" customHeight="1">
      <c r="A535" s="183" t="s">
        <v>245</v>
      </c>
      <c r="B535" s="173" t="s">
        <v>246</v>
      </c>
      <c r="C535" s="195">
        <v>203600007</v>
      </c>
      <c r="D535" s="203"/>
      <c r="E535" s="184"/>
      <c r="F535" s="184" t="s">
        <v>239</v>
      </c>
      <c r="G535" s="45" t="s">
        <v>225</v>
      </c>
      <c r="H535" s="45" t="s">
        <v>240</v>
      </c>
      <c r="I535" s="59">
        <v>46230</v>
      </c>
      <c r="J535" s="59">
        <v>46235</v>
      </c>
      <c r="K535" s="59">
        <v>46261</v>
      </c>
      <c r="L535" s="45"/>
      <c r="M535" s="45"/>
      <c r="N535" s="45"/>
      <c r="O535" s="3" t="s">
        <v>10</v>
      </c>
      <c r="P535" s="45"/>
      <c r="Q535" s="185"/>
      <c r="R535" s="186"/>
    </row>
    <row r="536" spans="1:18" ht="15" hidden="1" customHeight="1">
      <c r="A536" s="183" t="s">
        <v>245</v>
      </c>
      <c r="B536" s="173" t="s">
        <v>246</v>
      </c>
      <c r="C536" s="195">
        <v>203600008</v>
      </c>
      <c r="D536" s="203"/>
      <c r="E536" s="184"/>
      <c r="F536" s="184" t="s">
        <v>239</v>
      </c>
      <c r="G536" s="45" t="s">
        <v>225</v>
      </c>
      <c r="H536" s="45" t="s">
        <v>240</v>
      </c>
      <c r="I536" s="59">
        <v>46230</v>
      </c>
      <c r="J536" s="59">
        <v>46235</v>
      </c>
      <c r="K536" s="59">
        <v>46261</v>
      </c>
      <c r="L536" s="45"/>
      <c r="M536" s="45"/>
      <c r="N536" s="45"/>
      <c r="O536" s="3" t="s">
        <v>10</v>
      </c>
      <c r="P536" s="45"/>
      <c r="Q536" s="185"/>
      <c r="R536" s="186"/>
    </row>
    <row r="537" spans="1:18" ht="15" hidden="1" customHeight="1">
      <c r="A537" s="183" t="s">
        <v>245</v>
      </c>
      <c r="B537" s="173" t="s">
        <v>246</v>
      </c>
      <c r="C537" s="195">
        <v>203600009</v>
      </c>
      <c r="D537" s="168"/>
      <c r="F537" s="184" t="s">
        <v>239</v>
      </c>
      <c r="G537" s="45" t="s">
        <v>225</v>
      </c>
      <c r="H537" s="45" t="s">
        <v>240</v>
      </c>
      <c r="I537" s="59">
        <v>46230</v>
      </c>
      <c r="J537" s="59">
        <v>46235</v>
      </c>
      <c r="K537" s="59">
        <v>46261</v>
      </c>
      <c r="O537" s="3" t="s">
        <v>10</v>
      </c>
      <c r="R537" s="177"/>
    </row>
    <row r="538" spans="1:18" ht="15" hidden="1" customHeight="1">
      <c r="A538" s="183" t="s">
        <v>245</v>
      </c>
      <c r="B538" s="173" t="s">
        <v>246</v>
      </c>
      <c r="C538" s="195">
        <v>203600011</v>
      </c>
      <c r="D538" s="168"/>
      <c r="F538" s="184" t="s">
        <v>239</v>
      </c>
      <c r="G538" s="45" t="s">
        <v>225</v>
      </c>
      <c r="H538" s="45" t="s">
        <v>240</v>
      </c>
      <c r="I538" s="59">
        <v>46230</v>
      </c>
      <c r="J538" s="59">
        <v>46235</v>
      </c>
      <c r="K538" s="59">
        <v>46261</v>
      </c>
      <c r="O538" s="3" t="s">
        <v>10</v>
      </c>
      <c r="R538" s="177"/>
    </row>
    <row r="539" spans="1:18" ht="15" hidden="1" customHeight="1">
      <c r="A539" s="183" t="s">
        <v>245</v>
      </c>
      <c r="B539" s="173" t="s">
        <v>246</v>
      </c>
      <c r="C539" s="195">
        <v>203600013</v>
      </c>
      <c r="D539" s="168"/>
      <c r="F539" s="184" t="s">
        <v>239</v>
      </c>
      <c r="G539" s="45" t="s">
        <v>225</v>
      </c>
      <c r="H539" s="45" t="s">
        <v>240</v>
      </c>
      <c r="I539" s="59">
        <v>46230</v>
      </c>
      <c r="J539" s="59">
        <v>46235</v>
      </c>
      <c r="K539" s="59">
        <v>46261</v>
      </c>
      <c r="O539" s="3" t="s">
        <v>10</v>
      </c>
      <c r="R539" s="177"/>
    </row>
    <row r="540" spans="1:18" ht="15" hidden="1" customHeight="1">
      <c r="A540" s="183" t="s">
        <v>245</v>
      </c>
      <c r="B540" s="173" t="s">
        <v>246</v>
      </c>
      <c r="C540" s="195">
        <v>203600014</v>
      </c>
      <c r="D540" s="168"/>
      <c r="F540" s="184" t="s">
        <v>239</v>
      </c>
      <c r="G540" s="45" t="s">
        <v>225</v>
      </c>
      <c r="H540" s="45" t="s">
        <v>240</v>
      </c>
      <c r="I540" s="59">
        <v>46230</v>
      </c>
      <c r="J540" s="59">
        <v>46235</v>
      </c>
      <c r="K540" s="59">
        <v>46261</v>
      </c>
      <c r="O540" s="3" t="s">
        <v>10</v>
      </c>
      <c r="R540" s="177"/>
    </row>
    <row r="541" spans="1:18" ht="15" hidden="1" customHeight="1">
      <c r="A541" s="183" t="s">
        <v>245</v>
      </c>
      <c r="B541" s="173" t="s">
        <v>246</v>
      </c>
      <c r="C541" s="195">
        <v>203600016</v>
      </c>
      <c r="D541" s="168"/>
      <c r="F541" s="29" t="s">
        <v>239</v>
      </c>
      <c r="G541" s="45" t="s">
        <v>225</v>
      </c>
      <c r="H541" s="45" t="s">
        <v>240</v>
      </c>
      <c r="I541" s="59">
        <v>46230</v>
      </c>
      <c r="J541" s="59">
        <v>46235</v>
      </c>
      <c r="K541" s="59">
        <v>46261</v>
      </c>
      <c r="O541" s="3" t="s">
        <v>10</v>
      </c>
      <c r="R541" s="177"/>
    </row>
    <row r="542" spans="1:18" ht="15" hidden="1" customHeight="1">
      <c r="A542" s="183" t="s">
        <v>245</v>
      </c>
      <c r="B542" s="173" t="s">
        <v>246</v>
      </c>
      <c r="C542" s="195">
        <v>203600017</v>
      </c>
      <c r="D542" s="168"/>
      <c r="F542" s="29" t="s">
        <v>239</v>
      </c>
      <c r="G542" s="45" t="s">
        <v>225</v>
      </c>
      <c r="H542" s="45" t="s">
        <v>240</v>
      </c>
      <c r="I542" s="59">
        <v>46230</v>
      </c>
      <c r="J542" s="59">
        <v>46235</v>
      </c>
      <c r="K542" s="59">
        <v>46261</v>
      </c>
      <c r="O542" s="3" t="s">
        <v>10</v>
      </c>
      <c r="R542" s="177"/>
    </row>
    <row r="543" spans="1:18" ht="15" hidden="1" customHeight="1">
      <c r="A543" s="183" t="s">
        <v>245</v>
      </c>
      <c r="B543" s="173" t="s">
        <v>246</v>
      </c>
      <c r="C543" s="195">
        <v>203600018</v>
      </c>
      <c r="D543" s="168"/>
      <c r="F543" s="184" t="s">
        <v>239</v>
      </c>
      <c r="G543" s="45" t="s">
        <v>225</v>
      </c>
      <c r="H543" s="45" t="s">
        <v>240</v>
      </c>
      <c r="I543" s="59">
        <v>46230</v>
      </c>
      <c r="J543" s="59">
        <v>46235</v>
      </c>
      <c r="K543" s="59">
        <v>46261</v>
      </c>
      <c r="O543" s="3" t="s">
        <v>10</v>
      </c>
      <c r="R543" s="177"/>
    </row>
    <row r="544" spans="1:18" ht="15" hidden="1" customHeight="1">
      <c r="A544" s="183" t="s">
        <v>245</v>
      </c>
      <c r="B544" s="173" t="s">
        <v>246</v>
      </c>
      <c r="C544" s="195">
        <v>203600019</v>
      </c>
      <c r="D544" s="168"/>
      <c r="F544" s="184" t="s">
        <v>239</v>
      </c>
      <c r="G544" s="45" t="s">
        <v>225</v>
      </c>
      <c r="H544" s="45" t="s">
        <v>240</v>
      </c>
      <c r="I544" s="59">
        <v>46230</v>
      </c>
      <c r="J544" s="59">
        <v>46235</v>
      </c>
      <c r="K544" s="59">
        <v>46261</v>
      </c>
      <c r="O544" s="3" t="s">
        <v>10</v>
      </c>
      <c r="R544" s="177"/>
    </row>
    <row r="545" spans="1:18" ht="15" hidden="1" customHeight="1">
      <c r="A545" s="183" t="s">
        <v>245</v>
      </c>
      <c r="B545" s="173" t="s">
        <v>246</v>
      </c>
      <c r="C545" s="195">
        <v>203600020</v>
      </c>
      <c r="D545" s="168"/>
      <c r="F545" s="184" t="s">
        <v>239</v>
      </c>
      <c r="G545" s="45" t="s">
        <v>225</v>
      </c>
      <c r="H545" s="45" t="s">
        <v>240</v>
      </c>
      <c r="I545" s="59">
        <v>46230</v>
      </c>
      <c r="J545" s="59">
        <v>46235</v>
      </c>
      <c r="K545" s="59">
        <v>46261</v>
      </c>
      <c r="O545" s="3" t="s">
        <v>10</v>
      </c>
      <c r="R545" s="177"/>
    </row>
    <row r="546" spans="1:18" ht="15" hidden="1" customHeight="1">
      <c r="A546" s="183" t="s">
        <v>245</v>
      </c>
      <c r="B546" s="173" t="s">
        <v>246</v>
      </c>
      <c r="C546" s="195">
        <v>203600021</v>
      </c>
      <c r="D546" s="168"/>
      <c r="F546" s="184" t="s">
        <v>239</v>
      </c>
      <c r="G546" s="45" t="s">
        <v>225</v>
      </c>
      <c r="H546" s="45" t="s">
        <v>240</v>
      </c>
      <c r="I546" s="59">
        <v>46230</v>
      </c>
      <c r="J546" s="59">
        <v>46235</v>
      </c>
      <c r="K546" s="59">
        <v>46261</v>
      </c>
      <c r="O546" s="3" t="s">
        <v>10</v>
      </c>
      <c r="R546" s="177"/>
    </row>
    <row r="547" spans="1:18" ht="15" hidden="1" customHeight="1">
      <c r="A547" s="183" t="s">
        <v>245</v>
      </c>
      <c r="B547" s="173" t="s">
        <v>246</v>
      </c>
      <c r="C547" s="195">
        <v>203600022</v>
      </c>
      <c r="D547" s="168"/>
      <c r="F547" s="184" t="s">
        <v>239</v>
      </c>
      <c r="G547" s="45" t="s">
        <v>225</v>
      </c>
      <c r="H547" s="45" t="s">
        <v>240</v>
      </c>
      <c r="I547" s="59">
        <v>46230</v>
      </c>
      <c r="J547" s="59">
        <v>46235</v>
      </c>
      <c r="K547" s="59">
        <v>46261</v>
      </c>
      <c r="O547" s="3" t="s">
        <v>10</v>
      </c>
      <c r="R547" s="177"/>
    </row>
    <row r="548" spans="1:18" ht="15" hidden="1" customHeight="1">
      <c r="A548" s="183" t="s">
        <v>245</v>
      </c>
      <c r="B548" s="173" t="s">
        <v>246</v>
      </c>
      <c r="C548" s="195">
        <v>203600023</v>
      </c>
      <c r="D548" s="168"/>
      <c r="F548" s="184" t="s">
        <v>239</v>
      </c>
      <c r="G548" s="45" t="s">
        <v>225</v>
      </c>
      <c r="H548" s="45" t="s">
        <v>240</v>
      </c>
      <c r="I548" s="59">
        <v>46230</v>
      </c>
      <c r="J548" s="59">
        <v>46235</v>
      </c>
      <c r="K548" s="59">
        <v>46261</v>
      </c>
      <c r="O548" s="3" t="s">
        <v>10</v>
      </c>
      <c r="R548" s="177"/>
    </row>
    <row r="549" spans="1:18" ht="15" hidden="1" customHeight="1">
      <c r="A549" s="183" t="s">
        <v>245</v>
      </c>
      <c r="B549" s="173" t="s">
        <v>246</v>
      </c>
      <c r="C549" s="195">
        <v>203600024</v>
      </c>
      <c r="D549" s="168"/>
      <c r="F549" s="184" t="s">
        <v>239</v>
      </c>
      <c r="G549" s="45" t="s">
        <v>225</v>
      </c>
      <c r="H549" s="45" t="s">
        <v>240</v>
      </c>
      <c r="I549" s="59">
        <v>46230</v>
      </c>
      <c r="J549" s="59">
        <v>46235</v>
      </c>
      <c r="K549" s="59">
        <v>46261</v>
      </c>
      <c r="O549" s="3" t="s">
        <v>10</v>
      </c>
      <c r="R549" s="177"/>
    </row>
    <row r="550" spans="1:18" ht="15" hidden="1" customHeight="1">
      <c r="A550" s="183" t="s">
        <v>245</v>
      </c>
      <c r="B550" s="173" t="s">
        <v>246</v>
      </c>
      <c r="C550" s="195">
        <v>203600025</v>
      </c>
      <c r="D550" s="168"/>
      <c r="F550" s="29" t="s">
        <v>239</v>
      </c>
      <c r="G550" s="45" t="s">
        <v>225</v>
      </c>
      <c r="H550" s="45" t="s">
        <v>240</v>
      </c>
      <c r="I550" s="59">
        <v>46230</v>
      </c>
      <c r="J550" s="59">
        <v>46235</v>
      </c>
      <c r="K550" s="59">
        <v>46261</v>
      </c>
      <c r="O550" s="3" t="s">
        <v>10</v>
      </c>
      <c r="R550" s="177"/>
    </row>
    <row r="551" spans="1:18" ht="15" hidden="1" customHeight="1">
      <c r="A551" s="183" t="s">
        <v>245</v>
      </c>
      <c r="B551" s="173" t="s">
        <v>246</v>
      </c>
      <c r="C551" s="195">
        <v>203600026</v>
      </c>
      <c r="D551" s="168"/>
      <c r="F551" s="29" t="s">
        <v>239</v>
      </c>
      <c r="G551" s="45" t="s">
        <v>225</v>
      </c>
      <c r="H551" s="45" t="s">
        <v>240</v>
      </c>
      <c r="I551" s="59">
        <v>46230</v>
      </c>
      <c r="J551" s="59">
        <v>46235</v>
      </c>
      <c r="K551" s="59">
        <v>46261</v>
      </c>
      <c r="O551" s="3" t="s">
        <v>10</v>
      </c>
      <c r="R551" s="177"/>
    </row>
    <row r="552" spans="1:18" ht="15" hidden="1" customHeight="1">
      <c r="A552" s="183" t="s">
        <v>245</v>
      </c>
      <c r="B552" s="173" t="s">
        <v>246</v>
      </c>
      <c r="C552" s="195">
        <v>203600028</v>
      </c>
      <c r="D552" s="168"/>
      <c r="F552" s="29" t="s">
        <v>239</v>
      </c>
      <c r="G552" s="45" t="s">
        <v>225</v>
      </c>
      <c r="H552" s="45" t="s">
        <v>240</v>
      </c>
      <c r="I552" s="59">
        <v>46230</v>
      </c>
      <c r="J552" s="59">
        <v>46235</v>
      </c>
      <c r="K552" s="59">
        <v>46261</v>
      </c>
      <c r="O552" s="3" t="s">
        <v>10</v>
      </c>
      <c r="R552" s="177"/>
    </row>
    <row r="553" spans="1:18" ht="15" hidden="1" customHeight="1">
      <c r="A553" s="183" t="s">
        <v>245</v>
      </c>
      <c r="B553" s="173" t="s">
        <v>246</v>
      </c>
      <c r="C553" s="197">
        <v>203600029</v>
      </c>
      <c r="D553" s="203"/>
      <c r="E553" s="184"/>
      <c r="F553" s="29" t="s">
        <v>239</v>
      </c>
      <c r="G553" s="45" t="s">
        <v>225</v>
      </c>
      <c r="H553" s="45" t="s">
        <v>240</v>
      </c>
      <c r="I553" s="59">
        <v>46230</v>
      </c>
      <c r="J553" s="59">
        <v>46235</v>
      </c>
      <c r="K553" s="59">
        <v>46261</v>
      </c>
      <c r="L553" s="45"/>
      <c r="M553" s="45"/>
      <c r="N553" s="45"/>
      <c r="O553" s="3" t="s">
        <v>10</v>
      </c>
      <c r="P553" s="45"/>
      <c r="Q553" s="185"/>
      <c r="R553" s="186"/>
    </row>
    <row r="554" spans="1:18" ht="15" hidden="1" customHeight="1">
      <c r="A554" s="183" t="s">
        <v>247</v>
      </c>
      <c r="B554" s="173" t="s">
        <v>248</v>
      </c>
      <c r="C554" s="195">
        <v>212606427</v>
      </c>
      <c r="D554" s="203"/>
      <c r="E554" s="184"/>
      <c r="F554" s="29" t="s">
        <v>111</v>
      </c>
      <c r="G554" s="45" t="s">
        <v>225</v>
      </c>
      <c r="H554" s="45" t="s">
        <v>112</v>
      </c>
      <c r="I554" s="59">
        <v>46230</v>
      </c>
      <c r="J554" s="59">
        <v>46235</v>
      </c>
      <c r="K554" s="59">
        <v>46261</v>
      </c>
      <c r="L554" s="45"/>
      <c r="M554" s="45"/>
      <c r="N554" s="45"/>
      <c r="O554" s="3" t="s">
        <v>10</v>
      </c>
      <c r="P554" s="45"/>
      <c r="Q554" s="185"/>
      <c r="R554" s="186"/>
    </row>
    <row r="555" spans="1:18" ht="15" hidden="1" customHeight="1">
      <c r="A555" s="183" t="s">
        <v>247</v>
      </c>
      <c r="B555" s="173" t="s">
        <v>248</v>
      </c>
      <c r="C555" s="195">
        <v>212606431</v>
      </c>
      <c r="D555" s="168"/>
      <c r="F555" s="29" t="s">
        <v>111</v>
      </c>
      <c r="G555" s="45" t="s">
        <v>225</v>
      </c>
      <c r="H555" s="45" t="s">
        <v>112</v>
      </c>
      <c r="I555" s="59">
        <v>46230</v>
      </c>
      <c r="J555" s="59">
        <v>46235</v>
      </c>
      <c r="K555" s="59">
        <v>46261</v>
      </c>
      <c r="L555" s="45"/>
      <c r="M555" s="45"/>
      <c r="N555" s="45"/>
      <c r="O555" s="3" t="s">
        <v>10</v>
      </c>
      <c r="P555" s="45"/>
      <c r="R555" s="177"/>
    </row>
    <row r="556" spans="1:18" ht="15" hidden="1" customHeight="1">
      <c r="A556" s="183" t="s">
        <v>247</v>
      </c>
      <c r="B556" s="173" t="s">
        <v>248</v>
      </c>
      <c r="C556" s="195">
        <v>212606436</v>
      </c>
      <c r="D556" s="168"/>
      <c r="F556" s="29" t="s">
        <v>111</v>
      </c>
      <c r="G556" s="45" t="s">
        <v>225</v>
      </c>
      <c r="H556" s="45" t="s">
        <v>112</v>
      </c>
      <c r="I556" s="59">
        <v>46230</v>
      </c>
      <c r="J556" s="59">
        <v>46235</v>
      </c>
      <c r="K556" s="59">
        <v>46261</v>
      </c>
      <c r="L556" s="45"/>
      <c r="M556" s="45"/>
      <c r="N556" s="45"/>
      <c r="O556" s="3" t="s">
        <v>10</v>
      </c>
      <c r="P556" s="45"/>
      <c r="R556" s="177"/>
    </row>
    <row r="557" spans="1:18" ht="15" hidden="1" customHeight="1">
      <c r="A557" s="183" t="s">
        <v>247</v>
      </c>
      <c r="B557" s="173" t="s">
        <v>248</v>
      </c>
      <c r="C557" s="195">
        <v>212606440</v>
      </c>
      <c r="D557" s="168"/>
      <c r="F557" s="29" t="s">
        <v>111</v>
      </c>
      <c r="G557" s="45" t="s">
        <v>225</v>
      </c>
      <c r="H557" s="45" t="s">
        <v>112</v>
      </c>
      <c r="I557" s="59">
        <v>46230</v>
      </c>
      <c r="J557" s="59">
        <v>46235</v>
      </c>
      <c r="K557" s="59">
        <v>46261</v>
      </c>
      <c r="L557" s="45"/>
      <c r="M557" s="45"/>
      <c r="N557" s="45"/>
      <c r="O557" s="3" t="s">
        <v>10</v>
      </c>
      <c r="P557" s="45"/>
      <c r="R557" s="177"/>
    </row>
    <row r="558" spans="1:18" ht="15" hidden="1" customHeight="1">
      <c r="A558" s="183" t="s">
        <v>247</v>
      </c>
      <c r="B558" s="173" t="s">
        <v>248</v>
      </c>
      <c r="C558" s="195">
        <v>212606444</v>
      </c>
      <c r="D558" s="168"/>
      <c r="F558" s="29" t="s">
        <v>111</v>
      </c>
      <c r="G558" s="45" t="s">
        <v>225</v>
      </c>
      <c r="H558" s="45" t="s">
        <v>112</v>
      </c>
      <c r="I558" s="59">
        <v>46230</v>
      </c>
      <c r="J558" s="59">
        <v>46235</v>
      </c>
      <c r="K558" s="59">
        <v>46261</v>
      </c>
      <c r="L558" s="45"/>
      <c r="M558" s="45"/>
      <c r="N558" s="45"/>
      <c r="O558" s="3" t="s">
        <v>10</v>
      </c>
      <c r="P558" s="45"/>
      <c r="R558" s="177"/>
    </row>
    <row r="559" spans="1:18" ht="15" hidden="1" customHeight="1">
      <c r="A559" s="183" t="s">
        <v>247</v>
      </c>
      <c r="B559" s="173" t="s">
        <v>248</v>
      </c>
      <c r="C559" s="195">
        <v>214600119</v>
      </c>
      <c r="D559" s="168"/>
      <c r="F559" s="29" t="s">
        <v>111</v>
      </c>
      <c r="G559" s="45" t="s">
        <v>225</v>
      </c>
      <c r="H559" s="45" t="s">
        <v>112</v>
      </c>
      <c r="I559" s="59">
        <v>46230</v>
      </c>
      <c r="J559" s="59">
        <v>46235</v>
      </c>
      <c r="K559" s="59">
        <v>46261</v>
      </c>
      <c r="L559" s="45"/>
      <c r="M559" s="45"/>
      <c r="N559" s="45"/>
      <c r="O559" s="3" t="s">
        <v>10</v>
      </c>
      <c r="P559" s="45"/>
      <c r="R559" s="177"/>
    </row>
    <row r="560" spans="1:18" ht="15" hidden="1" customHeight="1">
      <c r="A560" s="183" t="s">
        <v>247</v>
      </c>
      <c r="B560" s="173" t="s">
        <v>248</v>
      </c>
      <c r="C560" s="218">
        <v>214600122</v>
      </c>
      <c r="D560" s="168"/>
      <c r="F560" s="29" t="s">
        <v>111</v>
      </c>
      <c r="G560" s="45" t="s">
        <v>225</v>
      </c>
      <c r="H560" s="45" t="s">
        <v>112</v>
      </c>
      <c r="I560" s="59">
        <v>46230</v>
      </c>
      <c r="J560" s="59">
        <v>46235</v>
      </c>
      <c r="K560" s="59">
        <v>46261</v>
      </c>
      <c r="L560" s="45"/>
      <c r="M560" s="45"/>
      <c r="N560" s="45"/>
      <c r="O560" s="3" t="s">
        <v>10</v>
      </c>
      <c r="P560" s="45"/>
      <c r="R560" s="177"/>
    </row>
    <row r="561" spans="1:18" ht="15" hidden="1" customHeight="1">
      <c r="A561" s="183" t="s">
        <v>247</v>
      </c>
      <c r="B561" s="173" t="s">
        <v>248</v>
      </c>
      <c r="C561" s="218">
        <v>214600123</v>
      </c>
      <c r="D561" s="168"/>
      <c r="F561" s="29" t="s">
        <v>111</v>
      </c>
      <c r="G561" s="45" t="s">
        <v>225</v>
      </c>
      <c r="H561" s="45" t="s">
        <v>112</v>
      </c>
      <c r="I561" s="59">
        <v>46230</v>
      </c>
      <c r="J561" s="59">
        <v>46235</v>
      </c>
      <c r="K561" s="59">
        <v>46261</v>
      </c>
      <c r="L561" s="45"/>
      <c r="M561" s="45"/>
      <c r="N561" s="45"/>
      <c r="O561" s="3" t="s">
        <v>10</v>
      </c>
      <c r="P561" s="45"/>
      <c r="R561" s="177"/>
    </row>
    <row r="562" spans="1:18" ht="15" hidden="1" customHeight="1">
      <c r="A562" s="183" t="s">
        <v>247</v>
      </c>
      <c r="B562" s="173" t="s">
        <v>248</v>
      </c>
      <c r="C562" s="218">
        <v>214600124</v>
      </c>
      <c r="D562" s="168"/>
      <c r="F562" s="29" t="s">
        <v>111</v>
      </c>
      <c r="G562" s="45" t="s">
        <v>225</v>
      </c>
      <c r="H562" s="45" t="s">
        <v>112</v>
      </c>
      <c r="I562" s="59">
        <v>46230</v>
      </c>
      <c r="J562" s="59">
        <v>46235</v>
      </c>
      <c r="K562" s="59">
        <v>46261</v>
      </c>
      <c r="L562" s="45"/>
      <c r="M562" s="45"/>
      <c r="N562" s="45"/>
      <c r="O562" s="3" t="s">
        <v>10</v>
      </c>
      <c r="P562" s="45"/>
      <c r="R562" s="177"/>
    </row>
    <row r="563" spans="1:18" ht="15" hidden="1" customHeight="1">
      <c r="A563" s="183" t="s">
        <v>247</v>
      </c>
      <c r="B563" s="173" t="s">
        <v>248</v>
      </c>
      <c r="C563" s="218">
        <v>214600129</v>
      </c>
      <c r="D563" s="168"/>
      <c r="F563" s="29" t="s">
        <v>111</v>
      </c>
      <c r="G563" s="45" t="s">
        <v>225</v>
      </c>
      <c r="H563" s="45" t="s">
        <v>112</v>
      </c>
      <c r="I563" s="59">
        <v>46230</v>
      </c>
      <c r="J563" s="59">
        <v>46235</v>
      </c>
      <c r="K563" s="59">
        <v>46261</v>
      </c>
      <c r="L563" s="45"/>
      <c r="M563" s="45"/>
      <c r="N563" s="45"/>
      <c r="O563" s="3" t="s">
        <v>10</v>
      </c>
      <c r="P563" s="45"/>
      <c r="R563" s="177"/>
    </row>
    <row r="564" spans="1:18" ht="15" hidden="1" customHeight="1">
      <c r="A564" s="183" t="s">
        <v>247</v>
      </c>
      <c r="B564" s="173" t="s">
        <v>248</v>
      </c>
      <c r="C564" s="218">
        <v>214600130</v>
      </c>
      <c r="D564" s="168"/>
      <c r="F564" s="29" t="s">
        <v>111</v>
      </c>
      <c r="G564" s="45" t="s">
        <v>225</v>
      </c>
      <c r="H564" s="45" t="s">
        <v>112</v>
      </c>
      <c r="I564" s="59">
        <v>46230</v>
      </c>
      <c r="J564" s="59">
        <v>46235</v>
      </c>
      <c r="K564" s="59">
        <v>46261</v>
      </c>
      <c r="L564" s="45"/>
      <c r="M564" s="45"/>
      <c r="N564" s="45"/>
      <c r="O564" s="3" t="s">
        <v>10</v>
      </c>
      <c r="P564" s="45"/>
      <c r="R564" s="177"/>
    </row>
    <row r="565" spans="1:18" ht="15" hidden="1" customHeight="1">
      <c r="A565" s="183" t="s">
        <v>247</v>
      </c>
      <c r="B565" s="173" t="s">
        <v>248</v>
      </c>
      <c r="C565" s="218">
        <v>214600131</v>
      </c>
      <c r="D565" s="168"/>
      <c r="F565" s="29" t="s">
        <v>111</v>
      </c>
      <c r="G565" s="45" t="s">
        <v>225</v>
      </c>
      <c r="H565" s="45" t="s">
        <v>112</v>
      </c>
      <c r="I565" s="59">
        <v>46230</v>
      </c>
      <c r="J565" s="59">
        <v>46235</v>
      </c>
      <c r="K565" s="59">
        <v>46261</v>
      </c>
      <c r="L565" s="45"/>
      <c r="M565" s="45"/>
      <c r="N565" s="45"/>
      <c r="O565" s="3" t="s">
        <v>10</v>
      </c>
      <c r="P565" s="45"/>
      <c r="R565" s="177"/>
    </row>
    <row r="566" spans="1:18" ht="15" hidden="1" customHeight="1">
      <c r="A566" s="183" t="s">
        <v>247</v>
      </c>
      <c r="B566" s="173" t="s">
        <v>248</v>
      </c>
      <c r="C566" s="218">
        <v>214600132</v>
      </c>
      <c r="D566" s="168"/>
      <c r="F566" s="29" t="s">
        <v>111</v>
      </c>
      <c r="G566" s="45" t="s">
        <v>225</v>
      </c>
      <c r="H566" s="45" t="s">
        <v>112</v>
      </c>
      <c r="I566" s="59">
        <v>46230</v>
      </c>
      <c r="J566" s="59">
        <v>46235</v>
      </c>
      <c r="K566" s="59">
        <v>46261</v>
      </c>
      <c r="L566" s="45"/>
      <c r="M566" s="45"/>
      <c r="N566" s="45"/>
      <c r="O566" s="3" t="s">
        <v>10</v>
      </c>
      <c r="P566" s="45"/>
      <c r="R566" s="177"/>
    </row>
    <row r="567" spans="1:18" ht="15" hidden="1" customHeight="1">
      <c r="A567" s="183" t="s">
        <v>247</v>
      </c>
      <c r="B567" s="173" t="s">
        <v>248</v>
      </c>
      <c r="C567" s="218">
        <v>214600133</v>
      </c>
      <c r="D567" s="168"/>
      <c r="F567" s="29" t="s">
        <v>111</v>
      </c>
      <c r="G567" s="45" t="s">
        <v>225</v>
      </c>
      <c r="H567" s="45" t="s">
        <v>112</v>
      </c>
      <c r="I567" s="59">
        <v>46230</v>
      </c>
      <c r="J567" s="59">
        <v>46235</v>
      </c>
      <c r="K567" s="59">
        <v>46261</v>
      </c>
      <c r="L567" s="45"/>
      <c r="M567" s="45"/>
      <c r="N567" s="45"/>
      <c r="O567" s="3" t="s">
        <v>10</v>
      </c>
      <c r="P567" s="45"/>
      <c r="R567" s="177"/>
    </row>
    <row r="568" spans="1:18" ht="15" hidden="1" customHeight="1">
      <c r="A568" s="183" t="s">
        <v>247</v>
      </c>
      <c r="B568" s="173" t="s">
        <v>248</v>
      </c>
      <c r="C568" s="195">
        <v>214600134</v>
      </c>
      <c r="D568" s="168"/>
      <c r="F568" s="29" t="s">
        <v>111</v>
      </c>
      <c r="G568" s="45" t="s">
        <v>225</v>
      </c>
      <c r="H568" s="45" t="s">
        <v>112</v>
      </c>
      <c r="I568" s="59">
        <v>46230</v>
      </c>
      <c r="J568" s="59">
        <v>46235</v>
      </c>
      <c r="K568" s="59">
        <v>46261</v>
      </c>
      <c r="L568" s="45"/>
      <c r="M568" s="45"/>
      <c r="N568" s="45"/>
      <c r="O568" s="3" t="s">
        <v>10</v>
      </c>
      <c r="P568" s="45"/>
      <c r="R568" s="177"/>
    </row>
    <row r="569" spans="1:18" ht="15" hidden="1" customHeight="1">
      <c r="A569" s="183" t="s">
        <v>249</v>
      </c>
      <c r="B569" s="183" t="s">
        <v>250</v>
      </c>
      <c r="C569" s="197">
        <v>218605758</v>
      </c>
      <c r="D569" s="203"/>
      <c r="E569" s="184"/>
      <c r="F569" s="29" t="s">
        <v>251</v>
      </c>
      <c r="G569" s="3" t="s">
        <v>116</v>
      </c>
      <c r="H569" s="45" t="s">
        <v>252</v>
      </c>
      <c r="I569" s="59">
        <v>46230</v>
      </c>
      <c r="J569" s="59">
        <v>46235</v>
      </c>
      <c r="K569" s="59">
        <v>46261</v>
      </c>
      <c r="L569" s="45"/>
      <c r="M569" s="45"/>
      <c r="N569" s="45"/>
      <c r="O569" s="3" t="s">
        <v>10</v>
      </c>
      <c r="P569" s="45"/>
      <c r="Q569" s="185"/>
      <c r="R569" s="186"/>
    </row>
    <row r="570" spans="1:18" ht="15" hidden="1" customHeight="1">
      <c r="A570" s="183" t="s">
        <v>249</v>
      </c>
      <c r="B570" s="183" t="s">
        <v>250</v>
      </c>
      <c r="C570" s="197">
        <v>218605922</v>
      </c>
      <c r="D570" s="203"/>
      <c r="E570" s="184"/>
      <c r="F570" s="29" t="s">
        <v>251</v>
      </c>
      <c r="G570" s="3" t="s">
        <v>116</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5">
        <v>218607984</v>
      </c>
      <c r="D571" s="203"/>
      <c r="E571" s="184"/>
      <c r="F571" s="29" t="s">
        <v>251</v>
      </c>
      <c r="G571" s="3" t="s">
        <v>116</v>
      </c>
      <c r="H571" s="45" t="s">
        <v>252</v>
      </c>
      <c r="I571" s="59">
        <v>46230</v>
      </c>
      <c r="J571" s="59">
        <v>46235</v>
      </c>
      <c r="K571" s="59">
        <v>46261</v>
      </c>
      <c r="L571" s="45"/>
      <c r="M571" s="45"/>
      <c r="N571" s="45"/>
      <c r="O571" s="3" t="s">
        <v>60</v>
      </c>
      <c r="P571" s="45"/>
      <c r="Q571" s="185"/>
      <c r="R571" s="186"/>
    </row>
    <row r="572" spans="1:18" ht="15" hidden="1" customHeight="1">
      <c r="A572" s="183" t="s">
        <v>249</v>
      </c>
      <c r="B572" s="183" t="s">
        <v>250</v>
      </c>
      <c r="C572" s="197">
        <v>218607834</v>
      </c>
      <c r="D572" s="203"/>
      <c r="E572" s="184"/>
      <c r="F572" s="29" t="s">
        <v>251</v>
      </c>
      <c r="G572" s="3" t="s">
        <v>116</v>
      </c>
      <c r="H572" s="45" t="s">
        <v>252</v>
      </c>
      <c r="I572" s="59">
        <v>46230</v>
      </c>
      <c r="J572" s="59">
        <v>46235</v>
      </c>
      <c r="K572" s="59">
        <v>46261</v>
      </c>
      <c r="L572" s="45"/>
      <c r="M572" s="45"/>
      <c r="N572" s="45"/>
      <c r="O572" s="3" t="s">
        <v>10</v>
      </c>
      <c r="P572" s="45"/>
      <c r="Q572" s="185"/>
      <c r="R572" s="186"/>
    </row>
    <row r="573" spans="1:18" ht="15" hidden="1" customHeight="1">
      <c r="A573" s="183" t="s">
        <v>249</v>
      </c>
      <c r="B573" s="183" t="s">
        <v>250</v>
      </c>
      <c r="C573" s="197">
        <v>218608095</v>
      </c>
      <c r="D573" s="203"/>
      <c r="E573" s="184"/>
      <c r="F573" s="29" t="s">
        <v>251</v>
      </c>
      <c r="G573" s="3" t="s">
        <v>116</v>
      </c>
      <c r="H573" s="45" t="s">
        <v>252</v>
      </c>
      <c r="I573" s="59">
        <v>46230</v>
      </c>
      <c r="J573" s="59">
        <v>46235</v>
      </c>
      <c r="K573" s="59">
        <v>46261</v>
      </c>
      <c r="L573" s="45"/>
      <c r="M573" s="45"/>
      <c r="N573" s="45"/>
      <c r="O573" s="3" t="s">
        <v>60</v>
      </c>
      <c r="P573" s="45"/>
      <c r="Q573" s="185"/>
      <c r="R573" s="186"/>
    </row>
    <row r="574" spans="1:18" ht="15" hidden="1" customHeight="1">
      <c r="A574" s="183" t="s">
        <v>249</v>
      </c>
      <c r="B574" s="183" t="s">
        <v>250</v>
      </c>
      <c r="C574" s="197">
        <v>218608201</v>
      </c>
      <c r="D574" s="203"/>
      <c r="E574" s="184"/>
      <c r="F574" s="29" t="s">
        <v>251</v>
      </c>
      <c r="G574" s="3" t="s">
        <v>116</v>
      </c>
      <c r="H574" s="45" t="s">
        <v>252</v>
      </c>
      <c r="I574" s="59">
        <v>46230</v>
      </c>
      <c r="J574" s="59">
        <v>46235</v>
      </c>
      <c r="K574" s="59">
        <v>46261</v>
      </c>
      <c r="L574" s="45"/>
      <c r="M574" s="45"/>
      <c r="N574" s="45"/>
      <c r="O574" s="3" t="s">
        <v>60</v>
      </c>
      <c r="P574" s="45"/>
      <c r="Q574" s="185"/>
      <c r="R574" s="186"/>
    </row>
    <row r="575" spans="1:18" ht="15" hidden="1" customHeight="1">
      <c r="A575" s="183" t="s">
        <v>253</v>
      </c>
      <c r="B575" s="183">
        <v>2026006964</v>
      </c>
      <c r="C575" s="195">
        <v>211604647</v>
      </c>
      <c r="D575" s="203"/>
      <c r="E575" s="184"/>
      <c r="F575" s="184" t="s">
        <v>131</v>
      </c>
      <c r="G575" s="45" t="s">
        <v>254</v>
      </c>
      <c r="H575" s="59" t="s">
        <v>30</v>
      </c>
      <c r="I575" s="59">
        <v>46234</v>
      </c>
      <c r="J575" s="59">
        <v>46238</v>
      </c>
      <c r="K575" s="59">
        <v>46269</v>
      </c>
      <c r="L575" s="45"/>
      <c r="M575" s="45"/>
      <c r="N575" s="45"/>
      <c r="O575" s="3" t="s">
        <v>60</v>
      </c>
      <c r="P575" s="45"/>
      <c r="Q575" s="185"/>
      <c r="R575" s="186"/>
    </row>
    <row r="576" spans="1:18" ht="15" hidden="1" customHeight="1">
      <c r="A576" s="183" t="s">
        <v>253</v>
      </c>
      <c r="B576" s="183">
        <v>2026006964</v>
      </c>
      <c r="C576" s="195">
        <v>211604617</v>
      </c>
      <c r="D576" s="168"/>
      <c r="F576" s="184" t="s">
        <v>131</v>
      </c>
      <c r="G576" s="45" t="s">
        <v>254</v>
      </c>
      <c r="H576" s="59" t="s">
        <v>30</v>
      </c>
      <c r="I576" s="59">
        <v>46234</v>
      </c>
      <c r="J576" s="59">
        <v>46238</v>
      </c>
      <c r="K576" s="59">
        <v>46269</v>
      </c>
      <c r="O576" s="3" t="s">
        <v>60</v>
      </c>
      <c r="R576" s="177"/>
    </row>
    <row r="577" spans="1:18" ht="15" hidden="1" customHeight="1">
      <c r="A577" s="183" t="s">
        <v>253</v>
      </c>
      <c r="B577" s="183">
        <v>2026006964</v>
      </c>
      <c r="C577" s="195">
        <v>211604583</v>
      </c>
      <c r="D577" s="168"/>
      <c r="F577" s="184" t="s">
        <v>131</v>
      </c>
      <c r="G577" s="45" t="s">
        <v>254</v>
      </c>
      <c r="H577" s="59" t="s">
        <v>30</v>
      </c>
      <c r="I577" s="59">
        <v>46234</v>
      </c>
      <c r="J577" s="59">
        <v>46238</v>
      </c>
      <c r="K577" s="59">
        <v>46269</v>
      </c>
      <c r="O577" s="3" t="s">
        <v>60</v>
      </c>
      <c r="R577" s="177"/>
    </row>
    <row r="578" spans="1:18" ht="15" hidden="1" customHeight="1">
      <c r="A578" s="183" t="s">
        <v>253</v>
      </c>
      <c r="B578" s="183">
        <v>2026006964</v>
      </c>
      <c r="C578" s="195">
        <v>211604331</v>
      </c>
      <c r="D578" s="168"/>
      <c r="F578" s="184" t="s">
        <v>131</v>
      </c>
      <c r="G578" s="45" t="s">
        <v>254</v>
      </c>
      <c r="H578" s="59" t="s">
        <v>30</v>
      </c>
      <c r="I578" s="59">
        <v>46234</v>
      </c>
      <c r="J578" s="59">
        <v>46238</v>
      </c>
      <c r="K578" s="59">
        <v>46269</v>
      </c>
      <c r="O578" s="3" t="s">
        <v>60</v>
      </c>
      <c r="R578" s="177"/>
    </row>
    <row r="579" spans="1:18" ht="15" hidden="1" customHeight="1">
      <c r="A579" s="183" t="s">
        <v>253</v>
      </c>
      <c r="B579" s="183">
        <v>2026006964</v>
      </c>
      <c r="C579" s="195">
        <v>211604318</v>
      </c>
      <c r="D579" s="168"/>
      <c r="F579" s="184" t="s">
        <v>131</v>
      </c>
      <c r="G579" s="45" t="s">
        <v>254</v>
      </c>
      <c r="H579" s="59" t="s">
        <v>30</v>
      </c>
      <c r="I579" s="59">
        <v>46234</v>
      </c>
      <c r="J579" s="59">
        <v>46238</v>
      </c>
      <c r="K579" s="59">
        <v>46269</v>
      </c>
      <c r="O579" s="3" t="s">
        <v>60</v>
      </c>
      <c r="R579" s="177"/>
    </row>
    <row r="580" spans="1:18" ht="15" hidden="1" customHeight="1">
      <c r="A580" s="183" t="s">
        <v>253</v>
      </c>
      <c r="B580" s="183">
        <v>2026006964</v>
      </c>
      <c r="C580" s="195">
        <v>211604272</v>
      </c>
      <c r="D580" s="168"/>
      <c r="F580" s="184" t="s">
        <v>131</v>
      </c>
      <c r="G580" s="45" t="s">
        <v>254</v>
      </c>
      <c r="H580" s="59" t="s">
        <v>30</v>
      </c>
      <c r="I580" s="59">
        <v>46234</v>
      </c>
      <c r="J580" s="59">
        <v>46238</v>
      </c>
      <c r="K580" s="59">
        <v>46269</v>
      </c>
      <c r="O580" s="3" t="s">
        <v>60</v>
      </c>
      <c r="R580" s="177"/>
    </row>
    <row r="581" spans="1:18" ht="15" hidden="1" customHeight="1">
      <c r="A581" s="183" t="s">
        <v>253</v>
      </c>
      <c r="B581" s="183">
        <v>2026006964</v>
      </c>
      <c r="C581" s="195">
        <v>211604230</v>
      </c>
      <c r="D581" s="168"/>
      <c r="F581" s="184" t="s">
        <v>131</v>
      </c>
      <c r="G581" s="45" t="s">
        <v>254</v>
      </c>
      <c r="H581" s="59" t="s">
        <v>30</v>
      </c>
      <c r="I581" s="59">
        <v>46234</v>
      </c>
      <c r="J581" s="59">
        <v>46238</v>
      </c>
      <c r="K581" s="59">
        <v>46269</v>
      </c>
      <c r="O581" s="3" t="s">
        <v>60</v>
      </c>
      <c r="R581" s="177"/>
    </row>
    <row r="582" spans="1:18" ht="15" hidden="1" customHeight="1">
      <c r="A582" s="183" t="s">
        <v>253</v>
      </c>
      <c r="B582" s="183">
        <v>2026006964</v>
      </c>
      <c r="C582" s="195">
        <v>211603982</v>
      </c>
      <c r="D582" s="168"/>
      <c r="F582" s="184" t="s">
        <v>131</v>
      </c>
      <c r="G582" s="45" t="s">
        <v>254</v>
      </c>
      <c r="H582" s="59" t="s">
        <v>30</v>
      </c>
      <c r="I582" s="59">
        <v>46234</v>
      </c>
      <c r="J582" s="59">
        <v>46238</v>
      </c>
      <c r="K582" s="59">
        <v>46269</v>
      </c>
      <c r="O582" s="3" t="s">
        <v>60</v>
      </c>
      <c r="R582" s="177"/>
    </row>
    <row r="583" spans="1:18" ht="15" hidden="1" customHeight="1">
      <c r="A583" s="183" t="s">
        <v>253</v>
      </c>
      <c r="B583" s="183">
        <v>2026006964</v>
      </c>
      <c r="C583" s="195">
        <v>211603963</v>
      </c>
      <c r="D583" s="168"/>
      <c r="F583" s="184" t="s">
        <v>131</v>
      </c>
      <c r="G583" s="45" t="s">
        <v>254</v>
      </c>
      <c r="H583" s="59" t="s">
        <v>30</v>
      </c>
      <c r="I583" s="59">
        <v>46234</v>
      </c>
      <c r="J583" s="59">
        <v>46238</v>
      </c>
      <c r="K583" s="59">
        <v>46269</v>
      </c>
      <c r="O583" s="3" t="s">
        <v>60</v>
      </c>
      <c r="R583" s="177"/>
    </row>
    <row r="584" spans="1:18" ht="15" hidden="1" customHeight="1">
      <c r="A584" s="183" t="s">
        <v>253</v>
      </c>
      <c r="B584" s="183">
        <v>2026006964</v>
      </c>
      <c r="C584" s="195">
        <v>211603939</v>
      </c>
      <c r="D584" s="168"/>
      <c r="F584" s="184" t="s">
        <v>131</v>
      </c>
      <c r="G584" s="45" t="s">
        <v>254</v>
      </c>
      <c r="H584" s="59" t="s">
        <v>30</v>
      </c>
      <c r="I584" s="59">
        <v>46234</v>
      </c>
      <c r="J584" s="59">
        <v>46238</v>
      </c>
      <c r="K584" s="59">
        <v>46269</v>
      </c>
      <c r="O584" s="3" t="s">
        <v>60</v>
      </c>
      <c r="R584" s="177"/>
    </row>
    <row r="585" spans="1:18" ht="15" hidden="1" customHeight="1">
      <c r="A585" s="183" t="s">
        <v>253</v>
      </c>
      <c r="B585" s="183">
        <v>2026006964</v>
      </c>
      <c r="C585" s="195">
        <v>211603909</v>
      </c>
      <c r="D585" s="168"/>
      <c r="F585" s="184" t="s">
        <v>131</v>
      </c>
      <c r="G585" s="45" t="s">
        <v>254</v>
      </c>
      <c r="H585" s="59" t="s">
        <v>30</v>
      </c>
      <c r="I585" s="59">
        <v>46234</v>
      </c>
      <c r="J585" s="59">
        <v>46238</v>
      </c>
      <c r="K585" s="59">
        <v>46269</v>
      </c>
      <c r="O585" s="3" t="s">
        <v>60</v>
      </c>
      <c r="R585" s="177"/>
    </row>
    <row r="586" spans="1:18" ht="15" hidden="1" customHeight="1">
      <c r="A586" s="183" t="s">
        <v>253</v>
      </c>
      <c r="B586" s="183">
        <v>2026006964</v>
      </c>
      <c r="C586" s="195">
        <v>211603884</v>
      </c>
      <c r="D586" s="168"/>
      <c r="F586" s="184" t="s">
        <v>131</v>
      </c>
      <c r="G586" s="45" t="s">
        <v>254</v>
      </c>
      <c r="H586" s="59" t="s">
        <v>30</v>
      </c>
      <c r="I586" s="59">
        <v>46234</v>
      </c>
      <c r="J586" s="59">
        <v>46238</v>
      </c>
      <c r="K586" s="59">
        <v>46269</v>
      </c>
      <c r="O586" s="3" t="s">
        <v>60</v>
      </c>
      <c r="R586" s="177"/>
    </row>
    <row r="587" spans="1:18" ht="15" hidden="1" customHeight="1">
      <c r="A587" s="183" t="s">
        <v>253</v>
      </c>
      <c r="B587" s="183">
        <v>2026006964</v>
      </c>
      <c r="C587" s="195">
        <v>211603848</v>
      </c>
      <c r="D587" s="168"/>
      <c r="F587" s="184" t="s">
        <v>131</v>
      </c>
      <c r="G587" s="45" t="s">
        <v>254</v>
      </c>
      <c r="H587" s="59" t="s">
        <v>30</v>
      </c>
      <c r="I587" s="59">
        <v>46234</v>
      </c>
      <c r="J587" s="59">
        <v>46238</v>
      </c>
      <c r="K587" s="59">
        <v>46269</v>
      </c>
      <c r="O587" s="3" t="s">
        <v>60</v>
      </c>
      <c r="R587" s="177"/>
    </row>
    <row r="588" spans="1:18" ht="15" hidden="1" customHeight="1">
      <c r="A588" s="183" t="s">
        <v>253</v>
      </c>
      <c r="B588" s="183">
        <v>2026006964</v>
      </c>
      <c r="C588" s="195">
        <v>211603800</v>
      </c>
      <c r="D588" s="168"/>
      <c r="F588" s="184" t="s">
        <v>131</v>
      </c>
      <c r="G588" s="45" t="s">
        <v>254</v>
      </c>
      <c r="H588" s="59" t="s">
        <v>30</v>
      </c>
      <c r="I588" s="59">
        <v>46234</v>
      </c>
      <c r="J588" s="59">
        <v>46238</v>
      </c>
      <c r="K588" s="59">
        <v>46269</v>
      </c>
      <c r="O588" s="3" t="s">
        <v>60</v>
      </c>
      <c r="R588" s="177"/>
    </row>
    <row r="589" spans="1:18" ht="15" hidden="1" customHeight="1">
      <c r="A589" s="183" t="s">
        <v>253</v>
      </c>
      <c r="B589" s="183">
        <v>2026006964</v>
      </c>
      <c r="C589" s="195">
        <v>211603773</v>
      </c>
      <c r="D589" s="168"/>
      <c r="F589" s="184" t="s">
        <v>131</v>
      </c>
      <c r="G589" s="45" t="s">
        <v>254</v>
      </c>
      <c r="H589" s="59" t="s">
        <v>30</v>
      </c>
      <c r="I589" s="59">
        <v>46234</v>
      </c>
      <c r="J589" s="59">
        <v>46238</v>
      </c>
      <c r="K589" s="59">
        <v>46269</v>
      </c>
      <c r="O589" s="3" t="s">
        <v>60</v>
      </c>
      <c r="R589" s="177"/>
    </row>
    <row r="590" spans="1:18" ht="15" hidden="1" customHeight="1">
      <c r="A590" s="183" t="s">
        <v>253</v>
      </c>
      <c r="B590" s="183">
        <v>2026006964</v>
      </c>
      <c r="C590" s="195">
        <v>211603742</v>
      </c>
      <c r="D590" s="168"/>
      <c r="F590" s="184" t="s">
        <v>131</v>
      </c>
      <c r="G590" s="45" t="s">
        <v>254</v>
      </c>
      <c r="H590" s="59" t="s">
        <v>30</v>
      </c>
      <c r="I590" s="59">
        <v>46234</v>
      </c>
      <c r="J590" s="59">
        <v>46238</v>
      </c>
      <c r="K590" s="59">
        <v>46269</v>
      </c>
      <c r="O590" s="3" t="s">
        <v>60</v>
      </c>
      <c r="R590" s="177"/>
    </row>
    <row r="591" spans="1:18" ht="15" hidden="1" customHeight="1">
      <c r="A591" s="183" t="s">
        <v>253</v>
      </c>
      <c r="B591" s="183">
        <v>2026006964</v>
      </c>
      <c r="C591" s="197">
        <v>211603693</v>
      </c>
      <c r="D591" s="203"/>
      <c r="E591" s="184"/>
      <c r="F591" s="184" t="s">
        <v>131</v>
      </c>
      <c r="G591" s="45" t="s">
        <v>254</v>
      </c>
      <c r="H591" s="59" t="s">
        <v>30</v>
      </c>
      <c r="I591" s="59">
        <v>46234</v>
      </c>
      <c r="J591" s="59">
        <v>46238</v>
      </c>
      <c r="K591" s="59">
        <v>46269</v>
      </c>
      <c r="L591" s="45"/>
      <c r="M591" s="45"/>
      <c r="N591" s="45"/>
      <c r="O591" s="3" t="s">
        <v>60</v>
      </c>
      <c r="P591" s="45"/>
      <c r="Q591" s="185"/>
      <c r="R591" s="186"/>
    </row>
    <row r="592" spans="1:18" ht="15" hidden="1" customHeight="1">
      <c r="A592" s="183" t="s">
        <v>255</v>
      </c>
      <c r="B592" s="183" t="s">
        <v>256</v>
      </c>
      <c r="C592" s="195">
        <v>218607727</v>
      </c>
      <c r="D592" s="203"/>
      <c r="E592" s="184"/>
      <c r="F592" s="184" t="s">
        <v>236</v>
      </c>
      <c r="G592" s="45" t="s">
        <v>257</v>
      </c>
      <c r="H592" s="59" t="s">
        <v>30</v>
      </c>
      <c r="I592" s="59">
        <v>46240</v>
      </c>
      <c r="J592" s="59">
        <v>46243</v>
      </c>
      <c r="K592" s="59">
        <v>46271</v>
      </c>
      <c r="L592" s="45"/>
      <c r="M592" s="45"/>
      <c r="N592" s="45"/>
      <c r="O592" s="3" t="s">
        <v>60</v>
      </c>
      <c r="P592" s="45"/>
      <c r="Q592" s="185"/>
      <c r="R592" s="186"/>
    </row>
    <row r="593" spans="1:18" ht="15" hidden="1" customHeight="1">
      <c r="A593" s="183" t="s">
        <v>255</v>
      </c>
      <c r="B593" s="183" t="s">
        <v>256</v>
      </c>
      <c r="C593" s="195">
        <v>218608250</v>
      </c>
      <c r="D593" s="168"/>
      <c r="F593" s="184" t="s">
        <v>236</v>
      </c>
      <c r="G593" s="45" t="s">
        <v>257</v>
      </c>
      <c r="H593" s="59" t="s">
        <v>30</v>
      </c>
      <c r="I593" s="59">
        <v>46240</v>
      </c>
      <c r="J593" s="59">
        <v>46243</v>
      </c>
      <c r="K593" s="59">
        <v>46271</v>
      </c>
      <c r="O593" s="3" t="s">
        <v>60</v>
      </c>
      <c r="R593" s="177"/>
    </row>
    <row r="594" spans="1:18" ht="15" hidden="1" customHeight="1">
      <c r="A594" s="183" t="s">
        <v>255</v>
      </c>
      <c r="B594" s="183" t="s">
        <v>256</v>
      </c>
      <c r="C594" s="195">
        <v>218608816</v>
      </c>
      <c r="D594" s="168"/>
      <c r="F594" s="184" t="s">
        <v>236</v>
      </c>
      <c r="G594" s="45" t="s">
        <v>257</v>
      </c>
      <c r="H594" s="59" t="s">
        <v>30</v>
      </c>
      <c r="I594" s="59">
        <v>46240</v>
      </c>
      <c r="J594" s="59">
        <v>46243</v>
      </c>
      <c r="K594" s="59">
        <v>46271</v>
      </c>
      <c r="O594" s="3" t="s">
        <v>60</v>
      </c>
      <c r="R594" s="177"/>
    </row>
    <row r="595" spans="1:18" ht="15" hidden="1" customHeight="1">
      <c r="A595" s="183" t="s">
        <v>255</v>
      </c>
      <c r="B595" s="183" t="s">
        <v>256</v>
      </c>
      <c r="C595" s="195">
        <v>218608482</v>
      </c>
      <c r="D595" s="168"/>
      <c r="F595" s="184" t="s">
        <v>236</v>
      </c>
      <c r="G595" s="45" t="s">
        <v>257</v>
      </c>
      <c r="H595" s="59" t="s">
        <v>30</v>
      </c>
      <c r="I595" s="59">
        <v>46240</v>
      </c>
      <c r="J595" s="59">
        <v>46243</v>
      </c>
      <c r="K595" s="59">
        <v>46271</v>
      </c>
      <c r="O595" s="3" t="s">
        <v>60</v>
      </c>
      <c r="R595" s="177"/>
    </row>
    <row r="596" spans="1:18" ht="15" hidden="1" customHeight="1">
      <c r="A596" s="183" t="s">
        <v>255</v>
      </c>
      <c r="B596" s="183" t="s">
        <v>256</v>
      </c>
      <c r="C596" s="195">
        <v>218608640</v>
      </c>
      <c r="D596" s="168"/>
      <c r="F596" s="184" t="s">
        <v>236</v>
      </c>
      <c r="G596" s="45" t="s">
        <v>257</v>
      </c>
      <c r="H596" s="59" t="s">
        <v>30</v>
      </c>
      <c r="I596" s="59">
        <v>46240</v>
      </c>
      <c r="J596" s="59">
        <v>46243</v>
      </c>
      <c r="K596" s="59">
        <v>46271</v>
      </c>
      <c r="O596" s="3" t="s">
        <v>60</v>
      </c>
      <c r="R596" s="177"/>
    </row>
    <row r="597" spans="1:18" ht="15" hidden="1" customHeight="1">
      <c r="A597" s="183" t="s">
        <v>255</v>
      </c>
      <c r="B597" s="183" t="s">
        <v>256</v>
      </c>
      <c r="C597" s="195">
        <v>218608572</v>
      </c>
      <c r="D597" s="168"/>
      <c r="F597" s="184" t="s">
        <v>236</v>
      </c>
      <c r="G597" s="45" t="s">
        <v>257</v>
      </c>
      <c r="H597" s="59" t="s">
        <v>30</v>
      </c>
      <c r="I597" s="59">
        <v>46240</v>
      </c>
      <c r="J597" s="59">
        <v>46243</v>
      </c>
      <c r="K597" s="59">
        <v>46271</v>
      </c>
      <c r="O597" s="3" t="s">
        <v>60</v>
      </c>
      <c r="R597" s="177"/>
    </row>
    <row r="598" spans="1:18" ht="15" hidden="1" customHeight="1">
      <c r="A598" s="183" t="s">
        <v>255</v>
      </c>
      <c r="B598" s="183" t="s">
        <v>256</v>
      </c>
      <c r="C598" s="195">
        <v>218608785</v>
      </c>
      <c r="D598" s="168"/>
      <c r="F598" s="184" t="s">
        <v>236</v>
      </c>
      <c r="G598" s="45" t="s">
        <v>257</v>
      </c>
      <c r="H598" s="59" t="s">
        <v>30</v>
      </c>
      <c r="I598" s="59">
        <v>46240</v>
      </c>
      <c r="J598" s="59">
        <v>46243</v>
      </c>
      <c r="K598" s="59">
        <v>46271</v>
      </c>
      <c r="O598" s="3" t="s">
        <v>60</v>
      </c>
      <c r="R598" s="177"/>
    </row>
    <row r="599" spans="1:18" ht="15" hidden="1" customHeight="1">
      <c r="A599" s="183" t="s">
        <v>255</v>
      </c>
      <c r="B599" s="183" t="s">
        <v>256</v>
      </c>
      <c r="C599" s="195">
        <v>218608857</v>
      </c>
      <c r="D599" s="168"/>
      <c r="F599" s="184" t="s">
        <v>236</v>
      </c>
      <c r="G599" s="45" t="s">
        <v>257</v>
      </c>
      <c r="H599" s="59" t="s">
        <v>30</v>
      </c>
      <c r="I599" s="59">
        <v>46240</v>
      </c>
      <c r="J599" s="59">
        <v>46243</v>
      </c>
      <c r="K599" s="59">
        <v>46271</v>
      </c>
      <c r="O599" s="3" t="s">
        <v>60</v>
      </c>
      <c r="R599" s="177"/>
    </row>
    <row r="600" spans="1:18" ht="15" hidden="1" customHeight="1">
      <c r="A600" s="183" t="s">
        <v>255</v>
      </c>
      <c r="B600" s="183" t="s">
        <v>256</v>
      </c>
      <c r="C600" s="195">
        <v>218608873</v>
      </c>
      <c r="D600" s="168"/>
      <c r="F600" s="184" t="s">
        <v>236</v>
      </c>
      <c r="G600" s="45" t="s">
        <v>257</v>
      </c>
      <c r="H600" s="59" t="s">
        <v>30</v>
      </c>
      <c r="I600" s="59">
        <v>46240</v>
      </c>
      <c r="J600" s="59">
        <v>46243</v>
      </c>
      <c r="K600" s="59">
        <v>46271</v>
      </c>
      <c r="O600" s="3" t="s">
        <v>60</v>
      </c>
      <c r="R600" s="177"/>
    </row>
    <row r="601" spans="1:18" ht="15" hidden="1" customHeight="1">
      <c r="A601" s="183" t="s">
        <v>255</v>
      </c>
      <c r="B601" s="183" t="s">
        <v>256</v>
      </c>
      <c r="C601" s="195">
        <v>218608881</v>
      </c>
      <c r="D601" s="168"/>
      <c r="F601" s="184" t="s">
        <v>236</v>
      </c>
      <c r="G601" s="45" t="s">
        <v>257</v>
      </c>
      <c r="H601" s="59" t="s">
        <v>30</v>
      </c>
      <c r="I601" s="59">
        <v>46240</v>
      </c>
      <c r="J601" s="59">
        <v>46243</v>
      </c>
      <c r="K601" s="59">
        <v>46271</v>
      </c>
      <c r="O601" s="3" t="s">
        <v>60</v>
      </c>
      <c r="R601" s="177"/>
    </row>
    <row r="602" spans="1:18" ht="15" hidden="1" customHeight="1">
      <c r="A602" s="183" t="s">
        <v>255</v>
      </c>
      <c r="B602" s="183" t="s">
        <v>256</v>
      </c>
      <c r="C602" s="195">
        <v>218608889</v>
      </c>
      <c r="D602" s="168"/>
      <c r="F602" s="184" t="s">
        <v>236</v>
      </c>
      <c r="G602" s="45" t="s">
        <v>257</v>
      </c>
      <c r="H602" s="59" t="s">
        <v>30</v>
      </c>
      <c r="I602" s="59">
        <v>46240</v>
      </c>
      <c r="J602" s="59">
        <v>46243</v>
      </c>
      <c r="K602" s="59">
        <v>46271</v>
      </c>
      <c r="O602" s="3" t="s">
        <v>60</v>
      </c>
      <c r="R602" s="177"/>
    </row>
    <row r="603" spans="1:18" ht="15" hidden="1" customHeight="1">
      <c r="A603" s="183" t="s">
        <v>255</v>
      </c>
      <c r="B603" s="183" t="s">
        <v>256</v>
      </c>
      <c r="C603" s="195">
        <v>218608905</v>
      </c>
      <c r="D603" s="168"/>
      <c r="F603" s="184" t="s">
        <v>236</v>
      </c>
      <c r="G603" s="45" t="s">
        <v>257</v>
      </c>
      <c r="H603" s="59" t="s">
        <v>30</v>
      </c>
      <c r="I603" s="59">
        <v>46240</v>
      </c>
      <c r="J603" s="59">
        <v>46243</v>
      </c>
      <c r="K603" s="59">
        <v>46271</v>
      </c>
      <c r="O603" s="3" t="s">
        <v>60</v>
      </c>
      <c r="R603" s="177"/>
    </row>
    <row r="604" spans="1:18" ht="15" hidden="1" customHeight="1">
      <c r="A604" s="183" t="s">
        <v>255</v>
      </c>
      <c r="B604" s="183" t="s">
        <v>256</v>
      </c>
      <c r="C604" s="195">
        <v>218608911</v>
      </c>
      <c r="D604" s="168"/>
      <c r="F604" s="184" t="s">
        <v>236</v>
      </c>
      <c r="G604" s="45" t="s">
        <v>257</v>
      </c>
      <c r="H604" s="59" t="s">
        <v>30</v>
      </c>
      <c r="I604" s="59">
        <v>46240</v>
      </c>
      <c r="J604" s="59">
        <v>46243</v>
      </c>
      <c r="K604" s="59">
        <v>46271</v>
      </c>
      <c r="O604" s="3" t="s">
        <v>60</v>
      </c>
      <c r="R604" s="177"/>
    </row>
    <row r="605" spans="1:18" ht="15" hidden="1" customHeight="1">
      <c r="A605" s="183" t="s">
        <v>255</v>
      </c>
      <c r="B605" s="183" t="s">
        <v>256</v>
      </c>
      <c r="C605" s="195">
        <v>218608918</v>
      </c>
      <c r="D605" s="168"/>
      <c r="F605" s="184" t="s">
        <v>236</v>
      </c>
      <c r="G605" s="45" t="s">
        <v>257</v>
      </c>
      <c r="H605" s="59" t="s">
        <v>30</v>
      </c>
      <c r="I605" s="59">
        <v>46240</v>
      </c>
      <c r="J605" s="59">
        <v>46243</v>
      </c>
      <c r="K605" s="59">
        <v>46271</v>
      </c>
      <c r="O605" s="3" t="s">
        <v>60</v>
      </c>
      <c r="R605" s="177"/>
    </row>
    <row r="606" spans="1:18" ht="15" hidden="1" customHeight="1">
      <c r="A606" s="219" t="s">
        <v>255</v>
      </c>
      <c r="B606" s="223" t="s">
        <v>256</v>
      </c>
      <c r="C606" s="221">
        <v>218608924</v>
      </c>
      <c r="D606" s="168"/>
      <c r="F606" s="184" t="s">
        <v>236</v>
      </c>
      <c r="G606" s="45" t="s">
        <v>257</v>
      </c>
      <c r="H606" s="59" t="s">
        <v>30</v>
      </c>
      <c r="I606" s="59">
        <v>46240</v>
      </c>
      <c r="J606" s="59">
        <v>46243</v>
      </c>
      <c r="K606" s="59">
        <v>46271</v>
      </c>
      <c r="O606" s="3" t="s">
        <v>60</v>
      </c>
      <c r="R606" s="177"/>
    </row>
    <row r="607" spans="1:18" ht="15" hidden="1" customHeight="1">
      <c r="A607" s="219" t="s">
        <v>255</v>
      </c>
      <c r="B607" s="223" t="s">
        <v>256</v>
      </c>
      <c r="C607" s="221">
        <v>218608935</v>
      </c>
      <c r="D607" s="168"/>
      <c r="F607" s="184" t="s">
        <v>236</v>
      </c>
      <c r="G607" s="45" t="s">
        <v>257</v>
      </c>
      <c r="H607" s="59" t="s">
        <v>30</v>
      </c>
      <c r="I607" s="59">
        <v>46240</v>
      </c>
      <c r="J607" s="59">
        <v>46243</v>
      </c>
      <c r="K607" s="59">
        <v>46271</v>
      </c>
      <c r="O607" s="3" t="s">
        <v>60</v>
      </c>
      <c r="R607" s="177"/>
    </row>
    <row r="608" spans="1:18" ht="15" hidden="1" customHeight="1">
      <c r="A608" s="199" t="s">
        <v>258</v>
      </c>
      <c r="B608" s="222" t="s">
        <v>259</v>
      </c>
      <c r="C608" s="225">
        <v>214600824</v>
      </c>
      <c r="D608" s="168"/>
      <c r="F608" s="184" t="s">
        <v>165</v>
      </c>
      <c r="G608" s="3" t="s">
        <v>116</v>
      </c>
      <c r="H608" s="55" t="s">
        <v>260</v>
      </c>
      <c r="I608" s="55">
        <v>46235</v>
      </c>
      <c r="J608" s="55">
        <v>46238</v>
      </c>
      <c r="K608" s="55">
        <v>46266</v>
      </c>
      <c r="O608" s="3" t="s">
        <v>60</v>
      </c>
      <c r="R608" s="177"/>
    </row>
    <row r="609" spans="1:18" ht="15" hidden="1" customHeight="1">
      <c r="A609" s="219" t="s">
        <v>258</v>
      </c>
      <c r="B609" s="222" t="s">
        <v>259</v>
      </c>
      <c r="C609" s="226">
        <v>214600820</v>
      </c>
      <c r="D609" s="203"/>
      <c r="E609" s="184"/>
      <c r="F609" s="184" t="s">
        <v>165</v>
      </c>
      <c r="G609" s="3" t="s">
        <v>116</v>
      </c>
      <c r="H609" s="55" t="s">
        <v>260</v>
      </c>
      <c r="I609" s="55">
        <v>46235</v>
      </c>
      <c r="J609" s="55">
        <v>46238</v>
      </c>
      <c r="K609" s="55">
        <v>46266</v>
      </c>
      <c r="L609" s="45"/>
      <c r="M609" s="45"/>
      <c r="N609" s="45"/>
      <c r="O609" s="45" t="s">
        <v>60</v>
      </c>
      <c r="P609" s="45"/>
      <c r="Q609" s="185"/>
      <c r="R609" s="186"/>
    </row>
    <row r="610" spans="1:18" ht="15" hidden="1" customHeight="1">
      <c r="A610" s="219" t="s">
        <v>258</v>
      </c>
      <c r="B610" s="222" t="s">
        <v>259</v>
      </c>
      <c r="C610" s="227">
        <v>214600827</v>
      </c>
      <c r="D610" s="203"/>
      <c r="E610" s="184"/>
      <c r="F610" s="184" t="s">
        <v>165</v>
      </c>
      <c r="G610" s="3" t="s">
        <v>116</v>
      </c>
      <c r="H610" s="55" t="s">
        <v>260</v>
      </c>
      <c r="I610" s="55">
        <v>46235</v>
      </c>
      <c r="J610" s="55">
        <v>46238</v>
      </c>
      <c r="K610" s="55">
        <v>46266</v>
      </c>
      <c r="L610" s="45"/>
      <c r="M610" s="45"/>
      <c r="N610" s="45"/>
      <c r="O610" s="45" t="s">
        <v>60</v>
      </c>
      <c r="P610" s="45"/>
      <c r="Q610" s="185"/>
      <c r="R610" s="186"/>
    </row>
    <row r="611" spans="1:18" ht="15" hidden="1" customHeight="1">
      <c r="A611" s="219" t="s">
        <v>258</v>
      </c>
      <c r="B611" s="222" t="s">
        <v>259</v>
      </c>
      <c r="C611" s="227">
        <v>214600831</v>
      </c>
      <c r="D611" s="203"/>
      <c r="E611" s="184"/>
      <c r="F611" s="184" t="s">
        <v>165</v>
      </c>
      <c r="G611" s="3" t="s">
        <v>116</v>
      </c>
      <c r="H611" s="55" t="s">
        <v>260</v>
      </c>
      <c r="I611" s="55">
        <v>46235</v>
      </c>
      <c r="J611" s="55">
        <v>46238</v>
      </c>
      <c r="K611" s="55">
        <v>46266</v>
      </c>
      <c r="L611" s="45"/>
      <c r="M611" s="45"/>
      <c r="N611" s="45"/>
      <c r="O611" s="45" t="s">
        <v>60</v>
      </c>
      <c r="P611" s="45"/>
      <c r="Q611" s="185"/>
      <c r="R611" s="186"/>
    </row>
    <row r="612" spans="1:18" ht="15" hidden="1" customHeight="1">
      <c r="A612" s="219" t="s">
        <v>261</v>
      </c>
      <c r="B612" s="224" t="s">
        <v>262</v>
      </c>
      <c r="C612" s="228">
        <v>214600838</v>
      </c>
      <c r="D612" s="203"/>
      <c r="E612" s="184"/>
      <c r="F612" s="184" t="s">
        <v>165</v>
      </c>
      <c r="G612" s="3" t="s">
        <v>116</v>
      </c>
      <c r="H612" s="55" t="s">
        <v>260</v>
      </c>
      <c r="I612" s="55">
        <v>46235</v>
      </c>
      <c r="J612" s="55">
        <v>46238</v>
      </c>
      <c r="K612" s="55">
        <v>46266</v>
      </c>
      <c r="L612" s="45"/>
      <c r="M612" s="45"/>
      <c r="N612" s="45"/>
      <c r="O612" s="45" t="s">
        <v>171</v>
      </c>
      <c r="P612" s="45"/>
      <c r="Q612" s="185"/>
      <c r="R612" s="186"/>
    </row>
    <row r="613" spans="1:18" ht="15" hidden="1" customHeight="1">
      <c r="A613" s="220" t="s">
        <v>261</v>
      </c>
      <c r="B613" s="224" t="s">
        <v>262</v>
      </c>
      <c r="C613" s="229">
        <v>214600843</v>
      </c>
      <c r="D613" s="203"/>
      <c r="E613" s="184"/>
      <c r="F613" s="184" t="s">
        <v>165</v>
      </c>
      <c r="G613" s="3" t="s">
        <v>116</v>
      </c>
      <c r="H613" s="55" t="s">
        <v>260</v>
      </c>
      <c r="I613" s="55">
        <v>46235</v>
      </c>
      <c r="J613" s="55">
        <v>46238</v>
      </c>
      <c r="K613" s="55">
        <v>46266</v>
      </c>
      <c r="L613" s="45"/>
      <c r="M613" s="45"/>
      <c r="N613" s="45"/>
      <c r="O613" s="45" t="s">
        <v>171</v>
      </c>
      <c r="P613" s="45"/>
      <c r="Q613" s="185"/>
      <c r="R613" s="186"/>
    </row>
    <row r="614" spans="1:18" ht="15" hidden="1" customHeight="1">
      <c r="A614" s="219" t="s">
        <v>261</v>
      </c>
      <c r="B614" s="224" t="s">
        <v>262</v>
      </c>
      <c r="C614" s="229">
        <v>214600827</v>
      </c>
      <c r="D614" s="168"/>
      <c r="F614" s="184" t="s">
        <v>165</v>
      </c>
      <c r="G614" s="3" t="s">
        <v>116</v>
      </c>
      <c r="H614" s="55" t="s">
        <v>260</v>
      </c>
      <c r="I614" s="55">
        <v>46235</v>
      </c>
      <c r="J614" s="55">
        <v>46238</v>
      </c>
      <c r="K614" s="55">
        <v>46266</v>
      </c>
      <c r="O614" s="45" t="s">
        <v>171</v>
      </c>
      <c r="R614" s="177"/>
    </row>
    <row r="615" spans="1:18" ht="15" hidden="1" customHeight="1">
      <c r="A615" s="220" t="s">
        <v>261</v>
      </c>
      <c r="B615" s="224" t="s">
        <v>262</v>
      </c>
      <c r="C615" s="229">
        <v>214600836</v>
      </c>
      <c r="D615" s="168"/>
      <c r="F615" s="184" t="s">
        <v>165</v>
      </c>
      <c r="G615" s="3" t="s">
        <v>116</v>
      </c>
      <c r="H615" s="55" t="s">
        <v>260</v>
      </c>
      <c r="I615" s="55">
        <v>46235</v>
      </c>
      <c r="J615" s="55">
        <v>46238</v>
      </c>
      <c r="K615" s="55">
        <v>46266</v>
      </c>
      <c r="O615" s="45" t="s">
        <v>171</v>
      </c>
      <c r="R615" s="177"/>
    </row>
    <row r="616" spans="1:18" ht="15" hidden="1" customHeight="1">
      <c r="A616" s="219" t="s">
        <v>261</v>
      </c>
      <c r="B616" s="224" t="s">
        <v>262</v>
      </c>
      <c r="C616" s="229">
        <v>214600839</v>
      </c>
      <c r="D616" s="168"/>
      <c r="F616" s="184" t="s">
        <v>165</v>
      </c>
      <c r="G616" s="3" t="s">
        <v>116</v>
      </c>
      <c r="H616" s="55" t="s">
        <v>260</v>
      </c>
      <c r="I616" s="55">
        <v>46235</v>
      </c>
      <c r="J616" s="55">
        <v>46238</v>
      </c>
      <c r="K616" s="55">
        <v>46266</v>
      </c>
      <c r="O616" s="45" t="s">
        <v>171</v>
      </c>
      <c r="R616" s="177"/>
    </row>
    <row r="617" spans="1:18" ht="15" hidden="1" customHeight="1">
      <c r="A617" s="220" t="s">
        <v>261</v>
      </c>
      <c r="B617" s="224" t="s">
        <v>262</v>
      </c>
      <c r="C617" s="229">
        <v>214600841</v>
      </c>
      <c r="D617" s="168"/>
      <c r="F617" s="184" t="s">
        <v>165</v>
      </c>
      <c r="G617" s="3" t="s">
        <v>116</v>
      </c>
      <c r="H617" s="55" t="s">
        <v>260</v>
      </c>
      <c r="I617" s="55">
        <v>46235</v>
      </c>
      <c r="J617" s="55">
        <v>46238</v>
      </c>
      <c r="K617" s="55">
        <v>46266</v>
      </c>
      <c r="O617" s="45" t="s">
        <v>171</v>
      </c>
      <c r="R617" s="177"/>
    </row>
    <row r="618" spans="1:18" ht="15" hidden="1" customHeight="1">
      <c r="A618" s="183" t="s">
        <v>263</v>
      </c>
      <c r="B618" s="222" t="s">
        <v>264</v>
      </c>
      <c r="C618" s="225">
        <v>210600014</v>
      </c>
      <c r="D618" s="203"/>
      <c r="E618" s="184"/>
      <c r="F618" s="184" t="s">
        <v>165</v>
      </c>
      <c r="G618" s="3" t="s">
        <v>116</v>
      </c>
      <c r="H618" s="55" t="s">
        <v>260</v>
      </c>
      <c r="I618" s="59">
        <v>46232</v>
      </c>
      <c r="J618" s="59">
        <v>46234</v>
      </c>
      <c r="K618" s="59">
        <v>46262</v>
      </c>
      <c r="L618" s="45"/>
      <c r="M618" s="45"/>
      <c r="N618" s="45"/>
      <c r="O618" s="45" t="s">
        <v>60</v>
      </c>
      <c r="P618" s="45"/>
      <c r="Q618" s="185"/>
      <c r="R618" s="186"/>
    </row>
    <row r="619" spans="1:18" ht="15" hidden="1" customHeight="1">
      <c r="A619" s="183" t="s">
        <v>263</v>
      </c>
      <c r="B619" s="222" t="s">
        <v>264</v>
      </c>
      <c r="C619" s="230">
        <v>210600015</v>
      </c>
      <c r="D619" s="203"/>
      <c r="E619" s="184"/>
      <c r="F619" s="184" t="s">
        <v>165</v>
      </c>
      <c r="G619" s="3" t="s">
        <v>116</v>
      </c>
      <c r="H619" s="55" t="s">
        <v>260</v>
      </c>
      <c r="I619" s="59">
        <v>46232</v>
      </c>
      <c r="J619" s="59">
        <v>46234</v>
      </c>
      <c r="K619" s="59">
        <v>46262</v>
      </c>
      <c r="L619" s="45"/>
      <c r="M619" s="45"/>
      <c r="N619" s="45"/>
      <c r="O619" s="45" t="s">
        <v>60</v>
      </c>
      <c r="P619" s="45"/>
      <c r="Q619" s="185"/>
      <c r="R619" s="186"/>
    </row>
    <row r="620" spans="1:18" ht="15" hidden="1" customHeight="1">
      <c r="A620" s="183" t="s">
        <v>263</v>
      </c>
      <c r="B620" s="222" t="s">
        <v>264</v>
      </c>
      <c r="C620" s="231">
        <v>210600013</v>
      </c>
      <c r="D620" s="203"/>
      <c r="E620" s="184"/>
      <c r="F620" s="184" t="s">
        <v>165</v>
      </c>
      <c r="G620" s="3" t="s">
        <v>116</v>
      </c>
      <c r="H620" s="55" t="s">
        <v>260</v>
      </c>
      <c r="I620" s="59">
        <v>46232</v>
      </c>
      <c r="J620" s="59">
        <v>46234</v>
      </c>
      <c r="K620" s="59">
        <v>46262</v>
      </c>
      <c r="L620" s="45"/>
      <c r="M620" s="45"/>
      <c r="N620" s="45"/>
      <c r="O620" s="45" t="s">
        <v>60</v>
      </c>
      <c r="P620" s="45"/>
      <c r="Q620" s="185"/>
      <c r="R620" s="186"/>
    </row>
    <row r="621" spans="1:18" ht="15" hidden="1" customHeight="1">
      <c r="A621" s="183" t="s">
        <v>156</v>
      </c>
      <c r="B621" s="173" t="s">
        <v>157</v>
      </c>
      <c r="C621" s="229">
        <v>203610034</v>
      </c>
      <c r="D621" s="203"/>
      <c r="E621" s="184"/>
      <c r="F621" s="184" t="s">
        <v>265</v>
      </c>
      <c r="G621" s="3" t="s">
        <v>116</v>
      </c>
      <c r="H621" s="45" t="s">
        <v>155</v>
      </c>
      <c r="I621" s="59">
        <v>46224</v>
      </c>
      <c r="J621" s="59">
        <v>46227</v>
      </c>
      <c r="K621" s="59">
        <v>46255</v>
      </c>
      <c r="L621" s="45"/>
      <c r="M621" s="45"/>
      <c r="N621" s="45"/>
      <c r="O621" s="45" t="s">
        <v>60</v>
      </c>
      <c r="P621" s="45"/>
      <c r="Q621" s="185"/>
      <c r="R621" s="186"/>
    </row>
    <row r="622" spans="1:18" ht="15" hidden="1" customHeight="1">
      <c r="A622" s="183" t="s">
        <v>156</v>
      </c>
      <c r="B622" s="173" t="s">
        <v>157</v>
      </c>
      <c r="C622" s="229">
        <v>203610006</v>
      </c>
      <c r="D622" s="203"/>
      <c r="E622" s="184"/>
      <c r="F622" s="184" t="s">
        <v>265</v>
      </c>
      <c r="G622" s="3" t="s">
        <v>116</v>
      </c>
      <c r="H622" s="45" t="s">
        <v>155</v>
      </c>
      <c r="I622" s="59">
        <v>46224</v>
      </c>
      <c r="J622" s="59">
        <v>46227</v>
      </c>
      <c r="K622" s="59">
        <v>46255</v>
      </c>
      <c r="L622" s="45"/>
      <c r="M622" s="45"/>
      <c r="N622" s="45"/>
      <c r="O622" s="45" t="s">
        <v>60</v>
      </c>
      <c r="P622" s="45"/>
      <c r="Q622" s="185"/>
      <c r="R622" s="186"/>
    </row>
    <row r="623" spans="1:18" ht="15" hidden="1" customHeight="1">
      <c r="A623" s="183" t="s">
        <v>156</v>
      </c>
      <c r="B623" s="173" t="s">
        <v>157</v>
      </c>
      <c r="C623" s="229">
        <v>198605648</v>
      </c>
      <c r="D623" s="168"/>
      <c r="F623" s="184" t="s">
        <v>265</v>
      </c>
      <c r="G623" s="3" t="s">
        <v>116</v>
      </c>
      <c r="H623" s="45" t="s">
        <v>155</v>
      </c>
      <c r="I623" s="59">
        <v>46224</v>
      </c>
      <c r="J623" s="59">
        <v>46227</v>
      </c>
      <c r="K623" s="59">
        <v>46255</v>
      </c>
      <c r="O623" s="45" t="s">
        <v>60</v>
      </c>
      <c r="R623" s="177"/>
    </row>
    <row r="624" spans="1:18" ht="15" hidden="1" customHeight="1">
      <c r="A624" s="183" t="s">
        <v>156</v>
      </c>
      <c r="B624" s="173" t="s">
        <v>157</v>
      </c>
      <c r="C624" s="229">
        <v>203610028</v>
      </c>
      <c r="D624" s="168"/>
      <c r="F624" s="184" t="s">
        <v>265</v>
      </c>
      <c r="G624" s="3" t="s">
        <v>116</v>
      </c>
      <c r="H624" s="45" t="s">
        <v>155</v>
      </c>
      <c r="I624" s="59">
        <v>46224</v>
      </c>
      <c r="J624" s="59">
        <v>46227</v>
      </c>
      <c r="K624" s="59">
        <v>46255</v>
      </c>
      <c r="O624" s="45" t="s">
        <v>60</v>
      </c>
      <c r="R624" s="177"/>
    </row>
    <row r="625" spans="1:18" ht="15" hidden="1" customHeight="1">
      <c r="A625" s="183" t="s">
        <v>156</v>
      </c>
      <c r="B625" s="173" t="s">
        <v>157</v>
      </c>
      <c r="C625" s="225">
        <v>203610025</v>
      </c>
      <c r="D625" s="168"/>
      <c r="F625" s="184" t="s">
        <v>265</v>
      </c>
      <c r="G625" s="3" t="s">
        <v>116</v>
      </c>
      <c r="H625" s="45" t="s">
        <v>155</v>
      </c>
      <c r="I625" s="59">
        <v>46224</v>
      </c>
      <c r="J625" s="59">
        <v>46227</v>
      </c>
      <c r="K625" s="59">
        <v>46255</v>
      </c>
      <c r="O625" s="45" t="s">
        <v>60</v>
      </c>
      <c r="R625" s="177"/>
    </row>
    <row r="626" spans="1:18" ht="15" hidden="1" customHeight="1">
      <c r="A626" s="183" t="s">
        <v>156</v>
      </c>
      <c r="B626" s="173" t="s">
        <v>157</v>
      </c>
      <c r="C626" s="229">
        <v>203610022</v>
      </c>
      <c r="D626" s="168"/>
      <c r="F626" s="184" t="s">
        <v>265</v>
      </c>
      <c r="G626" s="3" t="s">
        <v>116</v>
      </c>
      <c r="H626" s="45" t="s">
        <v>155</v>
      </c>
      <c r="I626" s="59">
        <v>46224</v>
      </c>
      <c r="J626" s="59">
        <v>46227</v>
      </c>
      <c r="K626" s="59">
        <v>46255</v>
      </c>
      <c r="O626" s="45" t="s">
        <v>60</v>
      </c>
      <c r="R626" s="177"/>
    </row>
    <row r="627" spans="1:18" ht="15" hidden="1" customHeight="1">
      <c r="A627" s="183" t="s">
        <v>266</v>
      </c>
      <c r="B627" s="183" t="s">
        <v>267</v>
      </c>
      <c r="C627" s="197">
        <v>228600835</v>
      </c>
      <c r="D627" s="203"/>
      <c r="E627" s="184"/>
      <c r="F627" s="184" t="s">
        <v>268</v>
      </c>
      <c r="G627" s="3" t="s">
        <v>116</v>
      </c>
      <c r="H627" s="45" t="s">
        <v>269</v>
      </c>
      <c r="I627" s="59">
        <v>46250</v>
      </c>
      <c r="J627" s="59">
        <v>46253</v>
      </c>
      <c r="K627" s="59">
        <v>46281</v>
      </c>
      <c r="L627" s="45"/>
      <c r="M627" s="45"/>
      <c r="N627" s="45"/>
      <c r="O627" s="45" t="s">
        <v>60</v>
      </c>
      <c r="P627" s="45"/>
      <c r="Q627" s="185"/>
      <c r="R627" s="186"/>
    </row>
    <row r="628" spans="1:18" ht="15" hidden="1" customHeight="1">
      <c r="A628" s="183" t="s">
        <v>266</v>
      </c>
      <c r="B628" s="183" t="s">
        <v>267</v>
      </c>
      <c r="C628" s="197">
        <v>228600841</v>
      </c>
      <c r="D628" s="203"/>
      <c r="E628" s="184"/>
      <c r="F628" s="184" t="s">
        <v>268</v>
      </c>
      <c r="G628" s="3" t="s">
        <v>116</v>
      </c>
      <c r="H628" s="45" t="s">
        <v>269</v>
      </c>
      <c r="I628" s="59">
        <v>46250</v>
      </c>
      <c r="J628" s="59">
        <v>46253</v>
      </c>
      <c r="K628" s="59">
        <v>46281</v>
      </c>
      <c r="L628" s="45"/>
      <c r="M628" s="45"/>
      <c r="N628" s="45"/>
      <c r="O628" s="45" t="s">
        <v>60</v>
      </c>
      <c r="P628" s="45"/>
      <c r="Q628" s="185"/>
      <c r="R628" s="186"/>
    </row>
    <row r="629" spans="1:18" ht="15" hidden="1" customHeight="1">
      <c r="A629" s="183" t="s">
        <v>266</v>
      </c>
      <c r="B629" s="183" t="s">
        <v>267</v>
      </c>
      <c r="C629" s="197">
        <v>228600848</v>
      </c>
      <c r="D629" s="203"/>
      <c r="E629" s="184"/>
      <c r="F629" s="184" t="s">
        <v>268</v>
      </c>
      <c r="G629" s="3" t="s">
        <v>116</v>
      </c>
      <c r="H629" s="45" t="s">
        <v>269</v>
      </c>
      <c r="I629" s="59">
        <v>46250</v>
      </c>
      <c r="J629" s="59">
        <v>46253</v>
      </c>
      <c r="K629" s="59">
        <v>46281</v>
      </c>
      <c r="L629" s="45"/>
      <c r="M629" s="45"/>
      <c r="N629" s="45"/>
      <c r="O629" s="45" t="s">
        <v>60</v>
      </c>
      <c r="P629" s="45"/>
      <c r="Q629" s="185"/>
      <c r="R629" s="186"/>
    </row>
    <row r="630" spans="1:18" ht="15" hidden="1" customHeight="1">
      <c r="A630" s="183" t="s">
        <v>266</v>
      </c>
      <c r="B630" s="183" t="s">
        <v>267</v>
      </c>
      <c r="C630" s="197">
        <v>228600853</v>
      </c>
      <c r="D630" s="203"/>
      <c r="E630" s="184"/>
      <c r="F630" s="184" t="s">
        <v>268</v>
      </c>
      <c r="G630" s="3" t="s">
        <v>116</v>
      </c>
      <c r="H630" s="45" t="s">
        <v>269</v>
      </c>
      <c r="I630" s="59">
        <v>46250</v>
      </c>
      <c r="J630" s="59">
        <v>46253</v>
      </c>
      <c r="K630" s="59">
        <v>46281</v>
      </c>
      <c r="L630" s="45"/>
      <c r="M630" s="45"/>
      <c r="N630" s="45"/>
      <c r="O630" s="45" t="s">
        <v>60</v>
      </c>
      <c r="P630" s="45"/>
      <c r="Q630" s="185"/>
      <c r="R630" s="186"/>
    </row>
    <row r="631" spans="1:18" ht="15" hidden="1" customHeight="1">
      <c r="A631" s="183" t="s">
        <v>266</v>
      </c>
      <c r="B631" s="183" t="s">
        <v>267</v>
      </c>
      <c r="C631" s="197">
        <v>228600859</v>
      </c>
      <c r="D631" s="203"/>
      <c r="E631" s="184"/>
      <c r="F631" s="184" t="s">
        <v>268</v>
      </c>
      <c r="G631" s="3" t="s">
        <v>116</v>
      </c>
      <c r="H631" s="45" t="s">
        <v>269</v>
      </c>
      <c r="I631" s="59">
        <v>46250</v>
      </c>
      <c r="J631" s="59">
        <v>46253</v>
      </c>
      <c r="K631" s="59">
        <v>46281</v>
      </c>
      <c r="L631" s="45"/>
      <c r="M631" s="45"/>
      <c r="N631" s="45"/>
      <c r="O631" s="45" t="s">
        <v>60</v>
      </c>
      <c r="P631" s="45"/>
      <c r="Q631" s="185"/>
      <c r="R631" s="186"/>
    </row>
    <row r="632" spans="1:18" ht="15" hidden="1" customHeight="1">
      <c r="A632" s="183" t="s">
        <v>266</v>
      </c>
      <c r="B632" s="183" t="s">
        <v>267</v>
      </c>
      <c r="C632" s="197">
        <v>228600861</v>
      </c>
      <c r="D632" s="203"/>
      <c r="E632" s="184"/>
      <c r="F632" s="184" t="s">
        <v>268</v>
      </c>
      <c r="G632" s="3" t="s">
        <v>116</v>
      </c>
      <c r="H632" s="45" t="s">
        <v>269</v>
      </c>
      <c r="I632" s="59">
        <v>46250</v>
      </c>
      <c r="J632" s="59">
        <v>46253</v>
      </c>
      <c r="K632" s="59">
        <v>46281</v>
      </c>
      <c r="L632" s="45"/>
      <c r="M632" s="45"/>
      <c r="N632" s="45"/>
      <c r="O632" s="45" t="s">
        <v>60</v>
      </c>
      <c r="P632" s="45"/>
      <c r="Q632" s="185"/>
      <c r="R632" s="186"/>
    </row>
    <row r="633" spans="1:18" ht="15" hidden="1" customHeight="1">
      <c r="A633" s="183" t="s">
        <v>266</v>
      </c>
      <c r="B633" s="183" t="s">
        <v>267</v>
      </c>
      <c r="C633" s="197">
        <v>228600863</v>
      </c>
      <c r="D633" s="203"/>
      <c r="E633" s="184"/>
      <c r="F633" s="184" t="s">
        <v>268</v>
      </c>
      <c r="G633" s="3" t="s">
        <v>116</v>
      </c>
      <c r="H633" s="45" t="s">
        <v>269</v>
      </c>
      <c r="I633" s="59">
        <v>46250</v>
      </c>
      <c r="J633" s="59">
        <v>46253</v>
      </c>
      <c r="K633" s="59">
        <v>46281</v>
      </c>
      <c r="L633" s="45"/>
      <c r="M633" s="45"/>
      <c r="N633" s="45"/>
      <c r="O633" s="45" t="s">
        <v>60</v>
      </c>
      <c r="P633" s="45"/>
      <c r="Q633" s="185"/>
      <c r="R633" s="186"/>
    </row>
    <row r="634" spans="1:18" ht="15" hidden="1" customHeight="1">
      <c r="A634" s="183" t="s">
        <v>266</v>
      </c>
      <c r="B634" s="183" t="s">
        <v>267</v>
      </c>
      <c r="C634" s="197">
        <v>228600879</v>
      </c>
      <c r="D634" s="203"/>
      <c r="E634" s="184"/>
      <c r="F634" s="184" t="s">
        <v>268</v>
      </c>
      <c r="G634" s="3" t="s">
        <v>116</v>
      </c>
      <c r="H634" s="45" t="s">
        <v>269</v>
      </c>
      <c r="I634" s="59">
        <v>46250</v>
      </c>
      <c r="J634" s="59">
        <v>46253</v>
      </c>
      <c r="K634" s="59">
        <v>46281</v>
      </c>
      <c r="L634" s="45"/>
      <c r="M634" s="45"/>
      <c r="N634" s="45"/>
      <c r="O634" s="45" t="s">
        <v>60</v>
      </c>
      <c r="P634" s="45"/>
      <c r="Q634" s="185"/>
      <c r="R634" s="186"/>
    </row>
    <row r="635" spans="1:18" ht="15" hidden="1" customHeight="1">
      <c r="A635" s="183" t="s">
        <v>266</v>
      </c>
      <c r="B635" s="183" t="s">
        <v>267</v>
      </c>
      <c r="C635" s="197">
        <v>228600882</v>
      </c>
      <c r="D635" s="203"/>
      <c r="E635" s="184"/>
      <c r="F635" s="184" t="s">
        <v>268</v>
      </c>
      <c r="G635" s="3" t="s">
        <v>116</v>
      </c>
      <c r="H635" s="45" t="s">
        <v>269</v>
      </c>
      <c r="I635" s="59">
        <v>46250</v>
      </c>
      <c r="J635" s="59">
        <v>46253</v>
      </c>
      <c r="K635" s="59">
        <v>46281</v>
      </c>
      <c r="L635" s="45"/>
      <c r="M635" s="45"/>
      <c r="N635" s="45"/>
      <c r="O635" s="45" t="s">
        <v>60</v>
      </c>
      <c r="P635" s="45"/>
      <c r="Q635" s="185"/>
      <c r="R635" s="186"/>
    </row>
    <row r="636" spans="1:18" ht="15" hidden="1" customHeight="1">
      <c r="A636" s="183" t="s">
        <v>266</v>
      </c>
      <c r="B636" s="183" t="s">
        <v>267</v>
      </c>
      <c r="C636" s="197">
        <v>228600890</v>
      </c>
      <c r="D636" s="203"/>
      <c r="E636" s="184"/>
      <c r="F636" s="184" t="s">
        <v>268</v>
      </c>
      <c r="G636" s="3" t="s">
        <v>116</v>
      </c>
      <c r="H636" s="45" t="s">
        <v>269</v>
      </c>
      <c r="I636" s="59">
        <v>46250</v>
      </c>
      <c r="J636" s="59">
        <v>46253</v>
      </c>
      <c r="K636" s="59">
        <v>46281</v>
      </c>
      <c r="L636" s="45"/>
      <c r="M636" s="45"/>
      <c r="N636" s="45"/>
      <c r="O636" s="45" t="s">
        <v>60</v>
      </c>
      <c r="P636" s="45"/>
      <c r="Q636" s="185"/>
      <c r="R636" s="186"/>
    </row>
    <row r="637" spans="1:18" ht="15" hidden="1" customHeight="1">
      <c r="A637" s="183" t="s">
        <v>270</v>
      </c>
      <c r="B637" s="183"/>
      <c r="C637" s="197">
        <v>226607099</v>
      </c>
      <c r="D637" s="203"/>
      <c r="E637" s="184"/>
      <c r="F637" s="184" t="s">
        <v>122</v>
      </c>
      <c r="G637" s="45" t="s">
        <v>34</v>
      </c>
      <c r="H637" s="45" t="s">
        <v>271</v>
      </c>
      <c r="I637" s="59">
        <v>46248</v>
      </c>
      <c r="J637" s="59">
        <v>46251</v>
      </c>
      <c r="K637" s="59">
        <v>46279</v>
      </c>
      <c r="L637" s="45"/>
      <c r="M637" s="45"/>
      <c r="N637" s="45"/>
      <c r="O637" s="45" t="s">
        <v>60</v>
      </c>
      <c r="P637" s="45"/>
      <c r="Q637" s="185"/>
      <c r="R637" s="186"/>
    </row>
    <row r="638" spans="1:18" ht="15" hidden="1" customHeight="1">
      <c r="A638" s="183" t="s">
        <v>270</v>
      </c>
      <c r="B638" s="183"/>
      <c r="C638" s="195">
        <v>226607163</v>
      </c>
      <c r="D638" s="168"/>
      <c r="F638" s="184" t="s">
        <v>272</v>
      </c>
      <c r="G638" s="45" t="s">
        <v>34</v>
      </c>
      <c r="H638" s="45" t="s">
        <v>271</v>
      </c>
      <c r="I638" s="59">
        <v>46248</v>
      </c>
      <c r="J638" s="59">
        <v>46251</v>
      </c>
      <c r="K638" s="59">
        <v>46279</v>
      </c>
      <c r="O638" s="45" t="s">
        <v>60</v>
      </c>
      <c r="R638" s="177"/>
    </row>
    <row r="639" spans="1:18" ht="15" hidden="1" customHeight="1">
      <c r="A639" s="183" t="s">
        <v>270</v>
      </c>
      <c r="B639" s="183"/>
      <c r="C639" s="195">
        <v>226607173</v>
      </c>
      <c r="D639" s="168"/>
      <c r="F639" s="184" t="s">
        <v>273</v>
      </c>
      <c r="G639" s="45" t="s">
        <v>34</v>
      </c>
      <c r="H639" s="45" t="s">
        <v>271</v>
      </c>
      <c r="I639" s="59">
        <v>46248</v>
      </c>
      <c r="J639" s="59">
        <v>46251</v>
      </c>
      <c r="K639" s="59">
        <v>46279</v>
      </c>
      <c r="O639" s="45" t="s">
        <v>60</v>
      </c>
      <c r="R639" s="177"/>
    </row>
    <row r="640" spans="1:18" ht="15" hidden="1" customHeight="1">
      <c r="A640" s="183" t="s">
        <v>270</v>
      </c>
      <c r="B640" s="183"/>
      <c r="C640" s="195">
        <v>226607179</v>
      </c>
      <c r="D640" s="168"/>
      <c r="F640" s="184" t="s">
        <v>274</v>
      </c>
      <c r="G640" s="45" t="s">
        <v>34</v>
      </c>
      <c r="H640" s="45" t="s">
        <v>271</v>
      </c>
      <c r="I640" s="59">
        <v>46248</v>
      </c>
      <c r="J640" s="59">
        <v>46251</v>
      </c>
      <c r="K640" s="59">
        <v>46279</v>
      </c>
      <c r="O640" s="45" t="s">
        <v>60</v>
      </c>
      <c r="R640" s="177"/>
    </row>
    <row r="641" spans="1:18" ht="15" hidden="1" customHeight="1">
      <c r="A641" s="183" t="s">
        <v>270</v>
      </c>
      <c r="B641" s="183"/>
      <c r="C641" s="195">
        <v>226607191</v>
      </c>
      <c r="D641" s="168"/>
      <c r="F641" s="184" t="s">
        <v>275</v>
      </c>
      <c r="G641" s="45" t="s">
        <v>34</v>
      </c>
      <c r="H641" s="45" t="s">
        <v>271</v>
      </c>
      <c r="I641" s="59">
        <v>46248</v>
      </c>
      <c r="J641" s="59">
        <v>46251</v>
      </c>
      <c r="K641" s="59">
        <v>46279</v>
      </c>
      <c r="O641" s="45" t="s">
        <v>60</v>
      </c>
      <c r="R641" s="177"/>
    </row>
    <row r="642" spans="1:18" ht="15" hidden="1" customHeight="1">
      <c r="A642" s="183" t="s">
        <v>270</v>
      </c>
      <c r="B642" s="183"/>
      <c r="C642" s="195">
        <v>226607199</v>
      </c>
      <c r="D642" s="168"/>
      <c r="F642" s="184" t="s">
        <v>276</v>
      </c>
      <c r="G642" s="45" t="s">
        <v>34</v>
      </c>
      <c r="H642" s="45" t="s">
        <v>271</v>
      </c>
      <c r="I642" s="59">
        <v>46248</v>
      </c>
      <c r="J642" s="59">
        <v>46251</v>
      </c>
      <c r="K642" s="59">
        <v>46279</v>
      </c>
      <c r="O642" s="45" t="s">
        <v>60</v>
      </c>
      <c r="R642" s="177"/>
    </row>
    <row r="643" spans="1:18" ht="15" hidden="1" customHeight="1">
      <c r="A643" s="183" t="s">
        <v>270</v>
      </c>
      <c r="B643" s="183"/>
      <c r="C643" s="195">
        <v>226607218</v>
      </c>
      <c r="D643" s="168"/>
      <c r="F643" s="184" t="s">
        <v>277</v>
      </c>
      <c r="G643" s="45" t="s">
        <v>34</v>
      </c>
      <c r="H643" s="45" t="s">
        <v>271</v>
      </c>
      <c r="I643" s="59">
        <v>46248</v>
      </c>
      <c r="J643" s="59">
        <v>46251</v>
      </c>
      <c r="K643" s="59">
        <v>46279</v>
      </c>
      <c r="O643" s="45" t="s">
        <v>60</v>
      </c>
      <c r="R643" s="177"/>
    </row>
    <row r="644" spans="1:18" ht="15" hidden="1" customHeight="1">
      <c r="A644" s="183" t="s">
        <v>270</v>
      </c>
      <c r="B644" s="183"/>
      <c r="C644" s="195">
        <v>226607223</v>
      </c>
      <c r="D644" s="168"/>
      <c r="F644" s="184" t="s">
        <v>278</v>
      </c>
      <c r="G644" s="45" t="s">
        <v>34</v>
      </c>
      <c r="H644" s="45" t="s">
        <v>271</v>
      </c>
      <c r="I644" s="59">
        <v>46248</v>
      </c>
      <c r="J644" s="59">
        <v>46251</v>
      </c>
      <c r="K644" s="59">
        <v>46279</v>
      </c>
      <c r="O644" s="45" t="s">
        <v>60</v>
      </c>
      <c r="R644" s="177"/>
    </row>
    <row r="645" spans="1:18" ht="15" hidden="1" customHeight="1">
      <c r="A645" s="183" t="s">
        <v>270</v>
      </c>
      <c r="B645" s="183"/>
      <c r="C645" s="195">
        <v>226607227</v>
      </c>
      <c r="D645" s="168"/>
      <c r="F645" s="184" t="s">
        <v>279</v>
      </c>
      <c r="G645" s="45" t="s">
        <v>34</v>
      </c>
      <c r="H645" s="45" t="s">
        <v>271</v>
      </c>
      <c r="I645" s="59">
        <v>46248</v>
      </c>
      <c r="J645" s="59">
        <v>46251</v>
      </c>
      <c r="K645" s="59">
        <v>46279</v>
      </c>
      <c r="O645" s="45" t="s">
        <v>60</v>
      </c>
      <c r="R645" s="177"/>
    </row>
    <row r="646" spans="1:18" ht="15" hidden="1" customHeight="1">
      <c r="A646" s="183" t="s">
        <v>270</v>
      </c>
      <c r="B646" s="183"/>
      <c r="C646" s="195">
        <v>226607229</v>
      </c>
      <c r="D646" s="168"/>
      <c r="F646" s="184" t="s">
        <v>280</v>
      </c>
      <c r="G646" s="45" t="s">
        <v>34</v>
      </c>
      <c r="H646" s="45" t="s">
        <v>271</v>
      </c>
      <c r="I646" s="59">
        <v>46248</v>
      </c>
      <c r="J646" s="59">
        <v>46251</v>
      </c>
      <c r="K646" s="59">
        <v>46279</v>
      </c>
      <c r="O646" s="45" t="s">
        <v>60</v>
      </c>
      <c r="R646" s="177"/>
    </row>
    <row r="647" spans="1:18" ht="15" hidden="1" customHeight="1">
      <c r="A647" s="183" t="s">
        <v>181</v>
      </c>
      <c r="B647" s="183"/>
      <c r="C647" s="236">
        <v>229602550</v>
      </c>
      <c r="D647" s="203"/>
      <c r="E647" s="184"/>
      <c r="F647" s="184" t="s">
        <v>153</v>
      </c>
      <c r="G647" s="45" t="s">
        <v>34</v>
      </c>
      <c r="H647" s="45" t="s">
        <v>281</v>
      </c>
      <c r="I647" s="59">
        <v>46251</v>
      </c>
      <c r="J647" s="59">
        <v>46253</v>
      </c>
      <c r="K647" s="59">
        <v>46281</v>
      </c>
      <c r="L647" s="45"/>
      <c r="M647" s="45"/>
      <c r="N647" s="45"/>
      <c r="O647" s="45"/>
      <c r="P647" s="45"/>
      <c r="Q647" s="185"/>
      <c r="R647" s="186"/>
    </row>
    <row r="648" spans="1:18" ht="15" hidden="1" customHeight="1">
      <c r="A648" s="183" t="s">
        <v>181</v>
      </c>
      <c r="B648" s="183"/>
      <c r="C648" s="218">
        <v>229602675</v>
      </c>
      <c r="D648" s="168"/>
      <c r="F648" s="184" t="s">
        <v>153</v>
      </c>
      <c r="G648" s="45" t="s">
        <v>34</v>
      </c>
      <c r="H648" s="45" t="s">
        <v>281</v>
      </c>
      <c r="I648" s="59">
        <v>46251</v>
      </c>
      <c r="J648" s="59">
        <v>46253</v>
      </c>
      <c r="K648" s="59">
        <v>46281</v>
      </c>
      <c r="R648" s="177"/>
    </row>
    <row r="649" spans="1:18" ht="15" hidden="1" customHeight="1">
      <c r="A649" s="183" t="s">
        <v>181</v>
      </c>
      <c r="B649" s="183"/>
      <c r="C649" s="218">
        <v>229602829</v>
      </c>
      <c r="D649" s="168"/>
      <c r="F649" s="184" t="s">
        <v>153</v>
      </c>
      <c r="G649" s="45" t="s">
        <v>34</v>
      </c>
      <c r="H649" s="45" t="s">
        <v>281</v>
      </c>
      <c r="I649" s="59">
        <v>46251</v>
      </c>
      <c r="J649" s="59">
        <v>46253</v>
      </c>
      <c r="K649" s="59">
        <v>46281</v>
      </c>
      <c r="R649" s="177"/>
    </row>
    <row r="650" spans="1:18" ht="15" hidden="1" customHeight="1">
      <c r="A650" s="183" t="s">
        <v>181</v>
      </c>
      <c r="B650" s="183"/>
      <c r="C650" s="218">
        <v>229602912</v>
      </c>
      <c r="D650" s="168"/>
      <c r="F650" s="184" t="s">
        <v>153</v>
      </c>
      <c r="G650" s="45" t="s">
        <v>34</v>
      </c>
      <c r="H650" s="45" t="s">
        <v>281</v>
      </c>
      <c r="I650" s="59">
        <v>46251</v>
      </c>
      <c r="J650" s="59">
        <v>46253</v>
      </c>
      <c r="K650" s="59">
        <v>46281</v>
      </c>
      <c r="R650" s="177"/>
    </row>
    <row r="651" spans="1:18" ht="15" hidden="1" customHeight="1">
      <c r="A651" s="183" t="s">
        <v>181</v>
      </c>
      <c r="B651" s="183"/>
      <c r="C651" s="218">
        <v>229603024</v>
      </c>
      <c r="D651" s="168"/>
      <c r="F651" s="184" t="s">
        <v>153</v>
      </c>
      <c r="G651" s="45" t="s">
        <v>34</v>
      </c>
      <c r="H651" s="45" t="s">
        <v>281</v>
      </c>
      <c r="I651" s="59">
        <v>46251</v>
      </c>
      <c r="J651" s="59">
        <v>46253</v>
      </c>
      <c r="K651" s="59">
        <v>46281</v>
      </c>
      <c r="R651" s="177"/>
    </row>
    <row r="652" spans="1:18" ht="15" hidden="1" customHeight="1">
      <c r="A652" s="183" t="s">
        <v>181</v>
      </c>
      <c r="B652" s="183"/>
      <c r="C652" s="218">
        <v>229603098</v>
      </c>
      <c r="D652" s="168"/>
      <c r="F652" s="184" t="s">
        <v>153</v>
      </c>
      <c r="G652" s="45" t="s">
        <v>34</v>
      </c>
      <c r="H652" s="45" t="s">
        <v>281</v>
      </c>
      <c r="I652" s="59">
        <v>46251</v>
      </c>
      <c r="J652" s="59">
        <v>46253</v>
      </c>
      <c r="K652" s="59">
        <v>46281</v>
      </c>
      <c r="R652" s="177"/>
    </row>
    <row r="653" spans="1:18" ht="15" hidden="1" customHeight="1">
      <c r="A653" s="183" t="s">
        <v>181</v>
      </c>
      <c r="B653" s="183"/>
      <c r="C653" s="218">
        <v>229603199</v>
      </c>
      <c r="D653" s="168"/>
      <c r="F653" s="184" t="s">
        <v>153</v>
      </c>
      <c r="G653" s="45" t="s">
        <v>34</v>
      </c>
      <c r="H653" s="45" t="s">
        <v>281</v>
      </c>
      <c r="I653" s="59">
        <v>46251</v>
      </c>
      <c r="J653" s="59">
        <v>46253</v>
      </c>
      <c r="K653" s="59">
        <v>46281</v>
      </c>
      <c r="R653" s="177"/>
    </row>
    <row r="654" spans="1:18" ht="15" hidden="1" customHeight="1">
      <c r="A654" s="183" t="s">
        <v>282</v>
      </c>
      <c r="B654" s="183"/>
      <c r="C654" s="197">
        <v>230602901</v>
      </c>
      <c r="D654" s="203"/>
      <c r="E654" s="184"/>
      <c r="F654" s="184" t="s">
        <v>88</v>
      </c>
      <c r="G654" s="45" t="s">
        <v>283</v>
      </c>
      <c r="H654" s="45" t="s">
        <v>30</v>
      </c>
      <c r="I654" s="59">
        <v>46252</v>
      </c>
      <c r="J654" s="59">
        <v>46255</v>
      </c>
      <c r="K654" s="59">
        <v>46283</v>
      </c>
      <c r="L654" s="45"/>
      <c r="M654" s="45"/>
      <c r="N654" s="45"/>
      <c r="O654" s="45"/>
      <c r="P654" s="45"/>
      <c r="Q654" s="185"/>
      <c r="R654" s="186"/>
    </row>
    <row r="655" spans="1:18" ht="15" hidden="1" customHeight="1">
      <c r="A655" s="183" t="s">
        <v>282</v>
      </c>
      <c r="B655" s="183"/>
      <c r="C655" s="197">
        <v>230602987</v>
      </c>
      <c r="D655" s="203"/>
      <c r="E655" s="184"/>
      <c r="F655" s="184" t="s">
        <v>88</v>
      </c>
      <c r="G655" s="45" t="s">
        <v>283</v>
      </c>
      <c r="H655" s="45" t="s">
        <v>30</v>
      </c>
      <c r="I655" s="59">
        <v>46252</v>
      </c>
      <c r="J655" s="59">
        <v>46255</v>
      </c>
      <c r="K655" s="59">
        <v>46283</v>
      </c>
      <c r="L655" s="45"/>
      <c r="M655" s="45"/>
      <c r="N655" s="45"/>
      <c r="O655" s="45"/>
      <c r="P655" s="45"/>
      <c r="Q655" s="185"/>
      <c r="R655" s="186"/>
    </row>
    <row r="656" spans="1:18" ht="15" hidden="1" customHeight="1">
      <c r="A656" s="183" t="s">
        <v>282</v>
      </c>
      <c r="B656" s="183"/>
      <c r="C656" s="197">
        <v>230603014</v>
      </c>
      <c r="D656" s="203"/>
      <c r="E656" s="184"/>
      <c r="F656" s="184" t="s">
        <v>88</v>
      </c>
      <c r="G656" s="45" t="s">
        <v>283</v>
      </c>
      <c r="H656" s="45" t="s">
        <v>30</v>
      </c>
      <c r="I656" s="59">
        <v>46252</v>
      </c>
      <c r="J656" s="59">
        <v>46255</v>
      </c>
      <c r="K656" s="59">
        <v>46283</v>
      </c>
      <c r="L656" s="45"/>
      <c r="M656" s="45"/>
      <c r="N656" s="45"/>
      <c r="O656" s="45"/>
      <c r="P656" s="45"/>
      <c r="Q656" s="185"/>
      <c r="R656" s="186"/>
    </row>
    <row r="657" spans="1:18" ht="15" hidden="1" customHeight="1">
      <c r="A657" s="183" t="s">
        <v>282</v>
      </c>
      <c r="B657" s="183"/>
      <c r="C657" s="197">
        <v>230603054</v>
      </c>
      <c r="D657" s="203"/>
      <c r="E657" s="184"/>
      <c r="F657" s="184" t="s">
        <v>88</v>
      </c>
      <c r="G657" s="45" t="s">
        <v>283</v>
      </c>
      <c r="H657" s="45" t="s">
        <v>30</v>
      </c>
      <c r="I657" s="59">
        <v>46252</v>
      </c>
      <c r="J657" s="59">
        <v>46255</v>
      </c>
      <c r="K657" s="59">
        <v>46283</v>
      </c>
      <c r="L657" s="45"/>
      <c r="M657" s="45"/>
      <c r="N657" s="45"/>
      <c r="O657" s="45"/>
      <c r="P657" s="45"/>
      <c r="Q657" s="185"/>
      <c r="R657" s="186"/>
    </row>
    <row r="658" spans="1:18" ht="15" hidden="1" customHeight="1">
      <c r="A658" s="183" t="s">
        <v>282</v>
      </c>
      <c r="B658" s="183"/>
      <c r="C658" s="197">
        <v>230603112</v>
      </c>
      <c r="D658" s="203"/>
      <c r="E658" s="184"/>
      <c r="F658" s="184" t="s">
        <v>88</v>
      </c>
      <c r="G658" s="45" t="s">
        <v>283</v>
      </c>
      <c r="H658" s="45" t="s">
        <v>30</v>
      </c>
      <c r="I658" s="59">
        <v>46252</v>
      </c>
      <c r="J658" s="59">
        <v>46255</v>
      </c>
      <c r="K658" s="59">
        <v>46283</v>
      </c>
      <c r="L658" s="45"/>
      <c r="M658" s="45"/>
      <c r="N658" s="45"/>
      <c r="O658" s="45"/>
      <c r="P658" s="45"/>
      <c r="Q658" s="185"/>
      <c r="R658" s="186"/>
    </row>
    <row r="659" spans="1:18" ht="15" hidden="1" customHeight="1">
      <c r="A659" s="183" t="s">
        <v>282</v>
      </c>
      <c r="B659" s="183"/>
      <c r="C659" s="197">
        <v>230603140</v>
      </c>
      <c r="D659" s="203"/>
      <c r="E659" s="184"/>
      <c r="F659" s="184" t="s">
        <v>88</v>
      </c>
      <c r="G659" s="45" t="s">
        <v>283</v>
      </c>
      <c r="H659" s="45" t="s">
        <v>30</v>
      </c>
      <c r="I659" s="59">
        <v>46252</v>
      </c>
      <c r="J659" s="59">
        <v>46255</v>
      </c>
      <c r="K659" s="59">
        <v>46283</v>
      </c>
      <c r="L659" s="45"/>
      <c r="M659" s="45"/>
      <c r="N659" s="45"/>
      <c r="O659" s="45"/>
      <c r="P659" s="45"/>
      <c r="Q659" s="185"/>
      <c r="R659" s="186"/>
    </row>
    <row r="660" spans="1:18" ht="15" hidden="1" customHeight="1">
      <c r="A660" s="183" t="s">
        <v>282</v>
      </c>
      <c r="B660" s="183"/>
      <c r="C660" s="195">
        <v>230603174</v>
      </c>
      <c r="D660" s="168"/>
      <c r="F660" s="184" t="s">
        <v>88</v>
      </c>
      <c r="G660" s="45" t="s">
        <v>283</v>
      </c>
      <c r="H660" s="45" t="s">
        <v>30</v>
      </c>
      <c r="I660" s="59">
        <v>46252</v>
      </c>
      <c r="J660" s="59">
        <v>46255</v>
      </c>
      <c r="K660" s="59">
        <v>46283</v>
      </c>
      <c r="R660" s="177"/>
    </row>
    <row r="661" spans="1:18" ht="15" hidden="1" customHeight="1">
      <c r="A661" s="183" t="s">
        <v>282</v>
      </c>
      <c r="B661" s="183"/>
      <c r="C661" s="195">
        <v>230603203</v>
      </c>
      <c r="D661" s="168"/>
      <c r="F661" s="184" t="s">
        <v>88</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162</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162</v>
      </c>
      <c r="F276" s="10" t="s">
        <v>433</v>
      </c>
    </row>
    <row r="277" spans="1:6" ht="39.75" customHeight="1">
      <c r="A277" s="10" t="s">
        <v>432</v>
      </c>
      <c r="B277" s="10">
        <v>36501547</v>
      </c>
      <c r="C277" s="10" t="s">
        <v>36</v>
      </c>
      <c r="D277" s="9">
        <v>45692</v>
      </c>
      <c r="E277" s="10" t="s">
        <v>162</v>
      </c>
      <c r="F277" s="10" t="s">
        <v>434</v>
      </c>
    </row>
    <row r="278" spans="1:6" ht="39.75" customHeight="1">
      <c r="A278" s="10" t="s">
        <v>432</v>
      </c>
      <c r="B278" s="10">
        <v>36501450</v>
      </c>
      <c r="C278" s="10" t="s">
        <v>36</v>
      </c>
      <c r="D278" s="9">
        <v>45692</v>
      </c>
      <c r="E278" s="10" t="s">
        <v>162</v>
      </c>
      <c r="F278" s="10" t="s">
        <v>435</v>
      </c>
    </row>
    <row r="279" spans="1:6" ht="39.75" customHeight="1">
      <c r="A279" s="10" t="s">
        <v>432</v>
      </c>
      <c r="B279" s="10">
        <v>36501361</v>
      </c>
      <c r="C279" s="10" t="s">
        <v>36</v>
      </c>
      <c r="D279" s="9">
        <v>45692</v>
      </c>
      <c r="E279" s="10" t="s">
        <v>162</v>
      </c>
      <c r="F279" s="10" t="s">
        <v>436</v>
      </c>
    </row>
    <row r="280" spans="1:6" ht="39.75" customHeight="1">
      <c r="A280" s="10" t="s">
        <v>432</v>
      </c>
      <c r="B280" s="10">
        <v>35509604</v>
      </c>
      <c r="C280" s="10" t="s">
        <v>36</v>
      </c>
      <c r="D280" s="9">
        <v>45692</v>
      </c>
      <c r="E280" s="10" t="s">
        <v>162</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162</v>
      </c>
      <c r="F344" s="10" t="s">
        <v>459</v>
      </c>
    </row>
    <row r="345" spans="1:6" ht="39.75" customHeight="1">
      <c r="A345" s="10" t="s">
        <v>458</v>
      </c>
      <c r="B345" s="10">
        <v>41510026</v>
      </c>
      <c r="C345" s="10" t="s">
        <v>36</v>
      </c>
      <c r="D345" s="9">
        <v>45694</v>
      </c>
      <c r="E345" s="10" t="s">
        <v>162</v>
      </c>
      <c r="F345" s="10" t="s">
        <v>460</v>
      </c>
    </row>
    <row r="346" spans="1:6" ht="39.75" customHeight="1">
      <c r="A346" s="10" t="s">
        <v>458</v>
      </c>
      <c r="B346" s="10">
        <v>41510021</v>
      </c>
      <c r="C346" s="10" t="s">
        <v>36</v>
      </c>
      <c r="D346" s="9">
        <v>45694</v>
      </c>
      <c r="E346" s="10" t="s">
        <v>162</v>
      </c>
      <c r="F346" s="10" t="s">
        <v>461</v>
      </c>
    </row>
    <row r="347" spans="1:6" ht="39.75" customHeight="1">
      <c r="A347" s="10" t="s">
        <v>458</v>
      </c>
      <c r="B347" s="10">
        <v>41510011</v>
      </c>
      <c r="C347" s="10" t="s">
        <v>36</v>
      </c>
      <c r="D347" s="9">
        <v>45694</v>
      </c>
      <c r="E347" s="10" t="s">
        <v>162</v>
      </c>
      <c r="F347" s="10" t="s">
        <v>462</v>
      </c>
    </row>
    <row r="348" spans="1:6" ht="39.75" customHeight="1">
      <c r="A348" s="10" t="s">
        <v>458</v>
      </c>
      <c r="B348" s="10">
        <v>41510009</v>
      </c>
      <c r="C348" s="10" t="s">
        <v>36</v>
      </c>
      <c r="D348" s="9">
        <v>45694</v>
      </c>
      <c r="E348" s="10" t="s">
        <v>162</v>
      </c>
      <c r="F348" s="10" t="s">
        <v>463</v>
      </c>
    </row>
    <row r="349" spans="1:6" ht="39.75" customHeight="1">
      <c r="A349" s="10" t="s">
        <v>458</v>
      </c>
      <c r="B349" s="10">
        <v>41509998</v>
      </c>
      <c r="C349" s="10" t="s">
        <v>36</v>
      </c>
      <c r="D349" s="9">
        <v>45694</v>
      </c>
      <c r="E349" s="10" t="s">
        <v>162</v>
      </c>
      <c r="F349" s="10" t="s">
        <v>462</v>
      </c>
    </row>
    <row r="350" spans="1:6" ht="39.75" customHeight="1">
      <c r="A350" s="10" t="s">
        <v>458</v>
      </c>
      <c r="B350" s="10">
        <v>41509965</v>
      </c>
      <c r="C350" s="10" t="s">
        <v>36</v>
      </c>
      <c r="D350" s="9">
        <v>45694</v>
      </c>
      <c r="E350" s="10" t="s">
        <v>162</v>
      </c>
      <c r="F350" s="10" t="s">
        <v>464</v>
      </c>
    </row>
    <row r="351" spans="1:6" ht="39.75" customHeight="1">
      <c r="A351" s="10" t="s">
        <v>458</v>
      </c>
      <c r="B351" s="10">
        <v>41509943</v>
      </c>
      <c r="C351" s="10" t="s">
        <v>36</v>
      </c>
      <c r="D351" s="9">
        <v>45694</v>
      </c>
      <c r="E351" s="10" t="s">
        <v>162</v>
      </c>
      <c r="F351" s="10" t="s">
        <v>465</v>
      </c>
    </row>
    <row r="352" spans="1:6" ht="39.75" customHeight="1">
      <c r="A352" s="10" t="s">
        <v>458</v>
      </c>
      <c r="B352" s="10">
        <v>41509932</v>
      </c>
      <c r="C352" s="10" t="s">
        <v>36</v>
      </c>
      <c r="D352" s="9">
        <v>45694</v>
      </c>
      <c r="E352" s="10" t="s">
        <v>162</v>
      </c>
      <c r="F352" s="10" t="s">
        <v>466</v>
      </c>
    </row>
    <row r="353" spans="1:6" ht="39.75" customHeight="1">
      <c r="A353" s="10" t="s">
        <v>458</v>
      </c>
      <c r="B353" s="10">
        <v>41509914</v>
      </c>
      <c r="C353" s="10" t="s">
        <v>36</v>
      </c>
      <c r="D353" s="9">
        <v>45694</v>
      </c>
      <c r="E353" s="10" t="s">
        <v>162</v>
      </c>
      <c r="F353" s="10" t="s">
        <v>467</v>
      </c>
    </row>
    <row r="354" spans="1:6" ht="39.75" customHeight="1">
      <c r="A354" s="10" t="s">
        <v>458</v>
      </c>
      <c r="B354" s="10">
        <v>41509898</v>
      </c>
      <c r="C354" s="10" t="s">
        <v>36</v>
      </c>
      <c r="D354" s="9">
        <v>45694</v>
      </c>
      <c r="E354" s="10" t="s">
        <v>162</v>
      </c>
      <c r="F354" s="10" t="s">
        <v>468</v>
      </c>
    </row>
    <row r="355" spans="1:6" ht="39.75" customHeight="1">
      <c r="A355" s="10" t="s">
        <v>458</v>
      </c>
      <c r="B355" s="10">
        <v>41509893</v>
      </c>
      <c r="C355" s="10" t="s">
        <v>36</v>
      </c>
      <c r="D355" s="9">
        <v>45694</v>
      </c>
      <c r="E355" s="10" t="s">
        <v>162</v>
      </c>
      <c r="F355" s="10" t="s">
        <v>469</v>
      </c>
    </row>
    <row r="356" spans="1:6" ht="39.75" customHeight="1">
      <c r="A356" s="10" t="s">
        <v>458</v>
      </c>
      <c r="B356" s="10">
        <v>41509884</v>
      </c>
      <c r="C356" s="10" t="s">
        <v>36</v>
      </c>
      <c r="D356" s="9">
        <v>45694</v>
      </c>
      <c r="E356" s="10" t="s">
        <v>162</v>
      </c>
      <c r="F356" s="10" t="s">
        <v>465</v>
      </c>
    </row>
    <row r="357" spans="1:6" ht="39.75" customHeight="1">
      <c r="A357" s="10" t="s">
        <v>458</v>
      </c>
      <c r="B357" s="10">
        <v>41509879</v>
      </c>
      <c r="C357" s="10" t="s">
        <v>36</v>
      </c>
      <c r="D357" s="9">
        <v>45694</v>
      </c>
      <c r="E357" s="10" t="s">
        <v>162</v>
      </c>
      <c r="F357" s="10" t="s">
        <v>465</v>
      </c>
    </row>
    <row r="358" spans="1:6" ht="39.75" customHeight="1">
      <c r="A358" s="10" t="s">
        <v>458</v>
      </c>
      <c r="B358" s="10">
        <v>41509833</v>
      </c>
      <c r="C358" s="10" t="s">
        <v>36</v>
      </c>
      <c r="D358" s="9">
        <v>45694</v>
      </c>
      <c r="E358" s="10" t="s">
        <v>162</v>
      </c>
      <c r="F358" s="10" t="s">
        <v>469</v>
      </c>
    </row>
    <row r="359" spans="1:6" ht="39.75" customHeight="1">
      <c r="A359" s="10" t="s">
        <v>458</v>
      </c>
      <c r="B359" s="10">
        <v>41509811</v>
      </c>
      <c r="C359" s="10" t="s">
        <v>36</v>
      </c>
      <c r="D359" s="9">
        <v>45694</v>
      </c>
      <c r="E359" s="10" t="s">
        <v>162</v>
      </c>
      <c r="F359" s="10" t="s">
        <v>468</v>
      </c>
    </row>
    <row r="360" spans="1:6" ht="39.75" customHeight="1">
      <c r="A360" s="10" t="s">
        <v>458</v>
      </c>
      <c r="B360" s="10">
        <v>41509791</v>
      </c>
      <c r="C360" s="10" t="s">
        <v>36</v>
      </c>
      <c r="D360" s="9">
        <v>45694</v>
      </c>
      <c r="E360" s="10" t="s">
        <v>162</v>
      </c>
      <c r="F360" s="10" t="s">
        <v>467</v>
      </c>
    </row>
    <row r="361" spans="1:6" ht="39.75" customHeight="1">
      <c r="A361" s="10" t="s">
        <v>432</v>
      </c>
      <c r="B361" s="10">
        <v>36501266</v>
      </c>
      <c r="C361" s="10" t="s">
        <v>36</v>
      </c>
      <c r="D361" s="9">
        <v>45694</v>
      </c>
      <c r="E361" s="10" t="s">
        <v>162</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162</v>
      </c>
      <c r="F645" s="3" t="s">
        <v>696</v>
      </c>
    </row>
    <row r="646" spans="1:6" ht="39.75" customHeight="1">
      <c r="A646" s="10" t="s">
        <v>437</v>
      </c>
      <c r="B646" s="3">
        <v>48507534</v>
      </c>
      <c r="C646" s="10" t="s">
        <v>36</v>
      </c>
      <c r="D646" s="55">
        <v>45705</v>
      </c>
      <c r="E646" s="3" t="s">
        <v>162</v>
      </c>
      <c r="F646" s="3" t="s">
        <v>697</v>
      </c>
    </row>
    <row r="647" spans="1:6" ht="39.75" customHeight="1">
      <c r="A647" s="10" t="s">
        <v>437</v>
      </c>
      <c r="B647" s="3">
        <v>48507486</v>
      </c>
      <c r="C647" s="10" t="s">
        <v>36</v>
      </c>
      <c r="D647" s="55">
        <v>45705</v>
      </c>
      <c r="E647" s="3" t="s">
        <v>162</v>
      </c>
      <c r="F647" s="3" t="s">
        <v>698</v>
      </c>
    </row>
    <row r="648" spans="1:6" ht="39.75" customHeight="1">
      <c r="A648" s="10" t="s">
        <v>437</v>
      </c>
      <c r="B648" s="3">
        <v>48507387</v>
      </c>
      <c r="C648" s="10" t="s">
        <v>36</v>
      </c>
      <c r="D648" s="55">
        <v>45705</v>
      </c>
      <c r="E648" s="3" t="s">
        <v>162</v>
      </c>
      <c r="F648" s="3" t="s">
        <v>699</v>
      </c>
    </row>
    <row r="649" spans="1:6" ht="39.75" customHeight="1">
      <c r="A649" s="10" t="s">
        <v>437</v>
      </c>
      <c r="B649" s="3">
        <v>48507301</v>
      </c>
      <c r="C649" s="10" t="s">
        <v>36</v>
      </c>
      <c r="D649" s="55">
        <v>45705</v>
      </c>
      <c r="E649" s="3" t="s">
        <v>162</v>
      </c>
      <c r="F649" s="3" t="s">
        <v>700</v>
      </c>
    </row>
    <row r="650" spans="1:6" ht="39.75" customHeight="1">
      <c r="A650" s="10" t="s">
        <v>437</v>
      </c>
      <c r="B650" s="3">
        <v>48507163</v>
      </c>
      <c r="C650" s="10" t="s">
        <v>36</v>
      </c>
      <c r="D650" s="55">
        <v>45705</v>
      </c>
      <c r="E650" s="3" t="s">
        <v>162</v>
      </c>
      <c r="F650" s="3" t="s">
        <v>701</v>
      </c>
    </row>
    <row r="651" spans="1:6">
      <c r="A651" s="3" t="s">
        <v>702</v>
      </c>
      <c r="B651" s="4">
        <v>55503706</v>
      </c>
      <c r="C651" s="3" t="s">
        <v>703</v>
      </c>
      <c r="D651" s="65">
        <v>45709</v>
      </c>
      <c r="E651" s="3" t="s">
        <v>162</v>
      </c>
      <c r="F651" s="3" t="s">
        <v>704</v>
      </c>
    </row>
    <row r="652" spans="1:6">
      <c r="A652" s="3" t="s">
        <v>702</v>
      </c>
      <c r="B652" s="4">
        <v>55503801</v>
      </c>
      <c r="C652" s="3" t="s">
        <v>703</v>
      </c>
      <c r="D652" s="65">
        <v>45709</v>
      </c>
      <c r="E652" s="3" t="s">
        <v>162</v>
      </c>
      <c r="F652" s="3" t="s">
        <v>705</v>
      </c>
    </row>
    <row r="653" spans="1:6">
      <c r="A653" s="3" t="s">
        <v>702</v>
      </c>
      <c r="B653" s="4">
        <v>55503862</v>
      </c>
      <c r="C653" s="3" t="s">
        <v>703</v>
      </c>
      <c r="D653" s="65">
        <v>45709</v>
      </c>
      <c r="E653" s="3" t="s">
        <v>162</v>
      </c>
      <c r="F653" s="3" t="s">
        <v>706</v>
      </c>
    </row>
    <row r="654" spans="1:6">
      <c r="A654" s="3" t="s">
        <v>702</v>
      </c>
      <c r="B654" s="4">
        <v>55503935</v>
      </c>
      <c r="C654" s="3" t="s">
        <v>703</v>
      </c>
      <c r="D654" s="65">
        <v>45709</v>
      </c>
      <c r="E654" s="3" t="s">
        <v>162</v>
      </c>
      <c r="F654" s="3" t="s">
        <v>707</v>
      </c>
    </row>
    <row r="655" spans="1:6">
      <c r="A655" s="3" t="s">
        <v>702</v>
      </c>
      <c r="B655" s="64">
        <v>55503969</v>
      </c>
      <c r="C655" s="45" t="s">
        <v>703</v>
      </c>
      <c r="D655" s="66">
        <v>45709</v>
      </c>
      <c r="E655" s="45" t="s">
        <v>162</v>
      </c>
      <c r="F655" s="45" t="s">
        <v>708</v>
      </c>
    </row>
    <row r="656" spans="1:6">
      <c r="A656" s="3" t="s">
        <v>709</v>
      </c>
      <c r="B656" s="3">
        <v>55504206</v>
      </c>
      <c r="C656" s="3" t="s">
        <v>703</v>
      </c>
      <c r="D656" s="55">
        <v>45709</v>
      </c>
      <c r="E656" s="3" t="s">
        <v>162</v>
      </c>
      <c r="F656" s="3" t="s">
        <v>710</v>
      </c>
    </row>
    <row r="657" spans="1:6">
      <c r="A657" s="3" t="s">
        <v>709</v>
      </c>
      <c r="B657" s="3">
        <v>55504188</v>
      </c>
      <c r="C657" s="3" t="s">
        <v>703</v>
      </c>
      <c r="D657" s="55">
        <v>45709</v>
      </c>
      <c r="E657" s="3" t="s">
        <v>162</v>
      </c>
      <c r="F657" s="3" t="s">
        <v>711</v>
      </c>
    </row>
    <row r="658" spans="1:6">
      <c r="A658" s="3" t="s">
        <v>709</v>
      </c>
      <c r="B658" s="3">
        <v>55504303</v>
      </c>
      <c r="C658" s="3" t="s">
        <v>703</v>
      </c>
      <c r="D658" s="55">
        <v>45709</v>
      </c>
      <c r="E658" s="3" t="s">
        <v>162</v>
      </c>
      <c r="F658" s="3" t="s">
        <v>712</v>
      </c>
    </row>
    <row r="659" spans="1:6">
      <c r="A659" s="3" t="s">
        <v>709</v>
      </c>
      <c r="B659" s="3">
        <v>55504345</v>
      </c>
      <c r="C659" s="3" t="s">
        <v>703</v>
      </c>
      <c r="D659" s="55">
        <v>45709</v>
      </c>
      <c r="E659" s="3" t="s">
        <v>162</v>
      </c>
      <c r="F659" s="3" t="s">
        <v>713</v>
      </c>
    </row>
    <row r="660" spans="1:6">
      <c r="A660" s="3" t="s">
        <v>709</v>
      </c>
      <c r="B660" s="3">
        <v>55504388</v>
      </c>
      <c r="C660" s="3" t="s">
        <v>703</v>
      </c>
      <c r="D660" s="55">
        <v>45709</v>
      </c>
      <c r="E660" s="3" t="s">
        <v>162</v>
      </c>
      <c r="F660" s="3" t="s">
        <v>714</v>
      </c>
    </row>
    <row r="661" spans="1:6">
      <c r="A661" s="3" t="s">
        <v>709</v>
      </c>
      <c r="B661" s="3">
        <v>55504421</v>
      </c>
      <c r="C661" s="3" t="s">
        <v>703</v>
      </c>
      <c r="D661" s="55">
        <v>45709</v>
      </c>
      <c r="E661" s="3" t="s">
        <v>162</v>
      </c>
      <c r="F661" s="3" t="s">
        <v>715</v>
      </c>
    </row>
    <row r="662" spans="1:6">
      <c r="A662" s="3" t="s">
        <v>709</v>
      </c>
      <c r="B662" s="3">
        <v>55504460</v>
      </c>
      <c r="C662" s="3" t="s">
        <v>703</v>
      </c>
      <c r="D662" s="55">
        <v>45709</v>
      </c>
      <c r="E662" s="3" t="s">
        <v>162</v>
      </c>
      <c r="F662" s="3" t="s">
        <v>704</v>
      </c>
    </row>
    <row r="663" spans="1:6">
      <c r="A663" s="6" t="s">
        <v>716</v>
      </c>
      <c r="B663" s="67">
        <v>51507839</v>
      </c>
      <c r="C663" s="10" t="s">
        <v>36</v>
      </c>
      <c r="D663" s="55">
        <v>45713</v>
      </c>
      <c r="E663" s="11" t="s">
        <v>162</v>
      </c>
      <c r="F663" s="68" t="s">
        <v>717</v>
      </c>
    </row>
    <row r="664" spans="1:6">
      <c r="A664" s="6" t="s">
        <v>716</v>
      </c>
      <c r="B664" s="67">
        <v>51507845</v>
      </c>
      <c r="C664" s="10" t="s">
        <v>36</v>
      </c>
      <c r="D664" s="55">
        <v>45713</v>
      </c>
      <c r="E664" s="11" t="s">
        <v>162</v>
      </c>
      <c r="F664" s="68" t="s">
        <v>718</v>
      </c>
    </row>
    <row r="665" spans="1:6">
      <c r="A665" s="6" t="s">
        <v>716</v>
      </c>
      <c r="B665" s="67">
        <v>51507850</v>
      </c>
      <c r="C665" s="10" t="s">
        <v>36</v>
      </c>
      <c r="D665" s="55">
        <v>45713</v>
      </c>
      <c r="E665" s="11" t="s">
        <v>162</v>
      </c>
      <c r="F665" s="68" t="s">
        <v>717</v>
      </c>
    </row>
    <row r="666" spans="1:6">
      <c r="A666" s="6" t="s">
        <v>716</v>
      </c>
      <c r="B666" s="67">
        <v>52505611</v>
      </c>
      <c r="C666" s="10" t="s">
        <v>36</v>
      </c>
      <c r="D666" s="55">
        <v>45713</v>
      </c>
      <c r="E666" s="11" t="s">
        <v>162</v>
      </c>
      <c r="F666" s="68" t="s">
        <v>719</v>
      </c>
    </row>
    <row r="667" spans="1:6">
      <c r="A667" s="6" t="s">
        <v>716</v>
      </c>
      <c r="B667" s="67">
        <v>52505674</v>
      </c>
      <c r="C667" s="10" t="s">
        <v>36</v>
      </c>
      <c r="D667" s="55">
        <v>45713</v>
      </c>
      <c r="E667" s="11" t="s">
        <v>162</v>
      </c>
      <c r="F667" s="68" t="s">
        <v>720</v>
      </c>
    </row>
    <row r="668" spans="1:6">
      <c r="A668" s="6" t="s">
        <v>716</v>
      </c>
      <c r="B668" s="67">
        <v>51507828</v>
      </c>
      <c r="C668" s="10" t="s">
        <v>36</v>
      </c>
      <c r="D668" s="55">
        <v>45713</v>
      </c>
      <c r="E668" s="11" t="s">
        <v>162</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139</v>
      </c>
      <c r="H2" s="71" t="s">
        <v>510</v>
      </c>
      <c r="I2" s="139">
        <v>45695</v>
      </c>
      <c r="J2" s="145"/>
      <c r="K2" s="145"/>
      <c r="L2" s="145"/>
      <c r="M2" s="145"/>
      <c r="N2" s="145"/>
      <c r="O2" s="145"/>
      <c r="P2" s="145"/>
      <c r="Q2" s="146"/>
      <c r="R2" s="71" t="s">
        <v>817</v>
      </c>
    </row>
    <row r="3" spans="1:18" hidden="1">
      <c r="A3" s="29" t="s">
        <v>816</v>
      </c>
      <c r="B3" s="29"/>
      <c r="C3" s="29">
        <v>38505213</v>
      </c>
      <c r="G3" s="29" t="s">
        <v>139</v>
      </c>
      <c r="H3" s="29" t="s">
        <v>510</v>
      </c>
      <c r="I3" s="120">
        <v>45695</v>
      </c>
      <c r="P3" s="134"/>
      <c r="R3" s="29" t="s">
        <v>818</v>
      </c>
    </row>
    <row r="4" spans="1:18" hidden="1">
      <c r="A4" s="41" t="s">
        <v>819</v>
      </c>
      <c r="B4" s="41"/>
      <c r="C4" s="41">
        <v>50507609</v>
      </c>
      <c r="G4" s="29" t="s">
        <v>139</v>
      </c>
      <c r="H4" s="29" t="s">
        <v>78</v>
      </c>
      <c r="I4" s="120">
        <v>45707</v>
      </c>
      <c r="P4" s="134"/>
      <c r="R4" s="41" t="s">
        <v>820</v>
      </c>
    </row>
    <row r="5" spans="1:18" hidden="1">
      <c r="A5" s="41" t="s">
        <v>819</v>
      </c>
      <c r="B5" s="41"/>
      <c r="C5" s="41">
        <v>50507859</v>
      </c>
      <c r="G5" s="29" t="s">
        <v>139</v>
      </c>
      <c r="H5" s="29" t="s">
        <v>78</v>
      </c>
      <c r="I5" s="120">
        <v>45707</v>
      </c>
      <c r="P5" s="134"/>
      <c r="R5" s="41" t="s">
        <v>821</v>
      </c>
    </row>
    <row r="6" spans="1:18" hidden="1">
      <c r="A6" s="147" t="s">
        <v>822</v>
      </c>
      <c r="B6" s="147"/>
      <c r="C6" s="29">
        <v>21507562</v>
      </c>
      <c r="G6" s="29" t="s">
        <v>139</v>
      </c>
      <c r="H6" s="29" t="s">
        <v>315</v>
      </c>
      <c r="I6" s="120">
        <v>45678</v>
      </c>
      <c r="P6" s="134"/>
      <c r="R6" s="29"/>
    </row>
    <row r="7" spans="1:18" hidden="1">
      <c r="A7" s="147" t="s">
        <v>822</v>
      </c>
      <c r="B7" s="147"/>
      <c r="C7" s="29">
        <v>21507565</v>
      </c>
      <c r="G7" s="29" t="s">
        <v>139</v>
      </c>
      <c r="H7" s="29" t="s">
        <v>315</v>
      </c>
      <c r="I7" s="120">
        <v>45678</v>
      </c>
      <c r="P7" s="134"/>
      <c r="R7" s="29"/>
    </row>
    <row r="8" spans="1:18" hidden="1">
      <c r="A8" s="147" t="s">
        <v>822</v>
      </c>
      <c r="B8" s="147"/>
      <c r="C8" s="29">
        <v>21507568</v>
      </c>
      <c r="G8" s="29" t="s">
        <v>139</v>
      </c>
      <c r="H8" s="29" t="s">
        <v>315</v>
      </c>
      <c r="I8" s="120">
        <v>45678</v>
      </c>
      <c r="P8" s="134"/>
      <c r="R8" s="29"/>
    </row>
    <row r="9" spans="1:18" hidden="1">
      <c r="A9" s="147" t="s">
        <v>822</v>
      </c>
      <c r="B9" s="147"/>
      <c r="C9" s="29">
        <v>21507569</v>
      </c>
      <c r="G9" s="29" t="s">
        <v>139</v>
      </c>
      <c r="H9" s="29" t="s">
        <v>315</v>
      </c>
      <c r="I9" s="120">
        <v>45678</v>
      </c>
      <c r="P9" s="134"/>
      <c r="R9" s="29"/>
    </row>
    <row r="10" spans="1:18" hidden="1">
      <c r="A10" s="147" t="s">
        <v>822</v>
      </c>
      <c r="B10" s="147"/>
      <c r="C10" s="29">
        <v>21507570</v>
      </c>
      <c r="G10" s="29" t="s">
        <v>139</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162</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162</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162</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162</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162</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162</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162</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162</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162</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162</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162</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162</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162</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162</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162</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162</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162</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162</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162</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162</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162</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162</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162</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162</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162</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162</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162</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162</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162</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162</v>
      </c>
      <c r="I252" s="120">
        <v>45691</v>
      </c>
      <c r="P252" s="134"/>
      <c r="R252" s="29" t="s">
        <v>864</v>
      </c>
    </row>
    <row r="253" spans="1:19" hidden="1">
      <c r="A253" s="29" t="s">
        <v>854</v>
      </c>
      <c r="B253" s="29"/>
      <c r="C253" s="29">
        <v>35509633</v>
      </c>
      <c r="G253" s="29" t="s">
        <v>823</v>
      </c>
      <c r="H253" s="29" t="s">
        <v>162</v>
      </c>
      <c r="I253" s="120">
        <v>45691</v>
      </c>
      <c r="P253" s="134"/>
      <c r="R253" s="29" t="s">
        <v>865</v>
      </c>
    </row>
    <row r="254" spans="1:19" hidden="1">
      <c r="A254" s="29" t="s">
        <v>854</v>
      </c>
      <c r="B254" s="29"/>
      <c r="C254" s="29">
        <v>35509658</v>
      </c>
      <c r="G254" s="29" t="s">
        <v>823</v>
      </c>
      <c r="H254" s="29" t="s">
        <v>162</v>
      </c>
      <c r="I254" s="120">
        <v>45691</v>
      </c>
      <c r="P254" s="134"/>
      <c r="R254" s="29" t="s">
        <v>866</v>
      </c>
    </row>
    <row r="255" spans="1:19" hidden="1">
      <c r="A255" s="29" t="s">
        <v>854</v>
      </c>
      <c r="B255" s="29"/>
      <c r="C255" s="29">
        <v>37506123</v>
      </c>
      <c r="G255" s="29" t="s">
        <v>823</v>
      </c>
      <c r="H255" s="29" t="s">
        <v>162</v>
      </c>
      <c r="I255" s="120">
        <v>45694</v>
      </c>
      <c r="P255" s="134"/>
      <c r="R255" s="29" t="s">
        <v>855</v>
      </c>
    </row>
    <row r="256" spans="1:19" hidden="1">
      <c r="A256" s="29" t="s">
        <v>854</v>
      </c>
      <c r="B256" s="29"/>
      <c r="C256" s="29">
        <v>37506111</v>
      </c>
      <c r="G256" s="29" t="s">
        <v>823</v>
      </c>
      <c r="H256" s="29" t="s">
        <v>162</v>
      </c>
      <c r="I256" s="120">
        <v>45694</v>
      </c>
      <c r="P256" s="134"/>
      <c r="R256" s="29" t="s">
        <v>872</v>
      </c>
    </row>
    <row r="257" spans="1:18" hidden="1">
      <c r="A257" s="29" t="s">
        <v>854</v>
      </c>
      <c r="B257" s="29"/>
      <c r="C257" s="29">
        <v>37506073</v>
      </c>
      <c r="G257" s="29" t="s">
        <v>823</v>
      </c>
      <c r="H257" s="29" t="s">
        <v>162</v>
      </c>
      <c r="I257" s="120">
        <v>45694</v>
      </c>
      <c r="P257" s="134"/>
      <c r="R257" s="29" t="s">
        <v>872</v>
      </c>
    </row>
    <row r="258" spans="1:18" hidden="1">
      <c r="A258" s="29" t="s">
        <v>854</v>
      </c>
      <c r="B258" s="29"/>
      <c r="C258" s="29">
        <v>37506056</v>
      </c>
      <c r="G258" s="29" t="s">
        <v>823</v>
      </c>
      <c r="H258" s="29" t="s">
        <v>162</v>
      </c>
      <c r="I258" s="120">
        <v>45694</v>
      </c>
      <c r="P258" s="134"/>
      <c r="R258" s="29" t="s">
        <v>869</v>
      </c>
    </row>
    <row r="259" spans="1:18" hidden="1">
      <c r="A259" s="29" t="s">
        <v>854</v>
      </c>
      <c r="B259" s="29"/>
      <c r="C259" s="29">
        <v>37506038</v>
      </c>
      <c r="G259" s="29" t="s">
        <v>823</v>
      </c>
      <c r="H259" s="29" t="s">
        <v>162</v>
      </c>
      <c r="I259" s="120">
        <v>45694</v>
      </c>
      <c r="P259" s="134"/>
      <c r="R259" s="29" t="s">
        <v>867</v>
      </c>
    </row>
    <row r="260" spans="1:18" hidden="1">
      <c r="A260" s="29" t="s">
        <v>854</v>
      </c>
      <c r="B260" s="29"/>
      <c r="C260" s="29">
        <v>37505985</v>
      </c>
      <c r="G260" s="29" t="s">
        <v>823</v>
      </c>
      <c r="H260" s="29" t="s">
        <v>162</v>
      </c>
      <c r="I260" s="120">
        <v>45694</v>
      </c>
      <c r="P260" s="134"/>
      <c r="R260" s="29" t="s">
        <v>868</v>
      </c>
    </row>
    <row r="261" spans="1:18" hidden="1">
      <c r="A261" s="29" t="s">
        <v>854</v>
      </c>
      <c r="B261" s="29"/>
      <c r="C261" s="29">
        <v>37505961</v>
      </c>
      <c r="G261" s="29" t="s">
        <v>823</v>
      </c>
      <c r="H261" s="29" t="s">
        <v>162</v>
      </c>
      <c r="I261" s="120">
        <v>45694</v>
      </c>
      <c r="P261" s="134"/>
      <c r="R261" s="29" t="s">
        <v>869</v>
      </c>
    </row>
    <row r="262" spans="1:18" hidden="1">
      <c r="A262" s="29" t="s">
        <v>854</v>
      </c>
      <c r="B262" s="29"/>
      <c r="C262" s="29">
        <v>37505929</v>
      </c>
      <c r="G262" s="29" t="s">
        <v>823</v>
      </c>
      <c r="H262" s="29" t="s">
        <v>162</v>
      </c>
      <c r="I262" s="120">
        <v>45694</v>
      </c>
      <c r="P262" s="134"/>
      <c r="R262" s="29" t="s">
        <v>860</v>
      </c>
    </row>
    <row r="263" spans="1:18" hidden="1">
      <c r="A263" s="29" t="s">
        <v>854</v>
      </c>
      <c r="B263" s="29"/>
      <c r="C263" s="29">
        <v>37505902</v>
      </c>
      <c r="G263" s="29" t="s">
        <v>823</v>
      </c>
      <c r="H263" s="29" t="s">
        <v>162</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162</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162</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162</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162</v>
      </c>
      <c r="I275" s="120">
        <v>45694</v>
      </c>
      <c r="P275" s="134"/>
      <c r="R275" s="29" t="s">
        <v>862</v>
      </c>
    </row>
    <row r="276" spans="1:18" hidden="1">
      <c r="A276" s="29" t="s">
        <v>854</v>
      </c>
      <c r="B276" s="29"/>
      <c r="C276" s="29">
        <v>37505280</v>
      </c>
      <c r="G276" s="29" t="s">
        <v>823</v>
      </c>
      <c r="H276" s="29" t="s">
        <v>162</v>
      </c>
      <c r="I276" s="120">
        <v>45694</v>
      </c>
      <c r="P276" s="134"/>
      <c r="R276" s="29" t="s">
        <v>862</v>
      </c>
    </row>
    <row r="277" spans="1:18" hidden="1">
      <c r="A277" s="29" t="s">
        <v>854</v>
      </c>
      <c r="B277" s="29"/>
      <c r="C277" s="29">
        <v>37505252</v>
      </c>
      <c r="G277" s="29" t="s">
        <v>823</v>
      </c>
      <c r="H277" s="29" t="s">
        <v>162</v>
      </c>
      <c r="I277" s="120">
        <v>45694</v>
      </c>
      <c r="P277" s="134"/>
      <c r="R277" s="29" t="s">
        <v>862</v>
      </c>
    </row>
    <row r="278" spans="1:18" hidden="1">
      <c r="A278" s="29" t="s">
        <v>854</v>
      </c>
      <c r="B278" s="29"/>
      <c r="C278" s="29">
        <v>37505229</v>
      </c>
      <c r="G278" s="29" t="s">
        <v>823</v>
      </c>
      <c r="H278" s="29" t="s">
        <v>162</v>
      </c>
      <c r="I278" s="120">
        <v>45694</v>
      </c>
      <c r="P278" s="134"/>
      <c r="R278" s="29" t="s">
        <v>873</v>
      </c>
    </row>
    <row r="279" spans="1:18" hidden="1">
      <c r="A279" s="29" t="s">
        <v>854</v>
      </c>
      <c r="B279" s="29"/>
      <c r="C279" s="29">
        <v>37505213</v>
      </c>
      <c r="G279" s="29" t="s">
        <v>823</v>
      </c>
      <c r="H279" s="29" t="s">
        <v>162</v>
      </c>
      <c r="I279" s="120">
        <v>45694</v>
      </c>
      <c r="P279" s="134"/>
      <c r="R279" s="29" t="s">
        <v>874</v>
      </c>
    </row>
    <row r="280" spans="1:18" hidden="1">
      <c r="A280" s="29" t="s">
        <v>854</v>
      </c>
      <c r="B280" s="29"/>
      <c r="C280" s="29">
        <v>37505183</v>
      </c>
      <c r="G280" s="29" t="s">
        <v>823</v>
      </c>
      <c r="H280" s="29" t="s">
        <v>162</v>
      </c>
      <c r="I280" s="120">
        <v>45694</v>
      </c>
      <c r="P280" s="134"/>
      <c r="R280" s="29" t="s">
        <v>875</v>
      </c>
    </row>
    <row r="281" spans="1:18" hidden="1">
      <c r="A281" s="29" t="s">
        <v>854</v>
      </c>
      <c r="B281" s="29"/>
      <c r="C281" s="29">
        <v>37505094</v>
      </c>
      <c r="G281" s="29" t="s">
        <v>823</v>
      </c>
      <c r="H281" s="29" t="s">
        <v>162</v>
      </c>
      <c r="I281" s="120">
        <v>45694</v>
      </c>
      <c r="P281" s="134"/>
      <c r="R281" s="29" t="s">
        <v>876</v>
      </c>
    </row>
    <row r="282" spans="1:18" hidden="1">
      <c r="A282" s="29" t="s">
        <v>854</v>
      </c>
      <c r="B282" s="29"/>
      <c r="C282" s="29">
        <v>37505037</v>
      </c>
      <c r="G282" s="29" t="s">
        <v>823</v>
      </c>
      <c r="H282" s="29" t="s">
        <v>162</v>
      </c>
      <c r="I282" s="120">
        <v>45694</v>
      </c>
      <c r="P282" s="134"/>
      <c r="R282" s="29" t="s">
        <v>877</v>
      </c>
    </row>
    <row r="283" spans="1:18" hidden="1">
      <c r="A283" s="29" t="s">
        <v>854</v>
      </c>
      <c r="B283" s="29"/>
      <c r="C283" s="29">
        <v>37502907</v>
      </c>
      <c r="G283" s="29" t="s">
        <v>823</v>
      </c>
      <c r="H283" s="29" t="s">
        <v>162</v>
      </c>
      <c r="I283" s="120">
        <v>45694</v>
      </c>
      <c r="P283" s="134"/>
      <c r="R283" s="29" t="s">
        <v>878</v>
      </c>
    </row>
    <row r="284" spans="1:18" hidden="1">
      <c r="A284" s="29" t="s">
        <v>854</v>
      </c>
      <c r="B284" s="29"/>
      <c r="C284" s="29">
        <v>37502781</v>
      </c>
      <c r="G284" s="29" t="s">
        <v>823</v>
      </c>
      <c r="H284" s="29" t="s">
        <v>162</v>
      </c>
      <c r="I284" s="120">
        <v>45694</v>
      </c>
      <c r="P284" s="134"/>
      <c r="R284" s="29" t="s">
        <v>879</v>
      </c>
    </row>
    <row r="285" spans="1:18" hidden="1">
      <c r="A285" s="29" t="s">
        <v>854</v>
      </c>
      <c r="B285" s="29"/>
      <c r="C285" s="29">
        <v>36501750</v>
      </c>
      <c r="G285" s="29" t="s">
        <v>823</v>
      </c>
      <c r="H285" s="29" t="s">
        <v>162</v>
      </c>
      <c r="I285" s="120">
        <v>45692</v>
      </c>
      <c r="P285" s="134"/>
      <c r="R285" s="29" t="s">
        <v>863</v>
      </c>
    </row>
    <row r="286" spans="1:18" hidden="1">
      <c r="A286" s="29" t="s">
        <v>854</v>
      </c>
      <c r="B286" s="29"/>
      <c r="C286" s="29">
        <v>36501703</v>
      </c>
      <c r="G286" s="29" t="s">
        <v>823</v>
      </c>
      <c r="H286" s="29" t="s">
        <v>162</v>
      </c>
      <c r="I286" s="120">
        <v>45692</v>
      </c>
      <c r="P286" s="134"/>
      <c r="R286" s="29" t="s">
        <v>433</v>
      </c>
    </row>
    <row r="287" spans="1:18" hidden="1">
      <c r="A287" s="29" t="s">
        <v>854</v>
      </c>
      <c r="B287" s="29"/>
      <c r="C287" s="29">
        <v>36501220</v>
      </c>
      <c r="G287" s="29" t="s">
        <v>823</v>
      </c>
      <c r="H287" s="29" t="s">
        <v>162</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162</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139</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139</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139</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139</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139</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139</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139</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139</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139</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139</v>
      </c>
      <c r="H355" s="29" t="s">
        <v>315</v>
      </c>
      <c r="I355" s="120">
        <v>45692</v>
      </c>
      <c r="J355" s="29"/>
      <c r="K355" s="29"/>
      <c r="L355" s="29"/>
      <c r="M355" s="29"/>
      <c r="N355" s="29"/>
      <c r="O355" s="29"/>
      <c r="P355" s="29"/>
      <c r="Q355" s="81"/>
      <c r="R355" s="29"/>
      <c r="S355" s="123"/>
    </row>
    <row r="356" spans="1:19" hidden="1">
      <c r="A356" s="29" t="s">
        <v>897</v>
      </c>
      <c r="B356" s="29"/>
      <c r="C356" s="29">
        <v>36505051</v>
      </c>
      <c r="G356" s="29" t="s">
        <v>139</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139</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139</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139</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139</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139</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139</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139</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139</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139</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139</v>
      </c>
      <c r="H366" s="29" t="s">
        <v>315</v>
      </c>
      <c r="I366" s="120">
        <v>45692</v>
      </c>
      <c r="J366" s="29"/>
      <c r="P366" s="134"/>
      <c r="R366" s="29"/>
    </row>
    <row r="367" spans="1:19" ht="15.75" hidden="1">
      <c r="A367" s="29" t="s">
        <v>897</v>
      </c>
      <c r="B367" s="29"/>
      <c r="C367" s="121">
        <v>36504399</v>
      </c>
      <c r="G367" s="29" t="s">
        <v>139</v>
      </c>
      <c r="H367" s="29" t="s">
        <v>315</v>
      </c>
      <c r="I367" s="120">
        <v>45692</v>
      </c>
      <c r="J367" s="29"/>
      <c r="P367" s="134"/>
      <c r="R367" s="29"/>
    </row>
    <row r="368" spans="1:19" ht="15.75" hidden="1">
      <c r="A368" s="29" t="s">
        <v>897</v>
      </c>
      <c r="B368" s="29"/>
      <c r="C368" s="121">
        <v>36504493</v>
      </c>
      <c r="G368" s="29" t="s">
        <v>139</v>
      </c>
      <c r="H368" s="29" t="s">
        <v>315</v>
      </c>
      <c r="I368" s="120">
        <v>45692</v>
      </c>
      <c r="J368" s="29"/>
      <c r="P368" s="134"/>
      <c r="R368" s="29"/>
    </row>
    <row r="369" spans="1:18" ht="15.75" hidden="1">
      <c r="A369" s="29" t="s">
        <v>897</v>
      </c>
      <c r="B369" s="29"/>
      <c r="C369" s="121">
        <v>36504549</v>
      </c>
      <c r="G369" s="29" t="s">
        <v>139</v>
      </c>
      <c r="H369" s="29" t="s">
        <v>315</v>
      </c>
      <c r="I369" s="120">
        <v>45692</v>
      </c>
      <c r="J369" s="29"/>
      <c r="P369" s="134"/>
      <c r="R369" s="29"/>
    </row>
    <row r="370" spans="1:18" ht="15.75" hidden="1">
      <c r="A370" s="29" t="s">
        <v>897</v>
      </c>
      <c r="B370" s="29"/>
      <c r="C370" s="121">
        <v>36504718</v>
      </c>
      <c r="G370" s="29" t="s">
        <v>139</v>
      </c>
      <c r="H370" s="29" t="s">
        <v>315</v>
      </c>
      <c r="I370" s="120">
        <v>45692</v>
      </c>
      <c r="J370" s="29"/>
      <c r="P370" s="134"/>
      <c r="R370" s="29"/>
    </row>
    <row r="371" spans="1:18" ht="15.75" hidden="1">
      <c r="A371" s="29" t="s">
        <v>897</v>
      </c>
      <c r="B371" s="29"/>
      <c r="C371" s="121">
        <v>36504907</v>
      </c>
      <c r="G371" s="29" t="s">
        <v>139</v>
      </c>
      <c r="H371" s="29" t="s">
        <v>315</v>
      </c>
      <c r="I371" s="120">
        <v>45692</v>
      </c>
      <c r="J371" s="29"/>
      <c r="P371" s="134"/>
      <c r="R371" s="29"/>
    </row>
    <row r="372" spans="1:18" hidden="1">
      <c r="A372" s="29" t="s">
        <v>897</v>
      </c>
      <c r="B372" s="29"/>
      <c r="C372" s="29">
        <v>36504999</v>
      </c>
      <c r="G372" s="29" t="s">
        <v>139</v>
      </c>
      <c r="H372" s="29" t="s">
        <v>898</v>
      </c>
      <c r="I372" s="120">
        <v>45692</v>
      </c>
      <c r="J372" s="29"/>
      <c r="P372" s="134"/>
      <c r="R372" s="29" t="s">
        <v>899</v>
      </c>
    </row>
    <row r="373" spans="1:18" hidden="1">
      <c r="A373" s="29" t="s">
        <v>897</v>
      </c>
      <c r="B373" s="29"/>
      <c r="C373" s="29">
        <v>36505051</v>
      </c>
      <c r="G373" s="29" t="s">
        <v>139</v>
      </c>
      <c r="H373" s="29" t="s">
        <v>898</v>
      </c>
      <c r="I373" s="120">
        <v>45692</v>
      </c>
      <c r="J373" s="29"/>
      <c r="P373" s="134"/>
      <c r="R373" s="29" t="s">
        <v>900</v>
      </c>
    </row>
    <row r="374" spans="1:18" hidden="1">
      <c r="A374" s="29" t="s">
        <v>897</v>
      </c>
      <c r="B374" s="29"/>
      <c r="C374" s="29">
        <v>36505051</v>
      </c>
      <c r="G374" s="29" t="s">
        <v>139</v>
      </c>
      <c r="H374" s="29" t="s">
        <v>898</v>
      </c>
      <c r="I374" s="120">
        <v>45692</v>
      </c>
      <c r="J374" s="29"/>
      <c r="P374" s="134"/>
      <c r="R374" s="29" t="s">
        <v>900</v>
      </c>
    </row>
    <row r="375" spans="1:18" hidden="1">
      <c r="A375" s="29" t="s">
        <v>897</v>
      </c>
      <c r="B375" s="29"/>
      <c r="C375" s="29">
        <v>36505123</v>
      </c>
      <c r="G375" s="29" t="s">
        <v>139</v>
      </c>
      <c r="H375" s="29" t="s">
        <v>898</v>
      </c>
      <c r="I375" s="120">
        <v>45694</v>
      </c>
      <c r="J375" s="29"/>
      <c r="P375" s="134"/>
      <c r="R375" s="29" t="s">
        <v>908</v>
      </c>
    </row>
    <row r="376" spans="1:18" hidden="1">
      <c r="A376" s="29" t="s">
        <v>897</v>
      </c>
      <c r="B376" s="29"/>
      <c r="C376" s="29">
        <v>36505184</v>
      </c>
      <c r="G376" s="29" t="s">
        <v>139</v>
      </c>
      <c r="H376" s="29" t="s">
        <v>485</v>
      </c>
      <c r="I376" s="120">
        <v>45692</v>
      </c>
      <c r="J376" s="29"/>
      <c r="P376" s="134"/>
      <c r="R376" s="29" t="s">
        <v>907</v>
      </c>
    </row>
    <row r="377" spans="1:18" hidden="1">
      <c r="A377" s="29" t="s">
        <v>897</v>
      </c>
      <c r="B377" s="29"/>
      <c r="C377" s="29">
        <v>36505254</v>
      </c>
      <c r="G377" s="29" t="s">
        <v>139</v>
      </c>
      <c r="H377" s="29" t="s">
        <v>485</v>
      </c>
      <c r="I377" s="120">
        <v>45692</v>
      </c>
      <c r="J377" s="29"/>
      <c r="P377" s="134"/>
      <c r="R377" s="29" t="s">
        <v>906</v>
      </c>
    </row>
    <row r="378" spans="1:18" hidden="1">
      <c r="A378" s="29" t="s">
        <v>897</v>
      </c>
      <c r="B378" s="29"/>
      <c r="C378" s="29">
        <v>36505299</v>
      </c>
      <c r="G378" s="29" t="s">
        <v>139</v>
      </c>
      <c r="H378" s="29" t="s">
        <v>485</v>
      </c>
      <c r="I378" s="120">
        <v>45692</v>
      </c>
      <c r="J378" s="29"/>
      <c r="P378" s="134"/>
      <c r="R378" s="29" t="s">
        <v>905</v>
      </c>
    </row>
    <row r="379" spans="1:18" ht="15.75" hidden="1">
      <c r="A379" s="29" t="s">
        <v>897</v>
      </c>
      <c r="B379" s="29"/>
      <c r="C379" s="121">
        <v>36505340</v>
      </c>
      <c r="G379" s="29" t="s">
        <v>139</v>
      </c>
      <c r="H379" s="29" t="s">
        <v>315</v>
      </c>
      <c r="I379" s="120">
        <v>45692</v>
      </c>
      <c r="J379" s="29"/>
      <c r="P379" s="134"/>
      <c r="R379" s="29"/>
    </row>
    <row r="380" spans="1:18" hidden="1">
      <c r="A380" s="29" t="s">
        <v>897</v>
      </c>
      <c r="B380" s="29"/>
      <c r="C380" s="29">
        <v>36505340</v>
      </c>
      <c r="G380" s="29" t="s">
        <v>139</v>
      </c>
      <c r="H380" s="29" t="s">
        <v>485</v>
      </c>
      <c r="I380" s="120">
        <v>45692</v>
      </c>
      <c r="J380" s="29"/>
      <c r="P380" s="134"/>
      <c r="R380" s="29" t="s">
        <v>904</v>
      </c>
    </row>
    <row r="381" spans="1:18" ht="15.75" hidden="1">
      <c r="A381" s="29" t="s">
        <v>897</v>
      </c>
      <c r="B381" s="29"/>
      <c r="C381" s="121">
        <v>36505390</v>
      </c>
      <c r="G381" s="29" t="s">
        <v>139</v>
      </c>
      <c r="H381" s="29" t="s">
        <v>315</v>
      </c>
      <c r="I381" s="120">
        <v>45692</v>
      </c>
      <c r="J381" s="29"/>
      <c r="P381" s="134"/>
      <c r="R381" s="29"/>
    </row>
    <row r="382" spans="1:18" hidden="1">
      <c r="A382" s="29" t="s">
        <v>897</v>
      </c>
      <c r="B382" s="29"/>
      <c r="C382" s="29">
        <v>36505390</v>
      </c>
      <c r="G382" s="29" t="s">
        <v>139</v>
      </c>
      <c r="H382" s="29" t="s">
        <v>485</v>
      </c>
      <c r="I382" s="120">
        <v>45692</v>
      </c>
      <c r="J382" s="29"/>
      <c r="P382" s="134"/>
      <c r="R382" s="29" t="s">
        <v>903</v>
      </c>
    </row>
    <row r="383" spans="1:18" ht="15.75" hidden="1">
      <c r="A383" s="29" t="s">
        <v>897</v>
      </c>
      <c r="B383" s="29"/>
      <c r="C383" s="121">
        <v>36505446</v>
      </c>
      <c r="G383" s="29" t="s">
        <v>139</v>
      </c>
      <c r="H383" s="29" t="s">
        <v>315</v>
      </c>
      <c r="I383" s="120">
        <v>45692</v>
      </c>
      <c r="J383" s="29"/>
      <c r="P383" s="134"/>
      <c r="R383" s="29"/>
    </row>
    <row r="384" spans="1:18" hidden="1">
      <c r="A384" s="29" t="s">
        <v>897</v>
      </c>
      <c r="B384" s="29"/>
      <c r="C384" s="29">
        <v>36505446</v>
      </c>
      <c r="G384" s="29" t="s">
        <v>139</v>
      </c>
      <c r="H384" s="29" t="s">
        <v>485</v>
      </c>
      <c r="I384" s="120">
        <v>45692</v>
      </c>
      <c r="J384" s="29"/>
      <c r="P384" s="134"/>
      <c r="R384" s="29" t="s">
        <v>903</v>
      </c>
    </row>
    <row r="385" spans="1:19" ht="15.75" hidden="1">
      <c r="A385" s="29" t="s">
        <v>897</v>
      </c>
      <c r="B385" s="29"/>
      <c r="C385" s="121">
        <v>36505501</v>
      </c>
      <c r="G385" s="29" t="s">
        <v>139</v>
      </c>
      <c r="H385" s="29" t="s">
        <v>315</v>
      </c>
      <c r="I385" s="120">
        <v>45692</v>
      </c>
      <c r="J385" s="29"/>
      <c r="P385" s="134"/>
      <c r="R385" s="29"/>
    </row>
    <row r="386" spans="1:19" hidden="1">
      <c r="A386" s="29" t="s">
        <v>897</v>
      </c>
      <c r="B386" s="29"/>
      <c r="C386" s="29">
        <v>36505501</v>
      </c>
      <c r="G386" s="29" t="s">
        <v>139</v>
      </c>
      <c r="H386" s="29" t="s">
        <v>485</v>
      </c>
      <c r="I386" s="120">
        <v>45692</v>
      </c>
      <c r="J386" s="29"/>
      <c r="P386" s="134"/>
      <c r="R386" s="29" t="s">
        <v>902</v>
      </c>
    </row>
    <row r="387" spans="1:19" hidden="1">
      <c r="A387" s="29" t="s">
        <v>897</v>
      </c>
      <c r="B387" s="29"/>
      <c r="C387" s="29">
        <v>36505123</v>
      </c>
      <c r="G387" s="29" t="s">
        <v>139</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139</v>
      </c>
      <c r="H388" s="29" t="s">
        <v>485</v>
      </c>
      <c r="I388" s="120">
        <v>45692</v>
      </c>
      <c r="J388" s="29"/>
      <c r="P388" s="134"/>
      <c r="R388" s="29" t="s">
        <v>901</v>
      </c>
    </row>
    <row r="389" spans="1:19" hidden="1">
      <c r="A389" s="41" t="s">
        <v>819</v>
      </c>
      <c r="B389" s="41"/>
      <c r="C389" s="41">
        <v>50507785</v>
      </c>
      <c r="G389" s="29" t="s">
        <v>139</v>
      </c>
      <c r="H389" s="29" t="s">
        <v>78</v>
      </c>
      <c r="I389" s="120">
        <v>45707</v>
      </c>
      <c r="J389" s="29"/>
      <c r="P389" s="134"/>
      <c r="R389" s="41" t="s">
        <v>909</v>
      </c>
    </row>
    <row r="390" spans="1:19" hidden="1">
      <c r="A390" s="41" t="s">
        <v>819</v>
      </c>
      <c r="B390" s="41"/>
      <c r="C390" s="41">
        <v>50507819</v>
      </c>
      <c r="G390" s="29" t="s">
        <v>139</v>
      </c>
      <c r="H390" s="29" t="s">
        <v>78</v>
      </c>
      <c r="I390" s="120">
        <v>45707</v>
      </c>
      <c r="J390" s="29"/>
      <c r="P390" s="134"/>
      <c r="R390" s="41" t="s">
        <v>910</v>
      </c>
    </row>
    <row r="391" spans="1:19" hidden="1">
      <c r="A391" s="41" t="s">
        <v>819</v>
      </c>
      <c r="B391" s="41"/>
      <c r="C391" s="41">
        <v>50507838</v>
      </c>
      <c r="G391" s="29" t="s">
        <v>139</v>
      </c>
      <c r="H391" s="29" t="s">
        <v>78</v>
      </c>
      <c r="I391" s="120">
        <v>45707</v>
      </c>
      <c r="J391" s="29"/>
      <c r="P391" s="134"/>
      <c r="R391" s="41" t="s">
        <v>911</v>
      </c>
    </row>
    <row r="392" spans="1:19" hidden="1">
      <c r="A392" s="41" t="s">
        <v>819</v>
      </c>
      <c r="B392" s="41"/>
      <c r="C392" s="41">
        <v>50507640</v>
      </c>
      <c r="G392" s="29" t="s">
        <v>139</v>
      </c>
      <c r="H392" s="29" t="s">
        <v>78</v>
      </c>
      <c r="I392" s="120">
        <v>45707</v>
      </c>
      <c r="J392" s="29"/>
      <c r="P392" s="134"/>
      <c r="R392" s="41" t="s">
        <v>912</v>
      </c>
    </row>
    <row r="393" spans="1:19" hidden="1">
      <c r="A393" s="41" t="s">
        <v>819</v>
      </c>
      <c r="B393" s="41"/>
      <c r="C393" s="41">
        <v>50507678</v>
      </c>
      <c r="G393" s="29" t="s">
        <v>139</v>
      </c>
      <c r="H393" s="29" t="s">
        <v>78</v>
      </c>
      <c r="I393" s="120">
        <v>45707</v>
      </c>
      <c r="J393" s="29"/>
      <c r="P393" s="134"/>
      <c r="R393" s="41" t="s">
        <v>913</v>
      </c>
    </row>
    <row r="394" spans="1:19" hidden="1">
      <c r="A394" s="41" t="s">
        <v>819</v>
      </c>
      <c r="B394" s="41"/>
      <c r="C394" s="41">
        <v>50507713</v>
      </c>
      <c r="G394" s="29" t="s">
        <v>139</v>
      </c>
      <c r="H394" s="29" t="s">
        <v>78</v>
      </c>
      <c r="I394" s="120">
        <v>45707</v>
      </c>
      <c r="J394" s="29"/>
      <c r="P394" s="134"/>
      <c r="R394" s="41" t="s">
        <v>914</v>
      </c>
    </row>
    <row r="395" spans="1:19" hidden="1">
      <c r="A395" s="41" t="s">
        <v>819</v>
      </c>
      <c r="B395" s="41"/>
      <c r="C395" s="41">
        <v>50507757</v>
      </c>
      <c r="G395" s="29" t="s">
        <v>139</v>
      </c>
      <c r="H395" s="29" t="s">
        <v>78</v>
      </c>
      <c r="I395" s="120">
        <v>45707</v>
      </c>
      <c r="J395" s="29"/>
      <c r="P395" s="134"/>
      <c r="R395" s="41" t="s">
        <v>915</v>
      </c>
    </row>
    <row r="396" spans="1:19" hidden="1">
      <c r="A396" s="41" t="s">
        <v>819</v>
      </c>
      <c r="B396" s="41"/>
      <c r="C396" s="41">
        <v>50507609</v>
      </c>
      <c r="G396" s="29" t="s">
        <v>139</v>
      </c>
      <c r="H396" s="29" t="s">
        <v>510</v>
      </c>
      <c r="I396" s="42">
        <v>45707</v>
      </c>
      <c r="P396" s="134"/>
      <c r="R396" s="41" t="s">
        <v>820</v>
      </c>
    </row>
    <row r="397" spans="1:19" hidden="1">
      <c r="A397" s="41" t="s">
        <v>819</v>
      </c>
      <c r="B397" s="41"/>
      <c r="C397" s="41">
        <v>50507859</v>
      </c>
      <c r="G397" s="29" t="s">
        <v>139</v>
      </c>
      <c r="H397" s="29" t="s">
        <v>510</v>
      </c>
      <c r="I397" s="42">
        <v>45707</v>
      </c>
      <c r="P397" s="134"/>
      <c r="R397" s="41" t="s">
        <v>821</v>
      </c>
    </row>
    <row r="398" spans="1:19" hidden="1">
      <c r="A398" s="41" t="s">
        <v>819</v>
      </c>
      <c r="B398" s="41"/>
      <c r="C398" s="41">
        <v>50507785</v>
      </c>
      <c r="G398" s="29" t="s">
        <v>139</v>
      </c>
      <c r="H398" s="29" t="s">
        <v>510</v>
      </c>
      <c r="I398" s="42">
        <v>45707</v>
      </c>
      <c r="P398" s="134"/>
      <c r="R398" s="41" t="s">
        <v>909</v>
      </c>
    </row>
    <row r="399" spans="1:19" hidden="1">
      <c r="A399" s="41" t="s">
        <v>819</v>
      </c>
      <c r="B399" s="41"/>
      <c r="C399" s="41">
        <v>50507819</v>
      </c>
      <c r="G399" s="29" t="s">
        <v>139</v>
      </c>
      <c r="H399" s="29" t="s">
        <v>510</v>
      </c>
      <c r="I399" s="42">
        <v>45707</v>
      </c>
      <c r="P399" s="134"/>
      <c r="R399" s="41" t="s">
        <v>910</v>
      </c>
    </row>
    <row r="400" spans="1:19" hidden="1">
      <c r="A400" s="41" t="s">
        <v>819</v>
      </c>
      <c r="B400" s="41"/>
      <c r="C400" s="41">
        <v>50507838</v>
      </c>
      <c r="G400" s="29" t="s">
        <v>139</v>
      </c>
      <c r="H400" s="29" t="s">
        <v>510</v>
      </c>
      <c r="I400" s="42">
        <v>45707</v>
      </c>
      <c r="P400" s="134"/>
      <c r="R400" s="41" t="s">
        <v>911</v>
      </c>
    </row>
    <row r="401" spans="1:18" hidden="1">
      <c r="A401" s="41" t="s">
        <v>819</v>
      </c>
      <c r="B401" s="41"/>
      <c r="C401" s="41">
        <v>50507640</v>
      </c>
      <c r="G401" s="29" t="s">
        <v>139</v>
      </c>
      <c r="H401" s="29" t="s">
        <v>510</v>
      </c>
      <c r="I401" s="42">
        <v>45707</v>
      </c>
      <c r="P401" s="134"/>
      <c r="R401" s="41" t="s">
        <v>912</v>
      </c>
    </row>
    <row r="402" spans="1:18" hidden="1">
      <c r="A402" s="41" t="s">
        <v>819</v>
      </c>
      <c r="B402" s="41"/>
      <c r="C402" s="41">
        <v>50507678</v>
      </c>
      <c r="G402" s="29" t="s">
        <v>139</v>
      </c>
      <c r="H402" s="29" t="s">
        <v>510</v>
      </c>
      <c r="I402" s="42">
        <v>45707</v>
      </c>
      <c r="P402" s="134"/>
      <c r="R402" s="41" t="s">
        <v>913</v>
      </c>
    </row>
    <row r="403" spans="1:18" hidden="1">
      <c r="A403" s="41" t="s">
        <v>819</v>
      </c>
      <c r="B403" s="41"/>
      <c r="C403" s="41">
        <v>50507713</v>
      </c>
      <c r="G403" s="29" t="s">
        <v>139</v>
      </c>
      <c r="H403" s="29" t="s">
        <v>510</v>
      </c>
      <c r="I403" s="42">
        <v>45707</v>
      </c>
      <c r="P403" s="134"/>
      <c r="R403" s="41" t="s">
        <v>914</v>
      </c>
    </row>
    <row r="404" spans="1:18" hidden="1">
      <c r="A404" s="41" t="s">
        <v>819</v>
      </c>
      <c r="B404" s="41"/>
      <c r="C404" s="41">
        <v>50507757</v>
      </c>
      <c r="G404" s="29" t="s">
        <v>139</v>
      </c>
      <c r="H404" s="29" t="s">
        <v>510</v>
      </c>
      <c r="I404" s="42">
        <v>45707</v>
      </c>
      <c r="P404" s="134"/>
      <c r="R404" s="41" t="s">
        <v>915</v>
      </c>
    </row>
    <row r="405" spans="1:18" hidden="1">
      <c r="A405" s="41" t="s">
        <v>819</v>
      </c>
      <c r="B405" s="41"/>
      <c r="C405" s="41">
        <v>50507609</v>
      </c>
      <c r="G405" s="29" t="s">
        <v>139</v>
      </c>
      <c r="H405" s="29" t="s">
        <v>510</v>
      </c>
      <c r="I405" s="42">
        <v>45707</v>
      </c>
      <c r="P405" s="134"/>
      <c r="R405" s="41" t="s">
        <v>820</v>
      </c>
    </row>
    <row r="406" spans="1:18" hidden="1">
      <c r="A406" s="41" t="s">
        <v>819</v>
      </c>
      <c r="B406" s="41"/>
      <c r="C406" s="41">
        <v>50507859</v>
      </c>
      <c r="G406" s="29" t="s">
        <v>139</v>
      </c>
      <c r="H406" s="29" t="s">
        <v>510</v>
      </c>
      <c r="I406" s="42">
        <v>45707</v>
      </c>
      <c r="P406" s="134"/>
      <c r="R406" s="41" t="s">
        <v>821</v>
      </c>
    </row>
    <row r="407" spans="1:18" hidden="1">
      <c r="A407" s="41" t="s">
        <v>819</v>
      </c>
      <c r="B407" s="41"/>
      <c r="C407" s="41">
        <v>50507785</v>
      </c>
      <c r="G407" s="29" t="s">
        <v>139</v>
      </c>
      <c r="H407" s="29" t="s">
        <v>510</v>
      </c>
      <c r="I407" s="42">
        <v>45707</v>
      </c>
      <c r="P407" s="134"/>
      <c r="R407" s="41" t="s">
        <v>909</v>
      </c>
    </row>
    <row r="408" spans="1:18" hidden="1">
      <c r="A408" s="41" t="s">
        <v>819</v>
      </c>
      <c r="B408" s="41"/>
      <c r="C408" s="41">
        <v>50507819</v>
      </c>
      <c r="G408" s="29" t="s">
        <v>139</v>
      </c>
      <c r="H408" s="29" t="s">
        <v>510</v>
      </c>
      <c r="I408" s="42">
        <v>45707</v>
      </c>
      <c r="P408" s="134"/>
      <c r="R408" s="41" t="s">
        <v>910</v>
      </c>
    </row>
    <row r="409" spans="1:18" hidden="1">
      <c r="A409" s="41" t="s">
        <v>819</v>
      </c>
      <c r="B409" s="41"/>
      <c r="C409" s="41">
        <v>50507838</v>
      </c>
      <c r="G409" s="29" t="s">
        <v>139</v>
      </c>
      <c r="H409" s="29" t="s">
        <v>510</v>
      </c>
      <c r="I409" s="42">
        <v>45707</v>
      </c>
      <c r="P409" s="134"/>
      <c r="R409" s="41" t="s">
        <v>911</v>
      </c>
    </row>
    <row r="410" spans="1:18" hidden="1">
      <c r="A410" s="41" t="s">
        <v>819</v>
      </c>
      <c r="B410" s="41"/>
      <c r="C410" s="41">
        <v>50507640</v>
      </c>
      <c r="G410" s="29" t="s">
        <v>139</v>
      </c>
      <c r="H410" s="29" t="s">
        <v>510</v>
      </c>
      <c r="I410" s="42">
        <v>45707</v>
      </c>
      <c r="P410" s="134"/>
      <c r="R410" s="41" t="s">
        <v>912</v>
      </c>
    </row>
    <row r="411" spans="1:18" hidden="1">
      <c r="A411" s="41" t="s">
        <v>819</v>
      </c>
      <c r="B411" s="41"/>
      <c r="C411" s="41">
        <v>50507678</v>
      </c>
      <c r="G411" s="29" t="s">
        <v>139</v>
      </c>
      <c r="H411" s="29" t="s">
        <v>510</v>
      </c>
      <c r="I411" s="42">
        <v>45707</v>
      </c>
      <c r="P411" s="134"/>
      <c r="R411" s="41" t="s">
        <v>913</v>
      </c>
    </row>
    <row r="412" spans="1:18" hidden="1">
      <c r="A412" s="41" t="s">
        <v>819</v>
      </c>
      <c r="B412" s="41"/>
      <c r="C412" s="41">
        <v>50507713</v>
      </c>
      <c r="G412" s="29" t="s">
        <v>139</v>
      </c>
      <c r="H412" s="29" t="s">
        <v>510</v>
      </c>
      <c r="I412" s="42">
        <v>45707</v>
      </c>
      <c r="P412" s="134"/>
      <c r="R412" s="41" t="s">
        <v>914</v>
      </c>
    </row>
    <row r="413" spans="1:18" hidden="1">
      <c r="A413" s="41" t="s">
        <v>819</v>
      </c>
      <c r="B413" s="41"/>
      <c r="C413" s="41">
        <v>50507757</v>
      </c>
      <c r="G413" s="29" t="s">
        <v>139</v>
      </c>
      <c r="H413" s="29" t="s">
        <v>510</v>
      </c>
      <c r="I413" s="42">
        <v>45707</v>
      </c>
      <c r="P413" s="134"/>
      <c r="R413" s="41" t="s">
        <v>915</v>
      </c>
    </row>
    <row r="414" spans="1:18" hidden="1">
      <c r="A414" s="41" t="s">
        <v>819</v>
      </c>
      <c r="B414" s="41"/>
      <c r="C414" s="41">
        <v>50507609</v>
      </c>
      <c r="G414" s="29" t="s">
        <v>139</v>
      </c>
      <c r="H414" s="29" t="s">
        <v>78</v>
      </c>
      <c r="I414" s="120">
        <v>45707</v>
      </c>
      <c r="J414" s="29"/>
      <c r="K414" s="29"/>
      <c r="L414" s="29"/>
      <c r="M414" s="29"/>
      <c r="N414" s="29"/>
      <c r="P414" s="134"/>
      <c r="R414" s="41" t="s">
        <v>820</v>
      </c>
    </row>
    <row r="415" spans="1:18" hidden="1">
      <c r="A415" s="41" t="s">
        <v>819</v>
      </c>
      <c r="B415" s="41"/>
      <c r="C415" s="41">
        <v>50507859</v>
      </c>
      <c r="G415" s="29" t="s">
        <v>139</v>
      </c>
      <c r="H415" s="29" t="s">
        <v>78</v>
      </c>
      <c r="I415" s="120">
        <v>45707</v>
      </c>
      <c r="J415" s="29"/>
      <c r="K415" s="29"/>
      <c r="L415" s="29"/>
      <c r="M415" s="29"/>
      <c r="N415" s="29"/>
      <c r="P415" s="134"/>
      <c r="R415" s="41" t="s">
        <v>821</v>
      </c>
    </row>
    <row r="416" spans="1:18" hidden="1">
      <c r="A416" s="41" t="s">
        <v>819</v>
      </c>
      <c r="B416" s="41"/>
      <c r="C416" s="41">
        <v>50507785</v>
      </c>
      <c r="G416" s="29" t="s">
        <v>139</v>
      </c>
      <c r="H416" s="29" t="s">
        <v>78</v>
      </c>
      <c r="I416" s="120">
        <v>45707</v>
      </c>
      <c r="J416" s="29"/>
      <c r="K416" s="29"/>
      <c r="L416" s="29"/>
      <c r="M416" s="29"/>
      <c r="N416" s="29"/>
      <c r="P416" s="134"/>
      <c r="R416" s="41" t="s">
        <v>909</v>
      </c>
    </row>
    <row r="417" spans="1:19" hidden="1">
      <c r="A417" s="41" t="s">
        <v>819</v>
      </c>
      <c r="B417" s="41"/>
      <c r="C417" s="41">
        <v>50507819</v>
      </c>
      <c r="G417" s="29" t="s">
        <v>139</v>
      </c>
      <c r="H417" s="29" t="s">
        <v>78</v>
      </c>
      <c r="I417" s="120">
        <v>45707</v>
      </c>
      <c r="J417" s="29"/>
      <c r="K417" s="29"/>
      <c r="L417" s="29"/>
      <c r="M417" s="29"/>
      <c r="N417" s="29"/>
      <c r="P417" s="134"/>
      <c r="R417" s="41" t="s">
        <v>910</v>
      </c>
    </row>
    <row r="418" spans="1:19" hidden="1">
      <c r="A418" s="41" t="s">
        <v>819</v>
      </c>
      <c r="B418" s="41"/>
      <c r="C418" s="41">
        <v>50507838</v>
      </c>
      <c r="G418" s="29" t="s">
        <v>139</v>
      </c>
      <c r="H418" s="29" t="s">
        <v>78</v>
      </c>
      <c r="I418" s="120">
        <v>45707</v>
      </c>
      <c r="J418" s="29"/>
      <c r="K418" s="29"/>
      <c r="L418" s="29"/>
      <c r="M418" s="29"/>
      <c r="N418" s="29"/>
      <c r="P418" s="134"/>
      <c r="R418" s="41" t="s">
        <v>911</v>
      </c>
    </row>
    <row r="419" spans="1:19" hidden="1">
      <c r="A419" s="41" t="s">
        <v>819</v>
      </c>
      <c r="B419" s="41"/>
      <c r="C419" s="41">
        <v>50507640</v>
      </c>
      <c r="G419" s="29" t="s">
        <v>139</v>
      </c>
      <c r="H419" s="29" t="s">
        <v>78</v>
      </c>
      <c r="I419" s="120">
        <v>45707</v>
      </c>
      <c r="J419" s="29"/>
      <c r="K419" s="29"/>
      <c r="L419" s="29"/>
      <c r="M419" s="29"/>
      <c r="N419" s="29"/>
      <c r="P419" s="134"/>
      <c r="R419" s="41" t="s">
        <v>912</v>
      </c>
    </row>
    <row r="420" spans="1:19" hidden="1">
      <c r="A420" s="41" t="s">
        <v>819</v>
      </c>
      <c r="B420" s="41"/>
      <c r="C420" s="41">
        <v>50507678</v>
      </c>
      <c r="G420" s="29" t="s">
        <v>139</v>
      </c>
      <c r="H420" s="29" t="s">
        <v>78</v>
      </c>
      <c r="I420" s="120">
        <v>45707</v>
      </c>
      <c r="J420" s="29"/>
      <c r="K420" s="29"/>
      <c r="L420" s="29"/>
      <c r="M420" s="29"/>
      <c r="N420" s="29"/>
      <c r="P420" s="134"/>
      <c r="R420" s="41" t="s">
        <v>913</v>
      </c>
    </row>
    <row r="421" spans="1:19" hidden="1">
      <c r="A421" s="41" t="s">
        <v>819</v>
      </c>
      <c r="B421" s="41"/>
      <c r="C421" s="41">
        <v>50507713</v>
      </c>
      <c r="G421" s="29" t="s">
        <v>139</v>
      </c>
      <c r="H421" s="29" t="s">
        <v>78</v>
      </c>
      <c r="I421" s="120">
        <v>45707</v>
      </c>
      <c r="J421" s="29"/>
      <c r="K421" s="29"/>
      <c r="L421" s="29"/>
      <c r="M421" s="29"/>
      <c r="N421" s="29"/>
      <c r="P421" s="134"/>
      <c r="R421" s="41" t="s">
        <v>914</v>
      </c>
    </row>
    <row r="422" spans="1:19" hidden="1">
      <c r="A422" s="41" t="s">
        <v>819</v>
      </c>
      <c r="B422" s="41"/>
      <c r="C422" s="41">
        <v>50507757</v>
      </c>
      <c r="G422" s="29" t="s">
        <v>139</v>
      </c>
      <c r="H422" s="29" t="s">
        <v>78</v>
      </c>
      <c r="I422" s="120">
        <v>45707</v>
      </c>
      <c r="J422" s="29"/>
      <c r="K422" s="29"/>
      <c r="L422" s="29"/>
      <c r="M422" s="29"/>
      <c r="N422" s="29"/>
      <c r="P422" s="134"/>
      <c r="R422" s="41" t="s">
        <v>915</v>
      </c>
    </row>
    <row r="423" spans="1:19" hidden="1">
      <c r="A423" s="147" t="s">
        <v>916</v>
      </c>
      <c r="B423" s="147"/>
      <c r="C423" s="29">
        <v>6508035</v>
      </c>
      <c r="G423" s="29" t="s">
        <v>139</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139</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139</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139</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139</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139</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139</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139</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139</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139</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139</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139</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139</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139</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139</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139</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139</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139</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139</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139</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139</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139</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139</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139</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139</v>
      </c>
      <c r="H447" s="29" t="s">
        <v>917</v>
      </c>
      <c r="I447" s="120">
        <v>45659</v>
      </c>
      <c r="J447" s="29"/>
      <c r="K447" s="29"/>
      <c r="L447" s="29"/>
      <c r="M447" s="29"/>
      <c r="N447" s="29"/>
      <c r="O447" s="29"/>
      <c r="P447" s="29"/>
      <c r="Q447" s="81"/>
      <c r="R447" s="29"/>
      <c r="S447" s="123"/>
    </row>
    <row r="448" spans="1:19" hidden="1">
      <c r="A448" s="29" t="s">
        <v>916</v>
      </c>
      <c r="B448" s="29"/>
      <c r="C448" s="29">
        <v>35500215</v>
      </c>
      <c r="G448" s="29" t="s">
        <v>139</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139</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139</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139</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139</v>
      </c>
      <c r="H452" s="29" t="s">
        <v>917</v>
      </c>
      <c r="I452" s="120">
        <v>45659</v>
      </c>
      <c r="J452" s="29"/>
      <c r="P452" s="134"/>
      <c r="R452" s="29"/>
    </row>
    <row r="453" spans="1:19" hidden="1">
      <c r="A453" s="147" t="s">
        <v>916</v>
      </c>
      <c r="B453" s="147"/>
      <c r="C453" s="29">
        <v>6508102</v>
      </c>
      <c r="G453" s="29" t="s">
        <v>139</v>
      </c>
      <c r="H453" s="29" t="s">
        <v>917</v>
      </c>
      <c r="I453" s="120">
        <v>45659</v>
      </c>
      <c r="J453" s="29"/>
      <c r="P453" s="134"/>
      <c r="R453" s="29"/>
    </row>
    <row r="454" spans="1:19" hidden="1">
      <c r="A454" s="147" t="s">
        <v>916</v>
      </c>
      <c r="B454" s="147"/>
      <c r="C454" s="29">
        <v>6508109</v>
      </c>
      <c r="G454" s="29" t="s">
        <v>139</v>
      </c>
      <c r="H454" s="29" t="s">
        <v>917</v>
      </c>
      <c r="I454" s="120">
        <v>45659</v>
      </c>
      <c r="J454" s="29"/>
      <c r="P454" s="134"/>
      <c r="R454" s="29"/>
    </row>
    <row r="455" spans="1:19" hidden="1">
      <c r="A455" s="147" t="s">
        <v>916</v>
      </c>
      <c r="B455" s="147"/>
      <c r="C455" s="29">
        <v>6508118</v>
      </c>
      <c r="G455" s="29" t="s">
        <v>139</v>
      </c>
      <c r="H455" s="29" t="s">
        <v>917</v>
      </c>
      <c r="I455" s="120">
        <v>45659</v>
      </c>
      <c r="J455" s="29"/>
      <c r="P455" s="134"/>
      <c r="R455" s="29"/>
    </row>
    <row r="456" spans="1:19" hidden="1">
      <c r="A456" s="147" t="s">
        <v>916</v>
      </c>
      <c r="B456" s="147"/>
      <c r="C456" s="29">
        <v>6508147</v>
      </c>
      <c r="G456" s="29" t="s">
        <v>139</v>
      </c>
      <c r="H456" s="29" t="s">
        <v>917</v>
      </c>
      <c r="I456" s="120">
        <v>45659</v>
      </c>
      <c r="J456" s="29"/>
      <c r="P456" s="134"/>
      <c r="R456" s="29"/>
    </row>
    <row r="457" spans="1:19" hidden="1">
      <c r="A457" s="147" t="s">
        <v>916</v>
      </c>
      <c r="B457" s="147"/>
      <c r="C457" s="29">
        <v>6508194</v>
      </c>
      <c r="G457" s="29" t="s">
        <v>139</v>
      </c>
      <c r="H457" s="29" t="s">
        <v>917</v>
      </c>
      <c r="I457" s="120">
        <v>45659</v>
      </c>
      <c r="J457" s="29"/>
      <c r="P457" s="134"/>
      <c r="R457" s="29"/>
    </row>
    <row r="458" spans="1:19" hidden="1">
      <c r="A458" s="147" t="s">
        <v>916</v>
      </c>
      <c r="B458" s="147"/>
      <c r="C458" s="29">
        <v>6508205</v>
      </c>
      <c r="G458" s="29" t="s">
        <v>139</v>
      </c>
      <c r="H458" s="29" t="s">
        <v>917</v>
      </c>
      <c r="I458" s="120">
        <v>45659</v>
      </c>
      <c r="J458" s="29"/>
      <c r="P458" s="134"/>
      <c r="R458" s="29"/>
    </row>
    <row r="459" spans="1:19" hidden="1">
      <c r="A459" s="147" t="s">
        <v>916</v>
      </c>
      <c r="B459" s="147"/>
      <c r="C459" s="29">
        <v>6508233</v>
      </c>
      <c r="G459" s="29" t="s">
        <v>139</v>
      </c>
      <c r="H459" s="29" t="s">
        <v>917</v>
      </c>
      <c r="I459" s="120">
        <v>45659</v>
      </c>
      <c r="J459" s="29"/>
      <c r="P459" s="134"/>
      <c r="R459" s="29"/>
    </row>
    <row r="460" spans="1:19" hidden="1">
      <c r="A460" s="147" t="s">
        <v>916</v>
      </c>
      <c r="B460" s="147"/>
      <c r="C460" s="29">
        <v>6508247</v>
      </c>
      <c r="G460" s="29" t="s">
        <v>139</v>
      </c>
      <c r="H460" s="29" t="s">
        <v>917</v>
      </c>
      <c r="I460" s="120">
        <v>45659</v>
      </c>
      <c r="J460" s="29"/>
      <c r="P460" s="134"/>
      <c r="R460" s="29"/>
    </row>
    <row r="461" spans="1:19" hidden="1">
      <c r="A461" s="147" t="s">
        <v>916</v>
      </c>
      <c r="B461" s="147"/>
      <c r="C461" s="29">
        <v>6508254</v>
      </c>
      <c r="G461" s="29" t="s">
        <v>139</v>
      </c>
      <c r="H461" s="29" t="s">
        <v>917</v>
      </c>
      <c r="I461" s="120">
        <v>45659</v>
      </c>
      <c r="J461" s="29"/>
      <c r="P461" s="134"/>
      <c r="R461" s="29"/>
    </row>
    <row r="462" spans="1:19" hidden="1">
      <c r="A462" s="147" t="s">
        <v>916</v>
      </c>
      <c r="B462" s="147"/>
      <c r="C462" s="29">
        <v>6508313</v>
      </c>
      <c r="G462" s="29" t="s">
        <v>139</v>
      </c>
      <c r="H462" s="29" t="s">
        <v>917</v>
      </c>
      <c r="I462" s="120">
        <v>45659</v>
      </c>
      <c r="J462" s="29"/>
      <c r="P462" s="134"/>
      <c r="R462" s="29"/>
    </row>
    <row r="463" spans="1:19" hidden="1">
      <c r="A463" s="147" t="s">
        <v>916</v>
      </c>
      <c r="B463" s="147"/>
      <c r="C463" s="29">
        <v>6508324</v>
      </c>
      <c r="G463" s="29" t="s">
        <v>139</v>
      </c>
      <c r="H463" s="29" t="s">
        <v>917</v>
      </c>
      <c r="I463" s="120">
        <v>45659</v>
      </c>
      <c r="J463" s="29"/>
      <c r="P463" s="134"/>
      <c r="R463" s="29"/>
    </row>
    <row r="464" spans="1:19" hidden="1">
      <c r="A464" s="147" t="s">
        <v>916</v>
      </c>
      <c r="B464" s="147"/>
      <c r="C464" s="29">
        <v>6508339</v>
      </c>
      <c r="G464" s="29" t="s">
        <v>139</v>
      </c>
      <c r="H464" s="29" t="s">
        <v>917</v>
      </c>
      <c r="I464" s="120">
        <v>45659</v>
      </c>
      <c r="J464" s="29"/>
      <c r="P464" s="134"/>
      <c r="R464" s="29"/>
    </row>
    <row r="465" spans="1:18" hidden="1">
      <c r="A465" s="147" t="s">
        <v>916</v>
      </c>
      <c r="B465" s="147"/>
      <c r="C465" s="29">
        <v>6508357</v>
      </c>
      <c r="G465" s="29" t="s">
        <v>139</v>
      </c>
      <c r="H465" s="29" t="s">
        <v>917</v>
      </c>
      <c r="I465" s="120">
        <v>45659</v>
      </c>
      <c r="J465" s="29"/>
      <c r="P465" s="134"/>
      <c r="R465" s="29"/>
    </row>
    <row r="466" spans="1:18" hidden="1">
      <c r="A466" s="147" t="s">
        <v>916</v>
      </c>
      <c r="B466" s="147"/>
      <c r="C466" s="29">
        <v>6508367</v>
      </c>
      <c r="G466" s="29" t="s">
        <v>139</v>
      </c>
      <c r="H466" s="29" t="s">
        <v>917</v>
      </c>
      <c r="I466" s="120">
        <v>45659</v>
      </c>
      <c r="J466" s="29"/>
      <c r="P466" s="134"/>
      <c r="R466" s="29"/>
    </row>
    <row r="467" spans="1:18" hidden="1">
      <c r="A467" s="147" t="s">
        <v>916</v>
      </c>
      <c r="B467" s="147"/>
      <c r="C467" s="29">
        <v>6508375</v>
      </c>
      <c r="G467" s="29" t="s">
        <v>139</v>
      </c>
      <c r="H467" s="29" t="s">
        <v>917</v>
      </c>
      <c r="I467" s="120">
        <v>45659</v>
      </c>
      <c r="J467" s="29"/>
      <c r="P467" s="134"/>
      <c r="R467" s="29"/>
    </row>
    <row r="468" spans="1:18" hidden="1">
      <c r="A468" s="147" t="s">
        <v>916</v>
      </c>
      <c r="B468" s="147"/>
      <c r="C468" s="29">
        <v>6508420</v>
      </c>
      <c r="G468" s="29" t="s">
        <v>139</v>
      </c>
      <c r="H468" s="29" t="s">
        <v>917</v>
      </c>
      <c r="I468" s="120">
        <v>45659</v>
      </c>
      <c r="J468" s="29"/>
      <c r="P468" s="134"/>
      <c r="R468" s="29"/>
    </row>
    <row r="469" spans="1:18" hidden="1">
      <c r="A469" s="147" t="s">
        <v>916</v>
      </c>
      <c r="B469" s="147"/>
      <c r="C469" s="29">
        <v>6508410</v>
      </c>
      <c r="G469" s="29" t="s">
        <v>139</v>
      </c>
      <c r="H469" s="29" t="s">
        <v>917</v>
      </c>
      <c r="I469" s="120">
        <v>45659</v>
      </c>
      <c r="J469" s="29"/>
      <c r="P469" s="134"/>
      <c r="R469" s="29"/>
    </row>
    <row r="470" spans="1:18" hidden="1">
      <c r="A470" s="147" t="s">
        <v>916</v>
      </c>
      <c r="B470" s="147"/>
      <c r="C470" s="29">
        <v>6508430</v>
      </c>
      <c r="G470" s="29" t="s">
        <v>139</v>
      </c>
      <c r="H470" s="29" t="s">
        <v>917</v>
      </c>
      <c r="I470" s="120">
        <v>45659</v>
      </c>
      <c r="J470" s="29"/>
      <c r="P470" s="134"/>
      <c r="R470" s="29"/>
    </row>
    <row r="471" spans="1:18" hidden="1">
      <c r="A471" s="147" t="s">
        <v>916</v>
      </c>
      <c r="B471" s="147"/>
      <c r="C471" s="29">
        <v>6508443</v>
      </c>
      <c r="G471" s="29" t="s">
        <v>139</v>
      </c>
      <c r="H471" s="29" t="s">
        <v>917</v>
      </c>
      <c r="I471" s="120">
        <v>45659</v>
      </c>
      <c r="J471" s="29"/>
      <c r="P471" s="134"/>
      <c r="R471" s="29"/>
    </row>
    <row r="472" spans="1:18" hidden="1">
      <c r="A472" s="147" t="s">
        <v>916</v>
      </c>
      <c r="B472" s="147"/>
      <c r="C472" s="29">
        <v>6508466</v>
      </c>
      <c r="G472" s="29" t="s">
        <v>139</v>
      </c>
      <c r="H472" s="29" t="s">
        <v>917</v>
      </c>
      <c r="I472" s="120">
        <v>45659</v>
      </c>
      <c r="J472" s="29"/>
      <c r="P472" s="134"/>
      <c r="R472" s="29"/>
    </row>
    <row r="473" spans="1:18" hidden="1">
      <c r="A473" s="147" t="s">
        <v>916</v>
      </c>
      <c r="B473" s="147"/>
      <c r="C473" s="29">
        <v>6508486</v>
      </c>
      <c r="G473" s="29" t="s">
        <v>139</v>
      </c>
      <c r="H473" s="29" t="s">
        <v>917</v>
      </c>
      <c r="I473" s="120">
        <v>45659</v>
      </c>
      <c r="J473" s="29"/>
      <c r="P473" s="134"/>
      <c r="R473" s="29"/>
    </row>
    <row r="474" spans="1:18" hidden="1">
      <c r="A474" s="147" t="s">
        <v>916</v>
      </c>
      <c r="B474" s="147"/>
      <c r="C474" s="29">
        <v>6508492</v>
      </c>
      <c r="G474" s="29" t="s">
        <v>139</v>
      </c>
      <c r="H474" s="29" t="s">
        <v>917</v>
      </c>
      <c r="I474" s="120">
        <v>45659</v>
      </c>
      <c r="J474" s="29"/>
      <c r="P474" s="134"/>
      <c r="R474" s="29"/>
    </row>
    <row r="475" spans="1:18" hidden="1">
      <c r="A475" s="147" t="s">
        <v>916</v>
      </c>
      <c r="B475" s="147"/>
      <c r="C475" s="29">
        <v>6508513</v>
      </c>
      <c r="G475" s="29" t="s">
        <v>139</v>
      </c>
      <c r="H475" s="29" t="s">
        <v>917</v>
      </c>
      <c r="I475" s="120">
        <v>45659</v>
      </c>
      <c r="J475" s="29"/>
      <c r="P475" s="134"/>
      <c r="R475" s="29"/>
    </row>
    <row r="476" spans="1:18" hidden="1">
      <c r="A476" s="147" t="s">
        <v>916</v>
      </c>
      <c r="B476" s="147"/>
      <c r="C476" s="29">
        <v>6508521</v>
      </c>
      <c r="G476" s="29" t="s">
        <v>139</v>
      </c>
      <c r="H476" s="29" t="s">
        <v>917</v>
      </c>
      <c r="I476" s="120">
        <v>45659</v>
      </c>
      <c r="J476" s="29"/>
      <c r="P476" s="134"/>
      <c r="R476" s="29"/>
    </row>
    <row r="477" spans="1:18" hidden="1">
      <c r="A477" s="29" t="s">
        <v>916</v>
      </c>
      <c r="B477" s="29"/>
      <c r="C477" s="29">
        <v>35500215</v>
      </c>
      <c r="G477" s="29" t="s">
        <v>139</v>
      </c>
      <c r="H477" s="29" t="s">
        <v>922</v>
      </c>
      <c r="I477" s="120">
        <v>45659</v>
      </c>
      <c r="J477" s="29"/>
      <c r="P477" s="134"/>
      <c r="R477" s="29" t="s">
        <v>918</v>
      </c>
    </row>
    <row r="478" spans="1:18" hidden="1">
      <c r="A478" s="29" t="s">
        <v>916</v>
      </c>
      <c r="B478" s="29"/>
      <c r="C478" s="29">
        <v>31503960</v>
      </c>
      <c r="G478" s="29" t="s">
        <v>139</v>
      </c>
      <c r="H478" s="29" t="s">
        <v>922</v>
      </c>
      <c r="I478" s="120">
        <v>45659</v>
      </c>
      <c r="J478" s="29"/>
      <c r="P478" s="134"/>
      <c r="R478" s="29" t="s">
        <v>919</v>
      </c>
    </row>
    <row r="479" spans="1:18" hidden="1">
      <c r="A479" s="29" t="s">
        <v>916</v>
      </c>
      <c r="B479" s="29"/>
      <c r="C479" s="29">
        <v>32500495</v>
      </c>
      <c r="G479" s="29" t="s">
        <v>139</v>
      </c>
      <c r="H479" s="29" t="s">
        <v>922</v>
      </c>
      <c r="I479" s="120">
        <v>45659</v>
      </c>
      <c r="J479" s="29"/>
      <c r="P479" s="134"/>
      <c r="R479" s="29" t="s">
        <v>920</v>
      </c>
    </row>
    <row r="480" spans="1:18" hidden="1">
      <c r="A480" s="29" t="s">
        <v>916</v>
      </c>
      <c r="B480" s="29"/>
      <c r="C480" s="29">
        <v>35500151</v>
      </c>
      <c r="G480" s="29" t="s">
        <v>139</v>
      </c>
      <c r="H480" s="29" t="s">
        <v>922</v>
      </c>
      <c r="I480" s="120">
        <v>45659</v>
      </c>
      <c r="J480" s="29"/>
      <c r="P480" s="134"/>
      <c r="R480" s="29" t="s">
        <v>921</v>
      </c>
    </row>
    <row r="481" spans="1:19" hidden="1">
      <c r="A481" s="147" t="s">
        <v>923</v>
      </c>
      <c r="B481" s="147"/>
      <c r="C481" s="29">
        <v>16507757</v>
      </c>
      <c r="G481" s="29" t="s">
        <v>139</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139</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139</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139</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139</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139</v>
      </c>
      <c r="H486" s="29" t="s">
        <v>924</v>
      </c>
      <c r="I486" s="120">
        <v>45673</v>
      </c>
      <c r="J486" s="29"/>
      <c r="P486" s="134"/>
    </row>
    <row r="487" spans="1:19" hidden="1">
      <c r="A487" s="147" t="s">
        <v>923</v>
      </c>
      <c r="B487" s="147"/>
      <c r="C487" s="29">
        <v>16507726</v>
      </c>
      <c r="G487" s="29" t="s">
        <v>139</v>
      </c>
      <c r="H487" s="29" t="s">
        <v>924</v>
      </c>
      <c r="I487" s="120">
        <v>45673</v>
      </c>
      <c r="J487" s="29"/>
      <c r="P487" s="134"/>
    </row>
    <row r="488" spans="1:19" hidden="1">
      <c r="A488" s="147" t="s">
        <v>923</v>
      </c>
      <c r="B488" s="147"/>
      <c r="C488" s="29">
        <v>16507786</v>
      </c>
      <c r="G488" s="29" t="s">
        <v>139</v>
      </c>
      <c r="H488" s="29" t="s">
        <v>924</v>
      </c>
      <c r="I488" s="120">
        <v>45673</v>
      </c>
      <c r="J488" s="29"/>
      <c r="P488" s="134"/>
    </row>
    <row r="489" spans="1:19" hidden="1">
      <c r="A489" s="147" t="s">
        <v>923</v>
      </c>
      <c r="B489" s="147"/>
      <c r="C489" s="29">
        <v>35500151</v>
      </c>
      <c r="G489" s="29" t="s">
        <v>139</v>
      </c>
      <c r="H489" s="29" t="s">
        <v>315</v>
      </c>
      <c r="I489" s="120">
        <v>45692</v>
      </c>
      <c r="J489" s="29"/>
      <c r="P489" s="134"/>
    </row>
    <row r="490" spans="1:19" hidden="1">
      <c r="A490" s="147" t="s">
        <v>925</v>
      </c>
      <c r="B490" s="147"/>
      <c r="C490" s="29">
        <v>21507458</v>
      </c>
      <c r="G490" s="29" t="s">
        <v>139</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139</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139</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139</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139</v>
      </c>
      <c r="H494" s="29" t="s">
        <v>78</v>
      </c>
      <c r="I494" s="120">
        <v>45672</v>
      </c>
      <c r="J494" s="29"/>
      <c r="K494" s="29"/>
      <c r="L494" s="29"/>
      <c r="M494" s="29"/>
      <c r="N494" s="29"/>
      <c r="O494" s="29"/>
      <c r="P494" s="29"/>
      <c r="Q494" s="81"/>
      <c r="R494" s="29"/>
      <c r="S494" s="123"/>
    </row>
    <row r="495" spans="1:19" hidden="1">
      <c r="A495" s="147" t="s">
        <v>925</v>
      </c>
      <c r="B495" s="147"/>
      <c r="C495" s="29">
        <v>15508117</v>
      </c>
      <c r="G495" s="29" t="s">
        <v>139</v>
      </c>
      <c r="H495" s="29" t="s">
        <v>78</v>
      </c>
      <c r="I495" s="120">
        <v>45672</v>
      </c>
      <c r="J495" s="29"/>
      <c r="K495" s="29"/>
      <c r="L495" s="29"/>
      <c r="M495" s="29"/>
      <c r="N495" s="29"/>
      <c r="O495" s="29"/>
      <c r="P495" s="29"/>
      <c r="Q495" s="81"/>
      <c r="R495" s="29"/>
      <c r="S495" s="123"/>
    </row>
    <row r="496" spans="1:19" hidden="1">
      <c r="A496" s="147" t="s">
        <v>925</v>
      </c>
      <c r="B496" s="147"/>
      <c r="C496" s="29">
        <v>15508166</v>
      </c>
      <c r="G496" s="29" t="s">
        <v>139</v>
      </c>
      <c r="H496" s="29" t="s">
        <v>78</v>
      </c>
      <c r="I496" s="120">
        <v>45672</v>
      </c>
      <c r="J496" s="29"/>
      <c r="K496" s="29"/>
      <c r="L496" s="29"/>
      <c r="M496" s="29"/>
      <c r="N496" s="29"/>
      <c r="O496" s="29"/>
      <c r="P496" s="29"/>
      <c r="Q496" s="81"/>
      <c r="R496" s="29"/>
      <c r="S496" s="123"/>
    </row>
    <row r="497" spans="1:19" hidden="1">
      <c r="A497" s="147" t="s">
        <v>925</v>
      </c>
      <c r="B497" s="147"/>
      <c r="C497" s="29">
        <v>15508197</v>
      </c>
      <c r="G497" s="29" t="s">
        <v>139</v>
      </c>
      <c r="H497" s="29" t="s">
        <v>78</v>
      </c>
      <c r="I497" s="120">
        <v>45672</v>
      </c>
      <c r="J497" s="29"/>
      <c r="K497" s="29"/>
      <c r="L497" s="29"/>
      <c r="M497" s="29"/>
      <c r="N497" s="29"/>
      <c r="O497" s="29"/>
      <c r="P497" s="29"/>
      <c r="Q497" s="81"/>
      <c r="R497" s="29"/>
      <c r="S497" s="123"/>
    </row>
    <row r="498" spans="1:19" hidden="1">
      <c r="A498" s="147" t="s">
        <v>925</v>
      </c>
      <c r="B498" s="147"/>
      <c r="C498" s="29">
        <v>15508138</v>
      </c>
      <c r="G498" s="29" t="s">
        <v>139</v>
      </c>
      <c r="H498" s="29" t="s">
        <v>78</v>
      </c>
      <c r="I498" s="120">
        <v>45672</v>
      </c>
      <c r="J498" s="29"/>
      <c r="K498" s="29"/>
      <c r="L498" s="29"/>
      <c r="M498" s="29"/>
      <c r="N498" s="29"/>
      <c r="O498" s="29"/>
      <c r="P498" s="29"/>
      <c r="Q498" s="81"/>
      <c r="R498" s="29"/>
      <c r="S498" s="123"/>
    </row>
    <row r="499" spans="1:19" hidden="1">
      <c r="A499" s="147" t="s">
        <v>925</v>
      </c>
      <c r="B499" s="147"/>
      <c r="C499" s="29">
        <v>15508079</v>
      </c>
      <c r="G499" s="29" t="s">
        <v>139</v>
      </c>
      <c r="H499" s="29" t="s">
        <v>78</v>
      </c>
      <c r="I499" s="120">
        <v>45672</v>
      </c>
      <c r="J499" s="29"/>
      <c r="P499" s="134"/>
    </row>
    <row r="500" spans="1:19" hidden="1">
      <c r="A500" s="147" t="s">
        <v>925</v>
      </c>
      <c r="B500" s="147"/>
      <c r="C500" s="29">
        <v>15508117</v>
      </c>
      <c r="G500" s="29" t="s">
        <v>139</v>
      </c>
      <c r="H500" s="29" t="s">
        <v>78</v>
      </c>
      <c r="I500" s="120">
        <v>45672</v>
      </c>
      <c r="J500" s="29"/>
      <c r="P500" s="134"/>
    </row>
    <row r="501" spans="1:19" hidden="1">
      <c r="A501" s="147" t="s">
        <v>925</v>
      </c>
      <c r="B501" s="147"/>
      <c r="C501" s="29">
        <v>15508166</v>
      </c>
      <c r="G501" s="29" t="s">
        <v>139</v>
      </c>
      <c r="H501" s="29" t="s">
        <v>78</v>
      </c>
      <c r="I501" s="120">
        <v>45672</v>
      </c>
      <c r="J501" s="29"/>
      <c r="P501" s="134"/>
    </row>
    <row r="502" spans="1:19" hidden="1">
      <c r="A502" s="147" t="s">
        <v>925</v>
      </c>
      <c r="B502" s="147"/>
      <c r="C502" s="29">
        <v>15508197</v>
      </c>
      <c r="G502" s="29" t="s">
        <v>139</v>
      </c>
      <c r="H502" s="29" t="s">
        <v>78</v>
      </c>
      <c r="I502" s="120">
        <v>45672</v>
      </c>
      <c r="J502" s="29"/>
      <c r="P502" s="134"/>
    </row>
    <row r="503" spans="1:19" hidden="1">
      <c r="A503" s="147" t="s">
        <v>925</v>
      </c>
      <c r="B503" s="147"/>
      <c r="C503" s="29">
        <v>15508138</v>
      </c>
      <c r="G503" s="29" t="s">
        <v>139</v>
      </c>
      <c r="H503" s="29" t="s">
        <v>78</v>
      </c>
      <c r="I503" s="120">
        <v>45672</v>
      </c>
      <c r="J503" s="29"/>
      <c r="P503" s="134"/>
    </row>
    <row r="504" spans="1:19" hidden="1">
      <c r="A504" s="147" t="s">
        <v>925</v>
      </c>
      <c r="B504" s="147"/>
      <c r="C504" s="29">
        <v>21507458</v>
      </c>
      <c r="G504" s="29" t="s">
        <v>139</v>
      </c>
      <c r="H504" s="29" t="s">
        <v>315</v>
      </c>
      <c r="I504" s="120">
        <v>45678</v>
      </c>
      <c r="J504" s="29"/>
      <c r="P504" s="134"/>
    </row>
    <row r="505" spans="1:19" hidden="1">
      <c r="A505" s="147" t="s">
        <v>925</v>
      </c>
      <c r="B505" s="147"/>
      <c r="C505" s="29">
        <v>21507496</v>
      </c>
      <c r="G505" s="29" t="s">
        <v>139</v>
      </c>
      <c r="H505" s="29" t="s">
        <v>315</v>
      </c>
      <c r="I505" s="120">
        <v>45678</v>
      </c>
      <c r="J505" s="29"/>
      <c r="P505" s="134"/>
    </row>
    <row r="506" spans="1:19" hidden="1">
      <c r="A506" s="147" t="s">
        <v>925</v>
      </c>
      <c r="B506" s="147"/>
      <c r="C506" s="29">
        <v>21507508</v>
      </c>
      <c r="G506" s="29" t="s">
        <v>139</v>
      </c>
      <c r="H506" s="29" t="s">
        <v>315</v>
      </c>
      <c r="I506" s="120">
        <v>45678</v>
      </c>
      <c r="J506" s="29"/>
      <c r="P506" s="134"/>
    </row>
    <row r="507" spans="1:19" hidden="1">
      <c r="A507" s="147" t="s">
        <v>925</v>
      </c>
      <c r="B507" s="147"/>
      <c r="C507" s="29">
        <v>21507522</v>
      </c>
      <c r="G507" s="29" t="s">
        <v>139</v>
      </c>
      <c r="H507" s="29" t="s">
        <v>315</v>
      </c>
      <c r="I507" s="120">
        <v>45678</v>
      </c>
      <c r="J507" s="29"/>
      <c r="P507" s="134"/>
    </row>
    <row r="508" spans="1:19" hidden="1">
      <c r="A508" s="147" t="s">
        <v>926</v>
      </c>
      <c r="B508" s="147"/>
      <c r="C508" s="29">
        <v>15508269</v>
      </c>
      <c r="G508" s="29" t="s">
        <v>139</v>
      </c>
      <c r="H508" s="29" t="s">
        <v>78</v>
      </c>
      <c r="I508" s="120">
        <v>45672</v>
      </c>
      <c r="J508" s="29"/>
      <c r="P508" s="134"/>
    </row>
    <row r="509" spans="1:19" hidden="1">
      <c r="A509" s="147" t="s">
        <v>926</v>
      </c>
      <c r="B509" s="147"/>
      <c r="C509" s="29">
        <v>15508306</v>
      </c>
      <c r="G509" s="29" t="s">
        <v>139</v>
      </c>
      <c r="H509" s="29" t="s">
        <v>78</v>
      </c>
      <c r="I509" s="120">
        <v>45672</v>
      </c>
      <c r="J509" s="29"/>
      <c r="P509" s="134"/>
    </row>
    <row r="510" spans="1:19" hidden="1">
      <c r="A510" s="147" t="s">
        <v>926</v>
      </c>
      <c r="B510" s="147"/>
      <c r="C510" s="29">
        <v>15508345</v>
      </c>
      <c r="G510" s="29" t="s">
        <v>139</v>
      </c>
      <c r="H510" s="29" t="s">
        <v>78</v>
      </c>
      <c r="I510" s="120">
        <v>45672</v>
      </c>
      <c r="J510" s="29"/>
      <c r="P510" s="134"/>
    </row>
    <row r="511" spans="1:19" hidden="1">
      <c r="A511" s="147" t="s">
        <v>926</v>
      </c>
      <c r="B511" s="147"/>
      <c r="C511" s="29">
        <v>15508377</v>
      </c>
      <c r="G511" s="29" t="s">
        <v>139</v>
      </c>
      <c r="H511" s="29" t="s">
        <v>78</v>
      </c>
      <c r="I511" s="120">
        <v>45672</v>
      </c>
      <c r="J511" s="29"/>
      <c r="P511" s="134"/>
    </row>
    <row r="512" spans="1:19" hidden="1">
      <c r="A512" s="147" t="s">
        <v>926</v>
      </c>
      <c r="B512" s="147"/>
      <c r="C512" s="29">
        <v>21507541</v>
      </c>
      <c r="G512" s="29" t="s">
        <v>139</v>
      </c>
      <c r="H512" s="29" t="s">
        <v>315</v>
      </c>
      <c r="I512" s="120">
        <v>45678</v>
      </c>
      <c r="J512" s="29"/>
      <c r="P512" s="134"/>
    </row>
    <row r="513" spans="1:19" hidden="1">
      <c r="A513" s="147" t="s">
        <v>926</v>
      </c>
      <c r="B513" s="147"/>
      <c r="C513" s="29">
        <v>21507542</v>
      </c>
      <c r="G513" s="29" t="s">
        <v>139</v>
      </c>
      <c r="H513" s="29" t="s">
        <v>315</v>
      </c>
      <c r="I513" s="120">
        <v>45678</v>
      </c>
      <c r="J513" s="29"/>
      <c r="P513" s="134"/>
    </row>
    <row r="514" spans="1:19" hidden="1">
      <c r="A514" s="147" t="s">
        <v>926</v>
      </c>
      <c r="B514" s="147"/>
      <c r="C514" s="29">
        <v>21507549</v>
      </c>
      <c r="G514" s="29" t="s">
        <v>139</v>
      </c>
      <c r="H514" s="29" t="s">
        <v>315</v>
      </c>
      <c r="I514" s="120">
        <v>45678</v>
      </c>
      <c r="J514" s="29"/>
      <c r="P514" s="134"/>
    </row>
    <row r="515" spans="1:19" hidden="1">
      <c r="A515" s="147" t="s">
        <v>926</v>
      </c>
      <c r="B515" s="147"/>
      <c r="C515" s="29">
        <v>21507541</v>
      </c>
      <c r="G515" s="29" t="s">
        <v>139</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139</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139</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139</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139</v>
      </c>
      <c r="H519" s="29" t="s">
        <v>78</v>
      </c>
      <c r="I519" s="120">
        <v>45672</v>
      </c>
      <c r="J519" s="29"/>
      <c r="K519" s="29"/>
      <c r="L519" s="29"/>
      <c r="M519" s="29"/>
      <c r="N519" s="29"/>
      <c r="O519" s="29"/>
      <c r="P519" s="29"/>
      <c r="Q519" s="81"/>
      <c r="R519" s="29"/>
      <c r="S519" s="123"/>
    </row>
    <row r="520" spans="1:19" hidden="1">
      <c r="A520" s="147" t="s">
        <v>926</v>
      </c>
      <c r="B520" s="147"/>
      <c r="C520" s="29">
        <v>15508306</v>
      </c>
      <c r="G520" s="29" t="s">
        <v>139</v>
      </c>
      <c r="H520" s="29" t="s">
        <v>78</v>
      </c>
      <c r="I520" s="120">
        <v>45672</v>
      </c>
      <c r="J520" s="29"/>
      <c r="K520" s="29"/>
      <c r="L520" s="29"/>
      <c r="M520" s="29"/>
      <c r="N520" s="29"/>
      <c r="O520" s="29"/>
      <c r="P520" s="29"/>
      <c r="Q520" s="81"/>
      <c r="R520" s="29"/>
      <c r="S520" s="123"/>
    </row>
    <row r="521" spans="1:19" hidden="1">
      <c r="A521" s="147" t="s">
        <v>926</v>
      </c>
      <c r="B521" s="147"/>
      <c r="C521" s="29">
        <v>15508345</v>
      </c>
      <c r="G521" s="29" t="s">
        <v>139</v>
      </c>
      <c r="H521" s="29" t="s">
        <v>78</v>
      </c>
      <c r="I521" s="120">
        <v>45672</v>
      </c>
      <c r="J521" s="29"/>
      <c r="K521" s="29"/>
      <c r="L521" s="29"/>
      <c r="M521" s="29"/>
      <c r="N521" s="29"/>
      <c r="O521" s="29"/>
      <c r="P521" s="29"/>
      <c r="Q521" s="81"/>
      <c r="R521" s="29"/>
      <c r="S521" s="123"/>
    </row>
    <row r="522" spans="1:19" hidden="1">
      <c r="A522" s="147" t="s">
        <v>926</v>
      </c>
      <c r="B522" s="147"/>
      <c r="C522" s="29">
        <v>15508377</v>
      </c>
      <c r="G522" s="29" t="s">
        <v>139</v>
      </c>
      <c r="H522" s="29" t="s">
        <v>78</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139</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139</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139</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139</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139</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139</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139</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139</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139</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139</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139</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139</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139</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139</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139</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139</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139</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139</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139</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162</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139</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139</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139</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139</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139</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139</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162</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162</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162</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162</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162</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162</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162</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162</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162</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162</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162</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162</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162</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162</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162</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162</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162</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162</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162</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162</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162</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162</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162</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139</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139</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139</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139</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139</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139</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139</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139</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139</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139</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139</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139</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139</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139</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139</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139</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139</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139</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139</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139</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139</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139</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139</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139</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139</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139</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139</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139</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139</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139</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139</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139</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139</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139</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139</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139</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139</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139</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139</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139</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139</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139</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139</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139</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139</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139</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139</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139</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139</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139</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139</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139</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139</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938</v>
      </c>
      <c r="B1045" s="147"/>
      <c r="C1045" s="121">
        <v>56503360</v>
      </c>
      <c r="D1045" s="121"/>
      <c r="F1045" s="121"/>
      <c r="G1045" s="29" t="s">
        <v>139</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139</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139</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139</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139</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139</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162</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162</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162</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162</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162</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162</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162</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162</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162</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162</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162</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162</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162</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162</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162</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162</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162</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162</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162</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162</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162</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162</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162</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162</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139</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139</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139</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139</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139</v>
      </c>
      <c r="H1100" s="29" t="s">
        <v>78</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139</v>
      </c>
      <c r="H1104" s="29" t="s">
        <v>78</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139</v>
      </c>
      <c r="H1105" s="29" t="s">
        <v>78</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116</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116</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116</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116</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116</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171</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171</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171</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171</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171</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171</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171</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171</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171</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171</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129</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129</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129</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129</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129</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129</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78</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78</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78</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78</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78</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78</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78</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78</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78</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78</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78</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78</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78</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78</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78</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78</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78</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78</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78</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78</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78</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78</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78</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1050</v>
      </c>
    </row>
    <row r="1338" spans="1:18" hidden="1">
      <c r="A1338" s="134" t="s">
        <v>1049</v>
      </c>
      <c r="C1338" s="29">
        <v>72502046</v>
      </c>
      <c r="D1338" s="29"/>
      <c r="F1338" s="29" t="s">
        <v>77</v>
      </c>
      <c r="G1338" s="29" t="s">
        <v>139</v>
      </c>
      <c r="H1338" s="29" t="s">
        <v>78</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171</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160</v>
      </c>
      <c r="G1364" s="29" t="s">
        <v>823</v>
      </c>
      <c r="H1364" s="29" t="s">
        <v>1054</v>
      </c>
      <c r="I1364" s="42">
        <v>45728</v>
      </c>
      <c r="J1364" s="120">
        <f>WORKDAY(I1364, 3)</f>
        <v>45733</v>
      </c>
      <c r="K1364" s="120">
        <v>45733</v>
      </c>
      <c r="L1364" s="120"/>
      <c r="M1364" s="120"/>
      <c r="N1364" s="120">
        <v>45738</v>
      </c>
      <c r="O1364" s="119" t="s">
        <v>171</v>
      </c>
      <c r="P1364" s="134"/>
    </row>
    <row r="1365" spans="1:17" hidden="1">
      <c r="A1365" s="134" t="s">
        <v>1053</v>
      </c>
      <c r="C1365" s="29">
        <v>71509608</v>
      </c>
      <c r="D1365" s="29"/>
      <c r="F1365" s="29" t="s">
        <v>160</v>
      </c>
      <c r="G1365" s="29" t="s">
        <v>823</v>
      </c>
      <c r="H1365" s="29" t="s">
        <v>1054</v>
      </c>
      <c r="I1365" s="42">
        <v>45728</v>
      </c>
      <c r="J1365" s="120">
        <f>WORKDAY(I1365, 3)</f>
        <v>45733</v>
      </c>
      <c r="K1365" s="120">
        <v>45733</v>
      </c>
      <c r="L1365" s="120"/>
      <c r="M1365" s="120"/>
      <c r="N1365" s="120">
        <v>45738</v>
      </c>
      <c r="O1365" s="119" t="s">
        <v>171</v>
      </c>
      <c r="P1365" s="29"/>
      <c r="Q1365" s="81"/>
    </row>
    <row r="1366" spans="1:17" hidden="1">
      <c r="A1366" s="134" t="s">
        <v>1053</v>
      </c>
      <c r="C1366" s="29">
        <v>71509579</v>
      </c>
      <c r="D1366" s="29"/>
      <c r="F1366" s="29" t="s">
        <v>160</v>
      </c>
      <c r="G1366" s="29" t="s">
        <v>823</v>
      </c>
      <c r="H1366" s="29" t="s">
        <v>1054</v>
      </c>
      <c r="I1366" s="42">
        <v>45728</v>
      </c>
      <c r="J1366" s="120">
        <f>WORKDAY(I1366, 3)</f>
        <v>45733</v>
      </c>
      <c r="K1366" s="120">
        <v>45733</v>
      </c>
      <c r="L1366" s="120"/>
      <c r="M1366" s="120"/>
      <c r="N1366" s="120">
        <v>45738</v>
      </c>
      <c r="O1366" s="119" t="s">
        <v>171</v>
      </c>
      <c r="P1366" s="29"/>
      <c r="Q1366" s="81"/>
    </row>
    <row r="1367" spans="1:17" hidden="1">
      <c r="A1367" s="134" t="s">
        <v>1053</v>
      </c>
      <c r="C1367" s="29">
        <v>71509631</v>
      </c>
      <c r="D1367" s="29"/>
      <c r="F1367" s="29" t="s">
        <v>160</v>
      </c>
      <c r="G1367" s="29" t="s">
        <v>823</v>
      </c>
      <c r="H1367" s="29" t="s">
        <v>1054</v>
      </c>
      <c r="I1367" s="42">
        <v>45728</v>
      </c>
      <c r="J1367" s="120">
        <f>WORKDAY(I1367, 3)</f>
        <v>45733</v>
      </c>
      <c r="K1367" s="120">
        <v>45733</v>
      </c>
      <c r="L1367" s="120"/>
      <c r="M1367" s="120"/>
      <c r="N1367" s="120">
        <v>45738</v>
      </c>
      <c r="O1367" s="119" t="s">
        <v>171</v>
      </c>
      <c r="P1367" s="29"/>
      <c r="Q1367" s="81"/>
    </row>
    <row r="1368" spans="1:17" hidden="1">
      <c r="A1368" s="134" t="s">
        <v>1053</v>
      </c>
      <c r="C1368" s="29">
        <v>71509628</v>
      </c>
      <c r="D1368" s="29"/>
      <c r="F1368" s="29" t="s">
        <v>160</v>
      </c>
      <c r="G1368" s="29" t="s">
        <v>823</v>
      </c>
      <c r="H1368" s="29" t="s">
        <v>1054</v>
      </c>
      <c r="I1368" s="42">
        <v>45728</v>
      </c>
      <c r="J1368" s="120">
        <f>WORKDAY(I1368, 3)</f>
        <v>45733</v>
      </c>
      <c r="K1368" s="120">
        <v>45733</v>
      </c>
      <c r="L1368" s="120"/>
      <c r="M1368" s="120"/>
      <c r="N1368" s="120">
        <v>45738</v>
      </c>
      <c r="O1368" s="119" t="s">
        <v>171</v>
      </c>
      <c r="P1368" s="29"/>
      <c r="Q1368" s="81"/>
    </row>
    <row r="1369" spans="1:17" hidden="1">
      <c r="A1369" s="134" t="s">
        <v>1053</v>
      </c>
      <c r="C1369" s="29">
        <v>71509598</v>
      </c>
      <c r="D1369" s="29"/>
      <c r="F1369" s="29" t="s">
        <v>160</v>
      </c>
      <c r="G1369" s="29" t="s">
        <v>823</v>
      </c>
      <c r="H1369" s="29" t="s">
        <v>1054</v>
      </c>
      <c r="I1369" s="42">
        <v>45728</v>
      </c>
      <c r="J1369" s="120">
        <f>WORKDAY(I1369, 3)</f>
        <v>45733</v>
      </c>
      <c r="K1369" s="120">
        <v>45733</v>
      </c>
      <c r="L1369" s="120"/>
      <c r="M1369" s="120"/>
      <c r="N1369" s="120">
        <v>45738</v>
      </c>
      <c r="O1369" s="119" t="s">
        <v>171</v>
      </c>
      <c r="P1369" s="29"/>
      <c r="Q1369" s="81"/>
    </row>
    <row r="1370" spans="1:17" hidden="1">
      <c r="A1370" s="134" t="s">
        <v>1053</v>
      </c>
      <c r="C1370" s="29">
        <v>71509498</v>
      </c>
      <c r="D1370" s="29"/>
      <c r="F1370" s="29" t="s">
        <v>160</v>
      </c>
      <c r="G1370" s="29" t="s">
        <v>823</v>
      </c>
      <c r="H1370" s="29" t="s">
        <v>1054</v>
      </c>
      <c r="I1370" s="42">
        <v>45728</v>
      </c>
      <c r="J1370" s="120">
        <f>WORKDAY(I1370, 3)</f>
        <v>45733</v>
      </c>
      <c r="K1370" s="120">
        <v>45733</v>
      </c>
      <c r="L1370" s="120"/>
      <c r="M1370" s="120"/>
      <c r="N1370" s="120">
        <v>45738</v>
      </c>
      <c r="O1370" s="119" t="s">
        <v>171</v>
      </c>
      <c r="P1370" s="29"/>
      <c r="Q1370" s="81"/>
    </row>
    <row r="1371" spans="1:17" hidden="1">
      <c r="A1371" s="134" t="s">
        <v>1053</v>
      </c>
      <c r="C1371" s="29">
        <v>71509510</v>
      </c>
      <c r="D1371" s="29"/>
      <c r="F1371" s="29" t="s">
        <v>160</v>
      </c>
      <c r="G1371" s="29" t="s">
        <v>823</v>
      </c>
      <c r="H1371" s="29" t="s">
        <v>1054</v>
      </c>
      <c r="I1371" s="42">
        <v>45728</v>
      </c>
      <c r="J1371" s="120">
        <f>WORKDAY(I1371, 3)</f>
        <v>45733</v>
      </c>
      <c r="K1371" s="120">
        <v>45733</v>
      </c>
      <c r="L1371" s="120"/>
      <c r="M1371" s="120"/>
      <c r="N1371" s="120">
        <v>45738</v>
      </c>
      <c r="O1371" s="119" t="s">
        <v>171</v>
      </c>
      <c r="P1371" s="29"/>
      <c r="Q1371" s="81"/>
    </row>
    <row r="1372" spans="1:17" hidden="1">
      <c r="A1372" s="134" t="s">
        <v>1053</v>
      </c>
      <c r="C1372" s="29">
        <v>71509534</v>
      </c>
      <c r="D1372" s="29"/>
      <c r="F1372" s="29" t="s">
        <v>160</v>
      </c>
      <c r="G1372" s="29" t="s">
        <v>823</v>
      </c>
      <c r="H1372" s="29" t="s">
        <v>1054</v>
      </c>
      <c r="I1372" s="42">
        <v>45728</v>
      </c>
      <c r="J1372" s="120">
        <f>WORKDAY(I1372, 3)</f>
        <v>45733</v>
      </c>
      <c r="K1372" s="120">
        <v>45733</v>
      </c>
      <c r="L1372" s="120"/>
      <c r="M1372" s="120"/>
      <c r="N1372" s="120">
        <v>45738</v>
      </c>
      <c r="O1372" s="119" t="s">
        <v>171</v>
      </c>
      <c r="P1372" s="29"/>
      <c r="Q1372" s="81"/>
    </row>
    <row r="1373" spans="1:17" hidden="1">
      <c r="A1373" s="134" t="s">
        <v>1053</v>
      </c>
      <c r="C1373" s="29">
        <v>71509573</v>
      </c>
      <c r="D1373" s="29"/>
      <c r="F1373" s="29" t="s">
        <v>160</v>
      </c>
      <c r="G1373" s="29" t="s">
        <v>823</v>
      </c>
      <c r="H1373" s="29" t="s">
        <v>1054</v>
      </c>
      <c r="I1373" s="42">
        <v>45728</v>
      </c>
      <c r="J1373" s="120">
        <f>WORKDAY(I1373, 3)</f>
        <v>45733</v>
      </c>
      <c r="K1373" s="120">
        <v>45733</v>
      </c>
      <c r="L1373" s="120"/>
      <c r="M1373" s="120"/>
      <c r="N1373" s="120">
        <v>45740</v>
      </c>
      <c r="O1373" s="119" t="s">
        <v>171</v>
      </c>
      <c r="P1373" s="29"/>
      <c r="Q1373" s="81"/>
    </row>
    <row r="1374" spans="1:17" hidden="1">
      <c r="A1374" s="134" t="s">
        <v>1053</v>
      </c>
      <c r="C1374" s="29">
        <v>71509553</v>
      </c>
      <c r="D1374" s="29"/>
      <c r="F1374" s="29" t="s">
        <v>160</v>
      </c>
      <c r="G1374" s="29" t="s">
        <v>823</v>
      </c>
      <c r="H1374" s="29" t="s">
        <v>1054</v>
      </c>
      <c r="I1374" s="42">
        <v>45728</v>
      </c>
      <c r="J1374" s="120">
        <f>WORKDAY(I1374, 3)</f>
        <v>45733</v>
      </c>
      <c r="K1374" s="120">
        <v>45733</v>
      </c>
      <c r="L1374" s="120"/>
      <c r="M1374" s="120"/>
      <c r="N1374" s="120">
        <v>45740</v>
      </c>
      <c r="O1374" s="119" t="s">
        <v>171</v>
      </c>
      <c r="P1374" s="29"/>
      <c r="Q1374" s="81"/>
    </row>
    <row r="1375" spans="1:17" hidden="1">
      <c r="A1375" s="134" t="s">
        <v>1053</v>
      </c>
      <c r="C1375" s="29">
        <v>71509566</v>
      </c>
      <c r="D1375" s="29"/>
      <c r="F1375" s="29" t="s">
        <v>160</v>
      </c>
      <c r="G1375" s="29" t="s">
        <v>823</v>
      </c>
      <c r="H1375" s="29" t="s">
        <v>1054</v>
      </c>
      <c r="I1375" s="42">
        <v>45728</v>
      </c>
      <c r="J1375" s="120">
        <f>WORKDAY(I1375, 3)</f>
        <v>45733</v>
      </c>
      <c r="K1375" s="120">
        <v>45733</v>
      </c>
      <c r="L1375" s="120"/>
      <c r="M1375" s="120"/>
      <c r="N1375" s="120">
        <v>45738</v>
      </c>
      <c r="O1375" s="119" t="s">
        <v>171</v>
      </c>
      <c r="P1375" s="29"/>
      <c r="Q1375" s="81"/>
    </row>
    <row r="1376" spans="1:17" hidden="1">
      <c r="A1376" s="134" t="s">
        <v>1053</v>
      </c>
      <c r="C1376" s="29">
        <v>71509620</v>
      </c>
      <c r="D1376" s="29"/>
      <c r="F1376" s="29" t="s">
        <v>160</v>
      </c>
      <c r="G1376" s="29" t="s">
        <v>823</v>
      </c>
      <c r="H1376" s="29" t="s">
        <v>1054</v>
      </c>
      <c r="I1376" s="42">
        <v>45728</v>
      </c>
      <c r="J1376" s="120">
        <f>WORKDAY(I1376, 3)</f>
        <v>45733</v>
      </c>
      <c r="K1376" s="120">
        <v>45733</v>
      </c>
      <c r="L1376" s="120"/>
      <c r="M1376" s="120"/>
      <c r="N1376" s="120">
        <v>45738</v>
      </c>
      <c r="O1376" s="119" t="s">
        <v>171</v>
      </c>
      <c r="P1376" s="29"/>
      <c r="Q1376" s="81"/>
    </row>
    <row r="1377" spans="1:18" hidden="1">
      <c r="A1377" s="134" t="s">
        <v>1053</v>
      </c>
      <c r="C1377" s="29">
        <v>71509267</v>
      </c>
      <c r="D1377" s="29"/>
      <c r="F1377" s="29" t="s">
        <v>160</v>
      </c>
      <c r="G1377" s="29" t="s">
        <v>823</v>
      </c>
      <c r="H1377" s="29" t="s">
        <v>1054</v>
      </c>
      <c r="I1377" s="42">
        <v>45728</v>
      </c>
      <c r="J1377" s="120">
        <f>WORKDAY(I1377, 3)</f>
        <v>45733</v>
      </c>
      <c r="K1377" s="120">
        <v>45733</v>
      </c>
      <c r="L1377" s="120"/>
      <c r="M1377" s="120"/>
      <c r="N1377" s="120">
        <v>45740</v>
      </c>
      <c r="O1377" s="119" t="s">
        <v>171</v>
      </c>
      <c r="P1377" s="29"/>
      <c r="Q1377" s="81"/>
    </row>
    <row r="1378" spans="1:18" hidden="1">
      <c r="A1378" s="134" t="s">
        <v>1053</v>
      </c>
      <c r="C1378" s="29">
        <v>71509293</v>
      </c>
      <c r="D1378" s="29"/>
      <c r="F1378" s="29" t="s">
        <v>160</v>
      </c>
      <c r="G1378" s="29" t="s">
        <v>823</v>
      </c>
      <c r="H1378" s="29" t="s">
        <v>1054</v>
      </c>
      <c r="I1378" s="42">
        <v>45728</v>
      </c>
      <c r="J1378" s="120">
        <f>WORKDAY(I1378, 3)</f>
        <v>45733</v>
      </c>
      <c r="K1378" s="120">
        <v>45733</v>
      </c>
      <c r="L1378" s="120"/>
      <c r="M1378" s="120"/>
      <c r="N1378" s="120">
        <v>45738</v>
      </c>
      <c r="O1378" s="119" t="s">
        <v>171</v>
      </c>
      <c r="P1378" s="29"/>
      <c r="Q1378" s="81"/>
    </row>
    <row r="1379" spans="1:18" hidden="1">
      <c r="A1379" s="134" t="s">
        <v>1053</v>
      </c>
      <c r="C1379" s="29">
        <v>71509399</v>
      </c>
      <c r="D1379" s="29"/>
      <c r="F1379" s="29" t="s">
        <v>160</v>
      </c>
      <c r="G1379" s="29" t="s">
        <v>823</v>
      </c>
      <c r="H1379" s="29" t="s">
        <v>1054</v>
      </c>
      <c r="I1379" s="42">
        <v>45728</v>
      </c>
      <c r="J1379" s="120">
        <f>WORKDAY(I1379, 3)</f>
        <v>45733</v>
      </c>
      <c r="K1379" s="120">
        <v>45733</v>
      </c>
      <c r="L1379" s="120"/>
      <c r="M1379" s="120"/>
      <c r="N1379" s="120">
        <v>45738</v>
      </c>
      <c r="O1379" s="119" t="s">
        <v>171</v>
      </c>
      <c r="P1379" s="29"/>
      <c r="Q1379" s="81"/>
    </row>
    <row r="1380" spans="1:18" hidden="1">
      <c r="A1380" s="134" t="s">
        <v>1053</v>
      </c>
      <c r="C1380" s="29">
        <v>71509418</v>
      </c>
      <c r="D1380" s="29"/>
      <c r="F1380" s="29" t="s">
        <v>160</v>
      </c>
      <c r="G1380" s="29" t="s">
        <v>823</v>
      </c>
      <c r="H1380" s="29" t="s">
        <v>1054</v>
      </c>
      <c r="I1380" s="42">
        <v>45728</v>
      </c>
      <c r="J1380" s="120">
        <f>WORKDAY(I1380, 3)</f>
        <v>45733</v>
      </c>
      <c r="K1380" s="120">
        <v>45733</v>
      </c>
      <c r="L1380" s="120"/>
      <c r="M1380" s="120"/>
      <c r="N1380" s="120">
        <v>45738</v>
      </c>
      <c r="O1380" s="119" t="s">
        <v>171</v>
      </c>
      <c r="P1380" s="29"/>
      <c r="Q1380" s="81"/>
    </row>
    <row r="1381" spans="1:18" hidden="1">
      <c r="A1381" s="134" t="s">
        <v>1053</v>
      </c>
      <c r="C1381" s="29">
        <v>71509325</v>
      </c>
      <c r="D1381" s="29"/>
      <c r="F1381" s="29" t="s">
        <v>160</v>
      </c>
      <c r="G1381" s="29" t="s">
        <v>823</v>
      </c>
      <c r="H1381" s="29" t="s">
        <v>1054</v>
      </c>
      <c r="I1381" s="42">
        <v>45728</v>
      </c>
      <c r="J1381" s="120">
        <f>WORKDAY(I1381, 3)</f>
        <v>45733</v>
      </c>
      <c r="K1381" s="120">
        <v>45733</v>
      </c>
      <c r="L1381" s="120"/>
      <c r="M1381" s="120"/>
      <c r="N1381" s="120">
        <v>45737</v>
      </c>
      <c r="O1381" s="119" t="s">
        <v>171</v>
      </c>
      <c r="P1381" s="29"/>
      <c r="Q1381" s="81"/>
    </row>
    <row r="1382" spans="1:18" hidden="1">
      <c r="A1382" s="134" t="s">
        <v>1053</v>
      </c>
      <c r="C1382" s="29">
        <v>71509370</v>
      </c>
      <c r="D1382" s="29"/>
      <c r="F1382" s="29" t="s">
        <v>160</v>
      </c>
      <c r="G1382" s="29" t="s">
        <v>823</v>
      </c>
      <c r="H1382" s="29" t="s">
        <v>1054</v>
      </c>
      <c r="I1382" s="42">
        <v>45728</v>
      </c>
      <c r="J1382" s="120">
        <f>WORKDAY(I1382, 3)</f>
        <v>45733</v>
      </c>
      <c r="K1382" s="120">
        <v>45733</v>
      </c>
      <c r="L1382" s="120"/>
      <c r="M1382" s="120"/>
      <c r="N1382" s="120">
        <v>45737</v>
      </c>
      <c r="O1382" s="119" t="s">
        <v>171</v>
      </c>
      <c r="P1382" s="29"/>
      <c r="Q1382" s="81"/>
    </row>
    <row r="1383" spans="1:18" hidden="1">
      <c r="A1383" s="134" t="s">
        <v>1053</v>
      </c>
      <c r="C1383" s="29">
        <v>71509213</v>
      </c>
      <c r="D1383" s="29"/>
      <c r="F1383" s="29" t="s">
        <v>160</v>
      </c>
      <c r="G1383" s="29" t="s">
        <v>823</v>
      </c>
      <c r="H1383" s="29" t="s">
        <v>1054</v>
      </c>
      <c r="I1383" s="42">
        <v>45728</v>
      </c>
      <c r="J1383" s="120">
        <f>WORKDAY(I1383, 3)</f>
        <v>45733</v>
      </c>
      <c r="K1383" s="120">
        <v>45733</v>
      </c>
      <c r="L1383" s="120"/>
      <c r="M1383" s="120"/>
      <c r="N1383" s="120">
        <v>45738</v>
      </c>
      <c r="O1383" s="119" t="s">
        <v>171</v>
      </c>
      <c r="P1383" s="29"/>
      <c r="Q1383" s="81"/>
    </row>
    <row r="1384" spans="1:18" hidden="1">
      <c r="A1384" s="134" t="s">
        <v>1053</v>
      </c>
      <c r="C1384" s="29">
        <v>71509244</v>
      </c>
      <c r="D1384" s="29"/>
      <c r="F1384" s="29" t="s">
        <v>160</v>
      </c>
      <c r="G1384" s="29" t="s">
        <v>823</v>
      </c>
      <c r="H1384" s="29" t="s">
        <v>1054</v>
      </c>
      <c r="I1384" s="42">
        <v>45728</v>
      </c>
      <c r="J1384" s="120">
        <f>WORKDAY(I1384, 3)</f>
        <v>45733</v>
      </c>
      <c r="K1384" s="120">
        <v>45733</v>
      </c>
      <c r="L1384" s="120"/>
      <c r="M1384" s="120"/>
      <c r="N1384" s="120">
        <v>45738</v>
      </c>
      <c r="O1384" s="119" t="s">
        <v>171</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171</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171</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171</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171</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171</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171</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171</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171</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171</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171</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171</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171</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171</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171</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171</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171</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171</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171</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171</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171</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171</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171</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171</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88</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88</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88</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88</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88</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160</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160</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160</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160</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160</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160</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160</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160</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160</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160</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160</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160</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160</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160</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160</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160</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88</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88</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88</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88</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88</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88</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88</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88</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88</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88</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88</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88</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88</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88</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88</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88</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88</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88</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88</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88</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88</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88</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88</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88</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88</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88</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88</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160</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160</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160</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160</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160</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160</v>
      </c>
      <c r="G1629" s="29" t="s">
        <v>823</v>
      </c>
      <c r="H1629" s="29" t="s">
        <v>1140</v>
      </c>
      <c r="I1629" s="120">
        <v>45743</v>
      </c>
      <c r="J1629" s="120">
        <f>WORKDAY(I1629, 3)</f>
        <v>45748</v>
      </c>
      <c r="K1629" s="29" t="s">
        <v>1156</v>
      </c>
      <c r="L1629" s="29"/>
      <c r="M1629" s="29"/>
      <c r="N1629" s="120">
        <v>45752</v>
      </c>
      <c r="O1629" s="119" t="s">
        <v>171</v>
      </c>
      <c r="P1629" s="29"/>
      <c r="Q1629" s="81"/>
    </row>
    <row r="1630" spans="1:23" hidden="1">
      <c r="A1630" s="134" t="s">
        <v>1155</v>
      </c>
      <c r="C1630" s="29">
        <v>86508380</v>
      </c>
      <c r="D1630" s="29"/>
      <c r="F1630" s="29" t="s">
        <v>160</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160</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160</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160</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160</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160</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171</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171</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171</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171</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171</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171</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171</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171</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171</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171</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171</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171</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171</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88</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88</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160</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160</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160</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160</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160</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160</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160</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88</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88</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77</v>
      </c>
      <c r="G1708" s="29" t="s">
        <v>823</v>
      </c>
      <c r="H1708" s="29" t="s">
        <v>78</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77</v>
      </c>
      <c r="G1709" s="29" t="s">
        <v>823</v>
      </c>
      <c r="H1709" s="29" t="s">
        <v>78</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77</v>
      </c>
      <c r="G1710" s="29" t="s">
        <v>823</v>
      </c>
      <c r="H1710" s="29" t="s">
        <v>78</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77</v>
      </c>
      <c r="G1711" s="29" t="s">
        <v>823</v>
      </c>
      <c r="H1711" s="29" t="s">
        <v>78</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77</v>
      </c>
      <c r="G1712" s="29" t="s">
        <v>823</v>
      </c>
      <c r="H1712" s="29" t="s">
        <v>78</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77</v>
      </c>
      <c r="G1713" s="29" t="s">
        <v>823</v>
      </c>
      <c r="H1713" s="29" t="s">
        <v>78</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77</v>
      </c>
      <c r="G1714" s="29" t="s">
        <v>823</v>
      </c>
      <c r="H1714" s="29" t="s">
        <v>78</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88</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88</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88</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88</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88</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88</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88</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88</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88</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88</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88</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171</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171</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171</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171</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88</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88</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88</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88</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88</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88</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88</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88</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88</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88</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88</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88</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171</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171</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171</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171</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171</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171</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171</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171</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171</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171</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171</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171</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171</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171</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171</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171</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171</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171</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171</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171</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171</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171</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171</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171</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171</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171</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171</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171</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171</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171</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171</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171</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171</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171</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171</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171</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171</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171</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171</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171</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171</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171</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171</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171</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171</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171</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171</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171</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171</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171</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171</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171</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171</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171</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171</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171</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171</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171</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171</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171</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171</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171</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171</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171</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171</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171</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171</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171</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171</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171</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171</v>
      </c>
      <c r="P1842" s="29"/>
      <c r="Q1842" s="81">
        <v>249</v>
      </c>
      <c r="R1842" s="29" t="s">
        <v>1216</v>
      </c>
    </row>
    <row r="1843" spans="1:19" hidden="1">
      <c r="A1843" s="134" t="s">
        <v>496</v>
      </c>
      <c r="C1843" s="29">
        <v>92501215</v>
      </c>
      <c r="D1843" s="29"/>
      <c r="F1843" s="29" t="s">
        <v>88</v>
      </c>
      <c r="G1843" s="29" t="s">
        <v>823</v>
      </c>
      <c r="H1843" s="29" t="s">
        <v>38</v>
      </c>
      <c r="I1843" s="120">
        <v>45749</v>
      </c>
      <c r="J1843" s="120">
        <f>WORKDAY(I1843, 3)</f>
        <v>45754</v>
      </c>
      <c r="K1843" s="120"/>
      <c r="L1843" s="120"/>
      <c r="M1843" s="120"/>
      <c r="N1843" s="120">
        <v>45761</v>
      </c>
      <c r="O1843" s="119" t="s">
        <v>171</v>
      </c>
      <c r="P1843" s="29"/>
      <c r="Q1843" s="81">
        <v>300</v>
      </c>
      <c r="R1843" s="157" t="s">
        <v>1217</v>
      </c>
    </row>
    <row r="1844" spans="1:19" hidden="1">
      <c r="A1844" s="134" t="s">
        <v>1218</v>
      </c>
      <c r="C1844" s="29">
        <v>92501826</v>
      </c>
      <c r="D1844" s="29"/>
      <c r="F1844" s="29" t="s">
        <v>88</v>
      </c>
      <c r="G1844" s="29" t="s">
        <v>823</v>
      </c>
      <c r="H1844" s="29" t="s">
        <v>38</v>
      </c>
      <c r="I1844" s="120">
        <v>45749</v>
      </c>
      <c r="J1844" s="120">
        <f>WORKDAY(I1844, 3)</f>
        <v>45754</v>
      </c>
      <c r="K1844" s="120"/>
      <c r="L1844" s="120"/>
      <c r="M1844" s="120"/>
      <c r="N1844" s="120">
        <v>45762</v>
      </c>
      <c r="O1844" s="119" t="s">
        <v>171</v>
      </c>
      <c r="P1844" s="29"/>
      <c r="Q1844" s="81">
        <v>300</v>
      </c>
    </row>
    <row r="1845" spans="1:19" hidden="1">
      <c r="A1845" s="134" t="s">
        <v>1218</v>
      </c>
      <c r="C1845" s="29">
        <v>92502043</v>
      </c>
      <c r="D1845" s="29"/>
      <c r="F1845" s="29" t="s">
        <v>88</v>
      </c>
      <c r="G1845" s="29" t="s">
        <v>823</v>
      </c>
      <c r="H1845" s="29" t="s">
        <v>38</v>
      </c>
      <c r="I1845" s="120">
        <v>45749</v>
      </c>
      <c r="J1845" s="120">
        <f>WORKDAY(I1845, 3)</f>
        <v>45754</v>
      </c>
      <c r="K1845" s="120"/>
      <c r="L1845" s="120"/>
      <c r="M1845" s="120"/>
      <c r="N1845" s="120">
        <v>45759</v>
      </c>
      <c r="O1845" s="119" t="s">
        <v>171</v>
      </c>
      <c r="P1845" s="29"/>
      <c r="Q1845" s="81">
        <v>215</v>
      </c>
    </row>
    <row r="1846" spans="1:19" hidden="1">
      <c r="A1846" s="134" t="s">
        <v>1218</v>
      </c>
      <c r="C1846" s="29">
        <v>92502098</v>
      </c>
      <c r="D1846" s="29"/>
      <c r="F1846" s="29" t="s">
        <v>88</v>
      </c>
      <c r="G1846" s="29" t="s">
        <v>823</v>
      </c>
      <c r="H1846" s="29" t="s">
        <v>38</v>
      </c>
      <c r="I1846" s="120">
        <v>45749</v>
      </c>
      <c r="J1846" s="120">
        <f>WORKDAY(I1846, 3)</f>
        <v>45754</v>
      </c>
      <c r="K1846" s="120"/>
      <c r="L1846" s="120"/>
      <c r="M1846" s="120"/>
      <c r="N1846" s="120">
        <v>45762</v>
      </c>
      <c r="O1846" s="119" t="s">
        <v>171</v>
      </c>
      <c r="P1846" s="29"/>
      <c r="Q1846" s="81">
        <v>200</v>
      </c>
    </row>
    <row r="1847" spans="1:19" hidden="1">
      <c r="A1847" s="134" t="s">
        <v>1218</v>
      </c>
      <c r="C1847" s="29">
        <v>92502178</v>
      </c>
      <c r="D1847" s="29"/>
      <c r="F1847" s="29" t="s">
        <v>88</v>
      </c>
      <c r="G1847" s="29" t="s">
        <v>823</v>
      </c>
      <c r="H1847" s="29" t="s">
        <v>38</v>
      </c>
      <c r="I1847" s="120">
        <v>45749</v>
      </c>
      <c r="J1847" s="120">
        <f>WORKDAY(I1847, 3)</f>
        <v>45754</v>
      </c>
      <c r="K1847" s="120"/>
      <c r="L1847" s="120"/>
      <c r="M1847" s="120"/>
      <c r="N1847" s="120">
        <v>45762</v>
      </c>
      <c r="O1847" s="119" t="s">
        <v>171</v>
      </c>
      <c r="P1847" s="29"/>
      <c r="Q1847" s="81">
        <v>260</v>
      </c>
    </row>
    <row r="1848" spans="1:19" hidden="1">
      <c r="A1848" s="134" t="s">
        <v>1218</v>
      </c>
      <c r="C1848" s="29">
        <v>92502299</v>
      </c>
      <c r="D1848" s="29"/>
      <c r="F1848" s="29" t="s">
        <v>88</v>
      </c>
      <c r="G1848" s="29" t="s">
        <v>823</v>
      </c>
      <c r="H1848" s="29" t="s">
        <v>38</v>
      </c>
      <c r="I1848" s="120">
        <v>45749</v>
      </c>
      <c r="J1848" s="120">
        <f>WORKDAY(I1848, 3)</f>
        <v>45754</v>
      </c>
      <c r="K1848" s="120"/>
      <c r="L1848" s="120"/>
      <c r="M1848" s="120"/>
      <c r="N1848" s="120">
        <v>45762</v>
      </c>
      <c r="O1848" s="119" t="s">
        <v>171</v>
      </c>
      <c r="P1848" s="29"/>
      <c r="Q1848" s="81">
        <v>130</v>
      </c>
    </row>
    <row r="1849" spans="1:19" hidden="1">
      <c r="A1849" s="134" t="s">
        <v>1218</v>
      </c>
      <c r="C1849" s="29">
        <v>92502551</v>
      </c>
      <c r="D1849" s="29"/>
      <c r="F1849" s="29" t="s">
        <v>88</v>
      </c>
      <c r="G1849" s="29" t="s">
        <v>823</v>
      </c>
      <c r="H1849" s="29" t="s">
        <v>38</v>
      </c>
      <c r="I1849" s="120">
        <v>45749</v>
      </c>
      <c r="J1849" s="120">
        <f>WORKDAY(I1849, 3)</f>
        <v>45754</v>
      </c>
      <c r="K1849" s="120"/>
      <c r="L1849" s="120"/>
      <c r="M1849" s="120"/>
      <c r="N1849" s="120">
        <v>45762</v>
      </c>
      <c r="O1849" s="119" t="s">
        <v>171</v>
      </c>
      <c r="P1849" s="29"/>
      <c r="Q1849" s="81">
        <v>775</v>
      </c>
    </row>
    <row r="1850" spans="1:19" hidden="1">
      <c r="A1850" s="134" t="s">
        <v>1218</v>
      </c>
      <c r="C1850" s="29">
        <v>92502638</v>
      </c>
      <c r="D1850" s="29"/>
      <c r="F1850" s="29" t="s">
        <v>88</v>
      </c>
      <c r="G1850" s="29" t="s">
        <v>823</v>
      </c>
      <c r="H1850" s="29" t="s">
        <v>38</v>
      </c>
      <c r="I1850" s="120">
        <v>45749</v>
      </c>
      <c r="J1850" s="120">
        <f>WORKDAY(I1850, 3)</f>
        <v>45754</v>
      </c>
      <c r="K1850" s="120"/>
      <c r="L1850" s="120"/>
      <c r="M1850" s="120"/>
      <c r="N1850" s="120">
        <v>45762</v>
      </c>
      <c r="O1850" s="119" t="s">
        <v>171</v>
      </c>
      <c r="P1850" s="29"/>
      <c r="Q1850" s="81">
        <v>175</v>
      </c>
    </row>
    <row r="1851" spans="1:19" hidden="1">
      <c r="A1851" s="134" t="s">
        <v>1218</v>
      </c>
      <c r="C1851" s="29">
        <v>92502659</v>
      </c>
      <c r="D1851" s="29"/>
      <c r="F1851" s="29" t="s">
        <v>88</v>
      </c>
      <c r="G1851" s="29" t="s">
        <v>823</v>
      </c>
      <c r="H1851" s="29" t="s">
        <v>38</v>
      </c>
      <c r="I1851" s="120">
        <v>45749</v>
      </c>
      <c r="J1851" s="120">
        <f>WORKDAY(I1851, 3)</f>
        <v>45754</v>
      </c>
      <c r="K1851" s="120"/>
      <c r="L1851" s="120"/>
      <c r="M1851" s="120"/>
      <c r="N1851" s="120">
        <v>45762</v>
      </c>
      <c r="O1851" s="119" t="s">
        <v>171</v>
      </c>
      <c r="P1851" s="29"/>
      <c r="Q1851" s="81">
        <v>175</v>
      </c>
    </row>
    <row r="1852" spans="1:19" hidden="1">
      <c r="A1852" s="134" t="s">
        <v>1218</v>
      </c>
      <c r="C1852" s="29">
        <v>92502820</v>
      </c>
      <c r="D1852" s="29"/>
      <c r="F1852" s="29" t="s">
        <v>88</v>
      </c>
      <c r="G1852" s="29" t="s">
        <v>823</v>
      </c>
      <c r="H1852" s="29" t="s">
        <v>38</v>
      </c>
      <c r="I1852" s="120">
        <v>45749</v>
      </c>
      <c r="J1852" s="120">
        <f>WORKDAY(I1852, 3)</f>
        <v>45754</v>
      </c>
      <c r="K1852" s="120"/>
      <c r="L1852" s="120"/>
      <c r="M1852" s="120"/>
      <c r="N1852" s="120">
        <v>45762</v>
      </c>
      <c r="O1852" s="119" t="s">
        <v>171</v>
      </c>
      <c r="P1852" s="29"/>
      <c r="Q1852" s="81">
        <v>650</v>
      </c>
    </row>
    <row r="1853" spans="1:19" hidden="1">
      <c r="A1853" s="134" t="s">
        <v>1218</v>
      </c>
      <c r="C1853" s="29">
        <v>92502886</v>
      </c>
      <c r="D1853" s="29"/>
      <c r="F1853" s="29" t="s">
        <v>88</v>
      </c>
      <c r="G1853" s="29" t="s">
        <v>823</v>
      </c>
      <c r="H1853" s="29" t="s">
        <v>38</v>
      </c>
      <c r="I1853" s="120">
        <v>45749</v>
      </c>
      <c r="J1853" s="120">
        <f>WORKDAY(I1853, 3)</f>
        <v>45754</v>
      </c>
      <c r="K1853" s="120"/>
      <c r="L1853" s="120"/>
      <c r="M1853" s="120"/>
      <c r="N1853" s="120">
        <v>45762</v>
      </c>
      <c r="O1853" s="119" t="s">
        <v>171</v>
      </c>
      <c r="P1853" s="29"/>
      <c r="Q1853" s="81">
        <v>180</v>
      </c>
    </row>
    <row r="1854" spans="1:19" hidden="1">
      <c r="A1854" s="134" t="s">
        <v>1218</v>
      </c>
      <c r="C1854" s="29">
        <v>92503066</v>
      </c>
      <c r="D1854" s="29"/>
      <c r="F1854" s="29" t="s">
        <v>88</v>
      </c>
      <c r="G1854" s="29" t="s">
        <v>823</v>
      </c>
      <c r="H1854" s="29" t="s">
        <v>38</v>
      </c>
      <c r="I1854" s="120">
        <v>45749</v>
      </c>
      <c r="J1854" s="120">
        <f>WORKDAY(I1854, 3)</f>
        <v>45754</v>
      </c>
      <c r="K1854" s="120"/>
      <c r="L1854" s="120"/>
      <c r="M1854" s="120"/>
      <c r="N1854" s="120">
        <v>45758</v>
      </c>
      <c r="O1854" s="119" t="s">
        <v>171</v>
      </c>
      <c r="P1854" s="29"/>
      <c r="Q1854" s="81">
        <v>270</v>
      </c>
    </row>
    <row r="1855" spans="1:19" hidden="1">
      <c r="A1855" s="134" t="s">
        <v>1218</v>
      </c>
      <c r="C1855" s="29">
        <v>92503156</v>
      </c>
      <c r="D1855" s="29"/>
      <c r="F1855" s="29" t="s">
        <v>88</v>
      </c>
      <c r="G1855" s="29" t="s">
        <v>823</v>
      </c>
      <c r="H1855" s="29" t="s">
        <v>38</v>
      </c>
      <c r="I1855" s="120">
        <v>45749</v>
      </c>
      <c r="J1855" s="120">
        <f>WORKDAY(I1855, 3)</f>
        <v>45754</v>
      </c>
      <c r="K1855" s="120"/>
      <c r="L1855" s="120"/>
      <c r="M1855" s="120"/>
      <c r="N1855" s="120">
        <v>45758</v>
      </c>
      <c r="O1855" s="119" t="s">
        <v>171</v>
      </c>
      <c r="P1855" s="29"/>
      <c r="Q1855" s="81">
        <v>240</v>
      </c>
    </row>
    <row r="1856" spans="1:19" hidden="1">
      <c r="A1856" s="134" t="s">
        <v>1218</v>
      </c>
      <c r="C1856" s="29">
        <v>92503216</v>
      </c>
      <c r="D1856" s="29"/>
      <c r="F1856" s="29" t="s">
        <v>88</v>
      </c>
      <c r="G1856" s="29" t="s">
        <v>823</v>
      </c>
      <c r="H1856" s="29" t="s">
        <v>38</v>
      </c>
      <c r="I1856" s="120">
        <v>45749</v>
      </c>
      <c r="J1856" s="120">
        <f>WORKDAY(I1856, 3)</f>
        <v>45754</v>
      </c>
      <c r="K1856" s="120"/>
      <c r="L1856" s="120"/>
      <c r="M1856" s="120"/>
      <c r="N1856" s="120">
        <v>45754</v>
      </c>
      <c r="O1856" s="119" t="s">
        <v>171</v>
      </c>
      <c r="P1856" s="29"/>
      <c r="Q1856" s="81">
        <v>210</v>
      </c>
    </row>
    <row r="1857" spans="1:18" hidden="1">
      <c r="A1857" s="134" t="s">
        <v>1218</v>
      </c>
      <c r="C1857" s="29">
        <v>92503249</v>
      </c>
      <c r="D1857" s="29"/>
      <c r="F1857" s="29" t="s">
        <v>88</v>
      </c>
      <c r="G1857" s="29" t="s">
        <v>823</v>
      </c>
      <c r="H1857" s="29" t="s">
        <v>38</v>
      </c>
      <c r="I1857" s="120">
        <v>45749</v>
      </c>
      <c r="J1857" s="120">
        <f>WORKDAY(I1857, 3)</f>
        <v>45754</v>
      </c>
      <c r="K1857" s="120"/>
      <c r="L1857" s="120"/>
      <c r="M1857" s="120"/>
      <c r="N1857" s="120">
        <v>45758</v>
      </c>
      <c r="O1857" s="119" t="s">
        <v>171</v>
      </c>
      <c r="P1857" s="29"/>
      <c r="Q1857" s="81">
        <v>250</v>
      </c>
    </row>
    <row r="1858" spans="1:18" hidden="1">
      <c r="A1858" s="134" t="s">
        <v>1218</v>
      </c>
      <c r="C1858" s="29">
        <v>92503322</v>
      </c>
      <c r="D1858" s="29"/>
      <c r="F1858" s="29" t="s">
        <v>88</v>
      </c>
      <c r="G1858" s="29" t="s">
        <v>823</v>
      </c>
      <c r="H1858" s="29" t="s">
        <v>38</v>
      </c>
      <c r="I1858" s="120">
        <v>45749</v>
      </c>
      <c r="J1858" s="120">
        <f>WORKDAY(I1858, 3)</f>
        <v>45754</v>
      </c>
      <c r="K1858" s="120"/>
      <c r="L1858" s="120"/>
      <c r="M1858" s="120"/>
      <c r="N1858" s="120">
        <v>45758</v>
      </c>
      <c r="O1858" s="119" t="s">
        <v>171</v>
      </c>
      <c r="P1858" s="29"/>
      <c r="Q1858" s="81">
        <v>375</v>
      </c>
    </row>
    <row r="1859" spans="1:18" hidden="1">
      <c r="A1859" s="134" t="s">
        <v>1218</v>
      </c>
      <c r="C1859" s="29">
        <v>92503354</v>
      </c>
      <c r="D1859" s="29"/>
      <c r="F1859" s="29" t="s">
        <v>88</v>
      </c>
      <c r="G1859" s="29" t="s">
        <v>823</v>
      </c>
      <c r="H1859" s="29" t="s">
        <v>38</v>
      </c>
      <c r="I1859" s="120">
        <v>45749</v>
      </c>
      <c r="J1859" s="120">
        <f>WORKDAY(I1859, 3)</f>
        <v>45754</v>
      </c>
      <c r="K1859" s="120"/>
      <c r="L1859" s="120"/>
      <c r="M1859" s="120"/>
      <c r="N1859" s="120">
        <v>45758</v>
      </c>
      <c r="O1859" s="119" t="s">
        <v>171</v>
      </c>
      <c r="P1859" s="29"/>
      <c r="Q1859" s="81">
        <v>280</v>
      </c>
    </row>
    <row r="1860" spans="1:18" hidden="1">
      <c r="A1860" s="134" t="s">
        <v>1218</v>
      </c>
      <c r="C1860" s="29">
        <v>92503481</v>
      </c>
      <c r="D1860" s="29"/>
      <c r="F1860" s="29" t="s">
        <v>88</v>
      </c>
      <c r="G1860" s="29" t="s">
        <v>823</v>
      </c>
      <c r="H1860" s="29" t="s">
        <v>38</v>
      </c>
      <c r="I1860" s="120">
        <v>45749</v>
      </c>
      <c r="J1860" s="120">
        <f>WORKDAY(I1860, 3)</f>
        <v>45754</v>
      </c>
      <c r="K1860" s="120"/>
      <c r="L1860" s="120"/>
      <c r="M1860" s="120"/>
      <c r="N1860" s="120">
        <v>45758</v>
      </c>
      <c r="O1860" s="119" t="s">
        <v>171</v>
      </c>
      <c r="P1860" s="29"/>
      <c r="Q1860" s="81">
        <v>400</v>
      </c>
    </row>
    <row r="1861" spans="1:18" hidden="1">
      <c r="A1861" s="134" t="s">
        <v>1218</v>
      </c>
      <c r="C1861" s="29">
        <v>92503513</v>
      </c>
      <c r="D1861" s="29"/>
      <c r="F1861" s="29" t="s">
        <v>88</v>
      </c>
      <c r="G1861" s="29" t="s">
        <v>823</v>
      </c>
      <c r="H1861" s="29" t="s">
        <v>38</v>
      </c>
      <c r="I1861" s="120">
        <v>45749</v>
      </c>
      <c r="J1861" s="120">
        <f>WORKDAY(I1861, 3)</f>
        <v>45754</v>
      </c>
      <c r="K1861" s="120"/>
      <c r="L1861" s="120"/>
      <c r="M1861" s="120"/>
      <c r="N1861" s="120">
        <v>45758</v>
      </c>
      <c r="O1861" s="119" t="s">
        <v>171</v>
      </c>
      <c r="P1861" s="29"/>
      <c r="Q1861" s="81">
        <v>150</v>
      </c>
    </row>
    <row r="1862" spans="1:18" hidden="1">
      <c r="A1862" s="134" t="s">
        <v>1218</v>
      </c>
      <c r="C1862" s="29">
        <v>92503550</v>
      </c>
      <c r="D1862" s="29"/>
      <c r="F1862" s="29" t="s">
        <v>88</v>
      </c>
      <c r="G1862" s="29" t="s">
        <v>823</v>
      </c>
      <c r="H1862" s="29" t="s">
        <v>38</v>
      </c>
      <c r="I1862" s="120">
        <v>45749</v>
      </c>
      <c r="J1862" s="120">
        <f>WORKDAY(I1862, 3)</f>
        <v>45754</v>
      </c>
      <c r="K1862" s="120"/>
      <c r="L1862" s="120"/>
      <c r="M1862" s="120"/>
      <c r="N1862" s="120">
        <v>45758</v>
      </c>
      <c r="O1862" s="119" t="s">
        <v>171</v>
      </c>
      <c r="P1862" s="29"/>
      <c r="Q1862" s="81">
        <v>250</v>
      </c>
    </row>
    <row r="1863" spans="1:18" hidden="1">
      <c r="A1863" s="134" t="s">
        <v>1185</v>
      </c>
      <c r="C1863" s="29">
        <v>92504231</v>
      </c>
      <c r="D1863" s="29"/>
      <c r="F1863" s="29" t="s">
        <v>88</v>
      </c>
      <c r="G1863" s="29" t="s">
        <v>823</v>
      </c>
      <c r="H1863" s="29" t="s">
        <v>38</v>
      </c>
      <c r="I1863" s="120">
        <v>45749</v>
      </c>
      <c r="J1863" s="120">
        <f>WORKDAY(I1863, 3)</f>
        <v>45754</v>
      </c>
      <c r="K1863" s="120"/>
      <c r="L1863" s="120"/>
      <c r="M1863" s="120"/>
      <c r="N1863" s="120">
        <v>45758</v>
      </c>
      <c r="O1863" s="119" t="s">
        <v>171</v>
      </c>
      <c r="P1863" s="29"/>
      <c r="Q1863" s="81">
        <v>420</v>
      </c>
    </row>
    <row r="1864" spans="1:18" hidden="1">
      <c r="A1864" s="134" t="s">
        <v>1185</v>
      </c>
      <c r="C1864" s="29">
        <v>92504293</v>
      </c>
      <c r="D1864" s="29"/>
      <c r="F1864" s="29" t="s">
        <v>88</v>
      </c>
      <c r="G1864" s="29" t="s">
        <v>823</v>
      </c>
      <c r="H1864" s="29" t="s">
        <v>38</v>
      </c>
      <c r="I1864" s="120">
        <v>45749</v>
      </c>
      <c r="J1864" s="120">
        <f>WORKDAY(I1864, 3)</f>
        <v>45754</v>
      </c>
      <c r="K1864" s="120"/>
      <c r="L1864" s="120"/>
      <c r="M1864" s="120"/>
      <c r="N1864" s="120">
        <v>45764</v>
      </c>
      <c r="O1864" s="119" t="s">
        <v>171</v>
      </c>
      <c r="P1864" s="29"/>
      <c r="Q1864" s="81">
        <v>420</v>
      </c>
    </row>
    <row r="1865" spans="1:18" hidden="1">
      <c r="A1865" s="134" t="s">
        <v>1185</v>
      </c>
      <c r="C1865" s="29">
        <v>92504342</v>
      </c>
      <c r="D1865" s="29"/>
      <c r="F1865" s="29" t="s">
        <v>88</v>
      </c>
      <c r="G1865" s="29" t="s">
        <v>823</v>
      </c>
      <c r="H1865" s="29" t="s">
        <v>38</v>
      </c>
      <c r="I1865" s="120">
        <v>45749</v>
      </c>
      <c r="J1865" s="120">
        <f>WORKDAY(I1865, 3)</f>
        <v>45754</v>
      </c>
      <c r="K1865" s="120"/>
      <c r="L1865" s="120"/>
      <c r="M1865" s="120"/>
      <c r="N1865" s="120">
        <v>45764</v>
      </c>
      <c r="O1865" s="119" t="s">
        <v>171</v>
      </c>
      <c r="P1865" s="29"/>
      <c r="Q1865" s="81">
        <v>190</v>
      </c>
    </row>
    <row r="1866" spans="1:18" hidden="1">
      <c r="A1866" s="134" t="s">
        <v>1185</v>
      </c>
      <c r="C1866" s="29">
        <v>92504376</v>
      </c>
      <c r="D1866" s="29"/>
      <c r="F1866" s="29" t="s">
        <v>88</v>
      </c>
      <c r="G1866" s="29" t="s">
        <v>823</v>
      </c>
      <c r="H1866" s="29" t="s">
        <v>38</v>
      </c>
      <c r="I1866" s="120">
        <v>45749</v>
      </c>
      <c r="J1866" s="120">
        <f>WORKDAY(I1866, 3)</f>
        <v>45754</v>
      </c>
      <c r="K1866" s="120"/>
      <c r="L1866" s="120"/>
      <c r="M1866" s="120"/>
      <c r="N1866" s="120">
        <v>45762</v>
      </c>
      <c r="O1866" s="119" t="s">
        <v>171</v>
      </c>
      <c r="P1866" s="29"/>
      <c r="Q1866" s="81">
        <v>330</v>
      </c>
    </row>
    <row r="1867" spans="1:18" hidden="1">
      <c r="A1867" s="134" t="s">
        <v>1185</v>
      </c>
      <c r="C1867" s="29">
        <v>92504430</v>
      </c>
      <c r="D1867" s="29"/>
      <c r="F1867" s="29" t="s">
        <v>88</v>
      </c>
      <c r="G1867" s="29" t="s">
        <v>823</v>
      </c>
      <c r="H1867" s="29" t="s">
        <v>38</v>
      </c>
      <c r="I1867" s="120">
        <v>45749</v>
      </c>
      <c r="J1867" s="120">
        <f>WORKDAY(I1867, 3)</f>
        <v>45754</v>
      </c>
      <c r="K1867" s="120"/>
      <c r="L1867" s="120"/>
      <c r="M1867" s="120"/>
      <c r="N1867" s="120">
        <v>45764</v>
      </c>
      <c r="O1867" s="119" t="s">
        <v>171</v>
      </c>
      <c r="P1867" s="29"/>
      <c r="Q1867" s="81">
        <v>260</v>
      </c>
    </row>
    <row r="1868" spans="1:18" hidden="1">
      <c r="A1868" s="134" t="s">
        <v>1185</v>
      </c>
      <c r="C1868" s="29">
        <v>92504450</v>
      </c>
      <c r="D1868" s="29"/>
      <c r="F1868" s="29" t="s">
        <v>88</v>
      </c>
      <c r="G1868" s="29" t="s">
        <v>823</v>
      </c>
      <c r="H1868" s="29" t="s">
        <v>38</v>
      </c>
      <c r="I1868" s="120">
        <v>45749</v>
      </c>
      <c r="J1868" s="120">
        <f>WORKDAY(I1868, 3)</f>
        <v>45754</v>
      </c>
      <c r="K1868" s="120"/>
      <c r="L1868" s="120"/>
      <c r="M1868" s="120"/>
      <c r="N1868" s="120">
        <v>45764</v>
      </c>
      <c r="O1868" s="119" t="s">
        <v>171</v>
      </c>
      <c r="P1868" s="29"/>
      <c r="Q1868" s="81">
        <v>430</v>
      </c>
    </row>
    <row r="1869" spans="1:18" hidden="1">
      <c r="A1869" s="134" t="s">
        <v>1185</v>
      </c>
      <c r="C1869" s="29">
        <v>92504488</v>
      </c>
      <c r="D1869" s="29"/>
      <c r="F1869" s="29" t="s">
        <v>88</v>
      </c>
      <c r="G1869" s="29" t="s">
        <v>823</v>
      </c>
      <c r="H1869" s="29" t="s">
        <v>38</v>
      </c>
      <c r="I1869" s="120">
        <v>45749</v>
      </c>
      <c r="J1869" s="120">
        <f>WORKDAY(I1869, 3)</f>
        <v>45754</v>
      </c>
      <c r="K1869" s="120">
        <v>45762</v>
      </c>
      <c r="L1869" s="120"/>
      <c r="M1869" s="120"/>
      <c r="N1869" s="120">
        <v>45769</v>
      </c>
      <c r="O1869" s="119" t="s">
        <v>171</v>
      </c>
      <c r="P1869" s="29"/>
      <c r="Q1869" s="81">
        <v>1000</v>
      </c>
    </row>
    <row r="1870" spans="1:18" hidden="1">
      <c r="A1870" s="134" t="s">
        <v>1185</v>
      </c>
      <c r="C1870" s="29">
        <v>92504501</v>
      </c>
      <c r="D1870" s="29"/>
      <c r="F1870" s="29" t="s">
        <v>88</v>
      </c>
      <c r="G1870" s="29" t="s">
        <v>823</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171</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171</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171</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171</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171</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171</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171</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171</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171</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171</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171</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171</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171</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171</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171</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171</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171</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171</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171</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171</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171</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171</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171</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171</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171</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171</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171</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171</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171</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171</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171</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171</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171</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171</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171</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171</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171</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171</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171</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171</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171</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171</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171</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171</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171</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171</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171</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171</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171</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171</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171</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171</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171</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171</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171</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171</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171</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171</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171</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171</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171</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171</v>
      </c>
      <c r="P1935" s="120"/>
      <c r="Q1935" s="81"/>
      <c r="R1935" s="29"/>
      <c r="S1935" s="124" t="s">
        <v>1288</v>
      </c>
    </row>
    <row r="1936" spans="1:19" hidden="1">
      <c r="A1936" s="134" t="s">
        <v>1289</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1289</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1289</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1289</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171</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171</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171</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171</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171</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171</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171</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171</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171</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171</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171</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171</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171</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171</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171</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171</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171</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171</v>
      </c>
      <c r="P1957" s="120"/>
      <c r="Q1957" s="81"/>
      <c r="R1957" s="29"/>
    </row>
    <row r="1958" spans="1:19" hidden="1">
      <c r="A1958" s="134" t="s">
        <v>1058</v>
      </c>
      <c r="C1958" s="29">
        <v>105505134</v>
      </c>
      <c r="D1958" s="29"/>
      <c r="F1958" s="29" t="s">
        <v>88</v>
      </c>
      <c r="G1958" s="29" t="s">
        <v>823</v>
      </c>
      <c r="H1958" s="29" t="s">
        <v>38</v>
      </c>
      <c r="I1958" s="120">
        <v>45762</v>
      </c>
      <c r="J1958" s="120">
        <f>WORKDAY(I1958, 3)</f>
        <v>45765</v>
      </c>
      <c r="K1958" s="120"/>
      <c r="L1958" s="120"/>
      <c r="M1958" s="120"/>
      <c r="N1958" s="29"/>
      <c r="O1958" s="29" t="s">
        <v>171</v>
      </c>
      <c r="P1958" s="120"/>
      <c r="Q1958" s="81"/>
      <c r="R1958" s="29">
        <v>600</v>
      </c>
    </row>
    <row r="1959" spans="1:19" hidden="1">
      <c r="A1959" s="134" t="s">
        <v>1134</v>
      </c>
      <c r="C1959" s="29">
        <v>105505191</v>
      </c>
      <c r="D1959" s="29"/>
      <c r="F1959" s="29" t="s">
        <v>88</v>
      </c>
      <c r="G1959" s="29" t="s">
        <v>823</v>
      </c>
      <c r="H1959" s="29" t="s">
        <v>38</v>
      </c>
      <c r="I1959" s="120">
        <v>45762</v>
      </c>
      <c r="J1959" s="120">
        <f>WORKDAY(I1959, 3)</f>
        <v>45765</v>
      </c>
      <c r="K1959" s="120"/>
      <c r="L1959" s="120"/>
      <c r="M1959" s="120"/>
      <c r="N1959" s="29"/>
      <c r="O1959" s="29" t="s">
        <v>171</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171</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171</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171</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171</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171</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171</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171</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171</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171</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171</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171</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171</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171</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171</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171</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171</v>
      </c>
      <c r="P1981" s="120"/>
      <c r="Q1981" s="81"/>
      <c r="R1981" s="29">
        <v>303</v>
      </c>
    </row>
    <row r="1982" spans="1:18" hidden="1">
      <c r="A1982" s="134" t="s">
        <v>1298</v>
      </c>
      <c r="C1982" s="29">
        <v>87501989</v>
      </c>
      <c r="D1982" s="29"/>
      <c r="F1982" s="29" t="s">
        <v>77</v>
      </c>
      <c r="G1982" s="29" t="s">
        <v>823</v>
      </c>
      <c r="H1982" s="29" t="s">
        <v>78</v>
      </c>
      <c r="I1982" s="120">
        <v>45744</v>
      </c>
      <c r="J1982" s="120">
        <f>WORKDAY(I1982, 3)</f>
        <v>45749</v>
      </c>
      <c r="K1982" s="120"/>
      <c r="L1982" s="120"/>
      <c r="M1982" s="120"/>
      <c r="N1982" s="29"/>
      <c r="O1982" s="29" t="s">
        <v>171</v>
      </c>
      <c r="P1982" s="120"/>
      <c r="Q1982" s="81"/>
      <c r="R1982" s="29">
        <v>1300</v>
      </c>
    </row>
    <row r="1983" spans="1:18" hidden="1">
      <c r="A1983" s="134" t="s">
        <v>1298</v>
      </c>
      <c r="C1983" s="29">
        <v>87502260</v>
      </c>
      <c r="D1983" s="29"/>
      <c r="F1983" s="29" t="s">
        <v>77</v>
      </c>
      <c r="G1983" s="29" t="s">
        <v>823</v>
      </c>
      <c r="H1983" s="29" t="s">
        <v>78</v>
      </c>
      <c r="I1983" s="120">
        <v>45744</v>
      </c>
      <c r="J1983" s="120">
        <f>WORKDAY(I1983, 3)</f>
        <v>45749</v>
      </c>
      <c r="K1983" s="120"/>
      <c r="L1983" s="120"/>
      <c r="M1983" s="120"/>
      <c r="N1983" s="29"/>
      <c r="O1983" s="29" t="s">
        <v>171</v>
      </c>
      <c r="P1983" s="120"/>
      <c r="Q1983" s="81"/>
      <c r="R1983" s="29">
        <v>1200</v>
      </c>
    </row>
    <row r="1984" spans="1:18" hidden="1">
      <c r="A1984" s="134" t="s">
        <v>1298</v>
      </c>
      <c r="C1984" s="29">
        <v>87502378</v>
      </c>
      <c r="D1984" s="29"/>
      <c r="F1984" s="29" t="s">
        <v>77</v>
      </c>
      <c r="G1984" s="29" t="s">
        <v>823</v>
      </c>
      <c r="H1984" s="29" t="s">
        <v>78</v>
      </c>
      <c r="I1984" s="120">
        <v>45744</v>
      </c>
      <c r="J1984" s="120">
        <f>WORKDAY(I1984, 3)</f>
        <v>45749</v>
      </c>
      <c r="K1984" s="120"/>
      <c r="L1984" s="120"/>
      <c r="M1984" s="120"/>
      <c r="N1984" s="29"/>
      <c r="O1984" s="29" t="s">
        <v>171</v>
      </c>
      <c r="P1984" s="120"/>
      <c r="Q1984" s="81"/>
      <c r="R1984" s="29">
        <v>515</v>
      </c>
    </row>
    <row r="1985" spans="1:24" hidden="1">
      <c r="A1985" s="134" t="s">
        <v>1298</v>
      </c>
      <c r="C1985" s="29">
        <v>87502176</v>
      </c>
      <c r="D1985" s="29"/>
      <c r="F1985" s="29" t="s">
        <v>77</v>
      </c>
      <c r="G1985" s="29" t="s">
        <v>823</v>
      </c>
      <c r="H1985" s="29" t="s">
        <v>78</v>
      </c>
      <c r="I1985" s="120">
        <v>45744</v>
      </c>
      <c r="J1985" s="120">
        <f>WORKDAY(I1985, 3)</f>
        <v>45749</v>
      </c>
      <c r="K1985" s="120"/>
      <c r="L1985" s="120"/>
      <c r="M1985" s="120"/>
      <c r="N1985" s="29"/>
      <c r="O1985" s="29" t="s">
        <v>171</v>
      </c>
      <c r="P1985" s="120"/>
      <c r="Q1985" s="81"/>
      <c r="R1985" s="29">
        <v>1320</v>
      </c>
    </row>
    <row r="1986" spans="1:24" hidden="1">
      <c r="A1986" s="134" t="s">
        <v>1298</v>
      </c>
      <c r="C1986" s="29">
        <v>87502051</v>
      </c>
      <c r="D1986" s="29"/>
      <c r="F1986" s="29" t="s">
        <v>77</v>
      </c>
      <c r="G1986" s="29" t="s">
        <v>823</v>
      </c>
      <c r="H1986" s="29" t="s">
        <v>78</v>
      </c>
      <c r="I1986" s="120">
        <v>45744</v>
      </c>
      <c r="J1986" s="120">
        <f>WORKDAY(I1986, 3)</f>
        <v>45749</v>
      </c>
      <c r="K1986" s="120"/>
      <c r="L1986" s="120"/>
      <c r="M1986" s="120"/>
      <c r="N1986" s="29"/>
      <c r="O1986" s="29" t="s">
        <v>171</v>
      </c>
      <c r="P1986" s="120"/>
      <c r="Q1986" s="81"/>
      <c r="R1986" s="29">
        <v>1200</v>
      </c>
    </row>
    <row r="1987" spans="1:24" hidden="1">
      <c r="A1987" s="134" t="s">
        <v>1193</v>
      </c>
      <c r="C1987" s="29">
        <v>90503907</v>
      </c>
      <c r="D1987" s="29"/>
      <c r="F1987" s="29" t="s">
        <v>88</v>
      </c>
      <c r="G1987" s="29" t="s">
        <v>823</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1178</v>
      </c>
      <c r="C1988" s="29">
        <v>90501769</v>
      </c>
      <c r="D1988" s="29"/>
      <c r="F1988" s="29" t="s">
        <v>77</v>
      </c>
      <c r="G1988" s="29" t="s">
        <v>823</v>
      </c>
      <c r="H1988" s="29" t="s">
        <v>78</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88</v>
      </c>
      <c r="G1992" s="29" t="s">
        <v>823</v>
      </c>
      <c r="H1992" s="29" t="s">
        <v>38</v>
      </c>
      <c r="I1992" s="120">
        <v>45751</v>
      </c>
      <c r="J1992" s="120">
        <f>WORKDAY(I1992, 3)</f>
        <v>45756</v>
      </c>
      <c r="K1992" s="120"/>
      <c r="L1992" s="120"/>
      <c r="M1992" s="120"/>
      <c r="N1992" s="29"/>
      <c r="O1992" s="29" t="s">
        <v>171</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171</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171</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171</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171</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171</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171</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171</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171</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171</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171</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171</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171</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171</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171</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171</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171</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171</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171</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171</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171</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171</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171</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171</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171</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171</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171</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171</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171</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171</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171</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171</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171</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171</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171</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171</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171</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171</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171</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171</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171</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171</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171</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171</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171</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171</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60</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171</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171</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88</v>
      </c>
      <c r="G2061" s="29" t="s">
        <v>823</v>
      </c>
      <c r="H2061" s="29" t="s">
        <v>38</v>
      </c>
      <c r="I2061" s="120">
        <v>45763</v>
      </c>
      <c r="J2061" s="120">
        <f>WORKDAY(I2061, 3)</f>
        <v>45768</v>
      </c>
      <c r="K2061" s="120"/>
      <c r="L2061" s="120"/>
      <c r="M2061" s="120"/>
      <c r="N2061" s="29"/>
      <c r="O2061" s="29" t="s">
        <v>171</v>
      </c>
      <c r="P2061" s="120"/>
      <c r="Q2061" s="81" t="s">
        <v>1337</v>
      </c>
      <c r="R2061" s="29">
        <v>260</v>
      </c>
      <c r="S2061" s="124" t="s">
        <v>1338</v>
      </c>
    </row>
    <row r="2062" spans="1:19" ht="57.75" hidden="1">
      <c r="A2062" s="134" t="s">
        <v>289</v>
      </c>
      <c r="C2062" s="29">
        <v>93500953</v>
      </c>
      <c r="D2062" s="29"/>
      <c r="F2062" s="29" t="s">
        <v>88</v>
      </c>
      <c r="G2062" s="29" t="s">
        <v>823</v>
      </c>
      <c r="H2062" s="29" t="s">
        <v>38</v>
      </c>
      <c r="I2062" s="120">
        <v>45750</v>
      </c>
      <c r="J2062" s="120">
        <f>WORKDAY(I2062, 3)</f>
        <v>45755</v>
      </c>
      <c r="K2062" s="120"/>
      <c r="L2062" s="120"/>
      <c r="M2062" s="120"/>
      <c r="N2062" s="29"/>
      <c r="O2062" s="29" t="s">
        <v>171</v>
      </c>
      <c r="P2062" s="120"/>
      <c r="Q2062" s="138" t="s">
        <v>1339</v>
      </c>
      <c r="R2062" s="29">
        <v>210</v>
      </c>
      <c r="S2062" s="124" t="s">
        <v>1340</v>
      </c>
    </row>
    <row r="2063" spans="1:19" hidden="1">
      <c r="A2063" s="134" t="s">
        <v>289</v>
      </c>
      <c r="C2063" s="29">
        <v>98505401</v>
      </c>
      <c r="D2063" s="29"/>
      <c r="F2063" s="29" t="s">
        <v>88</v>
      </c>
      <c r="G2063" s="29" t="s">
        <v>823</v>
      </c>
      <c r="H2063" s="29" t="s">
        <v>38</v>
      </c>
      <c r="I2063" s="120">
        <v>45755</v>
      </c>
      <c r="J2063" s="120">
        <f>WORKDAY(I2063, 3)</f>
        <v>45758</v>
      </c>
      <c r="K2063" s="120"/>
      <c r="L2063" s="120"/>
      <c r="M2063" s="120"/>
      <c r="N2063" s="29"/>
      <c r="O2063" s="29" t="s">
        <v>171</v>
      </c>
      <c r="P2063" s="120"/>
      <c r="Q2063" s="81"/>
      <c r="R2063" s="29">
        <v>70</v>
      </c>
      <c r="S2063" s="124" t="s">
        <v>1341</v>
      </c>
    </row>
    <row r="2064" spans="1:19" hidden="1">
      <c r="A2064" s="134" t="s">
        <v>289</v>
      </c>
      <c r="C2064" s="29">
        <v>98505823</v>
      </c>
      <c r="D2064" s="29"/>
      <c r="F2064" s="29" t="s">
        <v>88</v>
      </c>
      <c r="G2064" s="29" t="s">
        <v>823</v>
      </c>
      <c r="H2064" s="29" t="s">
        <v>38</v>
      </c>
      <c r="I2064" s="120">
        <v>45755</v>
      </c>
      <c r="J2064" s="120">
        <f>WORKDAY(I2064, 3)</f>
        <v>45758</v>
      </c>
      <c r="K2064" s="120"/>
      <c r="L2064" s="120"/>
      <c r="M2064" s="120"/>
      <c r="N2064" s="29"/>
      <c r="O2064" s="29" t="s">
        <v>171</v>
      </c>
      <c r="P2064" s="120"/>
      <c r="Q2064" s="81"/>
      <c r="R2064" s="29">
        <v>165</v>
      </c>
    </row>
    <row r="2065" spans="1:19" hidden="1">
      <c r="A2065" s="134" t="s">
        <v>289</v>
      </c>
      <c r="C2065" s="29">
        <v>99501174</v>
      </c>
      <c r="D2065" s="29"/>
      <c r="F2065" s="29" t="s">
        <v>88</v>
      </c>
      <c r="G2065" s="29" t="s">
        <v>823</v>
      </c>
      <c r="H2065" s="29" t="s">
        <v>38</v>
      </c>
      <c r="I2065" s="120">
        <v>45756</v>
      </c>
      <c r="J2065" s="120">
        <f>WORKDAY(I2065, 3)</f>
        <v>45761</v>
      </c>
      <c r="K2065" s="120"/>
      <c r="L2065" s="120"/>
      <c r="M2065" s="120"/>
      <c r="N2065" s="29"/>
      <c r="O2065" s="29" t="s">
        <v>171</v>
      </c>
      <c r="P2065" s="120"/>
      <c r="Q2065" s="81" t="s">
        <v>1342</v>
      </c>
      <c r="R2065" s="29">
        <v>320</v>
      </c>
      <c r="S2065" s="159" t="s">
        <v>1343</v>
      </c>
    </row>
    <row r="2066" spans="1:19" hidden="1">
      <c r="A2066" s="134" t="s">
        <v>289</v>
      </c>
      <c r="C2066" s="29">
        <v>101502482</v>
      </c>
      <c r="D2066" s="29"/>
      <c r="F2066" s="29" t="s">
        <v>88</v>
      </c>
      <c r="G2066" s="29" t="s">
        <v>823</v>
      </c>
      <c r="H2066" s="29" t="s">
        <v>38</v>
      </c>
      <c r="I2066" s="120">
        <v>45758</v>
      </c>
      <c r="J2066" s="120">
        <f>WORKDAY(I2066, 3)</f>
        <v>45763</v>
      </c>
      <c r="K2066" s="120"/>
      <c r="L2066" s="120"/>
      <c r="M2066" s="120"/>
      <c r="N2066" s="29"/>
      <c r="O2066" s="29" t="s">
        <v>171</v>
      </c>
      <c r="P2066" s="120"/>
      <c r="Q2066" s="81" t="s">
        <v>1344</v>
      </c>
      <c r="R2066" s="29">
        <v>200</v>
      </c>
      <c r="S2066" s="124" t="s">
        <v>1345</v>
      </c>
    </row>
    <row r="2067" spans="1:19" hidden="1">
      <c r="A2067" s="134" t="s">
        <v>289</v>
      </c>
      <c r="C2067" s="29">
        <v>101503453</v>
      </c>
      <c r="D2067" s="29"/>
      <c r="F2067" s="29" t="s">
        <v>88</v>
      </c>
      <c r="G2067" s="29" t="s">
        <v>823</v>
      </c>
      <c r="H2067" s="29" t="s">
        <v>38</v>
      </c>
      <c r="I2067" s="120">
        <v>45758</v>
      </c>
      <c r="J2067" s="120">
        <f>WORKDAY(I2067, 3)</f>
        <v>45763</v>
      </c>
      <c r="K2067" s="120"/>
      <c r="L2067" s="120"/>
      <c r="M2067" s="120"/>
      <c r="N2067" s="29"/>
      <c r="O2067" s="29" t="s">
        <v>171</v>
      </c>
      <c r="P2067" s="120"/>
      <c r="Q2067" s="81" t="s">
        <v>1346</v>
      </c>
      <c r="R2067" s="29">
        <v>330</v>
      </c>
      <c r="S2067" s="124" t="s">
        <v>1347</v>
      </c>
    </row>
    <row r="2068" spans="1:19" hidden="1">
      <c r="A2068" s="134" t="s">
        <v>289</v>
      </c>
      <c r="C2068" s="29">
        <v>101503999</v>
      </c>
      <c r="D2068" s="29"/>
      <c r="F2068" s="29" t="s">
        <v>88</v>
      </c>
      <c r="G2068" s="29" t="s">
        <v>823</v>
      </c>
      <c r="H2068" s="29" t="s">
        <v>38</v>
      </c>
      <c r="I2068" s="120">
        <v>45758</v>
      </c>
      <c r="J2068" s="120">
        <f>WORKDAY(I2068, 3)</f>
        <v>45763</v>
      </c>
      <c r="K2068" s="120"/>
      <c r="L2068" s="120"/>
      <c r="M2068" s="120"/>
      <c r="N2068" s="120">
        <v>45763</v>
      </c>
      <c r="O2068" s="29" t="s">
        <v>171</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171</v>
      </c>
      <c r="P2069" s="120"/>
      <c r="Q2069" s="81" t="s">
        <v>1350</v>
      </c>
      <c r="R2069" s="29">
        <v>345</v>
      </c>
      <c r="S2069" s="124" t="s">
        <v>1351</v>
      </c>
    </row>
    <row r="2070" spans="1:19" hidden="1">
      <c r="A2070" s="134" t="s">
        <v>289</v>
      </c>
      <c r="C2070" s="29">
        <v>107501877</v>
      </c>
      <c r="D2070" s="29"/>
      <c r="F2070" s="29" t="s">
        <v>88</v>
      </c>
      <c r="G2070" s="29" t="s">
        <v>823</v>
      </c>
      <c r="H2070" s="29" t="s">
        <v>38</v>
      </c>
      <c r="I2070" s="120">
        <v>45764</v>
      </c>
      <c r="J2070" s="120">
        <f>WORKDAY(I2070, 3)</f>
        <v>45769</v>
      </c>
      <c r="K2070" s="120"/>
      <c r="L2070" s="120"/>
      <c r="M2070" s="120"/>
      <c r="N2070" s="29"/>
      <c r="O2070" s="29" t="s">
        <v>171</v>
      </c>
      <c r="P2070" s="120"/>
      <c r="Q2070" s="81"/>
      <c r="R2070" s="29">
        <v>250</v>
      </c>
      <c r="S2070" s="124" t="s">
        <v>1352</v>
      </c>
    </row>
    <row r="2071" spans="1:19" hidden="1">
      <c r="A2071" s="134" t="s">
        <v>289</v>
      </c>
      <c r="C2071" s="29">
        <v>107502240</v>
      </c>
      <c r="D2071" s="29"/>
      <c r="F2071" s="29" t="s">
        <v>88</v>
      </c>
      <c r="G2071" s="29" t="s">
        <v>823</v>
      </c>
      <c r="H2071" s="29" t="s">
        <v>38</v>
      </c>
      <c r="I2071" s="120">
        <v>45764</v>
      </c>
      <c r="J2071" s="120">
        <f>WORKDAY(I2071, 3)</f>
        <v>45769</v>
      </c>
      <c r="K2071" s="120"/>
      <c r="L2071" s="120"/>
      <c r="M2071" s="120"/>
      <c r="N2071" s="29"/>
      <c r="O2071" s="29" t="s">
        <v>171</v>
      </c>
      <c r="P2071" s="120"/>
      <c r="Q2071" s="81"/>
      <c r="R2071" s="29">
        <v>100</v>
      </c>
      <c r="S2071" s="124" t="s">
        <v>1276</v>
      </c>
    </row>
    <row r="2072" spans="1:19" hidden="1">
      <c r="A2072" s="134" t="s">
        <v>289</v>
      </c>
      <c r="C2072" s="29">
        <v>111500938</v>
      </c>
      <c r="D2072" s="29"/>
      <c r="F2072" s="29" t="s">
        <v>88</v>
      </c>
      <c r="G2072" s="29" t="s">
        <v>823</v>
      </c>
      <c r="H2072" s="29" t="s">
        <v>38</v>
      </c>
      <c r="I2072" s="120">
        <v>45768</v>
      </c>
      <c r="J2072" s="120">
        <f>WORKDAY(I2072, 3)</f>
        <v>45771</v>
      </c>
      <c r="K2072" s="120"/>
      <c r="L2072" s="120"/>
      <c r="M2072" s="120"/>
      <c r="N2072" s="29"/>
      <c r="O2072" s="29" t="s">
        <v>171</v>
      </c>
      <c r="P2072" s="120"/>
      <c r="Q2072" s="81" t="s">
        <v>1353</v>
      </c>
      <c r="R2072" s="29">
        <v>160</v>
      </c>
      <c r="S2072" s="124" t="s">
        <v>1354</v>
      </c>
    </row>
    <row r="2073" spans="1:19" hidden="1">
      <c r="A2073" s="134" t="s">
        <v>289</v>
      </c>
      <c r="C2073" s="29">
        <v>111506803</v>
      </c>
      <c r="D2073" s="29"/>
      <c r="F2073" s="29" t="s">
        <v>88</v>
      </c>
      <c r="G2073" s="29" t="s">
        <v>823</v>
      </c>
      <c r="H2073" s="29" t="s">
        <v>38</v>
      </c>
      <c r="I2073" s="120">
        <v>45768</v>
      </c>
      <c r="J2073" s="120">
        <f>WORKDAY(I2073, 3)</f>
        <v>45771</v>
      </c>
      <c r="K2073" s="120"/>
      <c r="L2073" s="120"/>
      <c r="M2073" s="120"/>
      <c r="N2073" s="29"/>
      <c r="O2073" s="29" t="s">
        <v>171</v>
      </c>
      <c r="P2073" s="120"/>
      <c r="Q2073" s="81" t="s">
        <v>1348</v>
      </c>
      <c r="R2073" s="29">
        <v>200</v>
      </c>
      <c r="S2073" s="124" t="s">
        <v>1355</v>
      </c>
    </row>
    <row r="2074" spans="1:19" hidden="1">
      <c r="A2074" s="134" t="s">
        <v>289</v>
      </c>
      <c r="C2074" s="29">
        <v>111506867</v>
      </c>
      <c r="D2074" s="29"/>
      <c r="F2074" s="29" t="s">
        <v>88</v>
      </c>
      <c r="G2074" s="29" t="s">
        <v>823</v>
      </c>
      <c r="H2074" s="29" t="s">
        <v>38</v>
      </c>
      <c r="I2074" s="120">
        <v>45768</v>
      </c>
      <c r="J2074" s="120">
        <f>WORKDAY(I2074, 3)</f>
        <v>45771</v>
      </c>
      <c r="K2074" s="120"/>
      <c r="L2074" s="120"/>
      <c r="M2074" s="120"/>
      <c r="N2074" s="29"/>
      <c r="O2074" s="29" t="s">
        <v>171</v>
      </c>
      <c r="P2074" s="120"/>
      <c r="Q2074" s="81"/>
      <c r="R2074" s="29">
        <v>120</v>
      </c>
      <c r="S2074" s="124" t="s">
        <v>1356</v>
      </c>
    </row>
    <row r="2075" spans="1:19" hidden="1">
      <c r="A2075" s="134" t="s">
        <v>289</v>
      </c>
      <c r="C2075" s="29">
        <v>111506944</v>
      </c>
      <c r="D2075" s="29"/>
      <c r="F2075" s="29" t="s">
        <v>88</v>
      </c>
      <c r="G2075" s="29" t="s">
        <v>823</v>
      </c>
      <c r="H2075" s="29" t="s">
        <v>38</v>
      </c>
      <c r="I2075" s="120">
        <v>45768</v>
      </c>
      <c r="J2075" s="120">
        <f>WORKDAY(I2075, 3)</f>
        <v>45771</v>
      </c>
      <c r="K2075" s="120"/>
      <c r="L2075" s="120"/>
      <c r="M2075" s="120"/>
      <c r="N2075" s="29"/>
      <c r="O2075" s="29" t="s">
        <v>171</v>
      </c>
      <c r="P2075" s="120"/>
      <c r="Q2075" s="81"/>
      <c r="R2075" s="29">
        <v>260</v>
      </c>
      <c r="S2075" s="124" t="s">
        <v>1356</v>
      </c>
    </row>
    <row r="2076" spans="1:19" hidden="1">
      <c r="A2076" s="134" t="s">
        <v>289</v>
      </c>
      <c r="C2076" s="29">
        <v>118500711</v>
      </c>
      <c r="D2076" s="29"/>
      <c r="F2076" s="29" t="s">
        <v>88</v>
      </c>
      <c r="G2076" s="29" t="s">
        <v>823</v>
      </c>
      <c r="H2076" s="29" t="s">
        <v>38</v>
      </c>
      <c r="I2076" s="120">
        <v>45772</v>
      </c>
      <c r="J2076" s="120">
        <f>WORKDAY(I2076, 3)</f>
        <v>45777</v>
      </c>
      <c r="K2076" s="120"/>
      <c r="L2076" s="120"/>
      <c r="M2076" s="120"/>
      <c r="N2076" s="29"/>
      <c r="O2076" s="29" t="s">
        <v>171</v>
      </c>
      <c r="P2076" s="120"/>
      <c r="Q2076" s="81"/>
      <c r="R2076" s="150">
        <v>90</v>
      </c>
    </row>
    <row r="2077" spans="1:19" hidden="1">
      <c r="A2077" s="134" t="s">
        <v>289</v>
      </c>
      <c r="C2077" s="29">
        <v>118500746</v>
      </c>
      <c r="D2077" s="29"/>
      <c r="F2077" s="29" t="s">
        <v>88</v>
      </c>
      <c r="G2077" s="29" t="s">
        <v>823</v>
      </c>
      <c r="H2077" s="29" t="s">
        <v>38</v>
      </c>
      <c r="I2077" s="120">
        <v>45772</v>
      </c>
      <c r="J2077" s="120">
        <f>WORKDAY(I2077, 3)</f>
        <v>45777</v>
      </c>
      <c r="K2077" s="120"/>
      <c r="L2077" s="120"/>
      <c r="M2077" s="120"/>
      <c r="N2077" s="29"/>
      <c r="O2077" s="29" t="s">
        <v>60</v>
      </c>
      <c r="P2077" s="29"/>
      <c r="Q2077" s="81"/>
      <c r="R2077" s="150">
        <v>100</v>
      </c>
    </row>
    <row r="2078" spans="1:19" hidden="1">
      <c r="A2078" s="134" t="s">
        <v>1357</v>
      </c>
      <c r="C2078" s="29">
        <v>104503569</v>
      </c>
      <c r="D2078" s="29"/>
      <c r="F2078" s="29" t="s">
        <v>88</v>
      </c>
      <c r="G2078" s="29" t="s">
        <v>823</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1357</v>
      </c>
      <c r="C2079" s="29">
        <v>104503608</v>
      </c>
      <c r="D2079" s="29"/>
      <c r="F2079" s="29" t="s">
        <v>88</v>
      </c>
      <c r="G2079" s="29" t="s">
        <v>823</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1357</v>
      </c>
      <c r="C2080" s="29">
        <v>104503640</v>
      </c>
      <c r="D2080" s="29"/>
      <c r="F2080" s="29" t="s">
        <v>88</v>
      </c>
      <c r="G2080" s="29" t="s">
        <v>823</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1357</v>
      </c>
      <c r="C2081" s="29">
        <v>104503706</v>
      </c>
      <c r="D2081" s="29"/>
      <c r="F2081" s="29" t="s">
        <v>88</v>
      </c>
      <c r="G2081" s="29" t="s">
        <v>823</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1357</v>
      </c>
      <c r="C2082" s="29">
        <v>104503745</v>
      </c>
      <c r="D2082" s="29"/>
      <c r="F2082" s="29" t="s">
        <v>88</v>
      </c>
      <c r="G2082" s="29" t="s">
        <v>823</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1357</v>
      </c>
      <c r="C2083" s="29">
        <v>104503779</v>
      </c>
      <c r="D2083" s="29"/>
      <c r="F2083" s="29" t="s">
        <v>88</v>
      </c>
      <c r="G2083" s="29" t="s">
        <v>823</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1162</v>
      </c>
      <c r="C2084" s="29">
        <v>104503876</v>
      </c>
      <c r="D2084" s="29"/>
      <c r="F2084" s="29" t="s">
        <v>88</v>
      </c>
      <c r="G2084" s="29" t="s">
        <v>823</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1162</v>
      </c>
      <c r="C2085" s="29">
        <v>104503914</v>
      </c>
      <c r="D2085" s="29"/>
      <c r="F2085" s="29" t="s">
        <v>88</v>
      </c>
      <c r="G2085" s="29" t="s">
        <v>823</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1162</v>
      </c>
      <c r="C2086" s="29">
        <v>104503956</v>
      </c>
      <c r="D2086" s="29"/>
      <c r="F2086" s="29" t="s">
        <v>88</v>
      </c>
      <c r="G2086" s="29" t="s">
        <v>823</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1149</v>
      </c>
      <c r="C2087" s="29">
        <v>101500441</v>
      </c>
      <c r="D2087" s="29"/>
      <c r="F2087" s="29" t="s">
        <v>88</v>
      </c>
      <c r="G2087" s="29" t="s">
        <v>823</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1149</v>
      </c>
      <c r="C2088" s="29">
        <v>101500516</v>
      </c>
      <c r="D2088" s="29"/>
      <c r="F2088" s="29" t="s">
        <v>88</v>
      </c>
      <c r="G2088" s="29" t="s">
        <v>823</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1149</v>
      </c>
      <c r="C2089" s="29">
        <v>101500590</v>
      </c>
      <c r="D2089" s="29"/>
      <c r="F2089" s="29" t="s">
        <v>88</v>
      </c>
      <c r="G2089" s="29" t="s">
        <v>823</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1149</v>
      </c>
      <c r="C2090" s="29">
        <v>101500702</v>
      </c>
      <c r="D2090" s="29"/>
      <c r="F2090" s="29" t="s">
        <v>88</v>
      </c>
      <c r="G2090" s="29" t="s">
        <v>823</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1149</v>
      </c>
      <c r="C2091" s="29">
        <v>101500797</v>
      </c>
      <c r="D2091" s="29"/>
      <c r="F2091" s="29" t="s">
        <v>88</v>
      </c>
      <c r="G2091" s="29" t="s">
        <v>823</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1149</v>
      </c>
      <c r="C2092" s="29">
        <v>101500817</v>
      </c>
      <c r="D2092" s="29"/>
      <c r="F2092" s="29" t="s">
        <v>88</v>
      </c>
      <c r="G2092" s="29" t="s">
        <v>823</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1149</v>
      </c>
      <c r="C2093" s="29">
        <v>101500843</v>
      </c>
      <c r="D2093" s="29"/>
      <c r="F2093" s="29" t="s">
        <v>88</v>
      </c>
      <c r="G2093" s="29" t="s">
        <v>823</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1358</v>
      </c>
      <c r="C2094" s="29">
        <v>101500957</v>
      </c>
      <c r="D2094" s="29"/>
      <c r="F2094" s="29" t="s">
        <v>88</v>
      </c>
      <c r="G2094" s="29" t="s">
        <v>823</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1358</v>
      </c>
      <c r="C2095" s="29">
        <v>101500993</v>
      </c>
      <c r="D2095" s="29"/>
      <c r="F2095" s="29" t="s">
        <v>88</v>
      </c>
      <c r="G2095" s="29" t="s">
        <v>823</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1358</v>
      </c>
      <c r="C2096" s="29">
        <v>101501073</v>
      </c>
      <c r="D2096" s="29"/>
      <c r="F2096" s="29" t="s">
        <v>88</v>
      </c>
      <c r="G2096" s="29" t="s">
        <v>823</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1358</v>
      </c>
      <c r="C2097" s="29">
        <v>101501151</v>
      </c>
      <c r="D2097" s="29"/>
      <c r="F2097" s="29" t="s">
        <v>88</v>
      </c>
      <c r="G2097" s="29" t="s">
        <v>823</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1359</v>
      </c>
      <c r="C2098" s="29">
        <v>101501379</v>
      </c>
      <c r="D2098" s="29"/>
      <c r="F2098" s="29" t="s">
        <v>88</v>
      </c>
      <c r="G2098" s="29" t="s">
        <v>823</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1359</v>
      </c>
      <c r="C2099" s="29">
        <v>101501412</v>
      </c>
      <c r="D2099" s="29"/>
      <c r="F2099" s="29" t="s">
        <v>88</v>
      </c>
      <c r="G2099" s="29" t="s">
        <v>823</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1359</v>
      </c>
      <c r="C2100" s="29">
        <v>101501442</v>
      </c>
      <c r="D2100" s="29"/>
      <c r="F2100" s="29" t="s">
        <v>88</v>
      </c>
      <c r="G2100" s="29" t="s">
        <v>823</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1162</v>
      </c>
      <c r="C2101" s="29">
        <v>101501584</v>
      </c>
      <c r="D2101" s="29"/>
      <c r="F2101" s="29" t="s">
        <v>88</v>
      </c>
      <c r="G2101" s="29" t="s">
        <v>823</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1162</v>
      </c>
      <c r="C2102" s="29">
        <v>101501645</v>
      </c>
      <c r="D2102" s="29"/>
      <c r="F2102" s="29" t="s">
        <v>88</v>
      </c>
      <c r="G2102" s="29" t="s">
        <v>823</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1162</v>
      </c>
      <c r="C2103" s="29">
        <v>101501722</v>
      </c>
      <c r="D2103" s="29"/>
      <c r="F2103" s="29" t="s">
        <v>88</v>
      </c>
      <c r="G2103" s="29" t="s">
        <v>823</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1357</v>
      </c>
      <c r="C2104" s="29">
        <v>101502229</v>
      </c>
      <c r="D2104" s="29"/>
      <c r="F2104" s="29" t="s">
        <v>88</v>
      </c>
      <c r="G2104" s="29" t="s">
        <v>823</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1357</v>
      </c>
      <c r="C2105" s="29">
        <v>101502274</v>
      </c>
      <c r="D2105" s="29"/>
      <c r="F2105" s="29" t="s">
        <v>88</v>
      </c>
      <c r="G2105" s="29" t="s">
        <v>823</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1357</v>
      </c>
      <c r="C2106" s="29">
        <v>101502409</v>
      </c>
      <c r="D2106" s="29"/>
      <c r="F2106" s="29" t="s">
        <v>88</v>
      </c>
      <c r="G2106" s="29" t="s">
        <v>823</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1357</v>
      </c>
      <c r="C2107" s="29">
        <v>101502330</v>
      </c>
      <c r="D2107" s="29"/>
      <c r="F2107" s="29" t="s">
        <v>88</v>
      </c>
      <c r="G2107" s="29" t="s">
        <v>823</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1357</v>
      </c>
      <c r="C2108" s="29">
        <v>101502377</v>
      </c>
      <c r="D2108" s="29"/>
      <c r="F2108" s="29" t="s">
        <v>88</v>
      </c>
      <c r="G2108" s="29" t="s">
        <v>823</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1149</v>
      </c>
      <c r="C2109" s="29">
        <v>100500804</v>
      </c>
      <c r="D2109" s="29"/>
      <c r="F2109" s="29" t="s">
        <v>88</v>
      </c>
      <c r="G2109" s="29" t="s">
        <v>823</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1149</v>
      </c>
      <c r="C2110" s="29">
        <v>100501121</v>
      </c>
      <c r="D2110" s="29"/>
      <c r="F2110" s="29" t="s">
        <v>88</v>
      </c>
      <c r="G2110" s="29" t="s">
        <v>823</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1149</v>
      </c>
      <c r="C2111" s="29">
        <v>100501178</v>
      </c>
      <c r="D2111" s="29"/>
      <c r="F2111" s="29" t="s">
        <v>88</v>
      </c>
      <c r="G2111" s="29" t="s">
        <v>823</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1358</v>
      </c>
      <c r="C2112" s="29">
        <v>100501414</v>
      </c>
      <c r="D2112" s="29"/>
      <c r="F2112" s="29" t="s">
        <v>88</v>
      </c>
      <c r="G2112" s="29" t="s">
        <v>823</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1358</v>
      </c>
      <c r="C2113" s="29">
        <v>100501475</v>
      </c>
      <c r="D2113" s="29"/>
      <c r="F2113" s="29" t="s">
        <v>88</v>
      </c>
      <c r="G2113" s="29" t="s">
        <v>823</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1358</v>
      </c>
      <c r="C2114" s="29">
        <v>100501543</v>
      </c>
      <c r="D2114" s="29"/>
      <c r="F2114" s="29" t="s">
        <v>88</v>
      </c>
      <c r="G2114" s="29" t="s">
        <v>823</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1359</v>
      </c>
      <c r="C2115" s="29">
        <v>100501862</v>
      </c>
      <c r="D2115" s="29"/>
      <c r="F2115" s="29" t="s">
        <v>88</v>
      </c>
      <c r="G2115" s="29" t="s">
        <v>823</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1359</v>
      </c>
      <c r="C2116" s="29">
        <v>100502020</v>
      </c>
      <c r="D2116" s="29"/>
      <c r="F2116" s="29" t="s">
        <v>88</v>
      </c>
      <c r="G2116" s="29" t="s">
        <v>823</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1359</v>
      </c>
      <c r="C2117" s="29">
        <v>100502117</v>
      </c>
      <c r="D2117" s="29"/>
      <c r="F2117" s="29" t="s">
        <v>88</v>
      </c>
      <c r="G2117" s="29" t="s">
        <v>823</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1359</v>
      </c>
      <c r="C2118" s="29">
        <v>100502162</v>
      </c>
      <c r="D2118" s="29"/>
      <c r="F2118" s="29" t="s">
        <v>88</v>
      </c>
      <c r="G2118" s="29" t="s">
        <v>823</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1358</v>
      </c>
      <c r="C2119" s="29">
        <v>101501046</v>
      </c>
      <c r="D2119" s="29"/>
      <c r="F2119" s="29" t="s">
        <v>88</v>
      </c>
      <c r="G2119" s="29" t="s">
        <v>823</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1190</v>
      </c>
      <c r="C2120" s="29">
        <v>100502549</v>
      </c>
      <c r="D2120" s="29"/>
      <c r="F2120" s="29" t="s">
        <v>88</v>
      </c>
      <c r="G2120" s="29" t="s">
        <v>823</v>
      </c>
      <c r="H2120" s="29" t="s">
        <v>38</v>
      </c>
      <c r="I2120" s="120">
        <v>45757</v>
      </c>
      <c r="J2120" s="120">
        <f>WORKDAY(I2120, 3)</f>
        <v>45762</v>
      </c>
      <c r="K2120" s="120"/>
      <c r="L2120" s="120"/>
      <c r="M2120" s="120"/>
      <c r="N2120" s="120">
        <v>45762</v>
      </c>
      <c r="O2120" s="29" t="s">
        <v>171</v>
      </c>
      <c r="P2120" s="120"/>
      <c r="Q2120" s="81"/>
      <c r="R2120" s="29">
        <v>950</v>
      </c>
      <c r="S2120" s="124" t="s">
        <v>928</v>
      </c>
    </row>
    <row r="2121" spans="1:19" hidden="1">
      <c r="A2121" s="134" t="s">
        <v>1357</v>
      </c>
      <c r="C2121" s="29">
        <v>100502739</v>
      </c>
      <c r="D2121" s="29"/>
      <c r="F2121" s="29" t="s">
        <v>88</v>
      </c>
      <c r="G2121" s="29" t="s">
        <v>823</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1357</v>
      </c>
      <c r="C2122" s="29">
        <v>100502761</v>
      </c>
      <c r="D2122" s="29"/>
      <c r="F2122" s="29" t="s">
        <v>88</v>
      </c>
      <c r="G2122" s="29" t="s">
        <v>823</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1162</v>
      </c>
      <c r="C2123" s="29">
        <v>100502338</v>
      </c>
      <c r="D2123" s="29"/>
      <c r="F2123" s="29" t="s">
        <v>88</v>
      </c>
      <c r="G2123" s="29" t="s">
        <v>823</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1162</v>
      </c>
      <c r="C2124" s="29">
        <v>100502409</v>
      </c>
      <c r="D2124" s="29"/>
      <c r="F2124" s="29" t="s">
        <v>88</v>
      </c>
      <c r="G2124" s="29" t="s">
        <v>823</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1058</v>
      </c>
      <c r="C2125" s="29">
        <v>105505153</v>
      </c>
      <c r="D2125" s="29"/>
      <c r="F2125" s="29" t="s">
        <v>88</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88</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88</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88</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88</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88</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88</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88</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88</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88</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88</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88</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88</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88</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88</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88</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88</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88</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88</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88</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88</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88</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88</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88</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88</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88</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88</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88</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88</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88</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88</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88</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88</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88</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88</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88</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88</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88</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88</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88</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88</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88</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88</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88</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88</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88</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88</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88</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171</v>
      </c>
      <c r="P2173" s="120"/>
      <c r="Q2173" s="81"/>
      <c r="R2173" s="150">
        <v>150</v>
      </c>
    </row>
    <row r="2174" spans="1:19" hidden="1">
      <c r="A2174" s="134" t="s">
        <v>1136</v>
      </c>
      <c r="C2174" s="29">
        <v>125500256</v>
      </c>
      <c r="D2174" s="29"/>
      <c r="F2174" s="29" t="s">
        <v>88</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88</v>
      </c>
      <c r="G2175" s="29" t="s">
        <v>823</v>
      </c>
      <c r="H2175" s="29" t="s">
        <v>38</v>
      </c>
      <c r="I2175" s="120">
        <v>45765</v>
      </c>
      <c r="J2175" s="120">
        <f>WORKDAY(I2175, 3)</f>
        <v>45770</v>
      </c>
      <c r="K2175" s="120"/>
      <c r="L2175" s="120"/>
      <c r="M2175" s="120"/>
      <c r="N2175" s="29"/>
      <c r="O2175" s="29" t="s">
        <v>171</v>
      </c>
      <c r="P2175" s="120"/>
      <c r="Q2175" s="81" t="s">
        <v>1332</v>
      </c>
      <c r="R2175" s="29">
        <v>230</v>
      </c>
    </row>
    <row r="2176" spans="1:19" hidden="1">
      <c r="A2176" s="134" t="s">
        <v>1158</v>
      </c>
      <c r="C2176" s="29">
        <v>107504125</v>
      </c>
      <c r="D2176" s="29"/>
      <c r="F2176" s="29" t="s">
        <v>88</v>
      </c>
      <c r="G2176" s="29" t="s">
        <v>823</v>
      </c>
      <c r="H2176" s="29" t="s">
        <v>38</v>
      </c>
      <c r="I2176" s="120">
        <v>45764</v>
      </c>
      <c r="J2176" s="120">
        <f>WORKDAY(I2176, 3)</f>
        <v>45769</v>
      </c>
      <c r="K2176" s="120"/>
      <c r="L2176" s="120"/>
      <c r="M2176" s="120"/>
      <c r="N2176" s="29"/>
      <c r="O2176" s="29" t="s">
        <v>171</v>
      </c>
      <c r="P2176" s="120"/>
      <c r="Q2176" s="81" t="s">
        <v>1332</v>
      </c>
      <c r="R2176" s="29">
        <v>375</v>
      </c>
    </row>
    <row r="2177" spans="1:18" hidden="1">
      <c r="A2177" s="134" t="s">
        <v>1158</v>
      </c>
      <c r="C2177" s="29">
        <v>107504130</v>
      </c>
      <c r="D2177" s="29"/>
      <c r="F2177" s="29" t="s">
        <v>88</v>
      </c>
      <c r="G2177" s="29" t="s">
        <v>823</v>
      </c>
      <c r="H2177" s="29" t="s">
        <v>38</v>
      </c>
      <c r="I2177" s="120">
        <v>45764</v>
      </c>
      <c r="J2177" s="120">
        <f>WORKDAY(I2177, 3)</f>
        <v>45769</v>
      </c>
      <c r="K2177" s="120"/>
      <c r="L2177" s="120"/>
      <c r="M2177" s="120"/>
      <c r="N2177" s="29"/>
      <c r="O2177" s="29" t="s">
        <v>171</v>
      </c>
      <c r="P2177" s="120"/>
      <c r="Q2177" s="81" t="s">
        <v>1332</v>
      </c>
      <c r="R2177" s="29">
        <v>165</v>
      </c>
    </row>
    <row r="2178" spans="1:18" hidden="1">
      <c r="A2178" s="134" t="s">
        <v>1134</v>
      </c>
      <c r="C2178" s="29">
        <v>105505210</v>
      </c>
      <c r="D2178" s="29"/>
      <c r="F2178" s="29" t="s">
        <v>88</v>
      </c>
      <c r="G2178" s="29" t="s">
        <v>823</v>
      </c>
      <c r="H2178" s="29" t="s">
        <v>38</v>
      </c>
      <c r="I2178" s="120">
        <v>45762</v>
      </c>
      <c r="J2178" s="120">
        <f>WORKDAY(I2178, 3)</f>
        <v>45765</v>
      </c>
      <c r="K2178" s="120"/>
      <c r="L2178" s="120"/>
      <c r="M2178" s="120"/>
      <c r="N2178" s="29"/>
      <c r="O2178" s="29" t="s">
        <v>171</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171</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171</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171</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171</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171</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171</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171</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171</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171</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171</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171</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171</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171</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171</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171</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171</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171</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171</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171</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171</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171</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171</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171</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60</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60</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60</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60</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60</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60</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60</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60</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60</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60</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60</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60</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60</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60</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60</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60</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60</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60</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60</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60</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60</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60</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60</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60</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60</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60</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60</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60</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60</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60</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60</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60</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60</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60</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60</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60</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60</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60</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171</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171</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171</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171</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171</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171</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171</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171</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171</v>
      </c>
      <c r="P2248" s="120"/>
      <c r="Q2248" s="81"/>
      <c r="R2248" s="29"/>
      <c r="S2248" s="123"/>
    </row>
    <row r="2249" spans="1:19" hidden="1">
      <c r="A2249" s="134" t="s">
        <v>1149</v>
      </c>
      <c r="C2249" s="29">
        <v>106501312</v>
      </c>
      <c r="D2249" s="29"/>
      <c r="F2249" s="29" t="s">
        <v>88</v>
      </c>
      <c r="G2249" s="29" t="s">
        <v>823</v>
      </c>
      <c r="H2249" s="29" t="s">
        <v>38</v>
      </c>
      <c r="I2249" s="120">
        <v>45763</v>
      </c>
      <c r="J2249" s="120">
        <f>WORKDAY(I2249, 3)</f>
        <v>45768</v>
      </c>
      <c r="K2249" s="120"/>
      <c r="L2249" s="120"/>
      <c r="M2249" s="120"/>
      <c r="N2249" s="29"/>
      <c r="O2249" s="29" t="s">
        <v>171</v>
      </c>
      <c r="P2249" s="120"/>
      <c r="Q2249" s="81"/>
      <c r="R2249" s="29">
        <v>120</v>
      </c>
    </row>
    <row r="2250" spans="1:19" hidden="1">
      <c r="A2250" s="134" t="s">
        <v>1149</v>
      </c>
      <c r="C2250" s="29">
        <v>104500095</v>
      </c>
      <c r="D2250" s="29"/>
      <c r="F2250" s="29" t="s">
        <v>88</v>
      </c>
      <c r="G2250" s="29" t="s">
        <v>823</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1358</v>
      </c>
      <c r="C2251" s="29">
        <v>104500101</v>
      </c>
      <c r="D2251" s="29"/>
      <c r="F2251" s="29" t="s">
        <v>88</v>
      </c>
      <c r="G2251" s="29" t="s">
        <v>823</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1359</v>
      </c>
      <c r="C2252" s="29">
        <v>104500132</v>
      </c>
      <c r="D2252" s="29"/>
      <c r="F2252" s="29" t="s">
        <v>88</v>
      </c>
      <c r="G2252" s="29" t="s">
        <v>823</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1359</v>
      </c>
      <c r="C2253" s="29">
        <v>104500146</v>
      </c>
      <c r="D2253" s="29"/>
      <c r="F2253" s="29" t="s">
        <v>88</v>
      </c>
      <c r="G2253" s="29" t="s">
        <v>823</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1359</v>
      </c>
      <c r="C2254" s="29">
        <v>104500189</v>
      </c>
      <c r="D2254" s="29"/>
      <c r="F2254" s="29" t="s">
        <v>88</v>
      </c>
      <c r="G2254" s="29" t="s">
        <v>823</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1359</v>
      </c>
      <c r="C2255" s="29">
        <v>104500259</v>
      </c>
      <c r="D2255" s="29"/>
      <c r="F2255" s="29" t="s">
        <v>88</v>
      </c>
      <c r="G2255" s="29" t="s">
        <v>823</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1359</v>
      </c>
      <c r="C2256" s="29">
        <v>104500318</v>
      </c>
      <c r="D2256" s="29"/>
      <c r="F2256" s="29" t="s">
        <v>88</v>
      </c>
      <c r="G2256" s="29" t="s">
        <v>823</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1190</v>
      </c>
      <c r="C2257" s="29">
        <v>104501676</v>
      </c>
      <c r="D2257" s="29"/>
      <c r="F2257" s="29" t="s">
        <v>88</v>
      </c>
      <c r="G2257" s="29" t="s">
        <v>823</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432</v>
      </c>
      <c r="C2258" s="29">
        <v>104502093</v>
      </c>
      <c r="D2258" s="29"/>
      <c r="F2258" s="29" t="s">
        <v>88</v>
      </c>
      <c r="G2258" s="29" t="s">
        <v>823</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1162</v>
      </c>
      <c r="C2259" s="29">
        <v>104503075</v>
      </c>
      <c r="D2259" s="29"/>
      <c r="F2259" s="29" t="s">
        <v>88</v>
      </c>
      <c r="G2259" s="29" t="s">
        <v>823</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1162</v>
      </c>
      <c r="C2260" s="29">
        <v>104503122</v>
      </c>
      <c r="D2260" s="29"/>
      <c r="F2260" s="29" t="s">
        <v>88</v>
      </c>
      <c r="G2260" s="29" t="s">
        <v>823</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1162</v>
      </c>
      <c r="C2261" s="29">
        <v>104503156</v>
      </c>
      <c r="D2261" s="29"/>
      <c r="F2261" s="29" t="s">
        <v>88</v>
      </c>
      <c r="G2261" s="29" t="s">
        <v>823</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1162</v>
      </c>
      <c r="C2262" s="29">
        <v>104503184</v>
      </c>
      <c r="D2262" s="29"/>
      <c r="F2262" s="29" t="s">
        <v>88</v>
      </c>
      <c r="G2262" s="29" t="s">
        <v>823</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1162</v>
      </c>
      <c r="C2263" s="29">
        <v>104503230</v>
      </c>
      <c r="D2263" s="29"/>
      <c r="F2263" s="29" t="s">
        <v>88</v>
      </c>
      <c r="G2263" s="29" t="s">
        <v>823</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1162</v>
      </c>
      <c r="C2264" s="29">
        <v>104503264</v>
      </c>
      <c r="D2264" s="29"/>
      <c r="F2264" s="29" t="s">
        <v>88</v>
      </c>
      <c r="G2264" s="29" t="s">
        <v>823</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1162</v>
      </c>
      <c r="C2265" s="29">
        <v>104503296</v>
      </c>
      <c r="D2265" s="29"/>
      <c r="F2265" s="29" t="s">
        <v>88</v>
      </c>
      <c r="G2265" s="29" t="s">
        <v>823</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1162</v>
      </c>
      <c r="C2266" s="29">
        <v>104503362</v>
      </c>
      <c r="D2266" s="29"/>
      <c r="F2266" s="29" t="s">
        <v>88</v>
      </c>
      <c r="G2266" s="29" t="s">
        <v>823</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1357</v>
      </c>
      <c r="C2267" s="29">
        <v>104503533</v>
      </c>
      <c r="D2267" s="29"/>
      <c r="F2267" s="29" t="s">
        <v>88</v>
      </c>
      <c r="G2267" s="29" t="s">
        <v>823</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975</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88</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88</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88</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88</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88</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88</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88</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88</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88</v>
      </c>
      <c r="G2289" s="29" t="s">
        <v>823</v>
      </c>
      <c r="H2289" s="29" t="s">
        <v>38</v>
      </c>
      <c r="I2289" s="120">
        <v>45768</v>
      </c>
      <c r="J2289" s="120">
        <f>WORKDAY(I2289, 3)</f>
        <v>45771</v>
      </c>
      <c r="K2289" s="120">
        <v>45798</v>
      </c>
      <c r="L2289" s="120"/>
      <c r="M2289" s="120"/>
      <c r="N2289" s="29"/>
      <c r="O2289" s="29" t="s">
        <v>171</v>
      </c>
      <c r="P2289" s="120"/>
      <c r="Q2289" s="81">
        <v>420</v>
      </c>
    </row>
    <row r="2290" spans="1:18" hidden="1">
      <c r="A2290" s="134" t="s">
        <v>1155</v>
      </c>
      <c r="C2290" s="29">
        <v>111500626</v>
      </c>
      <c r="D2290" s="29"/>
      <c r="E2290" s="29"/>
      <c r="F2290" s="29" t="s">
        <v>88</v>
      </c>
      <c r="G2290" s="29" t="s">
        <v>823</v>
      </c>
      <c r="H2290" s="29" t="s">
        <v>38</v>
      </c>
      <c r="I2290" s="120">
        <v>45768</v>
      </c>
      <c r="J2290" s="120">
        <f>WORKDAY(I2290, 3)</f>
        <v>45771</v>
      </c>
      <c r="K2290" s="120">
        <v>45798</v>
      </c>
      <c r="L2290" s="120"/>
      <c r="M2290" s="120"/>
      <c r="N2290" s="29"/>
      <c r="O2290" s="29" t="s">
        <v>171</v>
      </c>
      <c r="P2290" s="120"/>
      <c r="Q2290" s="81">
        <v>160</v>
      </c>
    </row>
    <row r="2291" spans="1:18" hidden="1">
      <c r="A2291" s="134" t="s">
        <v>1155</v>
      </c>
      <c r="C2291" s="29">
        <v>111500677</v>
      </c>
      <c r="D2291" s="29"/>
      <c r="E2291" s="29"/>
      <c r="F2291" s="29" t="s">
        <v>88</v>
      </c>
      <c r="G2291" s="29" t="s">
        <v>823</v>
      </c>
      <c r="H2291" s="29" t="s">
        <v>38</v>
      </c>
      <c r="I2291" s="120">
        <v>45768</v>
      </c>
      <c r="J2291" s="120">
        <f>WORKDAY(I2291, 3)</f>
        <v>45771</v>
      </c>
      <c r="K2291" s="120">
        <v>45798</v>
      </c>
      <c r="L2291" s="120"/>
      <c r="M2291" s="120"/>
      <c r="N2291" s="29"/>
      <c r="O2291" s="29" t="s">
        <v>171</v>
      </c>
      <c r="P2291" s="120"/>
      <c r="Q2291" s="81">
        <v>80</v>
      </c>
    </row>
    <row r="2292" spans="1:18" hidden="1">
      <c r="A2292" s="134" t="s">
        <v>1139</v>
      </c>
      <c r="C2292" s="29">
        <v>111501708</v>
      </c>
      <c r="D2292" s="29">
        <v>136500095</v>
      </c>
      <c r="E2292" s="29"/>
      <c r="F2292" s="29" t="s">
        <v>88</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88</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88</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88</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88</v>
      </c>
      <c r="G2296" s="29" t="s">
        <v>823</v>
      </c>
      <c r="H2296" s="29" t="s">
        <v>38</v>
      </c>
      <c r="I2296" s="120">
        <v>45770</v>
      </c>
      <c r="J2296" s="120">
        <f>WORKDAY(I2296, 3)</f>
        <v>45775</v>
      </c>
      <c r="K2296" s="120">
        <v>45800</v>
      </c>
      <c r="L2296" s="120"/>
      <c r="M2296" s="120"/>
      <c r="N2296" s="29"/>
      <c r="O2296" s="29" t="s">
        <v>171</v>
      </c>
      <c r="P2296" s="120"/>
      <c r="Q2296" s="81">
        <v>500</v>
      </c>
    </row>
    <row r="2297" spans="1:18" hidden="1">
      <c r="A2297" s="134" t="s">
        <v>1150</v>
      </c>
      <c r="C2297" s="29">
        <v>114500855</v>
      </c>
      <c r="D2297" s="29">
        <v>147502068</v>
      </c>
      <c r="E2297" s="29"/>
      <c r="F2297" s="29" t="s">
        <v>88</v>
      </c>
      <c r="G2297" s="29" t="s">
        <v>823</v>
      </c>
      <c r="H2297" s="29" t="s">
        <v>38</v>
      </c>
      <c r="I2297" s="120">
        <v>45771</v>
      </c>
      <c r="J2297" s="120">
        <f>WORKDAY(I2297, 3)</f>
        <v>45776</v>
      </c>
      <c r="K2297" s="120">
        <v>45800</v>
      </c>
      <c r="L2297" s="120"/>
      <c r="M2297" s="120"/>
      <c r="N2297" s="29"/>
      <c r="O2297" s="29" t="s">
        <v>171</v>
      </c>
      <c r="P2297" s="120"/>
      <c r="Q2297" s="81">
        <v>1000</v>
      </c>
      <c r="R2297" s="134" t="s">
        <v>1376</v>
      </c>
    </row>
    <row r="2298" spans="1:18" hidden="1">
      <c r="A2298" s="134" t="s">
        <v>1150</v>
      </c>
      <c r="C2298" s="29">
        <v>114500883</v>
      </c>
      <c r="D2298" s="29">
        <v>147502082</v>
      </c>
      <c r="E2298" s="29"/>
      <c r="F2298" s="29" t="s">
        <v>88</v>
      </c>
      <c r="G2298" s="29" t="s">
        <v>823</v>
      </c>
      <c r="H2298" s="29" t="s">
        <v>38</v>
      </c>
      <c r="I2298" s="120">
        <v>45771</v>
      </c>
      <c r="J2298" s="120">
        <f>WORKDAY(I2298, 3)</f>
        <v>45776</v>
      </c>
      <c r="K2298" s="120">
        <v>45800</v>
      </c>
      <c r="L2298" s="120"/>
      <c r="M2298" s="120"/>
      <c r="N2298" s="29"/>
      <c r="O2298" s="29" t="s">
        <v>171</v>
      </c>
      <c r="P2298" s="120"/>
      <c r="Q2298" s="81">
        <v>300</v>
      </c>
      <c r="R2298" s="134" t="s">
        <v>1376</v>
      </c>
    </row>
    <row r="2299" spans="1:18" hidden="1">
      <c r="A2299" s="134" t="s">
        <v>1150</v>
      </c>
      <c r="C2299" s="29">
        <v>114500780</v>
      </c>
      <c r="D2299" s="29">
        <v>147502092</v>
      </c>
      <c r="E2299" s="29"/>
      <c r="F2299" s="29" t="s">
        <v>88</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88</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88</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88</v>
      </c>
      <c r="G2302" s="29" t="s">
        <v>823</v>
      </c>
      <c r="H2302" s="29" t="s">
        <v>38</v>
      </c>
      <c r="I2302" s="120">
        <v>45775</v>
      </c>
      <c r="J2302" s="120">
        <f>WORKDAY(I2302, 3)</f>
        <v>45778</v>
      </c>
      <c r="K2302" s="120">
        <v>45805</v>
      </c>
      <c r="L2302" s="120"/>
      <c r="M2302" s="120"/>
      <c r="N2302" s="29"/>
      <c r="O2302" s="29" t="s">
        <v>171</v>
      </c>
      <c r="P2302" s="120"/>
      <c r="Q2302" s="156">
        <v>270</v>
      </c>
    </row>
    <row r="2303" spans="1:18" hidden="1">
      <c r="A2303" s="134" t="s">
        <v>1155</v>
      </c>
      <c r="C2303" s="29">
        <v>119500244</v>
      </c>
      <c r="D2303" s="29"/>
      <c r="E2303" s="29"/>
      <c r="F2303" s="29" t="s">
        <v>88</v>
      </c>
      <c r="G2303" s="29" t="s">
        <v>823</v>
      </c>
      <c r="H2303" s="29" t="s">
        <v>38</v>
      </c>
      <c r="I2303" s="120">
        <v>45775</v>
      </c>
      <c r="J2303" s="120">
        <f>WORKDAY(I2303, 3)</f>
        <v>45778</v>
      </c>
      <c r="K2303" s="120">
        <v>45805</v>
      </c>
      <c r="L2303" s="120"/>
      <c r="M2303" s="120"/>
      <c r="N2303" s="29"/>
      <c r="O2303" s="29" t="s">
        <v>171</v>
      </c>
      <c r="P2303" s="120"/>
      <c r="Q2303" s="156">
        <v>570</v>
      </c>
    </row>
    <row r="2304" spans="1:18" hidden="1">
      <c r="A2304" s="134" t="s">
        <v>1155</v>
      </c>
      <c r="C2304" s="29">
        <v>119500251</v>
      </c>
      <c r="D2304" s="29"/>
      <c r="E2304" s="29"/>
      <c r="F2304" s="29" t="s">
        <v>88</v>
      </c>
      <c r="G2304" s="29" t="s">
        <v>823</v>
      </c>
      <c r="H2304" s="29" t="s">
        <v>38</v>
      </c>
      <c r="I2304" s="120">
        <v>45775</v>
      </c>
      <c r="J2304" s="120">
        <f>WORKDAY(I2304, 3)</f>
        <v>45778</v>
      </c>
      <c r="K2304" s="120">
        <v>45805</v>
      </c>
      <c r="L2304" s="120"/>
      <c r="M2304" s="120"/>
      <c r="N2304" s="29"/>
      <c r="O2304" s="29" t="s">
        <v>171</v>
      </c>
      <c r="P2304" s="120"/>
      <c r="Q2304" s="156">
        <v>450</v>
      </c>
    </row>
    <row r="2305" spans="1:18" hidden="1">
      <c r="A2305" s="134" t="s">
        <v>1155</v>
      </c>
      <c r="C2305" s="29">
        <v>119500257</v>
      </c>
      <c r="D2305" s="29">
        <v>147501882</v>
      </c>
      <c r="E2305" s="29"/>
      <c r="F2305" s="29" t="s">
        <v>88</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88</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88</v>
      </c>
      <c r="G2307" s="29" t="s">
        <v>823</v>
      </c>
      <c r="H2307" s="29" t="s">
        <v>38</v>
      </c>
      <c r="I2307" s="120">
        <v>45784</v>
      </c>
      <c r="J2307" s="120">
        <f>WORKDAY(I2307, 3)</f>
        <v>45789</v>
      </c>
      <c r="K2307" s="120">
        <v>45815</v>
      </c>
      <c r="L2307" s="120"/>
      <c r="M2307" s="120"/>
      <c r="N2307" s="29"/>
      <c r="O2307" s="29" t="s">
        <v>171</v>
      </c>
      <c r="P2307" s="120"/>
      <c r="Q2307" s="156">
        <v>50</v>
      </c>
    </row>
    <row r="2308" spans="1:18" hidden="1">
      <c r="A2308" s="134" t="s">
        <v>1037</v>
      </c>
      <c r="C2308" s="29">
        <v>127504535</v>
      </c>
      <c r="D2308" s="29"/>
      <c r="E2308" s="29"/>
      <c r="F2308" s="29" t="s">
        <v>88</v>
      </c>
      <c r="G2308" s="29" t="s">
        <v>823</v>
      </c>
      <c r="H2308" s="29" t="s">
        <v>38</v>
      </c>
      <c r="I2308" s="120">
        <v>45784</v>
      </c>
      <c r="J2308" s="120">
        <f>WORKDAY(I2308, 3)</f>
        <v>45789</v>
      </c>
      <c r="K2308" s="120">
        <v>45815</v>
      </c>
      <c r="L2308" s="120"/>
      <c r="M2308" s="120"/>
      <c r="N2308" s="29"/>
      <c r="O2308" s="29" t="s">
        <v>171</v>
      </c>
      <c r="P2308" s="120"/>
      <c r="Q2308" s="156">
        <v>300</v>
      </c>
    </row>
    <row r="2309" spans="1:18" hidden="1">
      <c r="A2309" s="134" t="s">
        <v>1037</v>
      </c>
      <c r="C2309" s="29">
        <v>127504570</v>
      </c>
      <c r="D2309" s="29"/>
      <c r="E2309" s="29"/>
      <c r="F2309" s="29" t="s">
        <v>88</v>
      </c>
      <c r="G2309" s="29" t="s">
        <v>823</v>
      </c>
      <c r="H2309" s="29" t="s">
        <v>38</v>
      </c>
      <c r="I2309" s="120">
        <v>45784</v>
      </c>
      <c r="J2309" s="120">
        <f>WORKDAY(I2309, 3)</f>
        <v>45789</v>
      </c>
      <c r="K2309" s="120">
        <v>45815</v>
      </c>
      <c r="L2309" s="120"/>
      <c r="M2309" s="120"/>
      <c r="N2309" s="29"/>
      <c r="O2309" s="29" t="s">
        <v>171</v>
      </c>
      <c r="P2309" s="120"/>
      <c r="Q2309" s="156">
        <v>300</v>
      </c>
    </row>
    <row r="2310" spans="1:18" hidden="1">
      <c r="A2310" s="134" t="s">
        <v>1037</v>
      </c>
      <c r="C2310" s="29">
        <v>127504593</v>
      </c>
      <c r="D2310" s="29"/>
      <c r="E2310" s="29"/>
      <c r="F2310" s="29" t="s">
        <v>88</v>
      </c>
      <c r="G2310" s="29" t="s">
        <v>823</v>
      </c>
      <c r="H2310" s="29" t="s">
        <v>38</v>
      </c>
      <c r="I2310" s="120">
        <v>45784</v>
      </c>
      <c r="J2310" s="120">
        <f>WORKDAY(I2310, 3)</f>
        <v>45789</v>
      </c>
      <c r="K2310" s="120">
        <v>45815</v>
      </c>
      <c r="L2310" s="120"/>
      <c r="M2310" s="120"/>
      <c r="N2310" s="29"/>
      <c r="O2310" s="29" t="s">
        <v>171</v>
      </c>
      <c r="P2310" s="120"/>
      <c r="Q2310" s="156">
        <v>300</v>
      </c>
    </row>
    <row r="2311" spans="1:18" hidden="1">
      <c r="A2311" s="134" t="s">
        <v>1190</v>
      </c>
      <c r="C2311" s="29">
        <v>128501134</v>
      </c>
      <c r="D2311" s="29"/>
      <c r="E2311" s="29"/>
      <c r="F2311" s="29" t="s">
        <v>88</v>
      </c>
      <c r="G2311" s="29" t="s">
        <v>823</v>
      </c>
      <c r="H2311" s="29" t="s">
        <v>38</v>
      </c>
      <c r="I2311" s="120">
        <v>45785</v>
      </c>
      <c r="J2311" s="120">
        <f>WORKDAY(I2311, 3)</f>
        <v>45790</v>
      </c>
      <c r="K2311" s="120">
        <v>45816</v>
      </c>
      <c r="L2311" s="120"/>
      <c r="M2311" s="120"/>
      <c r="N2311" s="29"/>
      <c r="O2311" s="29" t="s">
        <v>171</v>
      </c>
      <c r="P2311" s="120"/>
      <c r="Q2311" s="156">
        <v>300</v>
      </c>
    </row>
    <row r="2312" spans="1:18" hidden="1">
      <c r="A2312" s="134" t="s">
        <v>1190</v>
      </c>
      <c r="C2312" s="29">
        <v>128501084</v>
      </c>
      <c r="D2312" s="29"/>
      <c r="E2312" s="29"/>
      <c r="F2312" s="29" t="s">
        <v>88</v>
      </c>
      <c r="G2312" s="29" t="s">
        <v>823</v>
      </c>
      <c r="H2312" s="29" t="s">
        <v>38</v>
      </c>
      <c r="I2312" s="120">
        <v>45785</v>
      </c>
      <c r="J2312" s="120">
        <f>WORKDAY(I2312, 3)</f>
        <v>45790</v>
      </c>
      <c r="K2312" s="120">
        <v>45816</v>
      </c>
      <c r="L2312" s="120"/>
      <c r="M2312" s="120"/>
      <c r="N2312" s="29"/>
      <c r="O2312" s="29" t="s">
        <v>171</v>
      </c>
      <c r="P2312" s="120"/>
      <c r="Q2312" s="156">
        <v>500</v>
      </c>
    </row>
    <row r="2313" spans="1:18" hidden="1">
      <c r="A2313" s="134" t="s">
        <v>1190</v>
      </c>
      <c r="C2313" s="29">
        <v>128501092</v>
      </c>
      <c r="D2313" s="29"/>
      <c r="E2313" s="29"/>
      <c r="F2313" s="29" t="s">
        <v>88</v>
      </c>
      <c r="G2313" s="29" t="s">
        <v>823</v>
      </c>
      <c r="H2313" s="29" t="s">
        <v>38</v>
      </c>
      <c r="I2313" s="120">
        <v>45785</v>
      </c>
      <c r="J2313" s="120">
        <f>WORKDAY(I2313, 3)</f>
        <v>45790</v>
      </c>
      <c r="K2313" s="120">
        <v>45816</v>
      </c>
      <c r="L2313" s="120"/>
      <c r="M2313" s="120"/>
      <c r="N2313" s="29"/>
      <c r="O2313" s="29" t="s">
        <v>171</v>
      </c>
      <c r="P2313" s="120"/>
      <c r="Q2313" s="156">
        <v>900</v>
      </c>
    </row>
    <row r="2314" spans="1:18" hidden="1">
      <c r="A2314" s="134" t="s">
        <v>1190</v>
      </c>
      <c r="C2314" s="29">
        <v>128501118</v>
      </c>
      <c r="D2314" s="29"/>
      <c r="E2314" s="29"/>
      <c r="F2314" s="29" t="s">
        <v>88</v>
      </c>
      <c r="G2314" s="29" t="s">
        <v>823</v>
      </c>
      <c r="H2314" s="29" t="s">
        <v>38</v>
      </c>
      <c r="I2314" s="120">
        <v>45785</v>
      </c>
      <c r="J2314" s="120">
        <f>WORKDAY(I2314, 3)</f>
        <v>45790</v>
      </c>
      <c r="K2314" s="120">
        <v>45816</v>
      </c>
      <c r="L2314" s="120"/>
      <c r="M2314" s="120"/>
      <c r="N2314" s="29"/>
      <c r="O2314" s="29" t="s">
        <v>171</v>
      </c>
      <c r="P2314" s="120"/>
      <c r="Q2314" s="156">
        <v>900</v>
      </c>
    </row>
    <row r="2315" spans="1:18" hidden="1">
      <c r="A2315" s="134" t="s">
        <v>1190</v>
      </c>
      <c r="C2315" s="29">
        <v>128501125</v>
      </c>
      <c r="D2315" s="29"/>
      <c r="E2315" s="29"/>
      <c r="F2315" s="29" t="s">
        <v>88</v>
      </c>
      <c r="G2315" s="29" t="s">
        <v>823</v>
      </c>
      <c r="H2315" s="29" t="s">
        <v>38</v>
      </c>
      <c r="I2315" s="120">
        <v>45785</v>
      </c>
      <c r="J2315" s="120">
        <f>WORKDAY(I2315, 3)</f>
        <v>45790</v>
      </c>
      <c r="K2315" s="120">
        <v>45816</v>
      </c>
      <c r="L2315" s="120"/>
      <c r="M2315" s="120"/>
      <c r="N2315" s="29"/>
      <c r="O2315" s="29" t="s">
        <v>171</v>
      </c>
      <c r="P2315" s="120"/>
      <c r="Q2315" s="156">
        <v>200</v>
      </c>
    </row>
    <row r="2316" spans="1:18" hidden="1">
      <c r="A2316" s="134" t="s">
        <v>1190</v>
      </c>
      <c r="C2316" s="29">
        <v>128501144</v>
      </c>
      <c r="D2316" s="29"/>
      <c r="E2316" s="29"/>
      <c r="F2316" s="29" t="s">
        <v>88</v>
      </c>
      <c r="G2316" s="29" t="s">
        <v>823</v>
      </c>
      <c r="H2316" s="29" t="s">
        <v>38</v>
      </c>
      <c r="I2316" s="120">
        <v>45785</v>
      </c>
      <c r="J2316" s="120">
        <f>WORKDAY(I2316, 3)</f>
        <v>45790</v>
      </c>
      <c r="K2316" s="120">
        <v>45816</v>
      </c>
      <c r="L2316" s="120"/>
      <c r="M2316" s="120"/>
      <c r="N2316" s="29"/>
      <c r="O2316" s="29" t="s">
        <v>171</v>
      </c>
      <c r="P2316" s="120"/>
      <c r="Q2316" s="156">
        <v>500</v>
      </c>
    </row>
    <row r="2317" spans="1:18" hidden="1">
      <c r="A2317" s="134" t="s">
        <v>1190</v>
      </c>
      <c r="C2317" s="29">
        <v>128501153</v>
      </c>
      <c r="D2317" s="29"/>
      <c r="E2317" s="29"/>
      <c r="F2317" s="29" t="s">
        <v>88</v>
      </c>
      <c r="G2317" s="29" t="s">
        <v>823</v>
      </c>
      <c r="H2317" s="29" t="s">
        <v>38</v>
      </c>
      <c r="I2317" s="120">
        <v>45785</v>
      </c>
      <c r="J2317" s="120">
        <f>WORKDAY(I2317, 3)</f>
        <v>45790</v>
      </c>
      <c r="K2317" s="120">
        <v>45816</v>
      </c>
      <c r="L2317" s="120"/>
      <c r="M2317" s="120"/>
      <c r="N2317" s="29"/>
      <c r="O2317" s="29" t="s">
        <v>171</v>
      </c>
      <c r="P2317" s="120"/>
      <c r="Q2317" s="156">
        <v>110</v>
      </c>
    </row>
    <row r="2318" spans="1:18" hidden="1">
      <c r="A2318" s="134" t="s">
        <v>1190</v>
      </c>
      <c r="C2318" s="29">
        <v>128501161</v>
      </c>
      <c r="D2318" s="29"/>
      <c r="E2318" s="29"/>
      <c r="F2318" s="29" t="s">
        <v>88</v>
      </c>
      <c r="G2318" s="29" t="s">
        <v>823</v>
      </c>
      <c r="H2318" s="29" t="s">
        <v>38</v>
      </c>
      <c r="I2318" s="120">
        <v>45785</v>
      </c>
      <c r="J2318" s="120">
        <f>WORKDAY(I2318, 3)</f>
        <v>45790</v>
      </c>
      <c r="K2318" s="120">
        <v>45816</v>
      </c>
      <c r="L2318" s="120"/>
      <c r="M2318" s="120"/>
      <c r="N2318" s="29"/>
      <c r="O2318" s="29" t="s">
        <v>171</v>
      </c>
      <c r="P2318" s="120"/>
      <c r="Q2318" s="156">
        <v>200</v>
      </c>
    </row>
    <row r="2319" spans="1:18" hidden="1">
      <c r="A2319" s="134" t="s">
        <v>1190</v>
      </c>
      <c r="C2319" s="29">
        <v>128501171</v>
      </c>
      <c r="D2319" s="29"/>
      <c r="E2319" s="29"/>
      <c r="F2319" s="29" t="s">
        <v>88</v>
      </c>
      <c r="G2319" s="29" t="s">
        <v>823</v>
      </c>
      <c r="H2319" s="29" t="s">
        <v>38</v>
      </c>
      <c r="I2319" s="120">
        <v>45785</v>
      </c>
      <c r="J2319" s="120">
        <f>WORKDAY(I2319, 3)</f>
        <v>45790</v>
      </c>
      <c r="K2319" s="120">
        <v>45816</v>
      </c>
      <c r="L2319" s="120"/>
      <c r="M2319" s="120"/>
      <c r="N2319" s="29"/>
      <c r="O2319" s="29" t="s">
        <v>171</v>
      </c>
      <c r="P2319" s="120"/>
      <c r="Q2319" s="156">
        <v>250</v>
      </c>
    </row>
    <row r="2320" spans="1:18" hidden="1">
      <c r="A2320" s="134" t="s">
        <v>1190</v>
      </c>
      <c r="C2320" s="29">
        <v>128501177</v>
      </c>
      <c r="D2320" s="29"/>
      <c r="E2320" s="29"/>
      <c r="F2320" s="29" t="s">
        <v>88</v>
      </c>
      <c r="G2320" s="29" t="s">
        <v>823</v>
      </c>
      <c r="H2320" s="29" t="s">
        <v>38</v>
      </c>
      <c r="I2320" s="120">
        <v>45785</v>
      </c>
      <c r="J2320" s="120">
        <f>WORKDAY(I2320, 3)</f>
        <v>45790</v>
      </c>
      <c r="K2320" s="120">
        <v>45816</v>
      </c>
      <c r="L2320" s="120"/>
      <c r="M2320" s="120"/>
      <c r="N2320" s="29"/>
      <c r="O2320" s="29" t="s">
        <v>171</v>
      </c>
      <c r="P2320" s="120"/>
      <c r="Q2320" s="156">
        <v>180</v>
      </c>
    </row>
    <row r="2321" spans="1:18" hidden="1">
      <c r="A2321" s="134" t="s">
        <v>1190</v>
      </c>
      <c r="C2321" s="29">
        <v>128501188</v>
      </c>
      <c r="D2321" s="29"/>
      <c r="E2321" s="29"/>
      <c r="F2321" s="29" t="s">
        <v>88</v>
      </c>
      <c r="G2321" s="29" t="s">
        <v>823</v>
      </c>
      <c r="H2321" s="29" t="s">
        <v>38</v>
      </c>
      <c r="I2321" s="120">
        <v>45785</v>
      </c>
      <c r="J2321" s="120">
        <f>WORKDAY(I2321, 3)</f>
        <v>45790</v>
      </c>
      <c r="K2321" s="120">
        <v>45816</v>
      </c>
      <c r="L2321" s="120"/>
      <c r="M2321" s="120"/>
      <c r="N2321" s="29"/>
      <c r="O2321" s="29" t="s">
        <v>171</v>
      </c>
      <c r="P2321" s="120"/>
      <c r="Q2321" s="156">
        <v>550</v>
      </c>
    </row>
    <row r="2322" spans="1:18" hidden="1">
      <c r="A2322" s="134" t="s">
        <v>796</v>
      </c>
      <c r="C2322" s="29">
        <v>128501583</v>
      </c>
      <c r="D2322" s="29"/>
      <c r="E2322" s="29"/>
      <c r="F2322" s="29" t="s">
        <v>88</v>
      </c>
      <c r="G2322" s="29" t="s">
        <v>823</v>
      </c>
      <c r="H2322" s="29" t="s">
        <v>38</v>
      </c>
      <c r="I2322" s="120">
        <v>45785</v>
      </c>
      <c r="J2322" s="120">
        <f>WORKDAY(I2322, 3)</f>
        <v>45790</v>
      </c>
      <c r="K2322" s="120">
        <v>45816</v>
      </c>
      <c r="L2322" s="120"/>
      <c r="M2322" s="120"/>
      <c r="N2322" s="29"/>
      <c r="O2322" s="29" t="s">
        <v>171</v>
      </c>
      <c r="P2322" s="120"/>
      <c r="Q2322" s="156">
        <v>990</v>
      </c>
    </row>
    <row r="2323" spans="1:18" hidden="1">
      <c r="A2323" s="134" t="s">
        <v>796</v>
      </c>
      <c r="C2323" s="29">
        <v>128501601</v>
      </c>
      <c r="D2323" s="29"/>
      <c r="E2323" s="29"/>
      <c r="F2323" s="29" t="s">
        <v>88</v>
      </c>
      <c r="G2323" s="29" t="s">
        <v>823</v>
      </c>
      <c r="H2323" s="29" t="s">
        <v>38</v>
      </c>
      <c r="I2323" s="120">
        <v>45785</v>
      </c>
      <c r="J2323" s="120">
        <f>WORKDAY(I2323, 3)</f>
        <v>45790</v>
      </c>
      <c r="K2323" s="120">
        <v>45816</v>
      </c>
      <c r="L2323" s="120"/>
      <c r="M2323" s="120"/>
      <c r="N2323" s="29"/>
      <c r="O2323" s="29" t="s">
        <v>171</v>
      </c>
      <c r="P2323" s="120"/>
      <c r="Q2323" s="156">
        <v>60</v>
      </c>
    </row>
    <row r="2324" spans="1:18" hidden="1">
      <c r="A2324" s="134" t="s">
        <v>796</v>
      </c>
      <c r="C2324" s="29">
        <v>128501615</v>
      </c>
      <c r="D2324" s="29"/>
      <c r="E2324" s="29"/>
      <c r="F2324" s="29" t="s">
        <v>88</v>
      </c>
      <c r="G2324" s="29" t="s">
        <v>823</v>
      </c>
      <c r="H2324" s="29" t="s">
        <v>38</v>
      </c>
      <c r="I2324" s="120">
        <v>45785</v>
      </c>
      <c r="J2324" s="120">
        <f>WORKDAY(I2324, 3)</f>
        <v>45790</v>
      </c>
      <c r="K2324" s="120">
        <v>45816</v>
      </c>
      <c r="L2324" s="120"/>
      <c r="M2324" s="120"/>
      <c r="N2324" s="29"/>
      <c r="O2324" s="29" t="s">
        <v>171</v>
      </c>
      <c r="P2324" s="120"/>
      <c r="Q2324" s="156">
        <v>60</v>
      </c>
    </row>
    <row r="2325" spans="1:18" hidden="1">
      <c r="A2325" s="134" t="s">
        <v>796</v>
      </c>
      <c r="C2325" s="29">
        <v>128501627</v>
      </c>
      <c r="D2325" s="29"/>
      <c r="E2325" s="29"/>
      <c r="F2325" s="29" t="s">
        <v>88</v>
      </c>
      <c r="G2325" s="29" t="s">
        <v>823</v>
      </c>
      <c r="H2325" s="29" t="s">
        <v>38</v>
      </c>
      <c r="I2325" s="120">
        <v>45785</v>
      </c>
      <c r="J2325" s="120">
        <f>WORKDAY(I2325, 3)</f>
        <v>45790</v>
      </c>
      <c r="K2325" s="120">
        <v>45816</v>
      </c>
      <c r="L2325" s="120"/>
      <c r="M2325" s="120"/>
      <c r="N2325" s="29"/>
      <c r="O2325" s="29" t="s">
        <v>171</v>
      </c>
      <c r="P2325" s="120"/>
      <c r="Q2325" s="156">
        <v>60</v>
      </c>
    </row>
    <row r="2326" spans="1:18" hidden="1">
      <c r="A2326" s="134" t="s">
        <v>796</v>
      </c>
      <c r="C2326" s="29">
        <v>128501652</v>
      </c>
      <c r="D2326" s="29"/>
      <c r="E2326" s="29"/>
      <c r="F2326" s="29" t="s">
        <v>88</v>
      </c>
      <c r="G2326" s="29" t="s">
        <v>823</v>
      </c>
      <c r="H2326" s="29" t="s">
        <v>38</v>
      </c>
      <c r="I2326" s="120">
        <v>45785</v>
      </c>
      <c r="J2326" s="120">
        <f>WORKDAY(I2326, 3)</f>
        <v>45790</v>
      </c>
      <c r="K2326" s="120">
        <v>45816</v>
      </c>
      <c r="L2326" s="120"/>
      <c r="M2326" s="120"/>
      <c r="N2326" s="29"/>
      <c r="O2326" s="29" t="s">
        <v>171</v>
      </c>
      <c r="P2326" s="120"/>
      <c r="Q2326" s="156">
        <v>375</v>
      </c>
    </row>
    <row r="2327" spans="1:18" hidden="1">
      <c r="A2327" s="134" t="s">
        <v>796</v>
      </c>
      <c r="C2327" s="29">
        <v>128501685</v>
      </c>
      <c r="D2327" s="29"/>
      <c r="E2327" s="29"/>
      <c r="F2327" s="29" t="s">
        <v>88</v>
      </c>
      <c r="G2327" s="29" t="s">
        <v>823</v>
      </c>
      <c r="H2327" s="29" t="s">
        <v>38</v>
      </c>
      <c r="I2327" s="120">
        <v>45785</v>
      </c>
      <c r="J2327" s="120">
        <f>WORKDAY(I2327, 3)</f>
        <v>45790</v>
      </c>
      <c r="K2327" s="120">
        <v>45816</v>
      </c>
      <c r="L2327" s="120"/>
      <c r="M2327" s="120"/>
      <c r="N2327" s="29"/>
      <c r="O2327" s="29" t="s">
        <v>171</v>
      </c>
      <c r="P2327" s="120"/>
      <c r="Q2327" s="156">
        <v>275</v>
      </c>
    </row>
    <row r="2328" spans="1:18" hidden="1">
      <c r="A2328" s="134" t="s">
        <v>796</v>
      </c>
      <c r="C2328" s="29">
        <v>128501712</v>
      </c>
      <c r="D2328" s="29"/>
      <c r="E2328" s="29"/>
      <c r="F2328" s="29" t="s">
        <v>88</v>
      </c>
      <c r="G2328" s="29" t="s">
        <v>823</v>
      </c>
      <c r="H2328" s="29" t="s">
        <v>38</v>
      </c>
      <c r="I2328" s="120">
        <v>45785</v>
      </c>
      <c r="J2328" s="120">
        <f>WORKDAY(I2328, 3)</f>
        <v>45790</v>
      </c>
      <c r="K2328" s="120">
        <v>45816</v>
      </c>
      <c r="L2328" s="120"/>
      <c r="M2328" s="120"/>
      <c r="N2328" s="29"/>
      <c r="O2328" s="29" t="s">
        <v>171</v>
      </c>
      <c r="P2328" s="120"/>
      <c r="Q2328" s="156">
        <v>60</v>
      </c>
    </row>
    <row r="2329" spans="1:18" hidden="1">
      <c r="A2329" s="134" t="s">
        <v>796</v>
      </c>
      <c r="C2329" s="29">
        <v>128501743</v>
      </c>
      <c r="D2329" s="29"/>
      <c r="E2329" s="29"/>
      <c r="F2329" s="29" t="s">
        <v>88</v>
      </c>
      <c r="G2329" s="29" t="s">
        <v>823</v>
      </c>
      <c r="H2329" s="29" t="s">
        <v>38</v>
      </c>
      <c r="I2329" s="120">
        <v>45785</v>
      </c>
      <c r="J2329" s="120">
        <f>WORKDAY(I2329, 3)</f>
        <v>45790</v>
      </c>
      <c r="K2329" s="120">
        <v>45816</v>
      </c>
      <c r="L2329" s="120"/>
      <c r="M2329" s="120"/>
      <c r="N2329" s="29"/>
      <c r="O2329" s="29" t="s">
        <v>171</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171</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171</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171</v>
      </c>
      <c r="P2332" s="120"/>
      <c r="Q2332" s="156">
        <v>280</v>
      </c>
    </row>
    <row r="2333" spans="1:18" hidden="1">
      <c r="A2333" s="134" t="s">
        <v>796</v>
      </c>
      <c r="C2333" s="29">
        <v>129500101</v>
      </c>
      <c r="D2333" s="29"/>
      <c r="E2333" s="29"/>
      <c r="F2333" s="29" t="s">
        <v>88</v>
      </c>
      <c r="G2333" s="29" t="s">
        <v>823</v>
      </c>
      <c r="H2333" s="29" t="s">
        <v>38</v>
      </c>
      <c r="I2333" s="120">
        <v>45786</v>
      </c>
      <c r="J2333" s="120">
        <f>WORKDAY(I2333, 3)</f>
        <v>45791</v>
      </c>
      <c r="K2333" s="120">
        <v>45817</v>
      </c>
      <c r="L2333" s="120"/>
      <c r="M2333" s="120"/>
      <c r="N2333" s="29"/>
      <c r="O2333" s="29" t="s">
        <v>171</v>
      </c>
      <c r="P2333" s="120"/>
      <c r="Q2333" s="156">
        <v>500</v>
      </c>
    </row>
    <row r="2334" spans="1:18" hidden="1">
      <c r="A2334" s="134" t="s">
        <v>796</v>
      </c>
      <c r="C2334" s="29">
        <v>129500104</v>
      </c>
      <c r="D2334" s="29"/>
      <c r="E2334" s="29"/>
      <c r="F2334" s="29" t="s">
        <v>88</v>
      </c>
      <c r="G2334" s="29" t="s">
        <v>823</v>
      </c>
      <c r="H2334" s="29" t="s">
        <v>38</v>
      </c>
      <c r="I2334" s="120">
        <v>45786</v>
      </c>
      <c r="J2334" s="120">
        <f>WORKDAY(I2334, 3)</f>
        <v>45791</v>
      </c>
      <c r="K2334" s="120">
        <v>45817</v>
      </c>
      <c r="L2334" s="120"/>
      <c r="M2334" s="120"/>
      <c r="N2334" s="29"/>
      <c r="O2334" s="29" t="s">
        <v>171</v>
      </c>
      <c r="P2334" s="120"/>
      <c r="Q2334" s="156">
        <v>300</v>
      </c>
    </row>
    <row r="2335" spans="1:18" hidden="1">
      <c r="A2335" s="134" t="s">
        <v>796</v>
      </c>
      <c r="C2335" s="29">
        <v>129500114</v>
      </c>
      <c r="D2335" s="29"/>
      <c r="E2335" s="29"/>
      <c r="F2335" s="29" t="s">
        <v>88</v>
      </c>
      <c r="G2335" s="29" t="s">
        <v>823</v>
      </c>
      <c r="H2335" s="29" t="s">
        <v>38</v>
      </c>
      <c r="I2335" s="120">
        <v>45786</v>
      </c>
      <c r="J2335" s="120">
        <f>WORKDAY(I2335, 3)</f>
        <v>45791</v>
      </c>
      <c r="K2335" s="120">
        <v>45817</v>
      </c>
      <c r="L2335" s="120"/>
      <c r="M2335" s="120"/>
      <c r="N2335" s="29"/>
      <c r="O2335" s="29" t="s">
        <v>171</v>
      </c>
      <c r="P2335" s="120"/>
      <c r="Q2335" s="156">
        <v>60</v>
      </c>
    </row>
    <row r="2336" spans="1:18" ht="15.75" hidden="1">
      <c r="A2336" s="126" t="s">
        <v>1147</v>
      </c>
      <c r="B2336" s="126"/>
      <c r="C2336" s="29">
        <v>119505499</v>
      </c>
      <c r="D2336" s="29">
        <v>147501832</v>
      </c>
      <c r="E2336" s="29"/>
      <c r="F2336" s="29" t="s">
        <v>88</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88</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88</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88</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88</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88</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88</v>
      </c>
      <c r="G2342" s="29" t="s">
        <v>823</v>
      </c>
      <c r="H2342" s="29" t="s">
        <v>38</v>
      </c>
      <c r="I2342" s="120">
        <v>45779</v>
      </c>
      <c r="J2342" s="120">
        <f>WORKDAY(I2342, 3)</f>
        <v>45784</v>
      </c>
      <c r="K2342" s="120">
        <v>45816</v>
      </c>
      <c r="L2342" s="120"/>
      <c r="M2342" s="120"/>
      <c r="N2342" s="29"/>
      <c r="O2342" s="29" t="s">
        <v>171</v>
      </c>
      <c r="P2342" s="120"/>
      <c r="Q2342" s="156">
        <v>250</v>
      </c>
    </row>
    <row r="2343" spans="1:18" hidden="1">
      <c r="A2343" s="134" t="s">
        <v>1389</v>
      </c>
      <c r="C2343" s="29">
        <v>122501284</v>
      </c>
      <c r="D2343" s="29"/>
      <c r="E2343" s="29"/>
      <c r="F2343" s="29" t="s">
        <v>88</v>
      </c>
      <c r="G2343" s="29" t="s">
        <v>823</v>
      </c>
      <c r="H2343" s="29" t="s">
        <v>38</v>
      </c>
      <c r="I2343" s="120">
        <v>45779</v>
      </c>
      <c r="J2343" s="120">
        <f>WORKDAY(I2343, 3)</f>
        <v>45784</v>
      </c>
      <c r="K2343" s="120">
        <v>45810</v>
      </c>
      <c r="L2343" s="120"/>
      <c r="M2343" s="120"/>
      <c r="N2343" s="29"/>
      <c r="O2343" s="29" t="s">
        <v>171</v>
      </c>
      <c r="P2343" s="120"/>
      <c r="Q2343" s="156">
        <v>30</v>
      </c>
    </row>
    <row r="2344" spans="1:18" hidden="1">
      <c r="A2344" s="134" t="s">
        <v>1388</v>
      </c>
      <c r="C2344" s="29">
        <v>122501374</v>
      </c>
      <c r="D2344" s="29"/>
      <c r="E2344" s="29"/>
      <c r="F2344" s="29" t="s">
        <v>88</v>
      </c>
      <c r="G2344" s="29" t="s">
        <v>823</v>
      </c>
      <c r="H2344" s="29" t="s">
        <v>38</v>
      </c>
      <c r="I2344" s="120">
        <v>45779</v>
      </c>
      <c r="J2344" s="120">
        <f>WORKDAY(I2344, 3)</f>
        <v>45784</v>
      </c>
      <c r="K2344" s="120">
        <v>45810</v>
      </c>
      <c r="L2344" s="120"/>
      <c r="M2344" s="120"/>
      <c r="N2344" s="29"/>
      <c r="O2344" s="29" t="s">
        <v>171</v>
      </c>
      <c r="P2344" s="120"/>
      <c r="Q2344" s="156">
        <v>500</v>
      </c>
    </row>
    <row r="2345" spans="1:18" hidden="1">
      <c r="A2345" s="134" t="s">
        <v>1059</v>
      </c>
      <c r="C2345" s="29">
        <v>129500087</v>
      </c>
      <c r="D2345" s="29">
        <v>148501570</v>
      </c>
      <c r="E2345" s="29"/>
      <c r="F2345" s="29" t="s">
        <v>88</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88</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88</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88</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88</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88</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88</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88</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88</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88</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1151</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1045</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88</v>
      </c>
      <c r="G2365" s="29" t="s">
        <v>823</v>
      </c>
      <c r="H2365" s="29" t="s">
        <v>38</v>
      </c>
      <c r="I2365" s="120">
        <v>45783</v>
      </c>
      <c r="J2365" s="120">
        <f>WORKDAY(I2365, 3)</f>
        <v>45786</v>
      </c>
      <c r="K2365" s="120">
        <v>45814</v>
      </c>
      <c r="L2365" s="120"/>
      <c r="M2365" s="120"/>
      <c r="O2365" s="29" t="s">
        <v>171</v>
      </c>
      <c r="P2365" s="120"/>
      <c r="Q2365" s="156">
        <v>450</v>
      </c>
    </row>
    <row r="2366" spans="1:18" hidden="1">
      <c r="A2366" s="134" t="s">
        <v>1390</v>
      </c>
      <c r="C2366" s="29">
        <v>127500104</v>
      </c>
      <c r="D2366" s="29"/>
      <c r="E2366" s="29"/>
      <c r="F2366" s="29" t="s">
        <v>88</v>
      </c>
      <c r="G2366" s="29" t="s">
        <v>823</v>
      </c>
      <c r="H2366" s="29" t="s">
        <v>38</v>
      </c>
      <c r="I2366" s="120">
        <v>45783</v>
      </c>
      <c r="J2366" s="120">
        <f>WORKDAY(I2366, 3)</f>
        <v>45786</v>
      </c>
      <c r="K2366" s="120">
        <v>45814</v>
      </c>
      <c r="L2366" s="120"/>
      <c r="M2366" s="120"/>
      <c r="O2366" s="29" t="s">
        <v>171</v>
      </c>
      <c r="P2366" s="120"/>
      <c r="Q2366" s="156">
        <v>700</v>
      </c>
    </row>
    <row r="2367" spans="1:18" hidden="1">
      <c r="A2367" s="134" t="s">
        <v>1390</v>
      </c>
      <c r="C2367" s="29">
        <v>127500108</v>
      </c>
      <c r="D2367" s="29"/>
      <c r="E2367" s="29"/>
      <c r="F2367" s="29" t="s">
        <v>88</v>
      </c>
      <c r="G2367" s="29" t="s">
        <v>823</v>
      </c>
      <c r="H2367" s="29" t="s">
        <v>38</v>
      </c>
      <c r="I2367" s="120">
        <v>45783</v>
      </c>
      <c r="J2367" s="120">
        <f>WORKDAY(I2367, 3)</f>
        <v>45786</v>
      </c>
      <c r="K2367" s="120">
        <v>45814</v>
      </c>
      <c r="L2367" s="120"/>
      <c r="M2367" s="120"/>
      <c r="O2367" s="29" t="s">
        <v>171</v>
      </c>
      <c r="P2367" s="120"/>
      <c r="Q2367" s="156">
        <v>700</v>
      </c>
    </row>
    <row r="2368" spans="1:18" hidden="1">
      <c r="A2368" s="134" t="s">
        <v>1390</v>
      </c>
      <c r="C2368" s="29">
        <v>127500099</v>
      </c>
      <c r="D2368" s="29"/>
      <c r="E2368" s="29"/>
      <c r="F2368" s="29" t="s">
        <v>88</v>
      </c>
      <c r="G2368" s="29" t="s">
        <v>823</v>
      </c>
      <c r="H2368" s="29" t="s">
        <v>38</v>
      </c>
      <c r="I2368" s="120">
        <v>45783</v>
      </c>
      <c r="J2368" s="120">
        <f>WORKDAY(I2368, 3)</f>
        <v>45786</v>
      </c>
      <c r="K2368" s="120">
        <v>45814</v>
      </c>
      <c r="L2368" s="120"/>
      <c r="M2368" s="120"/>
      <c r="O2368" s="29" t="s">
        <v>171</v>
      </c>
      <c r="P2368" s="120"/>
      <c r="Q2368" s="156">
        <v>650</v>
      </c>
    </row>
    <row r="2369" spans="1:18" hidden="1">
      <c r="A2369" s="134" t="s">
        <v>1390</v>
      </c>
      <c r="C2369" s="29" t="s">
        <v>1390</v>
      </c>
      <c r="D2369" s="29"/>
      <c r="E2369" s="29"/>
      <c r="F2369" s="29" t="s">
        <v>88</v>
      </c>
      <c r="G2369" s="29" t="s">
        <v>823</v>
      </c>
      <c r="H2369" s="29" t="s">
        <v>38</v>
      </c>
      <c r="I2369" s="120">
        <v>45783</v>
      </c>
      <c r="J2369" s="120">
        <f>WORKDAY(I2369, 3)</f>
        <v>45786</v>
      </c>
      <c r="K2369" s="120">
        <v>45814</v>
      </c>
      <c r="L2369" s="120"/>
      <c r="M2369" s="120"/>
      <c r="O2369" s="29" t="s">
        <v>171</v>
      </c>
      <c r="P2369" s="120"/>
      <c r="Q2369" s="156">
        <v>300</v>
      </c>
    </row>
    <row r="2370" spans="1:18" hidden="1">
      <c r="A2370" s="134" t="s">
        <v>1390</v>
      </c>
      <c r="C2370" s="29" t="s">
        <v>1390</v>
      </c>
      <c r="D2370" s="29"/>
      <c r="E2370" s="29"/>
      <c r="F2370" s="29" t="s">
        <v>88</v>
      </c>
      <c r="G2370" s="29" t="s">
        <v>823</v>
      </c>
      <c r="H2370" s="29" t="s">
        <v>38</v>
      </c>
      <c r="I2370" s="120">
        <v>45783</v>
      </c>
      <c r="J2370" s="120">
        <f>WORKDAY(I2370, 3)</f>
        <v>45786</v>
      </c>
      <c r="K2370" s="120">
        <v>45814</v>
      </c>
      <c r="L2370" s="120"/>
      <c r="M2370" s="120"/>
      <c r="O2370" s="29" t="s">
        <v>171</v>
      </c>
      <c r="P2370" s="120"/>
      <c r="Q2370" s="156">
        <v>125</v>
      </c>
    </row>
    <row r="2371" spans="1:18" hidden="1">
      <c r="A2371" s="134" t="s">
        <v>1045</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88</v>
      </c>
      <c r="G2372" s="29" t="s">
        <v>823</v>
      </c>
      <c r="H2372" s="29" t="s">
        <v>38</v>
      </c>
      <c r="I2372" s="120">
        <v>45784</v>
      </c>
      <c r="J2372" s="120">
        <f>WORKDAY(I2372, 3)</f>
        <v>45789</v>
      </c>
      <c r="K2372" s="120">
        <v>45815</v>
      </c>
      <c r="L2372" s="120"/>
      <c r="M2372" s="120"/>
      <c r="N2372" s="29"/>
      <c r="O2372" s="29" t="s">
        <v>171</v>
      </c>
      <c r="P2372" s="120"/>
      <c r="Q2372" s="156">
        <v>250</v>
      </c>
    </row>
    <row r="2373" spans="1:18" hidden="1">
      <c r="A2373" s="134" t="s">
        <v>1037</v>
      </c>
      <c r="C2373" s="29">
        <v>127504664</v>
      </c>
      <c r="D2373" s="29"/>
      <c r="E2373" s="29"/>
      <c r="F2373" s="29" t="s">
        <v>88</v>
      </c>
      <c r="G2373" s="29" t="s">
        <v>823</v>
      </c>
      <c r="H2373" s="29" t="s">
        <v>38</v>
      </c>
      <c r="I2373" s="120">
        <v>45784</v>
      </c>
      <c r="J2373" s="120">
        <f>WORKDAY(I2373, 3)</f>
        <v>45789</v>
      </c>
      <c r="K2373" s="120">
        <v>45815</v>
      </c>
      <c r="L2373" s="120"/>
      <c r="M2373" s="120"/>
      <c r="N2373" s="29"/>
      <c r="O2373" s="29" t="s">
        <v>171</v>
      </c>
      <c r="P2373" s="120"/>
      <c r="Q2373" s="156">
        <v>400</v>
      </c>
    </row>
    <row r="2374" spans="1:18" hidden="1">
      <c r="A2374" s="134" t="s">
        <v>1037</v>
      </c>
      <c r="C2374" s="29">
        <v>127504715</v>
      </c>
      <c r="D2374" s="29"/>
      <c r="E2374" s="29"/>
      <c r="F2374" s="29" t="s">
        <v>88</v>
      </c>
      <c r="G2374" s="29" t="s">
        <v>823</v>
      </c>
      <c r="H2374" s="29" t="s">
        <v>38</v>
      </c>
      <c r="I2374" s="120">
        <v>45784</v>
      </c>
      <c r="J2374" s="120">
        <f>WORKDAY(I2374, 3)</f>
        <v>45789</v>
      </c>
      <c r="K2374" s="120">
        <v>45815</v>
      </c>
      <c r="L2374" s="120"/>
      <c r="M2374" s="120"/>
      <c r="N2374" s="29"/>
      <c r="O2374" s="29" t="s">
        <v>171</v>
      </c>
      <c r="P2374" s="120"/>
      <c r="Q2374" s="156">
        <v>890</v>
      </c>
    </row>
    <row r="2375" spans="1:18" hidden="1">
      <c r="A2375" s="160" t="s">
        <v>1391</v>
      </c>
      <c r="B2375" s="160"/>
      <c r="C2375" s="29">
        <v>143500248</v>
      </c>
      <c r="D2375" s="29"/>
      <c r="E2375" s="29"/>
      <c r="F2375" s="29" t="s">
        <v>88</v>
      </c>
      <c r="G2375" s="29" t="s">
        <v>823</v>
      </c>
      <c r="H2375" s="29" t="s">
        <v>38</v>
      </c>
      <c r="I2375" s="120">
        <v>45800</v>
      </c>
      <c r="J2375" s="120">
        <f>WORKDAY(I2375, 3)</f>
        <v>45805</v>
      </c>
      <c r="K2375" s="120">
        <v>45831</v>
      </c>
      <c r="L2375" s="120"/>
      <c r="M2375" s="120"/>
      <c r="N2375" s="120">
        <v>45805</v>
      </c>
      <c r="O2375" s="29" t="s">
        <v>171</v>
      </c>
      <c r="P2375" s="120"/>
      <c r="Q2375" s="156">
        <v>200</v>
      </c>
    </row>
    <row r="2376" spans="1:18" hidden="1">
      <c r="A2376" s="134" t="s">
        <v>1303</v>
      </c>
      <c r="C2376" s="29">
        <v>134500501</v>
      </c>
      <c r="D2376" s="29"/>
      <c r="E2376" s="29"/>
      <c r="F2376" s="29" t="s">
        <v>88</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88</v>
      </c>
      <c r="G2377" s="29" t="s">
        <v>823</v>
      </c>
      <c r="H2377" s="29" t="s">
        <v>38</v>
      </c>
      <c r="I2377" s="120">
        <v>45790</v>
      </c>
      <c r="J2377" s="120">
        <f>WORKDAY(I2377, 3)</f>
        <v>45793</v>
      </c>
      <c r="K2377" s="120">
        <v>45821</v>
      </c>
      <c r="L2377" s="120"/>
      <c r="M2377" s="120"/>
      <c r="N2377" s="120">
        <v>45790</v>
      </c>
      <c r="O2377" s="29" t="s">
        <v>171</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171</v>
      </c>
      <c r="P2378" s="120"/>
      <c r="Q2378" s="156">
        <v>65</v>
      </c>
    </row>
    <row r="2379" spans="1:18" hidden="1">
      <c r="A2379" s="134" t="s">
        <v>1358</v>
      </c>
      <c r="C2379" s="29">
        <v>134500389</v>
      </c>
      <c r="D2379" s="29"/>
      <c r="E2379" s="29"/>
      <c r="F2379" s="29" t="s">
        <v>88</v>
      </c>
      <c r="G2379" s="29" t="s">
        <v>823</v>
      </c>
      <c r="H2379" s="29" t="s">
        <v>38</v>
      </c>
      <c r="I2379" s="120">
        <v>45791</v>
      </c>
      <c r="J2379" s="120">
        <f>WORKDAY(I2379, 3)</f>
        <v>45796</v>
      </c>
      <c r="K2379" s="120">
        <v>45822</v>
      </c>
      <c r="L2379" s="120"/>
      <c r="M2379" s="120"/>
      <c r="O2379" s="29" t="s">
        <v>171</v>
      </c>
      <c r="P2379" s="120"/>
      <c r="Q2379" s="156">
        <v>1000</v>
      </c>
    </row>
    <row r="2380" spans="1:18" hidden="1">
      <c r="A2380" s="134" t="s">
        <v>1037</v>
      </c>
      <c r="C2380" s="29">
        <v>134500868</v>
      </c>
      <c r="D2380" s="29"/>
      <c r="E2380" s="29"/>
      <c r="F2380" s="29" t="s">
        <v>88</v>
      </c>
      <c r="G2380" s="29" t="s">
        <v>823</v>
      </c>
      <c r="H2380" s="29" t="s">
        <v>38</v>
      </c>
      <c r="I2380" s="120">
        <v>45791</v>
      </c>
      <c r="J2380" s="120">
        <f>WORKDAY(I2380, 3)</f>
        <v>45796</v>
      </c>
      <c r="K2380" s="120">
        <v>45822</v>
      </c>
      <c r="L2380" s="120"/>
      <c r="M2380" s="120"/>
      <c r="N2380" s="120">
        <v>45797</v>
      </c>
      <c r="O2380" s="29" t="s">
        <v>60</v>
      </c>
      <c r="P2380" s="134"/>
      <c r="Q2380" s="156">
        <v>360</v>
      </c>
      <c r="R2380" s="134" t="s">
        <v>1360</v>
      </c>
    </row>
    <row r="2381" spans="1:18" hidden="1">
      <c r="A2381" s="134" t="s">
        <v>1037</v>
      </c>
      <c r="C2381" s="29">
        <v>134500898</v>
      </c>
      <c r="D2381" s="29"/>
      <c r="E2381" s="29"/>
      <c r="F2381" s="29" t="s">
        <v>88</v>
      </c>
      <c r="G2381" s="29" t="s">
        <v>823</v>
      </c>
      <c r="H2381" s="29" t="s">
        <v>38</v>
      </c>
      <c r="I2381" s="120">
        <v>45791</v>
      </c>
      <c r="J2381" s="120">
        <f>WORKDAY(I2381, 3)</f>
        <v>45796</v>
      </c>
      <c r="K2381" s="120">
        <v>45822</v>
      </c>
      <c r="L2381" s="120"/>
      <c r="M2381" s="120"/>
      <c r="N2381" s="120">
        <v>45797</v>
      </c>
      <c r="O2381" s="29" t="s">
        <v>60</v>
      </c>
      <c r="P2381" s="134"/>
      <c r="Q2381" s="156">
        <v>500</v>
      </c>
      <c r="R2381" s="134" t="s">
        <v>1360</v>
      </c>
    </row>
    <row r="2382" spans="1:18" hidden="1">
      <c r="A2382" s="134" t="s">
        <v>1037</v>
      </c>
      <c r="C2382" s="29">
        <v>134500942</v>
      </c>
      <c r="D2382" s="29"/>
      <c r="E2382" s="29"/>
      <c r="F2382" s="29" t="s">
        <v>88</v>
      </c>
      <c r="G2382" s="29" t="s">
        <v>823</v>
      </c>
      <c r="H2382" s="29" t="s">
        <v>38</v>
      </c>
      <c r="I2382" s="120">
        <v>45791</v>
      </c>
      <c r="J2382" s="120">
        <f>WORKDAY(I2382, 3)</f>
        <v>45796</v>
      </c>
      <c r="K2382" s="120">
        <v>45822</v>
      </c>
      <c r="L2382" s="120"/>
      <c r="M2382" s="120"/>
      <c r="N2382" s="120">
        <v>45797</v>
      </c>
      <c r="O2382" s="29" t="s">
        <v>60</v>
      </c>
      <c r="P2382" s="134"/>
      <c r="Q2382" s="156">
        <v>200</v>
      </c>
      <c r="R2382" s="134" t="s">
        <v>1360</v>
      </c>
    </row>
    <row r="2383" spans="1:18" hidden="1">
      <c r="A2383" s="134" t="s">
        <v>1037</v>
      </c>
      <c r="C2383" s="29">
        <v>134500966</v>
      </c>
      <c r="D2383" s="29"/>
      <c r="E2383" s="29"/>
      <c r="F2383" s="29" t="s">
        <v>88</v>
      </c>
      <c r="G2383" s="29" t="s">
        <v>823</v>
      </c>
      <c r="H2383" s="29" t="s">
        <v>38</v>
      </c>
      <c r="I2383" s="120">
        <v>45791</v>
      </c>
      <c r="J2383" s="120">
        <f>WORKDAY(I2383, 3)</f>
        <v>45796</v>
      </c>
      <c r="K2383" s="120">
        <v>45822</v>
      </c>
      <c r="L2383" s="120"/>
      <c r="M2383" s="120"/>
      <c r="N2383" s="120">
        <v>45797</v>
      </c>
      <c r="O2383" s="29" t="s">
        <v>60</v>
      </c>
      <c r="P2383" s="29"/>
      <c r="Q2383" s="156">
        <v>550</v>
      </c>
      <c r="R2383" s="134" t="s">
        <v>1360</v>
      </c>
    </row>
    <row r="2384" spans="1:18" hidden="1">
      <c r="A2384" s="134" t="s">
        <v>1037</v>
      </c>
      <c r="C2384" s="29">
        <v>134500991</v>
      </c>
      <c r="D2384" s="29"/>
      <c r="E2384" s="29"/>
      <c r="F2384" s="29" t="s">
        <v>88</v>
      </c>
      <c r="G2384" s="29" t="s">
        <v>823</v>
      </c>
      <c r="H2384" s="29" t="s">
        <v>38</v>
      </c>
      <c r="I2384" s="120">
        <v>45791</v>
      </c>
      <c r="J2384" s="120">
        <f>WORKDAY(I2384, 3)</f>
        <v>45796</v>
      </c>
      <c r="K2384" s="120">
        <v>45822</v>
      </c>
      <c r="L2384" s="120"/>
      <c r="M2384" s="120"/>
      <c r="N2384" s="120">
        <v>45797</v>
      </c>
      <c r="O2384" s="29" t="s">
        <v>60</v>
      </c>
      <c r="P2384" s="29"/>
      <c r="Q2384" s="156">
        <v>250</v>
      </c>
      <c r="R2384" s="134" t="s">
        <v>1360</v>
      </c>
    </row>
    <row r="2385" spans="1:18" hidden="1">
      <c r="A2385" s="134" t="s">
        <v>1045</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88</v>
      </c>
      <c r="G2386" s="29" t="s">
        <v>823</v>
      </c>
      <c r="H2386" s="29" t="s">
        <v>38</v>
      </c>
      <c r="I2386" s="120">
        <v>45792</v>
      </c>
      <c r="J2386" s="120">
        <f>WORKDAY(I2386, 3)</f>
        <v>45797</v>
      </c>
      <c r="K2386" s="120">
        <v>45823</v>
      </c>
      <c r="L2386" s="120"/>
      <c r="M2386" s="120"/>
      <c r="N2386" s="120">
        <v>45797</v>
      </c>
      <c r="O2386" s="29" t="s">
        <v>60</v>
      </c>
      <c r="P2386" s="29"/>
      <c r="Q2386" s="156">
        <v>300</v>
      </c>
    </row>
    <row r="2387" spans="1:18" hidden="1">
      <c r="A2387" s="134" t="s">
        <v>1155</v>
      </c>
      <c r="C2387" s="29">
        <v>132500119</v>
      </c>
      <c r="D2387" s="29"/>
      <c r="E2387" s="29"/>
      <c r="F2387" s="29" t="s">
        <v>88</v>
      </c>
      <c r="G2387" s="29" t="s">
        <v>823</v>
      </c>
      <c r="H2387" s="29" t="s">
        <v>38</v>
      </c>
      <c r="I2387" s="120">
        <v>45789</v>
      </c>
      <c r="J2387" s="120">
        <f>WORKDAY(I2387, 3)</f>
        <v>45792</v>
      </c>
      <c r="K2387" s="120">
        <v>45820</v>
      </c>
      <c r="L2387" s="120"/>
      <c r="M2387" s="120"/>
      <c r="N2387" s="120">
        <v>45790</v>
      </c>
      <c r="O2387" s="29" t="s">
        <v>60</v>
      </c>
      <c r="P2387" s="29"/>
      <c r="Q2387" s="156">
        <v>1000</v>
      </c>
      <c r="R2387" s="134" t="s">
        <v>1360</v>
      </c>
    </row>
    <row r="2388" spans="1:18" hidden="1">
      <c r="A2388" s="134" t="s">
        <v>1155</v>
      </c>
      <c r="C2388" s="29">
        <v>132500128</v>
      </c>
      <c r="D2388" s="29"/>
      <c r="E2388" s="29"/>
      <c r="F2388" s="29" t="s">
        <v>88</v>
      </c>
      <c r="G2388" s="29" t="s">
        <v>823</v>
      </c>
      <c r="H2388" s="29" t="s">
        <v>38</v>
      </c>
      <c r="I2388" s="120">
        <v>45789</v>
      </c>
      <c r="J2388" s="120">
        <f>WORKDAY(I2388, 3)</f>
        <v>45792</v>
      </c>
      <c r="K2388" s="120">
        <v>45820</v>
      </c>
      <c r="L2388" s="120"/>
      <c r="M2388" s="120"/>
      <c r="N2388" s="120">
        <v>45790</v>
      </c>
      <c r="O2388" s="29" t="s">
        <v>60</v>
      </c>
      <c r="P2388" s="29"/>
      <c r="Q2388" s="156">
        <v>60</v>
      </c>
      <c r="R2388" s="134" t="s">
        <v>1360</v>
      </c>
    </row>
    <row r="2389" spans="1:18" hidden="1">
      <c r="A2389" s="134" t="s">
        <v>1155</v>
      </c>
      <c r="C2389" s="29">
        <v>132500140</v>
      </c>
      <c r="D2389" s="29"/>
      <c r="E2389" s="29"/>
      <c r="F2389" s="29" t="s">
        <v>88</v>
      </c>
      <c r="G2389" s="29" t="s">
        <v>823</v>
      </c>
      <c r="H2389" s="29" t="s">
        <v>38</v>
      </c>
      <c r="I2389" s="120">
        <v>45789</v>
      </c>
      <c r="J2389" s="120">
        <f>WORKDAY(I2389, 3)</f>
        <v>45792</v>
      </c>
      <c r="K2389" s="120">
        <v>45820</v>
      </c>
      <c r="L2389" s="120"/>
      <c r="M2389" s="120"/>
      <c r="N2389" s="120">
        <v>45790</v>
      </c>
      <c r="O2389" s="29" t="s">
        <v>60</v>
      </c>
      <c r="P2389" s="29"/>
      <c r="Q2389" s="156">
        <v>300</v>
      </c>
      <c r="R2389" s="134" t="s">
        <v>1360</v>
      </c>
    </row>
    <row r="2390" spans="1:18" hidden="1">
      <c r="A2390" s="134" t="s">
        <v>1155</v>
      </c>
      <c r="C2390" s="29">
        <v>132500147</v>
      </c>
      <c r="D2390" s="29"/>
      <c r="E2390" s="29"/>
      <c r="F2390" s="29" t="s">
        <v>88</v>
      </c>
      <c r="G2390" s="29" t="s">
        <v>823</v>
      </c>
      <c r="H2390" s="29" t="s">
        <v>38</v>
      </c>
      <c r="I2390" s="120">
        <v>45789</v>
      </c>
      <c r="J2390" s="120">
        <f>WORKDAY(I2390, 3)</f>
        <v>45792</v>
      </c>
      <c r="K2390" s="120">
        <v>45820</v>
      </c>
      <c r="L2390" s="120"/>
      <c r="M2390" s="120"/>
      <c r="N2390" s="120">
        <v>45790</v>
      </c>
      <c r="O2390" s="29" t="s">
        <v>60</v>
      </c>
      <c r="P2390" s="29"/>
      <c r="Q2390" s="156">
        <v>500</v>
      </c>
      <c r="R2390" s="134" t="s">
        <v>1360</v>
      </c>
    </row>
    <row r="2391" spans="1:18" hidden="1">
      <c r="A2391" s="134" t="s">
        <v>1155</v>
      </c>
      <c r="C2391" s="29">
        <v>132500149</v>
      </c>
      <c r="D2391" s="29"/>
      <c r="E2391" s="29"/>
      <c r="F2391" s="29" t="s">
        <v>88</v>
      </c>
      <c r="G2391" s="29" t="s">
        <v>823</v>
      </c>
      <c r="H2391" s="29" t="s">
        <v>38</v>
      </c>
      <c r="I2391" s="120">
        <v>45789</v>
      </c>
      <c r="J2391" s="120">
        <f>WORKDAY(I2391, 3)</f>
        <v>45792</v>
      </c>
      <c r="K2391" s="120">
        <v>45820</v>
      </c>
      <c r="L2391" s="120"/>
      <c r="M2391" s="120"/>
      <c r="N2391" s="120">
        <v>45790</v>
      </c>
      <c r="O2391" s="29" t="s">
        <v>60</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88</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88</v>
      </c>
      <c r="G2400" s="29" t="s">
        <v>823</v>
      </c>
      <c r="H2400" s="29" t="s">
        <v>38</v>
      </c>
      <c r="I2400" s="120">
        <v>45817</v>
      </c>
      <c r="J2400" s="120">
        <f>WORKDAY(I2400, 3)</f>
        <v>45820</v>
      </c>
      <c r="K2400" s="120">
        <v>45847</v>
      </c>
      <c r="L2400" s="120"/>
      <c r="M2400" s="120"/>
      <c r="N2400" s="29"/>
      <c r="O2400" s="29" t="s">
        <v>60</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171</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171</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171</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171</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88</v>
      </c>
      <c r="G2412" s="29" t="s">
        <v>823</v>
      </c>
      <c r="H2412" s="29" t="s">
        <v>38</v>
      </c>
      <c r="I2412" s="120">
        <v>45791</v>
      </c>
      <c r="J2412" s="120">
        <f>WORKDAY(I2412, 3)</f>
        <v>45796</v>
      </c>
      <c r="K2412" s="120">
        <v>45822</v>
      </c>
      <c r="L2412" s="120"/>
      <c r="M2412" s="120"/>
      <c r="N2412" s="120">
        <v>45797</v>
      </c>
      <c r="O2412" s="29" t="s">
        <v>171</v>
      </c>
      <c r="P2412" s="120"/>
      <c r="Q2412" s="156">
        <v>315</v>
      </c>
      <c r="R2412" s="134" t="s">
        <v>928</v>
      </c>
    </row>
    <row r="2413" spans="1:18" hidden="1">
      <c r="A2413" s="134" t="s">
        <v>1150</v>
      </c>
      <c r="C2413" s="29">
        <v>134502005</v>
      </c>
      <c r="D2413" s="29"/>
      <c r="E2413" s="29"/>
      <c r="F2413" s="29" t="s">
        <v>88</v>
      </c>
      <c r="G2413" s="29" t="s">
        <v>823</v>
      </c>
      <c r="H2413" s="29" t="s">
        <v>38</v>
      </c>
      <c r="I2413" s="120">
        <v>45791</v>
      </c>
      <c r="J2413" s="120">
        <f>WORKDAY(I2413, 3)</f>
        <v>45796</v>
      </c>
      <c r="K2413" s="120">
        <v>45822</v>
      </c>
      <c r="L2413" s="120"/>
      <c r="M2413" s="120"/>
      <c r="N2413" s="120">
        <v>45797</v>
      </c>
      <c r="O2413" s="29" t="s">
        <v>171</v>
      </c>
      <c r="P2413" s="120"/>
      <c r="Q2413" s="156">
        <v>50</v>
      </c>
      <c r="R2413" s="134" t="s">
        <v>928</v>
      </c>
    </row>
    <row r="2414" spans="1:18" hidden="1">
      <c r="A2414" s="134" t="s">
        <v>1150</v>
      </c>
      <c r="C2414" s="29">
        <v>134502258</v>
      </c>
      <c r="D2414" s="29"/>
      <c r="E2414" s="29"/>
      <c r="F2414" s="29" t="s">
        <v>88</v>
      </c>
      <c r="G2414" s="29" t="s">
        <v>823</v>
      </c>
      <c r="H2414" s="29" t="s">
        <v>38</v>
      </c>
      <c r="I2414" s="120">
        <v>45791</v>
      </c>
      <c r="J2414" s="120">
        <f>WORKDAY(I2414, 3)</f>
        <v>45796</v>
      </c>
      <c r="K2414" s="120">
        <v>45822</v>
      </c>
      <c r="L2414" s="120"/>
      <c r="M2414" s="120"/>
      <c r="N2414" s="120">
        <v>45797</v>
      </c>
      <c r="O2414" s="29" t="s">
        <v>171</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88</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88</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88</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88</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88</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88</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88</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88</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88</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171</v>
      </c>
      <c r="P2432" s="120"/>
      <c r="Q2432" s="156">
        <v>350</v>
      </c>
    </row>
    <row r="2433" spans="1:18" hidden="1">
      <c r="A2433" s="134" t="s">
        <v>1398</v>
      </c>
      <c r="C2433" s="29">
        <v>160503596</v>
      </c>
      <c r="D2433" s="29"/>
      <c r="E2433" s="29"/>
      <c r="F2433" s="29" t="s">
        <v>88</v>
      </c>
      <c r="G2433" s="29" t="s">
        <v>823</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1398</v>
      </c>
      <c r="C2434" s="29">
        <v>160503427</v>
      </c>
      <c r="D2434" s="29"/>
      <c r="E2434" s="29"/>
      <c r="F2434" s="29" t="s">
        <v>88</v>
      </c>
      <c r="G2434" s="29" t="s">
        <v>823</v>
      </c>
      <c r="H2434" s="29" t="s">
        <v>38</v>
      </c>
      <c r="I2434" s="120">
        <v>45817</v>
      </c>
      <c r="J2434" s="120">
        <f>WORKDAY(I2434, 3)</f>
        <v>45820</v>
      </c>
      <c r="K2434" s="120">
        <v>45847</v>
      </c>
      <c r="L2434" s="120"/>
      <c r="M2434" s="120"/>
      <c r="N2434" s="29"/>
      <c r="O2434" s="29" t="s">
        <v>171</v>
      </c>
      <c r="P2434" s="120"/>
      <c r="Q2434" s="156">
        <v>450</v>
      </c>
    </row>
    <row r="2435" spans="1:18" hidden="1">
      <c r="A2435" s="134" t="s">
        <v>1398</v>
      </c>
      <c r="C2435" s="29">
        <v>160503513</v>
      </c>
      <c r="D2435" s="29"/>
      <c r="E2435" s="29"/>
      <c r="F2435" s="29" t="s">
        <v>88</v>
      </c>
      <c r="G2435" s="29" t="s">
        <v>823</v>
      </c>
      <c r="H2435" s="29" t="s">
        <v>38</v>
      </c>
      <c r="I2435" s="120">
        <v>45817</v>
      </c>
      <c r="J2435" s="120">
        <f>WORKDAY(I2435, 3)</f>
        <v>45820</v>
      </c>
      <c r="K2435" s="120">
        <v>45847</v>
      </c>
      <c r="L2435" s="120"/>
      <c r="M2435" s="120"/>
      <c r="N2435" s="29"/>
      <c r="O2435" s="29" t="s">
        <v>171</v>
      </c>
      <c r="P2435" s="120"/>
      <c r="Q2435" s="156">
        <v>1260</v>
      </c>
    </row>
    <row r="2436" spans="1:18" hidden="1">
      <c r="A2436" s="134" t="s">
        <v>1398</v>
      </c>
      <c r="C2436" s="29">
        <v>160503625</v>
      </c>
      <c r="D2436" s="29"/>
      <c r="E2436" s="29"/>
      <c r="F2436" s="29" t="s">
        <v>88</v>
      </c>
      <c r="G2436" s="29" t="s">
        <v>823</v>
      </c>
      <c r="H2436" s="29" t="s">
        <v>38</v>
      </c>
      <c r="I2436" s="120">
        <v>45817</v>
      </c>
      <c r="J2436" s="120">
        <f>WORKDAY(I2436, 3)</f>
        <v>45820</v>
      </c>
      <c r="K2436" s="120">
        <v>45847</v>
      </c>
      <c r="L2436" s="120"/>
      <c r="M2436" s="120"/>
      <c r="N2436" s="29"/>
      <c r="O2436" s="29" t="s">
        <v>171</v>
      </c>
      <c r="P2436" s="120"/>
      <c r="Q2436" s="156">
        <v>1500</v>
      </c>
    </row>
    <row r="2437" spans="1:18" hidden="1">
      <c r="A2437" s="134" t="s">
        <v>1398</v>
      </c>
      <c r="C2437" s="29">
        <v>160503705</v>
      </c>
      <c r="D2437" s="29"/>
      <c r="E2437" s="29"/>
      <c r="F2437" s="29" t="s">
        <v>88</v>
      </c>
      <c r="G2437" s="29" t="s">
        <v>823</v>
      </c>
      <c r="H2437" s="29" t="s">
        <v>38</v>
      </c>
      <c r="I2437" s="120">
        <v>45817</v>
      </c>
      <c r="J2437" s="120">
        <f>WORKDAY(I2437, 3)</f>
        <v>45820</v>
      </c>
      <c r="K2437" s="120">
        <v>45847</v>
      </c>
      <c r="L2437" s="120"/>
      <c r="M2437" s="120"/>
      <c r="N2437" s="29"/>
      <c r="O2437" s="29" t="s">
        <v>171</v>
      </c>
      <c r="P2437" s="120"/>
      <c r="Q2437" s="156">
        <v>40</v>
      </c>
    </row>
    <row r="2438" spans="1:18" hidden="1">
      <c r="A2438" s="134" t="s">
        <v>1398</v>
      </c>
      <c r="C2438" s="29">
        <v>160503793</v>
      </c>
      <c r="D2438" s="29"/>
      <c r="E2438" s="29"/>
      <c r="F2438" s="29" t="s">
        <v>88</v>
      </c>
      <c r="G2438" s="29" t="s">
        <v>823</v>
      </c>
      <c r="H2438" s="29" t="s">
        <v>38</v>
      </c>
      <c r="I2438" s="120">
        <v>45817</v>
      </c>
      <c r="J2438" s="120">
        <f>WORKDAY(I2438, 3)</f>
        <v>45820</v>
      </c>
      <c r="K2438" s="120">
        <v>45847</v>
      </c>
      <c r="L2438" s="120"/>
      <c r="M2438" s="120"/>
      <c r="N2438" s="29"/>
      <c r="O2438" s="29" t="s">
        <v>171</v>
      </c>
      <c r="P2438" s="120"/>
      <c r="Q2438" s="156">
        <v>1100</v>
      </c>
    </row>
    <row r="2439" spans="1:18" hidden="1">
      <c r="A2439" s="134" t="s">
        <v>1398</v>
      </c>
      <c r="C2439" s="29">
        <v>160503894</v>
      </c>
      <c r="D2439" s="29"/>
      <c r="E2439" s="29"/>
      <c r="F2439" s="29" t="s">
        <v>88</v>
      </c>
      <c r="G2439" s="29" t="s">
        <v>823</v>
      </c>
      <c r="H2439" s="29" t="s">
        <v>38</v>
      </c>
      <c r="I2439" s="120">
        <v>45817</v>
      </c>
      <c r="J2439" s="120">
        <f>WORKDAY(I2439, 3)</f>
        <v>45820</v>
      </c>
      <c r="K2439" s="120">
        <v>45847</v>
      </c>
      <c r="L2439" s="120"/>
      <c r="M2439" s="120"/>
      <c r="N2439" s="29"/>
      <c r="O2439" s="29" t="s">
        <v>171</v>
      </c>
      <c r="P2439" s="120"/>
      <c r="Q2439" s="156">
        <v>570</v>
      </c>
    </row>
    <row r="2440" spans="1:18" hidden="1">
      <c r="A2440" s="134" t="s">
        <v>1398</v>
      </c>
      <c r="C2440" s="29">
        <v>160504211</v>
      </c>
      <c r="D2440" s="29"/>
      <c r="E2440" s="29"/>
      <c r="F2440" s="29" t="s">
        <v>88</v>
      </c>
      <c r="G2440" s="29" t="s">
        <v>823</v>
      </c>
      <c r="H2440" s="29" t="s">
        <v>38</v>
      </c>
      <c r="I2440" s="120">
        <v>45817</v>
      </c>
      <c r="J2440" s="120">
        <f>WORKDAY(I2440, 3)</f>
        <v>45820</v>
      </c>
      <c r="K2440" s="120">
        <v>45847</v>
      </c>
      <c r="L2440" s="120"/>
      <c r="M2440" s="120"/>
      <c r="N2440" s="29"/>
      <c r="O2440" s="29" t="s">
        <v>171</v>
      </c>
      <c r="P2440" s="120"/>
      <c r="Q2440" s="156">
        <v>200</v>
      </c>
    </row>
    <row r="2441" spans="1:18" hidden="1">
      <c r="A2441" s="134" t="s">
        <v>1398</v>
      </c>
      <c r="C2441" s="29">
        <v>160504235</v>
      </c>
      <c r="D2441" s="29"/>
      <c r="E2441" s="29"/>
      <c r="F2441" s="29" t="s">
        <v>88</v>
      </c>
      <c r="G2441" s="29" t="s">
        <v>823</v>
      </c>
      <c r="H2441" s="29" t="s">
        <v>38</v>
      </c>
      <c r="I2441" s="120">
        <v>45817</v>
      </c>
      <c r="J2441" s="120">
        <f>WORKDAY(I2441, 3)</f>
        <v>45820</v>
      </c>
      <c r="K2441" s="120">
        <v>45847</v>
      </c>
      <c r="L2441" s="120"/>
      <c r="M2441" s="120"/>
      <c r="N2441" s="29"/>
      <c r="O2441" s="29" t="s">
        <v>171</v>
      </c>
      <c r="P2441" s="120"/>
      <c r="Q2441" s="156">
        <v>250</v>
      </c>
    </row>
    <row r="2442" spans="1:18" hidden="1">
      <c r="A2442" s="134" t="s">
        <v>1398</v>
      </c>
      <c r="C2442" s="29">
        <v>160504281</v>
      </c>
      <c r="D2442" s="29"/>
      <c r="E2442" s="29"/>
      <c r="F2442" s="29" t="s">
        <v>88</v>
      </c>
      <c r="G2442" s="29" t="s">
        <v>823</v>
      </c>
      <c r="H2442" s="29" t="s">
        <v>38</v>
      </c>
      <c r="I2442" s="120">
        <v>45817</v>
      </c>
      <c r="J2442" s="120">
        <f>WORKDAY(I2442, 3)</f>
        <v>45820</v>
      </c>
      <c r="K2442" s="120">
        <v>45847</v>
      </c>
      <c r="L2442" s="120"/>
      <c r="M2442" s="120"/>
      <c r="N2442" s="29"/>
      <c r="O2442" s="29" t="s">
        <v>171</v>
      </c>
      <c r="P2442" s="120"/>
      <c r="Q2442" s="156">
        <v>530</v>
      </c>
    </row>
    <row r="2443" spans="1:18" hidden="1">
      <c r="A2443" s="134" t="s">
        <v>1399</v>
      </c>
      <c r="C2443" s="29">
        <v>161503640</v>
      </c>
      <c r="D2443" s="29"/>
      <c r="E2443" s="29"/>
      <c r="F2443" s="29" t="s">
        <v>88</v>
      </c>
      <c r="G2443" s="29" t="s">
        <v>823</v>
      </c>
      <c r="H2443" s="29" t="s">
        <v>38</v>
      </c>
      <c r="I2443" s="120">
        <v>45818</v>
      </c>
      <c r="J2443" s="120">
        <f>WORKDAY(I2443, 3)</f>
        <v>45821</v>
      </c>
      <c r="K2443" s="120">
        <v>45848</v>
      </c>
      <c r="L2443" s="120"/>
      <c r="M2443" s="120"/>
      <c r="N2443" s="120">
        <v>45825</v>
      </c>
      <c r="O2443" s="29" t="s">
        <v>171</v>
      </c>
      <c r="P2443" s="120"/>
      <c r="Q2443" s="156">
        <v>65</v>
      </c>
    </row>
    <row r="2444" spans="1:18" hidden="1">
      <c r="A2444" s="134" t="s">
        <v>1158</v>
      </c>
      <c r="C2444" s="29">
        <v>134501393</v>
      </c>
      <c r="D2444" s="29"/>
      <c r="E2444" s="29"/>
      <c r="F2444" s="29" t="s">
        <v>88</v>
      </c>
      <c r="G2444" s="29" t="s">
        <v>823</v>
      </c>
      <c r="H2444" s="29" t="s">
        <v>38</v>
      </c>
      <c r="I2444" s="120">
        <v>45791</v>
      </c>
      <c r="J2444" s="120">
        <f>WORKDAY(I2444, 3)</f>
        <v>45796</v>
      </c>
      <c r="K2444" s="120">
        <v>45822</v>
      </c>
      <c r="L2444" s="120"/>
      <c r="M2444" s="120"/>
      <c r="N2444" s="120">
        <v>45797</v>
      </c>
      <c r="O2444" s="29" t="s">
        <v>60</v>
      </c>
      <c r="P2444" s="29"/>
      <c r="Q2444" s="156">
        <v>685</v>
      </c>
      <c r="R2444" s="134" t="s">
        <v>1393</v>
      </c>
    </row>
    <row r="2445" spans="1:18" hidden="1">
      <c r="A2445" s="134" t="s">
        <v>1158</v>
      </c>
      <c r="C2445" s="29">
        <v>134502372</v>
      </c>
      <c r="D2445" s="29"/>
      <c r="E2445" s="29"/>
      <c r="F2445" s="29" t="s">
        <v>88</v>
      </c>
      <c r="G2445" s="29" t="s">
        <v>823</v>
      </c>
      <c r="H2445" s="29" t="s">
        <v>38</v>
      </c>
      <c r="I2445" s="120">
        <v>45791</v>
      </c>
      <c r="J2445" s="120">
        <f>WORKDAY(I2445, 3)</f>
        <v>45796</v>
      </c>
      <c r="K2445" s="120">
        <v>45822</v>
      </c>
      <c r="L2445" s="120"/>
      <c r="M2445" s="120"/>
      <c r="N2445" s="120">
        <v>45797</v>
      </c>
      <c r="O2445" s="29" t="s">
        <v>60</v>
      </c>
      <c r="P2445" s="29"/>
      <c r="Q2445" s="156">
        <v>250</v>
      </c>
      <c r="R2445" s="134" t="s">
        <v>1360</v>
      </c>
    </row>
    <row r="2446" spans="1:18" hidden="1">
      <c r="A2446" s="134" t="s">
        <v>1158</v>
      </c>
      <c r="C2446" s="29">
        <v>134502391</v>
      </c>
      <c r="D2446" s="29"/>
      <c r="E2446" s="29"/>
      <c r="F2446" s="29" t="s">
        <v>88</v>
      </c>
      <c r="G2446" s="29" t="s">
        <v>823</v>
      </c>
      <c r="H2446" s="29" t="s">
        <v>38</v>
      </c>
      <c r="I2446" s="120">
        <v>45791</v>
      </c>
      <c r="J2446" s="120">
        <f>WORKDAY(I2446, 3)</f>
        <v>45796</v>
      </c>
      <c r="K2446" s="120">
        <v>45822</v>
      </c>
      <c r="L2446" s="120"/>
      <c r="M2446" s="120"/>
      <c r="N2446" s="120">
        <v>45797</v>
      </c>
      <c r="O2446" s="29" t="s">
        <v>171</v>
      </c>
      <c r="P2446" s="120"/>
      <c r="Q2446" s="156">
        <v>685</v>
      </c>
    </row>
    <row r="2447" spans="1:18" hidden="1">
      <c r="A2447" s="134" t="s">
        <v>1058</v>
      </c>
      <c r="C2447" s="29">
        <v>134501374</v>
      </c>
      <c r="D2447" s="29"/>
      <c r="E2447" s="29"/>
      <c r="F2447" s="29" t="s">
        <v>88</v>
      </c>
      <c r="G2447" s="29" t="s">
        <v>823</v>
      </c>
      <c r="H2447" s="29" t="s">
        <v>38</v>
      </c>
      <c r="I2447" s="120">
        <v>45791</v>
      </c>
      <c r="J2447" s="120">
        <f>WORKDAY(I2447, 3)</f>
        <v>45796</v>
      </c>
      <c r="K2447" s="120">
        <v>45822</v>
      </c>
      <c r="L2447" s="120"/>
      <c r="M2447" s="120"/>
      <c r="N2447" s="120">
        <v>45797</v>
      </c>
      <c r="O2447" s="29" t="s">
        <v>60</v>
      </c>
      <c r="P2447" s="29"/>
      <c r="Q2447" s="156">
        <v>1000</v>
      </c>
      <c r="R2447" s="134" t="s">
        <v>1393</v>
      </c>
    </row>
    <row r="2448" spans="1:18" hidden="1">
      <c r="A2448" s="134" t="s">
        <v>1058</v>
      </c>
      <c r="C2448" s="29">
        <v>134501433</v>
      </c>
      <c r="D2448" s="29"/>
      <c r="E2448" s="29"/>
      <c r="F2448" s="29" t="s">
        <v>88</v>
      </c>
      <c r="G2448" s="29" t="s">
        <v>823</v>
      </c>
      <c r="H2448" s="29" t="s">
        <v>38</v>
      </c>
      <c r="I2448" s="120">
        <v>45791</v>
      </c>
      <c r="J2448" s="120">
        <f>WORKDAY(I2448, 3)</f>
        <v>45796</v>
      </c>
      <c r="K2448" s="120">
        <v>45822</v>
      </c>
      <c r="L2448" s="120"/>
      <c r="M2448" s="120"/>
      <c r="N2448" s="120">
        <v>45797</v>
      </c>
      <c r="O2448" s="29" t="s">
        <v>60</v>
      </c>
      <c r="P2448" s="29"/>
      <c r="Q2448" s="156">
        <v>700</v>
      </c>
      <c r="R2448" s="134" t="s">
        <v>1393</v>
      </c>
    </row>
    <row r="2449" spans="1:18" hidden="1">
      <c r="A2449" s="134" t="s">
        <v>1058</v>
      </c>
      <c r="C2449" s="29">
        <v>134501442</v>
      </c>
      <c r="D2449" s="29"/>
      <c r="E2449" s="29"/>
      <c r="F2449" s="29" t="s">
        <v>88</v>
      </c>
      <c r="G2449" s="29" t="s">
        <v>823</v>
      </c>
      <c r="H2449" s="29" t="s">
        <v>38</v>
      </c>
      <c r="I2449" s="120">
        <v>45791</v>
      </c>
      <c r="J2449" s="120">
        <f>WORKDAY(I2449, 3)</f>
        <v>45796</v>
      </c>
      <c r="K2449" s="120">
        <v>45822</v>
      </c>
      <c r="L2449" s="120"/>
      <c r="M2449" s="120"/>
      <c r="N2449" s="120">
        <v>45797</v>
      </c>
      <c r="O2449" s="29" t="s">
        <v>60</v>
      </c>
      <c r="P2449" s="29"/>
      <c r="Q2449" s="156">
        <v>610</v>
      </c>
      <c r="R2449" s="134" t="s">
        <v>1400</v>
      </c>
    </row>
    <row r="2450" spans="1:18" hidden="1">
      <c r="A2450" s="134" t="s">
        <v>1058</v>
      </c>
      <c r="C2450" s="29">
        <v>134501489</v>
      </c>
      <c r="D2450" s="29"/>
      <c r="E2450" s="29"/>
      <c r="F2450" s="29" t="s">
        <v>88</v>
      </c>
      <c r="G2450" s="29" t="s">
        <v>823</v>
      </c>
      <c r="H2450" s="29" t="s">
        <v>38</v>
      </c>
      <c r="I2450" s="120">
        <v>45791</v>
      </c>
      <c r="J2450" s="120">
        <f>WORKDAY(I2450, 3)</f>
        <v>45796</v>
      </c>
      <c r="K2450" s="120">
        <v>45822</v>
      </c>
      <c r="L2450" s="120"/>
      <c r="M2450" s="120"/>
      <c r="N2450" s="120">
        <v>45797</v>
      </c>
      <c r="O2450" s="29" t="s">
        <v>60</v>
      </c>
      <c r="P2450" s="29"/>
      <c r="Q2450" s="156">
        <v>350</v>
      </c>
      <c r="R2450" s="134" t="s">
        <v>1393</v>
      </c>
    </row>
    <row r="2451" spans="1:18" hidden="1">
      <c r="A2451" s="134" t="s">
        <v>1058</v>
      </c>
      <c r="C2451" s="29">
        <v>134502403</v>
      </c>
      <c r="D2451" s="29"/>
      <c r="E2451" s="29"/>
      <c r="F2451" s="29" t="s">
        <v>88</v>
      </c>
      <c r="G2451" s="29" t="s">
        <v>823</v>
      </c>
      <c r="H2451" s="29" t="s">
        <v>38</v>
      </c>
      <c r="I2451" s="120">
        <v>45791</v>
      </c>
      <c r="J2451" s="120">
        <f>WORKDAY(I2451, 3)</f>
        <v>45796</v>
      </c>
      <c r="K2451" s="120">
        <v>45822</v>
      </c>
      <c r="L2451" s="120"/>
      <c r="M2451" s="120"/>
      <c r="N2451" s="120">
        <v>45797</v>
      </c>
      <c r="O2451" s="29" t="s">
        <v>60</v>
      </c>
      <c r="P2451" s="29"/>
      <c r="Q2451" s="156">
        <v>750</v>
      </c>
      <c r="R2451" s="134" t="s">
        <v>1393</v>
      </c>
    </row>
    <row r="2452" spans="1:18" hidden="1">
      <c r="A2452" s="134" t="s">
        <v>1137</v>
      </c>
      <c r="C2452" s="29">
        <v>134501629</v>
      </c>
      <c r="D2452" s="29"/>
      <c r="E2452" s="29"/>
      <c r="F2452" s="29" t="s">
        <v>88</v>
      </c>
      <c r="G2452" s="29" t="s">
        <v>823</v>
      </c>
      <c r="H2452" s="29" t="s">
        <v>38</v>
      </c>
      <c r="I2452" s="120">
        <v>45791</v>
      </c>
      <c r="J2452" s="120">
        <f>WORKDAY(I2452, 3)</f>
        <v>45796</v>
      </c>
      <c r="K2452" s="120">
        <v>45822</v>
      </c>
      <c r="L2452" s="120"/>
      <c r="M2452" s="120"/>
      <c r="N2452" s="120">
        <v>45797</v>
      </c>
      <c r="O2452" s="29" t="s">
        <v>60</v>
      </c>
      <c r="P2452" s="29"/>
      <c r="Q2452" s="156">
        <v>330</v>
      </c>
      <c r="R2452" s="134" t="s">
        <v>1360</v>
      </c>
    </row>
    <row r="2453" spans="1:18" hidden="1">
      <c r="A2453" s="134" t="s">
        <v>1137</v>
      </c>
      <c r="C2453" s="29">
        <v>134501815</v>
      </c>
      <c r="D2453" s="29"/>
      <c r="E2453" s="29"/>
      <c r="F2453" s="29" t="s">
        <v>88</v>
      </c>
      <c r="G2453" s="29" t="s">
        <v>823</v>
      </c>
      <c r="H2453" s="29" t="s">
        <v>38</v>
      </c>
      <c r="I2453" s="120">
        <v>45791</v>
      </c>
      <c r="J2453" s="120">
        <f>WORKDAY(I2453, 3)</f>
        <v>45796</v>
      </c>
      <c r="K2453" s="120">
        <v>45822</v>
      </c>
      <c r="L2453" s="120"/>
      <c r="M2453" s="120"/>
      <c r="N2453" s="120">
        <v>45797</v>
      </c>
      <c r="O2453" s="29" t="s">
        <v>171</v>
      </c>
      <c r="P2453" s="120"/>
      <c r="Q2453" s="156">
        <v>600</v>
      </c>
    </row>
    <row r="2454" spans="1:18" hidden="1">
      <c r="A2454" s="134" t="s">
        <v>1134</v>
      </c>
      <c r="C2454" s="29">
        <v>134501911</v>
      </c>
      <c r="D2454" s="29"/>
      <c r="E2454" s="29"/>
      <c r="F2454" s="29" t="s">
        <v>88</v>
      </c>
      <c r="G2454" s="29" t="s">
        <v>823</v>
      </c>
      <c r="H2454" s="29" t="s">
        <v>38</v>
      </c>
      <c r="I2454" s="120">
        <v>45791</v>
      </c>
      <c r="J2454" s="120">
        <f>WORKDAY(I2454, 3)</f>
        <v>45796</v>
      </c>
      <c r="K2454" s="120">
        <v>45822</v>
      </c>
      <c r="L2454" s="120"/>
      <c r="M2454" s="120"/>
      <c r="N2454" s="120">
        <v>45797</v>
      </c>
      <c r="O2454" s="29" t="s">
        <v>60</v>
      </c>
      <c r="P2454" s="29"/>
      <c r="Q2454" s="156">
        <v>1400</v>
      </c>
      <c r="R2454" s="134" t="s">
        <v>1401</v>
      </c>
    </row>
    <row r="2455" spans="1:18" hidden="1">
      <c r="A2455" s="134" t="s">
        <v>1134</v>
      </c>
      <c r="C2455" s="29">
        <v>134501456</v>
      </c>
      <c r="D2455" s="29"/>
      <c r="E2455" s="29"/>
      <c r="F2455" s="29" t="s">
        <v>88</v>
      </c>
      <c r="G2455" s="29" t="s">
        <v>823</v>
      </c>
      <c r="H2455" s="29" t="s">
        <v>38</v>
      </c>
      <c r="I2455" s="120">
        <v>45791</v>
      </c>
      <c r="J2455" s="120">
        <f>WORKDAY(I2455, 3)</f>
        <v>45796</v>
      </c>
      <c r="K2455" s="120">
        <v>45822</v>
      </c>
      <c r="L2455" s="120"/>
      <c r="M2455" s="120"/>
      <c r="N2455" s="120">
        <v>45797</v>
      </c>
      <c r="O2455" s="29" t="s">
        <v>171</v>
      </c>
      <c r="P2455" s="120"/>
      <c r="Q2455" s="156">
        <v>260</v>
      </c>
    </row>
    <row r="2456" spans="1:18" hidden="1">
      <c r="A2456" s="134" t="s">
        <v>1136</v>
      </c>
      <c r="C2456" s="29">
        <v>134502311</v>
      </c>
      <c r="D2456" s="29"/>
      <c r="E2456" s="29"/>
      <c r="F2456" s="29" t="s">
        <v>88</v>
      </c>
      <c r="G2456" s="29" t="s">
        <v>823</v>
      </c>
      <c r="H2456" s="29" t="s">
        <v>38</v>
      </c>
      <c r="I2456" s="120">
        <v>45791</v>
      </c>
      <c r="J2456" s="120">
        <f>WORKDAY(I2456, 3)</f>
        <v>45796</v>
      </c>
      <c r="K2456" s="120">
        <v>45822</v>
      </c>
      <c r="L2456" s="120"/>
      <c r="M2456" s="120"/>
      <c r="N2456" s="120">
        <v>45797</v>
      </c>
      <c r="O2456" s="29" t="s">
        <v>60</v>
      </c>
      <c r="P2456" s="29"/>
      <c r="Q2456" s="156">
        <v>150</v>
      </c>
      <c r="R2456" s="134" t="s">
        <v>1360</v>
      </c>
    </row>
    <row r="2457" spans="1:18" hidden="1">
      <c r="A2457" s="134" t="s">
        <v>1136</v>
      </c>
      <c r="C2457" s="29">
        <v>134502355</v>
      </c>
      <c r="D2457" s="29"/>
      <c r="E2457" s="29"/>
      <c r="F2457" s="29" t="s">
        <v>88</v>
      </c>
      <c r="G2457" s="29" t="s">
        <v>823</v>
      </c>
      <c r="H2457" s="29" t="s">
        <v>38</v>
      </c>
      <c r="I2457" s="120">
        <v>45791</v>
      </c>
      <c r="J2457" s="120">
        <f>WORKDAY(I2457, 3)</f>
        <v>45796</v>
      </c>
      <c r="K2457" s="120">
        <v>45822</v>
      </c>
      <c r="L2457" s="120"/>
      <c r="M2457" s="120"/>
      <c r="N2457" s="120">
        <v>45797</v>
      </c>
      <c r="O2457" s="29" t="s">
        <v>171</v>
      </c>
      <c r="P2457" s="120"/>
      <c r="Q2457" s="156">
        <v>330</v>
      </c>
    </row>
    <row r="2458" spans="1:18" hidden="1">
      <c r="A2458" s="134" t="s">
        <v>1158</v>
      </c>
      <c r="C2458" s="29">
        <v>135500110</v>
      </c>
      <c r="D2458" s="29"/>
      <c r="E2458" s="29"/>
      <c r="F2458" s="29" t="s">
        <v>88</v>
      </c>
      <c r="G2458" s="29" t="s">
        <v>823</v>
      </c>
      <c r="H2458" s="29" t="s">
        <v>38</v>
      </c>
      <c r="I2458" s="120">
        <v>45792</v>
      </c>
      <c r="J2458" s="120">
        <f>WORKDAY(I2458, 3)</f>
        <v>45797</v>
      </c>
      <c r="K2458" s="120">
        <v>45823</v>
      </c>
      <c r="L2458" s="120"/>
      <c r="M2458" s="120"/>
      <c r="N2458" s="120">
        <v>45797</v>
      </c>
      <c r="O2458" s="29" t="s">
        <v>60</v>
      </c>
      <c r="P2458" s="29"/>
      <c r="Q2458" s="156">
        <v>250</v>
      </c>
      <c r="R2458" s="134" t="s">
        <v>1395</v>
      </c>
    </row>
    <row r="2459" spans="1:18" hidden="1">
      <c r="A2459" s="134" t="s">
        <v>1158</v>
      </c>
      <c r="C2459" s="29">
        <v>135501053</v>
      </c>
      <c r="D2459" s="29"/>
      <c r="E2459" s="29"/>
      <c r="F2459" s="29" t="s">
        <v>88</v>
      </c>
      <c r="G2459" s="29" t="s">
        <v>823</v>
      </c>
      <c r="H2459" s="29" t="s">
        <v>38</v>
      </c>
      <c r="I2459" s="120">
        <v>45792</v>
      </c>
      <c r="J2459" s="120">
        <f>WORKDAY(I2459, 3)</f>
        <v>45797</v>
      </c>
      <c r="K2459" s="120">
        <v>45823</v>
      </c>
      <c r="L2459" s="120"/>
      <c r="M2459" s="120"/>
      <c r="N2459" s="120">
        <v>45797</v>
      </c>
      <c r="O2459" s="29" t="s">
        <v>60</v>
      </c>
      <c r="P2459" s="29"/>
      <c r="Q2459" s="156">
        <v>375</v>
      </c>
      <c r="R2459" s="134" t="s">
        <v>1393</v>
      </c>
    </row>
    <row r="2460" spans="1:18" hidden="1">
      <c r="A2460" s="134" t="s">
        <v>1158</v>
      </c>
      <c r="C2460" s="29">
        <v>135501062</v>
      </c>
      <c r="D2460" s="29"/>
      <c r="E2460" s="29"/>
      <c r="F2460" s="29" t="s">
        <v>88</v>
      </c>
      <c r="G2460" s="29" t="s">
        <v>823</v>
      </c>
      <c r="H2460" s="29" t="s">
        <v>38</v>
      </c>
      <c r="I2460" s="120">
        <v>45792</v>
      </c>
      <c r="J2460" s="120">
        <f>WORKDAY(I2460, 3)</f>
        <v>45797</v>
      </c>
      <c r="K2460" s="120">
        <v>45823</v>
      </c>
      <c r="L2460" s="120"/>
      <c r="M2460" s="120"/>
      <c r="N2460" s="120">
        <v>45797</v>
      </c>
      <c r="O2460" s="29" t="s">
        <v>60</v>
      </c>
      <c r="P2460" s="29"/>
      <c r="Q2460" s="156">
        <v>165</v>
      </c>
      <c r="R2460" s="134" t="s">
        <v>1393</v>
      </c>
    </row>
    <row r="2461" spans="1:18" hidden="1">
      <c r="A2461" s="134" t="s">
        <v>1058</v>
      </c>
      <c r="C2461" s="29">
        <v>135500109</v>
      </c>
      <c r="D2461" s="29"/>
      <c r="E2461" s="29"/>
      <c r="F2461" s="29" t="s">
        <v>88</v>
      </c>
      <c r="G2461" s="29" t="s">
        <v>823</v>
      </c>
      <c r="H2461" s="29" t="s">
        <v>38</v>
      </c>
      <c r="I2461" s="120">
        <v>45792</v>
      </c>
      <c r="J2461" s="120">
        <f>WORKDAY(I2461, 3)</f>
        <v>45797</v>
      </c>
      <c r="K2461" s="120">
        <v>45823</v>
      </c>
      <c r="L2461" s="120"/>
      <c r="M2461" s="120"/>
      <c r="N2461" s="120">
        <v>45797</v>
      </c>
      <c r="O2461" s="29" t="s">
        <v>60</v>
      </c>
      <c r="P2461" s="29"/>
      <c r="Q2461" s="156">
        <v>610</v>
      </c>
      <c r="R2461" s="134" t="s">
        <v>1395</v>
      </c>
    </row>
    <row r="2462" spans="1:18" hidden="1">
      <c r="A2462" s="134" t="s">
        <v>1137</v>
      </c>
      <c r="C2462" s="29">
        <v>135500113</v>
      </c>
      <c r="D2462" s="29"/>
      <c r="E2462" s="29"/>
      <c r="F2462" s="29" t="s">
        <v>88</v>
      </c>
      <c r="G2462" s="29" t="s">
        <v>823</v>
      </c>
      <c r="H2462" s="29" t="s">
        <v>38</v>
      </c>
      <c r="I2462" s="120">
        <v>45792</v>
      </c>
      <c r="J2462" s="120">
        <f>WORKDAY(I2462, 3)</f>
        <v>45797</v>
      </c>
      <c r="K2462" s="120">
        <v>45823</v>
      </c>
      <c r="L2462" s="120"/>
      <c r="M2462" s="120"/>
      <c r="N2462" s="120">
        <v>45797</v>
      </c>
      <c r="O2462" s="29" t="s">
        <v>60</v>
      </c>
      <c r="P2462" s="29"/>
      <c r="Q2462" s="156">
        <v>60</v>
      </c>
      <c r="R2462" s="134" t="s">
        <v>1360</v>
      </c>
    </row>
    <row r="2463" spans="1:18" hidden="1">
      <c r="A2463" s="134" t="s">
        <v>1137</v>
      </c>
      <c r="C2463" s="29">
        <v>135500114</v>
      </c>
      <c r="D2463" s="29"/>
      <c r="E2463" s="29"/>
      <c r="F2463" s="29" t="s">
        <v>88</v>
      </c>
      <c r="G2463" s="29" t="s">
        <v>823</v>
      </c>
      <c r="H2463" s="29" t="s">
        <v>38</v>
      </c>
      <c r="I2463" s="120">
        <v>45792</v>
      </c>
      <c r="J2463" s="120">
        <f>WORKDAY(I2463, 3)</f>
        <v>45797</v>
      </c>
      <c r="K2463" s="120">
        <v>45823</v>
      </c>
      <c r="L2463" s="120"/>
      <c r="M2463" s="120"/>
      <c r="N2463" s="120">
        <v>45797</v>
      </c>
      <c r="O2463" s="29" t="s">
        <v>60</v>
      </c>
      <c r="P2463" s="29"/>
      <c r="Q2463" s="156">
        <v>450</v>
      </c>
      <c r="R2463" s="134" t="s">
        <v>1401</v>
      </c>
    </row>
    <row r="2464" spans="1:18" hidden="1">
      <c r="A2464" s="134" t="s">
        <v>1137</v>
      </c>
      <c r="C2464" s="29">
        <v>135500115</v>
      </c>
      <c r="D2464" s="29"/>
      <c r="E2464" s="29"/>
      <c r="F2464" s="29" t="s">
        <v>88</v>
      </c>
      <c r="G2464" s="29" t="s">
        <v>823</v>
      </c>
      <c r="H2464" s="29" t="s">
        <v>38</v>
      </c>
      <c r="I2464" s="120">
        <v>45792</v>
      </c>
      <c r="J2464" s="120">
        <f>WORKDAY(I2464, 3)</f>
        <v>45797</v>
      </c>
      <c r="K2464" s="120">
        <v>45823</v>
      </c>
      <c r="L2464" s="120"/>
      <c r="M2464" s="120"/>
      <c r="N2464" s="120">
        <v>45797</v>
      </c>
      <c r="O2464" s="29" t="s">
        <v>60</v>
      </c>
      <c r="P2464" s="29"/>
      <c r="Q2464" s="156">
        <v>500</v>
      </c>
      <c r="R2464" s="134" t="s">
        <v>1401</v>
      </c>
    </row>
    <row r="2465" spans="1:18" hidden="1">
      <c r="A2465" s="134" t="s">
        <v>1137</v>
      </c>
      <c r="C2465" s="29">
        <v>135500117</v>
      </c>
      <c r="D2465" s="29"/>
      <c r="E2465" s="29"/>
      <c r="F2465" s="29" t="s">
        <v>88</v>
      </c>
      <c r="G2465" s="29" t="s">
        <v>823</v>
      </c>
      <c r="H2465" s="29" t="s">
        <v>38</v>
      </c>
      <c r="I2465" s="120">
        <v>45792</v>
      </c>
      <c r="J2465" s="120">
        <f>WORKDAY(I2465, 3)</f>
        <v>45797</v>
      </c>
      <c r="K2465" s="120">
        <v>45823</v>
      </c>
      <c r="L2465" s="120"/>
      <c r="M2465" s="120"/>
      <c r="N2465" s="120">
        <v>45797</v>
      </c>
      <c r="O2465" s="29" t="s">
        <v>60</v>
      </c>
      <c r="P2465" s="29"/>
      <c r="Q2465" s="156">
        <v>640</v>
      </c>
      <c r="R2465" s="134" t="s">
        <v>1401</v>
      </c>
    </row>
    <row r="2466" spans="1:18" hidden="1">
      <c r="A2466" s="134" t="s">
        <v>1137</v>
      </c>
      <c r="C2466" s="29">
        <v>135501075</v>
      </c>
      <c r="D2466" s="29"/>
      <c r="E2466" s="29"/>
      <c r="F2466" s="29" t="s">
        <v>88</v>
      </c>
      <c r="G2466" s="29" t="s">
        <v>823</v>
      </c>
      <c r="H2466" s="29" t="s">
        <v>38</v>
      </c>
      <c r="I2466" s="120">
        <v>45792</v>
      </c>
      <c r="J2466" s="120">
        <f>WORKDAY(I2466, 3)</f>
        <v>45797</v>
      </c>
      <c r="K2466" s="120">
        <v>45823</v>
      </c>
      <c r="L2466" s="120"/>
      <c r="M2466" s="120"/>
      <c r="N2466" s="120">
        <v>45797</v>
      </c>
      <c r="O2466" s="29" t="s">
        <v>171</v>
      </c>
      <c r="P2466" s="120"/>
      <c r="Q2466" s="156">
        <v>230</v>
      </c>
    </row>
    <row r="2467" spans="1:18" hidden="1">
      <c r="A2467" s="134" t="s">
        <v>1134</v>
      </c>
      <c r="C2467" s="29">
        <v>135501040</v>
      </c>
      <c r="D2467" s="29"/>
      <c r="E2467" s="29"/>
      <c r="F2467" s="29" t="s">
        <v>88</v>
      </c>
      <c r="G2467" s="29" t="s">
        <v>823</v>
      </c>
      <c r="H2467" s="29" t="s">
        <v>38</v>
      </c>
      <c r="I2467" s="120">
        <v>45792</v>
      </c>
      <c r="J2467" s="120">
        <f>WORKDAY(I2467, 3)</f>
        <v>45797</v>
      </c>
      <c r="K2467" s="120">
        <v>45823</v>
      </c>
      <c r="L2467" s="120"/>
      <c r="M2467" s="120"/>
      <c r="N2467" s="120">
        <v>45797</v>
      </c>
      <c r="O2467" s="29" t="s">
        <v>60</v>
      </c>
      <c r="P2467" s="29"/>
      <c r="Q2467" s="156">
        <v>700</v>
      </c>
      <c r="R2467" s="134" t="s">
        <v>1393</v>
      </c>
    </row>
    <row r="2468" spans="1:18" hidden="1">
      <c r="A2468" s="134" t="s">
        <v>1143</v>
      </c>
      <c r="C2468" s="29">
        <v>135500168</v>
      </c>
      <c r="D2468" s="29"/>
      <c r="E2468" s="29"/>
      <c r="F2468" s="29" t="s">
        <v>88</v>
      </c>
      <c r="G2468" s="29" t="s">
        <v>823</v>
      </c>
      <c r="H2468" s="29" t="s">
        <v>38</v>
      </c>
      <c r="I2468" s="120">
        <v>45792</v>
      </c>
      <c r="J2468" s="120">
        <f>WORKDAY(I2468, 3)</f>
        <v>45797</v>
      </c>
      <c r="K2468" s="120">
        <v>45823</v>
      </c>
      <c r="L2468" s="120"/>
      <c r="M2468" s="120"/>
      <c r="N2468" s="120">
        <v>45797</v>
      </c>
      <c r="O2468" s="29" t="s">
        <v>60</v>
      </c>
      <c r="P2468" s="29"/>
      <c r="Q2468" s="156">
        <v>400</v>
      </c>
      <c r="R2468" s="134" t="s">
        <v>1401</v>
      </c>
    </row>
    <row r="2469" spans="1:18" hidden="1">
      <c r="A2469" s="134" t="s">
        <v>1143</v>
      </c>
      <c r="C2469" s="29">
        <v>135500194</v>
      </c>
      <c r="D2469" s="29"/>
      <c r="E2469" s="29"/>
      <c r="F2469" s="29" t="s">
        <v>88</v>
      </c>
      <c r="G2469" s="29" t="s">
        <v>823</v>
      </c>
      <c r="H2469" s="29" t="s">
        <v>38</v>
      </c>
      <c r="I2469" s="120">
        <v>45792</v>
      </c>
      <c r="J2469" s="120">
        <f>WORKDAY(I2469, 3)</f>
        <v>45797</v>
      </c>
      <c r="K2469" s="120">
        <v>45823</v>
      </c>
      <c r="L2469" s="120"/>
      <c r="M2469" s="120"/>
      <c r="N2469" s="120">
        <v>45797</v>
      </c>
      <c r="O2469" s="29" t="s">
        <v>60</v>
      </c>
      <c r="P2469" s="29"/>
      <c r="Q2469" s="156">
        <v>200</v>
      </c>
      <c r="R2469" s="134" t="s">
        <v>1360</v>
      </c>
    </row>
    <row r="2470" spans="1:18" hidden="1">
      <c r="A2470" s="134" t="s">
        <v>1143</v>
      </c>
      <c r="C2470" s="29">
        <v>135500222</v>
      </c>
      <c r="D2470" s="29"/>
      <c r="E2470" s="29"/>
      <c r="F2470" s="29" t="s">
        <v>88</v>
      </c>
      <c r="G2470" s="29" t="s">
        <v>823</v>
      </c>
      <c r="H2470" s="29" t="s">
        <v>38</v>
      </c>
      <c r="I2470" s="120">
        <v>45792</v>
      </c>
      <c r="J2470" s="120">
        <f>WORKDAY(I2470, 3)</f>
        <v>45797</v>
      </c>
      <c r="K2470" s="120">
        <v>45823</v>
      </c>
      <c r="L2470" s="120"/>
      <c r="M2470" s="120"/>
      <c r="N2470" s="120">
        <v>45797</v>
      </c>
      <c r="O2470" s="29" t="s">
        <v>60</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60</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60</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60</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60</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60</v>
      </c>
      <c r="P2475" s="29"/>
      <c r="Q2475" s="156">
        <v>45</v>
      </c>
      <c r="R2475" s="134" t="s">
        <v>1393</v>
      </c>
    </row>
    <row r="2476" spans="1:18" hidden="1">
      <c r="A2476" s="134" t="s">
        <v>1137</v>
      </c>
      <c r="C2476" s="29">
        <v>136500127</v>
      </c>
      <c r="D2476" s="29"/>
      <c r="E2476" s="29"/>
      <c r="F2476" s="29" t="s">
        <v>88</v>
      </c>
      <c r="G2476" s="29" t="s">
        <v>823</v>
      </c>
      <c r="H2476" s="29" t="s">
        <v>38</v>
      </c>
      <c r="I2476" s="120">
        <v>45793</v>
      </c>
      <c r="J2476" s="120">
        <f>WORKDAY(I2476, 3)</f>
        <v>45798</v>
      </c>
      <c r="K2476" s="120">
        <v>45824</v>
      </c>
      <c r="L2476" s="120"/>
      <c r="M2476" s="120"/>
      <c r="N2476" s="120">
        <v>45797</v>
      </c>
      <c r="O2476" s="29" t="s">
        <v>60</v>
      </c>
      <c r="P2476" s="29"/>
      <c r="Q2476" s="156">
        <v>450</v>
      </c>
      <c r="R2476" s="134" t="s">
        <v>1360</v>
      </c>
    </row>
    <row r="2477" spans="1:18" hidden="1">
      <c r="A2477" s="134" t="s">
        <v>1137</v>
      </c>
      <c r="C2477" s="29">
        <v>136500128</v>
      </c>
      <c r="D2477" s="29"/>
      <c r="E2477" s="29"/>
      <c r="F2477" s="29" t="s">
        <v>88</v>
      </c>
      <c r="G2477" s="29" t="s">
        <v>823</v>
      </c>
      <c r="H2477" s="29" t="s">
        <v>38</v>
      </c>
      <c r="I2477" s="120">
        <v>45793</v>
      </c>
      <c r="J2477" s="120">
        <f>WORKDAY(I2477, 3)</f>
        <v>45798</v>
      </c>
      <c r="K2477" s="120">
        <v>45824</v>
      </c>
      <c r="L2477" s="120"/>
      <c r="M2477" s="120"/>
      <c r="N2477" s="120">
        <v>45797</v>
      </c>
      <c r="O2477" s="29" t="s">
        <v>60</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60</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60</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60</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60</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60</v>
      </c>
      <c r="P2482" s="29"/>
      <c r="Q2482" s="156">
        <v>250</v>
      </c>
      <c r="R2482" s="134" t="s">
        <v>1364</v>
      </c>
    </row>
    <row r="2483" spans="1:18" hidden="1">
      <c r="A2483" s="134" t="s">
        <v>1136</v>
      </c>
      <c r="C2483" s="29">
        <v>143500081</v>
      </c>
      <c r="D2483" s="29"/>
      <c r="E2483" s="29"/>
      <c r="F2483" s="29" t="s">
        <v>88</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88</v>
      </c>
      <c r="G2484" s="29" t="s">
        <v>823</v>
      </c>
      <c r="H2484" s="29" t="s">
        <v>1154</v>
      </c>
      <c r="I2484" s="120">
        <v>45804</v>
      </c>
      <c r="J2484" s="120">
        <f>WORKDAY(I2484, 3)</f>
        <v>45807</v>
      </c>
      <c r="K2484" s="120">
        <v>45835</v>
      </c>
      <c r="L2484" s="120"/>
      <c r="M2484" s="120"/>
      <c r="N2484" s="120">
        <v>45805</v>
      </c>
      <c r="O2484" s="29" t="s">
        <v>171</v>
      </c>
      <c r="P2484" s="120"/>
      <c r="Q2484" s="156">
        <v>700</v>
      </c>
    </row>
    <row r="2485" spans="1:18" ht="15.75" hidden="1">
      <c r="A2485" s="126" t="s">
        <v>1147</v>
      </c>
      <c r="B2485" s="126"/>
      <c r="C2485" s="29">
        <v>147501858</v>
      </c>
      <c r="D2485" s="29"/>
      <c r="E2485" s="29"/>
      <c r="F2485" s="29" t="s">
        <v>88</v>
      </c>
      <c r="G2485" s="29" t="s">
        <v>823</v>
      </c>
      <c r="H2485" s="29" t="s">
        <v>1154</v>
      </c>
      <c r="I2485" s="120">
        <v>45804</v>
      </c>
      <c r="J2485" s="120">
        <f>WORKDAY(I2485, 3)</f>
        <v>45807</v>
      </c>
      <c r="K2485" s="120">
        <v>45835</v>
      </c>
      <c r="L2485" s="120"/>
      <c r="M2485" s="120"/>
      <c r="N2485" s="120">
        <v>45805</v>
      </c>
      <c r="O2485" s="29" t="s">
        <v>171</v>
      </c>
      <c r="P2485" s="120"/>
      <c r="Q2485" s="156">
        <v>350</v>
      </c>
    </row>
    <row r="2486" spans="1:18" ht="15.75" hidden="1">
      <c r="A2486" s="126" t="s">
        <v>1147</v>
      </c>
      <c r="B2486" s="126"/>
      <c r="C2486" s="29">
        <v>147500136</v>
      </c>
      <c r="D2486" s="29"/>
      <c r="E2486" s="29"/>
      <c r="F2486" s="29" t="s">
        <v>88</v>
      </c>
      <c r="G2486" s="29" t="s">
        <v>823</v>
      </c>
      <c r="H2486" s="29" t="s">
        <v>1154</v>
      </c>
      <c r="I2486" s="120">
        <v>45804</v>
      </c>
      <c r="J2486" s="120">
        <f>WORKDAY(I2486, 3)</f>
        <v>45807</v>
      </c>
      <c r="K2486" s="120">
        <v>45835</v>
      </c>
      <c r="L2486" s="120"/>
      <c r="M2486" s="120"/>
      <c r="N2486" s="120">
        <v>45805</v>
      </c>
      <c r="O2486" s="29" t="s">
        <v>60</v>
      </c>
      <c r="P2486" s="29"/>
      <c r="Q2486" s="156">
        <v>450</v>
      </c>
      <c r="R2486" s="134" t="s">
        <v>1186</v>
      </c>
    </row>
    <row r="2487" spans="1:18" ht="15.75" hidden="1">
      <c r="A2487" s="126" t="s">
        <v>1147</v>
      </c>
      <c r="B2487" s="126"/>
      <c r="C2487" s="29">
        <v>147501832</v>
      </c>
      <c r="D2487" s="29"/>
      <c r="E2487" s="29"/>
      <c r="F2487" s="29" t="s">
        <v>88</v>
      </c>
      <c r="G2487" s="29" t="s">
        <v>823</v>
      </c>
      <c r="H2487" s="29" t="s">
        <v>1154</v>
      </c>
      <c r="I2487" s="120">
        <v>45804</v>
      </c>
      <c r="J2487" s="120">
        <f>WORKDAY(I2487, 3)</f>
        <v>45807</v>
      </c>
      <c r="K2487" s="120">
        <v>45835</v>
      </c>
      <c r="L2487" s="120"/>
      <c r="M2487" s="120"/>
      <c r="N2487" s="120">
        <v>45805</v>
      </c>
      <c r="O2487" s="29" t="s">
        <v>60</v>
      </c>
      <c r="P2487" s="29"/>
      <c r="Q2487" s="156">
        <v>730</v>
      </c>
      <c r="R2487" s="134" t="s">
        <v>1186</v>
      </c>
    </row>
    <row r="2488" spans="1:18" ht="15.75" hidden="1">
      <c r="A2488" s="126" t="s">
        <v>1147</v>
      </c>
      <c r="B2488" s="126"/>
      <c r="C2488" s="29">
        <v>147501845</v>
      </c>
      <c r="D2488" s="29"/>
      <c r="E2488" s="29"/>
      <c r="F2488" s="29" t="s">
        <v>88</v>
      </c>
      <c r="G2488" s="29" t="s">
        <v>823</v>
      </c>
      <c r="H2488" s="29" t="s">
        <v>1154</v>
      </c>
      <c r="I2488" s="120">
        <v>45804</v>
      </c>
      <c r="J2488" s="120">
        <f>WORKDAY(I2488, 3)</f>
        <v>45807</v>
      </c>
      <c r="K2488" s="120">
        <v>45835</v>
      </c>
      <c r="L2488" s="120"/>
      <c r="M2488" s="120"/>
      <c r="N2488" s="120">
        <v>45805</v>
      </c>
      <c r="O2488" s="29" t="s">
        <v>60</v>
      </c>
      <c r="P2488" s="29"/>
      <c r="Q2488" s="156">
        <v>850</v>
      </c>
      <c r="R2488" s="134" t="s">
        <v>1177</v>
      </c>
    </row>
    <row r="2489" spans="1:18" ht="15.75" hidden="1">
      <c r="A2489" s="126" t="s">
        <v>1147</v>
      </c>
      <c r="B2489" s="126"/>
      <c r="C2489" s="29">
        <v>147501867</v>
      </c>
      <c r="D2489" s="29"/>
      <c r="E2489" s="29"/>
      <c r="F2489" s="29" t="s">
        <v>88</v>
      </c>
      <c r="G2489" s="29" t="s">
        <v>823</v>
      </c>
      <c r="H2489" s="29" t="s">
        <v>1154</v>
      </c>
      <c r="I2489" s="120">
        <v>45804</v>
      </c>
      <c r="J2489" s="120">
        <f>WORKDAY(I2489, 3)</f>
        <v>45807</v>
      </c>
      <c r="K2489" s="120">
        <v>45835</v>
      </c>
      <c r="L2489" s="120"/>
      <c r="M2489" s="120"/>
      <c r="N2489" s="120">
        <v>45805</v>
      </c>
      <c r="O2489" s="29" t="s">
        <v>60</v>
      </c>
      <c r="P2489" s="29"/>
      <c r="Q2489" s="156">
        <v>450</v>
      </c>
      <c r="R2489" s="134" t="s">
        <v>1186</v>
      </c>
    </row>
    <row r="2490" spans="1:18" hidden="1">
      <c r="A2490" s="134" t="s">
        <v>1150</v>
      </c>
      <c r="C2490" s="29">
        <v>147502068</v>
      </c>
      <c r="D2490" s="29">
        <v>114500855</v>
      </c>
      <c r="E2490" s="29"/>
      <c r="F2490" s="29" t="s">
        <v>88</v>
      </c>
      <c r="G2490" s="29" t="s">
        <v>823</v>
      </c>
      <c r="H2490" s="29" t="s">
        <v>1154</v>
      </c>
      <c r="I2490" s="120">
        <v>45804</v>
      </c>
      <c r="J2490" s="120">
        <f>WORKDAY(I2490, 3)</f>
        <v>45807</v>
      </c>
      <c r="K2490" s="120">
        <v>45835</v>
      </c>
      <c r="L2490" s="120"/>
      <c r="M2490" s="120"/>
      <c r="N2490" s="120">
        <v>45805</v>
      </c>
      <c r="O2490" s="29" t="s">
        <v>171</v>
      </c>
      <c r="P2490" s="120"/>
      <c r="Q2490" s="156">
        <v>1000</v>
      </c>
    </row>
    <row r="2491" spans="1:18" hidden="1">
      <c r="A2491" s="134" t="s">
        <v>1150</v>
      </c>
      <c r="C2491" s="29">
        <v>147502082</v>
      </c>
      <c r="D2491" s="29">
        <v>114500883</v>
      </c>
      <c r="E2491" s="29"/>
      <c r="F2491" s="29" t="s">
        <v>88</v>
      </c>
      <c r="G2491" s="29" t="s">
        <v>823</v>
      </c>
      <c r="H2491" s="29" t="s">
        <v>1154</v>
      </c>
      <c r="I2491" s="120">
        <v>45804</v>
      </c>
      <c r="J2491" s="120">
        <f>WORKDAY(I2491, 3)</f>
        <v>45807</v>
      </c>
      <c r="K2491" s="120">
        <v>45835</v>
      </c>
      <c r="L2491" s="120"/>
      <c r="M2491" s="120"/>
      <c r="N2491" s="120">
        <v>45805</v>
      </c>
      <c r="O2491" s="29" t="s">
        <v>171</v>
      </c>
      <c r="P2491" s="120"/>
      <c r="Q2491" s="156">
        <v>300</v>
      </c>
    </row>
    <row r="2492" spans="1:18" hidden="1">
      <c r="A2492" s="134" t="s">
        <v>1150</v>
      </c>
      <c r="C2492" s="29">
        <v>147502092</v>
      </c>
      <c r="D2492" s="29">
        <v>114500780</v>
      </c>
      <c r="E2492" s="29"/>
      <c r="F2492" s="29" t="s">
        <v>88</v>
      </c>
      <c r="G2492" s="29" t="s">
        <v>823</v>
      </c>
      <c r="H2492" s="29" t="s">
        <v>1154</v>
      </c>
      <c r="I2492" s="120">
        <v>45804</v>
      </c>
      <c r="J2492" s="120">
        <f>WORKDAY(I2492, 3)</f>
        <v>45807</v>
      </c>
      <c r="K2492" s="120">
        <v>45835</v>
      </c>
      <c r="L2492" s="120"/>
      <c r="M2492" s="120"/>
      <c r="N2492" s="120">
        <v>45805</v>
      </c>
      <c r="O2492" s="29" t="s">
        <v>171</v>
      </c>
      <c r="P2492" s="120"/>
      <c r="Q2492" s="156">
        <v>1200</v>
      </c>
    </row>
    <row r="2493" spans="1:18" hidden="1">
      <c r="A2493" s="134" t="s">
        <v>1155</v>
      </c>
      <c r="C2493" s="29">
        <v>147501882</v>
      </c>
      <c r="D2493" s="29"/>
      <c r="E2493" s="29"/>
      <c r="F2493" s="29" t="s">
        <v>88</v>
      </c>
      <c r="G2493" s="29" t="s">
        <v>823</v>
      </c>
      <c r="H2493" s="29" t="s">
        <v>1154</v>
      </c>
      <c r="I2493" s="120">
        <v>45804</v>
      </c>
      <c r="J2493" s="120">
        <f>WORKDAY(I2493, 3)</f>
        <v>45807</v>
      </c>
      <c r="K2493" s="120">
        <v>45835</v>
      </c>
      <c r="L2493" s="120"/>
      <c r="M2493" s="120"/>
      <c r="N2493" s="120">
        <v>45805</v>
      </c>
      <c r="O2493" s="29" t="s">
        <v>60</v>
      </c>
      <c r="P2493" s="29"/>
      <c r="Q2493" s="156">
        <v>150</v>
      </c>
      <c r="R2493" s="134" t="s">
        <v>1176</v>
      </c>
    </row>
    <row r="2494" spans="1:18" hidden="1">
      <c r="A2494" s="134" t="s">
        <v>1155</v>
      </c>
      <c r="C2494" s="29">
        <v>147501897</v>
      </c>
      <c r="D2494" s="29"/>
      <c r="E2494" s="29"/>
      <c r="F2494" s="29" t="s">
        <v>88</v>
      </c>
      <c r="G2494" s="29" t="s">
        <v>823</v>
      </c>
      <c r="H2494" s="29" t="s">
        <v>1154</v>
      </c>
      <c r="I2494" s="120">
        <v>45804</v>
      </c>
      <c r="J2494" s="120">
        <f>WORKDAY(I2494, 3)</f>
        <v>45807</v>
      </c>
      <c r="K2494" s="120">
        <v>45835</v>
      </c>
      <c r="L2494" s="120"/>
      <c r="M2494" s="120"/>
      <c r="N2494" s="120">
        <v>45805</v>
      </c>
      <c r="O2494" s="29" t="s">
        <v>60</v>
      </c>
      <c r="P2494" s="29"/>
      <c r="Q2494" s="156">
        <v>145</v>
      </c>
      <c r="R2494" s="134" t="s">
        <v>1176</v>
      </c>
    </row>
    <row r="2495" spans="1:18" hidden="1">
      <c r="A2495" s="134" t="s">
        <v>1141</v>
      </c>
      <c r="C2495" s="29">
        <v>147502149</v>
      </c>
      <c r="D2495" s="29"/>
      <c r="E2495" s="29"/>
      <c r="F2495" s="29" t="s">
        <v>88</v>
      </c>
      <c r="G2495" s="29" t="s">
        <v>823</v>
      </c>
      <c r="H2495" s="29" t="s">
        <v>1154</v>
      </c>
      <c r="I2495" s="120">
        <v>45804</v>
      </c>
      <c r="J2495" s="120">
        <f>WORKDAY(I2495, 3)</f>
        <v>45807</v>
      </c>
      <c r="K2495" s="120">
        <v>45835</v>
      </c>
      <c r="L2495" s="120"/>
      <c r="M2495" s="120"/>
      <c r="N2495" s="120">
        <v>45805</v>
      </c>
      <c r="O2495" s="29" t="s">
        <v>60</v>
      </c>
      <c r="P2495" s="29"/>
      <c r="Q2495" s="156">
        <v>500</v>
      </c>
      <c r="R2495" s="134" t="s">
        <v>1400</v>
      </c>
    </row>
    <row r="2496" spans="1:18" hidden="1">
      <c r="A2496" s="134" t="s">
        <v>1141</v>
      </c>
      <c r="C2496" s="29">
        <v>147502165</v>
      </c>
      <c r="D2496" s="29"/>
      <c r="E2496" s="29"/>
      <c r="F2496" s="29" t="s">
        <v>88</v>
      </c>
      <c r="G2496" s="29" t="s">
        <v>823</v>
      </c>
      <c r="H2496" s="29" t="s">
        <v>1154</v>
      </c>
      <c r="I2496" s="120">
        <v>45804</v>
      </c>
      <c r="J2496" s="120">
        <f>WORKDAY(I2496, 3)</f>
        <v>45807</v>
      </c>
      <c r="K2496" s="120">
        <v>45835</v>
      </c>
      <c r="L2496" s="120"/>
      <c r="M2496" s="120"/>
      <c r="N2496" s="120">
        <v>45805</v>
      </c>
      <c r="O2496" s="29" t="s">
        <v>60</v>
      </c>
      <c r="P2496" s="29"/>
      <c r="Q2496" s="156">
        <v>510</v>
      </c>
      <c r="R2496" s="134" t="s">
        <v>1400</v>
      </c>
    </row>
    <row r="2497" spans="1:18" hidden="1">
      <c r="A2497" s="134" t="s">
        <v>1141</v>
      </c>
      <c r="C2497" s="29">
        <v>147502188</v>
      </c>
      <c r="D2497" s="29"/>
      <c r="E2497" s="29"/>
      <c r="F2497" s="29" t="s">
        <v>88</v>
      </c>
      <c r="G2497" s="29" t="s">
        <v>823</v>
      </c>
      <c r="H2497" s="29" t="s">
        <v>1154</v>
      </c>
      <c r="I2497" s="120">
        <v>45804</v>
      </c>
      <c r="J2497" s="120">
        <f>WORKDAY(I2497, 3)</f>
        <v>45807</v>
      </c>
      <c r="K2497" s="120">
        <v>45835</v>
      </c>
      <c r="L2497" s="120"/>
      <c r="M2497" s="120"/>
      <c r="N2497" s="120">
        <v>45805</v>
      </c>
      <c r="O2497" s="29" t="s">
        <v>60</v>
      </c>
      <c r="P2497" s="29"/>
      <c r="Q2497" s="156">
        <v>570</v>
      </c>
      <c r="R2497" s="134" t="s">
        <v>1400</v>
      </c>
    </row>
    <row r="2498" spans="1:18" hidden="1">
      <c r="A2498" s="134" t="s">
        <v>1045</v>
      </c>
      <c r="C2498" s="29">
        <v>148504926</v>
      </c>
      <c r="D2498" s="29"/>
      <c r="E2498" s="29"/>
      <c r="F2498" s="29" t="s">
        <v>88</v>
      </c>
      <c r="G2498" s="29" t="s">
        <v>823</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1045</v>
      </c>
      <c r="C2499" s="29">
        <v>148504943</v>
      </c>
      <c r="D2499" s="29"/>
      <c r="E2499" s="29"/>
      <c r="F2499" s="29" t="s">
        <v>88</v>
      </c>
      <c r="G2499" s="29" t="s">
        <v>823</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1045</v>
      </c>
      <c r="C2500" s="29">
        <v>148504966</v>
      </c>
      <c r="D2500" s="29"/>
      <c r="E2500" s="29"/>
      <c r="F2500" s="29" t="s">
        <v>88</v>
      </c>
      <c r="G2500" s="29" t="s">
        <v>823</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1045</v>
      </c>
      <c r="C2501" s="29">
        <v>148504989</v>
      </c>
      <c r="D2501" s="29"/>
      <c r="E2501" s="29"/>
      <c r="F2501" s="29" t="s">
        <v>88</v>
      </c>
      <c r="G2501" s="29" t="s">
        <v>823</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1045</v>
      </c>
      <c r="C2502" s="29">
        <v>148505006</v>
      </c>
      <c r="D2502" s="29"/>
      <c r="E2502" s="29"/>
      <c r="F2502" s="29" t="s">
        <v>88</v>
      </c>
      <c r="G2502" s="29" t="s">
        <v>823</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1045</v>
      </c>
      <c r="C2503" s="29">
        <v>148505029</v>
      </c>
      <c r="D2503" s="29"/>
      <c r="E2503" s="29"/>
      <c r="F2503" s="29" t="s">
        <v>88</v>
      </c>
      <c r="G2503" s="29" t="s">
        <v>823</v>
      </c>
      <c r="H2503" s="29" t="s">
        <v>38</v>
      </c>
      <c r="I2503" s="120">
        <v>45805</v>
      </c>
      <c r="J2503" s="120">
        <f>WORKDAY(I2503, 3)</f>
        <v>45810</v>
      </c>
      <c r="K2503" s="120">
        <v>45836</v>
      </c>
      <c r="L2503" s="120"/>
      <c r="M2503" s="120"/>
      <c r="N2503" s="120">
        <v>45805</v>
      </c>
      <c r="O2503" s="29" t="s">
        <v>171</v>
      </c>
      <c r="P2503" s="120"/>
      <c r="Q2503" s="156">
        <v>90</v>
      </c>
    </row>
    <row r="2504" spans="1:18" hidden="1">
      <c r="A2504" s="134" t="s">
        <v>1019</v>
      </c>
      <c r="C2504" s="29">
        <v>148502763</v>
      </c>
      <c r="D2504" s="29">
        <v>122501846</v>
      </c>
      <c r="E2504" s="29"/>
      <c r="F2504" s="29" t="s">
        <v>88</v>
      </c>
      <c r="G2504" s="29" t="s">
        <v>823</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1019</v>
      </c>
      <c r="C2505" s="29">
        <v>148502778</v>
      </c>
      <c r="D2505" s="29">
        <v>122501868</v>
      </c>
      <c r="E2505" s="29"/>
      <c r="F2505" s="29" t="s">
        <v>88</v>
      </c>
      <c r="G2505" s="29" t="s">
        <v>823</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1019</v>
      </c>
      <c r="C2506" s="29">
        <v>148502788</v>
      </c>
      <c r="D2506" s="29">
        <v>122501878</v>
      </c>
      <c r="E2506" s="29"/>
      <c r="F2506" s="29" t="s">
        <v>88</v>
      </c>
      <c r="G2506" s="29" t="s">
        <v>823</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1059</v>
      </c>
      <c r="C2507" s="29">
        <v>148501570</v>
      </c>
      <c r="D2507" s="29"/>
      <c r="E2507" s="29"/>
      <c r="F2507" s="29" t="s">
        <v>88</v>
      </c>
      <c r="G2507" s="29" t="s">
        <v>823</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1059</v>
      </c>
      <c r="C2508" s="29">
        <v>148501617</v>
      </c>
      <c r="D2508" s="29"/>
      <c r="E2508" s="29"/>
      <c r="F2508" s="29" t="s">
        <v>88</v>
      </c>
      <c r="G2508" s="29" t="s">
        <v>823</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1059</v>
      </c>
      <c r="C2509" s="29">
        <v>148501633</v>
      </c>
      <c r="D2509" s="29"/>
      <c r="E2509" s="29"/>
      <c r="F2509" s="29" t="s">
        <v>88</v>
      </c>
      <c r="G2509" s="29" t="s">
        <v>823</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1059</v>
      </c>
      <c r="C2510" s="29">
        <v>148501665</v>
      </c>
      <c r="D2510" s="29"/>
      <c r="E2510" s="29"/>
      <c r="F2510" s="29" t="s">
        <v>88</v>
      </c>
      <c r="G2510" s="29" t="s">
        <v>823</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1059</v>
      </c>
      <c r="C2511" s="29">
        <v>148501680</v>
      </c>
      <c r="D2511" s="29"/>
      <c r="E2511" s="29"/>
      <c r="F2511" s="29" t="s">
        <v>88</v>
      </c>
      <c r="G2511" s="29" t="s">
        <v>823</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1059</v>
      </c>
      <c r="C2512" s="29">
        <v>148501690</v>
      </c>
      <c r="D2512" s="29"/>
      <c r="E2512" s="29"/>
      <c r="F2512" s="29" t="s">
        <v>88</v>
      </c>
      <c r="G2512" s="29" t="s">
        <v>823</v>
      </c>
      <c r="H2512" s="29" t="s">
        <v>38</v>
      </c>
      <c r="I2512" s="120">
        <v>45805</v>
      </c>
      <c r="J2512" s="120">
        <f>WORKDAY(I2512, 3)</f>
        <v>45810</v>
      </c>
      <c r="K2512" s="120">
        <v>45836</v>
      </c>
      <c r="L2512" s="120"/>
      <c r="M2512" s="120"/>
      <c r="N2512" s="120">
        <v>45805</v>
      </c>
      <c r="O2512" s="29" t="s">
        <v>171</v>
      </c>
      <c r="P2512" s="120"/>
      <c r="Q2512" s="156">
        <v>350</v>
      </c>
    </row>
    <row r="2513" spans="1:17" hidden="1">
      <c r="A2513" s="134" t="s">
        <v>1155</v>
      </c>
      <c r="C2513" s="29">
        <v>148500220</v>
      </c>
      <c r="D2513" s="29"/>
      <c r="E2513" s="29"/>
      <c r="F2513" s="29" t="s">
        <v>88</v>
      </c>
      <c r="G2513" s="29" t="s">
        <v>823</v>
      </c>
      <c r="H2513" s="29" t="s">
        <v>38</v>
      </c>
      <c r="I2513" s="120">
        <v>45805</v>
      </c>
      <c r="J2513" s="120">
        <f>WORKDAY(I2513, 3)</f>
        <v>45810</v>
      </c>
      <c r="K2513" s="120">
        <v>45836</v>
      </c>
      <c r="L2513" s="120"/>
      <c r="M2513" s="120"/>
      <c r="N2513" s="120">
        <v>45805</v>
      </c>
      <c r="O2513" s="29" t="s">
        <v>171</v>
      </c>
      <c r="P2513" s="120"/>
      <c r="Q2513" s="81">
        <v>360</v>
      </c>
    </row>
    <row r="2514" spans="1:17" hidden="1">
      <c r="A2514" s="134" t="s">
        <v>1059</v>
      </c>
      <c r="C2514" s="29">
        <v>150500061</v>
      </c>
      <c r="D2514" s="29">
        <v>128503239</v>
      </c>
      <c r="E2514" s="29"/>
      <c r="F2514" s="29" t="s">
        <v>88</v>
      </c>
      <c r="G2514" s="29" t="s">
        <v>823</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1059</v>
      </c>
      <c r="C2515" s="29">
        <v>150500063</v>
      </c>
      <c r="D2515" s="29">
        <v>128503276</v>
      </c>
      <c r="E2515" s="29"/>
      <c r="F2515" s="29" t="s">
        <v>88</v>
      </c>
      <c r="G2515" s="29" t="s">
        <v>823</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1059</v>
      </c>
      <c r="C2516" s="29">
        <v>150500064</v>
      </c>
      <c r="D2516" s="29">
        <v>129500085</v>
      </c>
      <c r="E2516" s="29"/>
      <c r="F2516" s="29" t="s">
        <v>88</v>
      </c>
      <c r="G2516" s="29" t="s">
        <v>823</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1059</v>
      </c>
      <c r="C2517" s="29">
        <v>150500066</v>
      </c>
      <c r="D2517" s="29">
        <v>129500096</v>
      </c>
      <c r="E2517" s="29"/>
      <c r="F2517" s="29" t="s">
        <v>88</v>
      </c>
      <c r="G2517" s="29" t="s">
        <v>823</v>
      </c>
      <c r="H2517" s="29" t="s">
        <v>38</v>
      </c>
      <c r="I2517" s="120">
        <v>45807</v>
      </c>
      <c r="J2517" s="120">
        <f>WORKDAY(I2517, 3)</f>
        <v>45812</v>
      </c>
      <c r="K2517" s="120">
        <v>45838</v>
      </c>
      <c r="L2517" s="120"/>
      <c r="M2517" s="120"/>
      <c r="N2517" s="120">
        <v>45810</v>
      </c>
      <c r="O2517" s="29" t="s">
        <v>171</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171</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171</v>
      </c>
      <c r="P2519" s="120"/>
      <c r="Q2519" s="156">
        <v>460</v>
      </c>
    </row>
    <row r="2520" spans="1:17" hidden="1">
      <c r="A2520" s="119" t="s">
        <v>983</v>
      </c>
      <c r="B2520" s="119"/>
      <c r="C2520" s="29">
        <v>154501496</v>
      </c>
      <c r="D2520" s="29">
        <v>122501912</v>
      </c>
      <c r="E2520" s="29"/>
      <c r="F2520" s="29" t="s">
        <v>88</v>
      </c>
      <c r="G2520" s="29" t="s">
        <v>823</v>
      </c>
      <c r="H2520" s="29" t="s">
        <v>38</v>
      </c>
      <c r="I2520" s="120">
        <v>45811</v>
      </c>
      <c r="J2520" s="120">
        <f>WORKDAY(I2520, 3)</f>
        <v>45814</v>
      </c>
      <c r="K2520" s="120">
        <v>45841</v>
      </c>
      <c r="L2520" s="120"/>
      <c r="M2520" s="120"/>
      <c r="N2520" s="120">
        <v>45810</v>
      </c>
      <c r="O2520" s="29" t="s">
        <v>171</v>
      </c>
      <c r="P2520" s="120"/>
      <c r="Q2520" s="156">
        <v>250</v>
      </c>
    </row>
    <row r="2521" spans="1:17" hidden="1">
      <c r="A2521" s="119" t="s">
        <v>983</v>
      </c>
      <c r="B2521" s="119"/>
      <c r="C2521" s="29">
        <v>154501500</v>
      </c>
      <c r="D2521" s="29">
        <v>122501917</v>
      </c>
      <c r="E2521" s="29"/>
      <c r="F2521" s="29" t="s">
        <v>88</v>
      </c>
      <c r="G2521" s="29" t="s">
        <v>823</v>
      </c>
      <c r="H2521" s="29" t="s">
        <v>38</v>
      </c>
      <c r="I2521" s="120">
        <v>45811</v>
      </c>
      <c r="J2521" s="120">
        <f>WORKDAY(I2521, 3)</f>
        <v>45814</v>
      </c>
      <c r="K2521" s="120">
        <v>45841</v>
      </c>
      <c r="L2521" s="120"/>
      <c r="M2521" s="120"/>
      <c r="N2521" s="120">
        <v>45810</v>
      </c>
      <c r="O2521" s="29" t="s">
        <v>171</v>
      </c>
      <c r="P2521" s="120"/>
      <c r="Q2521" s="156">
        <v>570</v>
      </c>
    </row>
    <row r="2522" spans="1:17" hidden="1">
      <c r="A2522" s="119" t="s">
        <v>983</v>
      </c>
      <c r="B2522" s="119"/>
      <c r="C2522" s="29">
        <v>154501505</v>
      </c>
      <c r="D2522" s="29">
        <v>122501923</v>
      </c>
      <c r="E2522" s="29"/>
      <c r="F2522" s="29" t="s">
        <v>88</v>
      </c>
      <c r="G2522" s="29" t="s">
        <v>823</v>
      </c>
      <c r="H2522" s="29" t="s">
        <v>38</v>
      </c>
      <c r="I2522" s="120">
        <v>45811</v>
      </c>
      <c r="J2522" s="120">
        <f>WORKDAY(I2522, 3)</f>
        <v>45814</v>
      </c>
      <c r="K2522" s="120">
        <v>45841</v>
      </c>
      <c r="L2522" s="120"/>
      <c r="M2522" s="120"/>
      <c r="N2522" s="120">
        <v>45810</v>
      </c>
      <c r="O2522" s="29" t="s">
        <v>171</v>
      </c>
      <c r="P2522" s="120"/>
      <c r="Q2522" s="156">
        <v>350</v>
      </c>
    </row>
    <row r="2523" spans="1:17" hidden="1">
      <c r="A2523" s="119" t="s">
        <v>983</v>
      </c>
      <c r="B2523" s="119"/>
      <c r="C2523" s="29">
        <v>154501514</v>
      </c>
      <c r="D2523" s="29">
        <v>122501932</v>
      </c>
      <c r="E2523" s="29"/>
      <c r="F2523" s="29" t="s">
        <v>88</v>
      </c>
      <c r="G2523" s="29" t="s">
        <v>823</v>
      </c>
      <c r="H2523" s="29" t="s">
        <v>38</v>
      </c>
      <c r="I2523" s="120">
        <v>45811</v>
      </c>
      <c r="J2523" s="120">
        <f>WORKDAY(I2523, 3)</f>
        <v>45814</v>
      </c>
      <c r="K2523" s="120">
        <v>45841</v>
      </c>
      <c r="L2523" s="120"/>
      <c r="M2523" s="120"/>
      <c r="N2523" s="120">
        <v>45810</v>
      </c>
      <c r="O2523" s="29" t="s">
        <v>171</v>
      </c>
      <c r="P2523" s="120"/>
      <c r="Q2523" s="156">
        <v>220</v>
      </c>
    </row>
    <row r="2524" spans="1:17" hidden="1">
      <c r="A2524" s="119" t="s">
        <v>983</v>
      </c>
      <c r="B2524" s="119"/>
      <c r="C2524" s="29">
        <v>154501525</v>
      </c>
      <c r="D2524" s="29">
        <v>122501943</v>
      </c>
      <c r="E2524" s="29"/>
      <c r="F2524" s="29" t="s">
        <v>88</v>
      </c>
      <c r="G2524" s="29" t="s">
        <v>823</v>
      </c>
      <c r="H2524" s="29" t="s">
        <v>38</v>
      </c>
      <c r="I2524" s="120">
        <v>45811</v>
      </c>
      <c r="J2524" s="120">
        <f>WORKDAY(I2524, 3)</f>
        <v>45814</v>
      </c>
      <c r="K2524" s="120">
        <v>45841</v>
      </c>
      <c r="L2524" s="120"/>
      <c r="M2524" s="120"/>
      <c r="N2524" s="120">
        <v>45810</v>
      </c>
      <c r="O2524" s="29" t="s">
        <v>171</v>
      </c>
      <c r="P2524" s="120"/>
      <c r="Q2524" s="156">
        <v>600</v>
      </c>
    </row>
    <row r="2525" spans="1:17" hidden="1">
      <c r="A2525" s="119" t="s">
        <v>983</v>
      </c>
      <c r="B2525" s="119"/>
      <c r="C2525" s="29">
        <v>154501532</v>
      </c>
      <c r="D2525" s="29">
        <v>122501951</v>
      </c>
      <c r="E2525" s="29"/>
      <c r="F2525" s="29" t="s">
        <v>88</v>
      </c>
      <c r="G2525" s="29" t="s">
        <v>823</v>
      </c>
      <c r="H2525" s="29" t="s">
        <v>38</v>
      </c>
      <c r="I2525" s="120">
        <v>45811</v>
      </c>
      <c r="J2525" s="120">
        <f>WORKDAY(I2525, 3)</f>
        <v>45814</v>
      </c>
      <c r="K2525" s="120">
        <v>45841</v>
      </c>
      <c r="L2525" s="120"/>
      <c r="M2525" s="120"/>
      <c r="N2525" s="120">
        <v>45810</v>
      </c>
      <c r="O2525" s="29" t="s">
        <v>171</v>
      </c>
      <c r="P2525" s="120"/>
      <c r="Q2525" s="156">
        <v>550</v>
      </c>
    </row>
    <row r="2526" spans="1:17" hidden="1">
      <c r="A2526" s="128" t="s">
        <v>975</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1189</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1189</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1189</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1045</v>
      </c>
      <c r="C2530" s="29">
        <v>162500139</v>
      </c>
      <c r="D2530" s="29"/>
      <c r="E2530" s="29"/>
      <c r="F2530" s="29" t="s">
        <v>88</v>
      </c>
      <c r="G2530" s="29" t="s">
        <v>823</v>
      </c>
      <c r="H2530" s="29" t="s">
        <v>38</v>
      </c>
      <c r="I2530" s="120">
        <v>45819</v>
      </c>
      <c r="J2530" s="120">
        <f>WORKDAY(I2530, 3)</f>
        <v>45824</v>
      </c>
      <c r="K2530" s="120">
        <v>45849</v>
      </c>
      <c r="L2530" s="120"/>
      <c r="M2530" s="120"/>
      <c r="N2530" s="120">
        <v>45824</v>
      </c>
      <c r="O2530" s="29" t="s">
        <v>60</v>
      </c>
      <c r="P2530" s="29"/>
      <c r="Q2530" s="156">
        <v>1300</v>
      </c>
      <c r="R2530" s="134" t="s">
        <v>1404</v>
      </c>
    </row>
    <row r="2531" spans="1:18" hidden="1">
      <c r="A2531" s="134" t="s">
        <v>1045</v>
      </c>
      <c r="C2531" s="29">
        <v>162500145</v>
      </c>
      <c r="D2531" s="29"/>
      <c r="E2531" s="29"/>
      <c r="F2531" s="29" t="s">
        <v>88</v>
      </c>
      <c r="G2531" s="29" t="s">
        <v>823</v>
      </c>
      <c r="H2531" s="29" t="s">
        <v>38</v>
      </c>
      <c r="I2531" s="120">
        <v>45819</v>
      </c>
      <c r="J2531" s="120">
        <f>WORKDAY(I2531, 3)</f>
        <v>45824</v>
      </c>
      <c r="K2531" s="120">
        <v>45849</v>
      </c>
      <c r="L2531" s="120"/>
      <c r="M2531" s="120"/>
      <c r="N2531" s="120">
        <v>45824</v>
      </c>
      <c r="O2531" s="29" t="s">
        <v>60</v>
      </c>
      <c r="P2531" s="29"/>
      <c r="Q2531" s="156">
        <v>1400</v>
      </c>
      <c r="R2531" s="134" t="s">
        <v>1404</v>
      </c>
    </row>
    <row r="2532" spans="1:18" hidden="1">
      <c r="A2532" s="134" t="s">
        <v>1045</v>
      </c>
      <c r="C2532" s="29">
        <v>162500147</v>
      </c>
      <c r="D2532" s="29"/>
      <c r="E2532" s="29"/>
      <c r="F2532" s="29" t="s">
        <v>88</v>
      </c>
      <c r="G2532" s="29" t="s">
        <v>823</v>
      </c>
      <c r="H2532" s="29" t="s">
        <v>38</v>
      </c>
      <c r="I2532" s="120">
        <v>45819</v>
      </c>
      <c r="J2532" s="120">
        <f>WORKDAY(I2532, 3)</f>
        <v>45824</v>
      </c>
      <c r="K2532" s="120">
        <v>45849</v>
      </c>
      <c r="L2532" s="120"/>
      <c r="M2532" s="120"/>
      <c r="N2532" s="120">
        <v>45824</v>
      </c>
      <c r="O2532" s="29" t="s">
        <v>60</v>
      </c>
      <c r="P2532" s="29"/>
      <c r="Q2532" s="156">
        <v>1200</v>
      </c>
      <c r="R2532" s="134" t="s">
        <v>1404</v>
      </c>
    </row>
    <row r="2533" spans="1:18" hidden="1">
      <c r="A2533" s="134" t="s">
        <v>1045</v>
      </c>
      <c r="C2533" s="29">
        <v>162500149</v>
      </c>
      <c r="D2533" s="29"/>
      <c r="E2533" s="29"/>
      <c r="F2533" s="29" t="s">
        <v>88</v>
      </c>
      <c r="G2533" s="29" t="s">
        <v>823</v>
      </c>
      <c r="H2533" s="29" t="s">
        <v>38</v>
      </c>
      <c r="I2533" s="120">
        <v>45819</v>
      </c>
      <c r="J2533" s="120">
        <f>WORKDAY(I2533, 3)</f>
        <v>45824</v>
      </c>
      <c r="K2533" s="120">
        <v>45849</v>
      </c>
      <c r="L2533" s="120"/>
      <c r="M2533" s="120"/>
      <c r="N2533" s="120">
        <v>45824</v>
      </c>
      <c r="O2533" s="29" t="s">
        <v>60</v>
      </c>
      <c r="P2533" s="29"/>
      <c r="Q2533" s="156">
        <v>500</v>
      </c>
      <c r="R2533" s="134" t="s">
        <v>1404</v>
      </c>
    </row>
    <row r="2534" spans="1:18" hidden="1">
      <c r="A2534" s="134" t="s">
        <v>1045</v>
      </c>
      <c r="C2534" s="29">
        <v>162500153</v>
      </c>
      <c r="D2534" s="29"/>
      <c r="E2534" s="29"/>
      <c r="F2534" s="29" t="s">
        <v>88</v>
      </c>
      <c r="G2534" s="29" t="s">
        <v>823</v>
      </c>
      <c r="H2534" s="29" t="s">
        <v>38</v>
      </c>
      <c r="I2534" s="120">
        <v>45819</v>
      </c>
      <c r="J2534" s="120">
        <f>WORKDAY(I2534, 3)</f>
        <v>45824</v>
      </c>
      <c r="K2534" s="120">
        <v>45849</v>
      </c>
      <c r="L2534" s="120"/>
      <c r="M2534" s="120"/>
      <c r="N2534" s="120">
        <v>45824</v>
      </c>
      <c r="O2534" s="29" t="s">
        <v>60</v>
      </c>
      <c r="P2534" s="29"/>
      <c r="Q2534" s="156">
        <v>340</v>
      </c>
      <c r="R2534" s="134" t="s">
        <v>1404</v>
      </c>
    </row>
    <row r="2535" spans="1:18" hidden="1">
      <c r="A2535" s="134" t="s">
        <v>1045</v>
      </c>
      <c r="C2535" s="29">
        <v>162500155</v>
      </c>
      <c r="D2535" s="29"/>
      <c r="E2535" s="29"/>
      <c r="F2535" s="29" t="s">
        <v>88</v>
      </c>
      <c r="G2535" s="29" t="s">
        <v>823</v>
      </c>
      <c r="H2535" s="29" t="s">
        <v>38</v>
      </c>
      <c r="I2535" s="120">
        <v>45819</v>
      </c>
      <c r="J2535" s="120">
        <f>WORKDAY(I2535, 3)</f>
        <v>45824</v>
      </c>
      <c r="K2535" s="120">
        <v>45849</v>
      </c>
      <c r="L2535" s="120"/>
      <c r="M2535" s="120"/>
      <c r="N2535" s="120">
        <v>45824</v>
      </c>
      <c r="O2535" s="29" t="s">
        <v>60</v>
      </c>
      <c r="P2535" s="29"/>
      <c r="Q2535" s="156">
        <v>40</v>
      </c>
      <c r="R2535" s="134" t="s">
        <v>1404</v>
      </c>
    </row>
    <row r="2536" spans="1:18" hidden="1">
      <c r="A2536" s="134" t="s">
        <v>1134</v>
      </c>
      <c r="C2536" s="29">
        <v>162500135</v>
      </c>
      <c r="D2536" s="29"/>
      <c r="E2536" s="29"/>
      <c r="F2536" s="29" t="s">
        <v>88</v>
      </c>
      <c r="G2536" s="29" t="s">
        <v>823</v>
      </c>
      <c r="H2536" s="29" t="s">
        <v>38</v>
      </c>
      <c r="I2536" s="120">
        <v>45819</v>
      </c>
      <c r="J2536" s="120">
        <f>WORKDAY(I2536, 3)</f>
        <v>45824</v>
      </c>
      <c r="K2536" s="120">
        <v>45849</v>
      </c>
      <c r="L2536" s="120"/>
      <c r="M2536" s="120"/>
      <c r="N2536" s="120">
        <v>45824</v>
      </c>
      <c r="O2536" s="29" t="s">
        <v>60</v>
      </c>
      <c r="P2536" s="29"/>
      <c r="Q2536" s="156">
        <v>180</v>
      </c>
      <c r="R2536" s="134" t="s">
        <v>1405</v>
      </c>
    </row>
    <row r="2537" spans="1:18" hidden="1">
      <c r="A2537" s="134" t="s">
        <v>1150</v>
      </c>
      <c r="C2537" s="29" t="s">
        <v>1406</v>
      </c>
      <c r="D2537" s="29"/>
      <c r="E2537" s="29"/>
      <c r="F2537" s="29" t="s">
        <v>88</v>
      </c>
      <c r="G2537" s="29" t="s">
        <v>823</v>
      </c>
      <c r="H2537" s="29" t="s">
        <v>38</v>
      </c>
      <c r="I2537" s="120">
        <v>45819</v>
      </c>
      <c r="J2537" s="120">
        <f>WORKDAY(I2537, 3)</f>
        <v>45824</v>
      </c>
      <c r="K2537" s="120">
        <v>45849</v>
      </c>
      <c r="L2537" s="120"/>
      <c r="M2537" s="120"/>
      <c r="N2537" s="29"/>
      <c r="O2537" s="29" t="s">
        <v>171</v>
      </c>
      <c r="P2537" s="120"/>
      <c r="Q2537" s="81">
        <v>200</v>
      </c>
    </row>
    <row r="2538" spans="1:18" hidden="1">
      <c r="A2538" s="134" t="s">
        <v>1394</v>
      </c>
      <c r="C2538" s="29">
        <v>162500157</v>
      </c>
      <c r="D2538" s="29"/>
      <c r="E2538" s="29"/>
      <c r="F2538" s="29" t="s">
        <v>88</v>
      </c>
      <c r="G2538" s="29" t="s">
        <v>823</v>
      </c>
      <c r="H2538" s="29" t="s">
        <v>38</v>
      </c>
      <c r="I2538" s="120">
        <v>45819</v>
      </c>
      <c r="J2538" s="120">
        <f>WORKDAY(I2538, 3)</f>
        <v>45824</v>
      </c>
      <c r="K2538" s="120">
        <v>45849</v>
      </c>
      <c r="L2538" s="120"/>
      <c r="M2538" s="120"/>
      <c r="N2538" s="120">
        <v>45824</v>
      </c>
      <c r="O2538" s="29" t="s">
        <v>60</v>
      </c>
      <c r="P2538" s="29"/>
      <c r="Q2538" s="156">
        <v>1400</v>
      </c>
      <c r="R2538" s="134" t="s">
        <v>1396</v>
      </c>
    </row>
    <row r="2539" spans="1:18" hidden="1">
      <c r="A2539" s="134" t="s">
        <v>1139</v>
      </c>
      <c r="C2539" s="29">
        <v>164500087</v>
      </c>
      <c r="D2539" s="29">
        <v>136500095</v>
      </c>
      <c r="E2539" s="29"/>
      <c r="F2539" s="29" t="s">
        <v>88</v>
      </c>
      <c r="G2539" s="29" t="s">
        <v>823</v>
      </c>
      <c r="H2539" s="29" t="s">
        <v>38</v>
      </c>
      <c r="I2539" s="120">
        <v>45821</v>
      </c>
      <c r="J2539" s="120">
        <f>WORKDAY(I2539, 3)</f>
        <v>45826</v>
      </c>
      <c r="K2539" s="120">
        <v>45851</v>
      </c>
      <c r="L2539" s="120"/>
      <c r="M2539" s="120"/>
      <c r="N2539" s="120">
        <v>45824</v>
      </c>
      <c r="O2539" s="29" t="s">
        <v>60</v>
      </c>
      <c r="P2539" s="29"/>
      <c r="Q2539" s="156">
        <v>130</v>
      </c>
      <c r="R2539" s="134" t="s">
        <v>1405</v>
      </c>
    </row>
    <row r="2540" spans="1:18" hidden="1">
      <c r="A2540" s="134" t="s">
        <v>1139</v>
      </c>
      <c r="C2540" s="29">
        <v>164500089</v>
      </c>
      <c r="D2540" s="29">
        <v>136500141</v>
      </c>
      <c r="E2540" s="29"/>
      <c r="F2540" s="29" t="s">
        <v>88</v>
      </c>
      <c r="G2540" s="29" t="s">
        <v>823</v>
      </c>
      <c r="H2540" s="29" t="s">
        <v>38</v>
      </c>
      <c r="I2540" s="120">
        <v>45821</v>
      </c>
      <c r="J2540" s="120">
        <f>WORKDAY(I2540, 3)</f>
        <v>45826</v>
      </c>
      <c r="K2540" s="120">
        <v>45851</v>
      </c>
      <c r="L2540" s="120"/>
      <c r="M2540" s="120"/>
      <c r="N2540" s="120">
        <v>45824</v>
      </c>
      <c r="O2540" s="29" t="s">
        <v>60</v>
      </c>
      <c r="P2540" s="29"/>
      <c r="Q2540" s="156">
        <v>240</v>
      </c>
      <c r="R2540" s="134" t="s">
        <v>1405</v>
      </c>
    </row>
    <row r="2541" spans="1:18" hidden="1">
      <c r="A2541" s="134" t="s">
        <v>1139</v>
      </c>
      <c r="C2541" s="29">
        <v>164500092</v>
      </c>
      <c r="D2541" s="29">
        <v>136500142</v>
      </c>
      <c r="E2541" s="29"/>
      <c r="F2541" s="29" t="s">
        <v>88</v>
      </c>
      <c r="G2541" s="29" t="s">
        <v>823</v>
      </c>
      <c r="H2541" s="29" t="s">
        <v>38</v>
      </c>
      <c r="I2541" s="120">
        <v>45821</v>
      </c>
      <c r="J2541" s="120">
        <f>WORKDAY(I2541, 3)</f>
        <v>45826</v>
      </c>
      <c r="K2541" s="120">
        <v>45851</v>
      </c>
      <c r="L2541" s="120"/>
      <c r="M2541" s="120"/>
      <c r="N2541" s="120">
        <v>45824</v>
      </c>
      <c r="O2541" s="29" t="s">
        <v>60</v>
      </c>
      <c r="P2541" s="29"/>
      <c r="Q2541" s="156">
        <v>480</v>
      </c>
      <c r="R2541" s="134" t="s">
        <v>1405</v>
      </c>
    </row>
    <row r="2542" spans="1:18" hidden="1">
      <c r="A2542" s="134" t="s">
        <v>1139</v>
      </c>
      <c r="C2542" s="29">
        <v>164500093</v>
      </c>
      <c r="D2542" s="29">
        <v>136500153</v>
      </c>
      <c r="E2542" s="29"/>
      <c r="F2542" s="29" t="s">
        <v>88</v>
      </c>
      <c r="G2542" s="29" t="s">
        <v>823</v>
      </c>
      <c r="H2542" s="29" t="s">
        <v>38</v>
      </c>
      <c r="I2542" s="120">
        <v>45821</v>
      </c>
      <c r="J2542" s="120">
        <f>WORKDAY(I2542, 3)</f>
        <v>45826</v>
      </c>
      <c r="K2542" s="120">
        <v>45851</v>
      </c>
      <c r="L2542" s="120"/>
      <c r="M2542" s="120"/>
      <c r="N2542" s="120">
        <v>45824</v>
      </c>
      <c r="O2542" s="29" t="s">
        <v>60</v>
      </c>
      <c r="P2542" s="29"/>
      <c r="Q2542" s="156">
        <v>220</v>
      </c>
      <c r="R2542" s="134" t="s">
        <v>1405</v>
      </c>
    </row>
    <row r="2543" spans="1:18" hidden="1">
      <c r="A2543" s="134" t="s">
        <v>1139</v>
      </c>
      <c r="C2543" s="29">
        <v>164500095</v>
      </c>
      <c r="D2543" s="29">
        <v>136500155</v>
      </c>
      <c r="E2543" s="29"/>
      <c r="F2543" s="29" t="s">
        <v>88</v>
      </c>
      <c r="G2543" s="29" t="s">
        <v>823</v>
      </c>
      <c r="H2543" s="29" t="s">
        <v>38</v>
      </c>
      <c r="I2543" s="120">
        <v>45821</v>
      </c>
      <c r="J2543" s="120">
        <f>WORKDAY(I2543, 3)</f>
        <v>45826</v>
      </c>
      <c r="K2543" s="120">
        <v>45851</v>
      </c>
      <c r="L2543" s="120"/>
      <c r="M2543" s="120"/>
      <c r="N2543" s="120">
        <v>45824</v>
      </c>
      <c r="O2543" s="29" t="s">
        <v>60</v>
      </c>
      <c r="P2543" s="29"/>
      <c r="Q2543" s="156">
        <v>680</v>
      </c>
      <c r="R2543" s="134" t="s">
        <v>1405</v>
      </c>
    </row>
    <row r="2544" spans="1:18" hidden="1">
      <c r="A2544" s="134" t="s">
        <v>1139</v>
      </c>
      <c r="C2544" s="29">
        <v>164500096</v>
      </c>
      <c r="D2544" s="29">
        <v>136500156</v>
      </c>
      <c r="E2544" s="29"/>
      <c r="F2544" s="29" t="s">
        <v>88</v>
      </c>
      <c r="G2544" s="29" t="s">
        <v>823</v>
      </c>
      <c r="H2544" s="29" t="s">
        <v>38</v>
      </c>
      <c r="I2544" s="120">
        <v>45821</v>
      </c>
      <c r="J2544" s="120">
        <f>WORKDAY(I2544, 3)</f>
        <v>45826</v>
      </c>
      <c r="K2544" s="120">
        <v>45851</v>
      </c>
      <c r="L2544" s="120"/>
      <c r="M2544" s="120"/>
      <c r="N2544" s="120">
        <v>45824</v>
      </c>
      <c r="O2544" s="29" t="s">
        <v>60</v>
      </c>
      <c r="P2544" s="29"/>
      <c r="Q2544" s="156">
        <v>600</v>
      </c>
      <c r="R2544" s="134" t="s">
        <v>1405</v>
      </c>
    </row>
    <row r="2545" spans="1:18" hidden="1">
      <c r="A2545" s="134" t="s">
        <v>1139</v>
      </c>
      <c r="C2545" s="29">
        <v>164500097</v>
      </c>
      <c r="D2545" s="29">
        <v>136500159</v>
      </c>
      <c r="E2545" s="29"/>
      <c r="F2545" s="29" t="s">
        <v>88</v>
      </c>
      <c r="G2545" s="29" t="s">
        <v>823</v>
      </c>
      <c r="H2545" s="29" t="s">
        <v>38</v>
      </c>
      <c r="I2545" s="120">
        <v>45821</v>
      </c>
      <c r="J2545" s="120">
        <f>WORKDAY(I2545, 3)</f>
        <v>45826</v>
      </c>
      <c r="K2545" s="120">
        <v>45851</v>
      </c>
      <c r="L2545" s="120"/>
      <c r="M2545" s="120"/>
      <c r="N2545" s="120">
        <v>45824</v>
      </c>
      <c r="O2545" s="29" t="s">
        <v>60</v>
      </c>
      <c r="P2545" s="29"/>
      <c r="Q2545" s="156">
        <v>580</v>
      </c>
      <c r="R2545" s="134" t="s">
        <v>1405</v>
      </c>
    </row>
    <row r="2546" spans="1:18" hidden="1">
      <c r="A2546" s="134" t="s">
        <v>1155</v>
      </c>
      <c r="C2546" s="29">
        <v>164500103</v>
      </c>
      <c r="D2546" s="29">
        <v>132500119</v>
      </c>
      <c r="E2546" s="29"/>
      <c r="F2546" s="29" t="s">
        <v>88</v>
      </c>
      <c r="G2546" s="29" t="s">
        <v>823</v>
      </c>
      <c r="H2546" s="29" t="s">
        <v>38</v>
      </c>
      <c r="I2546" s="120">
        <v>45821</v>
      </c>
      <c r="J2546" s="120">
        <f>WORKDAY(I2546, 3)</f>
        <v>45826</v>
      </c>
      <c r="K2546" s="120">
        <v>45851</v>
      </c>
      <c r="L2546" s="120"/>
      <c r="M2546" s="120"/>
      <c r="N2546" s="120">
        <v>45824</v>
      </c>
      <c r="O2546" s="29" t="s">
        <v>60</v>
      </c>
      <c r="P2546" s="29"/>
      <c r="Q2546" s="156">
        <v>1000</v>
      </c>
      <c r="R2546" s="134" t="s">
        <v>1405</v>
      </c>
    </row>
    <row r="2547" spans="1:18" hidden="1">
      <c r="A2547" s="134" t="s">
        <v>1155</v>
      </c>
      <c r="C2547" s="29">
        <v>164500115</v>
      </c>
      <c r="D2547" s="29">
        <v>132500128</v>
      </c>
      <c r="E2547" s="29"/>
      <c r="F2547" s="29" t="s">
        <v>88</v>
      </c>
      <c r="G2547" s="29" t="s">
        <v>823</v>
      </c>
      <c r="H2547" s="29" t="s">
        <v>38</v>
      </c>
      <c r="I2547" s="120">
        <v>45821</v>
      </c>
      <c r="J2547" s="120">
        <f>WORKDAY(I2547, 3)</f>
        <v>45826</v>
      </c>
      <c r="K2547" s="120">
        <v>45851</v>
      </c>
      <c r="L2547" s="120"/>
      <c r="M2547" s="120"/>
      <c r="N2547" s="120">
        <v>45824</v>
      </c>
      <c r="O2547" s="29" t="s">
        <v>60</v>
      </c>
      <c r="P2547" s="29"/>
      <c r="Q2547" s="156">
        <v>600</v>
      </c>
      <c r="R2547" s="134" t="s">
        <v>1405</v>
      </c>
    </row>
    <row r="2548" spans="1:18" hidden="1">
      <c r="A2548" s="134" t="s">
        <v>1155</v>
      </c>
      <c r="C2548" s="29">
        <v>164500118</v>
      </c>
      <c r="D2548" s="29">
        <v>132500140</v>
      </c>
      <c r="E2548" s="29"/>
      <c r="F2548" s="29" t="s">
        <v>88</v>
      </c>
      <c r="G2548" s="29" t="s">
        <v>823</v>
      </c>
      <c r="H2548" s="29" t="s">
        <v>38</v>
      </c>
      <c r="I2548" s="120">
        <v>45821</v>
      </c>
      <c r="J2548" s="120">
        <f>WORKDAY(I2548, 3)</f>
        <v>45826</v>
      </c>
      <c r="K2548" s="120">
        <v>45851</v>
      </c>
      <c r="L2548" s="120"/>
      <c r="M2548" s="120"/>
      <c r="N2548" s="120">
        <v>45824</v>
      </c>
      <c r="O2548" s="29" t="s">
        <v>60</v>
      </c>
      <c r="P2548" s="29"/>
      <c r="Q2548" s="156">
        <v>300</v>
      </c>
      <c r="R2548" s="134" t="s">
        <v>1405</v>
      </c>
    </row>
    <row r="2549" spans="1:18" hidden="1">
      <c r="A2549" s="134" t="s">
        <v>1155</v>
      </c>
      <c r="C2549" s="29">
        <v>164500124</v>
      </c>
      <c r="D2549" s="29">
        <v>132500147</v>
      </c>
      <c r="E2549" s="29"/>
      <c r="F2549" s="29" t="s">
        <v>88</v>
      </c>
      <c r="G2549" s="29" t="s">
        <v>823</v>
      </c>
      <c r="H2549" s="29" t="s">
        <v>38</v>
      </c>
      <c r="I2549" s="120">
        <v>45821</v>
      </c>
      <c r="J2549" s="120">
        <f>WORKDAY(I2549, 3)</f>
        <v>45826</v>
      </c>
      <c r="K2549" s="120">
        <v>45851</v>
      </c>
      <c r="L2549" s="120"/>
      <c r="M2549" s="120"/>
      <c r="N2549" s="120">
        <v>45824</v>
      </c>
      <c r="O2549" s="29" t="s">
        <v>60</v>
      </c>
      <c r="P2549" s="29"/>
      <c r="Q2549" s="156">
        <v>500</v>
      </c>
      <c r="R2549" s="134" t="s">
        <v>1405</v>
      </c>
    </row>
    <row r="2550" spans="1:18" hidden="1">
      <c r="A2550" s="134" t="s">
        <v>1155</v>
      </c>
      <c r="C2550" s="29">
        <v>164500125</v>
      </c>
      <c r="D2550" s="29">
        <v>132500149</v>
      </c>
      <c r="E2550" s="29"/>
      <c r="F2550" s="29" t="s">
        <v>88</v>
      </c>
      <c r="G2550" s="29" t="s">
        <v>823</v>
      </c>
      <c r="H2550" s="29" t="s">
        <v>38</v>
      </c>
      <c r="I2550" s="120">
        <v>45821</v>
      </c>
      <c r="J2550" s="120">
        <f>WORKDAY(I2550, 3)</f>
        <v>45826</v>
      </c>
      <c r="K2550" s="120">
        <v>45851</v>
      </c>
      <c r="L2550" s="120"/>
      <c r="M2550" s="120"/>
      <c r="N2550" s="120">
        <v>45824</v>
      </c>
      <c r="O2550" s="29" t="s">
        <v>60</v>
      </c>
      <c r="P2550" s="29"/>
      <c r="Q2550" s="156">
        <v>400</v>
      </c>
      <c r="R2550" s="134" t="s">
        <v>1405</v>
      </c>
    </row>
    <row r="2551" spans="1:18" hidden="1">
      <c r="A2551" s="134" t="s">
        <v>1141</v>
      </c>
      <c r="C2551" s="29">
        <v>164500099</v>
      </c>
      <c r="D2551" s="29">
        <v>136500101</v>
      </c>
      <c r="E2551" s="29"/>
      <c r="F2551" s="29" t="s">
        <v>88</v>
      </c>
      <c r="G2551" s="29" t="s">
        <v>823</v>
      </c>
      <c r="H2551" s="29" t="s">
        <v>38</v>
      </c>
      <c r="I2551" s="120">
        <v>45821</v>
      </c>
      <c r="J2551" s="120">
        <f>WORKDAY(I2551, 3)</f>
        <v>45826</v>
      </c>
      <c r="K2551" s="120">
        <v>45851</v>
      </c>
      <c r="L2551" s="120"/>
      <c r="M2551" s="120"/>
      <c r="N2551" s="120">
        <v>45824</v>
      </c>
      <c r="O2551" s="29" t="s">
        <v>60</v>
      </c>
      <c r="P2551" s="29"/>
      <c r="Q2551" s="156">
        <v>1280</v>
      </c>
      <c r="R2551" s="134" t="s">
        <v>1405</v>
      </c>
    </row>
    <row r="2552" spans="1:18" hidden="1">
      <c r="A2552" s="134" t="s">
        <v>1141</v>
      </c>
      <c r="C2552" s="29">
        <v>164500101</v>
      </c>
      <c r="D2552" s="29">
        <v>136500133</v>
      </c>
      <c r="E2552" s="29"/>
      <c r="F2552" s="29" t="s">
        <v>88</v>
      </c>
      <c r="G2552" s="29" t="s">
        <v>823</v>
      </c>
      <c r="H2552" s="29" t="s">
        <v>38</v>
      </c>
      <c r="I2552" s="120">
        <v>45821</v>
      </c>
      <c r="J2552" s="120">
        <f>WORKDAY(I2552, 3)</f>
        <v>45826</v>
      </c>
      <c r="K2552" s="120">
        <v>45851</v>
      </c>
      <c r="L2552" s="120"/>
      <c r="M2552" s="120"/>
      <c r="N2552" s="120">
        <v>45824</v>
      </c>
      <c r="O2552" s="29" t="s">
        <v>60</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60</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60</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60</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60</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60</v>
      </c>
      <c r="P2594" s="29"/>
      <c r="Q2594" s="81">
        <v>300</v>
      </c>
    </row>
    <row r="2595" spans="1:17" hidden="1">
      <c r="A2595" s="119" t="s">
        <v>1333</v>
      </c>
      <c r="B2595" s="119"/>
      <c r="C2595" s="29">
        <v>171503657</v>
      </c>
      <c r="D2595" s="29">
        <v>140508816</v>
      </c>
      <c r="E2595" s="29"/>
      <c r="F2595" s="29" t="s">
        <v>88</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88</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88</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88</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88</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88</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88</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88</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88</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88</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88</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88</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88</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88</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88</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88</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88</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88</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88</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88</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88</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88</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88</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88</v>
      </c>
      <c r="G2618" s="29" t="s">
        <v>823</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1019</v>
      </c>
      <c r="C2619" s="29">
        <v>174500449</v>
      </c>
      <c r="D2619" s="29">
        <v>148502778</v>
      </c>
      <c r="E2619" s="29"/>
      <c r="F2619" s="29" t="s">
        <v>88</v>
      </c>
      <c r="G2619" s="29" t="s">
        <v>823</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1019</v>
      </c>
      <c r="C2620" s="29">
        <v>174500453</v>
      </c>
      <c r="D2620" s="29">
        <v>148502788</v>
      </c>
      <c r="E2620" s="29"/>
      <c r="F2620" s="29" t="s">
        <v>88</v>
      </c>
      <c r="G2620" s="29" t="s">
        <v>823</v>
      </c>
      <c r="H2620" s="29" t="s">
        <v>38</v>
      </c>
      <c r="I2620" s="120">
        <v>45831</v>
      </c>
      <c r="J2620" s="120">
        <f>WORKDAY(I2620, 3)</f>
        <v>45834</v>
      </c>
      <c r="K2620" s="120">
        <v>45861</v>
      </c>
      <c r="L2620" s="120"/>
      <c r="M2620" s="120"/>
      <c r="N2620" s="120">
        <v>45831</v>
      </c>
      <c r="O2620" s="29" t="s">
        <v>171</v>
      </c>
      <c r="P2620" s="120"/>
      <c r="Q2620" s="156">
        <v>130</v>
      </c>
    </row>
    <row r="2621" spans="1:17" hidden="1">
      <c r="A2621" s="119" t="s">
        <v>1142</v>
      </c>
      <c r="B2621" s="119"/>
      <c r="C2621" s="29">
        <v>175501083</v>
      </c>
      <c r="D2621" s="29">
        <v>135507443</v>
      </c>
      <c r="E2621" s="29"/>
      <c r="F2621" s="29" t="s">
        <v>88</v>
      </c>
      <c r="G2621" s="29" t="s">
        <v>823</v>
      </c>
      <c r="H2621" s="29" t="s">
        <v>38</v>
      </c>
      <c r="I2621" s="120">
        <v>45832</v>
      </c>
      <c r="J2621" s="120">
        <f>WORKDAY(I2621, 3)</f>
        <v>45835</v>
      </c>
      <c r="K2621" s="120">
        <v>45862</v>
      </c>
      <c r="L2621" s="120"/>
      <c r="M2621" s="120"/>
      <c r="N2621" s="29"/>
      <c r="O2621" s="29" t="s">
        <v>171</v>
      </c>
      <c r="P2621" s="120"/>
      <c r="Q2621" s="81">
        <v>230</v>
      </c>
    </row>
    <row r="2622" spans="1:17" hidden="1">
      <c r="A2622" s="119" t="s">
        <v>1142</v>
      </c>
      <c r="B2622" s="119"/>
      <c r="C2622" s="29">
        <v>175501090</v>
      </c>
      <c r="D2622" s="29">
        <v>129506652</v>
      </c>
      <c r="E2622" s="29"/>
      <c r="F2622" s="29" t="s">
        <v>88</v>
      </c>
      <c r="G2622" s="29" t="s">
        <v>823</v>
      </c>
      <c r="H2622" s="29" t="s">
        <v>38</v>
      </c>
      <c r="I2622" s="120">
        <v>45832</v>
      </c>
      <c r="J2622" s="120">
        <f>WORKDAY(I2622, 3)</f>
        <v>45835</v>
      </c>
      <c r="K2622" s="120">
        <v>45862</v>
      </c>
      <c r="L2622" s="120"/>
      <c r="M2622" s="120"/>
      <c r="N2622" s="29"/>
      <c r="O2622" s="29" t="s">
        <v>171</v>
      </c>
      <c r="P2622" s="120"/>
      <c r="Q2622" s="81">
        <v>530</v>
      </c>
    </row>
    <row r="2623" spans="1:17" hidden="1">
      <c r="A2623" s="119" t="s">
        <v>1142</v>
      </c>
      <c r="B2623" s="119"/>
      <c r="C2623" s="29">
        <v>175501102</v>
      </c>
      <c r="D2623" s="29">
        <v>135507444</v>
      </c>
      <c r="E2623" s="29"/>
      <c r="F2623" s="29" t="s">
        <v>88</v>
      </c>
      <c r="G2623" s="29" t="s">
        <v>823</v>
      </c>
      <c r="H2623" s="29" t="s">
        <v>38</v>
      </c>
      <c r="I2623" s="120">
        <v>45832</v>
      </c>
      <c r="J2623" s="120">
        <f>WORKDAY(I2623, 3)</f>
        <v>45835</v>
      </c>
      <c r="K2623" s="120">
        <v>45862</v>
      </c>
      <c r="L2623" s="120"/>
      <c r="M2623" s="120"/>
      <c r="N2623" s="29"/>
      <c r="O2623" s="29" t="s">
        <v>171</v>
      </c>
      <c r="P2623" s="120"/>
      <c r="Q2623" s="81">
        <v>140</v>
      </c>
    </row>
    <row r="2624" spans="1:17" hidden="1">
      <c r="A2624" s="119" t="s">
        <v>1142</v>
      </c>
      <c r="B2624" s="119"/>
      <c r="C2624" s="29">
        <v>175501107</v>
      </c>
      <c r="D2624" s="29">
        <v>135507446</v>
      </c>
      <c r="E2624" s="29"/>
      <c r="F2624" s="29" t="s">
        <v>88</v>
      </c>
      <c r="G2624" s="29" t="s">
        <v>823</v>
      </c>
      <c r="H2624" s="29" t="s">
        <v>38</v>
      </c>
      <c r="I2624" s="120">
        <v>45832</v>
      </c>
      <c r="J2624" s="120">
        <f>WORKDAY(I2624, 3)</f>
        <v>45835</v>
      </c>
      <c r="K2624" s="120">
        <v>45862</v>
      </c>
      <c r="L2624" s="120"/>
      <c r="M2624" s="120"/>
      <c r="N2624" s="29"/>
      <c r="O2624" s="29" t="s">
        <v>171</v>
      </c>
      <c r="P2624" s="120"/>
      <c r="Q2624" s="81">
        <v>100</v>
      </c>
    </row>
    <row r="2625" spans="1:17" hidden="1">
      <c r="A2625" s="119" t="s">
        <v>1142</v>
      </c>
      <c r="B2625" s="119"/>
      <c r="C2625" s="29">
        <v>175501115</v>
      </c>
      <c r="D2625" s="29">
        <v>129506655</v>
      </c>
      <c r="E2625" s="29"/>
      <c r="F2625" s="29" t="s">
        <v>88</v>
      </c>
      <c r="G2625" s="29" t="s">
        <v>823</v>
      </c>
      <c r="H2625" s="29" t="s">
        <v>38</v>
      </c>
      <c r="I2625" s="120">
        <v>45832</v>
      </c>
      <c r="J2625" s="120">
        <f>WORKDAY(I2625, 3)</f>
        <v>45835</v>
      </c>
      <c r="K2625" s="120">
        <v>45862</v>
      </c>
      <c r="L2625" s="120"/>
      <c r="M2625" s="120"/>
      <c r="N2625" s="29"/>
      <c r="O2625" s="29" t="s">
        <v>171</v>
      </c>
      <c r="P2625" s="120"/>
      <c r="Q2625" s="81">
        <v>680</v>
      </c>
    </row>
    <row r="2626" spans="1:17" hidden="1">
      <c r="A2626" s="119" t="s">
        <v>1142</v>
      </c>
      <c r="B2626" s="119"/>
      <c r="C2626" s="29">
        <v>175501119</v>
      </c>
      <c r="D2626" s="29">
        <v>135507447</v>
      </c>
      <c r="E2626" s="29"/>
      <c r="F2626" s="29" t="s">
        <v>88</v>
      </c>
      <c r="G2626" s="29" t="s">
        <v>823</v>
      </c>
      <c r="H2626" s="29" t="s">
        <v>38</v>
      </c>
      <c r="I2626" s="120">
        <v>45832</v>
      </c>
      <c r="J2626" s="120">
        <f>WORKDAY(I2626, 3)</f>
        <v>45835</v>
      </c>
      <c r="K2626" s="120">
        <v>45862</v>
      </c>
      <c r="L2626" s="120"/>
      <c r="M2626" s="120"/>
      <c r="N2626" s="29"/>
      <c r="O2626" s="29" t="s">
        <v>171</v>
      </c>
      <c r="P2626" s="120"/>
      <c r="Q2626" s="81">
        <v>350</v>
      </c>
    </row>
    <row r="2627" spans="1:17" hidden="1">
      <c r="A2627" s="119" t="s">
        <v>1142</v>
      </c>
      <c r="B2627" s="119"/>
      <c r="C2627" s="29">
        <v>175501122</v>
      </c>
      <c r="D2627" s="29">
        <v>135507449</v>
      </c>
      <c r="E2627" s="29"/>
      <c r="F2627" s="29" t="s">
        <v>88</v>
      </c>
      <c r="G2627" s="29" t="s">
        <v>823</v>
      </c>
      <c r="H2627" s="29" t="s">
        <v>38</v>
      </c>
      <c r="I2627" s="120">
        <v>45832</v>
      </c>
      <c r="J2627" s="120">
        <f>WORKDAY(I2627, 3)</f>
        <v>45835</v>
      </c>
      <c r="K2627" s="120">
        <v>45862</v>
      </c>
      <c r="L2627" s="120"/>
      <c r="M2627" s="120"/>
      <c r="N2627" s="29"/>
      <c r="O2627" s="29" t="s">
        <v>171</v>
      </c>
      <c r="P2627" s="120"/>
      <c r="Q2627" s="81">
        <v>340</v>
      </c>
    </row>
    <row r="2628" spans="1:17" hidden="1">
      <c r="A2628" s="119" t="s">
        <v>1142</v>
      </c>
      <c r="B2628" s="119"/>
      <c r="C2628" s="29">
        <v>175501136</v>
      </c>
      <c r="D2628" s="29">
        <v>135507448</v>
      </c>
      <c r="E2628" s="29"/>
      <c r="F2628" s="29" t="s">
        <v>88</v>
      </c>
      <c r="G2628" s="29" t="s">
        <v>823</v>
      </c>
      <c r="H2628" s="29" t="s">
        <v>38</v>
      </c>
      <c r="I2628" s="120">
        <v>45832</v>
      </c>
      <c r="J2628" s="120">
        <f>WORKDAY(I2628, 3)</f>
        <v>45835</v>
      </c>
      <c r="K2628" s="120">
        <v>45862</v>
      </c>
      <c r="L2628" s="120"/>
      <c r="M2628" s="120"/>
      <c r="N2628" s="29"/>
      <c r="O2628" s="29" t="s">
        <v>171</v>
      </c>
      <c r="P2628" s="120"/>
      <c r="Q2628" s="81">
        <v>160</v>
      </c>
    </row>
    <row r="2629" spans="1:17" hidden="1">
      <c r="A2629" s="119" t="s">
        <v>1142</v>
      </c>
      <c r="B2629" s="119"/>
      <c r="C2629" s="29">
        <v>175501159</v>
      </c>
      <c r="D2629" s="29">
        <v>135507451</v>
      </c>
      <c r="E2629" s="29"/>
      <c r="F2629" s="29" t="s">
        <v>88</v>
      </c>
      <c r="G2629" s="29" t="s">
        <v>823</v>
      </c>
      <c r="H2629" s="29" t="s">
        <v>38</v>
      </c>
      <c r="I2629" s="120">
        <v>45832</v>
      </c>
      <c r="J2629" s="120">
        <f>WORKDAY(I2629, 3)</f>
        <v>45835</v>
      </c>
      <c r="K2629" s="120">
        <v>45862</v>
      </c>
      <c r="L2629" s="120"/>
      <c r="M2629" s="120"/>
      <c r="N2629" s="29"/>
      <c r="O2629" s="29" t="s">
        <v>171</v>
      </c>
      <c r="P2629" s="120"/>
      <c r="Q2629" s="81">
        <v>130</v>
      </c>
    </row>
    <row r="2630" spans="1:17" hidden="1">
      <c r="A2630" s="119" t="s">
        <v>1142</v>
      </c>
      <c r="B2630" s="119"/>
      <c r="C2630" s="29">
        <v>175501166</v>
      </c>
      <c r="D2630" s="29">
        <v>129500811</v>
      </c>
      <c r="E2630" s="29"/>
      <c r="F2630" s="29" t="s">
        <v>88</v>
      </c>
      <c r="G2630" s="29" t="s">
        <v>823</v>
      </c>
      <c r="H2630" s="29" t="s">
        <v>38</v>
      </c>
      <c r="I2630" s="120">
        <v>45832</v>
      </c>
      <c r="J2630" s="120">
        <f>WORKDAY(I2630, 3)</f>
        <v>45835</v>
      </c>
      <c r="K2630" s="120">
        <v>45862</v>
      </c>
      <c r="L2630" s="120"/>
      <c r="M2630" s="120"/>
      <c r="N2630" s="29"/>
      <c r="O2630" s="29" t="s">
        <v>171</v>
      </c>
      <c r="P2630" s="120"/>
      <c r="Q2630" s="81">
        <v>280</v>
      </c>
    </row>
    <row r="2631" spans="1:17" hidden="1">
      <c r="A2631" s="134" t="s">
        <v>1067</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1067</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1067</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1067</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1067</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1067</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1019</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1019</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1019</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983</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983</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1407</v>
      </c>
      <c r="C2642" s="29">
        <v>196500188</v>
      </c>
      <c r="D2642" s="29"/>
      <c r="E2642" s="29"/>
      <c r="F2642" s="29" t="s">
        <v>88</v>
      </c>
      <c r="G2642" s="29" t="s">
        <v>823</v>
      </c>
      <c r="H2642" s="29" t="s">
        <v>38</v>
      </c>
      <c r="I2642" s="120">
        <v>45852</v>
      </c>
      <c r="J2642" s="120">
        <f>WORKDAY(I2642, 3)</f>
        <v>45855</v>
      </c>
      <c r="K2642" s="120">
        <v>45883</v>
      </c>
      <c r="L2642" s="120"/>
      <c r="M2642" s="120"/>
      <c r="N2642" s="29"/>
      <c r="O2642" s="29" t="s">
        <v>171</v>
      </c>
      <c r="P2642" s="120"/>
      <c r="Q2642" s="156">
        <v>230</v>
      </c>
    </row>
    <row r="2643" spans="1:18" hidden="1">
      <c r="A2643" s="134" t="s">
        <v>1150</v>
      </c>
      <c r="C2643" s="29">
        <v>195504943</v>
      </c>
      <c r="D2643" s="29">
        <v>160500824</v>
      </c>
      <c r="E2643" s="29"/>
      <c r="F2643" s="29" t="s">
        <v>88</v>
      </c>
      <c r="G2643" s="29" t="s">
        <v>823</v>
      </c>
      <c r="H2643" s="29" t="s">
        <v>38</v>
      </c>
      <c r="I2643" s="120">
        <v>45852</v>
      </c>
      <c r="J2643" s="120">
        <f>WORKDAY(I2643, 3)</f>
        <v>45855</v>
      </c>
      <c r="K2643" s="120">
        <v>45883</v>
      </c>
      <c r="L2643" s="120"/>
      <c r="M2643" s="120"/>
      <c r="N2643" s="29"/>
      <c r="O2643" s="29" t="s">
        <v>60</v>
      </c>
      <c r="P2643" s="29"/>
      <c r="Q2643" s="156">
        <v>200</v>
      </c>
      <c r="R2643" s="134" t="s">
        <v>1176</v>
      </c>
    </row>
    <row r="2644" spans="1:18" hidden="1">
      <c r="A2644" s="134" t="s">
        <v>1059</v>
      </c>
      <c r="C2644" s="29">
        <v>176503372</v>
      </c>
      <c r="D2644" s="29">
        <v>148501617</v>
      </c>
      <c r="E2644" s="29"/>
      <c r="F2644" s="29" t="s">
        <v>88</v>
      </c>
      <c r="G2644" s="29" t="s">
        <v>823</v>
      </c>
      <c r="H2644" s="29" t="s">
        <v>38</v>
      </c>
      <c r="I2644" s="120">
        <v>45833</v>
      </c>
      <c r="J2644" s="120">
        <f>WORKDAY(I2644, 3)</f>
        <v>45838</v>
      </c>
      <c r="K2644" s="120">
        <v>45863</v>
      </c>
      <c r="L2644" s="120"/>
      <c r="M2644" s="120"/>
      <c r="N2644" s="29"/>
      <c r="O2644" s="29" t="s">
        <v>60</v>
      </c>
      <c r="P2644" s="29"/>
      <c r="Q2644" s="156">
        <v>900</v>
      </c>
    </row>
    <row r="2645" spans="1:18" hidden="1">
      <c r="A2645" s="134" t="s">
        <v>1059</v>
      </c>
      <c r="C2645" s="29">
        <v>181502133</v>
      </c>
      <c r="D2645" s="29">
        <v>150500064</v>
      </c>
      <c r="E2645" s="29"/>
      <c r="F2645" s="29" t="s">
        <v>88</v>
      </c>
      <c r="G2645" s="29" t="s">
        <v>823</v>
      </c>
      <c r="H2645" s="29" t="s">
        <v>38</v>
      </c>
      <c r="I2645" s="120">
        <v>45838</v>
      </c>
      <c r="J2645" s="120">
        <f>WORKDAY(I2645, 3)</f>
        <v>45841</v>
      </c>
      <c r="K2645" s="120">
        <v>45868</v>
      </c>
      <c r="L2645" s="120"/>
      <c r="M2645" s="120"/>
      <c r="N2645" s="29"/>
      <c r="O2645" s="29" t="s">
        <v>60</v>
      </c>
      <c r="P2645" s="29"/>
      <c r="Q2645" s="156">
        <v>560</v>
      </c>
    </row>
    <row r="2646" spans="1:18" hidden="1">
      <c r="A2646" s="134" t="s">
        <v>1059</v>
      </c>
      <c r="C2646" s="29">
        <v>181502172</v>
      </c>
      <c r="D2646" s="29">
        <v>148501570</v>
      </c>
      <c r="E2646" s="29"/>
      <c r="F2646" s="29" t="s">
        <v>88</v>
      </c>
      <c r="G2646" s="29" t="s">
        <v>823</v>
      </c>
      <c r="H2646" s="29" t="s">
        <v>38</v>
      </c>
      <c r="I2646" s="120">
        <v>45838</v>
      </c>
      <c r="J2646" s="120">
        <f>WORKDAY(I2646, 3)</f>
        <v>45841</v>
      </c>
      <c r="K2646" s="120">
        <v>45868</v>
      </c>
      <c r="L2646" s="120"/>
      <c r="M2646" s="120"/>
      <c r="N2646" s="29"/>
      <c r="O2646" s="29" t="s">
        <v>60</v>
      </c>
      <c r="P2646" s="29"/>
      <c r="Q2646" s="156">
        <v>300</v>
      </c>
    </row>
    <row r="2647" spans="1:18" hidden="1">
      <c r="A2647" s="134" t="s">
        <v>1059</v>
      </c>
      <c r="C2647" s="29">
        <v>181502210</v>
      </c>
      <c r="D2647" s="29">
        <v>145501680</v>
      </c>
      <c r="E2647" s="29"/>
      <c r="F2647" s="29" t="s">
        <v>88</v>
      </c>
      <c r="G2647" s="29" t="s">
        <v>823</v>
      </c>
      <c r="H2647" s="29" t="s">
        <v>38</v>
      </c>
      <c r="I2647" s="120">
        <v>45838</v>
      </c>
      <c r="J2647" s="120">
        <f>WORKDAY(I2647, 3)</f>
        <v>45841</v>
      </c>
      <c r="K2647" s="120">
        <v>45868</v>
      </c>
      <c r="L2647" s="120"/>
      <c r="M2647" s="120"/>
      <c r="N2647" s="29"/>
      <c r="O2647" s="29" t="s">
        <v>60</v>
      </c>
      <c r="P2647" s="29"/>
      <c r="Q2647" s="156">
        <v>700</v>
      </c>
    </row>
    <row r="2648" spans="1:18" hidden="1">
      <c r="A2648" s="134" t="s">
        <v>1059</v>
      </c>
      <c r="C2648" s="29">
        <v>181502219</v>
      </c>
      <c r="D2648" s="29">
        <v>150500061</v>
      </c>
      <c r="E2648" s="29"/>
      <c r="F2648" s="29" t="s">
        <v>88</v>
      </c>
      <c r="G2648" s="29" t="s">
        <v>823</v>
      </c>
      <c r="H2648" s="29" t="s">
        <v>38</v>
      </c>
      <c r="I2648" s="120">
        <v>45838</v>
      </c>
      <c r="J2648" s="120">
        <f>WORKDAY(I2648, 3)</f>
        <v>45841</v>
      </c>
      <c r="K2648" s="120">
        <v>45868</v>
      </c>
      <c r="L2648" s="120"/>
      <c r="M2648" s="120"/>
      <c r="N2648" s="29"/>
      <c r="O2648" s="29" t="s">
        <v>60</v>
      </c>
      <c r="P2648" s="29"/>
      <c r="Q2648" s="156">
        <v>400</v>
      </c>
    </row>
    <row r="2649" spans="1:18" hidden="1">
      <c r="A2649" s="134" t="s">
        <v>1059</v>
      </c>
      <c r="C2649" s="29">
        <v>181502290</v>
      </c>
      <c r="D2649" s="29">
        <v>148501665</v>
      </c>
      <c r="E2649" s="29"/>
      <c r="F2649" s="29" t="s">
        <v>88</v>
      </c>
      <c r="G2649" s="29" t="s">
        <v>823</v>
      </c>
      <c r="H2649" s="29" t="s">
        <v>38</v>
      </c>
      <c r="I2649" s="120">
        <v>45838</v>
      </c>
      <c r="J2649" s="120">
        <f>WORKDAY(I2649, 3)</f>
        <v>45841</v>
      </c>
      <c r="K2649" s="120">
        <v>45868</v>
      </c>
      <c r="L2649" s="120"/>
      <c r="M2649" s="120"/>
      <c r="N2649" s="29"/>
      <c r="O2649" s="29" t="s">
        <v>60</v>
      </c>
      <c r="P2649" s="29"/>
      <c r="Q2649" s="156">
        <v>320</v>
      </c>
    </row>
    <row r="2650" spans="1:18" hidden="1">
      <c r="A2650" s="134" t="s">
        <v>1136</v>
      </c>
      <c r="C2650" s="29">
        <v>182505805</v>
      </c>
      <c r="D2650" s="29"/>
      <c r="E2650" s="29"/>
      <c r="F2650" s="29" t="s">
        <v>88</v>
      </c>
      <c r="G2650" s="29" t="s">
        <v>823</v>
      </c>
      <c r="H2650" s="29" t="s">
        <v>38</v>
      </c>
      <c r="I2650" s="120">
        <v>45839</v>
      </c>
      <c r="J2650" s="120">
        <f>WORKDAY(I2650, 3)</f>
        <v>45842</v>
      </c>
      <c r="K2650" s="120">
        <v>45870</v>
      </c>
      <c r="L2650" s="120"/>
      <c r="M2650" s="120"/>
      <c r="N2650" s="29"/>
      <c r="O2650" s="29" t="s">
        <v>60</v>
      </c>
      <c r="P2650" s="29"/>
      <c r="Q2650" s="156">
        <v>280</v>
      </c>
    </row>
    <row r="2651" spans="1:18" hidden="1">
      <c r="A2651" s="134" t="s">
        <v>1136</v>
      </c>
      <c r="C2651" s="29">
        <v>182505854</v>
      </c>
      <c r="D2651" s="29"/>
      <c r="E2651" s="29"/>
      <c r="F2651" s="29" t="s">
        <v>88</v>
      </c>
      <c r="G2651" s="29" t="s">
        <v>823</v>
      </c>
      <c r="H2651" s="29" t="s">
        <v>38</v>
      </c>
      <c r="I2651" s="120">
        <v>45839</v>
      </c>
      <c r="J2651" s="120">
        <f>WORKDAY(I2651, 3)</f>
        <v>45842</v>
      </c>
      <c r="K2651" s="120">
        <v>45870</v>
      </c>
      <c r="L2651" s="120"/>
      <c r="M2651" s="120"/>
      <c r="N2651" s="29"/>
      <c r="O2651" s="29" t="s">
        <v>60</v>
      </c>
      <c r="P2651" s="29"/>
      <c r="Q2651" s="156">
        <v>220</v>
      </c>
    </row>
    <row r="2652" spans="1:18" hidden="1">
      <c r="A2652" s="134" t="s">
        <v>1136</v>
      </c>
      <c r="C2652" s="29">
        <v>182505887</v>
      </c>
      <c r="D2652" s="29"/>
      <c r="E2652" s="29"/>
      <c r="F2652" s="29" t="s">
        <v>88</v>
      </c>
      <c r="G2652" s="29" t="s">
        <v>823</v>
      </c>
      <c r="H2652" s="29" t="s">
        <v>38</v>
      </c>
      <c r="I2652" s="120">
        <v>45839</v>
      </c>
      <c r="J2652" s="120">
        <f>WORKDAY(I2652, 3)</f>
        <v>45842</v>
      </c>
      <c r="K2652" s="120">
        <v>45870</v>
      </c>
      <c r="L2652" s="120"/>
      <c r="M2652" s="120"/>
      <c r="N2652" s="29"/>
      <c r="O2652" s="29" t="s">
        <v>60</v>
      </c>
      <c r="P2652" s="29"/>
      <c r="Q2652" s="156">
        <v>180</v>
      </c>
    </row>
    <row r="2653" spans="1:18" hidden="1">
      <c r="A2653" s="134" t="s">
        <v>1136</v>
      </c>
      <c r="C2653" s="29">
        <v>182505900</v>
      </c>
      <c r="D2653" s="29"/>
      <c r="E2653" s="29"/>
      <c r="F2653" s="29" t="s">
        <v>88</v>
      </c>
      <c r="G2653" s="29" t="s">
        <v>823</v>
      </c>
      <c r="H2653" s="29" t="s">
        <v>38</v>
      </c>
      <c r="I2653" s="120">
        <v>45839</v>
      </c>
      <c r="J2653" s="120">
        <f>WORKDAY(I2653, 3)</f>
        <v>45842</v>
      </c>
      <c r="K2653" s="120">
        <v>45870</v>
      </c>
      <c r="L2653" s="120"/>
      <c r="M2653" s="120"/>
      <c r="N2653" s="29"/>
      <c r="O2653" s="29" t="s">
        <v>60</v>
      </c>
      <c r="P2653" s="29"/>
      <c r="Q2653" s="156">
        <v>170</v>
      </c>
    </row>
    <row r="2654" spans="1:18" hidden="1">
      <c r="A2654" s="134" t="s">
        <v>1136</v>
      </c>
      <c r="C2654" s="29">
        <v>182505946</v>
      </c>
      <c r="D2654" s="29"/>
      <c r="E2654" s="29"/>
      <c r="F2654" s="29" t="s">
        <v>88</v>
      </c>
      <c r="G2654" s="29" t="s">
        <v>823</v>
      </c>
      <c r="H2654" s="29" t="s">
        <v>38</v>
      </c>
      <c r="I2654" s="120">
        <v>45839</v>
      </c>
      <c r="J2654" s="120">
        <f>WORKDAY(I2654, 3)</f>
        <v>45842</v>
      </c>
      <c r="K2654" s="120">
        <v>45870</v>
      </c>
      <c r="L2654" s="120"/>
      <c r="M2654" s="120"/>
      <c r="N2654" s="29"/>
      <c r="O2654" s="29" t="s">
        <v>60</v>
      </c>
      <c r="P2654" s="29"/>
      <c r="Q2654" s="156">
        <v>90</v>
      </c>
    </row>
    <row r="2655" spans="1:18" hidden="1">
      <c r="A2655" s="134" t="s">
        <v>1136</v>
      </c>
      <c r="C2655" s="29">
        <v>182505965</v>
      </c>
      <c r="D2655" s="29"/>
      <c r="E2655" s="29"/>
      <c r="F2655" s="29" t="s">
        <v>88</v>
      </c>
      <c r="G2655" s="29" t="s">
        <v>823</v>
      </c>
      <c r="H2655" s="29" t="s">
        <v>38</v>
      </c>
      <c r="I2655" s="120">
        <v>45839</v>
      </c>
      <c r="J2655" s="120">
        <f>WORKDAY(I2655, 3)</f>
        <v>45842</v>
      </c>
      <c r="K2655" s="120">
        <v>45870</v>
      </c>
      <c r="L2655" s="120"/>
      <c r="M2655" s="120"/>
      <c r="N2655" s="29"/>
      <c r="O2655" s="29" t="s">
        <v>60</v>
      </c>
      <c r="P2655" s="29"/>
      <c r="Q2655" s="156">
        <v>350</v>
      </c>
    </row>
    <row r="2656" spans="1:18" hidden="1">
      <c r="A2656" s="134" t="s">
        <v>1067</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1408</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1408</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1409</v>
      </c>
      <c r="C2659" s="29">
        <v>218501895</v>
      </c>
      <c r="D2659" s="29"/>
      <c r="E2659" s="29"/>
      <c r="F2659" s="29" t="s">
        <v>88</v>
      </c>
      <c r="G2659" s="29" t="s">
        <v>823</v>
      </c>
      <c r="H2659" s="29" t="s">
        <v>38</v>
      </c>
      <c r="I2659" s="120">
        <v>45875</v>
      </c>
      <c r="J2659" s="120">
        <f>WORKDAY(I2659, 3)</f>
        <v>45880</v>
      </c>
      <c r="K2659" s="120">
        <v>45906</v>
      </c>
      <c r="L2659" s="120"/>
      <c r="M2659" s="120"/>
      <c r="N2659" s="29"/>
      <c r="O2659" s="29" t="s">
        <v>171</v>
      </c>
      <c r="P2659" s="29"/>
      <c r="Q2659" s="156"/>
    </row>
    <row r="2660" spans="1:18" ht="18.75" hidden="1">
      <c r="A2660" s="134" t="s">
        <v>1408</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1408</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391</v>
      </c>
      <c r="C2662" s="29">
        <v>198501371</v>
      </c>
      <c r="D2662" s="29"/>
      <c r="E2662" s="29"/>
      <c r="F2662" s="29" t="s">
        <v>88</v>
      </c>
      <c r="G2662" s="29" t="s">
        <v>823</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983</v>
      </c>
      <c r="B2663" s="119"/>
      <c r="C2663" s="29">
        <v>203504455</v>
      </c>
      <c r="D2663" s="29">
        <v>154501500</v>
      </c>
      <c r="E2663" s="29"/>
      <c r="F2663" s="29" t="s">
        <v>88</v>
      </c>
      <c r="G2663" s="29" t="s">
        <v>823</v>
      </c>
      <c r="H2663" s="29" t="s">
        <v>38</v>
      </c>
      <c r="I2663" s="120">
        <v>45860</v>
      </c>
      <c r="J2663" s="120">
        <f>WORKDAY(I2663, 3)</f>
        <v>45863</v>
      </c>
      <c r="K2663" s="120">
        <v>45891</v>
      </c>
      <c r="L2663" s="120"/>
      <c r="M2663" s="120"/>
      <c r="N2663" s="29"/>
      <c r="O2663" s="29" t="s">
        <v>60</v>
      </c>
      <c r="P2663" s="29"/>
      <c r="Q2663" s="156">
        <v>570</v>
      </c>
      <c r="R2663" s="134" t="s">
        <v>1410</v>
      </c>
    </row>
    <row r="2664" spans="1:18" hidden="1">
      <c r="A2664" s="119" t="s">
        <v>983</v>
      </c>
      <c r="B2664" s="119"/>
      <c r="C2664" s="29">
        <v>203504461</v>
      </c>
      <c r="D2664" s="29">
        <v>154501505</v>
      </c>
      <c r="E2664" s="29"/>
      <c r="F2664" s="29" t="s">
        <v>88</v>
      </c>
      <c r="G2664" s="29" t="s">
        <v>823</v>
      </c>
      <c r="H2664" s="29" t="s">
        <v>38</v>
      </c>
      <c r="I2664" s="120">
        <v>45860</v>
      </c>
      <c r="J2664" s="120">
        <f>WORKDAY(I2664, 3)</f>
        <v>45863</v>
      </c>
      <c r="K2664" s="120">
        <v>45891</v>
      </c>
      <c r="L2664" s="120"/>
      <c r="M2664" s="120"/>
      <c r="N2664" s="29"/>
      <c r="O2664" s="29" t="s">
        <v>60</v>
      </c>
      <c r="P2664" s="29"/>
      <c r="Q2664" s="156">
        <v>350</v>
      </c>
      <c r="R2664" s="134" t="s">
        <v>1410</v>
      </c>
    </row>
    <row r="2665" spans="1:18" hidden="1">
      <c r="A2665" s="119" t="s">
        <v>983</v>
      </c>
      <c r="B2665" s="119"/>
      <c r="C2665" s="29">
        <v>203504488</v>
      </c>
      <c r="D2665" s="29">
        <v>188501985</v>
      </c>
      <c r="E2665" s="29"/>
      <c r="F2665" s="29" t="s">
        <v>88</v>
      </c>
      <c r="G2665" s="29" t="s">
        <v>823</v>
      </c>
      <c r="H2665" s="29" t="s">
        <v>38</v>
      </c>
      <c r="I2665" s="120">
        <v>45860</v>
      </c>
      <c r="J2665" s="120">
        <f>WORKDAY(I2665, 3)</f>
        <v>45863</v>
      </c>
      <c r="K2665" s="120">
        <v>45891</v>
      </c>
      <c r="L2665" s="120"/>
      <c r="M2665" s="120"/>
      <c r="N2665" s="29"/>
      <c r="O2665" s="29" t="s">
        <v>171</v>
      </c>
      <c r="P2665" s="120"/>
      <c r="Q2665" s="156">
        <v>300</v>
      </c>
    </row>
    <row r="2666" spans="1:18" hidden="1">
      <c r="A2666" s="134" t="s">
        <v>588</v>
      </c>
      <c r="C2666" s="29">
        <v>203501474</v>
      </c>
      <c r="D2666" s="29">
        <v>174500570</v>
      </c>
      <c r="E2666" s="29"/>
      <c r="F2666" s="29" t="s">
        <v>88</v>
      </c>
      <c r="G2666" s="29" t="s">
        <v>823</v>
      </c>
      <c r="H2666" s="29" t="s">
        <v>38</v>
      </c>
      <c r="I2666" s="120">
        <v>45860</v>
      </c>
      <c r="J2666" s="120">
        <f>WORKDAY(I2666, 3)</f>
        <v>45863</v>
      </c>
      <c r="K2666" s="120">
        <v>45891</v>
      </c>
      <c r="L2666" s="120"/>
      <c r="M2666" s="120"/>
      <c r="N2666" s="29"/>
      <c r="O2666" s="29" t="s">
        <v>171</v>
      </c>
      <c r="P2666" s="120"/>
      <c r="Q2666" s="156">
        <v>270</v>
      </c>
    </row>
    <row r="2667" spans="1:18" hidden="1">
      <c r="A2667" s="134" t="s">
        <v>588</v>
      </c>
      <c r="C2667" s="29">
        <v>203501482</v>
      </c>
      <c r="D2667" s="29">
        <v>174500619</v>
      </c>
      <c r="E2667" s="29"/>
      <c r="F2667" s="29" t="s">
        <v>88</v>
      </c>
      <c r="G2667" s="29" t="s">
        <v>823</v>
      </c>
      <c r="H2667" s="29" t="s">
        <v>38</v>
      </c>
      <c r="I2667" s="120">
        <v>45860</v>
      </c>
      <c r="J2667" s="120">
        <f>WORKDAY(I2667, 3)</f>
        <v>45863</v>
      </c>
      <c r="K2667" s="120">
        <v>45891</v>
      </c>
      <c r="L2667" s="120"/>
      <c r="M2667" s="120"/>
      <c r="N2667" s="29"/>
      <c r="O2667" s="29" t="s">
        <v>171</v>
      </c>
      <c r="P2667" s="120"/>
      <c r="Q2667" s="156">
        <v>800</v>
      </c>
    </row>
    <row r="2668" spans="1:18" hidden="1">
      <c r="A2668" s="134" t="s">
        <v>588</v>
      </c>
      <c r="C2668" s="29">
        <v>203501493</v>
      </c>
      <c r="D2668" s="29">
        <v>174500645</v>
      </c>
      <c r="E2668" s="29"/>
      <c r="F2668" s="29" t="s">
        <v>88</v>
      </c>
      <c r="G2668" s="29" t="s">
        <v>823</v>
      </c>
      <c r="H2668" s="29" t="s">
        <v>38</v>
      </c>
      <c r="I2668" s="120">
        <v>45860</v>
      </c>
      <c r="J2668" s="120">
        <f>WORKDAY(I2668, 3)</f>
        <v>45863</v>
      </c>
      <c r="K2668" s="120">
        <v>45891</v>
      </c>
      <c r="L2668" s="120"/>
      <c r="M2668" s="120"/>
      <c r="N2668" s="29"/>
      <c r="O2668" s="29" t="s">
        <v>171</v>
      </c>
      <c r="P2668" s="120"/>
      <c r="Q2668" s="156">
        <v>710</v>
      </c>
    </row>
    <row r="2669" spans="1:18" hidden="1">
      <c r="A2669" s="134" t="s">
        <v>1333</v>
      </c>
      <c r="C2669" s="29">
        <v>203501511</v>
      </c>
      <c r="D2669" s="29">
        <v>171503657</v>
      </c>
      <c r="E2669" s="29"/>
      <c r="F2669" s="29" t="s">
        <v>88</v>
      </c>
      <c r="G2669" s="29" t="s">
        <v>823</v>
      </c>
      <c r="H2669" s="29" t="s">
        <v>38</v>
      </c>
      <c r="I2669" s="120">
        <v>45860</v>
      </c>
      <c r="J2669" s="120">
        <f>WORKDAY(I2669, 3)</f>
        <v>45863</v>
      </c>
      <c r="K2669" s="120">
        <v>45891</v>
      </c>
      <c r="L2669" s="120"/>
      <c r="M2669" s="120"/>
      <c r="N2669" s="29"/>
      <c r="O2669" s="29" t="s">
        <v>171</v>
      </c>
      <c r="P2669" s="120"/>
      <c r="Q2669" s="156">
        <v>420</v>
      </c>
    </row>
    <row r="2670" spans="1:18" hidden="1">
      <c r="A2670" s="134" t="s">
        <v>588</v>
      </c>
      <c r="C2670" s="29">
        <v>203501518</v>
      </c>
      <c r="D2670" s="29">
        <v>174500653</v>
      </c>
      <c r="E2670" s="29"/>
      <c r="F2670" s="29" t="s">
        <v>88</v>
      </c>
      <c r="G2670" s="29" t="s">
        <v>823</v>
      </c>
      <c r="H2670" s="29" t="s">
        <v>38</v>
      </c>
      <c r="I2670" s="120">
        <v>45860</v>
      </c>
      <c r="J2670" s="120">
        <f>WORKDAY(I2670, 3)</f>
        <v>45863</v>
      </c>
      <c r="K2670" s="120">
        <v>45891</v>
      </c>
      <c r="L2670" s="120"/>
      <c r="M2670" s="120"/>
      <c r="N2670" s="29"/>
      <c r="O2670" s="29" t="s">
        <v>171</v>
      </c>
      <c r="P2670" s="120"/>
      <c r="Q2670" s="156">
        <v>980</v>
      </c>
    </row>
    <row r="2671" spans="1:18" hidden="1">
      <c r="A2671" s="134" t="s">
        <v>1333</v>
      </c>
      <c r="C2671" s="29">
        <v>203501533</v>
      </c>
      <c r="D2671" s="29">
        <v>171503712</v>
      </c>
      <c r="E2671" s="29"/>
      <c r="F2671" s="29" t="s">
        <v>88</v>
      </c>
      <c r="G2671" s="29" t="s">
        <v>823</v>
      </c>
      <c r="H2671" s="29" t="s">
        <v>38</v>
      </c>
      <c r="I2671" s="120">
        <v>45860</v>
      </c>
      <c r="J2671" s="120">
        <f>WORKDAY(I2671, 3)</f>
        <v>45863</v>
      </c>
      <c r="K2671" s="120">
        <v>45891</v>
      </c>
      <c r="L2671" s="120"/>
      <c r="M2671" s="120"/>
      <c r="N2671" s="29"/>
      <c r="O2671" s="29" t="s">
        <v>171</v>
      </c>
      <c r="P2671" s="120"/>
      <c r="Q2671" s="156">
        <v>370</v>
      </c>
    </row>
    <row r="2672" spans="1:18" hidden="1">
      <c r="A2672" s="134" t="s">
        <v>1333</v>
      </c>
      <c r="C2672" s="29">
        <v>203501547</v>
      </c>
      <c r="D2672" s="29">
        <v>171503742</v>
      </c>
      <c r="E2672" s="29"/>
      <c r="F2672" s="29" t="s">
        <v>88</v>
      </c>
      <c r="G2672" s="29" t="s">
        <v>823</v>
      </c>
      <c r="H2672" s="29" t="s">
        <v>38</v>
      </c>
      <c r="I2672" s="120">
        <v>45860</v>
      </c>
      <c r="J2672" s="120">
        <f>WORKDAY(I2672, 3)</f>
        <v>45863</v>
      </c>
      <c r="K2672" s="120">
        <v>45891</v>
      </c>
      <c r="L2672" s="120"/>
      <c r="M2672" s="120"/>
      <c r="N2672" s="29"/>
      <c r="O2672" s="29" t="s">
        <v>171</v>
      </c>
      <c r="P2672" s="120"/>
      <c r="Q2672" s="156">
        <v>350</v>
      </c>
    </row>
    <row r="2673" spans="1:18" hidden="1">
      <c r="A2673" s="134" t="s">
        <v>1333</v>
      </c>
      <c r="C2673" s="29">
        <v>203501567</v>
      </c>
      <c r="D2673" s="29">
        <v>171503746</v>
      </c>
      <c r="E2673" s="29"/>
      <c r="F2673" s="29" t="s">
        <v>88</v>
      </c>
      <c r="G2673" s="29" t="s">
        <v>823</v>
      </c>
      <c r="H2673" s="29" t="s">
        <v>38</v>
      </c>
      <c r="I2673" s="120">
        <v>45860</v>
      </c>
      <c r="J2673" s="120">
        <f>WORKDAY(I2673, 3)</f>
        <v>45863</v>
      </c>
      <c r="K2673" s="120">
        <v>45891</v>
      </c>
      <c r="L2673" s="120"/>
      <c r="M2673" s="120"/>
      <c r="N2673" s="29"/>
      <c r="O2673" s="29" t="s">
        <v>171</v>
      </c>
      <c r="P2673" s="120"/>
      <c r="Q2673" s="156">
        <v>670</v>
      </c>
    </row>
    <row r="2674" spans="1:18" hidden="1">
      <c r="A2674" s="134" t="s">
        <v>1333</v>
      </c>
      <c r="C2674" s="29">
        <v>203501580</v>
      </c>
      <c r="D2674" s="29">
        <v>171503668</v>
      </c>
      <c r="E2674" s="29"/>
      <c r="F2674" s="29" t="s">
        <v>88</v>
      </c>
      <c r="G2674" s="29" t="s">
        <v>823</v>
      </c>
      <c r="H2674" s="29" t="s">
        <v>38</v>
      </c>
      <c r="I2674" s="120">
        <v>45860</v>
      </c>
      <c r="J2674" s="120">
        <f>WORKDAY(I2674, 3)</f>
        <v>45863</v>
      </c>
      <c r="K2674" s="120">
        <v>45891</v>
      </c>
      <c r="L2674" s="120"/>
      <c r="M2674" s="120"/>
      <c r="N2674" s="29"/>
      <c r="O2674" s="29" t="s">
        <v>171</v>
      </c>
      <c r="P2674" s="120"/>
      <c r="Q2674" s="156">
        <v>920</v>
      </c>
    </row>
    <row r="2675" spans="1:18" hidden="1">
      <c r="A2675" s="134" t="s">
        <v>1333</v>
      </c>
      <c r="C2675" s="29">
        <v>203501594</v>
      </c>
      <c r="D2675" s="29">
        <v>171503705</v>
      </c>
      <c r="E2675" s="29"/>
      <c r="F2675" s="29" t="s">
        <v>88</v>
      </c>
      <c r="G2675" s="29" t="s">
        <v>823</v>
      </c>
      <c r="H2675" s="29" t="s">
        <v>38</v>
      </c>
      <c r="I2675" s="120">
        <v>45860</v>
      </c>
      <c r="J2675" s="120">
        <f>WORKDAY(I2675, 3)</f>
        <v>45863</v>
      </c>
      <c r="K2675" s="120">
        <v>45891</v>
      </c>
      <c r="L2675" s="120"/>
      <c r="M2675" s="120"/>
      <c r="N2675" s="29"/>
      <c r="O2675" s="29" t="s">
        <v>171</v>
      </c>
      <c r="P2675" s="120"/>
      <c r="Q2675" s="156">
        <v>840</v>
      </c>
    </row>
    <row r="2676" spans="1:18" hidden="1">
      <c r="A2676" s="134" t="s">
        <v>1333</v>
      </c>
      <c r="C2676" s="29">
        <v>203501605</v>
      </c>
      <c r="D2676" s="29">
        <v>171503722</v>
      </c>
      <c r="E2676" s="29"/>
      <c r="F2676" s="29" t="s">
        <v>88</v>
      </c>
      <c r="G2676" s="29" t="s">
        <v>823</v>
      </c>
      <c r="H2676" s="29" t="s">
        <v>38</v>
      </c>
      <c r="I2676" s="120">
        <v>45860</v>
      </c>
      <c r="J2676" s="120">
        <f>WORKDAY(I2676, 3)</f>
        <v>45863</v>
      </c>
      <c r="K2676" s="120">
        <v>45891</v>
      </c>
      <c r="L2676" s="120"/>
      <c r="M2676" s="120"/>
      <c r="N2676" s="29"/>
      <c r="O2676" s="29" t="s">
        <v>171</v>
      </c>
      <c r="P2676" s="120"/>
      <c r="Q2676" s="156">
        <v>780</v>
      </c>
    </row>
    <row r="2677" spans="1:18" hidden="1">
      <c r="A2677" s="134" t="s">
        <v>1333</v>
      </c>
      <c r="C2677" s="29">
        <v>203501611</v>
      </c>
      <c r="D2677" s="29">
        <v>171503732</v>
      </c>
      <c r="E2677" s="29"/>
      <c r="F2677" s="29" t="s">
        <v>88</v>
      </c>
      <c r="G2677" s="29" t="s">
        <v>823</v>
      </c>
      <c r="H2677" s="29" t="s">
        <v>38</v>
      </c>
      <c r="I2677" s="120">
        <v>45860</v>
      </c>
      <c r="J2677" s="120">
        <f>WORKDAY(I2677, 3)</f>
        <v>45863</v>
      </c>
      <c r="K2677" s="120">
        <v>45891</v>
      </c>
      <c r="L2677" s="120"/>
      <c r="M2677" s="120"/>
      <c r="N2677" s="29"/>
      <c r="O2677" s="29" t="s">
        <v>171</v>
      </c>
      <c r="P2677" s="120"/>
      <c r="Q2677" s="156">
        <v>620</v>
      </c>
    </row>
    <row r="2678" spans="1:18" hidden="1">
      <c r="A2678" s="134" t="s">
        <v>1064</v>
      </c>
      <c r="C2678" s="29">
        <v>203501618</v>
      </c>
      <c r="D2678" s="29">
        <v>175501223</v>
      </c>
      <c r="E2678" s="29"/>
      <c r="F2678" s="29" t="s">
        <v>88</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88</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88</v>
      </c>
      <c r="G2680" s="29" t="s">
        <v>823</v>
      </c>
      <c r="H2680" s="29" t="s">
        <v>38</v>
      </c>
      <c r="I2680" s="120">
        <v>45860</v>
      </c>
      <c r="J2680" s="120">
        <f>WORKDAY(I2680, 3)</f>
        <v>45863</v>
      </c>
      <c r="K2680" s="120">
        <v>45891</v>
      </c>
      <c r="L2680" s="120"/>
      <c r="M2680" s="120"/>
      <c r="N2680" s="29"/>
      <c r="O2680" s="29" t="s">
        <v>171</v>
      </c>
      <c r="P2680" s="120"/>
      <c r="Q2680" s="156">
        <v>240</v>
      </c>
    </row>
    <row r="2681" spans="1:18" hidden="1">
      <c r="A2681" s="134" t="s">
        <v>1064</v>
      </c>
      <c r="C2681" s="29">
        <v>203501647</v>
      </c>
      <c r="D2681" s="29">
        <v>175501205</v>
      </c>
      <c r="E2681" s="29"/>
      <c r="F2681" s="29" t="s">
        <v>88</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88</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88</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88</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88</v>
      </c>
      <c r="G2685" s="29" t="s">
        <v>823</v>
      </c>
      <c r="H2685" s="29" t="s">
        <v>38</v>
      </c>
      <c r="I2685" s="120">
        <v>45860</v>
      </c>
      <c r="J2685" s="120">
        <f>WORKDAY(I2685, 3)</f>
        <v>45863</v>
      </c>
      <c r="K2685" s="120">
        <v>45891</v>
      </c>
      <c r="L2685" s="120"/>
      <c r="M2685" s="120"/>
      <c r="N2685" s="29"/>
      <c r="O2685" s="29" t="s">
        <v>171</v>
      </c>
      <c r="P2685" s="120"/>
      <c r="Q2685" s="156">
        <v>660</v>
      </c>
    </row>
    <row r="2686" spans="1:18" hidden="1">
      <c r="A2686" s="119" t="s">
        <v>1142</v>
      </c>
      <c r="B2686" s="119"/>
      <c r="C2686" s="29">
        <v>203502086</v>
      </c>
      <c r="D2686" s="29">
        <v>175501102</v>
      </c>
      <c r="E2686" s="29"/>
      <c r="F2686" s="29" t="s">
        <v>88</v>
      </c>
      <c r="G2686" s="29" t="s">
        <v>823</v>
      </c>
      <c r="H2686" s="29" t="s">
        <v>38</v>
      </c>
      <c r="I2686" s="120">
        <v>45860</v>
      </c>
      <c r="J2686" s="120">
        <f>WORKDAY(I2686, 3)</f>
        <v>45863</v>
      </c>
      <c r="K2686" s="120">
        <v>45891</v>
      </c>
      <c r="L2686" s="120"/>
      <c r="M2686" s="120"/>
      <c r="N2686" s="29"/>
      <c r="O2686" s="29" t="s">
        <v>171</v>
      </c>
      <c r="P2686" s="120"/>
      <c r="Q2686" s="156">
        <v>140</v>
      </c>
    </row>
    <row r="2687" spans="1:18" hidden="1">
      <c r="A2687" s="119" t="s">
        <v>1142</v>
      </c>
      <c r="B2687" s="119"/>
      <c r="C2687" s="29">
        <v>203502100</v>
      </c>
      <c r="D2687" s="29">
        <v>175501107</v>
      </c>
      <c r="E2687" s="29"/>
      <c r="F2687" s="29" t="s">
        <v>88</v>
      </c>
      <c r="G2687" s="29" t="s">
        <v>823</v>
      </c>
      <c r="H2687" s="29" t="s">
        <v>38</v>
      </c>
      <c r="I2687" s="120">
        <v>45860</v>
      </c>
      <c r="J2687" s="120">
        <f>WORKDAY(I2687, 3)</f>
        <v>45863</v>
      </c>
      <c r="K2687" s="120">
        <v>45891</v>
      </c>
      <c r="L2687" s="120"/>
      <c r="M2687" s="120"/>
      <c r="N2687" s="29"/>
      <c r="O2687" s="29" t="s">
        <v>171</v>
      </c>
      <c r="P2687" s="120"/>
      <c r="Q2687" s="156">
        <v>100</v>
      </c>
    </row>
    <row r="2688" spans="1:18" hidden="1">
      <c r="A2688" s="119" t="s">
        <v>1142</v>
      </c>
      <c r="B2688" s="119"/>
      <c r="C2688" s="29">
        <v>203502164</v>
      </c>
      <c r="D2688" s="29">
        <v>175501115</v>
      </c>
      <c r="E2688" s="29"/>
      <c r="F2688" s="29" t="s">
        <v>88</v>
      </c>
      <c r="G2688" s="29" t="s">
        <v>823</v>
      </c>
      <c r="H2688" s="29" t="s">
        <v>38</v>
      </c>
      <c r="I2688" s="120">
        <v>45860</v>
      </c>
      <c r="J2688" s="120">
        <f>WORKDAY(I2688, 3)</f>
        <v>45863</v>
      </c>
      <c r="K2688" s="120">
        <v>45891</v>
      </c>
      <c r="L2688" s="120"/>
      <c r="M2688" s="120"/>
      <c r="N2688" s="29"/>
      <c r="O2688" s="29" t="s">
        <v>171</v>
      </c>
      <c r="P2688" s="120"/>
      <c r="Q2688" s="156">
        <v>680</v>
      </c>
    </row>
    <row r="2689" spans="1:17" hidden="1">
      <c r="A2689" s="119" t="s">
        <v>1142</v>
      </c>
      <c r="B2689" s="119"/>
      <c r="C2689" s="29">
        <v>203502213</v>
      </c>
      <c r="D2689" s="29">
        <v>175501119</v>
      </c>
      <c r="E2689" s="29"/>
      <c r="F2689" s="29" t="s">
        <v>88</v>
      </c>
      <c r="G2689" s="29" t="s">
        <v>823</v>
      </c>
      <c r="H2689" s="29" t="s">
        <v>38</v>
      </c>
      <c r="I2689" s="120">
        <v>45860</v>
      </c>
      <c r="J2689" s="120">
        <f>WORKDAY(I2689, 3)</f>
        <v>45863</v>
      </c>
      <c r="K2689" s="120">
        <v>45891</v>
      </c>
      <c r="L2689" s="120"/>
      <c r="M2689" s="120"/>
      <c r="N2689" s="29"/>
      <c r="O2689" s="29" t="s">
        <v>171</v>
      </c>
      <c r="P2689" s="120"/>
      <c r="Q2689" s="156">
        <v>350</v>
      </c>
    </row>
    <row r="2690" spans="1:17" hidden="1">
      <c r="A2690" s="119" t="s">
        <v>1142</v>
      </c>
      <c r="B2690" s="119"/>
      <c r="C2690" s="29">
        <v>203502222</v>
      </c>
      <c r="D2690" s="29">
        <v>175501159</v>
      </c>
      <c r="E2690" s="29"/>
      <c r="F2690" s="29" t="s">
        <v>88</v>
      </c>
      <c r="G2690" s="29" t="s">
        <v>823</v>
      </c>
      <c r="H2690" s="29" t="s">
        <v>38</v>
      </c>
      <c r="I2690" s="120">
        <v>45860</v>
      </c>
      <c r="J2690" s="120">
        <f>WORKDAY(I2690, 3)</f>
        <v>45863</v>
      </c>
      <c r="K2690" s="120">
        <v>45891</v>
      </c>
      <c r="L2690" s="120"/>
      <c r="M2690" s="120"/>
      <c r="N2690" s="29"/>
      <c r="O2690" s="29" t="s">
        <v>171</v>
      </c>
      <c r="P2690" s="120"/>
      <c r="Q2690" s="156">
        <v>130</v>
      </c>
    </row>
    <row r="2691" spans="1:17" hidden="1">
      <c r="A2691" s="119" t="s">
        <v>1142</v>
      </c>
      <c r="B2691" s="119"/>
      <c r="C2691" s="29">
        <v>203502224</v>
      </c>
      <c r="D2691" s="29">
        <v>175501166</v>
      </c>
      <c r="E2691" s="29"/>
      <c r="F2691" s="29" t="s">
        <v>88</v>
      </c>
      <c r="G2691" s="29" t="s">
        <v>823</v>
      </c>
      <c r="H2691" s="29" t="s">
        <v>38</v>
      </c>
      <c r="I2691" s="120">
        <v>45860</v>
      </c>
      <c r="J2691" s="120">
        <f>WORKDAY(I2691, 3)</f>
        <v>45863</v>
      </c>
      <c r="K2691" s="120">
        <v>45891</v>
      </c>
      <c r="L2691" s="120"/>
      <c r="M2691" s="120"/>
      <c r="N2691" s="29"/>
      <c r="O2691" s="29" t="s">
        <v>171</v>
      </c>
      <c r="P2691" s="120"/>
      <c r="Q2691" s="156">
        <v>280</v>
      </c>
    </row>
    <row r="2692" spans="1:17" hidden="1">
      <c r="A2692" s="119" t="s">
        <v>1019</v>
      </c>
      <c r="B2692" s="119"/>
      <c r="C2692" s="29">
        <v>205504490</v>
      </c>
      <c r="D2692" s="29"/>
      <c r="E2692" s="29"/>
      <c r="F2692" s="29" t="s">
        <v>88</v>
      </c>
      <c r="G2692" s="29" t="s">
        <v>823</v>
      </c>
      <c r="H2692" s="29" t="s">
        <v>38</v>
      </c>
      <c r="I2692" s="120">
        <v>45862</v>
      </c>
      <c r="J2692" s="120">
        <f>WORKDAY(I2692, 3)</f>
        <v>45867</v>
      </c>
      <c r="K2692" s="120">
        <v>45893</v>
      </c>
      <c r="L2692" s="120"/>
      <c r="M2692" s="120"/>
      <c r="N2692" s="29"/>
      <c r="O2692" s="29" t="s">
        <v>171</v>
      </c>
      <c r="P2692" s="120"/>
      <c r="Q2692" s="156">
        <v>1300</v>
      </c>
    </row>
    <row r="2693" spans="1:17" hidden="1">
      <c r="A2693" s="119" t="s">
        <v>1019</v>
      </c>
      <c r="B2693" s="119"/>
      <c r="C2693" s="29">
        <v>205504501</v>
      </c>
      <c r="D2693" s="29"/>
      <c r="E2693" s="29"/>
      <c r="F2693" s="29" t="s">
        <v>88</v>
      </c>
      <c r="G2693" s="29" t="s">
        <v>823</v>
      </c>
      <c r="H2693" s="29" t="s">
        <v>38</v>
      </c>
      <c r="I2693" s="120">
        <v>45862</v>
      </c>
      <c r="J2693" s="120">
        <f>WORKDAY(I2693, 3)</f>
        <v>45867</v>
      </c>
      <c r="K2693" s="120">
        <v>45893</v>
      </c>
      <c r="L2693" s="120"/>
      <c r="M2693" s="120"/>
      <c r="N2693" s="29"/>
      <c r="O2693" s="29" t="s">
        <v>171</v>
      </c>
      <c r="P2693" s="120"/>
      <c r="Q2693" s="156">
        <v>130</v>
      </c>
    </row>
    <row r="2694" spans="1:17" hidden="1">
      <c r="A2694" s="119" t="s">
        <v>1019</v>
      </c>
      <c r="B2694" s="119"/>
      <c r="C2694" s="29">
        <v>205504506</v>
      </c>
      <c r="D2694" s="29"/>
      <c r="E2694" s="29"/>
      <c r="F2694" s="29" t="s">
        <v>88</v>
      </c>
      <c r="G2694" s="29" t="s">
        <v>823</v>
      </c>
      <c r="H2694" s="29" t="s">
        <v>38</v>
      </c>
      <c r="I2694" s="120">
        <v>45862</v>
      </c>
      <c r="J2694" s="120">
        <f>WORKDAY(I2694, 3)</f>
        <v>45867</v>
      </c>
      <c r="K2694" s="120">
        <v>45893</v>
      </c>
      <c r="L2694" s="120"/>
      <c r="M2694" s="120"/>
      <c r="N2694" s="29"/>
      <c r="O2694" s="29" t="s">
        <v>171</v>
      </c>
      <c r="P2694" s="120"/>
      <c r="Q2694" s="156">
        <v>500</v>
      </c>
    </row>
    <row r="2695" spans="1:17" hidden="1">
      <c r="A2695" s="134" t="s">
        <v>365</v>
      </c>
      <c r="C2695" s="29">
        <v>206503010</v>
      </c>
      <c r="D2695" s="29"/>
      <c r="E2695" s="29"/>
      <c r="F2695" s="29" t="s">
        <v>88</v>
      </c>
      <c r="G2695" s="29" t="s">
        <v>823</v>
      </c>
      <c r="H2695" s="29" t="s">
        <v>38</v>
      </c>
      <c r="I2695" s="120">
        <v>45862</v>
      </c>
      <c r="J2695" s="120">
        <f>WORKDAY(I2695, 3)</f>
        <v>45867</v>
      </c>
      <c r="K2695" s="120">
        <v>45893</v>
      </c>
      <c r="L2695" s="120"/>
      <c r="M2695" s="120"/>
      <c r="N2695" s="29"/>
      <c r="O2695" s="29" t="s">
        <v>171</v>
      </c>
      <c r="P2695" s="29"/>
      <c r="Q2695" s="156">
        <v>300</v>
      </c>
    </row>
    <row r="2696" spans="1:17" hidden="1">
      <c r="A2696" s="134" t="s">
        <v>1150</v>
      </c>
      <c r="C2696" s="29">
        <v>209506587</v>
      </c>
      <c r="D2696" s="29">
        <v>182501798</v>
      </c>
      <c r="E2696" s="29"/>
      <c r="F2696" s="29" t="s">
        <v>88</v>
      </c>
      <c r="G2696" s="29" t="s">
        <v>823</v>
      </c>
      <c r="H2696" s="29" t="s">
        <v>38</v>
      </c>
      <c r="I2696" s="120">
        <v>45866</v>
      </c>
      <c r="J2696" s="120">
        <f>WORKDAY(I2696, 3)</f>
        <v>45869</v>
      </c>
      <c r="K2696" s="120">
        <v>45897</v>
      </c>
      <c r="L2696" s="120"/>
      <c r="M2696" s="120"/>
      <c r="N2696" s="29"/>
      <c r="O2696" s="29" t="s">
        <v>171</v>
      </c>
      <c r="P2696" s="29"/>
      <c r="Q2696" s="156">
        <v>1000</v>
      </c>
    </row>
    <row r="2697" spans="1:17" hidden="1">
      <c r="A2697" s="134" t="s">
        <v>1150</v>
      </c>
      <c r="C2697" s="29">
        <v>209506596</v>
      </c>
      <c r="D2697" s="29">
        <v>182501814</v>
      </c>
      <c r="E2697" s="29"/>
      <c r="F2697" s="29" t="s">
        <v>88</v>
      </c>
      <c r="G2697" s="29" t="s">
        <v>823</v>
      </c>
      <c r="H2697" s="29" t="s">
        <v>38</v>
      </c>
      <c r="I2697" s="120">
        <v>45866</v>
      </c>
      <c r="J2697" s="120">
        <f>WORKDAY(I2697, 3)</f>
        <v>45869</v>
      </c>
      <c r="K2697" s="120">
        <v>45897</v>
      </c>
      <c r="L2697" s="120"/>
      <c r="M2697" s="120"/>
      <c r="N2697" s="29"/>
      <c r="O2697" s="29" t="s">
        <v>171</v>
      </c>
      <c r="P2697" s="120"/>
      <c r="Q2697" s="156">
        <v>300</v>
      </c>
    </row>
    <row r="2698" spans="1:17" hidden="1">
      <c r="A2698" s="134" t="s">
        <v>1412</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1412</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1412</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1412</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1412</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1412</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1412</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1412</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1412</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1413</v>
      </c>
    </row>
    <row r="2707" spans="1:18" hidden="1">
      <c r="A2707" s="134" t="s">
        <v>1412</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1412</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1412</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1414</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1415</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1415</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1415</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1415</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1415</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1415</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1415</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1415</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1416</v>
      </c>
    </row>
    <row r="2724" spans="1:18" hidden="1">
      <c r="A2724" s="134" t="s">
        <v>1417</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1417</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1417</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1417</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1417</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1417</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1417</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1417</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1417</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1417</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1417</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1417</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1417</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1417</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1417</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1417</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437</v>
      </c>
      <c r="C2744" s="29">
        <v>220501746</v>
      </c>
      <c r="D2744" s="29"/>
      <c r="E2744" s="29"/>
      <c r="F2744" s="29" t="s">
        <v>88</v>
      </c>
      <c r="G2744" s="29" t="s">
        <v>823</v>
      </c>
      <c r="H2744" s="29" t="s">
        <v>38</v>
      </c>
      <c r="I2744" s="120">
        <v>45877</v>
      </c>
      <c r="J2744" s="120">
        <f>WORKDAY(I2744, 3)</f>
        <v>45882</v>
      </c>
      <c r="K2744" s="120">
        <v>45908</v>
      </c>
      <c r="L2744" s="120"/>
      <c r="M2744" s="120"/>
      <c r="N2744" s="120">
        <v>45877</v>
      </c>
      <c r="O2744" s="29" t="s">
        <v>171</v>
      </c>
      <c r="P2744" s="120"/>
      <c r="Q2744" s="156">
        <v>200</v>
      </c>
    </row>
    <row r="2745" spans="1:17" hidden="1">
      <c r="A2745" s="134" t="s">
        <v>1418</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983</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983</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983</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1150</v>
      </c>
      <c r="C2749" s="29">
        <v>227501683</v>
      </c>
      <c r="D2749" s="29">
        <v>195504943</v>
      </c>
      <c r="E2749" s="29"/>
      <c r="F2749" s="29" t="s">
        <v>88</v>
      </c>
      <c r="G2749" s="29" t="s">
        <v>823</v>
      </c>
      <c r="H2749" s="29" t="s">
        <v>38</v>
      </c>
      <c r="I2749" s="120">
        <v>45884</v>
      </c>
      <c r="J2749" s="120">
        <f>WORKDAY(I2749, 3)</f>
        <v>45889</v>
      </c>
      <c r="K2749" s="120">
        <v>45915</v>
      </c>
      <c r="L2749" s="120"/>
      <c r="M2749" s="120"/>
      <c r="N2749" s="29"/>
      <c r="O2749" s="29" t="s">
        <v>171</v>
      </c>
      <c r="P2749" s="120"/>
      <c r="Q2749" s="156">
        <v>200</v>
      </c>
    </row>
    <row r="2750" spans="1:17" hidden="1">
      <c r="A2750" s="119" t="s">
        <v>1142</v>
      </c>
      <c r="B2750" s="119"/>
      <c r="C2750" s="29">
        <v>231500207</v>
      </c>
      <c r="D2750" s="29"/>
      <c r="E2750" s="29"/>
      <c r="F2750" s="29" t="s">
        <v>88</v>
      </c>
      <c r="G2750" s="29" t="s">
        <v>823</v>
      </c>
      <c r="H2750" s="29" t="s">
        <v>38</v>
      </c>
      <c r="I2750" s="120">
        <v>45888</v>
      </c>
      <c r="J2750" s="120">
        <f>WORKDAY(I2750, 3)</f>
        <v>45891</v>
      </c>
      <c r="K2750" s="120">
        <v>45919</v>
      </c>
      <c r="L2750" s="120"/>
      <c r="M2750" s="120"/>
      <c r="N2750" s="29"/>
      <c r="O2750" s="29" t="s">
        <v>171</v>
      </c>
      <c r="P2750" s="120"/>
      <c r="Q2750" s="156">
        <v>300</v>
      </c>
    </row>
    <row r="2751" spans="1:17" hidden="1">
      <c r="A2751" s="119" t="s">
        <v>1142</v>
      </c>
      <c r="B2751" s="119"/>
      <c r="C2751" s="29">
        <v>231500211</v>
      </c>
      <c r="D2751" s="29"/>
      <c r="E2751" s="29"/>
      <c r="F2751" s="29" t="s">
        <v>88</v>
      </c>
      <c r="G2751" s="29" t="s">
        <v>823</v>
      </c>
      <c r="H2751" s="29" t="s">
        <v>38</v>
      </c>
      <c r="I2751" s="120">
        <v>45888</v>
      </c>
      <c r="J2751" s="120">
        <f>WORKDAY(I2751, 3)</f>
        <v>45891</v>
      </c>
      <c r="K2751" s="120">
        <v>45919</v>
      </c>
      <c r="L2751" s="120"/>
      <c r="M2751" s="120"/>
      <c r="N2751" s="29"/>
      <c r="O2751" s="29" t="s">
        <v>171</v>
      </c>
      <c r="P2751" s="120"/>
      <c r="Q2751" s="156">
        <v>300</v>
      </c>
    </row>
    <row r="2752" spans="1:17" hidden="1">
      <c r="A2752" s="119" t="s">
        <v>1142</v>
      </c>
      <c r="B2752" s="119"/>
      <c r="C2752" s="29">
        <v>231500213</v>
      </c>
      <c r="D2752" s="29"/>
      <c r="E2752" s="29"/>
      <c r="F2752" s="29" t="s">
        <v>88</v>
      </c>
      <c r="G2752" s="29" t="s">
        <v>823</v>
      </c>
      <c r="H2752" s="29" t="s">
        <v>38</v>
      </c>
      <c r="I2752" s="120">
        <v>45888</v>
      </c>
      <c r="J2752" s="120">
        <f>WORKDAY(I2752, 3)</f>
        <v>45891</v>
      </c>
      <c r="K2752" s="120">
        <v>45919</v>
      </c>
      <c r="L2752" s="120"/>
      <c r="M2752" s="120"/>
      <c r="N2752" s="29"/>
      <c r="O2752" s="29" t="s">
        <v>171</v>
      </c>
      <c r="P2752" s="120"/>
      <c r="Q2752" s="156">
        <v>150</v>
      </c>
    </row>
    <row r="2753" spans="1:18" hidden="1">
      <c r="A2753" s="119" t="s">
        <v>1059</v>
      </c>
      <c r="B2753" s="119"/>
      <c r="C2753" s="29">
        <v>231500216</v>
      </c>
      <c r="D2753" s="29"/>
      <c r="E2753" s="29"/>
      <c r="F2753" s="29" t="s">
        <v>88</v>
      </c>
      <c r="G2753" s="29" t="s">
        <v>823</v>
      </c>
      <c r="H2753" s="29" t="s">
        <v>38</v>
      </c>
      <c r="I2753" s="120">
        <v>45888</v>
      </c>
      <c r="J2753" s="120">
        <f>WORKDAY(I2753, 3)</f>
        <v>45891</v>
      </c>
      <c r="K2753" s="120">
        <v>45919</v>
      </c>
      <c r="L2753" s="120"/>
      <c r="M2753" s="120"/>
      <c r="N2753" s="29"/>
      <c r="O2753" s="29" t="s">
        <v>171</v>
      </c>
      <c r="P2753" s="120"/>
      <c r="Q2753" s="156">
        <v>150</v>
      </c>
    </row>
    <row r="2754" spans="1:18" hidden="1">
      <c r="A2754" s="119" t="s">
        <v>1059</v>
      </c>
      <c r="B2754" s="119"/>
      <c r="C2754" s="29">
        <v>231500217</v>
      </c>
      <c r="D2754" s="29"/>
      <c r="E2754" s="29"/>
      <c r="F2754" s="29" t="s">
        <v>88</v>
      </c>
      <c r="G2754" s="29" t="s">
        <v>823</v>
      </c>
      <c r="H2754" s="29" t="s">
        <v>38</v>
      </c>
      <c r="I2754" s="120">
        <v>45888</v>
      </c>
      <c r="J2754" s="120">
        <f>WORKDAY(I2754, 3)</f>
        <v>45891</v>
      </c>
      <c r="K2754" s="120">
        <v>45919</v>
      </c>
      <c r="L2754" s="120"/>
      <c r="M2754" s="120"/>
      <c r="N2754" s="29"/>
      <c r="O2754" s="29" t="s">
        <v>171</v>
      </c>
      <c r="P2754" s="120"/>
      <c r="Q2754" s="156">
        <v>400</v>
      </c>
    </row>
    <row r="2755" spans="1:18" hidden="1">
      <c r="A2755" s="119" t="s">
        <v>1059</v>
      </c>
      <c r="B2755" s="119"/>
      <c r="C2755" s="29">
        <v>233500103</v>
      </c>
      <c r="D2755" s="29"/>
      <c r="E2755" s="29"/>
      <c r="F2755" s="29" t="s">
        <v>88</v>
      </c>
      <c r="G2755" s="29" t="s">
        <v>823</v>
      </c>
      <c r="H2755" s="29" t="s">
        <v>38</v>
      </c>
      <c r="I2755" s="120">
        <v>45890</v>
      </c>
      <c r="J2755" s="120">
        <f>WORKDAY(I2755, 3)</f>
        <v>45895</v>
      </c>
      <c r="K2755" s="120">
        <v>45921</v>
      </c>
      <c r="L2755" s="120"/>
      <c r="M2755" s="120"/>
      <c r="N2755" s="29"/>
      <c r="O2755" s="29" t="s">
        <v>171</v>
      </c>
      <c r="P2755" s="120"/>
      <c r="Q2755" s="156">
        <v>360</v>
      </c>
    </row>
    <row r="2756" spans="1:18" hidden="1">
      <c r="A2756" s="119" t="s">
        <v>1059</v>
      </c>
      <c r="B2756" s="119"/>
      <c r="C2756" s="29">
        <v>233500110</v>
      </c>
      <c r="D2756" s="29"/>
      <c r="E2756" s="29"/>
      <c r="F2756" s="29" t="s">
        <v>88</v>
      </c>
      <c r="G2756" s="29" t="s">
        <v>823</v>
      </c>
      <c r="H2756" s="29" t="s">
        <v>38</v>
      </c>
      <c r="I2756" s="120">
        <v>45890</v>
      </c>
      <c r="J2756" s="120">
        <f>WORKDAY(I2756, 3)</f>
        <v>45895</v>
      </c>
      <c r="K2756" s="120">
        <v>45921</v>
      </c>
      <c r="L2756" s="120"/>
      <c r="M2756" s="120"/>
      <c r="N2756" s="29"/>
      <c r="O2756" s="29" t="s">
        <v>171</v>
      </c>
      <c r="P2756" s="120"/>
      <c r="Q2756" s="156">
        <v>250</v>
      </c>
    </row>
    <row r="2757" spans="1:18" hidden="1">
      <c r="A2757" s="119" t="s">
        <v>1059</v>
      </c>
      <c r="B2757" s="119"/>
      <c r="C2757" s="29">
        <v>233500115</v>
      </c>
      <c r="D2757" s="29"/>
      <c r="E2757" s="29"/>
      <c r="F2757" s="29" t="s">
        <v>88</v>
      </c>
      <c r="G2757" s="29" t="s">
        <v>823</v>
      </c>
      <c r="H2757" s="29" t="s">
        <v>38</v>
      </c>
      <c r="I2757" s="120">
        <v>45890</v>
      </c>
      <c r="J2757" s="120">
        <f>WORKDAY(I2757, 3)</f>
        <v>45895</v>
      </c>
      <c r="K2757" s="120">
        <v>45921</v>
      </c>
      <c r="L2757" s="120"/>
      <c r="M2757" s="120"/>
      <c r="N2757" s="29"/>
      <c r="O2757" s="29" t="s">
        <v>171</v>
      </c>
      <c r="P2757" s="120"/>
      <c r="Q2757" s="156">
        <v>200</v>
      </c>
    </row>
    <row r="2758" spans="1:18" hidden="1">
      <c r="A2758" s="134" t="s">
        <v>1419</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1420</v>
      </c>
    </row>
    <row r="2759" spans="1:18" hidden="1">
      <c r="A2759" s="134" t="s">
        <v>1421</v>
      </c>
      <c r="C2759" s="29">
        <v>259500665</v>
      </c>
      <c r="D2759" s="29"/>
      <c r="E2759" s="29"/>
      <c r="F2759" s="29" t="s">
        <v>88</v>
      </c>
      <c r="G2759" s="29" t="s">
        <v>823</v>
      </c>
      <c r="H2759" s="29" t="s">
        <v>38</v>
      </c>
      <c r="I2759" s="120">
        <v>45916</v>
      </c>
      <c r="J2759" s="120">
        <f>WORKDAY(I2759, 3)</f>
        <v>45919</v>
      </c>
      <c r="K2759" s="120">
        <v>45946</v>
      </c>
      <c r="L2759" s="120"/>
      <c r="M2759" s="120"/>
      <c r="N2759" s="29"/>
      <c r="O2759" s="29" t="s">
        <v>171</v>
      </c>
      <c r="P2759" s="120"/>
      <c r="Q2759" s="156">
        <v>75</v>
      </c>
    </row>
    <row r="2760" spans="1:18" hidden="1">
      <c r="A2760" s="134" t="s">
        <v>1150</v>
      </c>
      <c r="C2760" s="29">
        <v>239500135</v>
      </c>
      <c r="D2760" s="29">
        <v>209506587</v>
      </c>
      <c r="E2760" s="29"/>
      <c r="F2760" s="29" t="s">
        <v>88</v>
      </c>
      <c r="G2760" s="29" t="s">
        <v>823</v>
      </c>
      <c r="H2760" s="29" t="s">
        <v>38</v>
      </c>
      <c r="I2760" s="120">
        <v>45896</v>
      </c>
      <c r="J2760" s="120">
        <f>WORKDAY(I2760, 3)</f>
        <v>45901</v>
      </c>
      <c r="K2760" s="120">
        <v>45927</v>
      </c>
      <c r="L2760" s="120"/>
      <c r="M2760" s="120"/>
      <c r="N2760" s="29"/>
      <c r="O2760" s="29" t="s">
        <v>171</v>
      </c>
      <c r="P2760" s="120"/>
      <c r="Q2760" s="156">
        <v>1000</v>
      </c>
    </row>
    <row r="2761" spans="1:18" hidden="1">
      <c r="A2761" s="134" t="s">
        <v>1150</v>
      </c>
      <c r="C2761" s="29">
        <v>239500141</v>
      </c>
      <c r="D2761" s="29">
        <v>209506596</v>
      </c>
      <c r="E2761" s="29"/>
      <c r="F2761" s="29" t="s">
        <v>88</v>
      </c>
      <c r="G2761" s="29" t="s">
        <v>823</v>
      </c>
      <c r="H2761" s="29" t="s">
        <v>38</v>
      </c>
      <c r="I2761" s="120">
        <v>45896</v>
      </c>
      <c r="J2761" s="120">
        <f>WORKDAY(I2761, 3)</f>
        <v>45901</v>
      </c>
      <c r="K2761" s="120">
        <v>45927</v>
      </c>
      <c r="L2761" s="120"/>
      <c r="M2761" s="120"/>
      <c r="N2761" s="29"/>
      <c r="O2761" s="29" t="s">
        <v>171</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1415</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1415</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1415</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1415</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1415</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1424</v>
      </c>
      <c r="C2769" s="29">
        <v>241503946</v>
      </c>
      <c r="D2769" s="29"/>
      <c r="E2769" s="29"/>
      <c r="F2769" s="29" t="s">
        <v>88</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88</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88</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88</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88</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88</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88</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88</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88</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88</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88</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88</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88</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88</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88</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88</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88</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88</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88</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88</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88</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88</v>
      </c>
      <c r="G2799" s="29" t="s">
        <v>823</v>
      </c>
      <c r="H2799" s="29" t="s">
        <v>38</v>
      </c>
      <c r="I2799" s="120">
        <v>45917</v>
      </c>
      <c r="J2799" s="120">
        <f>WORKDAY(I2799, 3)</f>
        <v>45922</v>
      </c>
      <c r="K2799" s="120">
        <v>45947</v>
      </c>
      <c r="L2799" s="120"/>
      <c r="M2799" s="120"/>
      <c r="N2799" s="29"/>
      <c r="O2799" s="119" t="s">
        <v>171</v>
      </c>
      <c r="P2799" s="29"/>
      <c r="Q2799" s="156">
        <v>150</v>
      </c>
    </row>
    <row r="2800" spans="1:18" hidden="1">
      <c r="A2800" s="134" t="s">
        <v>1430</v>
      </c>
      <c r="C2800" s="29">
        <v>260505920</v>
      </c>
      <c r="D2800" s="29"/>
      <c r="E2800" s="29"/>
      <c r="F2800" s="29" t="s">
        <v>88</v>
      </c>
      <c r="G2800" s="29" t="s">
        <v>823</v>
      </c>
      <c r="H2800" s="29" t="s">
        <v>38</v>
      </c>
      <c r="I2800" s="120">
        <v>45917</v>
      </c>
      <c r="J2800" s="120">
        <f>WORKDAY(I2800, 3)</f>
        <v>45922</v>
      </c>
      <c r="K2800" s="120">
        <v>45947</v>
      </c>
      <c r="L2800" s="120"/>
      <c r="M2800" s="120"/>
      <c r="N2800" s="29"/>
      <c r="O2800" s="119" t="s">
        <v>171</v>
      </c>
      <c r="P2800" s="29"/>
      <c r="Q2800" s="156">
        <v>400</v>
      </c>
    </row>
    <row r="2801" spans="1:18" hidden="1">
      <c r="A2801" s="134" t="s">
        <v>1430</v>
      </c>
      <c r="C2801" s="29">
        <v>260505975</v>
      </c>
      <c r="D2801" s="29"/>
      <c r="E2801" s="29"/>
      <c r="F2801" s="29" t="s">
        <v>88</v>
      </c>
      <c r="G2801" s="29" t="s">
        <v>823</v>
      </c>
      <c r="H2801" s="29" t="s">
        <v>38</v>
      </c>
      <c r="I2801" s="120">
        <v>45917</v>
      </c>
      <c r="J2801" s="120">
        <f>WORKDAY(I2801, 3)</f>
        <v>45922</v>
      </c>
      <c r="K2801" s="120">
        <v>45947</v>
      </c>
      <c r="L2801" s="120"/>
      <c r="M2801" s="120"/>
      <c r="N2801" s="29"/>
      <c r="O2801" s="119" t="s">
        <v>171</v>
      </c>
      <c r="P2801" s="29"/>
      <c r="Q2801" s="156">
        <v>75</v>
      </c>
    </row>
    <row r="2802" spans="1:18" hidden="1">
      <c r="A2802" s="134" t="s">
        <v>1430</v>
      </c>
      <c r="C2802" s="29">
        <v>260506029</v>
      </c>
      <c r="D2802" s="29"/>
      <c r="E2802" s="29"/>
      <c r="F2802" s="29" t="s">
        <v>88</v>
      </c>
      <c r="G2802" s="29" t="s">
        <v>823</v>
      </c>
      <c r="H2802" s="29" t="s">
        <v>38</v>
      </c>
      <c r="I2802" s="120">
        <v>45917</v>
      </c>
      <c r="J2802" s="120">
        <f>WORKDAY(I2802, 3)</f>
        <v>45922</v>
      </c>
      <c r="K2802" s="120">
        <v>45947</v>
      </c>
      <c r="L2802" s="120"/>
      <c r="M2802" s="120"/>
      <c r="N2802" s="29"/>
      <c r="O2802" s="119" t="s">
        <v>171</v>
      </c>
      <c r="P2802" s="29"/>
      <c r="Q2802" s="156">
        <v>460</v>
      </c>
    </row>
    <row r="2803" spans="1:18" hidden="1">
      <c r="A2803" s="134" t="s">
        <v>1430</v>
      </c>
      <c r="C2803" s="29">
        <v>260506075</v>
      </c>
      <c r="D2803" s="29"/>
      <c r="E2803" s="29"/>
      <c r="F2803" s="29" t="s">
        <v>88</v>
      </c>
      <c r="G2803" s="29" t="s">
        <v>823</v>
      </c>
      <c r="H2803" s="29" t="s">
        <v>38</v>
      </c>
      <c r="I2803" s="120">
        <v>45917</v>
      </c>
      <c r="J2803" s="120">
        <f>WORKDAY(I2803, 3)</f>
        <v>45922</v>
      </c>
      <c r="K2803" s="120">
        <v>45947</v>
      </c>
      <c r="L2803" s="120"/>
      <c r="M2803" s="120"/>
      <c r="N2803" s="29"/>
      <c r="O2803" s="119" t="s">
        <v>171</v>
      </c>
      <c r="P2803" s="29"/>
      <c r="Q2803" s="156">
        <v>60</v>
      </c>
    </row>
    <row r="2804" spans="1:18" hidden="1">
      <c r="A2804" s="134" t="s">
        <v>1430</v>
      </c>
      <c r="C2804" s="29">
        <v>260506162</v>
      </c>
      <c r="D2804" s="29"/>
      <c r="E2804" s="29"/>
      <c r="F2804" s="29" t="s">
        <v>88</v>
      </c>
      <c r="G2804" s="29" t="s">
        <v>823</v>
      </c>
      <c r="H2804" s="29" t="s">
        <v>38</v>
      </c>
      <c r="I2804" s="120">
        <v>45917</v>
      </c>
      <c r="J2804" s="120">
        <f>WORKDAY(I2804, 3)</f>
        <v>45922</v>
      </c>
      <c r="K2804" s="120">
        <v>45947</v>
      </c>
      <c r="L2804" s="120"/>
      <c r="M2804" s="120"/>
      <c r="N2804" s="29"/>
      <c r="O2804" s="119" t="s">
        <v>171</v>
      </c>
      <c r="P2804" s="29"/>
      <c r="Q2804" s="156">
        <v>440</v>
      </c>
    </row>
    <row r="2805" spans="1:18" hidden="1">
      <c r="A2805" s="134" t="s">
        <v>1430</v>
      </c>
      <c r="C2805" s="29">
        <v>261500148</v>
      </c>
      <c r="D2805" s="29"/>
      <c r="E2805" s="29"/>
      <c r="F2805" s="29" t="s">
        <v>88</v>
      </c>
      <c r="G2805" s="29" t="s">
        <v>823</v>
      </c>
      <c r="H2805" s="29" t="s">
        <v>38</v>
      </c>
      <c r="I2805" s="120">
        <v>45918</v>
      </c>
      <c r="J2805" s="120">
        <f>WORKDAY(I2805, 3)</f>
        <v>45923</v>
      </c>
      <c r="K2805" s="120">
        <v>45948</v>
      </c>
      <c r="L2805" s="120"/>
      <c r="M2805" s="120"/>
      <c r="N2805" s="29"/>
      <c r="O2805" s="119" t="s">
        <v>171</v>
      </c>
      <c r="P2805" s="29"/>
      <c r="Q2805" s="156">
        <v>75</v>
      </c>
    </row>
    <row r="2806" spans="1:18" hidden="1">
      <c r="A2806" s="134" t="s">
        <v>1430</v>
      </c>
      <c r="C2806" s="29">
        <v>261500153</v>
      </c>
      <c r="D2806" s="29"/>
      <c r="E2806" s="29"/>
      <c r="F2806" s="29" t="s">
        <v>88</v>
      </c>
      <c r="G2806" s="29" t="s">
        <v>823</v>
      </c>
      <c r="H2806" s="29" t="s">
        <v>38</v>
      </c>
      <c r="I2806" s="120">
        <v>45918</v>
      </c>
      <c r="J2806" s="120">
        <f>WORKDAY(I2806, 3)</f>
        <v>45923</v>
      </c>
      <c r="K2806" s="120">
        <v>45948</v>
      </c>
      <c r="L2806" s="120"/>
      <c r="M2806" s="120"/>
      <c r="N2806" s="29"/>
      <c r="O2806" s="119" t="s">
        <v>171</v>
      </c>
      <c r="P2806" s="29"/>
      <c r="Q2806" s="156">
        <v>95</v>
      </c>
    </row>
    <row r="2807" spans="1:18" hidden="1">
      <c r="A2807" s="134" t="s">
        <v>1430</v>
      </c>
      <c r="C2807" s="29">
        <v>261500157</v>
      </c>
      <c r="D2807" s="29"/>
      <c r="E2807" s="29"/>
      <c r="F2807" s="29" t="s">
        <v>88</v>
      </c>
      <c r="G2807" s="29" t="s">
        <v>823</v>
      </c>
      <c r="H2807" s="29" t="s">
        <v>38</v>
      </c>
      <c r="I2807" s="120">
        <v>45918</v>
      </c>
      <c r="J2807" s="120">
        <f>WORKDAY(I2807, 3)</f>
        <v>45923</v>
      </c>
      <c r="K2807" s="120">
        <v>45948</v>
      </c>
      <c r="L2807" s="120"/>
      <c r="M2807" s="120"/>
      <c r="N2807" s="29"/>
      <c r="O2807" s="119" t="s">
        <v>171</v>
      </c>
      <c r="P2807" s="29"/>
      <c r="Q2807" s="156" t="s">
        <v>1431</v>
      </c>
    </row>
    <row r="2808" spans="1:18" hidden="1">
      <c r="A2808" s="134" t="s">
        <v>1430</v>
      </c>
      <c r="C2808" s="29">
        <v>261500166</v>
      </c>
      <c r="D2808" s="29"/>
      <c r="E2808" s="29"/>
      <c r="F2808" s="29" t="s">
        <v>88</v>
      </c>
      <c r="G2808" s="29" t="s">
        <v>823</v>
      </c>
      <c r="H2808" s="29" t="s">
        <v>38</v>
      </c>
      <c r="I2808" s="120">
        <v>45918</v>
      </c>
      <c r="J2808" s="120">
        <f>WORKDAY(I2808, 3)</f>
        <v>45923</v>
      </c>
      <c r="K2808" s="120">
        <v>45948</v>
      </c>
      <c r="L2808" s="120"/>
      <c r="M2808" s="120"/>
      <c r="N2808" s="29"/>
      <c r="O2808" s="119" t="s">
        <v>171</v>
      </c>
      <c r="P2808" s="29"/>
      <c r="Q2808" s="156">
        <v>100</v>
      </c>
    </row>
    <row r="2809" spans="1:18" hidden="1">
      <c r="A2809" s="134" t="s">
        <v>1430</v>
      </c>
      <c r="C2809" s="29">
        <v>264500172</v>
      </c>
      <c r="D2809" s="29"/>
      <c r="E2809" s="29"/>
      <c r="F2809" s="29" t="s">
        <v>88</v>
      </c>
      <c r="G2809" s="29" t="s">
        <v>823</v>
      </c>
      <c r="H2809" s="29" t="s">
        <v>38</v>
      </c>
      <c r="I2809" s="120">
        <v>45918</v>
      </c>
      <c r="J2809" s="120">
        <f>WORKDAY(I2809, 3)</f>
        <v>45923</v>
      </c>
      <c r="K2809" s="120">
        <v>45948</v>
      </c>
      <c r="L2809" s="120"/>
      <c r="M2809" s="120"/>
      <c r="N2809" s="29"/>
      <c r="O2809" s="119" t="s">
        <v>171</v>
      </c>
      <c r="P2809" s="29"/>
      <c r="Q2809" s="156">
        <v>200</v>
      </c>
    </row>
    <row r="2810" spans="1:18" hidden="1">
      <c r="A2810" s="134" t="s">
        <v>1430</v>
      </c>
      <c r="C2810" s="29">
        <v>261500181</v>
      </c>
      <c r="D2810" s="29"/>
      <c r="E2810" s="29"/>
      <c r="F2810" s="29" t="s">
        <v>88</v>
      </c>
      <c r="G2810" s="29" t="s">
        <v>823</v>
      </c>
      <c r="H2810" s="29" t="s">
        <v>38</v>
      </c>
      <c r="I2810" s="120">
        <v>45918</v>
      </c>
      <c r="J2810" s="120">
        <f>WORKDAY(I2810, 3)</f>
        <v>45923</v>
      </c>
      <c r="K2810" s="120">
        <v>45948</v>
      </c>
      <c r="L2810" s="120"/>
      <c r="M2810" s="120"/>
      <c r="N2810" s="29"/>
      <c r="O2810" s="119" t="s">
        <v>171</v>
      </c>
      <c r="P2810" s="29"/>
      <c r="Q2810" s="156">
        <v>350</v>
      </c>
    </row>
    <row r="2811" spans="1:18" hidden="1">
      <c r="A2811" s="134" t="s">
        <v>1430</v>
      </c>
      <c r="C2811" s="29">
        <v>261500186</v>
      </c>
      <c r="D2811" s="29"/>
      <c r="E2811" s="29"/>
      <c r="F2811" s="29" t="s">
        <v>88</v>
      </c>
      <c r="G2811" s="29" t="s">
        <v>823</v>
      </c>
      <c r="H2811" s="29" t="s">
        <v>38</v>
      </c>
      <c r="I2811" s="120">
        <v>45918</v>
      </c>
      <c r="J2811" s="120">
        <f>WORKDAY(I2811, 3)</f>
        <v>45923</v>
      </c>
      <c r="K2811" s="120">
        <v>45948</v>
      </c>
      <c r="L2811" s="120"/>
      <c r="M2811" s="120"/>
      <c r="N2811" s="29"/>
      <c r="O2811" s="119" t="s">
        <v>171</v>
      </c>
      <c r="P2811" s="29"/>
      <c r="Q2811" s="156">
        <v>165</v>
      </c>
    </row>
    <row r="2812" spans="1:18" hidden="1">
      <c r="A2812" s="134" t="s">
        <v>1430</v>
      </c>
      <c r="C2812" s="29">
        <v>261500195</v>
      </c>
      <c r="D2812" s="29"/>
      <c r="E2812" s="29"/>
      <c r="F2812" s="29" t="s">
        <v>88</v>
      </c>
      <c r="G2812" s="29" t="s">
        <v>823</v>
      </c>
      <c r="H2812" s="29" t="s">
        <v>38</v>
      </c>
      <c r="I2812" s="120">
        <v>45918</v>
      </c>
      <c r="J2812" s="120">
        <f>WORKDAY(I2812, 3)</f>
        <v>45923</v>
      </c>
      <c r="K2812" s="120">
        <v>45948</v>
      </c>
      <c r="L2812" s="120"/>
      <c r="M2812" s="120"/>
      <c r="N2812" s="29"/>
      <c r="O2812" s="119" t="s">
        <v>171</v>
      </c>
      <c r="P2812" s="29"/>
      <c r="Q2812" s="156">
        <v>300</v>
      </c>
    </row>
    <row r="2813" spans="1:18" hidden="1">
      <c r="A2813" s="134" t="s">
        <v>1143</v>
      </c>
      <c r="C2813" s="29">
        <v>273505320</v>
      </c>
      <c r="D2813" s="29"/>
      <c r="E2813" s="29"/>
      <c r="F2813" s="29" t="s">
        <v>88</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88</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88</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88</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88</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88</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88</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88</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88</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88</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88</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88</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88</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88</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88</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88</v>
      </c>
      <c r="G2828" s="29" t="s">
        <v>1039</v>
      </c>
      <c r="H2828" s="29" t="s">
        <v>38</v>
      </c>
      <c r="I2828" s="120">
        <v>45933</v>
      </c>
      <c r="J2828" s="120">
        <f>WORKDAY(I2828, 3)</f>
        <v>45938</v>
      </c>
      <c r="K2828" s="120">
        <v>45933</v>
      </c>
      <c r="L2828" s="120"/>
      <c r="M2828" s="120"/>
      <c r="N2828" s="29"/>
      <c r="O2828" s="119" t="s">
        <v>171</v>
      </c>
      <c r="P2828" s="120"/>
      <c r="Q2828" s="156">
        <v>470</v>
      </c>
      <c r="R2828" s="134" t="s">
        <v>1435</v>
      </c>
    </row>
    <row r="2829" spans="1:18" hidden="1">
      <c r="A2829" s="134" t="s">
        <v>1141</v>
      </c>
      <c r="C2829" s="29">
        <v>276500063</v>
      </c>
      <c r="D2829" s="29"/>
      <c r="E2829" s="29"/>
      <c r="F2829" s="29" t="s">
        <v>88</v>
      </c>
      <c r="G2829" s="29" t="s">
        <v>1039</v>
      </c>
      <c r="H2829" s="29" t="s">
        <v>38</v>
      </c>
      <c r="I2829" s="120">
        <v>45933</v>
      </c>
      <c r="J2829" s="120">
        <f>WORKDAY(I2829, 3)</f>
        <v>45938</v>
      </c>
      <c r="K2829" s="120">
        <v>45933</v>
      </c>
      <c r="L2829" s="120"/>
      <c r="M2829" s="120"/>
      <c r="N2829" s="29"/>
      <c r="O2829" s="119" t="s">
        <v>171</v>
      </c>
      <c r="P2829" s="120"/>
      <c r="Q2829" s="156">
        <v>300</v>
      </c>
      <c r="R2829" s="134" t="s">
        <v>1435</v>
      </c>
    </row>
    <row r="2830" spans="1:18" hidden="1">
      <c r="A2830" s="134" t="s">
        <v>1141</v>
      </c>
      <c r="C2830" s="29">
        <v>276500065</v>
      </c>
      <c r="D2830" s="29"/>
      <c r="E2830" s="29"/>
      <c r="F2830" s="29" t="s">
        <v>88</v>
      </c>
      <c r="G2830" s="29" t="s">
        <v>1039</v>
      </c>
      <c r="H2830" s="29" t="s">
        <v>38</v>
      </c>
      <c r="I2830" s="120">
        <v>45933</v>
      </c>
      <c r="J2830" s="120">
        <f>WORKDAY(I2830, 3)</f>
        <v>45938</v>
      </c>
      <c r="K2830" s="120">
        <v>45933</v>
      </c>
      <c r="L2830" s="120"/>
      <c r="M2830" s="120"/>
      <c r="N2830" s="29"/>
      <c r="O2830" s="119" t="s">
        <v>171</v>
      </c>
      <c r="P2830" s="120"/>
      <c r="Q2830" s="156">
        <v>300</v>
      </c>
      <c r="R2830" s="134" t="s">
        <v>1435</v>
      </c>
    </row>
    <row r="2831" spans="1:18" hidden="1">
      <c r="A2831" s="134" t="s">
        <v>1141</v>
      </c>
      <c r="C2831" s="29">
        <v>276500068</v>
      </c>
      <c r="D2831" s="29"/>
      <c r="E2831" s="29"/>
      <c r="F2831" s="29" t="s">
        <v>88</v>
      </c>
      <c r="G2831" s="29" t="s">
        <v>1039</v>
      </c>
      <c r="H2831" s="29" t="s">
        <v>38</v>
      </c>
      <c r="I2831" s="120">
        <v>45933</v>
      </c>
      <c r="J2831" s="120">
        <f>WORKDAY(I2831, 3)</f>
        <v>45938</v>
      </c>
      <c r="K2831" s="120">
        <v>45933</v>
      </c>
      <c r="L2831" s="120"/>
      <c r="M2831" s="120"/>
      <c r="N2831" s="29"/>
      <c r="O2831" s="119" t="s">
        <v>171</v>
      </c>
      <c r="P2831" s="120"/>
      <c r="Q2831" s="156">
        <v>320</v>
      </c>
      <c r="R2831" s="134" t="s">
        <v>1435</v>
      </c>
    </row>
    <row r="2832" spans="1:18" hidden="1">
      <c r="A2832" s="134" t="s">
        <v>1141</v>
      </c>
      <c r="C2832" s="29">
        <v>275500103</v>
      </c>
      <c r="D2832" s="29"/>
      <c r="E2832" s="29"/>
      <c r="F2832" s="29" t="s">
        <v>88</v>
      </c>
      <c r="G2832" s="29" t="s">
        <v>1039</v>
      </c>
      <c r="H2832" s="29" t="s">
        <v>38</v>
      </c>
      <c r="I2832" s="120">
        <v>45932</v>
      </c>
      <c r="J2832" s="120">
        <f>WORKDAY(I2832, 3)</f>
        <v>45937</v>
      </c>
      <c r="K2832" s="120">
        <v>45963</v>
      </c>
      <c r="L2832" s="120"/>
      <c r="M2832" s="120"/>
      <c r="N2832" s="29"/>
      <c r="O2832" s="119" t="s">
        <v>171</v>
      </c>
      <c r="P2832" s="120"/>
      <c r="Q2832" s="156">
        <v>40</v>
      </c>
      <c r="R2832" s="134" t="s">
        <v>1435</v>
      </c>
    </row>
    <row r="2833" spans="1:18" hidden="1">
      <c r="A2833" s="134" t="s">
        <v>1141</v>
      </c>
      <c r="C2833" s="29">
        <v>275500114</v>
      </c>
      <c r="D2833" s="29"/>
      <c r="E2833" s="29"/>
      <c r="F2833" s="29" t="s">
        <v>88</v>
      </c>
      <c r="G2833" s="29" t="s">
        <v>1039</v>
      </c>
      <c r="H2833" s="29" t="s">
        <v>38</v>
      </c>
      <c r="I2833" s="120">
        <v>45932</v>
      </c>
      <c r="J2833" s="120">
        <f>WORKDAY(I2833, 3)</f>
        <v>45937</v>
      </c>
      <c r="K2833" s="120">
        <v>45963</v>
      </c>
      <c r="L2833" s="120"/>
      <c r="M2833" s="120"/>
      <c r="N2833" s="29"/>
      <c r="O2833" s="119" t="s">
        <v>171</v>
      </c>
      <c r="P2833" s="120"/>
      <c r="Q2833" s="156">
        <v>450</v>
      </c>
      <c r="R2833" s="134" t="s">
        <v>1435</v>
      </c>
    </row>
    <row r="2834" spans="1:18" hidden="1">
      <c r="A2834" s="134" t="s">
        <v>1141</v>
      </c>
      <c r="C2834" s="29">
        <v>275500118</v>
      </c>
      <c r="D2834" s="29"/>
      <c r="E2834" s="29"/>
      <c r="F2834" s="29" t="s">
        <v>88</v>
      </c>
      <c r="G2834" s="29" t="s">
        <v>1039</v>
      </c>
      <c r="H2834" s="29" t="s">
        <v>38</v>
      </c>
      <c r="I2834" s="120">
        <v>45932</v>
      </c>
      <c r="J2834" s="120">
        <f>WORKDAY(I2834, 3)</f>
        <v>45937</v>
      </c>
      <c r="K2834" s="120">
        <v>45963</v>
      </c>
      <c r="L2834" s="120"/>
      <c r="M2834" s="120"/>
      <c r="N2834" s="29"/>
      <c r="O2834" s="119" t="s">
        <v>171</v>
      </c>
      <c r="P2834" s="120"/>
      <c r="Q2834" s="156">
        <v>450</v>
      </c>
      <c r="R2834" s="134" t="s">
        <v>1435</v>
      </c>
    </row>
    <row r="2835" spans="1:18" hidden="1">
      <c r="A2835" s="134" t="s">
        <v>1141</v>
      </c>
      <c r="C2835" s="29">
        <v>275500126</v>
      </c>
      <c r="D2835" s="29"/>
      <c r="E2835" s="29"/>
      <c r="F2835" s="29" t="s">
        <v>88</v>
      </c>
      <c r="G2835" s="29" t="s">
        <v>1039</v>
      </c>
      <c r="H2835" s="29" t="s">
        <v>38</v>
      </c>
      <c r="I2835" s="120">
        <v>45932</v>
      </c>
      <c r="J2835" s="120">
        <f>WORKDAY(I2835, 3)</f>
        <v>45937</v>
      </c>
      <c r="K2835" s="120">
        <v>45963</v>
      </c>
      <c r="L2835" s="120"/>
      <c r="M2835" s="120"/>
      <c r="N2835" s="29"/>
      <c r="O2835" s="119" t="s">
        <v>171</v>
      </c>
      <c r="P2835" s="120"/>
      <c r="Q2835" s="156">
        <v>450</v>
      </c>
      <c r="R2835" s="134" t="s">
        <v>1435</v>
      </c>
    </row>
    <row r="2836" spans="1:18" hidden="1">
      <c r="A2836" s="134" t="s">
        <v>1141</v>
      </c>
      <c r="C2836" s="29">
        <v>275500138</v>
      </c>
      <c r="D2836" s="29"/>
      <c r="E2836" s="29"/>
      <c r="F2836" s="29" t="s">
        <v>88</v>
      </c>
      <c r="G2836" s="29" t="s">
        <v>1039</v>
      </c>
      <c r="H2836" s="29" t="s">
        <v>38</v>
      </c>
      <c r="I2836" s="120">
        <v>45932</v>
      </c>
      <c r="J2836" s="120">
        <f>WORKDAY(I2836, 3)</f>
        <v>45937</v>
      </c>
      <c r="K2836" s="120">
        <v>45963</v>
      </c>
      <c r="L2836" s="120"/>
      <c r="M2836" s="120"/>
      <c r="N2836" s="29"/>
      <c r="O2836" s="119" t="s">
        <v>171</v>
      </c>
      <c r="P2836" s="120"/>
      <c r="Q2836" s="156">
        <v>320</v>
      </c>
      <c r="R2836" s="134" t="s">
        <v>1435</v>
      </c>
    </row>
    <row r="2837" spans="1:18" hidden="1">
      <c r="A2837" s="134" t="s">
        <v>1141</v>
      </c>
      <c r="C2837" s="29">
        <v>274502929</v>
      </c>
      <c r="D2837" s="29"/>
      <c r="E2837" s="29"/>
      <c r="F2837" s="29" t="s">
        <v>88</v>
      </c>
      <c r="G2837" s="29" t="s">
        <v>1039</v>
      </c>
      <c r="H2837" s="29" t="s">
        <v>38</v>
      </c>
      <c r="I2837" s="120">
        <v>45931</v>
      </c>
      <c r="J2837" s="120">
        <f>WORKDAY(I2837, 3)</f>
        <v>45936</v>
      </c>
      <c r="K2837" s="120">
        <v>45962</v>
      </c>
      <c r="L2837" s="120"/>
      <c r="M2837" s="120"/>
      <c r="N2837" s="29"/>
      <c r="O2837" s="119" t="s">
        <v>171</v>
      </c>
      <c r="P2837" s="120"/>
      <c r="Q2837" s="156">
        <v>380</v>
      </c>
      <c r="R2837" s="134" t="s">
        <v>1435</v>
      </c>
    </row>
    <row r="2838" spans="1:18" hidden="1">
      <c r="A2838" s="134" t="s">
        <v>1141</v>
      </c>
      <c r="C2838" s="29">
        <v>274502951</v>
      </c>
      <c r="D2838" s="29"/>
      <c r="E2838" s="29"/>
      <c r="F2838" s="29" t="s">
        <v>88</v>
      </c>
      <c r="G2838" s="29" t="s">
        <v>1039</v>
      </c>
      <c r="H2838" s="29" t="s">
        <v>38</v>
      </c>
      <c r="I2838" s="120">
        <v>45931</v>
      </c>
      <c r="J2838" s="120">
        <f>WORKDAY(I2838, 3)</f>
        <v>45936</v>
      </c>
      <c r="K2838" s="120">
        <v>45962</v>
      </c>
      <c r="L2838" s="120"/>
      <c r="M2838" s="120"/>
      <c r="N2838" s="29"/>
      <c r="O2838" s="119" t="s">
        <v>171</v>
      </c>
      <c r="P2838" s="120"/>
      <c r="Q2838" s="156">
        <v>380</v>
      </c>
      <c r="R2838" s="134" t="s">
        <v>1435</v>
      </c>
    </row>
    <row r="2839" spans="1:18" hidden="1">
      <c r="A2839" s="134" t="s">
        <v>1141</v>
      </c>
      <c r="C2839" s="29">
        <v>274502989</v>
      </c>
      <c r="D2839" s="29"/>
      <c r="E2839" s="29"/>
      <c r="F2839" s="29" t="s">
        <v>88</v>
      </c>
      <c r="G2839" s="29" t="s">
        <v>1039</v>
      </c>
      <c r="H2839" s="29" t="s">
        <v>38</v>
      </c>
      <c r="I2839" s="120">
        <v>45931</v>
      </c>
      <c r="J2839" s="120">
        <f>WORKDAY(I2839, 3)</f>
        <v>45936</v>
      </c>
      <c r="K2839" s="120">
        <v>45962</v>
      </c>
      <c r="L2839" s="120"/>
      <c r="M2839" s="120"/>
      <c r="N2839" s="29"/>
      <c r="O2839" s="119" t="s">
        <v>171</v>
      </c>
      <c r="P2839" s="120"/>
      <c r="Q2839" s="156">
        <v>100</v>
      </c>
      <c r="R2839" s="134" t="s">
        <v>1435</v>
      </c>
    </row>
    <row r="2840" spans="1:18" hidden="1">
      <c r="A2840" s="134" t="s">
        <v>1141</v>
      </c>
      <c r="C2840" s="29">
        <v>274503046</v>
      </c>
      <c r="D2840" s="29"/>
      <c r="E2840" s="29"/>
      <c r="F2840" s="29" t="s">
        <v>88</v>
      </c>
      <c r="G2840" s="29" t="s">
        <v>1039</v>
      </c>
      <c r="H2840" s="29" t="s">
        <v>38</v>
      </c>
      <c r="I2840" s="120">
        <v>45931</v>
      </c>
      <c r="J2840" s="120">
        <f>WORKDAY(I2840, 3)</f>
        <v>45936</v>
      </c>
      <c r="K2840" s="120">
        <v>45962</v>
      </c>
      <c r="L2840" s="120"/>
      <c r="M2840" s="120"/>
      <c r="N2840" s="29"/>
      <c r="O2840" s="119" t="s">
        <v>171</v>
      </c>
      <c r="P2840" s="120"/>
      <c r="Q2840" s="156">
        <v>380</v>
      </c>
      <c r="R2840" s="134" t="s">
        <v>1435</v>
      </c>
    </row>
    <row r="2841" spans="1:18" hidden="1">
      <c r="A2841" s="134" t="s">
        <v>1141</v>
      </c>
      <c r="C2841" s="29">
        <v>274503083</v>
      </c>
      <c r="D2841" s="29"/>
      <c r="E2841" s="29"/>
      <c r="F2841" s="29" t="s">
        <v>88</v>
      </c>
      <c r="G2841" s="29" t="s">
        <v>1039</v>
      </c>
      <c r="H2841" s="29" t="s">
        <v>38</v>
      </c>
      <c r="I2841" s="120">
        <v>45931</v>
      </c>
      <c r="J2841" s="120">
        <f>WORKDAY(I2841, 3)</f>
        <v>45936</v>
      </c>
      <c r="K2841" s="120">
        <v>45962</v>
      </c>
      <c r="L2841" s="120"/>
      <c r="M2841" s="120"/>
      <c r="N2841" s="29"/>
      <c r="O2841" s="119" t="s">
        <v>171</v>
      </c>
      <c r="P2841" s="120"/>
      <c r="Q2841" s="156">
        <v>200</v>
      </c>
      <c r="R2841" s="134" t="s">
        <v>1435</v>
      </c>
    </row>
    <row r="2842" spans="1:18" hidden="1">
      <c r="A2842" s="134" t="s">
        <v>1141</v>
      </c>
      <c r="C2842" s="29">
        <v>274503166</v>
      </c>
      <c r="D2842" s="29"/>
      <c r="E2842" s="29"/>
      <c r="F2842" s="29" t="s">
        <v>88</v>
      </c>
      <c r="G2842" s="29" t="s">
        <v>1039</v>
      </c>
      <c r="H2842" s="29" t="s">
        <v>38</v>
      </c>
      <c r="I2842" s="120">
        <v>45931</v>
      </c>
      <c r="J2842" s="120">
        <f>WORKDAY(I2842, 3)</f>
        <v>45936</v>
      </c>
      <c r="K2842" s="120">
        <v>45962</v>
      </c>
      <c r="L2842" s="120"/>
      <c r="M2842" s="120"/>
      <c r="N2842" s="29"/>
      <c r="O2842" s="119" t="s">
        <v>171</v>
      </c>
      <c r="P2842" s="120"/>
      <c r="Q2842" s="156">
        <v>100</v>
      </c>
      <c r="R2842" s="134" t="s">
        <v>1435</v>
      </c>
    </row>
    <row r="2843" spans="1:18" hidden="1">
      <c r="A2843" s="134" t="s">
        <v>1059</v>
      </c>
      <c r="C2843" s="29">
        <v>272502446</v>
      </c>
      <c r="D2843" s="29"/>
      <c r="E2843" s="29"/>
      <c r="F2843" s="29" t="s">
        <v>88</v>
      </c>
      <c r="G2843" s="29" t="s">
        <v>1039</v>
      </c>
      <c r="H2843" s="29" t="s">
        <v>38</v>
      </c>
      <c r="I2843" s="120">
        <v>45929</v>
      </c>
      <c r="J2843" s="120">
        <f>WORKDAY(I2843, 3)</f>
        <v>45932</v>
      </c>
      <c r="K2843" s="120">
        <v>45960</v>
      </c>
      <c r="L2843" s="120"/>
      <c r="M2843" s="120"/>
      <c r="N2843" s="29"/>
      <c r="O2843" s="119" t="s">
        <v>171</v>
      </c>
      <c r="P2843" s="120"/>
      <c r="Q2843" s="156">
        <v>30</v>
      </c>
      <c r="R2843" s="134" t="s">
        <v>1435</v>
      </c>
    </row>
    <row r="2844" spans="1:18" hidden="1">
      <c r="A2844" s="134" t="s">
        <v>1137</v>
      </c>
      <c r="C2844" s="29">
        <v>281500450</v>
      </c>
      <c r="D2844" s="29"/>
      <c r="E2844" s="29"/>
      <c r="F2844" s="29" t="s">
        <v>88</v>
      </c>
      <c r="G2844" s="29" t="s">
        <v>1039</v>
      </c>
      <c r="H2844" s="29" t="s">
        <v>38</v>
      </c>
      <c r="I2844" s="120">
        <v>45938</v>
      </c>
      <c r="J2844" s="120">
        <f>WORKDAY(I2844, 3)</f>
        <v>45943</v>
      </c>
      <c r="K2844" s="120">
        <v>45969</v>
      </c>
      <c r="L2844" s="120"/>
      <c r="M2844" s="120"/>
      <c r="O2844" s="119" t="s">
        <v>171</v>
      </c>
      <c r="P2844" s="120"/>
      <c r="Q2844" s="156">
        <v>600</v>
      </c>
      <c r="R2844" s="134" t="s">
        <v>1435</v>
      </c>
    </row>
    <row r="2845" spans="1:18" hidden="1">
      <c r="A2845" s="134" t="s">
        <v>1143</v>
      </c>
      <c r="C2845" s="29">
        <v>286505216</v>
      </c>
      <c r="D2845" s="29"/>
      <c r="E2845" s="29"/>
      <c r="F2845" s="29" t="s">
        <v>88</v>
      </c>
      <c r="G2845" s="29" t="s">
        <v>1039</v>
      </c>
      <c r="H2845" s="29" t="s">
        <v>38</v>
      </c>
      <c r="I2845" s="120">
        <v>45943</v>
      </c>
      <c r="J2845" s="120">
        <f>WORKDAY(I2845, 3)</f>
        <v>45946</v>
      </c>
      <c r="K2845" s="29"/>
      <c r="L2845" s="29"/>
      <c r="M2845" s="29"/>
      <c r="N2845" s="29"/>
      <c r="O2845" s="119" t="s">
        <v>171</v>
      </c>
      <c r="P2845" s="120"/>
      <c r="Q2845" s="156"/>
      <c r="R2845" s="134" t="s">
        <v>1435</v>
      </c>
    </row>
    <row r="2846" spans="1:18" hidden="1">
      <c r="A2846" s="134" t="s">
        <v>1143</v>
      </c>
      <c r="C2846" s="29">
        <v>286505225</v>
      </c>
      <c r="D2846" s="29"/>
      <c r="E2846" s="29"/>
      <c r="F2846" s="29" t="s">
        <v>88</v>
      </c>
      <c r="G2846" s="29" t="s">
        <v>1039</v>
      </c>
      <c r="H2846" s="29" t="s">
        <v>38</v>
      </c>
      <c r="I2846" s="120">
        <v>45943</v>
      </c>
      <c r="J2846" s="120">
        <f>WORKDAY(I2846, 3)</f>
        <v>45946</v>
      </c>
      <c r="K2846" s="29"/>
      <c r="L2846" s="29"/>
      <c r="M2846" s="29"/>
      <c r="N2846" s="29"/>
      <c r="O2846" s="119" t="s">
        <v>171</v>
      </c>
      <c r="P2846" s="120"/>
      <c r="Q2846" s="156"/>
      <c r="R2846" s="134" t="s">
        <v>1435</v>
      </c>
    </row>
    <row r="2847" spans="1:18" hidden="1">
      <c r="A2847" s="134" t="s">
        <v>1143</v>
      </c>
      <c r="C2847" s="29">
        <v>286505248</v>
      </c>
      <c r="D2847" s="29"/>
      <c r="E2847" s="29"/>
      <c r="F2847" s="29" t="s">
        <v>88</v>
      </c>
      <c r="G2847" s="29" t="s">
        <v>1039</v>
      </c>
      <c r="H2847" s="29" t="s">
        <v>38</v>
      </c>
      <c r="I2847" s="120">
        <v>45943</v>
      </c>
      <c r="J2847" s="120">
        <f>WORKDAY(I2847, 3)</f>
        <v>45946</v>
      </c>
      <c r="K2847" s="29"/>
      <c r="L2847" s="29"/>
      <c r="M2847" s="29"/>
      <c r="N2847" s="29"/>
      <c r="O2847" s="119" t="s">
        <v>171</v>
      </c>
      <c r="P2847" s="120"/>
      <c r="Q2847" s="156"/>
      <c r="R2847" s="134" t="s">
        <v>1435</v>
      </c>
    </row>
    <row r="2848" spans="1:18" hidden="1">
      <c r="A2848" s="134" t="s">
        <v>1136</v>
      </c>
      <c r="C2848" s="29">
        <v>286505198</v>
      </c>
      <c r="D2848" s="29"/>
      <c r="E2848" s="29"/>
      <c r="F2848" s="29" t="s">
        <v>88</v>
      </c>
      <c r="G2848" s="29" t="s">
        <v>1039</v>
      </c>
      <c r="H2848" s="29" t="s">
        <v>38</v>
      </c>
      <c r="I2848" s="120">
        <v>45943</v>
      </c>
      <c r="J2848" s="120">
        <f>WORKDAY(I2848, 3)</f>
        <v>45946</v>
      </c>
      <c r="K2848" s="29"/>
      <c r="L2848" s="29"/>
      <c r="M2848" s="29"/>
      <c r="N2848" s="29"/>
      <c r="O2848" s="119" t="s">
        <v>171</v>
      </c>
      <c r="P2848" s="120"/>
      <c r="Q2848" s="156"/>
      <c r="R2848" s="134" t="s">
        <v>1435</v>
      </c>
    </row>
    <row r="2849" spans="1:18" hidden="1">
      <c r="A2849" s="134" t="s">
        <v>1436</v>
      </c>
      <c r="C2849" s="29">
        <v>282501403</v>
      </c>
      <c r="D2849" s="29"/>
      <c r="E2849" s="29"/>
      <c r="F2849" s="29" t="s">
        <v>88</v>
      </c>
      <c r="G2849" s="29" t="s">
        <v>1039</v>
      </c>
      <c r="H2849" s="29" t="s">
        <v>38</v>
      </c>
      <c r="I2849" s="120">
        <v>45939</v>
      </c>
      <c r="J2849" s="120">
        <f>WORKDAY(I2849, 3)</f>
        <v>45944</v>
      </c>
      <c r="K2849" s="120">
        <v>45970</v>
      </c>
      <c r="L2849" s="120"/>
      <c r="M2849" s="120"/>
      <c r="N2849" s="29"/>
      <c r="O2849" s="119" t="s">
        <v>171</v>
      </c>
      <c r="P2849" s="120"/>
      <c r="Q2849" s="156"/>
      <c r="R2849" s="162"/>
    </row>
    <row r="2850" spans="1:18" hidden="1">
      <c r="A2850" s="134" t="s">
        <v>1436</v>
      </c>
      <c r="C2850" s="29">
        <v>282501411</v>
      </c>
      <c r="D2850" s="29"/>
      <c r="E2850" s="29"/>
      <c r="F2850" s="29" t="s">
        <v>88</v>
      </c>
      <c r="G2850" s="29" t="s">
        <v>1039</v>
      </c>
      <c r="H2850" s="29" t="s">
        <v>38</v>
      </c>
      <c r="I2850" s="120">
        <v>45939</v>
      </c>
      <c r="J2850" s="120">
        <f>WORKDAY(I2850, 3)</f>
        <v>45944</v>
      </c>
      <c r="K2850" s="120">
        <v>45970</v>
      </c>
      <c r="L2850" s="120"/>
      <c r="M2850" s="120"/>
      <c r="N2850" s="29"/>
      <c r="O2850" s="119" t="s">
        <v>171</v>
      </c>
      <c r="P2850" s="120"/>
      <c r="Q2850" s="156"/>
      <c r="R2850" s="162"/>
    </row>
    <row r="2851" spans="1:18" hidden="1">
      <c r="A2851" s="134" t="s">
        <v>1436</v>
      </c>
      <c r="C2851" s="29">
        <v>282501422</v>
      </c>
      <c r="D2851" s="29"/>
      <c r="E2851" s="29"/>
      <c r="F2851" s="29" t="s">
        <v>88</v>
      </c>
      <c r="G2851" s="29" t="s">
        <v>1039</v>
      </c>
      <c r="H2851" s="29" t="s">
        <v>38</v>
      </c>
      <c r="I2851" s="120">
        <v>45939</v>
      </c>
      <c r="J2851" s="120">
        <f>WORKDAY(I2851, 3)</f>
        <v>45944</v>
      </c>
      <c r="K2851" s="120">
        <v>45970</v>
      </c>
      <c r="L2851" s="120"/>
      <c r="M2851" s="120"/>
      <c r="N2851" s="29"/>
      <c r="O2851" s="119" t="s">
        <v>171</v>
      </c>
      <c r="P2851" s="120"/>
      <c r="Q2851" s="156"/>
      <c r="R2851" s="162"/>
    </row>
    <row r="2852" spans="1:18" hidden="1">
      <c r="A2852" s="134" t="s">
        <v>1436</v>
      </c>
      <c r="C2852" s="29">
        <v>282501433</v>
      </c>
      <c r="D2852" s="29"/>
      <c r="E2852" s="29"/>
      <c r="F2852" s="29" t="s">
        <v>88</v>
      </c>
      <c r="G2852" s="29" t="s">
        <v>1039</v>
      </c>
      <c r="H2852" s="29" t="s">
        <v>38</v>
      </c>
      <c r="I2852" s="120">
        <v>45939</v>
      </c>
      <c r="J2852" s="120">
        <f>WORKDAY(I2852, 3)</f>
        <v>45944</v>
      </c>
      <c r="K2852" s="120">
        <v>45970</v>
      </c>
      <c r="L2852" s="120"/>
      <c r="M2852" s="120"/>
      <c r="N2852" s="29"/>
      <c r="O2852" s="119" t="s">
        <v>171</v>
      </c>
      <c r="P2852" s="120"/>
      <c r="Q2852" s="156"/>
      <c r="R2852" s="162"/>
    </row>
    <row r="2853" spans="1:18" hidden="1">
      <c r="A2853" s="134" t="s">
        <v>1436</v>
      </c>
      <c r="C2853" s="29">
        <v>282501441</v>
      </c>
      <c r="D2853" s="29"/>
      <c r="E2853" s="29"/>
      <c r="F2853" s="29" t="s">
        <v>88</v>
      </c>
      <c r="G2853" s="29" t="s">
        <v>1039</v>
      </c>
      <c r="H2853" s="29" t="s">
        <v>38</v>
      </c>
      <c r="I2853" s="120">
        <v>45939</v>
      </c>
      <c r="J2853" s="120">
        <f>WORKDAY(I2853, 3)</f>
        <v>45944</v>
      </c>
      <c r="K2853" s="120">
        <v>45970</v>
      </c>
      <c r="L2853" s="120"/>
      <c r="M2853" s="120"/>
      <c r="N2853" s="29"/>
      <c r="O2853" s="119" t="s">
        <v>171</v>
      </c>
      <c r="P2853" s="120"/>
      <c r="Q2853" s="156"/>
      <c r="R2853" s="162"/>
    </row>
    <row r="2854" spans="1:18" hidden="1">
      <c r="A2854" s="134" t="s">
        <v>1436</v>
      </c>
      <c r="C2854" s="29">
        <v>282501458</v>
      </c>
      <c r="D2854" s="29"/>
      <c r="E2854" s="29"/>
      <c r="F2854" s="29" t="s">
        <v>88</v>
      </c>
      <c r="G2854" s="29" t="s">
        <v>1039</v>
      </c>
      <c r="H2854" s="29" t="s">
        <v>38</v>
      </c>
      <c r="I2854" s="120">
        <v>45939</v>
      </c>
      <c r="J2854" s="120">
        <f>WORKDAY(I2854, 3)</f>
        <v>45944</v>
      </c>
      <c r="K2854" s="120">
        <v>45970</v>
      </c>
      <c r="L2854" s="120"/>
      <c r="M2854" s="120"/>
      <c r="N2854" s="29"/>
      <c r="O2854" s="119" t="s">
        <v>171</v>
      </c>
      <c r="P2854" s="120"/>
      <c r="Q2854" s="156"/>
      <c r="R2854" s="162"/>
    </row>
    <row r="2855" spans="1:18" hidden="1">
      <c r="A2855" s="134" t="s">
        <v>1436</v>
      </c>
      <c r="C2855" s="29">
        <v>282501464</v>
      </c>
      <c r="D2855" s="29"/>
      <c r="E2855" s="29"/>
      <c r="F2855" s="29" t="s">
        <v>88</v>
      </c>
      <c r="G2855" s="29" t="s">
        <v>1039</v>
      </c>
      <c r="H2855" s="29" t="s">
        <v>38</v>
      </c>
      <c r="I2855" s="120">
        <v>45939</v>
      </c>
      <c r="J2855" s="120">
        <f>WORKDAY(I2855, 3)</f>
        <v>45944</v>
      </c>
      <c r="K2855" s="120">
        <v>45970</v>
      </c>
      <c r="L2855" s="120"/>
      <c r="M2855" s="120"/>
      <c r="N2855" s="29"/>
      <c r="O2855" s="119" t="s">
        <v>171</v>
      </c>
      <c r="P2855" s="120"/>
      <c r="Q2855" s="156"/>
      <c r="R2855" s="162"/>
    </row>
    <row r="2856" spans="1:18" hidden="1">
      <c r="A2856" s="134" t="s">
        <v>1436</v>
      </c>
      <c r="C2856" s="29">
        <v>282501473</v>
      </c>
      <c r="D2856" s="29"/>
      <c r="E2856" s="29"/>
      <c r="F2856" s="29" t="s">
        <v>88</v>
      </c>
      <c r="G2856" s="29" t="s">
        <v>1039</v>
      </c>
      <c r="H2856" s="29" t="s">
        <v>38</v>
      </c>
      <c r="I2856" s="120">
        <v>45939</v>
      </c>
      <c r="J2856" s="120">
        <f>WORKDAY(I2856, 3)</f>
        <v>45944</v>
      </c>
      <c r="K2856" s="120">
        <v>45970</v>
      </c>
      <c r="L2856" s="120"/>
      <c r="M2856" s="120"/>
      <c r="N2856" s="29"/>
      <c r="O2856" s="119" t="s">
        <v>171</v>
      </c>
      <c r="P2856" s="120"/>
      <c r="Q2856" s="156"/>
      <c r="R2856" s="162"/>
    </row>
    <row r="2857" spans="1:18" hidden="1">
      <c r="A2857" s="134" t="s">
        <v>1436</v>
      </c>
      <c r="C2857" s="29">
        <v>282501491</v>
      </c>
      <c r="D2857" s="29"/>
      <c r="E2857" s="29"/>
      <c r="F2857" s="29" t="s">
        <v>88</v>
      </c>
      <c r="G2857" s="29" t="s">
        <v>1039</v>
      </c>
      <c r="H2857" s="29" t="s">
        <v>38</v>
      </c>
      <c r="I2857" s="120">
        <v>45939</v>
      </c>
      <c r="J2857" s="120">
        <f>WORKDAY(I2857, 3)</f>
        <v>45944</v>
      </c>
      <c r="K2857" s="120">
        <v>45970</v>
      </c>
      <c r="L2857" s="120"/>
      <c r="M2857" s="120"/>
      <c r="N2857" s="29"/>
      <c r="O2857" s="119" t="s">
        <v>171</v>
      </c>
      <c r="P2857" s="120"/>
      <c r="Q2857" s="156"/>
      <c r="R2857" s="162"/>
    </row>
    <row r="2858" spans="1:18" hidden="1">
      <c r="A2858" s="134" t="s">
        <v>1436</v>
      </c>
      <c r="C2858" s="29">
        <v>282501499</v>
      </c>
      <c r="D2858" s="29"/>
      <c r="E2858" s="29"/>
      <c r="F2858" s="29" t="s">
        <v>88</v>
      </c>
      <c r="G2858" s="29" t="s">
        <v>1039</v>
      </c>
      <c r="H2858" s="29" t="s">
        <v>38</v>
      </c>
      <c r="I2858" s="120">
        <v>45939</v>
      </c>
      <c r="J2858" s="120">
        <f>WORKDAY(I2858, 3)</f>
        <v>45944</v>
      </c>
      <c r="K2858" s="120">
        <v>45970</v>
      </c>
      <c r="L2858" s="120"/>
      <c r="M2858" s="120"/>
      <c r="N2858" s="29"/>
      <c r="O2858" s="119" t="s">
        <v>171</v>
      </c>
      <c r="P2858" s="120"/>
      <c r="Q2858" s="156"/>
      <c r="R2858" s="162"/>
    </row>
    <row r="2859" spans="1:18" hidden="1">
      <c r="A2859" s="134" t="s">
        <v>1436</v>
      </c>
      <c r="C2859" s="29">
        <v>282501507</v>
      </c>
      <c r="D2859" s="29"/>
      <c r="E2859" s="29"/>
      <c r="F2859" s="29" t="s">
        <v>88</v>
      </c>
      <c r="G2859" s="29" t="s">
        <v>1039</v>
      </c>
      <c r="H2859" s="29" t="s">
        <v>38</v>
      </c>
      <c r="I2859" s="120">
        <v>45939</v>
      </c>
      <c r="J2859" s="120">
        <f>WORKDAY(I2859, 3)</f>
        <v>45944</v>
      </c>
      <c r="K2859" s="120">
        <v>45970</v>
      </c>
      <c r="L2859" s="120"/>
      <c r="M2859" s="120"/>
      <c r="N2859" s="29"/>
      <c r="O2859" s="119" t="s">
        <v>171</v>
      </c>
      <c r="P2859" s="120"/>
      <c r="Q2859" s="156"/>
      <c r="R2859" s="162"/>
    </row>
    <row r="2860" spans="1:18" hidden="1">
      <c r="A2860" s="134" t="s">
        <v>1436</v>
      </c>
      <c r="C2860" s="29">
        <v>282501513</v>
      </c>
      <c r="D2860" s="29"/>
      <c r="E2860" s="29"/>
      <c r="F2860" s="29" t="s">
        <v>88</v>
      </c>
      <c r="G2860" s="29" t="s">
        <v>1039</v>
      </c>
      <c r="H2860" s="29" t="s">
        <v>38</v>
      </c>
      <c r="I2860" s="120">
        <v>45939</v>
      </c>
      <c r="J2860" s="120">
        <f>WORKDAY(I2860, 3)</f>
        <v>45944</v>
      </c>
      <c r="K2860" s="120">
        <v>45970</v>
      </c>
      <c r="L2860" s="120"/>
      <c r="M2860" s="120"/>
      <c r="N2860" s="29"/>
      <c r="O2860" s="119" t="s">
        <v>171</v>
      </c>
      <c r="P2860" s="120"/>
      <c r="Q2860" s="156"/>
      <c r="R2860" s="162"/>
    </row>
    <row r="2861" spans="1:18" hidden="1">
      <c r="A2861" s="134" t="s">
        <v>1436</v>
      </c>
      <c r="C2861" s="29">
        <v>282501523</v>
      </c>
      <c r="D2861" s="29"/>
      <c r="E2861" s="29"/>
      <c r="F2861" s="29" t="s">
        <v>88</v>
      </c>
      <c r="G2861" s="29" t="s">
        <v>1039</v>
      </c>
      <c r="H2861" s="29" t="s">
        <v>38</v>
      </c>
      <c r="I2861" s="120">
        <v>45939</v>
      </c>
      <c r="J2861" s="120">
        <f>WORKDAY(I2861, 3)</f>
        <v>45944</v>
      </c>
      <c r="K2861" s="120">
        <v>45970</v>
      </c>
      <c r="L2861" s="120"/>
      <c r="M2861" s="120"/>
      <c r="N2861" s="29"/>
      <c r="O2861" s="119" t="s">
        <v>171</v>
      </c>
      <c r="P2861" s="120"/>
      <c r="Q2861" s="156"/>
      <c r="R2861" s="162"/>
    </row>
    <row r="2862" spans="1:18" hidden="1">
      <c r="A2862" s="134" t="s">
        <v>1436</v>
      </c>
      <c r="C2862" s="29">
        <v>282501528</v>
      </c>
      <c r="D2862" s="29"/>
      <c r="E2862" s="29"/>
      <c r="F2862" s="29" t="s">
        <v>88</v>
      </c>
      <c r="G2862" s="29" t="s">
        <v>1039</v>
      </c>
      <c r="H2862" s="29" t="s">
        <v>38</v>
      </c>
      <c r="I2862" s="120">
        <v>45939</v>
      </c>
      <c r="J2862" s="120">
        <f>WORKDAY(I2862, 3)</f>
        <v>45944</v>
      </c>
      <c r="K2862" s="120">
        <v>45970</v>
      </c>
      <c r="L2862" s="120"/>
      <c r="M2862" s="120"/>
      <c r="N2862" s="29"/>
      <c r="O2862" s="119" t="s">
        <v>171</v>
      </c>
      <c r="P2862" s="120"/>
      <c r="Q2862" s="156"/>
      <c r="R2862" s="162"/>
    </row>
    <row r="2863" spans="1:18" hidden="1">
      <c r="A2863" s="134" t="s">
        <v>1436</v>
      </c>
      <c r="C2863" s="29">
        <v>282501567</v>
      </c>
      <c r="D2863" s="29"/>
      <c r="E2863" s="29"/>
      <c r="F2863" s="29" t="s">
        <v>88</v>
      </c>
      <c r="G2863" s="29" t="s">
        <v>1039</v>
      </c>
      <c r="H2863" s="29" t="s">
        <v>38</v>
      </c>
      <c r="I2863" s="120">
        <v>45939</v>
      </c>
      <c r="J2863" s="120">
        <f>WORKDAY(I2863, 3)</f>
        <v>45944</v>
      </c>
      <c r="K2863" s="120">
        <v>45970</v>
      </c>
      <c r="L2863" s="120"/>
      <c r="M2863" s="120"/>
      <c r="N2863" s="29"/>
      <c r="O2863" s="119" t="s">
        <v>171</v>
      </c>
      <c r="P2863" s="120"/>
      <c r="Q2863" s="156"/>
      <c r="R2863" s="162"/>
    </row>
    <row r="2864" spans="1:18" hidden="1">
      <c r="A2864" s="134" t="s">
        <v>1436</v>
      </c>
      <c r="C2864" s="29">
        <v>282501558</v>
      </c>
      <c r="D2864" s="29"/>
      <c r="E2864" s="29"/>
      <c r="F2864" s="29" t="s">
        <v>88</v>
      </c>
      <c r="G2864" s="29" t="s">
        <v>1039</v>
      </c>
      <c r="H2864" s="29" t="s">
        <v>38</v>
      </c>
      <c r="I2864" s="120">
        <v>45939</v>
      </c>
      <c r="J2864" s="120">
        <f>WORKDAY(I2864, 3)</f>
        <v>45944</v>
      </c>
      <c r="K2864" s="120">
        <v>45970</v>
      </c>
      <c r="L2864" s="120"/>
      <c r="M2864" s="120"/>
      <c r="N2864" s="29"/>
      <c r="O2864" s="119" t="s">
        <v>171</v>
      </c>
      <c r="P2864" s="120"/>
      <c r="Q2864" s="156"/>
      <c r="R2864" s="162"/>
    </row>
    <row r="2865" spans="1:18" hidden="1">
      <c r="A2865" s="134" t="s">
        <v>1436</v>
      </c>
      <c r="C2865" s="29">
        <v>282501582</v>
      </c>
      <c r="D2865" s="29"/>
      <c r="E2865" s="29"/>
      <c r="F2865" s="29" t="s">
        <v>88</v>
      </c>
      <c r="G2865" s="29" t="s">
        <v>1039</v>
      </c>
      <c r="H2865" s="29" t="s">
        <v>38</v>
      </c>
      <c r="I2865" s="120">
        <v>45939</v>
      </c>
      <c r="J2865" s="120">
        <f>WORKDAY(I2865, 3)</f>
        <v>45944</v>
      </c>
      <c r="K2865" s="120">
        <v>45970</v>
      </c>
      <c r="L2865" s="120"/>
      <c r="M2865" s="120"/>
      <c r="N2865" s="29"/>
      <c r="O2865" s="119" t="s">
        <v>171</v>
      </c>
      <c r="P2865" s="120"/>
      <c r="Q2865" s="156"/>
      <c r="R2865" s="162"/>
    </row>
    <row r="2866" spans="1:18" hidden="1">
      <c r="A2866" s="134" t="s">
        <v>1436</v>
      </c>
      <c r="C2866" s="29">
        <v>282501594</v>
      </c>
      <c r="D2866" s="29"/>
      <c r="E2866" s="29"/>
      <c r="F2866" s="29" t="s">
        <v>88</v>
      </c>
      <c r="G2866" s="29" t="s">
        <v>1039</v>
      </c>
      <c r="H2866" s="29" t="s">
        <v>38</v>
      </c>
      <c r="I2866" s="120">
        <v>45939</v>
      </c>
      <c r="J2866" s="120">
        <f>WORKDAY(I2866, 3)</f>
        <v>45944</v>
      </c>
      <c r="K2866" s="120">
        <v>45970</v>
      </c>
      <c r="L2866" s="120"/>
      <c r="M2866" s="120"/>
      <c r="N2866" s="29"/>
      <c r="O2866" s="119" t="s">
        <v>171</v>
      </c>
      <c r="P2866" s="120"/>
      <c r="Q2866" s="156"/>
      <c r="R2866" s="162"/>
    </row>
    <row r="2867" spans="1:18" hidden="1">
      <c r="A2867" s="134" t="s">
        <v>1436</v>
      </c>
      <c r="C2867" s="29">
        <v>282501610</v>
      </c>
      <c r="D2867" s="29"/>
      <c r="E2867" s="29"/>
      <c r="F2867" s="29" t="s">
        <v>88</v>
      </c>
      <c r="G2867" s="29" t="s">
        <v>1039</v>
      </c>
      <c r="H2867" s="29" t="s">
        <v>38</v>
      </c>
      <c r="I2867" s="120">
        <v>45939</v>
      </c>
      <c r="J2867" s="120">
        <f>WORKDAY(I2867, 3)</f>
        <v>45944</v>
      </c>
      <c r="K2867" s="120">
        <v>45970</v>
      </c>
      <c r="L2867" s="120"/>
      <c r="M2867" s="120"/>
      <c r="N2867" s="29"/>
      <c r="O2867" s="119" t="s">
        <v>171</v>
      </c>
      <c r="P2867" s="120"/>
      <c r="Q2867" s="156"/>
      <c r="R2867" s="162"/>
    </row>
    <row r="2868" spans="1:18" hidden="1">
      <c r="A2868" s="134" t="s">
        <v>1436</v>
      </c>
      <c r="C2868" s="29">
        <v>282501615</v>
      </c>
      <c r="D2868" s="29"/>
      <c r="E2868" s="29"/>
      <c r="F2868" s="29" t="s">
        <v>88</v>
      </c>
      <c r="G2868" s="29" t="s">
        <v>1039</v>
      </c>
      <c r="H2868" s="29" t="s">
        <v>38</v>
      </c>
      <c r="I2868" s="120">
        <v>45939</v>
      </c>
      <c r="J2868" s="120">
        <f>WORKDAY(I2868, 3)</f>
        <v>45944</v>
      </c>
      <c r="K2868" s="120">
        <v>45970</v>
      </c>
      <c r="L2868" s="120"/>
      <c r="M2868" s="120"/>
      <c r="N2868" s="29"/>
      <c r="O2868" s="119" t="s">
        <v>171</v>
      </c>
      <c r="P2868" s="120"/>
      <c r="Q2868" s="156"/>
      <c r="R2868" s="162"/>
    </row>
    <row r="2869" spans="1:18" hidden="1">
      <c r="A2869" s="134" t="s">
        <v>1436</v>
      </c>
      <c r="C2869" s="29">
        <v>282501642</v>
      </c>
      <c r="D2869" s="29"/>
      <c r="E2869" s="29"/>
      <c r="F2869" s="29" t="s">
        <v>88</v>
      </c>
      <c r="G2869" s="29" t="s">
        <v>1039</v>
      </c>
      <c r="H2869" s="29" t="s">
        <v>38</v>
      </c>
      <c r="I2869" s="120">
        <v>45939</v>
      </c>
      <c r="J2869" s="120">
        <f>WORKDAY(I2869, 3)</f>
        <v>45944</v>
      </c>
      <c r="K2869" s="120">
        <v>45970</v>
      </c>
      <c r="L2869" s="120"/>
      <c r="M2869" s="120"/>
      <c r="N2869" s="29"/>
      <c r="O2869" s="119" t="s">
        <v>171</v>
      </c>
      <c r="P2869" s="120"/>
      <c r="Q2869" s="156"/>
      <c r="R2869" s="162"/>
    </row>
    <row r="2870" spans="1:18" hidden="1">
      <c r="A2870" s="134" t="s">
        <v>1436</v>
      </c>
      <c r="C2870" s="29">
        <v>282501648</v>
      </c>
      <c r="D2870" s="29"/>
      <c r="E2870" s="29"/>
      <c r="F2870" s="29" t="s">
        <v>88</v>
      </c>
      <c r="G2870" s="29" t="s">
        <v>1039</v>
      </c>
      <c r="H2870" s="29" t="s">
        <v>38</v>
      </c>
      <c r="I2870" s="120">
        <v>45939</v>
      </c>
      <c r="J2870" s="120">
        <f>WORKDAY(I2870, 3)</f>
        <v>45944</v>
      </c>
      <c r="K2870" s="120">
        <v>45970</v>
      </c>
      <c r="L2870" s="120"/>
      <c r="M2870" s="120"/>
      <c r="N2870" s="29"/>
      <c r="O2870" s="119" t="s">
        <v>171</v>
      </c>
      <c r="P2870" s="120"/>
      <c r="Q2870" s="156"/>
      <c r="R2870" s="162"/>
    </row>
    <row r="2871" spans="1:18" hidden="1">
      <c r="A2871" s="134" t="s">
        <v>1436</v>
      </c>
      <c r="C2871" s="29">
        <v>282501662</v>
      </c>
      <c r="D2871" s="29"/>
      <c r="E2871" s="29"/>
      <c r="F2871" s="29" t="s">
        <v>88</v>
      </c>
      <c r="G2871" s="29" t="s">
        <v>1039</v>
      </c>
      <c r="H2871" s="29" t="s">
        <v>38</v>
      </c>
      <c r="I2871" s="120">
        <v>45939</v>
      </c>
      <c r="J2871" s="120">
        <f>WORKDAY(I2871, 3)</f>
        <v>45944</v>
      </c>
      <c r="K2871" s="120">
        <v>45970</v>
      </c>
      <c r="L2871" s="120"/>
      <c r="M2871" s="120"/>
      <c r="N2871" s="29"/>
      <c r="O2871" s="119" t="s">
        <v>171</v>
      </c>
      <c r="P2871" s="120"/>
      <c r="Q2871" s="156"/>
      <c r="R2871" s="162"/>
    </row>
    <row r="2872" spans="1:18" hidden="1">
      <c r="A2872" s="134" t="s">
        <v>1436</v>
      </c>
      <c r="C2872" s="29">
        <v>282501673</v>
      </c>
      <c r="D2872" s="29"/>
      <c r="E2872" s="29"/>
      <c r="F2872" s="29" t="s">
        <v>88</v>
      </c>
      <c r="G2872" s="29" t="s">
        <v>1039</v>
      </c>
      <c r="H2872" s="29" t="s">
        <v>38</v>
      </c>
      <c r="I2872" s="120">
        <v>45939</v>
      </c>
      <c r="J2872" s="120">
        <f>WORKDAY(I2872, 3)</f>
        <v>45944</v>
      </c>
      <c r="K2872" s="120">
        <v>45970</v>
      </c>
      <c r="L2872" s="120"/>
      <c r="M2872" s="120"/>
      <c r="N2872" s="29"/>
      <c r="O2872" s="119" t="s">
        <v>171</v>
      </c>
      <c r="P2872" s="120"/>
      <c r="Q2872" s="156"/>
      <c r="R2872" s="162"/>
    </row>
    <row r="2873" spans="1:18" hidden="1">
      <c r="A2873" s="134" t="s">
        <v>1436</v>
      </c>
      <c r="C2873" s="29">
        <v>282501693</v>
      </c>
      <c r="D2873" s="29"/>
      <c r="E2873" s="29"/>
      <c r="F2873" s="29" t="s">
        <v>88</v>
      </c>
      <c r="G2873" s="29" t="s">
        <v>1039</v>
      </c>
      <c r="H2873" s="29" t="s">
        <v>38</v>
      </c>
      <c r="I2873" s="120">
        <v>45939</v>
      </c>
      <c r="J2873" s="120">
        <f>WORKDAY(I2873, 3)</f>
        <v>45944</v>
      </c>
      <c r="K2873" s="120">
        <v>45970</v>
      </c>
      <c r="L2873" s="120"/>
      <c r="M2873" s="120"/>
      <c r="N2873" s="29"/>
      <c r="O2873" s="119" t="s">
        <v>171</v>
      </c>
      <c r="P2873" s="120"/>
      <c r="Q2873" s="156"/>
      <c r="R2873" s="162"/>
    </row>
    <row r="2874" spans="1:18" hidden="1">
      <c r="A2874" s="134" t="s">
        <v>1436</v>
      </c>
      <c r="C2874" s="29">
        <v>282501708</v>
      </c>
      <c r="D2874" s="29"/>
      <c r="E2874" s="29"/>
      <c r="F2874" s="29" t="s">
        <v>88</v>
      </c>
      <c r="G2874" s="29" t="s">
        <v>1039</v>
      </c>
      <c r="H2874" s="29" t="s">
        <v>38</v>
      </c>
      <c r="I2874" s="120">
        <v>45939</v>
      </c>
      <c r="J2874" s="120">
        <f>WORKDAY(I2874, 3)</f>
        <v>45944</v>
      </c>
      <c r="K2874" s="120">
        <v>45970</v>
      </c>
      <c r="L2874" s="120"/>
      <c r="M2874" s="120"/>
      <c r="N2874" s="29"/>
      <c r="O2874" s="119" t="s">
        <v>171</v>
      </c>
      <c r="P2874" s="120"/>
      <c r="Q2874" s="156"/>
      <c r="R2874" s="162"/>
    </row>
    <row r="2875" spans="1:18" hidden="1">
      <c r="A2875" s="134" t="s">
        <v>1437</v>
      </c>
      <c r="C2875" s="29">
        <v>281502912</v>
      </c>
      <c r="D2875" s="29"/>
      <c r="E2875" s="29"/>
      <c r="F2875" s="29" t="s">
        <v>88</v>
      </c>
      <c r="G2875" s="29" t="s">
        <v>1039</v>
      </c>
      <c r="H2875" s="29" t="s">
        <v>38</v>
      </c>
      <c r="I2875" s="120">
        <v>45938</v>
      </c>
      <c r="J2875" s="120">
        <f>WORKDAY(I2875, 3)</f>
        <v>45943</v>
      </c>
      <c r="K2875" s="120">
        <v>45969</v>
      </c>
      <c r="L2875" s="120"/>
      <c r="M2875" s="120"/>
      <c r="N2875" s="29"/>
      <c r="O2875" s="119" t="s">
        <v>171</v>
      </c>
      <c r="P2875" s="120"/>
      <c r="Q2875" s="156"/>
      <c r="R2875" s="162"/>
    </row>
    <row r="2876" spans="1:18" hidden="1">
      <c r="A2876" s="134" t="s">
        <v>1437</v>
      </c>
      <c r="C2876" s="29">
        <v>281504002</v>
      </c>
      <c r="D2876" s="29"/>
      <c r="E2876" s="29"/>
      <c r="F2876" s="29" t="s">
        <v>88</v>
      </c>
      <c r="G2876" s="29" t="s">
        <v>1039</v>
      </c>
      <c r="H2876" s="29" t="s">
        <v>38</v>
      </c>
      <c r="I2876" s="120">
        <v>45938</v>
      </c>
      <c r="J2876" s="120">
        <f>WORKDAY(I2876, 3)</f>
        <v>45943</v>
      </c>
      <c r="K2876" s="120">
        <v>45969</v>
      </c>
      <c r="L2876" s="120"/>
      <c r="M2876" s="120"/>
      <c r="N2876" s="29"/>
      <c r="O2876" s="119" t="s">
        <v>171</v>
      </c>
      <c r="P2876" s="120"/>
      <c r="Q2876" s="156"/>
      <c r="R2876" s="162"/>
    </row>
    <row r="2877" spans="1:18" hidden="1">
      <c r="A2877" s="134" t="s">
        <v>1437</v>
      </c>
      <c r="C2877" s="29">
        <v>281503991</v>
      </c>
      <c r="D2877" s="29"/>
      <c r="E2877" s="29"/>
      <c r="F2877" s="29" t="s">
        <v>88</v>
      </c>
      <c r="G2877" s="29" t="s">
        <v>1039</v>
      </c>
      <c r="H2877" s="29" t="s">
        <v>38</v>
      </c>
      <c r="I2877" s="120">
        <v>45938</v>
      </c>
      <c r="J2877" s="120">
        <f>WORKDAY(I2877, 3)</f>
        <v>45943</v>
      </c>
      <c r="K2877" s="120">
        <v>45969</v>
      </c>
      <c r="L2877" s="120"/>
      <c r="M2877" s="120"/>
      <c r="N2877" s="29"/>
      <c r="O2877" s="119" t="s">
        <v>171</v>
      </c>
      <c r="P2877" s="120"/>
      <c r="Q2877" s="156"/>
      <c r="R2877" s="162"/>
    </row>
    <row r="2878" spans="1:18" hidden="1">
      <c r="A2878" s="134" t="s">
        <v>1437</v>
      </c>
      <c r="C2878" s="29">
        <v>281503976</v>
      </c>
      <c r="D2878" s="29"/>
      <c r="E2878" s="29"/>
      <c r="F2878" s="29" t="s">
        <v>88</v>
      </c>
      <c r="G2878" s="29" t="s">
        <v>1039</v>
      </c>
      <c r="H2878" s="29" t="s">
        <v>38</v>
      </c>
      <c r="I2878" s="120">
        <v>45938</v>
      </c>
      <c r="J2878" s="120">
        <f>WORKDAY(I2878, 3)</f>
        <v>45943</v>
      </c>
      <c r="K2878" s="120">
        <v>45969</v>
      </c>
      <c r="L2878" s="120"/>
      <c r="M2878" s="120"/>
      <c r="N2878" s="29"/>
      <c r="O2878" s="119" t="s">
        <v>171</v>
      </c>
      <c r="P2878" s="120"/>
      <c r="Q2878" s="156"/>
      <c r="R2878" s="162"/>
    </row>
    <row r="2879" spans="1:18" hidden="1">
      <c r="A2879" s="134" t="s">
        <v>1437</v>
      </c>
      <c r="C2879" s="29">
        <v>281503840</v>
      </c>
      <c r="D2879" s="29"/>
      <c r="E2879" s="29"/>
      <c r="F2879" s="29" t="s">
        <v>88</v>
      </c>
      <c r="G2879" s="29" t="s">
        <v>1039</v>
      </c>
      <c r="H2879" s="29" t="s">
        <v>38</v>
      </c>
      <c r="I2879" s="120">
        <v>45938</v>
      </c>
      <c r="J2879" s="120">
        <f>WORKDAY(I2879, 3)</f>
        <v>45943</v>
      </c>
      <c r="K2879" s="120">
        <v>45969</v>
      </c>
      <c r="L2879" s="120"/>
      <c r="M2879" s="120"/>
      <c r="N2879" s="29"/>
      <c r="O2879" s="119" t="s">
        <v>171</v>
      </c>
      <c r="P2879" s="120"/>
      <c r="Q2879" s="156"/>
      <c r="R2879" s="162"/>
    </row>
    <row r="2880" spans="1:18" hidden="1">
      <c r="A2880" s="134" t="s">
        <v>1437</v>
      </c>
      <c r="C2880" s="29">
        <v>281503852</v>
      </c>
      <c r="D2880" s="29"/>
      <c r="E2880" s="29"/>
      <c r="F2880" s="29" t="s">
        <v>88</v>
      </c>
      <c r="G2880" s="29" t="s">
        <v>1039</v>
      </c>
      <c r="H2880" s="29" t="s">
        <v>38</v>
      </c>
      <c r="I2880" s="120">
        <v>45938</v>
      </c>
      <c r="J2880" s="120">
        <f>WORKDAY(I2880, 3)</f>
        <v>45943</v>
      </c>
      <c r="K2880" s="120">
        <v>45969</v>
      </c>
      <c r="L2880" s="120"/>
      <c r="M2880" s="120"/>
      <c r="N2880" s="29"/>
      <c r="O2880" s="119" t="s">
        <v>171</v>
      </c>
      <c r="P2880" s="120"/>
      <c r="Q2880" s="156"/>
      <c r="R2880" s="162"/>
    </row>
    <row r="2881" spans="1:18" hidden="1">
      <c r="A2881" s="134" t="s">
        <v>1437</v>
      </c>
      <c r="C2881" s="29">
        <v>281503855</v>
      </c>
      <c r="D2881" s="29"/>
      <c r="E2881" s="29"/>
      <c r="F2881" s="29" t="s">
        <v>88</v>
      </c>
      <c r="G2881" s="29" t="s">
        <v>1039</v>
      </c>
      <c r="H2881" s="29" t="s">
        <v>38</v>
      </c>
      <c r="I2881" s="120">
        <v>45938</v>
      </c>
      <c r="J2881" s="120">
        <f>WORKDAY(I2881, 3)</f>
        <v>45943</v>
      </c>
      <c r="K2881" s="120">
        <v>45969</v>
      </c>
      <c r="L2881" s="120"/>
      <c r="M2881" s="120"/>
      <c r="N2881" s="29"/>
      <c r="O2881" s="119" t="s">
        <v>171</v>
      </c>
      <c r="P2881" s="120"/>
      <c r="Q2881" s="156"/>
      <c r="R2881" s="162"/>
    </row>
    <row r="2882" spans="1:18" hidden="1">
      <c r="A2882" s="134" t="s">
        <v>1437</v>
      </c>
      <c r="C2882" s="29">
        <v>281503879</v>
      </c>
      <c r="D2882" s="29"/>
      <c r="E2882" s="29"/>
      <c r="F2882" s="29" t="s">
        <v>88</v>
      </c>
      <c r="G2882" s="29" t="s">
        <v>1039</v>
      </c>
      <c r="H2882" s="29" t="s">
        <v>38</v>
      </c>
      <c r="I2882" s="120">
        <v>45938</v>
      </c>
      <c r="J2882" s="120">
        <f>WORKDAY(I2882, 3)</f>
        <v>45943</v>
      </c>
      <c r="K2882" s="120">
        <v>45969</v>
      </c>
      <c r="L2882" s="120"/>
      <c r="M2882" s="120"/>
      <c r="N2882" s="29"/>
      <c r="O2882" s="119" t="s">
        <v>171</v>
      </c>
      <c r="P2882" s="120"/>
      <c r="Q2882" s="156"/>
      <c r="R2882" s="162"/>
    </row>
    <row r="2883" spans="1:18" hidden="1">
      <c r="A2883" s="134" t="s">
        <v>1437</v>
      </c>
      <c r="C2883" s="29">
        <v>281503891</v>
      </c>
      <c r="D2883" s="29"/>
      <c r="E2883" s="29"/>
      <c r="F2883" s="29" t="s">
        <v>88</v>
      </c>
      <c r="G2883" s="29" t="s">
        <v>1039</v>
      </c>
      <c r="H2883" s="29" t="s">
        <v>38</v>
      </c>
      <c r="I2883" s="120">
        <v>45938</v>
      </c>
      <c r="J2883" s="120">
        <f>WORKDAY(I2883, 3)</f>
        <v>45943</v>
      </c>
      <c r="K2883" s="120">
        <v>45969</v>
      </c>
      <c r="L2883" s="120"/>
      <c r="M2883" s="120"/>
      <c r="N2883" s="29"/>
      <c r="O2883" s="119" t="s">
        <v>171</v>
      </c>
      <c r="P2883" s="120"/>
      <c r="Q2883" s="156"/>
      <c r="R2883" s="162"/>
    </row>
    <row r="2884" spans="1:18" hidden="1">
      <c r="A2884" s="134" t="s">
        <v>1437</v>
      </c>
      <c r="C2884" s="29">
        <v>281503907</v>
      </c>
      <c r="D2884" s="29"/>
      <c r="E2884" s="29"/>
      <c r="F2884" s="29" t="s">
        <v>88</v>
      </c>
      <c r="G2884" s="29" t="s">
        <v>1039</v>
      </c>
      <c r="H2884" s="29" t="s">
        <v>38</v>
      </c>
      <c r="I2884" s="120">
        <v>45938</v>
      </c>
      <c r="J2884" s="120">
        <f>WORKDAY(I2884, 3)</f>
        <v>45943</v>
      </c>
      <c r="K2884" s="120">
        <v>45969</v>
      </c>
      <c r="L2884" s="120"/>
      <c r="M2884" s="120"/>
      <c r="N2884" s="29"/>
      <c r="O2884" s="119" t="s">
        <v>171</v>
      </c>
      <c r="P2884" s="120"/>
      <c r="Q2884" s="156"/>
      <c r="R2884" s="162"/>
    </row>
    <row r="2885" spans="1:18" hidden="1">
      <c r="A2885" s="134" t="s">
        <v>1437</v>
      </c>
      <c r="C2885" s="29">
        <v>281503924</v>
      </c>
      <c r="D2885" s="29"/>
      <c r="E2885" s="29"/>
      <c r="F2885" s="29" t="s">
        <v>88</v>
      </c>
      <c r="G2885" s="29" t="s">
        <v>1039</v>
      </c>
      <c r="H2885" s="29" t="s">
        <v>38</v>
      </c>
      <c r="I2885" s="120">
        <v>45938</v>
      </c>
      <c r="J2885" s="120">
        <f>WORKDAY(I2885, 3)</f>
        <v>45943</v>
      </c>
      <c r="K2885" s="120">
        <v>45969</v>
      </c>
      <c r="L2885" s="120"/>
      <c r="M2885" s="120"/>
      <c r="N2885" s="29"/>
      <c r="O2885" s="119" t="s">
        <v>171</v>
      </c>
      <c r="P2885" s="120"/>
      <c r="Q2885" s="156"/>
      <c r="R2885" s="162"/>
    </row>
    <row r="2886" spans="1:18" hidden="1">
      <c r="A2886" s="134" t="s">
        <v>1437</v>
      </c>
      <c r="C2886" s="29">
        <v>281503941</v>
      </c>
      <c r="D2886" s="29"/>
      <c r="E2886" s="29"/>
      <c r="F2886" s="29" t="s">
        <v>88</v>
      </c>
      <c r="G2886" s="29" t="s">
        <v>1039</v>
      </c>
      <c r="H2886" s="29" t="s">
        <v>38</v>
      </c>
      <c r="I2886" s="120">
        <v>45938</v>
      </c>
      <c r="J2886" s="120">
        <f>WORKDAY(I2886, 3)</f>
        <v>45943</v>
      </c>
      <c r="K2886" s="120">
        <v>45969</v>
      </c>
      <c r="L2886" s="120"/>
      <c r="M2886" s="120"/>
      <c r="N2886" s="29"/>
      <c r="O2886" s="119" t="s">
        <v>171</v>
      </c>
      <c r="P2886" s="120"/>
      <c r="Q2886" s="156"/>
      <c r="R2886" s="162"/>
    </row>
    <row r="2887" spans="1:18" hidden="1">
      <c r="A2887" s="134" t="s">
        <v>1437</v>
      </c>
      <c r="C2887" s="29">
        <v>281503954</v>
      </c>
      <c r="D2887" s="29"/>
      <c r="E2887" s="29"/>
      <c r="F2887" s="29" t="s">
        <v>88</v>
      </c>
      <c r="G2887" s="29" t="s">
        <v>1039</v>
      </c>
      <c r="H2887" s="29" t="s">
        <v>38</v>
      </c>
      <c r="I2887" s="120">
        <v>45938</v>
      </c>
      <c r="J2887" s="120">
        <f>WORKDAY(I2887, 3)</f>
        <v>45943</v>
      </c>
      <c r="K2887" s="120">
        <v>45969</v>
      </c>
      <c r="L2887" s="120"/>
      <c r="M2887" s="120"/>
      <c r="N2887" s="29"/>
      <c r="O2887" s="119" t="s">
        <v>171</v>
      </c>
      <c r="P2887" s="120"/>
      <c r="Q2887" s="156"/>
      <c r="R2887" s="162"/>
    </row>
    <row r="2888" spans="1:18" hidden="1">
      <c r="A2888" s="134" t="s">
        <v>1437</v>
      </c>
      <c r="C2888" s="29">
        <v>281503964</v>
      </c>
      <c r="D2888" s="29"/>
      <c r="E2888" s="29"/>
      <c r="F2888" s="29" t="s">
        <v>88</v>
      </c>
      <c r="G2888" s="29" t="s">
        <v>1039</v>
      </c>
      <c r="H2888" s="29" t="s">
        <v>38</v>
      </c>
      <c r="I2888" s="120">
        <v>45938</v>
      </c>
      <c r="J2888" s="120">
        <f>WORKDAY(I2888, 3)</f>
        <v>45943</v>
      </c>
      <c r="K2888" s="120">
        <v>45969</v>
      </c>
      <c r="L2888" s="120"/>
      <c r="M2888" s="120"/>
      <c r="N2888" s="29"/>
      <c r="O2888" s="119" t="s">
        <v>171</v>
      </c>
      <c r="P2888" s="120"/>
      <c r="Q2888" s="156"/>
      <c r="R2888" s="162"/>
    </row>
    <row r="2889" spans="1:18" hidden="1">
      <c r="A2889" s="134" t="s">
        <v>1437</v>
      </c>
      <c r="C2889" s="29">
        <v>281503372</v>
      </c>
      <c r="D2889" s="29"/>
      <c r="E2889" s="29"/>
      <c r="F2889" s="29" t="s">
        <v>88</v>
      </c>
      <c r="G2889" s="29" t="s">
        <v>1039</v>
      </c>
      <c r="H2889" s="29" t="s">
        <v>38</v>
      </c>
      <c r="I2889" s="120">
        <v>45938</v>
      </c>
      <c r="J2889" s="120">
        <f>WORKDAY(I2889, 3)</f>
        <v>45943</v>
      </c>
      <c r="K2889" s="120">
        <v>45969</v>
      </c>
      <c r="L2889" s="120"/>
      <c r="M2889" s="120"/>
      <c r="N2889" s="29"/>
      <c r="O2889" s="119" t="s">
        <v>171</v>
      </c>
      <c r="P2889" s="120"/>
      <c r="Q2889" s="156"/>
      <c r="R2889" s="162"/>
    </row>
    <row r="2890" spans="1:18" hidden="1">
      <c r="A2890" s="134" t="s">
        <v>1437</v>
      </c>
      <c r="C2890" s="29">
        <v>281503396</v>
      </c>
      <c r="D2890" s="29"/>
      <c r="E2890" s="29"/>
      <c r="F2890" s="29" t="s">
        <v>88</v>
      </c>
      <c r="G2890" s="29" t="s">
        <v>1039</v>
      </c>
      <c r="H2890" s="29" t="s">
        <v>38</v>
      </c>
      <c r="I2890" s="120">
        <v>45938</v>
      </c>
      <c r="J2890" s="120">
        <f>WORKDAY(I2890, 3)</f>
        <v>45943</v>
      </c>
      <c r="K2890" s="120">
        <v>45969</v>
      </c>
      <c r="L2890" s="120"/>
      <c r="M2890" s="120"/>
      <c r="N2890" s="29"/>
      <c r="O2890" s="119" t="s">
        <v>171</v>
      </c>
      <c r="P2890" s="120"/>
      <c r="Q2890" s="156"/>
      <c r="R2890" s="162"/>
    </row>
    <row r="2891" spans="1:18" hidden="1">
      <c r="A2891" s="134" t="s">
        <v>1437</v>
      </c>
      <c r="C2891" s="29">
        <v>281503422</v>
      </c>
      <c r="D2891" s="29"/>
      <c r="E2891" s="29"/>
      <c r="F2891" s="29" t="s">
        <v>88</v>
      </c>
      <c r="G2891" s="29" t="s">
        <v>1039</v>
      </c>
      <c r="H2891" s="29" t="s">
        <v>38</v>
      </c>
      <c r="I2891" s="120">
        <v>45938</v>
      </c>
      <c r="J2891" s="120">
        <f>WORKDAY(I2891, 3)</f>
        <v>45943</v>
      </c>
      <c r="K2891" s="120">
        <v>45969</v>
      </c>
      <c r="L2891" s="120"/>
      <c r="M2891" s="120"/>
      <c r="N2891" s="29"/>
      <c r="O2891" s="119" t="s">
        <v>171</v>
      </c>
      <c r="P2891" s="120"/>
      <c r="Q2891" s="156"/>
      <c r="R2891" s="162"/>
    </row>
    <row r="2892" spans="1:18" hidden="1">
      <c r="A2892" s="134" t="s">
        <v>1437</v>
      </c>
      <c r="C2892" s="29">
        <v>281503471</v>
      </c>
      <c r="D2892" s="29"/>
      <c r="E2892" s="29"/>
      <c r="F2892" s="29" t="s">
        <v>88</v>
      </c>
      <c r="G2892" s="29" t="s">
        <v>1039</v>
      </c>
      <c r="H2892" s="29" t="s">
        <v>38</v>
      </c>
      <c r="I2892" s="120">
        <v>45938</v>
      </c>
      <c r="J2892" s="120">
        <f>WORKDAY(I2892, 3)</f>
        <v>45943</v>
      </c>
      <c r="K2892" s="120">
        <v>45969</v>
      </c>
      <c r="L2892" s="120"/>
      <c r="M2892" s="120"/>
      <c r="N2892" s="29"/>
      <c r="O2892" s="119" t="s">
        <v>171</v>
      </c>
      <c r="P2892" s="120"/>
      <c r="Q2892" s="156"/>
      <c r="R2892" s="162"/>
    </row>
    <row r="2893" spans="1:18" hidden="1">
      <c r="A2893" s="134" t="s">
        <v>1437</v>
      </c>
      <c r="C2893" s="29">
        <v>281503500</v>
      </c>
      <c r="D2893" s="29"/>
      <c r="E2893" s="29"/>
      <c r="F2893" s="29" t="s">
        <v>88</v>
      </c>
      <c r="G2893" s="29" t="s">
        <v>1039</v>
      </c>
      <c r="H2893" s="29" t="s">
        <v>38</v>
      </c>
      <c r="I2893" s="120">
        <v>45938</v>
      </c>
      <c r="J2893" s="120">
        <f>WORKDAY(I2893, 3)</f>
        <v>45943</v>
      </c>
      <c r="K2893" s="120">
        <v>45969</v>
      </c>
      <c r="L2893" s="120"/>
      <c r="M2893" s="120"/>
      <c r="N2893" s="29"/>
      <c r="O2893" s="119" t="s">
        <v>171</v>
      </c>
      <c r="P2893" s="120"/>
      <c r="Q2893" s="156"/>
      <c r="R2893" s="162"/>
    </row>
    <row r="2894" spans="1:18" hidden="1">
      <c r="A2894" s="134" t="s">
        <v>1437</v>
      </c>
      <c r="C2894" s="29">
        <v>281503513</v>
      </c>
      <c r="D2894" s="29"/>
      <c r="E2894" s="29"/>
      <c r="F2894" s="29" t="s">
        <v>88</v>
      </c>
      <c r="G2894" s="29" t="s">
        <v>1039</v>
      </c>
      <c r="H2894" s="29" t="s">
        <v>38</v>
      </c>
      <c r="I2894" s="120">
        <v>45938</v>
      </c>
      <c r="J2894" s="120">
        <f>WORKDAY(I2894, 3)</f>
        <v>45943</v>
      </c>
      <c r="K2894" s="120">
        <v>45969</v>
      </c>
      <c r="L2894" s="120"/>
      <c r="M2894" s="120"/>
      <c r="N2894" s="29"/>
      <c r="O2894" s="119" t="s">
        <v>171</v>
      </c>
      <c r="P2894" s="120"/>
      <c r="Q2894" s="156"/>
      <c r="R2894" s="162"/>
    </row>
    <row r="2895" spans="1:18" hidden="1">
      <c r="A2895" s="134" t="s">
        <v>1437</v>
      </c>
      <c r="C2895" s="29">
        <v>281503519</v>
      </c>
      <c r="D2895" s="29"/>
      <c r="E2895" s="29"/>
      <c r="F2895" s="29" t="s">
        <v>88</v>
      </c>
      <c r="G2895" s="29" t="s">
        <v>1039</v>
      </c>
      <c r="H2895" s="29" t="s">
        <v>38</v>
      </c>
      <c r="I2895" s="120">
        <v>45938</v>
      </c>
      <c r="J2895" s="120">
        <f>WORKDAY(I2895, 3)</f>
        <v>45943</v>
      </c>
      <c r="K2895" s="120">
        <v>45969</v>
      </c>
      <c r="L2895" s="120"/>
      <c r="M2895" s="120"/>
      <c r="N2895" s="29"/>
      <c r="O2895" s="119" t="s">
        <v>171</v>
      </c>
      <c r="P2895" s="120"/>
      <c r="Q2895" s="156"/>
      <c r="R2895" s="162"/>
    </row>
    <row r="2896" spans="1:18" hidden="1">
      <c r="A2896" s="134" t="s">
        <v>1437</v>
      </c>
      <c r="C2896" s="29">
        <v>281503810</v>
      </c>
      <c r="D2896" s="29"/>
      <c r="E2896" s="29"/>
      <c r="F2896" s="29" t="s">
        <v>88</v>
      </c>
      <c r="G2896" s="29" t="s">
        <v>1039</v>
      </c>
      <c r="H2896" s="29" t="s">
        <v>38</v>
      </c>
      <c r="I2896" s="120">
        <v>45938</v>
      </c>
      <c r="J2896" s="120">
        <f>WORKDAY(I2896, 3)</f>
        <v>45943</v>
      </c>
      <c r="K2896" s="120">
        <v>45969</v>
      </c>
      <c r="L2896" s="120"/>
      <c r="M2896" s="120"/>
      <c r="N2896" s="29"/>
      <c r="O2896" s="119" t="s">
        <v>171</v>
      </c>
      <c r="P2896" s="120"/>
      <c r="Q2896" s="156"/>
      <c r="R2896" s="162"/>
    </row>
    <row r="2897" spans="1:18" hidden="1">
      <c r="A2897" s="134" t="s">
        <v>1437</v>
      </c>
      <c r="C2897" s="29">
        <v>281503826</v>
      </c>
      <c r="D2897" s="29"/>
      <c r="E2897" s="29"/>
      <c r="F2897" s="29" t="s">
        <v>88</v>
      </c>
      <c r="G2897" s="29" t="s">
        <v>1039</v>
      </c>
      <c r="H2897" s="29" t="s">
        <v>38</v>
      </c>
      <c r="I2897" s="120">
        <v>45938</v>
      </c>
      <c r="J2897" s="120">
        <f>WORKDAY(I2897, 3)</f>
        <v>45943</v>
      </c>
      <c r="K2897" s="120">
        <v>45969</v>
      </c>
      <c r="L2897" s="120"/>
      <c r="M2897" s="120"/>
      <c r="N2897" s="29"/>
      <c r="O2897" s="119" t="s">
        <v>171</v>
      </c>
      <c r="P2897" s="120"/>
      <c r="Q2897" s="156"/>
      <c r="R2897" s="162"/>
    </row>
    <row r="2898" spans="1:18" hidden="1">
      <c r="A2898" s="134" t="s">
        <v>1437</v>
      </c>
      <c r="C2898" s="29">
        <v>281503061</v>
      </c>
      <c r="D2898" s="29"/>
      <c r="E2898" s="29"/>
      <c r="F2898" s="29" t="s">
        <v>88</v>
      </c>
      <c r="G2898" s="29" t="s">
        <v>1039</v>
      </c>
      <c r="H2898" s="29" t="s">
        <v>38</v>
      </c>
      <c r="I2898" s="120">
        <v>45938</v>
      </c>
      <c r="J2898" s="120">
        <f>WORKDAY(I2898, 3)</f>
        <v>45943</v>
      </c>
      <c r="K2898" s="120">
        <v>45969</v>
      </c>
      <c r="L2898" s="120"/>
      <c r="M2898" s="120"/>
      <c r="N2898" s="29"/>
      <c r="O2898" s="119" t="s">
        <v>171</v>
      </c>
      <c r="P2898" s="120"/>
      <c r="Q2898" s="156"/>
      <c r="R2898" s="162"/>
    </row>
    <row r="2899" spans="1:18" hidden="1">
      <c r="A2899" s="134" t="s">
        <v>1437</v>
      </c>
      <c r="C2899" s="29">
        <v>281503070</v>
      </c>
      <c r="D2899" s="29"/>
      <c r="E2899" s="29"/>
      <c r="F2899" s="29" t="s">
        <v>88</v>
      </c>
      <c r="G2899" s="29" t="s">
        <v>1039</v>
      </c>
      <c r="H2899" s="29" t="s">
        <v>38</v>
      </c>
      <c r="I2899" s="120">
        <v>45938</v>
      </c>
      <c r="J2899" s="120">
        <f>WORKDAY(I2899, 3)</f>
        <v>45943</v>
      </c>
      <c r="K2899" s="120">
        <v>45969</v>
      </c>
      <c r="L2899" s="120"/>
      <c r="M2899" s="120"/>
      <c r="N2899" s="29"/>
      <c r="O2899" s="119" t="s">
        <v>171</v>
      </c>
      <c r="P2899" s="120"/>
      <c r="Q2899" s="156"/>
      <c r="R2899" s="162"/>
    </row>
    <row r="2900" spans="1:18" hidden="1">
      <c r="A2900" s="134" t="s">
        <v>1437</v>
      </c>
      <c r="C2900" s="29">
        <v>281503079</v>
      </c>
      <c r="D2900" s="29"/>
      <c r="E2900" s="29"/>
      <c r="F2900" s="29" t="s">
        <v>88</v>
      </c>
      <c r="G2900" s="29" t="s">
        <v>1039</v>
      </c>
      <c r="H2900" s="29" t="s">
        <v>38</v>
      </c>
      <c r="I2900" s="120">
        <v>45938</v>
      </c>
      <c r="J2900" s="120">
        <f>WORKDAY(I2900, 3)</f>
        <v>45943</v>
      </c>
      <c r="K2900" s="120">
        <v>45969</v>
      </c>
      <c r="L2900" s="120"/>
      <c r="M2900" s="120"/>
      <c r="N2900" s="29"/>
      <c r="O2900" s="119" t="s">
        <v>171</v>
      </c>
      <c r="P2900" s="120"/>
      <c r="Q2900" s="156"/>
      <c r="R2900" s="162"/>
    </row>
    <row r="2901" spans="1:18" hidden="1">
      <c r="A2901" s="134" t="s">
        <v>1437</v>
      </c>
      <c r="C2901" s="29">
        <v>281503095</v>
      </c>
      <c r="D2901" s="29"/>
      <c r="E2901" s="29"/>
      <c r="F2901" s="29" t="s">
        <v>88</v>
      </c>
      <c r="G2901" s="29" t="s">
        <v>1039</v>
      </c>
      <c r="H2901" s="29" t="s">
        <v>38</v>
      </c>
      <c r="I2901" s="120">
        <v>45938</v>
      </c>
      <c r="J2901" s="120">
        <f>WORKDAY(I2901, 3)</f>
        <v>45943</v>
      </c>
      <c r="K2901" s="120">
        <v>45969</v>
      </c>
      <c r="L2901" s="120"/>
      <c r="M2901" s="120"/>
      <c r="N2901" s="29"/>
      <c r="O2901" s="119" t="s">
        <v>171</v>
      </c>
      <c r="P2901" s="120"/>
      <c r="Q2901" s="156"/>
      <c r="R2901" s="162"/>
    </row>
    <row r="2902" spans="1:18" hidden="1">
      <c r="A2902" s="134" t="s">
        <v>1437</v>
      </c>
      <c r="C2902" s="29">
        <v>281503103</v>
      </c>
      <c r="D2902" s="29"/>
      <c r="E2902" s="29"/>
      <c r="F2902" s="29" t="s">
        <v>88</v>
      </c>
      <c r="G2902" s="29" t="s">
        <v>1039</v>
      </c>
      <c r="H2902" s="29" t="s">
        <v>38</v>
      </c>
      <c r="I2902" s="120">
        <v>45938</v>
      </c>
      <c r="J2902" s="120">
        <f>WORKDAY(I2902, 3)</f>
        <v>45943</v>
      </c>
      <c r="K2902" s="120">
        <v>45969</v>
      </c>
      <c r="L2902" s="120"/>
      <c r="M2902" s="120"/>
      <c r="N2902" s="29"/>
      <c r="O2902" s="119" t="s">
        <v>171</v>
      </c>
      <c r="P2902" s="120"/>
      <c r="Q2902" s="156"/>
      <c r="R2902" s="162"/>
    </row>
    <row r="2903" spans="1:18" hidden="1">
      <c r="A2903" s="134" t="s">
        <v>1437</v>
      </c>
      <c r="C2903" s="29">
        <v>281503114</v>
      </c>
      <c r="D2903" s="29"/>
      <c r="E2903" s="29"/>
      <c r="F2903" s="29" t="s">
        <v>88</v>
      </c>
      <c r="G2903" s="29" t="s">
        <v>1039</v>
      </c>
      <c r="H2903" s="29" t="s">
        <v>38</v>
      </c>
      <c r="I2903" s="120">
        <v>45938</v>
      </c>
      <c r="J2903" s="120">
        <f>WORKDAY(I2903, 3)</f>
        <v>45943</v>
      </c>
      <c r="K2903" s="120">
        <v>45969</v>
      </c>
      <c r="L2903" s="120"/>
      <c r="M2903" s="120"/>
      <c r="N2903" s="29"/>
      <c r="O2903" s="119" t="s">
        <v>171</v>
      </c>
      <c r="P2903" s="120"/>
      <c r="Q2903" s="156"/>
      <c r="R2903" s="162"/>
    </row>
    <row r="2904" spans="1:18" hidden="1">
      <c r="A2904" s="134" t="s">
        <v>1437</v>
      </c>
      <c r="C2904" s="29">
        <v>281503221</v>
      </c>
      <c r="D2904" s="29"/>
      <c r="E2904" s="29"/>
      <c r="F2904" s="29" t="s">
        <v>88</v>
      </c>
      <c r="G2904" s="29" t="s">
        <v>1039</v>
      </c>
      <c r="H2904" s="29" t="s">
        <v>38</v>
      </c>
      <c r="I2904" s="120">
        <v>45938</v>
      </c>
      <c r="J2904" s="120">
        <f>WORKDAY(I2904, 3)</f>
        <v>45943</v>
      </c>
      <c r="K2904" s="120">
        <v>45969</v>
      </c>
      <c r="L2904" s="120"/>
      <c r="M2904" s="120"/>
      <c r="N2904" s="29"/>
      <c r="O2904" s="119" t="s">
        <v>171</v>
      </c>
      <c r="P2904" s="120"/>
      <c r="Q2904" s="156"/>
      <c r="R2904" s="162"/>
    </row>
    <row r="2905" spans="1:18" hidden="1">
      <c r="A2905" s="134" t="s">
        <v>1437</v>
      </c>
      <c r="C2905" s="29">
        <v>281503241</v>
      </c>
      <c r="D2905" s="29"/>
      <c r="E2905" s="29"/>
      <c r="F2905" s="29" t="s">
        <v>88</v>
      </c>
      <c r="G2905" s="29" t="s">
        <v>1039</v>
      </c>
      <c r="H2905" s="29" t="s">
        <v>38</v>
      </c>
      <c r="I2905" s="120">
        <v>45938</v>
      </c>
      <c r="J2905" s="120">
        <f>WORKDAY(I2905, 3)</f>
        <v>45943</v>
      </c>
      <c r="K2905" s="120">
        <v>45969</v>
      </c>
      <c r="L2905" s="120"/>
      <c r="M2905" s="120"/>
      <c r="N2905" s="29"/>
      <c r="O2905" s="119" t="s">
        <v>171</v>
      </c>
      <c r="P2905" s="120"/>
      <c r="Q2905" s="156"/>
      <c r="R2905" s="162"/>
    </row>
    <row r="2906" spans="1:18" hidden="1">
      <c r="A2906" s="134" t="s">
        <v>1437</v>
      </c>
      <c r="C2906" s="29">
        <v>281503265</v>
      </c>
      <c r="D2906" s="29"/>
      <c r="E2906" s="29"/>
      <c r="F2906" s="29" t="s">
        <v>88</v>
      </c>
      <c r="G2906" s="29" t="s">
        <v>1039</v>
      </c>
      <c r="H2906" s="29" t="s">
        <v>38</v>
      </c>
      <c r="I2906" s="120">
        <v>45938</v>
      </c>
      <c r="J2906" s="120">
        <f>WORKDAY(I2906, 3)</f>
        <v>45943</v>
      </c>
      <c r="K2906" s="120">
        <v>45969</v>
      </c>
      <c r="L2906" s="120"/>
      <c r="M2906" s="120"/>
      <c r="N2906" s="29"/>
      <c r="O2906" s="119" t="s">
        <v>171</v>
      </c>
      <c r="P2906" s="120"/>
      <c r="Q2906" s="156"/>
      <c r="R2906" s="162"/>
    </row>
    <row r="2907" spans="1:18" hidden="1">
      <c r="A2907" s="134" t="s">
        <v>1437</v>
      </c>
      <c r="C2907" s="29">
        <v>281503331</v>
      </c>
      <c r="D2907" s="29"/>
      <c r="E2907" s="29"/>
      <c r="F2907" s="29" t="s">
        <v>88</v>
      </c>
      <c r="G2907" s="29" t="s">
        <v>1039</v>
      </c>
      <c r="H2907" s="29" t="s">
        <v>38</v>
      </c>
      <c r="I2907" s="120">
        <v>45938</v>
      </c>
      <c r="J2907" s="120">
        <f>WORKDAY(I2907, 3)</f>
        <v>45943</v>
      </c>
      <c r="K2907" s="120">
        <v>45969</v>
      </c>
      <c r="L2907" s="120"/>
      <c r="M2907" s="120"/>
      <c r="N2907" s="29"/>
      <c r="O2907" s="119" t="s">
        <v>171</v>
      </c>
      <c r="P2907" s="120"/>
      <c r="Q2907" s="156"/>
      <c r="R2907" s="162"/>
    </row>
    <row r="2908" spans="1:18" hidden="1">
      <c r="A2908" s="134" t="s">
        <v>1437</v>
      </c>
      <c r="C2908" s="29">
        <v>281503345</v>
      </c>
      <c r="D2908" s="29"/>
      <c r="E2908" s="29"/>
      <c r="F2908" s="29" t="s">
        <v>88</v>
      </c>
      <c r="G2908" s="29" t="s">
        <v>1039</v>
      </c>
      <c r="H2908" s="29" t="s">
        <v>38</v>
      </c>
      <c r="I2908" s="120">
        <v>45938</v>
      </c>
      <c r="J2908" s="120">
        <f>WORKDAY(I2908, 3)</f>
        <v>45943</v>
      </c>
      <c r="K2908" s="120">
        <v>45969</v>
      </c>
      <c r="L2908" s="120"/>
      <c r="M2908" s="120"/>
      <c r="N2908" s="29"/>
      <c r="O2908" s="119" t="s">
        <v>171</v>
      </c>
      <c r="P2908" s="120"/>
      <c r="Q2908" s="156"/>
      <c r="R2908" s="162"/>
    </row>
    <row r="2909" spans="1:18" hidden="1">
      <c r="A2909" s="134" t="s">
        <v>1437</v>
      </c>
      <c r="C2909" s="29">
        <v>281503036</v>
      </c>
      <c r="D2909" s="29"/>
      <c r="E2909" s="29"/>
      <c r="F2909" s="29" t="s">
        <v>88</v>
      </c>
      <c r="G2909" s="29" t="s">
        <v>1039</v>
      </c>
      <c r="H2909" s="29" t="s">
        <v>38</v>
      </c>
      <c r="I2909" s="120">
        <v>45938</v>
      </c>
      <c r="J2909" s="120">
        <f>WORKDAY(I2909, 3)</f>
        <v>45943</v>
      </c>
      <c r="K2909" s="120">
        <v>45969</v>
      </c>
      <c r="L2909" s="120"/>
      <c r="M2909" s="120"/>
      <c r="N2909" s="29"/>
      <c r="O2909" s="119" t="s">
        <v>171</v>
      </c>
      <c r="P2909" s="120"/>
      <c r="Q2909" s="156"/>
      <c r="R2909" s="162"/>
    </row>
    <row r="2910" spans="1:18" hidden="1">
      <c r="A2910" s="134" t="s">
        <v>1437</v>
      </c>
      <c r="C2910" s="29">
        <v>281503047</v>
      </c>
      <c r="D2910" s="29"/>
      <c r="E2910" s="29"/>
      <c r="F2910" s="29" t="s">
        <v>88</v>
      </c>
      <c r="G2910" s="29" t="s">
        <v>1039</v>
      </c>
      <c r="H2910" s="29" t="s">
        <v>38</v>
      </c>
      <c r="I2910" s="120">
        <v>45938</v>
      </c>
      <c r="J2910" s="120">
        <f>WORKDAY(I2910, 3)</f>
        <v>45943</v>
      </c>
      <c r="K2910" s="120">
        <v>45969</v>
      </c>
      <c r="L2910" s="120"/>
      <c r="M2910" s="120"/>
      <c r="N2910" s="29"/>
      <c r="O2910" s="119" t="s">
        <v>171</v>
      </c>
      <c r="P2910" s="120"/>
      <c r="Q2910" s="156"/>
      <c r="R2910" s="162"/>
    </row>
    <row r="2911" spans="1:18" hidden="1">
      <c r="A2911" s="134" t="s">
        <v>1437</v>
      </c>
      <c r="C2911" s="29">
        <v>281502994</v>
      </c>
      <c r="D2911" s="29"/>
      <c r="E2911" s="29"/>
      <c r="F2911" s="29" t="s">
        <v>88</v>
      </c>
      <c r="G2911" s="29" t="s">
        <v>1039</v>
      </c>
      <c r="H2911" s="29" t="s">
        <v>38</v>
      </c>
      <c r="I2911" s="120">
        <v>45938</v>
      </c>
      <c r="J2911" s="120">
        <f>WORKDAY(I2911, 3)</f>
        <v>45943</v>
      </c>
      <c r="K2911" s="120">
        <v>45969</v>
      </c>
      <c r="L2911" s="120"/>
      <c r="M2911" s="120"/>
      <c r="N2911" s="29"/>
      <c r="O2911" s="119" t="s">
        <v>171</v>
      </c>
      <c r="P2911" s="120"/>
      <c r="Q2911" s="156"/>
      <c r="R2911" s="162"/>
    </row>
    <row r="2912" spans="1:18" hidden="1">
      <c r="A2912" s="134" t="s">
        <v>1437</v>
      </c>
      <c r="C2912" s="29">
        <v>281503006</v>
      </c>
      <c r="D2912" s="29"/>
      <c r="E2912" s="29"/>
      <c r="F2912" s="29" t="s">
        <v>88</v>
      </c>
      <c r="G2912" s="29" t="s">
        <v>1039</v>
      </c>
      <c r="H2912" s="29" t="s">
        <v>38</v>
      </c>
      <c r="I2912" s="120">
        <v>45938</v>
      </c>
      <c r="J2912" s="120">
        <f>WORKDAY(I2912, 3)</f>
        <v>45943</v>
      </c>
      <c r="K2912" s="120">
        <v>45969</v>
      </c>
      <c r="L2912" s="120"/>
      <c r="M2912" s="120"/>
      <c r="N2912" s="29"/>
      <c r="O2912" s="119" t="s">
        <v>171</v>
      </c>
      <c r="P2912" s="120"/>
      <c r="Q2912" s="156"/>
      <c r="R2912" s="162"/>
    </row>
    <row r="2913" spans="1:18" hidden="1">
      <c r="A2913" s="134" t="s">
        <v>1437</v>
      </c>
      <c r="C2913" s="29">
        <v>281502963</v>
      </c>
      <c r="D2913" s="29"/>
      <c r="E2913" s="29"/>
      <c r="F2913" s="29" t="s">
        <v>88</v>
      </c>
      <c r="G2913" s="29" t="s">
        <v>1039</v>
      </c>
      <c r="H2913" s="29" t="s">
        <v>38</v>
      </c>
      <c r="I2913" s="120">
        <v>45938</v>
      </c>
      <c r="J2913" s="120">
        <f>WORKDAY(I2913, 3)</f>
        <v>45943</v>
      </c>
      <c r="K2913" s="120">
        <v>45969</v>
      </c>
      <c r="L2913" s="120"/>
      <c r="M2913" s="120"/>
      <c r="N2913" s="29"/>
      <c r="O2913" s="119" t="s">
        <v>171</v>
      </c>
      <c r="P2913" s="120"/>
      <c r="Q2913" s="156"/>
      <c r="R2913" s="162"/>
    </row>
    <row r="2914" spans="1:18" hidden="1">
      <c r="A2914" s="134" t="s">
        <v>1437</v>
      </c>
      <c r="C2914" s="29">
        <v>281502982</v>
      </c>
      <c r="D2914" s="29"/>
      <c r="E2914" s="29"/>
      <c r="F2914" s="29" t="s">
        <v>88</v>
      </c>
      <c r="G2914" s="29" t="s">
        <v>1039</v>
      </c>
      <c r="H2914" s="29" t="s">
        <v>38</v>
      </c>
      <c r="I2914" s="120">
        <v>45938</v>
      </c>
      <c r="J2914" s="120">
        <f>WORKDAY(I2914, 3)</f>
        <v>45943</v>
      </c>
      <c r="K2914" s="120">
        <v>45969</v>
      </c>
      <c r="L2914" s="120"/>
      <c r="M2914" s="120"/>
      <c r="N2914" s="29"/>
      <c r="O2914" s="119" t="s">
        <v>171</v>
      </c>
      <c r="P2914" s="120"/>
      <c r="Q2914" s="156"/>
      <c r="R2914" s="162"/>
    </row>
    <row r="2915" spans="1:18" hidden="1">
      <c r="A2915" s="134" t="s">
        <v>1437</v>
      </c>
      <c r="C2915" s="29">
        <v>281502950</v>
      </c>
      <c r="D2915" s="29"/>
      <c r="E2915" s="29"/>
      <c r="F2915" s="29" t="s">
        <v>88</v>
      </c>
      <c r="G2915" s="29" t="s">
        <v>1039</v>
      </c>
      <c r="H2915" s="29" t="s">
        <v>38</v>
      </c>
      <c r="I2915" s="120">
        <v>45938</v>
      </c>
      <c r="J2915" s="120">
        <f>WORKDAY(I2915, 3)</f>
        <v>45943</v>
      </c>
      <c r="K2915" s="120">
        <v>45969</v>
      </c>
      <c r="L2915" s="120"/>
      <c r="M2915" s="120"/>
      <c r="N2915" s="29"/>
      <c r="O2915" s="119" t="s">
        <v>171</v>
      </c>
      <c r="P2915" s="120"/>
      <c r="Q2915" s="156"/>
      <c r="R2915" s="162"/>
    </row>
    <row r="2916" spans="1:18" hidden="1">
      <c r="A2916" s="134" t="s">
        <v>1437</v>
      </c>
      <c r="C2916" s="29">
        <v>281502943</v>
      </c>
      <c r="D2916" s="29"/>
      <c r="E2916" s="29"/>
      <c r="F2916" s="29" t="s">
        <v>88</v>
      </c>
      <c r="G2916" s="29" t="s">
        <v>1039</v>
      </c>
      <c r="H2916" s="29" t="s">
        <v>38</v>
      </c>
      <c r="I2916" s="120">
        <v>45938</v>
      </c>
      <c r="J2916" s="120">
        <f>WORKDAY(I2916, 3)</f>
        <v>45943</v>
      </c>
      <c r="K2916" s="120">
        <v>45969</v>
      </c>
      <c r="L2916" s="120"/>
      <c r="M2916" s="120"/>
      <c r="N2916" s="29"/>
      <c r="O2916" s="119" t="s">
        <v>171</v>
      </c>
      <c r="P2916" s="120"/>
      <c r="Q2916" s="156"/>
      <c r="R2916" s="162"/>
    </row>
    <row r="2917" spans="1:18" hidden="1">
      <c r="A2917" s="134" t="s">
        <v>1438</v>
      </c>
      <c r="C2917" s="29">
        <v>295505166</v>
      </c>
      <c r="D2917" s="29"/>
      <c r="E2917" s="29"/>
      <c r="F2917" s="29" t="s">
        <v>88</v>
      </c>
      <c r="G2917" s="29" t="s">
        <v>1039</v>
      </c>
      <c r="H2917" s="29" t="s">
        <v>38</v>
      </c>
      <c r="I2917" s="120">
        <v>45952</v>
      </c>
      <c r="J2917" s="120">
        <f>WORKDAY(I2917, 3)</f>
        <v>45957</v>
      </c>
      <c r="K2917" s="120">
        <v>45983</v>
      </c>
      <c r="L2917" s="120"/>
      <c r="M2917" s="120"/>
      <c r="N2917" s="29"/>
      <c r="O2917" s="119" t="s">
        <v>60</v>
      </c>
      <c r="P2917" s="29"/>
      <c r="Q2917" s="156"/>
    </row>
    <row r="2918" spans="1:18" hidden="1">
      <c r="A2918" s="134" t="s">
        <v>1438</v>
      </c>
      <c r="C2918" s="29">
        <v>295505181</v>
      </c>
      <c r="D2918" s="29"/>
      <c r="E2918" s="29"/>
      <c r="F2918" s="29" t="s">
        <v>88</v>
      </c>
      <c r="G2918" s="29" t="s">
        <v>1039</v>
      </c>
      <c r="H2918" s="29" t="s">
        <v>38</v>
      </c>
      <c r="I2918" s="120">
        <v>45952</v>
      </c>
      <c r="J2918" s="120">
        <f>WORKDAY(I2918, 3)</f>
        <v>45957</v>
      </c>
      <c r="K2918" s="120">
        <v>45983</v>
      </c>
      <c r="L2918" s="120"/>
      <c r="M2918" s="120"/>
      <c r="N2918" s="29"/>
      <c r="O2918" s="119" t="s">
        <v>60</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1415</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1415</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1415</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1415</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1415</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1415</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1415</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1417</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1417</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1417</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1417</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1417</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1417</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1417</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1417</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1417</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1417</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1417</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1417</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1417</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1417</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1417</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1417</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1417</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1417</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1417</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1417</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1439</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1439</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1412</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1442</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1443</v>
      </c>
      <c r="C2955" s="29">
        <v>308504653</v>
      </c>
      <c r="D2955" s="29"/>
      <c r="E2955" s="29"/>
      <c r="F2955" s="29" t="s">
        <v>88</v>
      </c>
      <c r="G2955" s="29" t="s">
        <v>1039</v>
      </c>
      <c r="H2955" s="29" t="s">
        <v>38</v>
      </c>
      <c r="I2955" s="120">
        <v>45965</v>
      </c>
      <c r="J2955" s="120">
        <v>45969</v>
      </c>
      <c r="K2955" s="120">
        <v>45995</v>
      </c>
      <c r="L2955" s="120"/>
      <c r="M2955" s="120"/>
      <c r="N2955" s="29"/>
      <c r="O2955" s="119" t="s">
        <v>60</v>
      </c>
      <c r="P2955" s="29"/>
      <c r="Q2955" s="156"/>
    </row>
    <row r="2956" spans="1:18" hidden="1">
      <c r="A2956" s="134" t="s">
        <v>1443</v>
      </c>
      <c r="C2956" s="29">
        <v>308504706</v>
      </c>
      <c r="D2956" s="29"/>
      <c r="E2956" s="29"/>
      <c r="F2956" s="29" t="s">
        <v>88</v>
      </c>
      <c r="G2956" s="29" t="s">
        <v>1039</v>
      </c>
      <c r="H2956" s="29" t="s">
        <v>38</v>
      </c>
      <c r="I2956" s="120">
        <v>45965</v>
      </c>
      <c r="J2956" s="120">
        <v>45969</v>
      </c>
      <c r="K2956" s="120">
        <v>45995</v>
      </c>
      <c r="L2956" s="120"/>
      <c r="M2956" s="120"/>
      <c r="N2956" s="29"/>
      <c r="O2956" s="119" t="s">
        <v>60</v>
      </c>
      <c r="P2956" s="29"/>
      <c r="Q2956" s="156"/>
    </row>
    <row r="2957" spans="1:18" hidden="1">
      <c r="A2957" s="134" t="s">
        <v>1443</v>
      </c>
      <c r="C2957" s="29">
        <v>308504716</v>
      </c>
      <c r="D2957" s="29"/>
      <c r="E2957" s="29"/>
      <c r="F2957" s="29" t="s">
        <v>88</v>
      </c>
      <c r="G2957" s="29" t="s">
        <v>1039</v>
      </c>
      <c r="H2957" s="29" t="s">
        <v>38</v>
      </c>
      <c r="I2957" s="120">
        <v>45965</v>
      </c>
      <c r="J2957" s="120">
        <v>45969</v>
      </c>
      <c r="K2957" s="120">
        <v>45995</v>
      </c>
      <c r="L2957" s="120"/>
      <c r="M2957" s="120"/>
      <c r="N2957" s="29"/>
      <c r="O2957" s="119" t="s">
        <v>60</v>
      </c>
      <c r="P2957" s="29"/>
      <c r="Q2957" s="156"/>
    </row>
    <row r="2958" spans="1:18" hidden="1">
      <c r="A2958" s="134" t="s">
        <v>1443</v>
      </c>
      <c r="C2958" s="29">
        <v>308504735</v>
      </c>
      <c r="D2958" s="29"/>
      <c r="E2958" s="29"/>
      <c r="F2958" s="29" t="s">
        <v>88</v>
      </c>
      <c r="G2958" s="29" t="s">
        <v>1039</v>
      </c>
      <c r="H2958" s="29" t="s">
        <v>38</v>
      </c>
      <c r="I2958" s="120">
        <v>45965</v>
      </c>
      <c r="J2958" s="120">
        <v>45969</v>
      </c>
      <c r="K2958" s="120">
        <v>45995</v>
      </c>
      <c r="L2958" s="120"/>
      <c r="M2958" s="120"/>
      <c r="N2958" s="29"/>
      <c r="O2958" s="119" t="s">
        <v>60</v>
      </c>
      <c r="P2958" s="29"/>
      <c r="Q2958" s="156"/>
    </row>
    <row r="2959" spans="1:18" hidden="1">
      <c r="A2959" s="119" t="s">
        <v>1426</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1426</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1426</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1426</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1426</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1426</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1444</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1444</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1444</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1444</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1444</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1067</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1445</v>
      </c>
      <c r="C2971" s="29">
        <v>309505225</v>
      </c>
      <c r="D2971" s="29"/>
      <c r="E2971" s="29"/>
      <c r="F2971" s="29" t="s">
        <v>88</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88</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88</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1457</v>
      </c>
      <c r="B3009" s="160"/>
      <c r="C3009" s="88">
        <v>303507285</v>
      </c>
      <c r="D3009" s="29"/>
      <c r="E3009" s="29"/>
      <c r="F3009" s="29" t="s">
        <v>122</v>
      </c>
      <c r="G3009" s="29" t="s">
        <v>16</v>
      </c>
      <c r="H3009" s="29" t="s">
        <v>1458</v>
      </c>
      <c r="I3009" s="120">
        <v>45961</v>
      </c>
      <c r="J3009" s="120">
        <f>WORKDAY(I3009, 3)</f>
        <v>45966</v>
      </c>
      <c r="K3009" s="120">
        <v>45992</v>
      </c>
      <c r="L3009" s="120"/>
      <c r="M3009" s="120"/>
      <c r="N3009" s="29"/>
      <c r="O3009" s="119" t="s">
        <v>60</v>
      </c>
      <c r="P3009" s="29"/>
      <c r="Q3009" s="156"/>
    </row>
    <row r="3010" spans="1:17" hidden="1">
      <c r="A3010" s="160" t="s">
        <v>1457</v>
      </c>
      <c r="B3010" s="160"/>
      <c r="C3010" s="88">
        <v>303507264</v>
      </c>
      <c r="D3010" s="29"/>
      <c r="E3010" s="29"/>
      <c r="F3010" s="29" t="s">
        <v>122</v>
      </c>
      <c r="G3010" s="29" t="s">
        <v>16</v>
      </c>
      <c r="H3010" s="29" t="s">
        <v>1458</v>
      </c>
      <c r="I3010" s="120">
        <v>45961</v>
      </c>
      <c r="J3010" s="120">
        <f>WORKDAY(I3010, 3)</f>
        <v>45966</v>
      </c>
      <c r="K3010" s="120">
        <v>45992</v>
      </c>
      <c r="L3010" s="120"/>
      <c r="M3010" s="120"/>
      <c r="N3010" s="29"/>
      <c r="O3010" s="119" t="s">
        <v>60</v>
      </c>
      <c r="P3010" s="29"/>
      <c r="Q3010" s="156"/>
    </row>
    <row r="3011" spans="1:17" hidden="1">
      <c r="A3011" s="160" t="s">
        <v>1457</v>
      </c>
      <c r="B3011" s="160"/>
      <c r="C3011" s="88">
        <v>303507237</v>
      </c>
      <c r="D3011" s="29"/>
      <c r="E3011" s="29"/>
      <c r="F3011" s="29" t="s">
        <v>122</v>
      </c>
      <c r="G3011" s="29" t="s">
        <v>16</v>
      </c>
      <c r="H3011" s="29" t="s">
        <v>1458</v>
      </c>
      <c r="I3011" s="120">
        <v>45961</v>
      </c>
      <c r="J3011" s="120">
        <f>WORKDAY(I3011, 3)</f>
        <v>45966</v>
      </c>
      <c r="K3011" s="120">
        <v>45992</v>
      </c>
      <c r="L3011" s="120"/>
      <c r="M3011" s="120"/>
      <c r="N3011" s="29"/>
      <c r="O3011" s="119" t="s">
        <v>60</v>
      </c>
      <c r="P3011" s="29"/>
      <c r="Q3011" s="156"/>
    </row>
    <row r="3012" spans="1:17" hidden="1">
      <c r="A3012" s="160" t="s">
        <v>1457</v>
      </c>
      <c r="B3012" s="160"/>
      <c r="C3012" s="88">
        <v>303507222</v>
      </c>
      <c r="D3012" s="29"/>
      <c r="E3012" s="29"/>
      <c r="F3012" s="29" t="s">
        <v>122</v>
      </c>
      <c r="G3012" s="29" t="s">
        <v>16</v>
      </c>
      <c r="H3012" s="29" t="s">
        <v>1458</v>
      </c>
      <c r="I3012" s="120">
        <v>45961</v>
      </c>
      <c r="J3012" s="120">
        <f>WORKDAY(I3012, 3)</f>
        <v>45966</v>
      </c>
      <c r="K3012" s="120">
        <v>45992</v>
      </c>
      <c r="L3012" s="120"/>
      <c r="M3012" s="120"/>
      <c r="N3012" s="29"/>
      <c r="O3012" s="119" t="s">
        <v>60</v>
      </c>
      <c r="P3012" s="29"/>
      <c r="Q3012" s="156"/>
    </row>
    <row r="3013" spans="1:17" hidden="1">
      <c r="A3013" s="160" t="s">
        <v>1457</v>
      </c>
      <c r="B3013" s="160"/>
      <c r="C3013" s="88">
        <v>303507206</v>
      </c>
      <c r="D3013" s="29"/>
      <c r="E3013" s="29"/>
      <c r="F3013" s="29" t="s">
        <v>122</v>
      </c>
      <c r="G3013" s="29" t="s">
        <v>16</v>
      </c>
      <c r="H3013" s="29" t="s">
        <v>1458</v>
      </c>
      <c r="I3013" s="120">
        <v>45961</v>
      </c>
      <c r="J3013" s="120">
        <f>WORKDAY(I3013, 3)</f>
        <v>45966</v>
      </c>
      <c r="K3013" s="120">
        <v>45992</v>
      </c>
      <c r="L3013" s="120"/>
      <c r="M3013" s="120"/>
      <c r="N3013" s="29"/>
      <c r="O3013" s="119" t="s">
        <v>60</v>
      </c>
      <c r="P3013" s="29"/>
      <c r="Q3013" s="156"/>
    </row>
    <row r="3014" spans="1:17" hidden="1">
      <c r="A3014" s="160" t="s">
        <v>1457</v>
      </c>
      <c r="B3014" s="160"/>
      <c r="C3014" s="88">
        <v>303507187</v>
      </c>
      <c r="D3014" s="29"/>
      <c r="E3014" s="29"/>
      <c r="F3014" s="29" t="s">
        <v>122</v>
      </c>
      <c r="G3014" s="29" t="s">
        <v>16</v>
      </c>
      <c r="H3014" s="29" t="s">
        <v>1458</v>
      </c>
      <c r="I3014" s="120">
        <v>45961</v>
      </c>
      <c r="J3014" s="120">
        <f>WORKDAY(I3014, 3)</f>
        <v>45966</v>
      </c>
      <c r="K3014" s="120">
        <v>45992</v>
      </c>
      <c r="L3014" s="120"/>
      <c r="M3014" s="120"/>
      <c r="N3014" s="29"/>
      <c r="O3014" s="119" t="s">
        <v>60</v>
      </c>
      <c r="P3014" s="29"/>
      <c r="Q3014" s="156"/>
    </row>
    <row r="3015" spans="1:17" hidden="1">
      <c r="A3015" s="160" t="s">
        <v>1457</v>
      </c>
      <c r="B3015" s="160"/>
      <c r="C3015" s="88">
        <v>303507168</v>
      </c>
      <c r="D3015" s="29"/>
      <c r="E3015" s="29"/>
      <c r="F3015" s="29" t="s">
        <v>122</v>
      </c>
      <c r="G3015" s="29" t="s">
        <v>16</v>
      </c>
      <c r="H3015" s="29" t="s">
        <v>1458</v>
      </c>
      <c r="I3015" s="120">
        <v>45961</v>
      </c>
      <c r="J3015" s="120">
        <f>WORKDAY(I3015, 3)</f>
        <v>45966</v>
      </c>
      <c r="K3015" s="120">
        <v>45992</v>
      </c>
      <c r="L3015" s="120"/>
      <c r="M3015" s="120"/>
      <c r="N3015" s="29"/>
      <c r="O3015" s="119" t="s">
        <v>60</v>
      </c>
      <c r="P3015" s="29"/>
      <c r="Q3015" s="156"/>
    </row>
    <row r="3016" spans="1:17" hidden="1">
      <c r="A3016" s="160" t="s">
        <v>1459</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1460</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1460</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1460</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1460</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1460</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1460</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1460</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1460</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1460</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1460</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1460</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1460</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1441</v>
      </c>
    </row>
    <row r="3044" spans="1:18" hidden="1">
      <c r="A3044" s="160" t="s">
        <v>1460</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1441</v>
      </c>
    </row>
    <row r="3045" spans="1:18" hidden="1">
      <c r="A3045" s="160" t="s">
        <v>1460</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1441</v>
      </c>
    </row>
    <row r="3046" spans="1:18" hidden="1">
      <c r="A3046" s="160" t="s">
        <v>1460</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1441</v>
      </c>
    </row>
    <row r="3047" spans="1:18" hidden="1">
      <c r="A3047" s="160" t="s">
        <v>1424</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1424</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1424</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1424</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1424</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1424</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1424</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1424</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1424</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1424</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1441</v>
      </c>
    </row>
    <row r="3057" spans="1:18" hidden="1">
      <c r="A3057" s="160" t="s">
        <v>1424</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1441</v>
      </c>
    </row>
    <row r="3058" spans="1:18" hidden="1">
      <c r="A3058" s="160" t="s">
        <v>1424</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1441</v>
      </c>
    </row>
    <row r="3059" spans="1:18" hidden="1">
      <c r="A3059" s="160" t="s">
        <v>1424</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1441</v>
      </c>
    </row>
    <row r="3060" spans="1:18" hidden="1">
      <c r="A3060" s="160" t="s">
        <v>1424</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1441</v>
      </c>
    </row>
    <row r="3061" spans="1:18" hidden="1">
      <c r="A3061" s="160" t="s">
        <v>1424</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1441</v>
      </c>
    </row>
    <row r="3062" spans="1:18" hidden="1">
      <c r="A3062" s="160" t="s">
        <v>1424</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1441</v>
      </c>
    </row>
    <row r="3063" spans="1:18" hidden="1">
      <c r="A3063" s="160" t="s">
        <v>1461</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1461</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1461</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1461</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1461</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1461</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1461</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1461</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1461</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1461</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1461</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1461</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1461</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1461</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1441</v>
      </c>
    </row>
    <row r="3077" spans="1:18" hidden="1">
      <c r="A3077" s="160" t="s">
        <v>1461</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1441</v>
      </c>
    </row>
    <row r="3078" spans="1:18" hidden="1">
      <c r="A3078" s="160" t="s">
        <v>1461</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1441</v>
      </c>
    </row>
    <row r="3079" spans="1:18" hidden="1">
      <c r="A3079" s="160" t="s">
        <v>1461</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1441</v>
      </c>
    </row>
    <row r="3080" spans="1:18" hidden="1">
      <c r="A3080" s="160" t="s">
        <v>1461</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1441</v>
      </c>
    </row>
    <row r="3081" spans="1:18" hidden="1">
      <c r="A3081" s="160" t="s">
        <v>1461</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1441</v>
      </c>
    </row>
    <row r="3082" spans="1:18" hidden="1">
      <c r="A3082" s="160" t="s">
        <v>1462</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1462</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1462</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1462</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1462</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1462</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1462</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1462</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1462</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1462</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60</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60</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60</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60</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60</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60</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60</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60</v>
      </c>
      <c r="P3099" s="29"/>
      <c r="Q3099" s="156">
        <v>1742</v>
      </c>
    </row>
    <row r="3100" spans="1:18" hidden="1">
      <c r="A3100" s="160" t="s">
        <v>1472</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1449</v>
      </c>
    </row>
    <row r="3101" spans="1:18" hidden="1">
      <c r="A3101" s="160" t="s">
        <v>1472</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1473</v>
      </c>
    </row>
    <row r="3102" spans="1:18" hidden="1">
      <c r="A3102" s="160" t="s">
        <v>1472</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1449</v>
      </c>
    </row>
    <row r="3103" spans="1:18" hidden="1">
      <c r="A3103" s="160" t="s">
        <v>1472</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1449</v>
      </c>
    </row>
    <row r="3104" spans="1:18" hidden="1">
      <c r="A3104" s="160" t="s">
        <v>1472</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1472</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1472</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1472</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1472</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1472</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1472</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1141</v>
      </c>
      <c r="B3111" s="160"/>
      <c r="C3111" s="88">
        <v>308503277</v>
      </c>
      <c r="D3111" s="29"/>
      <c r="E3111" s="29"/>
      <c r="F3111" s="29" t="s">
        <v>88</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88</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88</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88</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88</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88</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88</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88</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88</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88</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88</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88</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88</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88</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88</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88</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88</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88</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88</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88</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88</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171</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1475</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1475</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1476</v>
      </c>
      <c r="B3141" s="160"/>
      <c r="C3141" s="88">
        <v>289502098</v>
      </c>
      <c r="D3141" s="29"/>
      <c r="E3141" s="29"/>
      <c r="F3141" s="29" t="s">
        <v>88</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88</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88</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88</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88</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88</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88</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88</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88</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88</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88</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88</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88</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88</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88</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88</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88</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88</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88</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88</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88</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88</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88</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88</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88</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88</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88</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88</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88</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88</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88</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88</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88</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88</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88</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88</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88</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88</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88</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88</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88</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88</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88</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88</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88</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88</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88</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88</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88</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88</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88</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88</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88</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88</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88</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88</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88</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88</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88</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88</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88</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88</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88</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88</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1477</v>
      </c>
      <c r="B3206" s="160"/>
      <c r="C3206" s="88">
        <v>308506538</v>
      </c>
      <c r="D3206" s="29"/>
      <c r="E3206" s="29"/>
      <c r="F3206" s="29" t="s">
        <v>1478</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1477</v>
      </c>
      <c r="B3207" s="160"/>
      <c r="C3207" s="88">
        <v>308506652</v>
      </c>
      <c r="D3207" s="29"/>
      <c r="E3207" s="29"/>
      <c r="F3207" s="29" t="s">
        <v>1478</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1477</v>
      </c>
      <c r="B3208" s="160"/>
      <c r="C3208" s="88">
        <v>308506705</v>
      </c>
      <c r="D3208" s="29"/>
      <c r="E3208" s="29"/>
      <c r="F3208" s="29" t="s">
        <v>1478</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1477</v>
      </c>
      <c r="B3209" s="160"/>
      <c r="C3209" s="88">
        <v>308506754</v>
      </c>
      <c r="D3209" s="29"/>
      <c r="E3209" s="29"/>
      <c r="F3209" s="29" t="s">
        <v>1478</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1477</v>
      </c>
      <c r="B3210" s="160"/>
      <c r="C3210" s="88">
        <v>308506833</v>
      </c>
      <c r="D3210" s="29"/>
      <c r="E3210" s="29"/>
      <c r="F3210" s="29" t="s">
        <v>1478</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1477</v>
      </c>
      <c r="B3211" s="160"/>
      <c r="C3211" s="88">
        <v>308506891</v>
      </c>
      <c r="D3211" s="29"/>
      <c r="E3211" s="29"/>
      <c r="F3211" s="29" t="s">
        <v>1478</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1477</v>
      </c>
      <c r="B3212" s="160"/>
      <c r="C3212" s="88">
        <v>308506968</v>
      </c>
      <c r="D3212" s="29"/>
      <c r="E3212" s="29"/>
      <c r="F3212" s="29" t="s">
        <v>1478</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1477</v>
      </c>
      <c r="B3213" s="160"/>
      <c r="C3213" s="88">
        <v>308507040</v>
      </c>
      <c r="D3213" s="29"/>
      <c r="E3213" s="29"/>
      <c r="F3213" s="29" t="s">
        <v>1478</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1477</v>
      </c>
      <c r="B3214" s="160"/>
      <c r="C3214" s="88">
        <v>308507148</v>
      </c>
      <c r="D3214" s="29"/>
      <c r="E3214" s="29"/>
      <c r="F3214" s="29" t="s">
        <v>1478</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1477</v>
      </c>
      <c r="B3215" s="160"/>
      <c r="C3215" s="88">
        <v>308507283</v>
      </c>
      <c r="D3215" s="29"/>
      <c r="E3215" s="29"/>
      <c r="F3215" s="29" t="s">
        <v>1478</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1477</v>
      </c>
      <c r="B3216" s="160"/>
      <c r="C3216" s="88">
        <v>308507377</v>
      </c>
      <c r="D3216" s="29"/>
      <c r="E3216" s="29"/>
      <c r="F3216" s="29" t="s">
        <v>1478</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1477</v>
      </c>
      <c r="B3217" s="160"/>
      <c r="C3217" s="88">
        <v>308507442</v>
      </c>
      <c r="D3217" s="29"/>
      <c r="E3217" s="29"/>
      <c r="F3217" s="29" t="s">
        <v>1478</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1477</v>
      </c>
      <c r="B3218" s="160"/>
      <c r="C3218" s="88">
        <v>308507505</v>
      </c>
      <c r="D3218" s="29"/>
      <c r="E3218" s="29"/>
      <c r="F3218" s="29" t="s">
        <v>1478</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1477</v>
      </c>
      <c r="B3219" s="160"/>
      <c r="C3219" s="88">
        <v>308507540</v>
      </c>
      <c r="D3219" s="29"/>
      <c r="E3219" s="29"/>
      <c r="F3219" s="29" t="s">
        <v>1478</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1477</v>
      </c>
      <c r="B3220" s="160"/>
      <c r="C3220" s="88">
        <v>308507591</v>
      </c>
      <c r="D3220" s="29"/>
      <c r="E3220" s="29"/>
      <c r="F3220" s="29" t="s">
        <v>1478</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1477</v>
      </c>
      <c r="B3221" s="160"/>
      <c r="C3221" s="88">
        <v>308507651</v>
      </c>
      <c r="D3221" s="29"/>
      <c r="E3221" s="29"/>
      <c r="F3221" s="29" t="s">
        <v>1478</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1477</v>
      </c>
      <c r="B3222" s="160"/>
      <c r="C3222" s="88">
        <v>308507711</v>
      </c>
      <c r="D3222" s="29"/>
      <c r="E3222" s="29"/>
      <c r="F3222" s="29" t="s">
        <v>1478</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1477</v>
      </c>
      <c r="B3223" s="160"/>
      <c r="C3223" s="88">
        <v>308507737</v>
      </c>
      <c r="D3223" s="29"/>
      <c r="E3223" s="29"/>
      <c r="F3223" s="29" t="s">
        <v>1478</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1477</v>
      </c>
      <c r="B3224" s="160"/>
      <c r="C3224" s="88">
        <v>308507770</v>
      </c>
      <c r="D3224" s="29"/>
      <c r="E3224" s="29"/>
      <c r="F3224" s="29" t="s">
        <v>1478</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1477</v>
      </c>
      <c r="B3225" s="160"/>
      <c r="C3225" s="88">
        <v>308507804</v>
      </c>
      <c r="D3225" s="29"/>
      <c r="E3225" s="29"/>
      <c r="F3225" s="29" t="s">
        <v>1478</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1477</v>
      </c>
      <c r="B3226" s="160"/>
      <c r="C3226" s="88">
        <v>308509380</v>
      </c>
      <c r="D3226" s="29"/>
      <c r="E3226" s="29"/>
      <c r="F3226" s="29" t="s">
        <v>1478</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1477</v>
      </c>
      <c r="B3227" s="160"/>
      <c r="C3227" s="88">
        <v>308509386</v>
      </c>
      <c r="D3227" s="29"/>
      <c r="E3227" s="29"/>
      <c r="F3227" s="29" t="s">
        <v>1478</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1477</v>
      </c>
      <c r="B3228" s="160"/>
      <c r="C3228" s="88">
        <v>308509396</v>
      </c>
      <c r="D3228" s="29"/>
      <c r="E3228" s="29"/>
      <c r="F3228" s="29" t="s">
        <v>1478</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1477</v>
      </c>
      <c r="B3229" s="160"/>
      <c r="C3229" s="88">
        <v>308509415</v>
      </c>
      <c r="D3229" s="29"/>
      <c r="E3229" s="29"/>
      <c r="F3229" s="29" t="s">
        <v>1478</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1479</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1479</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1479</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1479</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1479</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1479</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1479</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1479</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1479</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1479</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1479</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1479</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1479</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1479</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1479</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1479</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1479</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1479</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1479</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1479</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1480</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1480</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1480</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1480</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1480</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1480</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1480</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1480</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1480</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1480</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1480</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1480</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1480</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1480</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1480</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1480</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1480</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1481</v>
      </c>
      <c r="B3267" s="160"/>
      <c r="C3267" s="88">
        <v>310501705</v>
      </c>
      <c r="D3267" s="29"/>
      <c r="E3267" s="29"/>
      <c r="F3267" s="29" t="s">
        <v>88</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88</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88</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88</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88</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88</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88</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88</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88</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88</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88</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88</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88</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88</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88</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88</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88</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88</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88</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88</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88</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88</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88</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88</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88</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1485</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1486</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1486</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1486</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1487</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1488</v>
      </c>
      <c r="B3298" s="163"/>
      <c r="C3298" s="88">
        <v>322505213</v>
      </c>
      <c r="D3298" s="29"/>
      <c r="E3298" s="29"/>
      <c r="F3298" s="29" t="s">
        <v>1478</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116</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116</v>
      </c>
      <c r="H3355" s="29" t="s">
        <v>38</v>
      </c>
      <c r="I3355" s="120">
        <v>45995</v>
      </c>
      <c r="J3355" s="120">
        <v>45999</v>
      </c>
      <c r="K3355" s="120">
        <v>46026</v>
      </c>
      <c r="L3355" s="120"/>
      <c r="M3355" s="120"/>
      <c r="N3355" s="29"/>
      <c r="O3355" s="119" t="s">
        <v>60</v>
      </c>
      <c r="P3355" s="29"/>
      <c r="Q3355" s="156"/>
      <c r="R3355" s="134" t="s">
        <v>1503</v>
      </c>
    </row>
    <row r="3356" spans="1:18" hidden="1">
      <c r="A3356" s="160" t="s">
        <v>1501</v>
      </c>
      <c r="B3356" s="160"/>
      <c r="C3356" s="88">
        <v>338504632</v>
      </c>
      <c r="D3356" s="29"/>
      <c r="E3356" s="29"/>
      <c r="F3356" s="29" t="s">
        <v>1493</v>
      </c>
      <c r="G3356" s="29" t="s">
        <v>116</v>
      </c>
      <c r="H3356" s="29" t="s">
        <v>38</v>
      </c>
      <c r="I3356" s="120">
        <v>45995</v>
      </c>
      <c r="J3356" s="120">
        <v>45999</v>
      </c>
      <c r="K3356" s="120">
        <v>46026</v>
      </c>
      <c r="L3356" s="120"/>
      <c r="M3356" s="120"/>
      <c r="N3356" s="29"/>
      <c r="O3356" s="119" t="s">
        <v>60</v>
      </c>
      <c r="P3356" s="29"/>
      <c r="Q3356" s="156"/>
      <c r="R3356" s="134" t="s">
        <v>1503</v>
      </c>
    </row>
    <row r="3357" spans="1:18" hidden="1">
      <c r="A3357" s="160" t="s">
        <v>1501</v>
      </c>
      <c r="B3357" s="160"/>
      <c r="C3357" s="29">
        <v>338504667</v>
      </c>
      <c r="D3357" s="29"/>
      <c r="E3357" s="29"/>
      <c r="F3357" s="29" t="s">
        <v>1493</v>
      </c>
      <c r="G3357" s="29" t="s">
        <v>116</v>
      </c>
      <c r="H3357" s="29" t="s">
        <v>38</v>
      </c>
      <c r="I3357" s="120">
        <v>45995</v>
      </c>
      <c r="J3357" s="120">
        <v>45999</v>
      </c>
      <c r="K3357" s="120">
        <v>46026</v>
      </c>
      <c r="L3357" s="120"/>
      <c r="M3357" s="120"/>
      <c r="N3357" s="29"/>
      <c r="O3357" s="119" t="s">
        <v>60</v>
      </c>
      <c r="P3357" s="29"/>
      <c r="Q3357" s="156"/>
      <c r="R3357" s="134" t="s">
        <v>1503</v>
      </c>
    </row>
    <row r="3358" spans="1:18" hidden="1">
      <c r="A3358" s="160" t="s">
        <v>1501</v>
      </c>
      <c r="B3358" s="160"/>
      <c r="C3358" s="88">
        <v>338504100</v>
      </c>
      <c r="D3358" s="29"/>
      <c r="E3358" s="29"/>
      <c r="F3358" s="29" t="s">
        <v>1493</v>
      </c>
      <c r="G3358" s="29" t="s">
        <v>116</v>
      </c>
      <c r="H3358" s="29" t="s">
        <v>38</v>
      </c>
      <c r="I3358" s="120">
        <v>45995</v>
      </c>
      <c r="J3358" s="120">
        <v>45999</v>
      </c>
      <c r="K3358" s="120">
        <v>46026</v>
      </c>
      <c r="L3358" s="120"/>
      <c r="M3358" s="120"/>
      <c r="N3358" s="29"/>
      <c r="O3358" s="119" t="s">
        <v>60</v>
      </c>
      <c r="P3358" s="29"/>
      <c r="Q3358" s="156"/>
      <c r="R3358" s="134" t="s">
        <v>1503</v>
      </c>
    </row>
    <row r="3359" spans="1:18" hidden="1">
      <c r="A3359" s="160" t="s">
        <v>1501</v>
      </c>
      <c r="B3359" s="160"/>
      <c r="C3359" s="29">
        <v>338504693</v>
      </c>
      <c r="D3359" s="29"/>
      <c r="E3359" s="29"/>
      <c r="F3359" s="29" t="s">
        <v>1493</v>
      </c>
      <c r="G3359" s="29" t="s">
        <v>116</v>
      </c>
      <c r="H3359" s="29" t="s">
        <v>38</v>
      </c>
      <c r="I3359" s="120">
        <v>45995</v>
      </c>
      <c r="J3359" s="120">
        <v>45999</v>
      </c>
      <c r="K3359" s="120">
        <v>46026</v>
      </c>
      <c r="L3359" s="120"/>
      <c r="M3359" s="120"/>
      <c r="N3359" s="29"/>
      <c r="O3359" s="119" t="s">
        <v>60</v>
      </c>
      <c r="P3359" s="29"/>
      <c r="Q3359" s="156"/>
      <c r="R3359" s="134" t="s">
        <v>1503</v>
      </c>
    </row>
    <row r="3360" spans="1:18" hidden="1">
      <c r="A3360" s="160" t="s">
        <v>1501</v>
      </c>
      <c r="B3360" s="160"/>
      <c r="C3360" s="29">
        <v>338504719</v>
      </c>
      <c r="D3360" s="29"/>
      <c r="E3360" s="29"/>
      <c r="F3360" s="29" t="s">
        <v>1493</v>
      </c>
      <c r="G3360" s="29" t="s">
        <v>116</v>
      </c>
      <c r="H3360" s="29" t="s">
        <v>38</v>
      </c>
      <c r="I3360" s="120">
        <v>45995</v>
      </c>
      <c r="J3360" s="120">
        <v>45999</v>
      </c>
      <c r="K3360" s="120">
        <v>46026</v>
      </c>
      <c r="L3360" s="120"/>
      <c r="M3360" s="120"/>
      <c r="N3360" s="29"/>
      <c r="O3360" s="119" t="s">
        <v>60</v>
      </c>
      <c r="P3360" s="29"/>
      <c r="Q3360" s="156" t="s">
        <v>91</v>
      </c>
      <c r="R3360" s="134" t="s">
        <v>1503</v>
      </c>
    </row>
    <row r="3361" spans="1:18" hidden="1">
      <c r="A3361" s="160" t="s">
        <v>1501</v>
      </c>
      <c r="B3361" s="160"/>
      <c r="C3361" s="29">
        <v>338504719</v>
      </c>
      <c r="D3361" s="29"/>
      <c r="E3361" s="29"/>
      <c r="F3361" s="29" t="s">
        <v>1493</v>
      </c>
      <c r="G3361" s="29" t="s">
        <v>116</v>
      </c>
      <c r="H3361" s="29" t="s">
        <v>38</v>
      </c>
      <c r="I3361" s="120">
        <v>45995</v>
      </c>
      <c r="J3361" s="120">
        <v>45999</v>
      </c>
      <c r="K3361" s="120">
        <v>46026</v>
      </c>
      <c r="L3361" s="120"/>
      <c r="M3361" s="120"/>
      <c r="N3361" s="29"/>
      <c r="O3361" s="119" t="s">
        <v>60</v>
      </c>
      <c r="P3361" s="29"/>
      <c r="Q3361" s="156" t="s">
        <v>1504</v>
      </c>
      <c r="R3361" s="134" t="s">
        <v>1503</v>
      </c>
    </row>
    <row r="3362" spans="1:18" hidden="1">
      <c r="A3362" s="160" t="s">
        <v>1501</v>
      </c>
      <c r="B3362" s="160"/>
      <c r="C3362" s="29">
        <v>338504917</v>
      </c>
      <c r="D3362" s="29"/>
      <c r="E3362" s="29"/>
      <c r="F3362" s="29" t="s">
        <v>1493</v>
      </c>
      <c r="G3362" s="29" t="s">
        <v>116</v>
      </c>
      <c r="H3362" s="29" t="s">
        <v>38</v>
      </c>
      <c r="I3362" s="120">
        <v>45995</v>
      </c>
      <c r="J3362" s="120">
        <v>45999</v>
      </c>
      <c r="K3362" s="120">
        <v>46026</v>
      </c>
      <c r="L3362" s="120"/>
      <c r="M3362" s="120"/>
      <c r="N3362" s="29"/>
      <c r="O3362" s="119" t="s">
        <v>60</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116</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116</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116</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116</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116</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116</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116</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116</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116</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116</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116</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116</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116</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116</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116</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116</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116</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116</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116</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139</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139</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139</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139</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116</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116</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116</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116</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116</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116</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116</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116</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116</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116</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116</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116</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116</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116</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116</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116</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116</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116</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116</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116</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116</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116</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116</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116</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116</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116</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116</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116</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116</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116</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116</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116</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116</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116</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116</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116</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116</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116</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116</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116</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116</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116</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116</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116</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116</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116</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116</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116</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116</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132</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132</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132</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132</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132</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132</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132</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132</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139</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139</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139</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139</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139</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139</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139</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139</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139</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139</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139</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139</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81</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81</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81</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81</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81</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81</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81</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81</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81</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81</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81</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81</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81</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81</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81</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81</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81</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81</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81</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81</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81</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81</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81</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81</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81</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81</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81</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81</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81</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81</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81</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60</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116</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116</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122</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122</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122</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88</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88</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88</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88</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88</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88</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88</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88</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88</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88</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88</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88</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88</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88</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88</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1892</v>
      </c>
      <c r="B3848" s="160"/>
      <c r="C3848" s="88">
        <v>300502769</v>
      </c>
      <c r="D3848" s="29"/>
      <c r="E3848" s="29"/>
      <c r="F3848" s="29" t="s">
        <v>88</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171</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171</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171</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171</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171</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171</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171</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171</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171</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171</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171</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171</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171</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171</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171</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171</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171</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171</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171</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171</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171</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171</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171</v>
      </c>
      <c r="P3872" s="120"/>
      <c r="Q3872" s="156"/>
    </row>
    <row r="3873" spans="1:121">
      <c r="A3873" s="160" t="s">
        <v>1920</v>
      </c>
      <c r="B3873" s="160"/>
      <c r="C3873" s="88" t="s">
        <v>1921</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1922</v>
      </c>
      <c r="B3874" s="160"/>
      <c r="C3874" s="88" t="s">
        <v>1923</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272</v>
      </c>
      <c r="G3886" s="3" t="s">
        <v>116</v>
      </c>
      <c r="H3886" s="3" t="s">
        <v>123</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273</v>
      </c>
      <c r="G3887" s="3" t="s">
        <v>116</v>
      </c>
      <c r="H3887" s="3" t="s">
        <v>123</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274</v>
      </c>
      <c r="G3888" s="3" t="s">
        <v>116</v>
      </c>
      <c r="H3888" s="3" t="s">
        <v>123</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275</v>
      </c>
      <c r="G3889" s="3" t="s">
        <v>116</v>
      </c>
      <c r="H3889" s="3" t="s">
        <v>123</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1973</v>
      </c>
      <c r="B3950" s="171"/>
      <c r="C3950" s="88">
        <v>121606970</v>
      </c>
      <c r="D3950" s="29"/>
      <c r="E3950" s="29"/>
      <c r="F3950" s="29" t="s">
        <v>143</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160</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160</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160</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160</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160</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116</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116</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116</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116</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116</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160</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160</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160</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160</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160</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160</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160</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160</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160</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160</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160</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160</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160</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1989</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1989</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1989</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1990</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1990</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1990</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1991</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65</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65</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1478</v>
      </c>
      <c r="G4118" s="3" t="s">
        <v>116</v>
      </c>
      <c r="H4118" s="3" t="s">
        <v>29</v>
      </c>
      <c r="I4118" s="55">
        <v>46126</v>
      </c>
      <c r="J4118" s="55">
        <v>46129</v>
      </c>
      <c r="K4118" s="55">
        <v>46156</v>
      </c>
      <c r="L4118" s="55"/>
      <c r="M4118" s="55"/>
      <c r="N4118" s="3"/>
      <c r="O4118" s="119" t="s">
        <v>10</v>
      </c>
      <c r="P4118" s="55">
        <v>46185</v>
      </c>
      <c r="Q4118" s="167"/>
      <c r="R4118" s="1" t="s">
        <v>2007</v>
      </c>
    </row>
    <row r="4119" spans="1:121">
      <c r="A4119" s="166" t="s">
        <v>156</v>
      </c>
      <c r="B4119" s="173" t="s">
        <v>157</v>
      </c>
      <c r="C4119" s="195">
        <v>104610075</v>
      </c>
      <c r="D4119" s="168">
        <v>134609284</v>
      </c>
      <c r="E4119" s="29"/>
      <c r="F4119" s="29" t="s">
        <v>1478</v>
      </c>
      <c r="G4119" s="3" t="s">
        <v>116</v>
      </c>
      <c r="H4119" s="3" t="s">
        <v>29</v>
      </c>
      <c r="I4119" s="55">
        <v>46126</v>
      </c>
      <c r="J4119" s="55">
        <v>46129</v>
      </c>
      <c r="K4119" s="55">
        <v>46156</v>
      </c>
      <c r="L4119" s="55"/>
      <c r="M4119" s="55"/>
      <c r="N4119" s="3"/>
      <c r="O4119" s="119" t="s">
        <v>10</v>
      </c>
      <c r="P4119" s="55">
        <v>46185</v>
      </c>
      <c r="Q4119" s="167"/>
      <c r="R4119" s="1" t="s">
        <v>2007</v>
      </c>
    </row>
    <row r="4120" spans="1:121">
      <c r="A4120" s="166" t="s">
        <v>156</v>
      </c>
      <c r="B4120" s="173" t="s">
        <v>157</v>
      </c>
      <c r="C4120" s="195">
        <v>104610080</v>
      </c>
      <c r="D4120" s="168">
        <v>134609285</v>
      </c>
      <c r="E4120" s="29"/>
      <c r="F4120" s="29" t="s">
        <v>1478</v>
      </c>
      <c r="G4120" s="3" t="s">
        <v>116</v>
      </c>
      <c r="H4120" s="3" t="s">
        <v>29</v>
      </c>
      <c r="I4120" s="55">
        <v>46126</v>
      </c>
      <c r="J4120" s="55">
        <v>46129</v>
      </c>
      <c r="K4120" s="55">
        <v>46156</v>
      </c>
      <c r="L4120" s="55"/>
      <c r="M4120" s="55"/>
      <c r="N4120" s="3"/>
      <c r="O4120" s="119" t="s">
        <v>10</v>
      </c>
      <c r="P4120" s="55">
        <v>46185</v>
      </c>
      <c r="Q4120" s="167"/>
      <c r="R4120" s="1" t="s">
        <v>2007</v>
      </c>
    </row>
    <row r="4121" spans="1:121">
      <c r="A4121" s="166" t="s">
        <v>156</v>
      </c>
      <c r="B4121" s="173" t="s">
        <v>157</v>
      </c>
      <c r="C4121" s="195">
        <v>104610092</v>
      </c>
      <c r="D4121" s="168">
        <v>134609288</v>
      </c>
      <c r="E4121" s="29"/>
      <c r="F4121" s="29" t="s">
        <v>1478</v>
      </c>
      <c r="G4121" s="3" t="s">
        <v>116</v>
      </c>
      <c r="H4121" s="3" t="s">
        <v>29</v>
      </c>
      <c r="I4121" s="55">
        <v>46126</v>
      </c>
      <c r="J4121" s="55">
        <v>46129</v>
      </c>
      <c r="K4121" s="55">
        <v>46156</v>
      </c>
      <c r="L4121" s="55"/>
      <c r="M4121" s="55"/>
      <c r="N4121" s="3"/>
      <c r="O4121" s="119" t="s">
        <v>10</v>
      </c>
      <c r="P4121" s="55">
        <v>46185</v>
      </c>
      <c r="Q4121" s="167"/>
      <c r="R4121" s="1" t="s">
        <v>2007</v>
      </c>
    </row>
    <row r="4122" spans="1:121">
      <c r="A4122" s="166" t="s">
        <v>156</v>
      </c>
      <c r="B4122" s="173" t="s">
        <v>157</v>
      </c>
      <c r="C4122" s="195">
        <v>104610098</v>
      </c>
      <c r="D4122" s="168">
        <v>134609290</v>
      </c>
      <c r="E4122" s="29"/>
      <c r="F4122" s="29" t="s">
        <v>1478</v>
      </c>
      <c r="G4122" s="3" t="s">
        <v>116</v>
      </c>
      <c r="H4122" s="3" t="s">
        <v>29</v>
      </c>
      <c r="I4122" s="55">
        <v>46126</v>
      </c>
      <c r="J4122" s="55">
        <v>46129</v>
      </c>
      <c r="K4122" s="55">
        <v>46156</v>
      </c>
      <c r="L4122" s="55"/>
      <c r="M4122" s="55"/>
      <c r="N4122" s="3"/>
      <c r="O4122" s="119" t="s">
        <v>10</v>
      </c>
      <c r="P4122" s="55">
        <v>46185</v>
      </c>
      <c r="Q4122" s="167"/>
      <c r="R4122" s="1" t="s">
        <v>2007</v>
      </c>
    </row>
    <row r="4123" spans="1:121">
      <c r="A4123" s="166" t="s">
        <v>156</v>
      </c>
      <c r="B4123" s="173" t="s">
        <v>157</v>
      </c>
      <c r="C4123" s="195">
        <v>104610100</v>
      </c>
      <c r="D4123" s="168">
        <v>134609292</v>
      </c>
      <c r="E4123" s="29"/>
      <c r="F4123" s="29" t="s">
        <v>1478</v>
      </c>
      <c r="G4123" s="3" t="s">
        <v>116</v>
      </c>
      <c r="H4123" s="3" t="s">
        <v>29</v>
      </c>
      <c r="I4123" s="55">
        <v>46126</v>
      </c>
      <c r="J4123" s="55">
        <v>46129</v>
      </c>
      <c r="K4123" s="55">
        <v>46156</v>
      </c>
      <c r="L4123" s="55"/>
      <c r="M4123" s="55"/>
      <c r="N4123" s="3"/>
      <c r="O4123" s="119" t="s">
        <v>10</v>
      </c>
      <c r="P4123" s="55">
        <v>46185</v>
      </c>
      <c r="Q4123" s="167"/>
      <c r="R4123" s="1" t="s">
        <v>2007</v>
      </c>
    </row>
    <row r="4124" spans="1:121">
      <c r="A4124" s="166" t="s">
        <v>156</v>
      </c>
      <c r="B4124" s="173" t="s">
        <v>157</v>
      </c>
      <c r="C4124" s="195">
        <v>104610107</v>
      </c>
      <c r="D4124" s="168">
        <v>134609293</v>
      </c>
      <c r="E4124" s="29"/>
      <c r="F4124" s="29" t="s">
        <v>1478</v>
      </c>
      <c r="G4124" s="3" t="s">
        <v>116</v>
      </c>
      <c r="H4124" s="3" t="s">
        <v>29</v>
      </c>
      <c r="I4124" s="55">
        <v>46126</v>
      </c>
      <c r="J4124" s="55">
        <v>46129</v>
      </c>
      <c r="K4124" s="55">
        <v>46156</v>
      </c>
      <c r="L4124" s="55"/>
      <c r="M4124" s="55"/>
      <c r="N4124" s="3"/>
      <c r="O4124" s="119" t="s">
        <v>10</v>
      </c>
      <c r="P4124" s="55">
        <v>46174</v>
      </c>
      <c r="Q4124" s="167"/>
      <c r="R4124" s="1" t="s">
        <v>2007</v>
      </c>
    </row>
    <row r="4125" spans="1:121">
      <c r="A4125" s="166" t="s">
        <v>156</v>
      </c>
      <c r="B4125" s="173" t="s">
        <v>157</v>
      </c>
      <c r="C4125" s="195">
        <v>104610123</v>
      </c>
      <c r="D4125" s="168">
        <v>134609294</v>
      </c>
      <c r="E4125" s="29"/>
      <c r="F4125" s="29" t="s">
        <v>1478</v>
      </c>
      <c r="G4125" s="3" t="s">
        <v>116</v>
      </c>
      <c r="H4125" s="3" t="s">
        <v>29</v>
      </c>
      <c r="I4125" s="55">
        <v>46126</v>
      </c>
      <c r="J4125" s="55">
        <v>46129</v>
      </c>
      <c r="K4125" s="55">
        <v>46156</v>
      </c>
      <c r="L4125" s="55"/>
      <c r="M4125" s="55"/>
      <c r="N4125" s="3"/>
      <c r="O4125" s="119" t="s">
        <v>10</v>
      </c>
      <c r="P4125" s="55">
        <v>46174</v>
      </c>
      <c r="Q4125" s="167"/>
      <c r="R4125" s="1" t="s">
        <v>2007</v>
      </c>
    </row>
    <row r="4126" spans="1:121">
      <c r="A4126" s="166" t="s">
        <v>156</v>
      </c>
      <c r="B4126" s="173" t="s">
        <v>157</v>
      </c>
      <c r="C4126" s="195">
        <v>104610138</v>
      </c>
      <c r="D4126" s="168">
        <v>134609295</v>
      </c>
      <c r="E4126" s="29"/>
      <c r="F4126" s="29" t="s">
        <v>1478</v>
      </c>
      <c r="G4126" s="3" t="s">
        <v>116</v>
      </c>
      <c r="H4126" s="3" t="s">
        <v>29</v>
      </c>
      <c r="I4126" s="55">
        <v>46126</v>
      </c>
      <c r="J4126" s="55">
        <v>46129</v>
      </c>
      <c r="K4126" s="55">
        <v>46156</v>
      </c>
      <c r="L4126" s="55"/>
      <c r="M4126" s="55"/>
      <c r="N4126" s="3"/>
      <c r="O4126" s="119" t="s">
        <v>10</v>
      </c>
      <c r="P4126" s="55">
        <v>46174</v>
      </c>
      <c r="Q4126" s="167"/>
      <c r="R4126" s="1" t="s">
        <v>2007</v>
      </c>
    </row>
    <row r="4127" spans="1:121">
      <c r="A4127" s="166" t="s">
        <v>156</v>
      </c>
      <c r="B4127" s="173" t="s">
        <v>157</v>
      </c>
      <c r="C4127" s="195">
        <v>104610144</v>
      </c>
      <c r="D4127" s="168">
        <v>134609296</v>
      </c>
      <c r="E4127" s="29"/>
      <c r="F4127" s="29" t="s">
        <v>1478</v>
      </c>
      <c r="G4127" s="3" t="s">
        <v>116</v>
      </c>
      <c r="H4127" s="3" t="s">
        <v>29</v>
      </c>
      <c r="I4127" s="55">
        <v>46126</v>
      </c>
      <c r="J4127" s="55">
        <v>46129</v>
      </c>
      <c r="K4127" s="55">
        <v>46156</v>
      </c>
      <c r="L4127" s="55"/>
      <c r="M4127" s="55"/>
      <c r="N4127" s="3"/>
      <c r="O4127" s="119" t="s">
        <v>10</v>
      </c>
      <c r="P4127" s="55">
        <v>46174</v>
      </c>
      <c r="Q4127" s="167"/>
      <c r="R4127" s="1" t="s">
        <v>2007</v>
      </c>
    </row>
    <row r="4128" spans="1:121">
      <c r="A4128" s="166" t="s">
        <v>156</v>
      </c>
      <c r="B4128" s="173" t="s">
        <v>157</v>
      </c>
      <c r="C4128" s="195">
        <v>104610148</v>
      </c>
      <c r="D4128" s="168">
        <v>134609298</v>
      </c>
      <c r="E4128" s="29"/>
      <c r="F4128" s="29" t="s">
        <v>1478</v>
      </c>
      <c r="G4128" s="3" t="s">
        <v>116</v>
      </c>
      <c r="H4128" s="3" t="s">
        <v>29</v>
      </c>
      <c r="I4128" s="55">
        <v>46126</v>
      </c>
      <c r="J4128" s="55">
        <v>46129</v>
      </c>
      <c r="K4128" s="55">
        <v>46156</v>
      </c>
      <c r="L4128" s="55"/>
      <c r="M4128" s="55"/>
      <c r="N4128" s="3"/>
      <c r="O4128" s="119" t="s">
        <v>10</v>
      </c>
      <c r="P4128" s="55">
        <v>46174</v>
      </c>
      <c r="Q4128" s="167"/>
      <c r="R4128" s="1" t="s">
        <v>2007</v>
      </c>
    </row>
    <row r="4129" spans="1:18">
      <c r="A4129" s="166" t="s">
        <v>156</v>
      </c>
      <c r="B4129" s="173" t="s">
        <v>157</v>
      </c>
      <c r="C4129" s="195">
        <v>104610154</v>
      </c>
      <c r="D4129" s="168">
        <v>134609299</v>
      </c>
      <c r="E4129" s="29"/>
      <c r="F4129" s="29" t="s">
        <v>1478</v>
      </c>
      <c r="G4129" s="3" t="s">
        <v>116</v>
      </c>
      <c r="H4129" s="3" t="s">
        <v>29</v>
      </c>
      <c r="I4129" s="55">
        <v>46126</v>
      </c>
      <c r="J4129" s="55">
        <v>46129</v>
      </c>
      <c r="K4129" s="55">
        <v>46156</v>
      </c>
      <c r="L4129" s="55"/>
      <c r="M4129" s="55"/>
      <c r="N4129" s="3"/>
      <c r="O4129" s="119" t="s">
        <v>9</v>
      </c>
      <c r="P4129" s="3"/>
      <c r="Q4129" s="167"/>
      <c r="R4129" s="1" t="s">
        <v>2007</v>
      </c>
    </row>
    <row r="4130" spans="1:18">
      <c r="A4130" s="166" t="s">
        <v>156</v>
      </c>
      <c r="B4130" s="173" t="s">
        <v>157</v>
      </c>
      <c r="C4130" s="195">
        <v>104610160</v>
      </c>
      <c r="D4130" s="168">
        <v>134609300</v>
      </c>
      <c r="E4130" s="29"/>
      <c r="F4130" s="29" t="s">
        <v>1478</v>
      </c>
      <c r="G4130" s="3" t="s">
        <v>116</v>
      </c>
      <c r="H4130" s="3" t="s">
        <v>29</v>
      </c>
      <c r="I4130" s="55">
        <v>46126</v>
      </c>
      <c r="J4130" s="55">
        <v>46129</v>
      </c>
      <c r="K4130" s="55">
        <v>46156</v>
      </c>
      <c r="L4130" s="55"/>
      <c r="M4130" s="55"/>
      <c r="N4130" s="3"/>
      <c r="O4130" s="119" t="s">
        <v>9</v>
      </c>
      <c r="P4130" s="3"/>
      <c r="Q4130" s="167"/>
      <c r="R4130" s="1" t="s">
        <v>2007</v>
      </c>
    </row>
    <row r="4131" spans="1:18">
      <c r="A4131" s="166" t="s">
        <v>156</v>
      </c>
      <c r="B4131" s="173" t="s">
        <v>157</v>
      </c>
      <c r="C4131" s="195">
        <v>104610171</v>
      </c>
      <c r="D4131" s="168">
        <v>134609303</v>
      </c>
      <c r="E4131" s="29"/>
      <c r="F4131" s="29" t="s">
        <v>1478</v>
      </c>
      <c r="G4131" s="3" t="s">
        <v>116</v>
      </c>
      <c r="H4131" s="3" t="s">
        <v>29</v>
      </c>
      <c r="I4131" s="55">
        <v>46126</v>
      </c>
      <c r="J4131" s="55">
        <v>46129</v>
      </c>
      <c r="K4131" s="55">
        <v>46156</v>
      </c>
      <c r="L4131" s="55"/>
      <c r="M4131" s="55"/>
      <c r="N4131" s="3"/>
      <c r="O4131" s="119" t="s">
        <v>9</v>
      </c>
      <c r="P4131" s="3"/>
      <c r="Q4131" s="167"/>
      <c r="R4131" s="1" t="s">
        <v>2007</v>
      </c>
    </row>
    <row r="4132" spans="1:18">
      <c r="A4132" s="166" t="s">
        <v>156</v>
      </c>
      <c r="B4132" s="173" t="s">
        <v>157</v>
      </c>
      <c r="C4132" s="195">
        <v>104610177</v>
      </c>
      <c r="D4132" s="168">
        <v>134609306</v>
      </c>
      <c r="E4132" s="29"/>
      <c r="F4132" s="29" t="s">
        <v>1478</v>
      </c>
      <c r="G4132" s="3" t="s">
        <v>116</v>
      </c>
      <c r="H4132" s="3" t="s">
        <v>29</v>
      </c>
      <c r="I4132" s="55">
        <v>46126</v>
      </c>
      <c r="J4132" s="55">
        <v>46129</v>
      </c>
      <c r="K4132" s="55">
        <v>46156</v>
      </c>
      <c r="L4132" s="55"/>
      <c r="M4132" s="55"/>
      <c r="N4132" s="3"/>
      <c r="O4132" s="119" t="s">
        <v>10</v>
      </c>
      <c r="P4132" s="55">
        <v>46174</v>
      </c>
      <c r="Q4132" s="167"/>
      <c r="R4132" s="1" t="s">
        <v>2007</v>
      </c>
    </row>
    <row r="4133" spans="1:18">
      <c r="A4133" s="166" t="s">
        <v>156</v>
      </c>
      <c r="B4133" s="173" t="s">
        <v>157</v>
      </c>
      <c r="C4133" s="195">
        <v>104610186</v>
      </c>
      <c r="D4133" s="168">
        <v>134609307</v>
      </c>
      <c r="E4133" s="29"/>
      <c r="F4133" s="29" t="s">
        <v>1478</v>
      </c>
      <c r="G4133" s="3" t="s">
        <v>116</v>
      </c>
      <c r="H4133" s="3" t="s">
        <v>29</v>
      </c>
      <c r="I4133" s="55">
        <v>46126</v>
      </c>
      <c r="J4133" s="55">
        <v>46129</v>
      </c>
      <c r="K4133" s="55">
        <v>46156</v>
      </c>
      <c r="L4133" s="55"/>
      <c r="M4133" s="55"/>
      <c r="N4133" s="3"/>
      <c r="O4133" s="119" t="s">
        <v>9</v>
      </c>
      <c r="P4133" s="3"/>
      <c r="Q4133" s="167"/>
      <c r="R4133" s="1" t="s">
        <v>2007</v>
      </c>
    </row>
    <row r="4134" spans="1:18">
      <c r="A4134" s="166" t="s">
        <v>156</v>
      </c>
      <c r="B4134" s="173" t="s">
        <v>157</v>
      </c>
      <c r="C4134" s="195">
        <v>104610188</v>
      </c>
      <c r="D4134" s="168">
        <v>134609308</v>
      </c>
      <c r="E4134" s="29"/>
      <c r="F4134" s="29" t="s">
        <v>1478</v>
      </c>
      <c r="G4134" s="3" t="s">
        <v>116</v>
      </c>
      <c r="H4134" s="3" t="s">
        <v>29</v>
      </c>
      <c r="I4134" s="55">
        <v>46126</v>
      </c>
      <c r="J4134" s="55">
        <v>46129</v>
      </c>
      <c r="K4134" s="55">
        <v>46156</v>
      </c>
      <c r="L4134" s="55"/>
      <c r="M4134" s="55"/>
      <c r="N4134" s="3"/>
      <c r="O4134" s="119" t="s">
        <v>9</v>
      </c>
      <c r="P4134" s="3"/>
      <c r="Q4134" s="167"/>
      <c r="R4134" s="1" t="s">
        <v>2007</v>
      </c>
    </row>
    <row r="4135" spans="1:18">
      <c r="A4135" s="166" t="s">
        <v>156</v>
      </c>
      <c r="B4135" s="173" t="s">
        <v>157</v>
      </c>
      <c r="C4135" s="195">
        <v>104610195</v>
      </c>
      <c r="D4135" s="168">
        <v>134609310</v>
      </c>
      <c r="E4135" s="29"/>
      <c r="F4135" s="29" t="s">
        <v>1478</v>
      </c>
      <c r="G4135" s="3" t="s">
        <v>116</v>
      </c>
      <c r="H4135" s="3" t="s">
        <v>29</v>
      </c>
      <c r="I4135" s="55">
        <v>46126</v>
      </c>
      <c r="J4135" s="55">
        <v>46129</v>
      </c>
      <c r="K4135" s="55">
        <v>46156</v>
      </c>
      <c r="L4135" s="55"/>
      <c r="M4135" s="55"/>
      <c r="N4135" s="3"/>
      <c r="O4135" s="119" t="s">
        <v>9</v>
      </c>
      <c r="P4135" s="3"/>
      <c r="Q4135" s="167"/>
      <c r="R4135" s="1" t="s">
        <v>2007</v>
      </c>
    </row>
    <row r="4136" spans="1:18">
      <c r="A4136" s="166" t="s">
        <v>156</v>
      </c>
      <c r="B4136" s="173" t="s">
        <v>157</v>
      </c>
      <c r="C4136" s="195">
        <v>104610201</v>
      </c>
      <c r="D4136" s="168">
        <v>134609311</v>
      </c>
      <c r="E4136" s="29"/>
      <c r="F4136" s="29" t="s">
        <v>1478</v>
      </c>
      <c r="G4136" s="3" t="s">
        <v>116</v>
      </c>
      <c r="H4136" s="3" t="s">
        <v>29</v>
      </c>
      <c r="I4136" s="55">
        <v>46126</v>
      </c>
      <c r="J4136" s="55">
        <v>46129</v>
      </c>
      <c r="K4136" s="55">
        <v>46156</v>
      </c>
      <c r="L4136" s="55"/>
      <c r="M4136" s="55"/>
      <c r="N4136" s="3"/>
      <c r="O4136" s="119" t="s">
        <v>9</v>
      </c>
      <c r="P4136" s="3"/>
      <c r="Q4136" s="167"/>
      <c r="R4136" s="1" t="s">
        <v>2007</v>
      </c>
    </row>
    <row r="4137" spans="1:18">
      <c r="A4137" s="166" t="s">
        <v>156</v>
      </c>
      <c r="B4137" s="173" t="s">
        <v>157</v>
      </c>
      <c r="C4137" s="195">
        <v>104610204</v>
      </c>
      <c r="D4137" s="168">
        <v>134609312</v>
      </c>
      <c r="E4137" s="29"/>
      <c r="F4137" s="29" t="s">
        <v>1478</v>
      </c>
      <c r="G4137" s="3" t="s">
        <v>116</v>
      </c>
      <c r="H4137" s="3" t="s">
        <v>29</v>
      </c>
      <c r="I4137" s="55">
        <v>46126</v>
      </c>
      <c r="J4137" s="55">
        <v>46129</v>
      </c>
      <c r="K4137" s="55">
        <v>46156</v>
      </c>
      <c r="L4137" s="55"/>
      <c r="M4137" s="55"/>
      <c r="N4137" s="3"/>
      <c r="O4137" s="119" t="s">
        <v>9</v>
      </c>
      <c r="P4137" s="3"/>
      <c r="Q4137" s="167"/>
      <c r="R4137" s="1" t="s">
        <v>2007</v>
      </c>
    </row>
    <row r="4138" spans="1:18">
      <c r="A4138" s="166" t="s">
        <v>156</v>
      </c>
      <c r="B4138" s="173" t="s">
        <v>157</v>
      </c>
      <c r="C4138" s="195">
        <v>104610207</v>
      </c>
      <c r="D4138" s="168">
        <v>134609325</v>
      </c>
      <c r="E4138" s="29"/>
      <c r="F4138" s="29" t="s">
        <v>1478</v>
      </c>
      <c r="G4138" s="3" t="s">
        <v>116</v>
      </c>
      <c r="H4138" s="3" t="s">
        <v>29</v>
      </c>
      <c r="I4138" s="55">
        <v>46126</v>
      </c>
      <c r="J4138" s="55">
        <v>46129</v>
      </c>
      <c r="K4138" s="55">
        <v>46156</v>
      </c>
      <c r="L4138" s="55"/>
      <c r="M4138" s="55"/>
      <c r="N4138" s="3"/>
      <c r="O4138" s="119" t="s">
        <v>9</v>
      </c>
      <c r="P4138" s="3"/>
      <c r="Q4138" s="167"/>
      <c r="R4138" s="1" t="s">
        <v>2007</v>
      </c>
    </row>
    <row r="4139" spans="1:18">
      <c r="A4139" s="166" t="s">
        <v>156</v>
      </c>
      <c r="B4139" s="173" t="s">
        <v>157</v>
      </c>
      <c r="C4139" s="195">
        <v>104610210</v>
      </c>
      <c r="D4139" s="168">
        <v>134609330</v>
      </c>
      <c r="E4139" s="29"/>
      <c r="F4139" s="29" t="s">
        <v>1478</v>
      </c>
      <c r="G4139" s="3" t="s">
        <v>116</v>
      </c>
      <c r="H4139" s="3" t="s">
        <v>29</v>
      </c>
      <c r="I4139" s="55">
        <v>46126</v>
      </c>
      <c r="J4139" s="55">
        <v>46129</v>
      </c>
      <c r="K4139" s="55">
        <v>46156</v>
      </c>
      <c r="L4139" s="55"/>
      <c r="M4139" s="55"/>
      <c r="N4139" s="3"/>
      <c r="O4139" s="119" t="s">
        <v>9</v>
      </c>
      <c r="P4139" s="3"/>
      <c r="Q4139" s="167"/>
      <c r="R4139" s="1" t="s">
        <v>2007</v>
      </c>
    </row>
    <row r="4140" spans="1:18">
      <c r="A4140" s="166" t="s">
        <v>156</v>
      </c>
      <c r="B4140" s="173" t="s">
        <v>157</v>
      </c>
      <c r="C4140" s="195">
        <v>104610214</v>
      </c>
      <c r="D4140" s="168">
        <v>134609334</v>
      </c>
      <c r="E4140" s="29"/>
      <c r="F4140" s="29" t="s">
        <v>1478</v>
      </c>
      <c r="G4140" s="3" t="s">
        <v>116</v>
      </c>
      <c r="H4140" s="3" t="s">
        <v>29</v>
      </c>
      <c r="I4140" s="55">
        <v>46126</v>
      </c>
      <c r="J4140" s="55">
        <v>46129</v>
      </c>
      <c r="K4140" s="55">
        <v>46156</v>
      </c>
      <c r="L4140" s="55"/>
      <c r="M4140" s="55"/>
      <c r="N4140" s="3"/>
      <c r="O4140" s="119" t="s">
        <v>10</v>
      </c>
      <c r="P4140" s="55">
        <v>46174</v>
      </c>
      <c r="Q4140" s="167"/>
      <c r="R4140" s="1" t="s">
        <v>2007</v>
      </c>
    </row>
    <row r="4141" spans="1:18">
      <c r="A4141" s="166" t="s">
        <v>156</v>
      </c>
      <c r="B4141" s="173" t="s">
        <v>157</v>
      </c>
      <c r="C4141" s="195">
        <v>104610215</v>
      </c>
      <c r="D4141" s="168">
        <v>134609338</v>
      </c>
      <c r="E4141" s="29"/>
      <c r="F4141" s="29" t="s">
        <v>1478</v>
      </c>
      <c r="G4141" s="3" t="s">
        <v>116</v>
      </c>
      <c r="H4141" s="3" t="s">
        <v>29</v>
      </c>
      <c r="I4141" s="55">
        <v>46126</v>
      </c>
      <c r="J4141" s="55">
        <v>46129</v>
      </c>
      <c r="K4141" s="55">
        <v>46156</v>
      </c>
      <c r="L4141" s="55"/>
      <c r="M4141" s="55"/>
      <c r="N4141" s="3"/>
      <c r="O4141" s="119" t="s">
        <v>9</v>
      </c>
      <c r="P4141" s="3"/>
      <c r="Q4141" s="167"/>
      <c r="R4141" s="1" t="s">
        <v>2007</v>
      </c>
    </row>
    <row r="4142" spans="1:18">
      <c r="A4142" s="166" t="s">
        <v>156</v>
      </c>
      <c r="B4142" s="173" t="s">
        <v>157</v>
      </c>
      <c r="C4142" s="195">
        <v>104610220</v>
      </c>
      <c r="D4142" s="168">
        <v>134609342</v>
      </c>
      <c r="E4142" s="29"/>
      <c r="F4142" s="29" t="s">
        <v>1478</v>
      </c>
      <c r="G4142" s="3" t="s">
        <v>116</v>
      </c>
      <c r="H4142" s="3" t="s">
        <v>29</v>
      </c>
      <c r="I4142" s="55">
        <v>46126</v>
      </c>
      <c r="J4142" s="55">
        <v>46129</v>
      </c>
      <c r="K4142" s="55">
        <v>46156</v>
      </c>
      <c r="L4142" s="55"/>
      <c r="M4142" s="55"/>
      <c r="N4142" s="3"/>
      <c r="O4142" s="119" t="s">
        <v>9</v>
      </c>
      <c r="P4142" s="3"/>
      <c r="Q4142" s="167"/>
      <c r="R4142" s="1" t="s">
        <v>2007</v>
      </c>
    </row>
    <row r="4143" spans="1:18">
      <c r="A4143" s="166" t="s">
        <v>156</v>
      </c>
      <c r="B4143" s="173" t="s">
        <v>157</v>
      </c>
      <c r="C4143" s="195">
        <v>104610223</v>
      </c>
      <c r="D4143" s="168">
        <v>134609343</v>
      </c>
      <c r="E4143" s="29"/>
      <c r="F4143" s="29" t="s">
        <v>1478</v>
      </c>
      <c r="G4143" s="3" t="s">
        <v>116</v>
      </c>
      <c r="H4143" s="3" t="s">
        <v>29</v>
      </c>
      <c r="I4143" s="55">
        <v>46126</v>
      </c>
      <c r="J4143" s="55">
        <v>46129</v>
      </c>
      <c r="K4143" s="55">
        <v>46156</v>
      </c>
      <c r="L4143" s="55"/>
      <c r="M4143" s="55"/>
      <c r="N4143" s="3"/>
      <c r="O4143" s="119" t="s">
        <v>10</v>
      </c>
      <c r="P4143" s="55">
        <v>46174</v>
      </c>
      <c r="Q4143" s="167"/>
      <c r="R4143" s="1" t="s">
        <v>2007</v>
      </c>
    </row>
    <row r="4144" spans="1:18">
      <c r="A4144" s="166" t="s">
        <v>156</v>
      </c>
      <c r="B4144" s="173" t="s">
        <v>157</v>
      </c>
      <c r="C4144" s="195">
        <v>104610229</v>
      </c>
      <c r="D4144" s="168"/>
      <c r="E4144" s="29"/>
      <c r="F4144" s="29" t="s">
        <v>1478</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1478</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1478</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1478</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1478</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1478</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1478</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1478</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1478</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1478</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1478</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1478</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1478</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1478</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1478</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1478</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1478</v>
      </c>
      <c r="G4160" s="3" t="s">
        <v>116</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116</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116</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116</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116</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116</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116</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116</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116</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116</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116</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116</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116</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116</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116</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116</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116</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116</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116</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116</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116</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116</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116</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116</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116</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116</v>
      </c>
      <c r="H4185" s="3" t="s">
        <v>1978</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283</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283</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115</v>
      </c>
      <c r="G4188" s="3" t="s">
        <v>283</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115</v>
      </c>
      <c r="G4189" s="3" t="s">
        <v>283</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115</v>
      </c>
      <c r="G4190" s="3" t="s">
        <v>283</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115</v>
      </c>
      <c r="G4191" s="3" t="s">
        <v>283</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115</v>
      </c>
      <c r="G4192" s="3" t="s">
        <v>283</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115</v>
      </c>
      <c r="G4193" s="3" t="s">
        <v>283</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115</v>
      </c>
      <c r="G4194" s="3" t="s">
        <v>283</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115</v>
      </c>
      <c r="G4195" s="3" t="s">
        <v>283</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115</v>
      </c>
      <c r="G4196" s="3" t="s">
        <v>283</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115</v>
      </c>
      <c r="G4197" s="3" t="s">
        <v>283</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115</v>
      </c>
      <c r="G4198" s="3" t="s">
        <v>283</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115</v>
      </c>
      <c r="G4199" s="3" t="s">
        <v>283</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115</v>
      </c>
      <c r="G4200" s="3" t="s">
        <v>283</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115</v>
      </c>
      <c r="G4201" s="3" t="s">
        <v>283</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115</v>
      </c>
      <c r="G4202" s="3" t="s">
        <v>283</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115</v>
      </c>
      <c r="G4203" s="3" t="s">
        <v>283</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115</v>
      </c>
      <c r="G4204" s="3" t="s">
        <v>283</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115</v>
      </c>
      <c r="G4205" s="3" t="s">
        <v>283</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115</v>
      </c>
      <c r="G4206" s="3" t="s">
        <v>283</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115</v>
      </c>
      <c r="G4207" s="3" t="s">
        <v>283</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77</v>
      </c>
      <c r="G4243" s="3" t="s">
        <v>65</v>
      </c>
      <c r="H4243" s="3" t="s">
        <v>78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160</v>
      </c>
      <c r="G4247" s="3" t="s">
        <v>65</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160</v>
      </c>
      <c r="G4248" s="3" t="s">
        <v>65</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160</v>
      </c>
      <c r="G4249" s="3" t="s">
        <v>65</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160</v>
      </c>
      <c r="G4250" s="3" t="s">
        <v>65</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160</v>
      </c>
      <c r="G4251" s="3" t="s">
        <v>65</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160</v>
      </c>
      <c r="G4252" s="3" t="s">
        <v>65</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160</v>
      </c>
      <c r="G4253" s="3" t="s">
        <v>65</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160</v>
      </c>
      <c r="G4254" s="3" t="s">
        <v>65</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160</v>
      </c>
      <c r="G4255" s="3" t="s">
        <v>65</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1062</v>
      </c>
      <c r="G4274" s="3" t="s">
        <v>65</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1062</v>
      </c>
      <c r="G4275" s="3" t="s">
        <v>65</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1062</v>
      </c>
      <c r="G4276" s="3" t="s">
        <v>65</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1062</v>
      </c>
      <c r="G4277" s="3" t="s">
        <v>65</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1062</v>
      </c>
      <c r="G4278" s="3" t="s">
        <v>65</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1062</v>
      </c>
      <c r="G4279" s="3" t="s">
        <v>65</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1062</v>
      </c>
      <c r="G4280" s="3" t="s">
        <v>65</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1062</v>
      </c>
      <c r="G4281" s="3" t="s">
        <v>65</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214</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160</v>
      </c>
      <c r="G4316" s="3" t="s">
        <v>65</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160</v>
      </c>
      <c r="G4317" s="3" t="s">
        <v>65</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160</v>
      </c>
      <c r="G4318" s="3" t="s">
        <v>65</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160</v>
      </c>
      <c r="G4319" s="3" t="s">
        <v>65</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160</v>
      </c>
      <c r="G4320" s="3" t="s">
        <v>65</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160</v>
      </c>
      <c r="G4321" s="3" t="s">
        <v>65</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160</v>
      </c>
      <c r="G4322" s="3" t="s">
        <v>65</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160</v>
      </c>
      <c r="G4323" s="3" t="s">
        <v>65</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160</v>
      </c>
      <c r="G4324" s="3" t="s">
        <v>65</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160</v>
      </c>
      <c r="G4325" s="3" t="s">
        <v>65</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160</v>
      </c>
      <c r="G4326" s="3" t="s">
        <v>65</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160</v>
      </c>
      <c r="G4327" s="3" t="s">
        <v>65</v>
      </c>
      <c r="H4327" s="3" t="s">
        <v>1140</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2033</v>
      </c>
      <c r="B4335" s="173" t="s">
        <v>2034</v>
      </c>
      <c r="C4335" s="195">
        <v>138607831</v>
      </c>
      <c r="D4335" s="168"/>
      <c r="E4335" s="29"/>
      <c r="F4335" s="29" t="s">
        <v>69</v>
      </c>
      <c r="G4335" s="3" t="s">
        <v>65</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69</v>
      </c>
      <c r="G4336" s="3" t="s">
        <v>65</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69</v>
      </c>
      <c r="G4337" s="3" t="s">
        <v>65</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69</v>
      </c>
      <c r="G4338" s="3" t="s">
        <v>65</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69</v>
      </c>
      <c r="G4339" s="3" t="s">
        <v>65</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69</v>
      </c>
      <c r="G4340" s="3" t="s">
        <v>65</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69</v>
      </c>
      <c r="G4341" s="3" t="s">
        <v>65</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69</v>
      </c>
      <c r="G4342" s="3" t="s">
        <v>65</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116</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116</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116</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116</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116</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116</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116</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116</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116</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116</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116</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116</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116</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116</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116</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115</v>
      </c>
      <c r="G4394" s="3" t="s">
        <v>283</v>
      </c>
      <c r="H4394" s="3" t="s">
        <v>117</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115</v>
      </c>
      <c r="G4395" s="3" t="s">
        <v>283</v>
      </c>
      <c r="H4395" s="3" t="s">
        <v>117</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115</v>
      </c>
      <c r="G4396" s="3" t="s">
        <v>283</v>
      </c>
      <c r="H4396" s="3" t="s">
        <v>117</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115</v>
      </c>
      <c r="G4397" s="3" t="s">
        <v>283</v>
      </c>
      <c r="H4397" s="3" t="s">
        <v>117</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115</v>
      </c>
      <c r="G4398" s="3" t="s">
        <v>283</v>
      </c>
      <c r="H4398" s="3" t="s">
        <v>117</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115</v>
      </c>
      <c r="G4399" s="3" t="s">
        <v>283</v>
      </c>
      <c r="H4399" s="3" t="s">
        <v>117</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115</v>
      </c>
      <c r="G4400" s="3" t="s">
        <v>283</v>
      </c>
      <c r="H4400" s="3" t="s">
        <v>117</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115</v>
      </c>
      <c r="G4401" s="3" t="s">
        <v>283</v>
      </c>
      <c r="H4401" s="3" t="s">
        <v>117</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115</v>
      </c>
      <c r="G4402" s="3" t="s">
        <v>283</v>
      </c>
      <c r="H4402" s="3" t="s">
        <v>117</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115</v>
      </c>
      <c r="G4403" s="3" t="s">
        <v>283</v>
      </c>
      <c r="H4403" s="3" t="s">
        <v>117</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115</v>
      </c>
      <c r="G4404" s="3" t="s">
        <v>283</v>
      </c>
      <c r="H4404" s="3" t="s">
        <v>117</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115</v>
      </c>
      <c r="G4405" s="3" t="s">
        <v>283</v>
      </c>
      <c r="H4405" s="3" t="s">
        <v>117</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115</v>
      </c>
      <c r="G4406" s="3" t="s">
        <v>283</v>
      </c>
      <c r="H4406" s="3" t="s">
        <v>117</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115</v>
      </c>
      <c r="G4407" s="3" t="s">
        <v>283</v>
      </c>
      <c r="H4407" s="3" t="s">
        <v>117</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116</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116</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116</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116</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116</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116</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116</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116</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116</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116</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116</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116</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116</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116</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116</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115</v>
      </c>
      <c r="G4428" s="3" t="s">
        <v>283</v>
      </c>
      <c r="H4428" s="3" t="s">
        <v>117</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115</v>
      </c>
      <c r="G4429" s="3" t="s">
        <v>283</v>
      </c>
      <c r="H4429" s="3" t="s">
        <v>117</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115</v>
      </c>
      <c r="G4430" s="3" t="s">
        <v>283</v>
      </c>
      <c r="H4430" s="3" t="s">
        <v>117</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115</v>
      </c>
      <c r="G4431" s="3" t="s">
        <v>283</v>
      </c>
      <c r="H4431" s="3" t="s">
        <v>117</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115</v>
      </c>
      <c r="G4432" s="3" t="s">
        <v>283</v>
      </c>
      <c r="H4432" s="3" t="s">
        <v>117</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115</v>
      </c>
      <c r="G4433" s="3" t="s">
        <v>283</v>
      </c>
      <c r="H4433" s="3" t="s">
        <v>117</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115</v>
      </c>
      <c r="G4434" s="3" t="s">
        <v>283</v>
      </c>
      <c r="H4434" s="3" t="s">
        <v>117</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115</v>
      </c>
      <c r="G4435" s="3" t="s">
        <v>283</v>
      </c>
      <c r="H4435" s="3" t="s">
        <v>117</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115</v>
      </c>
      <c r="G4436" s="3" t="s">
        <v>283</v>
      </c>
      <c r="H4436" s="3" t="s">
        <v>117</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115</v>
      </c>
      <c r="G4437" s="3" t="s">
        <v>283</v>
      </c>
      <c r="H4437" s="3" t="s">
        <v>117</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115</v>
      </c>
      <c r="G4438" s="3" t="s">
        <v>283</v>
      </c>
      <c r="H4438" s="3" t="s">
        <v>117</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115</v>
      </c>
      <c r="G4439" s="3" t="s">
        <v>283</v>
      </c>
      <c r="H4439" s="3" t="s">
        <v>117</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115</v>
      </c>
      <c r="G4440" s="3" t="s">
        <v>283</v>
      </c>
      <c r="H4440" s="3" t="s">
        <v>117</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115</v>
      </c>
      <c r="G4441" s="3" t="s">
        <v>283</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2042</v>
      </c>
      <c r="G4442" s="3" t="s">
        <v>116</v>
      </c>
      <c r="H4442" s="3" t="s">
        <v>1978</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2042</v>
      </c>
      <c r="G4443" s="3" t="s">
        <v>116</v>
      </c>
      <c r="H4443" s="3" t="s">
        <v>1978</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2042</v>
      </c>
      <c r="G4444" s="3" t="s">
        <v>116</v>
      </c>
      <c r="H4444" s="3" t="s">
        <v>1978</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2042</v>
      </c>
      <c r="G4445" s="3" t="s">
        <v>116</v>
      </c>
      <c r="H4445" s="3" t="s">
        <v>1978</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2042</v>
      </c>
      <c r="G4446" s="3" t="s">
        <v>116</v>
      </c>
      <c r="H4446" s="3" t="s">
        <v>1978</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2042</v>
      </c>
      <c r="G4447" s="3" t="s">
        <v>116</v>
      </c>
      <c r="H4447" s="3" t="s">
        <v>1978</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2042</v>
      </c>
      <c r="G4448" s="3" t="s">
        <v>116</v>
      </c>
      <c r="H4448" s="3" t="s">
        <v>1978</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2042</v>
      </c>
      <c r="G4449" s="3" t="s">
        <v>116</v>
      </c>
      <c r="H4449" s="3" t="s">
        <v>1978</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2042</v>
      </c>
      <c r="G4450" s="3" t="s">
        <v>116</v>
      </c>
      <c r="H4450" s="3" t="s">
        <v>1978</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2042</v>
      </c>
      <c r="G4451" s="3" t="s">
        <v>116</v>
      </c>
      <c r="H4451" s="3" t="s">
        <v>1978</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2042</v>
      </c>
      <c r="G4452" s="3" t="s">
        <v>116</v>
      </c>
      <c r="H4452" s="3" t="s">
        <v>1978</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2042</v>
      </c>
      <c r="G4453" s="3" t="s">
        <v>116</v>
      </c>
      <c r="H4453" s="3" t="s">
        <v>1978</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2042</v>
      </c>
      <c r="G4454" s="3" t="s">
        <v>116</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160</v>
      </c>
      <c r="G4513" s="3" t="s">
        <v>65</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160</v>
      </c>
      <c r="G4514" s="3" t="s">
        <v>65</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69</v>
      </c>
      <c r="G4515" s="3" t="s">
        <v>65</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69</v>
      </c>
      <c r="G4516" s="3" t="s">
        <v>65</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137</v>
      </c>
      <c r="C4531" s="195">
        <v>147604963</v>
      </c>
      <c r="D4531" s="168"/>
      <c r="E4531" s="29"/>
      <c r="F4531" s="29" t="s">
        <v>2057</v>
      </c>
      <c r="G4531" s="3" t="s">
        <v>139</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137</v>
      </c>
      <c r="C4532" s="195">
        <v>147604803</v>
      </c>
      <c r="D4532" s="168"/>
      <c r="E4532" s="29"/>
      <c r="F4532" s="29" t="s">
        <v>2057</v>
      </c>
      <c r="G4532" s="3" t="s">
        <v>139</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137</v>
      </c>
      <c r="C4533" s="195">
        <v>147605087</v>
      </c>
      <c r="D4533" s="168"/>
      <c r="E4533" s="29"/>
      <c r="F4533" s="29" t="s">
        <v>2057</v>
      </c>
      <c r="G4533" s="3" t="s">
        <v>139</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137</v>
      </c>
      <c r="C4534" s="195">
        <v>147605275</v>
      </c>
      <c r="D4534" s="168"/>
      <c r="E4534" s="29"/>
      <c r="F4534" s="29" t="s">
        <v>2057</v>
      </c>
      <c r="G4534" s="3" t="s">
        <v>139</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137</v>
      </c>
      <c r="C4535" s="195">
        <v>147605379</v>
      </c>
      <c r="D4535" s="168"/>
      <c r="E4535" s="29"/>
      <c r="F4535" s="29" t="s">
        <v>2057</v>
      </c>
      <c r="G4535" s="3" t="s">
        <v>139</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81</v>
      </c>
      <c r="G4536" s="3" t="s">
        <v>65</v>
      </c>
      <c r="H4536" s="3" t="s">
        <v>82</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81</v>
      </c>
      <c r="G4537" s="3" t="s">
        <v>65</v>
      </c>
      <c r="H4537" s="3" t="s">
        <v>82</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81</v>
      </c>
      <c r="G4538" s="3" t="s">
        <v>65</v>
      </c>
      <c r="H4538" s="3" t="s">
        <v>82</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81</v>
      </c>
      <c r="G4539" s="3" t="s">
        <v>65</v>
      </c>
      <c r="H4539" s="3" t="s">
        <v>82</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81</v>
      </c>
      <c r="G4540" s="3" t="s">
        <v>65</v>
      </c>
      <c r="H4540" s="3" t="s">
        <v>82</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81</v>
      </c>
      <c r="G4541" s="3" t="s">
        <v>65</v>
      </c>
      <c r="H4541" s="3" t="s">
        <v>82</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81</v>
      </c>
      <c r="G4542" s="3" t="s">
        <v>65</v>
      </c>
      <c r="H4542" s="3" t="s">
        <v>82</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81</v>
      </c>
      <c r="G4543" s="3" t="s">
        <v>65</v>
      </c>
      <c r="H4543" s="3" t="s">
        <v>82</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81</v>
      </c>
      <c r="G4544" s="3" t="s">
        <v>65</v>
      </c>
      <c r="H4544" s="3" t="s">
        <v>82</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88</v>
      </c>
      <c r="G4545" s="3" t="s">
        <v>65</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88</v>
      </c>
      <c r="G4546" s="3" t="s">
        <v>65</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88</v>
      </c>
      <c r="G4547" s="3" t="s">
        <v>65</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88</v>
      </c>
      <c r="G4548" s="3" t="s">
        <v>65</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88</v>
      </c>
      <c r="G4549" s="3" t="s">
        <v>65</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88</v>
      </c>
      <c r="G4550" s="3" t="s">
        <v>65</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88</v>
      </c>
      <c r="G4551" s="3" t="s">
        <v>65</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88</v>
      </c>
      <c r="G4552" s="3" t="s">
        <v>65</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88</v>
      </c>
      <c r="G4553" s="3" t="s">
        <v>65</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88</v>
      </c>
      <c r="G4554" s="3" t="s">
        <v>65</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88</v>
      </c>
      <c r="G4555" s="3" t="s">
        <v>65</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88</v>
      </c>
      <c r="G4556" s="3" t="s">
        <v>65</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88</v>
      </c>
      <c r="G4557" s="3" t="s">
        <v>65</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88</v>
      </c>
      <c r="G4558" s="3" t="s">
        <v>65</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88</v>
      </c>
      <c r="G4559" s="3" t="s">
        <v>65</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88</v>
      </c>
      <c r="G4560" s="3" t="s">
        <v>65</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88</v>
      </c>
      <c r="G4561" s="3" t="s">
        <v>65</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88</v>
      </c>
      <c r="G4562" s="3" t="s">
        <v>65</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88</v>
      </c>
      <c r="G4563" s="3" t="s">
        <v>65</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88</v>
      </c>
      <c r="G4564" s="3" t="s">
        <v>65</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88</v>
      </c>
      <c r="G4565" s="3" t="s">
        <v>65</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88</v>
      </c>
      <c r="G4566" s="3" t="s">
        <v>65</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88</v>
      </c>
      <c r="G4567" s="3" t="s">
        <v>65</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88</v>
      </c>
      <c r="G4568" s="3" t="s">
        <v>65</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88</v>
      </c>
      <c r="G4569" s="3" t="s">
        <v>65</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88</v>
      </c>
      <c r="G4570" s="3" t="s">
        <v>65</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88</v>
      </c>
      <c r="G4571" s="3" t="s">
        <v>65</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88</v>
      </c>
      <c r="G4572" s="3" t="s">
        <v>65</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88</v>
      </c>
      <c r="G4573" s="3" t="s">
        <v>65</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88</v>
      </c>
      <c r="G4574" s="3" t="s">
        <v>65</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160</v>
      </c>
      <c r="G4575" s="3" t="s">
        <v>65</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160</v>
      </c>
      <c r="G4576" s="3" t="s">
        <v>65</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160</v>
      </c>
      <c r="G4577" s="3" t="s">
        <v>65</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160</v>
      </c>
      <c r="G4578" s="3" t="s">
        <v>65</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160</v>
      </c>
      <c r="G4579" s="3" t="s">
        <v>65</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160</v>
      </c>
      <c r="G4580" s="3" t="s">
        <v>65</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160</v>
      </c>
      <c r="G4581" s="3" t="s">
        <v>65</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160</v>
      </c>
      <c r="G4582" s="3" t="s">
        <v>65</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107</v>
      </c>
      <c r="G4583" s="3" t="s">
        <v>65</v>
      </c>
      <c r="H4583" s="3" t="s">
        <v>108</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107</v>
      </c>
      <c r="G4584" s="3" t="s">
        <v>65</v>
      </c>
      <c r="H4584" s="3" t="s">
        <v>108</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107</v>
      </c>
      <c r="G4585" s="3" t="s">
        <v>65</v>
      </c>
      <c r="H4585" s="3" t="s">
        <v>108</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107</v>
      </c>
      <c r="G4586" s="3" t="s">
        <v>65</v>
      </c>
      <c r="H4586" s="3" t="s">
        <v>108</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107</v>
      </c>
      <c r="G4587" s="3" t="s">
        <v>65</v>
      </c>
      <c r="H4587" s="3" t="s">
        <v>108</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107</v>
      </c>
      <c r="G4588" s="3" t="s">
        <v>65</v>
      </c>
      <c r="H4588" s="45" t="s">
        <v>108</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107</v>
      </c>
      <c r="G4589" s="3" t="s">
        <v>65</v>
      </c>
      <c r="H4589" s="45" t="s">
        <v>108</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107</v>
      </c>
      <c r="G4590" s="3" t="s">
        <v>65</v>
      </c>
      <c r="H4590" s="3" t="s">
        <v>108</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107</v>
      </c>
      <c r="G4591" s="3" t="s">
        <v>65</v>
      </c>
      <c r="H4591" s="3" t="s">
        <v>108</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107</v>
      </c>
      <c r="G4592" s="3" t="s">
        <v>65</v>
      </c>
      <c r="H4592" s="3" t="s">
        <v>108</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107</v>
      </c>
      <c r="G4593" s="3" t="s">
        <v>65</v>
      </c>
      <c r="H4593" s="3" t="s">
        <v>108</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107</v>
      </c>
      <c r="G4594" s="3" t="s">
        <v>65</v>
      </c>
      <c r="H4594" s="3" t="s">
        <v>108</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65</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65</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65</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65</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65</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65</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65</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65</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65</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65</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65</v>
      </c>
      <c r="H4626" s="3" t="s">
        <v>30</v>
      </c>
      <c r="I4626" s="55">
        <v>46176</v>
      </c>
      <c r="J4626" s="55">
        <v>46150</v>
      </c>
      <c r="K4626" s="55">
        <v>46177</v>
      </c>
      <c r="L4626" s="55"/>
      <c r="M4626" s="55"/>
      <c r="N4626" s="3"/>
      <c r="O4626" s="119" t="s">
        <v>1172</v>
      </c>
      <c r="P4626" s="3"/>
      <c r="Q4626" s="167">
        <v>300</v>
      </c>
      <c r="R4626" s="2" t="s">
        <v>2066</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203</v>
      </c>
      <c r="B4628" s="173" t="s">
        <v>204</v>
      </c>
      <c r="C4628" s="195">
        <v>140601444</v>
      </c>
      <c r="D4628" s="168">
        <v>167600215</v>
      </c>
      <c r="E4628" s="29">
        <v>203600174</v>
      </c>
      <c r="F4628" s="29" t="s">
        <v>138</v>
      </c>
      <c r="G4628" s="3" t="s">
        <v>65</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138</v>
      </c>
      <c r="G4629" s="3" t="s">
        <v>65</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138</v>
      </c>
      <c r="G4630" s="3" t="s">
        <v>65</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138</v>
      </c>
      <c r="G4631" s="3" t="s">
        <v>65</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138</v>
      </c>
      <c r="G4632" s="3" t="s">
        <v>65</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138</v>
      </c>
      <c r="G4633" s="3" t="s">
        <v>65</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138</v>
      </c>
      <c r="G4634" s="3" t="s">
        <v>65</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116</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116</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116</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122</v>
      </c>
      <c r="G4686" s="3" t="s">
        <v>2099</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122</v>
      </c>
      <c r="G4687" s="3" t="s">
        <v>2099</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122</v>
      </c>
      <c r="G4688" s="3" t="s">
        <v>2099</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122</v>
      </c>
      <c r="G4689" s="3" t="s">
        <v>2099</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122</v>
      </c>
      <c r="G4690" s="3" t="s">
        <v>2099</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122</v>
      </c>
      <c r="G4691" s="3" t="s">
        <v>2099</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122</v>
      </c>
      <c r="G4692" s="3" t="s">
        <v>2099</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122</v>
      </c>
      <c r="G4693" s="3" t="s">
        <v>2099</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122</v>
      </c>
      <c r="G4694" s="3" t="s">
        <v>2099</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122</v>
      </c>
      <c r="G4695" s="3" t="s">
        <v>2099</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122</v>
      </c>
      <c r="G4696" s="3" t="s">
        <v>2099</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122</v>
      </c>
      <c r="G4697" s="3" t="s">
        <v>2099</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122</v>
      </c>
      <c r="G4698" s="3" t="s">
        <v>2099</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122</v>
      </c>
      <c r="G4699" s="3" t="s">
        <v>2099</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122</v>
      </c>
      <c r="G4700" s="3" t="s">
        <v>2099</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122</v>
      </c>
      <c r="G4701" s="3" t="s">
        <v>2099</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122</v>
      </c>
      <c r="G4702" s="3" t="s">
        <v>2099</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122</v>
      </c>
      <c r="G4703" s="3" t="s">
        <v>2099</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131</v>
      </c>
      <c r="G4709" s="134" t="s">
        <v>2103</v>
      </c>
      <c r="H4709" s="3" t="s">
        <v>30</v>
      </c>
      <c r="I4709" s="191">
        <v>46204</v>
      </c>
      <c r="J4709" s="191">
        <v>46207</v>
      </c>
      <c r="K4709" s="191">
        <v>46235</v>
      </c>
      <c r="O4709" s="119" t="s">
        <v>171</v>
      </c>
    </row>
    <row r="4710" spans="1:121">
      <c r="A4710" s="134" t="s">
        <v>2102</v>
      </c>
      <c r="C4710" s="195">
        <v>182606998</v>
      </c>
      <c r="F4710" s="134" t="s">
        <v>131</v>
      </c>
      <c r="G4710" s="134" t="s">
        <v>2103</v>
      </c>
      <c r="H4710" s="3" t="s">
        <v>30</v>
      </c>
      <c r="I4710" s="191">
        <v>46204</v>
      </c>
      <c r="J4710" s="191">
        <v>46207</v>
      </c>
      <c r="K4710" s="191">
        <v>46235</v>
      </c>
      <c r="O4710" s="119" t="s">
        <v>171</v>
      </c>
    </row>
    <row r="4711" spans="1:121">
      <c r="A4711" s="134" t="s">
        <v>2102</v>
      </c>
      <c r="C4711" s="195">
        <v>182606744</v>
      </c>
      <c r="F4711" s="134" t="s">
        <v>131</v>
      </c>
      <c r="G4711" s="134" t="s">
        <v>2103</v>
      </c>
      <c r="H4711" s="3" t="s">
        <v>30</v>
      </c>
      <c r="I4711" s="191">
        <v>46204</v>
      </c>
      <c r="J4711" s="191">
        <v>46207</v>
      </c>
      <c r="K4711" s="191">
        <v>46235</v>
      </c>
      <c r="O4711" s="119" t="s">
        <v>171</v>
      </c>
    </row>
    <row r="4712" spans="1:121">
      <c r="A4712" s="134" t="s">
        <v>2102</v>
      </c>
      <c r="C4712" s="195">
        <v>182606664</v>
      </c>
      <c r="F4712" s="134" t="s">
        <v>131</v>
      </c>
      <c r="G4712" s="134" t="s">
        <v>2103</v>
      </c>
      <c r="H4712" s="3" t="s">
        <v>30</v>
      </c>
      <c r="I4712" s="191">
        <v>46204</v>
      </c>
      <c r="J4712" s="191">
        <v>46207</v>
      </c>
      <c r="K4712" s="191">
        <v>46235</v>
      </c>
      <c r="O4712" s="119" t="s">
        <v>171</v>
      </c>
    </row>
    <row r="4713" spans="1:121">
      <c r="A4713" s="134" t="s">
        <v>2102</v>
      </c>
      <c r="C4713" s="195">
        <v>182606630</v>
      </c>
      <c r="F4713" s="134" t="s">
        <v>131</v>
      </c>
      <c r="G4713" s="134" t="s">
        <v>2103</v>
      </c>
      <c r="H4713" s="3" t="s">
        <v>30</v>
      </c>
      <c r="I4713" s="191">
        <v>46204</v>
      </c>
      <c r="J4713" s="191">
        <v>46207</v>
      </c>
      <c r="K4713" s="191">
        <v>46235</v>
      </c>
      <c r="O4713" s="119" t="s">
        <v>171</v>
      </c>
    </row>
    <row r="4714" spans="1:121">
      <c r="A4714" s="134" t="s">
        <v>2102</v>
      </c>
      <c r="C4714" s="195">
        <v>182606489</v>
      </c>
      <c r="F4714" s="134" t="s">
        <v>131</v>
      </c>
      <c r="G4714" s="134" t="s">
        <v>2103</v>
      </c>
      <c r="H4714" s="3" t="s">
        <v>30</v>
      </c>
      <c r="I4714" s="191">
        <v>46204</v>
      </c>
      <c r="J4714" s="191">
        <v>46207</v>
      </c>
      <c r="K4714" s="191">
        <v>46235</v>
      </c>
      <c r="O4714" s="119" t="s">
        <v>171</v>
      </c>
    </row>
    <row r="4715" spans="1:121">
      <c r="A4715" s="134" t="s">
        <v>2102</v>
      </c>
      <c r="C4715" s="195">
        <v>182606465</v>
      </c>
      <c r="F4715" s="134" t="s">
        <v>131</v>
      </c>
      <c r="G4715" s="134" t="s">
        <v>2103</v>
      </c>
      <c r="H4715" s="3" t="s">
        <v>30</v>
      </c>
      <c r="I4715" s="191">
        <v>46204</v>
      </c>
      <c r="J4715" s="191">
        <v>46207</v>
      </c>
      <c r="K4715" s="191">
        <v>46235</v>
      </c>
      <c r="O4715" s="119" t="s">
        <v>171</v>
      </c>
    </row>
    <row r="4716" spans="1:121">
      <c r="A4716" s="134" t="s">
        <v>2102</v>
      </c>
      <c r="C4716" s="195">
        <v>182606423</v>
      </c>
      <c r="F4716" s="134" t="s">
        <v>131</v>
      </c>
      <c r="G4716" s="134" t="s">
        <v>2103</v>
      </c>
      <c r="H4716" s="3" t="s">
        <v>30</v>
      </c>
      <c r="I4716" s="191">
        <v>46204</v>
      </c>
      <c r="J4716" s="191">
        <v>46207</v>
      </c>
      <c r="K4716" s="191">
        <v>46235</v>
      </c>
      <c r="O4716" s="119" t="s">
        <v>171</v>
      </c>
    </row>
    <row r="4717" spans="1:121">
      <c r="A4717" s="134" t="s">
        <v>2102</v>
      </c>
      <c r="C4717" s="195">
        <v>182606359</v>
      </c>
      <c r="F4717" s="134" t="s">
        <v>131</v>
      </c>
      <c r="G4717" s="134" t="s">
        <v>2103</v>
      </c>
      <c r="H4717" s="3" t="s">
        <v>30</v>
      </c>
      <c r="I4717" s="191">
        <v>46204</v>
      </c>
      <c r="J4717" s="191">
        <v>46207</v>
      </c>
      <c r="K4717" s="191">
        <v>46235</v>
      </c>
      <c r="O4717" s="119" t="s">
        <v>171</v>
      </c>
    </row>
    <row r="4718" spans="1:121">
      <c r="A4718" s="134" t="s">
        <v>2102</v>
      </c>
      <c r="C4718" s="195">
        <v>182606315</v>
      </c>
      <c r="F4718" s="134" t="s">
        <v>131</v>
      </c>
      <c r="G4718" s="134" t="s">
        <v>2103</v>
      </c>
      <c r="H4718" s="3" t="s">
        <v>30</v>
      </c>
      <c r="I4718" s="191">
        <v>46204</v>
      </c>
      <c r="J4718" s="191">
        <v>46207</v>
      </c>
      <c r="K4718" s="191">
        <v>46235</v>
      </c>
      <c r="O4718" s="119" t="s">
        <v>171</v>
      </c>
    </row>
    <row r="4719" spans="1:121">
      <c r="A4719" s="134" t="s">
        <v>2102</v>
      </c>
      <c r="C4719" s="195">
        <v>182606998</v>
      </c>
      <c r="F4719" s="134" t="s">
        <v>131</v>
      </c>
      <c r="G4719" s="134" t="s">
        <v>2103</v>
      </c>
      <c r="H4719" s="3" t="s">
        <v>30</v>
      </c>
      <c r="I4719" s="191">
        <v>46204</v>
      </c>
      <c r="J4719" s="191">
        <v>46207</v>
      </c>
      <c r="K4719" s="191">
        <v>46235</v>
      </c>
      <c r="O4719" s="119" t="s">
        <v>171</v>
      </c>
    </row>
    <row r="4720" spans="1:121">
      <c r="A4720" s="134" t="s">
        <v>2102</v>
      </c>
      <c r="C4720" s="195">
        <v>182606967</v>
      </c>
      <c r="F4720" s="134" t="s">
        <v>131</v>
      </c>
      <c r="G4720" s="134" t="s">
        <v>2103</v>
      </c>
      <c r="H4720" s="3" t="s">
        <v>30</v>
      </c>
      <c r="I4720" s="191">
        <v>46204</v>
      </c>
      <c r="J4720" s="191">
        <v>46207</v>
      </c>
      <c r="K4720" s="191">
        <v>46235</v>
      </c>
      <c r="O4720" s="119" t="s">
        <v>171</v>
      </c>
    </row>
    <row r="4721" spans="1:18">
      <c r="A4721" s="134" t="s">
        <v>2102</v>
      </c>
      <c r="C4721" s="195">
        <v>182606945</v>
      </c>
      <c r="F4721" s="134" t="s">
        <v>131</v>
      </c>
      <c r="G4721" s="134" t="s">
        <v>2103</v>
      </c>
      <c r="H4721" s="3" t="s">
        <v>30</v>
      </c>
      <c r="I4721" s="191">
        <v>46204</v>
      </c>
      <c r="J4721" s="191">
        <v>46207</v>
      </c>
      <c r="K4721" s="191">
        <v>46235</v>
      </c>
      <c r="O4721" s="119" t="s">
        <v>171</v>
      </c>
    </row>
    <row r="4722" spans="1:18">
      <c r="A4722" s="134" t="s">
        <v>2102</v>
      </c>
      <c r="C4722" s="195">
        <v>182606900</v>
      </c>
      <c r="F4722" s="134" t="s">
        <v>131</v>
      </c>
      <c r="G4722" s="134" t="s">
        <v>2103</v>
      </c>
      <c r="H4722" s="3" t="s">
        <v>30</v>
      </c>
      <c r="I4722" s="191">
        <v>46204</v>
      </c>
      <c r="J4722" s="191">
        <v>46207</v>
      </c>
      <c r="K4722" s="191">
        <v>46235</v>
      </c>
      <c r="O4722" s="119" t="s">
        <v>171</v>
      </c>
    </row>
    <row r="4723" spans="1:18">
      <c r="A4723" s="134" t="s">
        <v>2102</v>
      </c>
      <c r="C4723" s="195">
        <v>182606876</v>
      </c>
      <c r="F4723" s="134" t="s">
        <v>131</v>
      </c>
      <c r="G4723" s="134" t="s">
        <v>2103</v>
      </c>
      <c r="H4723" s="3" t="s">
        <v>30</v>
      </c>
      <c r="I4723" s="191">
        <v>46204</v>
      </c>
      <c r="J4723" s="191">
        <v>46207</v>
      </c>
      <c r="K4723" s="191">
        <v>46235</v>
      </c>
      <c r="O4723" s="119" t="s">
        <v>171</v>
      </c>
    </row>
    <row r="4724" spans="1:18">
      <c r="A4724" s="134" t="s">
        <v>2102</v>
      </c>
      <c r="C4724" s="195">
        <v>182606744</v>
      </c>
      <c r="F4724" s="134" t="s">
        <v>131</v>
      </c>
      <c r="G4724" s="134" t="s">
        <v>2103</v>
      </c>
      <c r="H4724" s="3" t="s">
        <v>30</v>
      </c>
      <c r="I4724" s="191">
        <v>46204</v>
      </c>
      <c r="J4724" s="191">
        <v>46207</v>
      </c>
      <c r="K4724" s="191">
        <v>46235</v>
      </c>
      <c r="O4724" s="119" t="s">
        <v>171</v>
      </c>
    </row>
    <row r="4725" spans="1:18">
      <c r="A4725" s="134" t="s">
        <v>2102</v>
      </c>
      <c r="C4725" s="195">
        <v>182606664</v>
      </c>
      <c r="F4725" s="134" t="s">
        <v>131</v>
      </c>
      <c r="G4725" s="134" t="s">
        <v>2103</v>
      </c>
      <c r="H4725" s="3" t="s">
        <v>30</v>
      </c>
      <c r="I4725" s="191">
        <v>46204</v>
      </c>
      <c r="J4725" s="191">
        <v>46207</v>
      </c>
      <c r="K4725" s="191">
        <v>46235</v>
      </c>
      <c r="O4725" s="119" t="s">
        <v>171</v>
      </c>
    </row>
    <row r="4726" spans="1:18">
      <c r="A4726" s="134" t="s">
        <v>2102</v>
      </c>
      <c r="C4726" s="195">
        <v>182606489</v>
      </c>
      <c r="F4726" s="134" t="s">
        <v>131</v>
      </c>
      <c r="G4726" s="134" t="s">
        <v>2103</v>
      </c>
      <c r="H4726" s="3" t="s">
        <v>30</v>
      </c>
      <c r="I4726" s="191">
        <v>46204</v>
      </c>
      <c r="J4726" s="191">
        <v>46207</v>
      </c>
      <c r="K4726" s="191">
        <v>46235</v>
      </c>
      <c r="O4726" s="119" t="s">
        <v>171</v>
      </c>
    </row>
    <row r="4727" spans="1:18">
      <c r="A4727" s="134" t="s">
        <v>2102</v>
      </c>
      <c r="C4727" s="195">
        <v>182606315</v>
      </c>
      <c r="F4727" s="134" t="s">
        <v>131</v>
      </c>
      <c r="G4727" s="134" t="s">
        <v>2103</v>
      </c>
      <c r="H4727" s="3" t="s">
        <v>30</v>
      </c>
      <c r="I4727" s="191">
        <v>46204</v>
      </c>
      <c r="J4727" s="191">
        <v>46207</v>
      </c>
      <c r="K4727" s="191">
        <v>46235</v>
      </c>
      <c r="O4727" s="119" t="s">
        <v>171</v>
      </c>
    </row>
    <row r="4728" spans="1:18">
      <c r="A4728" s="134" t="s">
        <v>2047</v>
      </c>
      <c r="C4728" s="195">
        <v>209608534</v>
      </c>
      <c r="F4728" s="29" t="s">
        <v>77</v>
      </c>
      <c r="G4728" s="3" t="s">
        <v>65</v>
      </c>
      <c r="H4728" s="3" t="s">
        <v>78</v>
      </c>
      <c r="I4728" s="191">
        <v>46231</v>
      </c>
      <c r="J4728" s="191">
        <v>46234</v>
      </c>
      <c r="K4728" s="191">
        <v>46262</v>
      </c>
      <c r="O4728" s="119" t="s">
        <v>171</v>
      </c>
    </row>
    <row r="4729" spans="1:18">
      <c r="A4729" s="134" t="s">
        <v>2047</v>
      </c>
      <c r="C4729" s="195">
        <v>-209608543</v>
      </c>
      <c r="F4729" s="29" t="s">
        <v>77</v>
      </c>
      <c r="G4729" s="3" t="s">
        <v>65</v>
      </c>
      <c r="H4729" s="3" t="s">
        <v>78</v>
      </c>
      <c r="I4729" s="191">
        <v>46231</v>
      </c>
      <c r="J4729" s="191">
        <v>46234</v>
      </c>
      <c r="K4729" s="191">
        <v>46262</v>
      </c>
      <c r="O4729" s="119" t="s">
        <v>171</v>
      </c>
    </row>
    <row r="4730" spans="1:18">
      <c r="A4730" s="134" t="s">
        <v>2047</v>
      </c>
      <c r="C4730" s="195">
        <v>-209608549</v>
      </c>
      <c r="F4730" s="29" t="s">
        <v>77</v>
      </c>
      <c r="G4730" s="3" t="s">
        <v>65</v>
      </c>
      <c r="H4730" s="3" t="s">
        <v>78</v>
      </c>
      <c r="I4730" s="191">
        <v>46231</v>
      </c>
      <c r="J4730" s="191">
        <v>46234</v>
      </c>
      <c r="K4730" s="191">
        <v>46262</v>
      </c>
      <c r="O4730" s="119" t="s">
        <v>171</v>
      </c>
    </row>
    <row r="4731" spans="1:18">
      <c r="A4731" s="134" t="s">
        <v>2047</v>
      </c>
      <c r="C4731" s="195">
        <v>-209608567</v>
      </c>
      <c r="F4731" s="29" t="s">
        <v>77</v>
      </c>
      <c r="G4731" s="3" t="s">
        <v>65</v>
      </c>
      <c r="H4731" s="3" t="s">
        <v>78</v>
      </c>
      <c r="I4731" s="191">
        <v>46231</v>
      </c>
      <c r="J4731" s="191">
        <v>46234</v>
      </c>
      <c r="K4731" s="191">
        <v>46262</v>
      </c>
      <c r="O4731" s="119" t="s">
        <v>171</v>
      </c>
    </row>
    <row r="4732" spans="1:18">
      <c r="A4732" s="134" t="s">
        <v>2047</v>
      </c>
      <c r="C4732" s="195">
        <v>-209608563</v>
      </c>
      <c r="F4732" s="29" t="s">
        <v>77</v>
      </c>
      <c r="G4732" s="3" t="s">
        <v>65</v>
      </c>
      <c r="H4732" s="3" t="s">
        <v>78</v>
      </c>
      <c r="I4732" s="191">
        <v>46231</v>
      </c>
      <c r="J4732" s="191">
        <v>46234</v>
      </c>
      <c r="K4732" s="191">
        <v>46262</v>
      </c>
      <c r="O4732" s="119" t="s">
        <v>171</v>
      </c>
    </row>
    <row r="4733" spans="1:18">
      <c r="A4733" s="134" t="s">
        <v>2047</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203</v>
      </c>
      <c r="B4735" s="173" t="s">
        <v>204</v>
      </c>
      <c r="C4735" s="195">
        <v>212600347</v>
      </c>
      <c r="D4735" s="168"/>
      <c r="E4735" s="29"/>
      <c r="F4735" s="29" t="s">
        <v>138</v>
      </c>
      <c r="G4735" s="3" t="s">
        <v>237</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EB8823-3996-4AA4-BB66-0D4FA210585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2026-08-18T19:53:39Z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