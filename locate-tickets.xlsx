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27" documentId="8_{7F841BAC-E3D2-4E4B-A3CA-97B4D46101DD}" xr6:coauthVersionLast="47" xr6:coauthVersionMax="47" xr10:uidLastSave="{3380E507-0D34-41B7-8BB9-75A16F7D6F4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Master!$A$1:$N$226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<sst xmlns="http://schemas.openxmlformats.org/spreadsheetml/2006/main" count="25316" uniqueCount="1826">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</sst>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26" tableId="0">
      <columnFilter colId="0">
        <filter colId="0">
          <x:filters>
            <x:filter val="D-HPP607"/>
          </x:filters>
        </filter>
      </columnFilter>
    </nsvFilter>
  </namedSheetView>
  <namedSheetView name="View2" id="{5C55A572-B441-4CF5-BE17-145477518499}">
    <nsvFilter filterId="{00000000-0001-0000-0000-000000000000}" ref="A1:N22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112</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112</v>
      </c>
      <c r="E3" s="199"/>
      <c r="F3" s="199"/>
      <c r="G3" s="191" cm="1">
        <f t="array" ref="G3">SUMPRODUCT((UPPER(Master!L2:L352)="CLEAR")*1)</f>
        <v>156</v>
      </c>
      <c r="H3" s="191"/>
      <c r="I3" s="191"/>
      <c r="J3" s="194" cm="1">
        <f t="array" ref="J3">SUMPRODUCT((UPPER(Master!L2:L352)="EXPIRED")*1)</f>
        <v>0</v>
      </c>
      <c r="K3" s="194"/>
      <c r="L3" s="194"/>
      <c r="P3" s="181" t="s">
        <v>10</v>
      </c>
      <c r="Q3" s="181" cm="1">
        <f t="array" ref="Q3">SUMPRODUCT((UPPER(Master!L2:L352)="CLEAR")*1)</f>
        <v>156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4</v>
      </c>
      <c r="C24" s="110" cm="1">
        <f t="array" ref="C24">IF(A24="","",SUMPRODUCT((UPPER(Master!F2:F352)=A24)*(UPPER(Master!L2:L352)="CLEAR")))</f>
        <v>16</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17</v>
      </c>
      <c r="C26" s="110" cm="1">
        <f t="array" ref="C26">IF(A26="","",SUMPRODUCT((UPPER(Master!F2:F352)=A26)*(UPPER(Master!L2:L352)="CLEAR")))</f>
        <v>53</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112</v>
      </c>
      <c r="C39" s="91">
        <f>SUMIF(A24:A38,"&lt;&gt;",C24:C38)</f>
        <v>156</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112</v>
      </c>
      <c r="D47" t="s">
        <v>16</v>
      </c>
      <c r="E47">
        <f>E27</f>
        <v>83</v>
      </c>
      <c r="G47" t="s">
        <v>29</v>
      </c>
      <c r="H47">
        <f>H27</f>
        <v>25</v>
      </c>
    </row>
    <row r="48" spans="1:12" hidden="1">
      <c r="A48" t="s">
        <v>10</v>
      </c>
      <c r="B48">
        <f>G3</f>
        <v>156</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xSplit="1" topLeftCell="B245" activePane="topRight" state="frozen"/>
      <selection pane="topRight" activeCell="E262" sqref="E262:L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9</v>
      </c>
    </row>
    <row r="164" spans="1:14" ht="15" customHeight="1">
      <c r="A164" s="170" t="s">
        <v>106</v>
      </c>
      <c r="B164" s="173">
        <v>135606162</v>
      </c>
      <c r="E164" s="29" t="s">
        <v>59</v>
      </c>
      <c r="F164" s="3" t="s">
        <v>16</v>
      </c>
      <c r="G164" s="3" t="s">
        <v>60</v>
      </c>
      <c r="H164" s="55">
        <v>46159</v>
      </c>
      <c r="I164" s="55">
        <v>46161</v>
      </c>
      <c r="J164" s="55">
        <v>46188</v>
      </c>
      <c r="L164" s="3" t="s">
        <v>9</v>
      </c>
    </row>
    <row r="165" spans="1:14" ht="15" customHeight="1">
      <c r="A165" s="170" t="s">
        <v>106</v>
      </c>
      <c r="B165" s="173">
        <v>135606180</v>
      </c>
      <c r="E165" s="29" t="s">
        <v>59</v>
      </c>
      <c r="F165" s="3" t="s">
        <v>16</v>
      </c>
      <c r="G165" s="3" t="s">
        <v>60</v>
      </c>
      <c r="H165" s="55">
        <v>46159</v>
      </c>
      <c r="I165" s="55">
        <v>46161</v>
      </c>
      <c r="J165" s="55">
        <v>46188</v>
      </c>
      <c r="L165" s="3" t="s">
        <v>9</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9</v>
      </c>
    </row>
    <row r="176" spans="1:14" ht="15" customHeight="1">
      <c r="A176" s="170" t="s">
        <v>110</v>
      </c>
      <c r="B176" s="173">
        <v>134609155</v>
      </c>
      <c r="E176" s="29" t="s">
        <v>108</v>
      </c>
      <c r="F176" s="3" t="s">
        <v>56</v>
      </c>
      <c r="G176" s="3" t="s">
        <v>109</v>
      </c>
      <c r="H176" s="55">
        <v>46156</v>
      </c>
      <c r="I176" s="55">
        <v>46160</v>
      </c>
      <c r="J176" s="55">
        <v>46188</v>
      </c>
      <c r="L176" s="3" t="s">
        <v>9</v>
      </c>
    </row>
    <row r="177" spans="1:12" ht="15" customHeight="1">
      <c r="A177" s="170" t="s">
        <v>110</v>
      </c>
      <c r="B177" s="173">
        <v>134609174</v>
      </c>
      <c r="E177" s="29" t="s">
        <v>108</v>
      </c>
      <c r="F177" s="3" t="s">
        <v>56</v>
      </c>
      <c r="G177" s="3" t="s">
        <v>109</v>
      </c>
      <c r="H177" s="55">
        <v>46156</v>
      </c>
      <c r="I177" s="55">
        <v>46160</v>
      </c>
      <c r="J177" s="55">
        <v>46188</v>
      </c>
      <c r="L177" s="3" t="s">
        <v>9</v>
      </c>
    </row>
    <row r="178" spans="1:12" ht="15" customHeight="1">
      <c r="A178" s="170" t="s">
        <v>110</v>
      </c>
      <c r="B178" s="173">
        <v>134609180</v>
      </c>
      <c r="E178" s="29" t="s">
        <v>108</v>
      </c>
      <c r="F178" s="3" t="s">
        <v>56</v>
      </c>
      <c r="G178" s="3" t="s">
        <v>109</v>
      </c>
      <c r="H178" s="55">
        <v>46156</v>
      </c>
      <c r="I178" s="55">
        <v>46160</v>
      </c>
      <c r="J178" s="55">
        <v>46188</v>
      </c>
      <c r="L178" s="3" t="s">
        <v>9</v>
      </c>
    </row>
    <row r="179" spans="1:12" ht="15" customHeight="1">
      <c r="A179" s="170" t="s">
        <v>110</v>
      </c>
      <c r="B179" s="173">
        <v>134609183</v>
      </c>
      <c r="E179" s="29" t="s">
        <v>108</v>
      </c>
      <c r="F179" s="3" t="s">
        <v>56</v>
      </c>
      <c r="G179" s="3" t="s">
        <v>109</v>
      </c>
      <c r="H179" s="55">
        <v>46156</v>
      </c>
      <c r="I179" s="55">
        <v>46160</v>
      </c>
      <c r="J179" s="55">
        <v>46188</v>
      </c>
      <c r="L179" s="3" t="s">
        <v>9</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9</v>
      </c>
    </row>
    <row r="182" spans="1:12" ht="15" customHeight="1">
      <c r="A182" s="170" t="s">
        <v>110</v>
      </c>
      <c r="B182" s="173">
        <v>134609207</v>
      </c>
      <c r="E182" s="29" t="s">
        <v>108</v>
      </c>
      <c r="F182" s="3" t="s">
        <v>56</v>
      </c>
      <c r="G182" s="3" t="s">
        <v>109</v>
      </c>
      <c r="H182" s="55">
        <v>46156</v>
      </c>
      <c r="I182" s="55">
        <v>46160</v>
      </c>
      <c r="J182" s="55">
        <v>46188</v>
      </c>
      <c r="L182" s="3" t="s">
        <v>9</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9</v>
      </c>
    </row>
    <row r="185" spans="1:12" ht="15" customHeight="1">
      <c r="A185" s="170" t="s">
        <v>111</v>
      </c>
      <c r="B185" s="173">
        <v>134609384</v>
      </c>
      <c r="E185" s="29" t="s">
        <v>108</v>
      </c>
      <c r="F185" s="3" t="s">
        <v>56</v>
      </c>
      <c r="G185" s="3" t="s">
        <v>109</v>
      </c>
      <c r="H185" s="55">
        <v>46156</v>
      </c>
      <c r="I185" s="55">
        <v>46160</v>
      </c>
      <c r="J185" s="55">
        <v>46188</v>
      </c>
      <c r="L185" s="3" t="s">
        <v>9</v>
      </c>
    </row>
    <row r="186" spans="1:12" ht="15" customHeight="1">
      <c r="A186" s="170" t="s">
        <v>111</v>
      </c>
      <c r="B186" s="173">
        <v>134609389</v>
      </c>
      <c r="E186" s="29" t="s">
        <v>108</v>
      </c>
      <c r="F186" s="3" t="s">
        <v>56</v>
      </c>
      <c r="G186" s="3" t="s">
        <v>109</v>
      </c>
      <c r="H186" s="55">
        <v>46156</v>
      </c>
      <c r="I186" s="55">
        <v>46160</v>
      </c>
      <c r="J186" s="55">
        <v>46188</v>
      </c>
      <c r="L186" s="3" t="s">
        <v>9</v>
      </c>
    </row>
    <row r="187" spans="1:12" ht="15" customHeight="1">
      <c r="A187" s="170" t="s">
        <v>111</v>
      </c>
      <c r="B187" s="173">
        <v>134609392</v>
      </c>
      <c r="E187" s="29" t="s">
        <v>108</v>
      </c>
      <c r="F187" s="3" t="s">
        <v>56</v>
      </c>
      <c r="G187" s="3" t="s">
        <v>109</v>
      </c>
      <c r="H187" s="55">
        <v>46156</v>
      </c>
      <c r="I187" s="55">
        <v>46160</v>
      </c>
      <c r="J187" s="55">
        <v>46188</v>
      </c>
      <c r="L187" s="3" t="s">
        <v>9</v>
      </c>
    </row>
    <row r="188" spans="1:12" ht="15" customHeight="1">
      <c r="A188" s="170" t="s">
        <v>111</v>
      </c>
      <c r="B188" s="173">
        <v>134609397</v>
      </c>
      <c r="E188" s="29" t="s">
        <v>108</v>
      </c>
      <c r="F188" s="3" t="s">
        <v>56</v>
      </c>
      <c r="G188" s="3" t="s">
        <v>109</v>
      </c>
      <c r="H188" s="55">
        <v>46156</v>
      </c>
      <c r="I188" s="55">
        <v>46160</v>
      </c>
      <c r="J188" s="55">
        <v>46188</v>
      </c>
      <c r="L188" s="3" t="s">
        <v>9</v>
      </c>
    </row>
    <row r="189" spans="1:12" ht="15" customHeight="1">
      <c r="A189" s="170" t="s">
        <v>111</v>
      </c>
      <c r="B189" s="173">
        <v>134609401</v>
      </c>
      <c r="E189" s="29" t="s">
        <v>108</v>
      </c>
      <c r="F189" s="3" t="s">
        <v>56</v>
      </c>
      <c r="G189" s="3" t="s">
        <v>109</v>
      </c>
      <c r="H189" s="55">
        <v>46156</v>
      </c>
      <c r="I189" s="55">
        <v>46160</v>
      </c>
      <c r="J189" s="55">
        <v>46188</v>
      </c>
      <c r="L189" s="3" t="s">
        <v>9</v>
      </c>
    </row>
    <row r="190" spans="1:12" ht="15" customHeight="1">
      <c r="A190" s="170" t="s">
        <v>111</v>
      </c>
      <c r="B190" s="173">
        <v>135600005</v>
      </c>
      <c r="E190" s="29" t="s">
        <v>108</v>
      </c>
      <c r="F190" s="3" t="s">
        <v>56</v>
      </c>
      <c r="G190" s="3" t="s">
        <v>109</v>
      </c>
      <c r="H190" s="55">
        <v>46156</v>
      </c>
      <c r="I190" s="55">
        <v>46160</v>
      </c>
      <c r="J190" s="55">
        <v>46188</v>
      </c>
      <c r="L190" s="3" t="s">
        <v>9</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26"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4867F9C-124A-412D-960E-7ECD6075660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2026-05-29T18:19:11Z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