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68" documentId="8_{7F841BAC-E3D2-4E4B-A3CA-97B4D46101DD}" xr6:coauthVersionLast="47" xr6:coauthVersionMax="47" xr10:uidLastSave="{CDCDF26D-E2A4-44F2-948F-CC42151D9B9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<sst xmlns="http://schemas.openxmlformats.org/spreadsheetml/2006/main" count="30347" uniqueCount="2019">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</sst>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4" borderId="0" xfId="0" applyFont="1" applyFill="1" applyBorder="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37</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143</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136</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413</v>
      </c>
      <c r="B3" s="220"/>
      <c r="C3" s="220"/>
      <c r="D3" s="223" cm="1">
        <f t="array" ref="D3">SUMPRODUCT((UPPER(Master!O2:O4376)="PENDING")*1)</f>
        <v>136</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37</v>
      </c>
      <c r="C25" s="111" cm="1">
        <f t="array" ref="C25">IF(A25="","",SUMPRODUCT((UPPER(Master!G2:G4376)=A25)*(UPPER(Master!O2:O4376)="CLEAR")))</f>
        <v>110</v>
      </c>
      <c r="D25" s="111" cm="1">
        <f t="array" ref="D25">IF(A25="","",SUMPRODUCT((UPPER(Master!G2:G4376)=A25)*(UPPER(Master!O2:O4376)="EXPIRED")))</f>
        <v>0</v>
      </c>
      <c r="E25" s="112">
        <f>IF(A25="","",B25+C25+D25)</f>
        <v>147</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143</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136</v>
      </c>
      <c r="C39" s="91">
        <f>SUMIF(A24:A38,"&lt;&gt;",C24:C38)</f>
        <v>277</v>
      </c>
      <c r="D39" s="91">
        <f>SUMIF(A24:A38,"&lt;&gt;",D24:D38)</f>
        <v>0</v>
      </c>
      <c r="E39" s="92">
        <f>SUMIF(A24:A38,"&lt;&gt;",E24:E38)</f>
        <v>413</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136</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413</v>
      </c>
      <c r="B48">
        <f>B54+B55</f>
        <v>1103</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272</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 activePane="topRight" state="frozen"/>
      <selection pane="topRight" activeCell="G40" sqref="G40:G4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5">
        <v>204603967</v>
      </c>
      <c r="D42" s="168"/>
      <c r="F42" s="29" t="s">
        <v>95</v>
      </c>
      <c r="G42" s="3" t="s">
        <v>64</v>
      </c>
      <c r="H42" s="3" t="s">
        <v>30</v>
      </c>
      <c r="I42" s="55">
        <v>46226</v>
      </c>
      <c r="J42" s="55">
        <v>46230</v>
      </c>
      <c r="K42" s="55">
        <v>46257</v>
      </c>
      <c r="O42" s="3" t="s">
        <v>9</v>
      </c>
      <c r="R42" s="177"/>
    </row>
    <row r="43" spans="1:18" ht="15" customHeight="1">
      <c r="A43" s="173" t="s">
        <v>93</v>
      </c>
      <c r="B43" s="176" t="s">
        <v>94</v>
      </c>
      <c r="C43" s="226">
        <v>204604010</v>
      </c>
      <c r="D43" s="227"/>
      <c r="F43" s="29" t="s">
        <v>95</v>
      </c>
      <c r="G43" s="3" t="s">
        <v>64</v>
      </c>
      <c r="H43" s="3" t="s">
        <v>30</v>
      </c>
      <c r="I43" s="55">
        <v>46226</v>
      </c>
      <c r="J43" s="55">
        <v>46230</v>
      </c>
      <c r="K43" s="55">
        <v>46257</v>
      </c>
      <c r="O43" s="3" t="s">
        <v>9</v>
      </c>
      <c r="R43" s="177"/>
    </row>
    <row r="44" spans="1:18" ht="15" customHeight="1">
      <c r="A44" s="173" t="s">
        <v>93</v>
      </c>
      <c r="B44" s="176" t="s">
        <v>94</v>
      </c>
      <c r="C44" s="226">
        <v>204604089</v>
      </c>
      <c r="D44" s="227"/>
      <c r="F44" s="29" t="s">
        <v>95</v>
      </c>
      <c r="G44" s="3" t="s">
        <v>64</v>
      </c>
      <c r="H44" s="3" t="s">
        <v>30</v>
      </c>
      <c r="I44" s="55">
        <v>46226</v>
      </c>
      <c r="J44" s="55">
        <v>46230</v>
      </c>
      <c r="K44" s="55">
        <v>46257</v>
      </c>
      <c r="O44" s="3" t="s">
        <v>9</v>
      </c>
      <c r="R44" s="177"/>
    </row>
    <row r="45" spans="1:18" ht="15" customHeight="1">
      <c r="A45" s="173" t="s">
        <v>93</v>
      </c>
      <c r="B45" s="176" t="s">
        <v>94</v>
      </c>
      <c r="C45" s="226">
        <v>204604138</v>
      </c>
      <c r="D45" s="227"/>
      <c r="F45" s="29" t="s">
        <v>95</v>
      </c>
      <c r="G45" s="3" t="s">
        <v>64</v>
      </c>
      <c r="H45" s="3" t="s">
        <v>30</v>
      </c>
      <c r="I45" s="55">
        <v>46226</v>
      </c>
      <c r="J45" s="55">
        <v>46230</v>
      </c>
      <c r="K45" s="55">
        <v>46257</v>
      </c>
      <c r="O45" s="3" t="s">
        <v>9</v>
      </c>
      <c r="R45" s="177"/>
    </row>
    <row r="46" spans="1:18" ht="15" customHeight="1">
      <c r="A46" s="173" t="s">
        <v>93</v>
      </c>
      <c r="B46" s="176" t="s">
        <v>94</v>
      </c>
      <c r="C46" s="226">
        <v>204604171</v>
      </c>
      <c r="D46" s="227"/>
      <c r="F46" s="29" t="s">
        <v>95</v>
      </c>
      <c r="G46" s="3" t="s">
        <v>64</v>
      </c>
      <c r="H46" s="3" t="s">
        <v>30</v>
      </c>
      <c r="I46" s="55">
        <v>46226</v>
      </c>
      <c r="J46" s="55">
        <v>46230</v>
      </c>
      <c r="K46" s="55">
        <v>46257</v>
      </c>
      <c r="O46" s="3" t="s">
        <v>9</v>
      </c>
      <c r="R46" s="177"/>
    </row>
    <row r="47" spans="1:18" ht="15" customHeight="1">
      <c r="A47" s="173" t="s">
        <v>93</v>
      </c>
      <c r="B47" s="176" t="s">
        <v>94</v>
      </c>
      <c r="C47" s="226">
        <v>204604190</v>
      </c>
      <c r="D47" s="227"/>
      <c r="F47" s="29" t="s">
        <v>95</v>
      </c>
      <c r="G47" s="3" t="s">
        <v>64</v>
      </c>
      <c r="H47" s="3" t="s">
        <v>30</v>
      </c>
      <c r="I47" s="55">
        <v>46226</v>
      </c>
      <c r="J47" s="55">
        <v>46230</v>
      </c>
      <c r="K47" s="55">
        <v>46257</v>
      </c>
      <c r="O47" s="3" t="s">
        <v>9</v>
      </c>
      <c r="R47" s="177"/>
    </row>
    <row r="48" spans="1:18" ht="15" customHeight="1">
      <c r="A48" s="173" t="s">
        <v>93</v>
      </c>
      <c r="B48" s="176" t="s">
        <v>94</v>
      </c>
      <c r="C48" s="226">
        <v>204604277</v>
      </c>
      <c r="D48" s="227"/>
      <c r="F48" s="29" t="s">
        <v>95</v>
      </c>
      <c r="G48" s="3" t="s">
        <v>64</v>
      </c>
      <c r="H48" s="3" t="s">
        <v>30</v>
      </c>
      <c r="I48" s="55">
        <v>46226</v>
      </c>
      <c r="J48" s="55">
        <v>46230</v>
      </c>
      <c r="K48" s="55">
        <v>46257</v>
      </c>
      <c r="O48" s="3" t="s">
        <v>9</v>
      </c>
      <c r="R48" s="177"/>
    </row>
    <row r="49" spans="1:18" ht="15" customHeight="1">
      <c r="A49" s="173" t="s">
        <v>93</v>
      </c>
      <c r="B49" s="176" t="s">
        <v>94</v>
      </c>
      <c r="C49" s="226">
        <v>204604339</v>
      </c>
      <c r="D49" s="227"/>
      <c r="F49" s="29" t="s">
        <v>95</v>
      </c>
      <c r="G49" s="3" t="s">
        <v>64</v>
      </c>
      <c r="H49" s="3" t="s">
        <v>30</v>
      </c>
      <c r="I49" s="55">
        <v>46226</v>
      </c>
      <c r="J49" s="55">
        <v>46230</v>
      </c>
      <c r="K49" s="55">
        <v>46257</v>
      </c>
      <c r="O49" s="3" t="s">
        <v>9</v>
      </c>
      <c r="R49" s="177"/>
    </row>
    <row r="50" spans="1:18" ht="15" customHeight="1">
      <c r="A50" s="173" t="s">
        <v>96</v>
      </c>
      <c r="B50" s="173" t="s">
        <v>97</v>
      </c>
      <c r="C50" s="228">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I368" s="55">
        <v>46223</v>
      </c>
      <c r="J368" s="55">
        <v>46226</v>
      </c>
      <c r="K368" s="55">
        <v>46254</v>
      </c>
      <c r="O368" s="3" t="s">
        <v>9</v>
      </c>
      <c r="R368" s="177"/>
    </row>
    <row r="369" spans="1:18" ht="15" customHeight="1">
      <c r="A369" s="173" t="s">
        <v>204</v>
      </c>
      <c r="B369" s="173"/>
      <c r="C369" s="195">
        <v>195609898</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205</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205</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205</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205</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205</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205</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205</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205</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205</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205</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205</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205</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205</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205</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205</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205</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205</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205</v>
      </c>
      <c r="I398" s="55">
        <v>46217</v>
      </c>
      <c r="J398" s="55">
        <v>46220</v>
      </c>
      <c r="K398" s="55">
        <v>46248</v>
      </c>
      <c r="L398" s="45"/>
      <c r="M398" s="45"/>
      <c r="N398" s="45"/>
      <c r="O398" s="3" t="s">
        <v>9</v>
      </c>
      <c r="P398" s="45"/>
      <c r="Q398" s="185"/>
      <c r="R398" s="186"/>
    </row>
    <row r="399" spans="1:18" ht="15" customHeight="1">
      <c r="A399" s="183" t="s">
        <v>206</v>
      </c>
      <c r="B399" s="183" t="s">
        <v>207</v>
      </c>
      <c r="C399" s="195">
        <v>201607518</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201607447</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201607373</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201607333</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201607176</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206</v>
      </c>
      <c r="B404" s="183" t="s">
        <v>207</v>
      </c>
      <c r="C404" s="195">
        <v>201606856</v>
      </c>
      <c r="D404" s="168"/>
      <c r="E404" s="184"/>
      <c r="F404" s="184" t="s">
        <v>208</v>
      </c>
      <c r="G404" s="3" t="s">
        <v>169</v>
      </c>
      <c r="H404" s="45" t="s">
        <v>30</v>
      </c>
      <c r="I404" s="55">
        <v>46223</v>
      </c>
      <c r="J404" s="55">
        <v>46226</v>
      </c>
      <c r="K404" s="55">
        <v>46254</v>
      </c>
      <c r="O404" s="3" t="s">
        <v>9</v>
      </c>
      <c r="P404" s="45"/>
      <c r="Q404" s="185"/>
      <c r="R404" s="186"/>
    </row>
    <row r="405" spans="1:18" ht="15" customHeight="1">
      <c r="A405" s="183" t="s">
        <v>206</v>
      </c>
      <c r="B405" s="183" t="s">
        <v>207</v>
      </c>
      <c r="C405" s="195">
        <v>201606771</v>
      </c>
      <c r="D405" s="168"/>
      <c r="E405" s="184"/>
      <c r="F405" s="184" t="s">
        <v>208</v>
      </c>
      <c r="G405" s="3" t="s">
        <v>169</v>
      </c>
      <c r="H405" s="45" t="s">
        <v>30</v>
      </c>
      <c r="I405" s="55">
        <v>46223</v>
      </c>
      <c r="J405" s="55">
        <v>46226</v>
      </c>
      <c r="K405" s="55">
        <v>46254</v>
      </c>
      <c r="O405" s="3" t="s">
        <v>9</v>
      </c>
      <c r="P405" s="45"/>
      <c r="Q405" s="185"/>
      <c r="R405" s="186"/>
    </row>
    <row r="406" spans="1:18" ht="15" customHeight="1">
      <c r="A406" s="183" t="s">
        <v>206</v>
      </c>
      <c r="B406" s="183" t="s">
        <v>207</v>
      </c>
      <c r="C406" s="195">
        <v>201606620</v>
      </c>
      <c r="D406" s="168"/>
      <c r="E406" s="184"/>
      <c r="F406" s="184" t="s">
        <v>208</v>
      </c>
      <c r="G406" s="3" t="s">
        <v>169</v>
      </c>
      <c r="H406" s="45" t="s">
        <v>30</v>
      </c>
      <c r="I406" s="55">
        <v>46223</v>
      </c>
      <c r="J406" s="55">
        <v>46226</v>
      </c>
      <c r="K406" s="55">
        <v>46254</v>
      </c>
      <c r="O406" s="3" t="s">
        <v>9</v>
      </c>
      <c r="P406" s="45"/>
      <c r="Q406" s="185"/>
      <c r="R406" s="186"/>
    </row>
    <row r="407" spans="1:18" ht="15" customHeight="1">
      <c r="A407" s="183" t="s">
        <v>206</v>
      </c>
      <c r="B407" s="183" t="s">
        <v>207</v>
      </c>
      <c r="C407" s="195">
        <v>201606524</v>
      </c>
      <c r="D407" s="168"/>
      <c r="E407" s="184"/>
      <c r="F407" s="184" t="s">
        <v>208</v>
      </c>
      <c r="G407" s="3" t="s">
        <v>169</v>
      </c>
      <c r="H407" s="45" t="s">
        <v>30</v>
      </c>
      <c r="I407" s="55">
        <v>46223</v>
      </c>
      <c r="J407" s="55">
        <v>46226</v>
      </c>
      <c r="K407" s="55">
        <v>46254</v>
      </c>
      <c r="O407" s="3" t="s">
        <v>9</v>
      </c>
      <c r="P407" s="45"/>
      <c r="Q407" s="185"/>
      <c r="R407" s="186"/>
    </row>
    <row r="408" spans="1:18" ht="15" customHeight="1">
      <c r="A408" s="183" t="s">
        <v>206</v>
      </c>
      <c r="B408" s="183" t="s">
        <v>207</v>
      </c>
      <c r="C408" s="195">
        <v>201606296</v>
      </c>
      <c r="D408" s="168"/>
      <c r="E408" s="184"/>
      <c r="F408" s="184" t="s">
        <v>208</v>
      </c>
      <c r="G408" s="3" t="s">
        <v>169</v>
      </c>
      <c r="H408" s="45" t="s">
        <v>30</v>
      </c>
      <c r="I408" s="55">
        <v>46223</v>
      </c>
      <c r="J408" s="55">
        <v>46226</v>
      </c>
      <c r="K408" s="55">
        <v>46254</v>
      </c>
      <c r="O408" s="3" t="s">
        <v>9</v>
      </c>
      <c r="P408" s="45"/>
      <c r="Q408" s="185"/>
      <c r="R408" s="186"/>
    </row>
    <row r="409" spans="1:18" ht="15" customHeight="1">
      <c r="A409" s="183" t="s">
        <v>206</v>
      </c>
      <c r="B409" s="183" t="s">
        <v>207</v>
      </c>
      <c r="C409" s="195">
        <v>201606254</v>
      </c>
      <c r="D409" s="168"/>
      <c r="E409" s="184"/>
      <c r="F409" s="184" t="s">
        <v>208</v>
      </c>
      <c r="G409" s="3" t="s">
        <v>169</v>
      </c>
      <c r="H409" s="45" t="s">
        <v>30</v>
      </c>
      <c r="I409" s="55">
        <v>46223</v>
      </c>
      <c r="J409" s="55">
        <v>46226</v>
      </c>
      <c r="K409" s="55">
        <v>46254</v>
      </c>
      <c r="O409" s="3" t="s">
        <v>9</v>
      </c>
      <c r="P409" s="45"/>
      <c r="Q409" s="185"/>
      <c r="R409" s="186"/>
    </row>
    <row r="410" spans="1:18" ht="15" customHeight="1">
      <c r="A410" s="183" t="s">
        <v>206</v>
      </c>
      <c r="B410" s="183" t="s">
        <v>207</v>
      </c>
      <c r="C410" s="195">
        <v>201606165</v>
      </c>
      <c r="D410" s="168"/>
      <c r="E410" s="184"/>
      <c r="F410" s="184" t="s">
        <v>208</v>
      </c>
      <c r="G410" s="3" t="s">
        <v>169</v>
      </c>
      <c r="H410" s="45" t="s">
        <v>30</v>
      </c>
      <c r="I410" s="55">
        <v>46223</v>
      </c>
      <c r="J410" s="55">
        <v>46226</v>
      </c>
      <c r="K410" s="55">
        <v>46254</v>
      </c>
      <c r="O410" s="3" t="s">
        <v>9</v>
      </c>
      <c r="P410" s="45"/>
      <c r="Q410" s="185"/>
      <c r="R410" s="186"/>
    </row>
    <row r="411" spans="1:18" ht="15" customHeight="1">
      <c r="A411" s="183" t="s">
        <v>206</v>
      </c>
      <c r="B411" s="183" t="s">
        <v>207</v>
      </c>
      <c r="C411" s="195">
        <v>201606111</v>
      </c>
      <c r="D411" s="168"/>
      <c r="E411" s="184"/>
      <c r="F411" s="184" t="s">
        <v>208</v>
      </c>
      <c r="G411" s="3" t="s">
        <v>169</v>
      </c>
      <c r="H411" s="45" t="s">
        <v>30</v>
      </c>
      <c r="I411" s="55">
        <v>46223</v>
      </c>
      <c r="J411" s="55">
        <v>46226</v>
      </c>
      <c r="K411" s="55">
        <v>46254</v>
      </c>
      <c r="O411" s="3" t="s">
        <v>9</v>
      </c>
      <c r="P411" s="45"/>
      <c r="Q411" s="185"/>
      <c r="R411" s="186"/>
    </row>
    <row r="412" spans="1:18" ht="15" customHeight="1">
      <c r="A412" s="183" t="s">
        <v>209</v>
      </c>
      <c r="B412" s="183" t="s">
        <v>210</v>
      </c>
      <c r="C412" s="195">
        <v>204602747</v>
      </c>
      <c r="D412" s="168"/>
      <c r="E412" s="184"/>
      <c r="F412" s="184"/>
      <c r="G412" s="3" t="s">
        <v>211</v>
      </c>
      <c r="H412" s="45" t="s">
        <v>30</v>
      </c>
      <c r="I412" s="59">
        <v>46226</v>
      </c>
      <c r="J412" s="59">
        <v>46229</v>
      </c>
      <c r="K412" s="59">
        <v>46257</v>
      </c>
      <c r="L412" s="45"/>
      <c r="M412" s="45"/>
      <c r="N412" s="45"/>
      <c r="O412" s="3" t="s">
        <v>9</v>
      </c>
      <c r="P412" s="45"/>
      <c r="Q412" s="185"/>
      <c r="R412" s="186"/>
    </row>
    <row r="413" spans="1:18" ht="15" customHeight="1">
      <c r="A413" s="183" t="s">
        <v>209</v>
      </c>
      <c r="B413" s="183" t="s">
        <v>210</v>
      </c>
      <c r="C413" s="195">
        <v>204602770</v>
      </c>
      <c r="D413" s="168"/>
      <c r="G413" s="3" t="s">
        <v>211</v>
      </c>
      <c r="H413" s="45" t="s">
        <v>30</v>
      </c>
      <c r="I413" s="59">
        <v>46226</v>
      </c>
      <c r="J413" s="59">
        <v>46229</v>
      </c>
      <c r="K413" s="59">
        <v>46257</v>
      </c>
      <c r="O413" s="3" t="s">
        <v>9</v>
      </c>
      <c r="R413" s="177"/>
    </row>
    <row r="414" spans="1:18" ht="15" customHeight="1">
      <c r="A414" s="183" t="s">
        <v>209</v>
      </c>
      <c r="B414" s="183" t="s">
        <v>210</v>
      </c>
      <c r="C414" s="195">
        <v>201602848</v>
      </c>
      <c r="D414" s="168"/>
      <c r="G414" s="3" t="s">
        <v>211</v>
      </c>
      <c r="H414" s="45" t="s">
        <v>30</v>
      </c>
      <c r="I414" s="59">
        <v>46226</v>
      </c>
      <c r="J414" s="59">
        <v>46229</v>
      </c>
      <c r="K414" s="59">
        <v>46257</v>
      </c>
      <c r="O414" s="3" t="s">
        <v>9</v>
      </c>
      <c r="R414" s="177"/>
    </row>
    <row r="415" spans="1:18" ht="15" customHeight="1">
      <c r="A415" s="183" t="s">
        <v>209</v>
      </c>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155</v>
      </c>
      <c r="H2" s="71" t="s">
        <v>438</v>
      </c>
      <c r="I2" s="139">
        <v>45695</v>
      </c>
      <c r="J2" s="145"/>
      <c r="K2" s="145"/>
      <c r="L2" s="145"/>
      <c r="M2" s="145"/>
      <c r="N2" s="145"/>
      <c r="O2" s="145"/>
      <c r="P2" s="145"/>
      <c r="Q2" s="146"/>
      <c r="R2" s="71" t="s">
        <v>745</v>
      </c>
    </row>
    <row r="3" spans="1:18">
      <c r="A3" s="29" t="s">
        <v>744</v>
      </c>
      <c r="B3" s="29"/>
      <c r="C3" s="29">
        <v>38505213</v>
      </c>
      <c r="G3" s="29" t="s">
        <v>155</v>
      </c>
      <c r="H3" s="29" t="s">
        <v>438</v>
      </c>
      <c r="I3" s="120">
        <v>45695</v>
      </c>
      <c r="P3" s="134"/>
      <c r="R3" s="29" t="s">
        <v>746</v>
      </c>
    </row>
    <row r="4" spans="1:18">
      <c r="A4" s="41" t="s">
        <v>747</v>
      </c>
      <c r="B4" s="41"/>
      <c r="C4" s="41">
        <v>50507609</v>
      </c>
      <c r="G4" s="29" t="s">
        <v>155</v>
      </c>
      <c r="H4" s="29" t="s">
        <v>77</v>
      </c>
      <c r="I4" s="120">
        <v>45707</v>
      </c>
      <c r="P4" s="134"/>
      <c r="R4" s="41" t="s">
        <v>748</v>
      </c>
    </row>
    <row r="5" spans="1:18">
      <c r="A5" s="41" t="s">
        <v>747</v>
      </c>
      <c r="B5" s="41"/>
      <c r="C5" s="41">
        <v>50507859</v>
      </c>
      <c r="G5" s="29" t="s">
        <v>155</v>
      </c>
      <c r="H5" s="29" t="s">
        <v>77</v>
      </c>
      <c r="I5" s="120">
        <v>45707</v>
      </c>
      <c r="P5" s="134"/>
      <c r="R5" s="41" t="s">
        <v>749</v>
      </c>
    </row>
    <row r="6" spans="1:18">
      <c r="A6" s="147" t="s">
        <v>750</v>
      </c>
      <c r="B6" s="147"/>
      <c r="C6" s="29">
        <v>21507562</v>
      </c>
      <c r="G6" s="29" t="s">
        <v>155</v>
      </c>
      <c r="H6" s="29" t="s">
        <v>243</v>
      </c>
      <c r="I6" s="120">
        <v>45678</v>
      </c>
      <c r="P6" s="134"/>
      <c r="R6" s="29"/>
    </row>
    <row r="7" spans="1:18">
      <c r="A7" s="147" t="s">
        <v>750</v>
      </c>
      <c r="B7" s="147"/>
      <c r="C7" s="29">
        <v>21507565</v>
      </c>
      <c r="G7" s="29" t="s">
        <v>155</v>
      </c>
      <c r="H7" s="29" t="s">
        <v>243</v>
      </c>
      <c r="I7" s="120">
        <v>45678</v>
      </c>
      <c r="P7" s="134"/>
      <c r="R7" s="29"/>
    </row>
    <row r="8" spans="1:18">
      <c r="A8" s="147" t="s">
        <v>750</v>
      </c>
      <c r="B8" s="147"/>
      <c r="C8" s="29">
        <v>21507568</v>
      </c>
      <c r="G8" s="29" t="s">
        <v>155</v>
      </c>
      <c r="H8" s="29" t="s">
        <v>243</v>
      </c>
      <c r="I8" s="120">
        <v>45678</v>
      </c>
      <c r="P8" s="134"/>
      <c r="R8" s="29"/>
    </row>
    <row r="9" spans="1:18">
      <c r="A9" s="147" t="s">
        <v>750</v>
      </c>
      <c r="B9" s="147"/>
      <c r="C9" s="29">
        <v>21507569</v>
      </c>
      <c r="G9" s="29" t="s">
        <v>155</v>
      </c>
      <c r="H9" s="29" t="s">
        <v>243</v>
      </c>
      <c r="I9" s="120">
        <v>45678</v>
      </c>
      <c r="P9" s="134"/>
      <c r="R9" s="29"/>
    </row>
    <row r="10" spans="1:18">
      <c r="A10" s="147" t="s">
        <v>750</v>
      </c>
      <c r="B10" s="147"/>
      <c r="C10" s="29">
        <v>21507570</v>
      </c>
      <c r="G10" s="29" t="s">
        <v>155</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155</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155</v>
      </c>
      <c r="H347" s="29" t="s">
        <v>243</v>
      </c>
      <c r="I347" s="120">
        <v>45692</v>
      </c>
      <c r="J347" s="29"/>
      <c r="K347" s="29"/>
      <c r="L347" s="29"/>
      <c r="M347" s="29"/>
      <c r="N347" s="29"/>
      <c r="O347" s="29"/>
      <c r="P347" s="29"/>
      <c r="Q347" s="81"/>
      <c r="R347" s="29"/>
      <c r="S347" s="123"/>
    </row>
    <row r="348" spans="1:19" ht="15.75">
      <c r="A348" s="29" t="s">
        <v>825</v>
      </c>
      <c r="B348" s="29"/>
      <c r="C348" s="121">
        <v>36505390</v>
      </c>
      <c r="G348" s="29" t="s">
        <v>155</v>
      </c>
      <c r="H348" s="29" t="s">
        <v>243</v>
      </c>
      <c r="I348" s="120">
        <v>45692</v>
      </c>
      <c r="J348" s="29"/>
      <c r="K348" s="29"/>
      <c r="L348" s="29"/>
      <c r="M348" s="29"/>
      <c r="N348" s="29"/>
      <c r="O348" s="29"/>
      <c r="P348" s="29"/>
      <c r="Q348" s="81"/>
      <c r="R348" s="29"/>
      <c r="S348" s="123"/>
    </row>
    <row r="349" spans="1:19" ht="15.75">
      <c r="A349" s="29" t="s">
        <v>825</v>
      </c>
      <c r="B349" s="29"/>
      <c r="C349" s="121">
        <v>36505446</v>
      </c>
      <c r="G349" s="29" t="s">
        <v>155</v>
      </c>
      <c r="H349" s="29" t="s">
        <v>243</v>
      </c>
      <c r="I349" s="120">
        <v>45692</v>
      </c>
      <c r="J349" s="29"/>
      <c r="K349" s="29"/>
      <c r="L349" s="29"/>
      <c r="M349" s="29"/>
      <c r="N349" s="29"/>
      <c r="O349" s="29"/>
      <c r="P349" s="29"/>
      <c r="Q349" s="81"/>
      <c r="R349" s="29"/>
      <c r="S349" s="123"/>
    </row>
    <row r="350" spans="1:19" ht="15.75">
      <c r="A350" s="29" t="s">
        <v>825</v>
      </c>
      <c r="B350" s="29"/>
      <c r="C350" s="121">
        <v>36505501</v>
      </c>
      <c r="G350" s="29" t="s">
        <v>155</v>
      </c>
      <c r="H350" s="29" t="s">
        <v>243</v>
      </c>
      <c r="I350" s="120">
        <v>45692</v>
      </c>
      <c r="J350" s="29"/>
      <c r="K350" s="29"/>
      <c r="L350" s="29"/>
      <c r="M350" s="29"/>
      <c r="N350" s="29"/>
      <c r="O350" s="29"/>
      <c r="P350" s="29"/>
      <c r="Q350" s="81"/>
      <c r="R350" s="29"/>
      <c r="S350" s="123"/>
    </row>
    <row r="351" spans="1:19" ht="15.75">
      <c r="A351" s="29" t="s">
        <v>825</v>
      </c>
      <c r="B351" s="29"/>
      <c r="C351" s="121">
        <v>36504194</v>
      </c>
      <c r="G351" s="29" t="s">
        <v>155</v>
      </c>
      <c r="H351" s="29" t="s">
        <v>243</v>
      </c>
      <c r="I351" s="120">
        <v>45692</v>
      </c>
      <c r="J351" s="29"/>
      <c r="K351" s="29"/>
      <c r="L351" s="29"/>
      <c r="M351" s="29"/>
      <c r="N351" s="29"/>
      <c r="O351" s="29"/>
      <c r="P351" s="29"/>
      <c r="Q351" s="81"/>
      <c r="R351" s="29"/>
      <c r="S351" s="123"/>
    </row>
    <row r="352" spans="1:19" ht="15.75">
      <c r="A352" s="29" t="s">
        <v>825</v>
      </c>
      <c r="B352" s="29"/>
      <c r="C352" s="121">
        <v>36504399</v>
      </c>
      <c r="G352" s="29" t="s">
        <v>155</v>
      </c>
      <c r="H352" s="29" t="s">
        <v>243</v>
      </c>
      <c r="I352" s="120">
        <v>45692</v>
      </c>
      <c r="J352" s="29"/>
      <c r="K352" s="29"/>
      <c r="L352" s="29"/>
      <c r="M352" s="29"/>
      <c r="N352" s="29"/>
      <c r="O352" s="29"/>
      <c r="P352" s="29"/>
      <c r="Q352" s="81"/>
      <c r="R352" s="29"/>
      <c r="S352" s="123"/>
    </row>
    <row r="353" spans="1:19" ht="15.75">
      <c r="A353" s="29" t="s">
        <v>825</v>
      </c>
      <c r="B353" s="29"/>
      <c r="C353" s="121">
        <v>36504493</v>
      </c>
      <c r="G353" s="29" t="s">
        <v>155</v>
      </c>
      <c r="H353" s="29" t="s">
        <v>243</v>
      </c>
      <c r="I353" s="120">
        <v>45692</v>
      </c>
      <c r="J353" s="29"/>
      <c r="K353" s="29"/>
      <c r="L353" s="29"/>
      <c r="M353" s="29"/>
      <c r="N353" s="29"/>
      <c r="O353" s="29"/>
      <c r="P353" s="29"/>
      <c r="Q353" s="81"/>
      <c r="R353" s="29"/>
      <c r="S353" s="123"/>
    </row>
    <row r="354" spans="1:19" ht="15.75">
      <c r="A354" s="29" t="s">
        <v>825</v>
      </c>
      <c r="B354" s="29"/>
      <c r="C354" s="121">
        <v>36504549</v>
      </c>
      <c r="G354" s="29" t="s">
        <v>155</v>
      </c>
      <c r="H354" s="29" t="s">
        <v>243</v>
      </c>
      <c r="I354" s="120">
        <v>45692</v>
      </c>
      <c r="J354" s="29"/>
      <c r="K354" s="29"/>
      <c r="L354" s="29"/>
      <c r="M354" s="29"/>
      <c r="N354" s="29"/>
      <c r="O354" s="29"/>
      <c r="P354" s="29"/>
      <c r="Q354" s="81"/>
      <c r="R354" s="29"/>
      <c r="S354" s="123"/>
    </row>
    <row r="355" spans="1:19" ht="15.75">
      <c r="A355" s="29" t="s">
        <v>825</v>
      </c>
      <c r="B355" s="29"/>
      <c r="C355" s="121">
        <v>36504718</v>
      </c>
      <c r="G355" s="29" t="s">
        <v>155</v>
      </c>
      <c r="H355" s="29" t="s">
        <v>243</v>
      </c>
      <c r="I355" s="120">
        <v>45692</v>
      </c>
      <c r="J355" s="29"/>
      <c r="K355" s="29"/>
      <c r="L355" s="29"/>
      <c r="M355" s="29"/>
      <c r="N355" s="29"/>
      <c r="O355" s="29"/>
      <c r="P355" s="29"/>
      <c r="Q355" s="81"/>
      <c r="R355" s="29"/>
      <c r="S355" s="123"/>
    </row>
    <row r="356" spans="1:19">
      <c r="A356" s="29" t="s">
        <v>825</v>
      </c>
      <c r="B356" s="29"/>
      <c r="C356" s="29">
        <v>36505051</v>
      </c>
      <c r="G356" s="29" t="s">
        <v>155</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155</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155</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155</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155</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155</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155</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155</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155</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155</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155</v>
      </c>
      <c r="H366" s="29" t="s">
        <v>243</v>
      </c>
      <c r="I366" s="120">
        <v>45692</v>
      </c>
      <c r="J366" s="29"/>
      <c r="P366" s="134"/>
      <c r="R366" s="29"/>
    </row>
    <row r="367" spans="1:19" ht="15.75">
      <c r="A367" s="29" t="s">
        <v>825</v>
      </c>
      <c r="B367" s="29"/>
      <c r="C367" s="121">
        <v>36504399</v>
      </c>
      <c r="G367" s="29" t="s">
        <v>155</v>
      </c>
      <c r="H367" s="29" t="s">
        <v>243</v>
      </c>
      <c r="I367" s="120">
        <v>45692</v>
      </c>
      <c r="J367" s="29"/>
      <c r="P367" s="134"/>
      <c r="R367" s="29"/>
    </row>
    <row r="368" spans="1:19" ht="15.75">
      <c r="A368" s="29" t="s">
        <v>825</v>
      </c>
      <c r="B368" s="29"/>
      <c r="C368" s="121">
        <v>36504493</v>
      </c>
      <c r="G368" s="29" t="s">
        <v>155</v>
      </c>
      <c r="H368" s="29" t="s">
        <v>243</v>
      </c>
      <c r="I368" s="120">
        <v>45692</v>
      </c>
      <c r="J368" s="29"/>
      <c r="P368" s="134"/>
      <c r="R368" s="29"/>
    </row>
    <row r="369" spans="1:18" ht="15.75">
      <c r="A369" s="29" t="s">
        <v>825</v>
      </c>
      <c r="B369" s="29"/>
      <c r="C369" s="121">
        <v>36504549</v>
      </c>
      <c r="G369" s="29" t="s">
        <v>155</v>
      </c>
      <c r="H369" s="29" t="s">
        <v>243</v>
      </c>
      <c r="I369" s="120">
        <v>45692</v>
      </c>
      <c r="J369" s="29"/>
      <c r="P369" s="134"/>
      <c r="R369" s="29"/>
    </row>
    <row r="370" spans="1:18" ht="15.75">
      <c r="A370" s="29" t="s">
        <v>825</v>
      </c>
      <c r="B370" s="29"/>
      <c r="C370" s="121">
        <v>36504718</v>
      </c>
      <c r="G370" s="29" t="s">
        <v>155</v>
      </c>
      <c r="H370" s="29" t="s">
        <v>243</v>
      </c>
      <c r="I370" s="120">
        <v>45692</v>
      </c>
      <c r="J370" s="29"/>
      <c r="P370" s="134"/>
      <c r="R370" s="29"/>
    </row>
    <row r="371" spans="1:18" ht="15.75">
      <c r="A371" s="29" t="s">
        <v>825</v>
      </c>
      <c r="B371" s="29"/>
      <c r="C371" s="121">
        <v>36504907</v>
      </c>
      <c r="G371" s="29" t="s">
        <v>155</v>
      </c>
      <c r="H371" s="29" t="s">
        <v>243</v>
      </c>
      <c r="I371" s="120">
        <v>45692</v>
      </c>
      <c r="J371" s="29"/>
      <c r="P371" s="134"/>
      <c r="R371" s="29"/>
    </row>
    <row r="372" spans="1:18">
      <c r="A372" s="29" t="s">
        <v>825</v>
      </c>
      <c r="B372" s="29"/>
      <c r="C372" s="29">
        <v>36504999</v>
      </c>
      <c r="G372" s="29" t="s">
        <v>155</v>
      </c>
      <c r="H372" s="29" t="s">
        <v>826</v>
      </c>
      <c r="I372" s="120">
        <v>45692</v>
      </c>
      <c r="J372" s="29"/>
      <c r="P372" s="134"/>
      <c r="R372" s="29" t="s">
        <v>827</v>
      </c>
    </row>
    <row r="373" spans="1:18">
      <c r="A373" s="29" t="s">
        <v>825</v>
      </c>
      <c r="B373" s="29"/>
      <c r="C373" s="29">
        <v>36505051</v>
      </c>
      <c r="G373" s="29" t="s">
        <v>155</v>
      </c>
      <c r="H373" s="29" t="s">
        <v>826</v>
      </c>
      <c r="I373" s="120">
        <v>45692</v>
      </c>
      <c r="J373" s="29"/>
      <c r="P373" s="134"/>
      <c r="R373" s="29" t="s">
        <v>828</v>
      </c>
    </row>
    <row r="374" spans="1:18">
      <c r="A374" s="29" t="s">
        <v>825</v>
      </c>
      <c r="B374" s="29"/>
      <c r="C374" s="29">
        <v>36505051</v>
      </c>
      <c r="G374" s="29" t="s">
        <v>155</v>
      </c>
      <c r="H374" s="29" t="s">
        <v>826</v>
      </c>
      <c r="I374" s="120">
        <v>45692</v>
      </c>
      <c r="J374" s="29"/>
      <c r="P374" s="134"/>
      <c r="R374" s="29" t="s">
        <v>828</v>
      </c>
    </row>
    <row r="375" spans="1:18">
      <c r="A375" s="29" t="s">
        <v>825</v>
      </c>
      <c r="B375" s="29"/>
      <c r="C375" s="29">
        <v>36505123</v>
      </c>
      <c r="G375" s="29" t="s">
        <v>155</v>
      </c>
      <c r="H375" s="29" t="s">
        <v>826</v>
      </c>
      <c r="I375" s="120">
        <v>45694</v>
      </c>
      <c r="J375" s="29"/>
      <c r="P375" s="134"/>
      <c r="R375" s="29" t="s">
        <v>836</v>
      </c>
    </row>
    <row r="376" spans="1:18">
      <c r="A376" s="29" t="s">
        <v>825</v>
      </c>
      <c r="B376" s="29"/>
      <c r="C376" s="29">
        <v>36505184</v>
      </c>
      <c r="G376" s="29" t="s">
        <v>155</v>
      </c>
      <c r="H376" s="29" t="s">
        <v>413</v>
      </c>
      <c r="I376" s="120">
        <v>45692</v>
      </c>
      <c r="J376" s="29"/>
      <c r="P376" s="134"/>
      <c r="R376" s="29" t="s">
        <v>835</v>
      </c>
    </row>
    <row r="377" spans="1:18">
      <c r="A377" s="29" t="s">
        <v>825</v>
      </c>
      <c r="B377" s="29"/>
      <c r="C377" s="29">
        <v>36505254</v>
      </c>
      <c r="G377" s="29" t="s">
        <v>155</v>
      </c>
      <c r="H377" s="29" t="s">
        <v>413</v>
      </c>
      <c r="I377" s="120">
        <v>45692</v>
      </c>
      <c r="J377" s="29"/>
      <c r="P377" s="134"/>
      <c r="R377" s="29" t="s">
        <v>834</v>
      </c>
    </row>
    <row r="378" spans="1:18">
      <c r="A378" s="29" t="s">
        <v>825</v>
      </c>
      <c r="B378" s="29"/>
      <c r="C378" s="29">
        <v>36505299</v>
      </c>
      <c r="G378" s="29" t="s">
        <v>155</v>
      </c>
      <c r="H378" s="29" t="s">
        <v>413</v>
      </c>
      <c r="I378" s="120">
        <v>45692</v>
      </c>
      <c r="J378" s="29"/>
      <c r="P378" s="134"/>
      <c r="R378" s="29" t="s">
        <v>833</v>
      </c>
    </row>
    <row r="379" spans="1:18" ht="15.75">
      <c r="A379" s="29" t="s">
        <v>825</v>
      </c>
      <c r="B379" s="29"/>
      <c r="C379" s="121">
        <v>36505340</v>
      </c>
      <c r="G379" s="29" t="s">
        <v>155</v>
      </c>
      <c r="H379" s="29" t="s">
        <v>243</v>
      </c>
      <c r="I379" s="120">
        <v>45692</v>
      </c>
      <c r="J379" s="29"/>
      <c r="P379" s="134"/>
      <c r="R379" s="29"/>
    </row>
    <row r="380" spans="1:18">
      <c r="A380" s="29" t="s">
        <v>825</v>
      </c>
      <c r="B380" s="29"/>
      <c r="C380" s="29">
        <v>36505340</v>
      </c>
      <c r="G380" s="29" t="s">
        <v>155</v>
      </c>
      <c r="H380" s="29" t="s">
        <v>413</v>
      </c>
      <c r="I380" s="120">
        <v>45692</v>
      </c>
      <c r="J380" s="29"/>
      <c r="P380" s="134"/>
      <c r="R380" s="29" t="s">
        <v>832</v>
      </c>
    </row>
    <row r="381" spans="1:18" ht="15.75">
      <c r="A381" s="29" t="s">
        <v>825</v>
      </c>
      <c r="B381" s="29"/>
      <c r="C381" s="121">
        <v>36505390</v>
      </c>
      <c r="G381" s="29" t="s">
        <v>155</v>
      </c>
      <c r="H381" s="29" t="s">
        <v>243</v>
      </c>
      <c r="I381" s="120">
        <v>45692</v>
      </c>
      <c r="J381" s="29"/>
      <c r="P381" s="134"/>
      <c r="R381" s="29"/>
    </row>
    <row r="382" spans="1:18">
      <c r="A382" s="29" t="s">
        <v>825</v>
      </c>
      <c r="B382" s="29"/>
      <c r="C382" s="29">
        <v>36505390</v>
      </c>
      <c r="G382" s="29" t="s">
        <v>155</v>
      </c>
      <c r="H382" s="29" t="s">
        <v>413</v>
      </c>
      <c r="I382" s="120">
        <v>45692</v>
      </c>
      <c r="J382" s="29"/>
      <c r="P382" s="134"/>
      <c r="R382" s="29" t="s">
        <v>831</v>
      </c>
    </row>
    <row r="383" spans="1:18" ht="15.75">
      <c r="A383" s="29" t="s">
        <v>825</v>
      </c>
      <c r="B383" s="29"/>
      <c r="C383" s="121">
        <v>36505446</v>
      </c>
      <c r="G383" s="29" t="s">
        <v>155</v>
      </c>
      <c r="H383" s="29" t="s">
        <v>243</v>
      </c>
      <c r="I383" s="120">
        <v>45692</v>
      </c>
      <c r="J383" s="29"/>
      <c r="P383" s="134"/>
      <c r="R383" s="29"/>
    </row>
    <row r="384" spans="1:18">
      <c r="A384" s="29" t="s">
        <v>825</v>
      </c>
      <c r="B384" s="29"/>
      <c r="C384" s="29">
        <v>36505446</v>
      </c>
      <c r="G384" s="29" t="s">
        <v>155</v>
      </c>
      <c r="H384" s="29" t="s">
        <v>413</v>
      </c>
      <c r="I384" s="120">
        <v>45692</v>
      </c>
      <c r="J384" s="29"/>
      <c r="P384" s="134"/>
      <c r="R384" s="29" t="s">
        <v>831</v>
      </c>
    </row>
    <row r="385" spans="1:19" ht="15.75">
      <c r="A385" s="29" t="s">
        <v>825</v>
      </c>
      <c r="B385" s="29"/>
      <c r="C385" s="121">
        <v>36505501</v>
      </c>
      <c r="G385" s="29" t="s">
        <v>155</v>
      </c>
      <c r="H385" s="29" t="s">
        <v>243</v>
      </c>
      <c r="I385" s="120">
        <v>45692</v>
      </c>
      <c r="J385" s="29"/>
      <c r="P385" s="134"/>
      <c r="R385" s="29"/>
    </row>
    <row r="386" spans="1:19">
      <c r="A386" s="29" t="s">
        <v>825</v>
      </c>
      <c r="B386" s="29"/>
      <c r="C386" s="29">
        <v>36505501</v>
      </c>
      <c r="G386" s="29" t="s">
        <v>155</v>
      </c>
      <c r="H386" s="29" t="s">
        <v>413</v>
      </c>
      <c r="I386" s="120">
        <v>45692</v>
      </c>
      <c r="J386" s="29"/>
      <c r="P386" s="134"/>
      <c r="R386" s="29" t="s">
        <v>830</v>
      </c>
    </row>
    <row r="387" spans="1:19">
      <c r="A387" s="29" t="s">
        <v>825</v>
      </c>
      <c r="B387" s="29"/>
      <c r="C387" s="29">
        <v>36505123</v>
      </c>
      <c r="G387" s="29" t="s">
        <v>155</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155</v>
      </c>
      <c r="H388" s="29" t="s">
        <v>413</v>
      </c>
      <c r="I388" s="120">
        <v>45692</v>
      </c>
      <c r="J388" s="29"/>
      <c r="P388" s="134"/>
      <c r="R388" s="29" t="s">
        <v>829</v>
      </c>
    </row>
    <row r="389" spans="1:19">
      <c r="A389" s="41" t="s">
        <v>747</v>
      </c>
      <c r="B389" s="41"/>
      <c r="C389" s="41">
        <v>50507785</v>
      </c>
      <c r="G389" s="29" t="s">
        <v>155</v>
      </c>
      <c r="H389" s="29" t="s">
        <v>77</v>
      </c>
      <c r="I389" s="120">
        <v>45707</v>
      </c>
      <c r="J389" s="29"/>
      <c r="P389" s="134"/>
      <c r="R389" s="41" t="s">
        <v>837</v>
      </c>
    </row>
    <row r="390" spans="1:19">
      <c r="A390" s="41" t="s">
        <v>747</v>
      </c>
      <c r="B390" s="41"/>
      <c r="C390" s="41">
        <v>50507819</v>
      </c>
      <c r="G390" s="29" t="s">
        <v>155</v>
      </c>
      <c r="H390" s="29" t="s">
        <v>77</v>
      </c>
      <c r="I390" s="120">
        <v>45707</v>
      </c>
      <c r="J390" s="29"/>
      <c r="P390" s="134"/>
      <c r="R390" s="41" t="s">
        <v>838</v>
      </c>
    </row>
    <row r="391" spans="1:19">
      <c r="A391" s="41" t="s">
        <v>747</v>
      </c>
      <c r="B391" s="41"/>
      <c r="C391" s="41">
        <v>50507838</v>
      </c>
      <c r="G391" s="29" t="s">
        <v>155</v>
      </c>
      <c r="H391" s="29" t="s">
        <v>77</v>
      </c>
      <c r="I391" s="120">
        <v>45707</v>
      </c>
      <c r="J391" s="29"/>
      <c r="P391" s="134"/>
      <c r="R391" s="41" t="s">
        <v>839</v>
      </c>
    </row>
    <row r="392" spans="1:19">
      <c r="A392" s="41" t="s">
        <v>747</v>
      </c>
      <c r="B392" s="41"/>
      <c r="C392" s="41">
        <v>50507640</v>
      </c>
      <c r="G392" s="29" t="s">
        <v>155</v>
      </c>
      <c r="H392" s="29" t="s">
        <v>77</v>
      </c>
      <c r="I392" s="120">
        <v>45707</v>
      </c>
      <c r="J392" s="29"/>
      <c r="P392" s="134"/>
      <c r="R392" s="41" t="s">
        <v>840</v>
      </c>
    </row>
    <row r="393" spans="1:19">
      <c r="A393" s="41" t="s">
        <v>747</v>
      </c>
      <c r="B393" s="41"/>
      <c r="C393" s="41">
        <v>50507678</v>
      </c>
      <c r="G393" s="29" t="s">
        <v>155</v>
      </c>
      <c r="H393" s="29" t="s">
        <v>77</v>
      </c>
      <c r="I393" s="120">
        <v>45707</v>
      </c>
      <c r="J393" s="29"/>
      <c r="P393" s="134"/>
      <c r="R393" s="41" t="s">
        <v>841</v>
      </c>
    </row>
    <row r="394" spans="1:19">
      <c r="A394" s="41" t="s">
        <v>747</v>
      </c>
      <c r="B394" s="41"/>
      <c r="C394" s="41">
        <v>50507713</v>
      </c>
      <c r="G394" s="29" t="s">
        <v>155</v>
      </c>
      <c r="H394" s="29" t="s">
        <v>77</v>
      </c>
      <c r="I394" s="120">
        <v>45707</v>
      </c>
      <c r="J394" s="29"/>
      <c r="P394" s="134"/>
      <c r="R394" s="41" t="s">
        <v>842</v>
      </c>
    </row>
    <row r="395" spans="1:19">
      <c r="A395" s="41" t="s">
        <v>747</v>
      </c>
      <c r="B395" s="41"/>
      <c r="C395" s="41">
        <v>50507757</v>
      </c>
      <c r="G395" s="29" t="s">
        <v>155</v>
      </c>
      <c r="H395" s="29" t="s">
        <v>77</v>
      </c>
      <c r="I395" s="120">
        <v>45707</v>
      </c>
      <c r="J395" s="29"/>
      <c r="P395" s="134"/>
      <c r="R395" s="41" t="s">
        <v>843</v>
      </c>
    </row>
    <row r="396" spans="1:19">
      <c r="A396" s="41" t="s">
        <v>747</v>
      </c>
      <c r="B396" s="41"/>
      <c r="C396" s="41">
        <v>50507609</v>
      </c>
      <c r="G396" s="29" t="s">
        <v>155</v>
      </c>
      <c r="H396" s="29" t="s">
        <v>438</v>
      </c>
      <c r="I396" s="42">
        <v>45707</v>
      </c>
      <c r="P396" s="134"/>
      <c r="R396" s="41" t="s">
        <v>748</v>
      </c>
    </row>
    <row r="397" spans="1:19">
      <c r="A397" s="41" t="s">
        <v>747</v>
      </c>
      <c r="B397" s="41"/>
      <c r="C397" s="41">
        <v>50507859</v>
      </c>
      <c r="G397" s="29" t="s">
        <v>155</v>
      </c>
      <c r="H397" s="29" t="s">
        <v>438</v>
      </c>
      <c r="I397" s="42">
        <v>45707</v>
      </c>
      <c r="P397" s="134"/>
      <c r="R397" s="41" t="s">
        <v>749</v>
      </c>
    </row>
    <row r="398" spans="1:19">
      <c r="A398" s="41" t="s">
        <v>747</v>
      </c>
      <c r="B398" s="41"/>
      <c r="C398" s="41">
        <v>50507785</v>
      </c>
      <c r="G398" s="29" t="s">
        <v>155</v>
      </c>
      <c r="H398" s="29" t="s">
        <v>438</v>
      </c>
      <c r="I398" s="42">
        <v>45707</v>
      </c>
      <c r="P398" s="134"/>
      <c r="R398" s="41" t="s">
        <v>837</v>
      </c>
    </row>
    <row r="399" spans="1:19">
      <c r="A399" s="41" t="s">
        <v>747</v>
      </c>
      <c r="B399" s="41"/>
      <c r="C399" s="41">
        <v>50507819</v>
      </c>
      <c r="G399" s="29" t="s">
        <v>155</v>
      </c>
      <c r="H399" s="29" t="s">
        <v>438</v>
      </c>
      <c r="I399" s="42">
        <v>45707</v>
      </c>
      <c r="P399" s="134"/>
      <c r="R399" s="41" t="s">
        <v>838</v>
      </c>
    </row>
    <row r="400" spans="1:19">
      <c r="A400" s="41" t="s">
        <v>747</v>
      </c>
      <c r="B400" s="41"/>
      <c r="C400" s="41">
        <v>50507838</v>
      </c>
      <c r="G400" s="29" t="s">
        <v>155</v>
      </c>
      <c r="H400" s="29" t="s">
        <v>438</v>
      </c>
      <c r="I400" s="42">
        <v>45707</v>
      </c>
      <c r="P400" s="134"/>
      <c r="R400" s="41" t="s">
        <v>839</v>
      </c>
    </row>
    <row r="401" spans="1:18">
      <c r="A401" s="41" t="s">
        <v>747</v>
      </c>
      <c r="B401" s="41"/>
      <c r="C401" s="41">
        <v>50507640</v>
      </c>
      <c r="G401" s="29" t="s">
        <v>155</v>
      </c>
      <c r="H401" s="29" t="s">
        <v>438</v>
      </c>
      <c r="I401" s="42">
        <v>45707</v>
      </c>
      <c r="P401" s="134"/>
      <c r="R401" s="41" t="s">
        <v>840</v>
      </c>
    </row>
    <row r="402" spans="1:18">
      <c r="A402" s="41" t="s">
        <v>747</v>
      </c>
      <c r="B402" s="41"/>
      <c r="C402" s="41">
        <v>50507678</v>
      </c>
      <c r="G402" s="29" t="s">
        <v>155</v>
      </c>
      <c r="H402" s="29" t="s">
        <v>438</v>
      </c>
      <c r="I402" s="42">
        <v>45707</v>
      </c>
      <c r="P402" s="134"/>
      <c r="R402" s="41" t="s">
        <v>841</v>
      </c>
    </row>
    <row r="403" spans="1:18">
      <c r="A403" s="41" t="s">
        <v>747</v>
      </c>
      <c r="B403" s="41"/>
      <c r="C403" s="41">
        <v>50507713</v>
      </c>
      <c r="G403" s="29" t="s">
        <v>155</v>
      </c>
      <c r="H403" s="29" t="s">
        <v>438</v>
      </c>
      <c r="I403" s="42">
        <v>45707</v>
      </c>
      <c r="P403" s="134"/>
      <c r="R403" s="41" t="s">
        <v>842</v>
      </c>
    </row>
    <row r="404" spans="1:18">
      <c r="A404" s="41" t="s">
        <v>747</v>
      </c>
      <c r="B404" s="41"/>
      <c r="C404" s="41">
        <v>50507757</v>
      </c>
      <c r="G404" s="29" t="s">
        <v>155</v>
      </c>
      <c r="H404" s="29" t="s">
        <v>438</v>
      </c>
      <c r="I404" s="42">
        <v>45707</v>
      </c>
      <c r="P404" s="134"/>
      <c r="R404" s="41" t="s">
        <v>843</v>
      </c>
    </row>
    <row r="405" spans="1:18">
      <c r="A405" s="41" t="s">
        <v>747</v>
      </c>
      <c r="B405" s="41"/>
      <c r="C405" s="41">
        <v>50507609</v>
      </c>
      <c r="G405" s="29" t="s">
        <v>155</v>
      </c>
      <c r="H405" s="29" t="s">
        <v>438</v>
      </c>
      <c r="I405" s="42">
        <v>45707</v>
      </c>
      <c r="P405" s="134"/>
      <c r="R405" s="41" t="s">
        <v>748</v>
      </c>
    </row>
    <row r="406" spans="1:18">
      <c r="A406" s="41" t="s">
        <v>747</v>
      </c>
      <c r="B406" s="41"/>
      <c r="C406" s="41">
        <v>50507859</v>
      </c>
      <c r="G406" s="29" t="s">
        <v>155</v>
      </c>
      <c r="H406" s="29" t="s">
        <v>438</v>
      </c>
      <c r="I406" s="42">
        <v>45707</v>
      </c>
      <c r="P406" s="134"/>
      <c r="R406" s="41" t="s">
        <v>749</v>
      </c>
    </row>
    <row r="407" spans="1:18">
      <c r="A407" s="41" t="s">
        <v>747</v>
      </c>
      <c r="B407" s="41"/>
      <c r="C407" s="41">
        <v>50507785</v>
      </c>
      <c r="G407" s="29" t="s">
        <v>155</v>
      </c>
      <c r="H407" s="29" t="s">
        <v>438</v>
      </c>
      <c r="I407" s="42">
        <v>45707</v>
      </c>
      <c r="P407" s="134"/>
      <c r="R407" s="41" t="s">
        <v>837</v>
      </c>
    </row>
    <row r="408" spans="1:18">
      <c r="A408" s="41" t="s">
        <v>747</v>
      </c>
      <c r="B408" s="41"/>
      <c r="C408" s="41">
        <v>50507819</v>
      </c>
      <c r="G408" s="29" t="s">
        <v>155</v>
      </c>
      <c r="H408" s="29" t="s">
        <v>438</v>
      </c>
      <c r="I408" s="42">
        <v>45707</v>
      </c>
      <c r="P408" s="134"/>
      <c r="R408" s="41" t="s">
        <v>838</v>
      </c>
    </row>
    <row r="409" spans="1:18">
      <c r="A409" s="41" t="s">
        <v>747</v>
      </c>
      <c r="B409" s="41"/>
      <c r="C409" s="41">
        <v>50507838</v>
      </c>
      <c r="G409" s="29" t="s">
        <v>155</v>
      </c>
      <c r="H409" s="29" t="s">
        <v>438</v>
      </c>
      <c r="I409" s="42">
        <v>45707</v>
      </c>
      <c r="P409" s="134"/>
      <c r="R409" s="41" t="s">
        <v>839</v>
      </c>
    </row>
    <row r="410" spans="1:18">
      <c r="A410" s="41" t="s">
        <v>747</v>
      </c>
      <c r="B410" s="41"/>
      <c r="C410" s="41">
        <v>50507640</v>
      </c>
      <c r="G410" s="29" t="s">
        <v>155</v>
      </c>
      <c r="H410" s="29" t="s">
        <v>438</v>
      </c>
      <c r="I410" s="42">
        <v>45707</v>
      </c>
      <c r="P410" s="134"/>
      <c r="R410" s="41" t="s">
        <v>840</v>
      </c>
    </row>
    <row r="411" spans="1:18">
      <c r="A411" s="41" t="s">
        <v>747</v>
      </c>
      <c r="B411" s="41"/>
      <c r="C411" s="41">
        <v>50507678</v>
      </c>
      <c r="G411" s="29" t="s">
        <v>155</v>
      </c>
      <c r="H411" s="29" t="s">
        <v>438</v>
      </c>
      <c r="I411" s="42">
        <v>45707</v>
      </c>
      <c r="P411" s="134"/>
      <c r="R411" s="41" t="s">
        <v>841</v>
      </c>
    </row>
    <row r="412" spans="1:18">
      <c r="A412" s="41" t="s">
        <v>747</v>
      </c>
      <c r="B412" s="41"/>
      <c r="C412" s="41">
        <v>50507713</v>
      </c>
      <c r="G412" s="29" t="s">
        <v>155</v>
      </c>
      <c r="H412" s="29" t="s">
        <v>438</v>
      </c>
      <c r="I412" s="42">
        <v>45707</v>
      </c>
      <c r="P412" s="134"/>
      <c r="R412" s="41" t="s">
        <v>842</v>
      </c>
    </row>
    <row r="413" spans="1:18">
      <c r="A413" s="41" t="s">
        <v>747</v>
      </c>
      <c r="B413" s="41"/>
      <c r="C413" s="41">
        <v>50507757</v>
      </c>
      <c r="G413" s="29" t="s">
        <v>155</v>
      </c>
      <c r="H413" s="29" t="s">
        <v>438</v>
      </c>
      <c r="I413" s="42">
        <v>45707</v>
      </c>
      <c r="P413" s="134"/>
      <c r="R413" s="41" t="s">
        <v>843</v>
      </c>
    </row>
    <row r="414" spans="1:18">
      <c r="A414" s="41" t="s">
        <v>747</v>
      </c>
      <c r="B414" s="41"/>
      <c r="C414" s="41">
        <v>50507609</v>
      </c>
      <c r="G414" s="29" t="s">
        <v>155</v>
      </c>
      <c r="H414" s="29" t="s">
        <v>77</v>
      </c>
      <c r="I414" s="120">
        <v>45707</v>
      </c>
      <c r="J414" s="29"/>
      <c r="K414" s="29"/>
      <c r="L414" s="29"/>
      <c r="M414" s="29"/>
      <c r="N414" s="29"/>
      <c r="P414" s="134"/>
      <c r="R414" s="41" t="s">
        <v>748</v>
      </c>
    </row>
    <row r="415" spans="1:18">
      <c r="A415" s="41" t="s">
        <v>747</v>
      </c>
      <c r="B415" s="41"/>
      <c r="C415" s="41">
        <v>50507859</v>
      </c>
      <c r="G415" s="29" t="s">
        <v>155</v>
      </c>
      <c r="H415" s="29" t="s">
        <v>77</v>
      </c>
      <c r="I415" s="120">
        <v>45707</v>
      </c>
      <c r="J415" s="29"/>
      <c r="K415" s="29"/>
      <c r="L415" s="29"/>
      <c r="M415" s="29"/>
      <c r="N415" s="29"/>
      <c r="P415" s="134"/>
      <c r="R415" s="41" t="s">
        <v>749</v>
      </c>
    </row>
    <row r="416" spans="1:18">
      <c r="A416" s="41" t="s">
        <v>747</v>
      </c>
      <c r="B416" s="41"/>
      <c r="C416" s="41">
        <v>50507785</v>
      </c>
      <c r="G416" s="29" t="s">
        <v>155</v>
      </c>
      <c r="H416" s="29" t="s">
        <v>77</v>
      </c>
      <c r="I416" s="120">
        <v>45707</v>
      </c>
      <c r="J416" s="29"/>
      <c r="K416" s="29"/>
      <c r="L416" s="29"/>
      <c r="M416" s="29"/>
      <c r="N416" s="29"/>
      <c r="P416" s="134"/>
      <c r="R416" s="41" t="s">
        <v>837</v>
      </c>
    </row>
    <row r="417" spans="1:19">
      <c r="A417" s="41" t="s">
        <v>747</v>
      </c>
      <c r="B417" s="41"/>
      <c r="C417" s="41">
        <v>50507819</v>
      </c>
      <c r="G417" s="29" t="s">
        <v>155</v>
      </c>
      <c r="H417" s="29" t="s">
        <v>77</v>
      </c>
      <c r="I417" s="120">
        <v>45707</v>
      </c>
      <c r="J417" s="29"/>
      <c r="K417" s="29"/>
      <c r="L417" s="29"/>
      <c r="M417" s="29"/>
      <c r="N417" s="29"/>
      <c r="P417" s="134"/>
      <c r="R417" s="41" t="s">
        <v>838</v>
      </c>
    </row>
    <row r="418" spans="1:19">
      <c r="A418" s="41" t="s">
        <v>747</v>
      </c>
      <c r="B418" s="41"/>
      <c r="C418" s="41">
        <v>50507838</v>
      </c>
      <c r="G418" s="29" t="s">
        <v>155</v>
      </c>
      <c r="H418" s="29" t="s">
        <v>77</v>
      </c>
      <c r="I418" s="120">
        <v>45707</v>
      </c>
      <c r="J418" s="29"/>
      <c r="K418" s="29"/>
      <c r="L418" s="29"/>
      <c r="M418" s="29"/>
      <c r="N418" s="29"/>
      <c r="P418" s="134"/>
      <c r="R418" s="41" t="s">
        <v>839</v>
      </c>
    </row>
    <row r="419" spans="1:19">
      <c r="A419" s="41" t="s">
        <v>747</v>
      </c>
      <c r="B419" s="41"/>
      <c r="C419" s="41">
        <v>50507640</v>
      </c>
      <c r="G419" s="29" t="s">
        <v>155</v>
      </c>
      <c r="H419" s="29" t="s">
        <v>77</v>
      </c>
      <c r="I419" s="120">
        <v>45707</v>
      </c>
      <c r="J419" s="29"/>
      <c r="K419" s="29"/>
      <c r="L419" s="29"/>
      <c r="M419" s="29"/>
      <c r="N419" s="29"/>
      <c r="P419" s="134"/>
      <c r="R419" s="41" t="s">
        <v>840</v>
      </c>
    </row>
    <row r="420" spans="1:19">
      <c r="A420" s="41" t="s">
        <v>747</v>
      </c>
      <c r="B420" s="41"/>
      <c r="C420" s="41">
        <v>50507678</v>
      </c>
      <c r="G420" s="29" t="s">
        <v>155</v>
      </c>
      <c r="H420" s="29" t="s">
        <v>77</v>
      </c>
      <c r="I420" s="120">
        <v>45707</v>
      </c>
      <c r="J420" s="29"/>
      <c r="K420" s="29"/>
      <c r="L420" s="29"/>
      <c r="M420" s="29"/>
      <c r="N420" s="29"/>
      <c r="P420" s="134"/>
      <c r="R420" s="41" t="s">
        <v>841</v>
      </c>
    </row>
    <row r="421" spans="1:19">
      <c r="A421" s="41" t="s">
        <v>747</v>
      </c>
      <c r="B421" s="41"/>
      <c r="C421" s="41">
        <v>50507713</v>
      </c>
      <c r="G421" s="29" t="s">
        <v>155</v>
      </c>
      <c r="H421" s="29" t="s">
        <v>77</v>
      </c>
      <c r="I421" s="120">
        <v>45707</v>
      </c>
      <c r="J421" s="29"/>
      <c r="K421" s="29"/>
      <c r="L421" s="29"/>
      <c r="M421" s="29"/>
      <c r="N421" s="29"/>
      <c r="P421" s="134"/>
      <c r="R421" s="41" t="s">
        <v>842</v>
      </c>
    </row>
    <row r="422" spans="1:19">
      <c r="A422" s="41" t="s">
        <v>747</v>
      </c>
      <c r="B422" s="41"/>
      <c r="C422" s="41">
        <v>50507757</v>
      </c>
      <c r="G422" s="29" t="s">
        <v>155</v>
      </c>
      <c r="H422" s="29" t="s">
        <v>77</v>
      </c>
      <c r="I422" s="120">
        <v>45707</v>
      </c>
      <c r="J422" s="29"/>
      <c r="K422" s="29"/>
      <c r="L422" s="29"/>
      <c r="M422" s="29"/>
      <c r="N422" s="29"/>
      <c r="P422" s="134"/>
      <c r="R422" s="41" t="s">
        <v>843</v>
      </c>
    </row>
    <row r="423" spans="1:19">
      <c r="A423" s="147" t="s">
        <v>844</v>
      </c>
      <c r="B423" s="147"/>
      <c r="C423" s="29">
        <v>6508035</v>
      </c>
      <c r="G423" s="29" t="s">
        <v>155</v>
      </c>
      <c r="H423" s="29" t="s">
        <v>845</v>
      </c>
      <c r="I423" s="120">
        <v>45659</v>
      </c>
      <c r="J423" s="29"/>
      <c r="K423" s="29"/>
      <c r="L423" s="29"/>
      <c r="M423" s="29"/>
      <c r="N423" s="29"/>
      <c r="O423" s="29"/>
      <c r="P423" s="29"/>
      <c r="Q423" s="81"/>
      <c r="R423" s="29"/>
      <c r="S423" s="123"/>
    </row>
    <row r="424" spans="1:19">
      <c r="A424" s="147" t="s">
        <v>844</v>
      </c>
      <c r="B424" s="147"/>
      <c r="C424" s="29">
        <v>6508102</v>
      </c>
      <c r="G424" s="29" t="s">
        <v>155</v>
      </c>
      <c r="H424" s="29" t="s">
        <v>845</v>
      </c>
      <c r="I424" s="120">
        <v>45659</v>
      </c>
      <c r="J424" s="29"/>
      <c r="K424" s="29"/>
      <c r="L424" s="29"/>
      <c r="M424" s="29"/>
      <c r="N424" s="29"/>
      <c r="O424" s="29"/>
      <c r="P424" s="29"/>
      <c r="Q424" s="81"/>
      <c r="R424" s="29"/>
      <c r="S424" s="123"/>
    </row>
    <row r="425" spans="1:19">
      <c r="A425" s="147" t="s">
        <v>844</v>
      </c>
      <c r="B425" s="147"/>
      <c r="C425" s="29">
        <v>6508109</v>
      </c>
      <c r="G425" s="29" t="s">
        <v>155</v>
      </c>
      <c r="H425" s="29" t="s">
        <v>845</v>
      </c>
      <c r="I425" s="120">
        <v>45659</v>
      </c>
      <c r="J425" s="29"/>
      <c r="K425" s="29"/>
      <c r="L425" s="29"/>
      <c r="M425" s="29"/>
      <c r="N425" s="29"/>
      <c r="O425" s="29"/>
      <c r="P425" s="29"/>
      <c r="Q425" s="81"/>
      <c r="R425" s="29"/>
      <c r="S425" s="123"/>
    </row>
    <row r="426" spans="1:19">
      <c r="A426" s="147" t="s">
        <v>844</v>
      </c>
      <c r="B426" s="147"/>
      <c r="C426" s="29">
        <v>6508118</v>
      </c>
      <c r="G426" s="29" t="s">
        <v>155</v>
      </c>
      <c r="H426" s="29" t="s">
        <v>845</v>
      </c>
      <c r="I426" s="120">
        <v>45659</v>
      </c>
      <c r="J426" s="29"/>
      <c r="K426" s="29"/>
      <c r="L426" s="29"/>
      <c r="M426" s="29"/>
      <c r="N426" s="29"/>
      <c r="O426" s="29"/>
      <c r="P426" s="29"/>
      <c r="Q426" s="81"/>
      <c r="R426" s="29"/>
      <c r="S426" s="123"/>
    </row>
    <row r="427" spans="1:19">
      <c r="A427" s="147" t="s">
        <v>844</v>
      </c>
      <c r="B427" s="147"/>
      <c r="C427" s="29">
        <v>6508147</v>
      </c>
      <c r="G427" s="29" t="s">
        <v>155</v>
      </c>
      <c r="H427" s="29" t="s">
        <v>845</v>
      </c>
      <c r="I427" s="120">
        <v>45659</v>
      </c>
      <c r="J427" s="29"/>
      <c r="K427" s="29"/>
      <c r="L427" s="29"/>
      <c r="M427" s="29"/>
      <c r="N427" s="29"/>
      <c r="O427" s="29"/>
      <c r="P427" s="29"/>
      <c r="Q427" s="81"/>
      <c r="R427" s="29"/>
      <c r="S427" s="123"/>
    </row>
    <row r="428" spans="1:19">
      <c r="A428" s="147" t="s">
        <v>844</v>
      </c>
      <c r="B428" s="147"/>
      <c r="C428" s="29">
        <v>6508194</v>
      </c>
      <c r="G428" s="29" t="s">
        <v>155</v>
      </c>
      <c r="H428" s="29" t="s">
        <v>845</v>
      </c>
      <c r="I428" s="120">
        <v>45659</v>
      </c>
      <c r="J428" s="29"/>
      <c r="K428" s="29"/>
      <c r="L428" s="29"/>
      <c r="M428" s="29"/>
      <c r="N428" s="29"/>
      <c r="O428" s="29"/>
      <c r="P428" s="29"/>
      <c r="Q428" s="81"/>
      <c r="R428" s="29"/>
      <c r="S428" s="123"/>
    </row>
    <row r="429" spans="1:19">
      <c r="A429" s="147" t="s">
        <v>844</v>
      </c>
      <c r="B429" s="147"/>
      <c r="C429" s="29">
        <v>6508205</v>
      </c>
      <c r="G429" s="29" t="s">
        <v>155</v>
      </c>
      <c r="H429" s="29" t="s">
        <v>845</v>
      </c>
      <c r="I429" s="120">
        <v>45659</v>
      </c>
      <c r="J429" s="29"/>
      <c r="K429" s="29"/>
      <c r="L429" s="29"/>
      <c r="M429" s="29"/>
      <c r="N429" s="29"/>
      <c r="O429" s="29"/>
      <c r="P429" s="29"/>
      <c r="Q429" s="81"/>
      <c r="R429" s="29"/>
      <c r="S429" s="123"/>
    </row>
    <row r="430" spans="1:19">
      <c r="A430" s="147" t="s">
        <v>844</v>
      </c>
      <c r="B430" s="147"/>
      <c r="C430" s="29">
        <v>6508233</v>
      </c>
      <c r="G430" s="29" t="s">
        <v>155</v>
      </c>
      <c r="H430" s="29" t="s">
        <v>845</v>
      </c>
      <c r="I430" s="120">
        <v>45659</v>
      </c>
      <c r="J430" s="29"/>
      <c r="K430" s="29"/>
      <c r="L430" s="29"/>
      <c r="M430" s="29"/>
      <c r="N430" s="29"/>
      <c r="O430" s="29"/>
      <c r="P430" s="29"/>
      <c r="Q430" s="81"/>
      <c r="R430" s="29"/>
      <c r="S430" s="123"/>
    </row>
    <row r="431" spans="1:19">
      <c r="A431" s="147" t="s">
        <v>844</v>
      </c>
      <c r="B431" s="147"/>
      <c r="C431" s="29">
        <v>6508247</v>
      </c>
      <c r="G431" s="29" t="s">
        <v>155</v>
      </c>
      <c r="H431" s="29" t="s">
        <v>845</v>
      </c>
      <c r="I431" s="120">
        <v>45659</v>
      </c>
      <c r="J431" s="29"/>
      <c r="K431" s="29"/>
      <c r="L431" s="29"/>
      <c r="M431" s="29"/>
      <c r="N431" s="29"/>
      <c r="O431" s="29"/>
      <c r="P431" s="29"/>
      <c r="Q431" s="81"/>
      <c r="R431" s="29"/>
      <c r="S431" s="123"/>
    </row>
    <row r="432" spans="1:19">
      <c r="A432" s="147" t="s">
        <v>844</v>
      </c>
      <c r="B432" s="147"/>
      <c r="C432" s="29">
        <v>6508254</v>
      </c>
      <c r="G432" s="29" t="s">
        <v>155</v>
      </c>
      <c r="H432" s="29" t="s">
        <v>845</v>
      </c>
      <c r="I432" s="120">
        <v>45659</v>
      </c>
      <c r="J432" s="29"/>
      <c r="K432" s="29"/>
      <c r="L432" s="29"/>
      <c r="M432" s="29"/>
      <c r="N432" s="29"/>
      <c r="O432" s="29"/>
      <c r="P432" s="29"/>
      <c r="Q432" s="81"/>
      <c r="R432" s="29"/>
      <c r="S432" s="123"/>
    </row>
    <row r="433" spans="1:19">
      <c r="A433" s="147" t="s">
        <v>844</v>
      </c>
      <c r="B433" s="147"/>
      <c r="C433" s="29">
        <v>6508313</v>
      </c>
      <c r="G433" s="29" t="s">
        <v>155</v>
      </c>
      <c r="H433" s="29" t="s">
        <v>845</v>
      </c>
      <c r="I433" s="120">
        <v>45659</v>
      </c>
      <c r="J433" s="29"/>
      <c r="K433" s="29"/>
      <c r="L433" s="29"/>
      <c r="M433" s="29"/>
      <c r="N433" s="29"/>
      <c r="O433" s="29"/>
      <c r="P433" s="29"/>
      <c r="Q433" s="81"/>
      <c r="R433" s="29"/>
      <c r="S433" s="123"/>
    </row>
    <row r="434" spans="1:19">
      <c r="A434" s="147" t="s">
        <v>844</v>
      </c>
      <c r="B434" s="147"/>
      <c r="C434" s="29">
        <v>6508324</v>
      </c>
      <c r="G434" s="29" t="s">
        <v>155</v>
      </c>
      <c r="H434" s="29" t="s">
        <v>845</v>
      </c>
      <c r="I434" s="120">
        <v>45659</v>
      </c>
      <c r="J434" s="29"/>
      <c r="K434" s="29"/>
      <c r="L434" s="29"/>
      <c r="M434" s="29"/>
      <c r="N434" s="29"/>
      <c r="O434" s="29"/>
      <c r="P434" s="29"/>
      <c r="Q434" s="81"/>
      <c r="R434" s="29"/>
      <c r="S434" s="123"/>
    </row>
    <row r="435" spans="1:19">
      <c r="A435" s="147" t="s">
        <v>844</v>
      </c>
      <c r="B435" s="147"/>
      <c r="C435" s="29">
        <v>6508339</v>
      </c>
      <c r="G435" s="29" t="s">
        <v>155</v>
      </c>
      <c r="H435" s="29" t="s">
        <v>845</v>
      </c>
      <c r="I435" s="120">
        <v>45659</v>
      </c>
      <c r="J435" s="29"/>
      <c r="K435" s="29"/>
      <c r="L435" s="29"/>
      <c r="M435" s="29"/>
      <c r="N435" s="29"/>
      <c r="O435" s="29"/>
      <c r="P435" s="29"/>
      <c r="Q435" s="81"/>
      <c r="R435" s="29"/>
      <c r="S435" s="123"/>
    </row>
    <row r="436" spans="1:19">
      <c r="A436" s="147" t="s">
        <v>844</v>
      </c>
      <c r="B436" s="147"/>
      <c r="C436" s="29">
        <v>6508357</v>
      </c>
      <c r="G436" s="29" t="s">
        <v>155</v>
      </c>
      <c r="H436" s="29" t="s">
        <v>845</v>
      </c>
      <c r="I436" s="120">
        <v>45659</v>
      </c>
      <c r="J436" s="29"/>
      <c r="K436" s="29"/>
      <c r="L436" s="29"/>
      <c r="M436" s="29"/>
      <c r="N436" s="29"/>
      <c r="O436" s="29"/>
      <c r="P436" s="29"/>
      <c r="Q436" s="81"/>
      <c r="R436" s="29"/>
      <c r="S436" s="123"/>
    </row>
    <row r="437" spans="1:19">
      <c r="A437" s="147" t="s">
        <v>844</v>
      </c>
      <c r="B437" s="147"/>
      <c r="C437" s="29">
        <v>6508367</v>
      </c>
      <c r="G437" s="29" t="s">
        <v>155</v>
      </c>
      <c r="H437" s="29" t="s">
        <v>845</v>
      </c>
      <c r="I437" s="120">
        <v>45659</v>
      </c>
      <c r="J437" s="29"/>
      <c r="K437" s="29"/>
      <c r="L437" s="29"/>
      <c r="M437" s="29"/>
      <c r="N437" s="29"/>
      <c r="O437" s="29"/>
      <c r="P437" s="29"/>
      <c r="Q437" s="81"/>
      <c r="R437" s="29"/>
      <c r="S437" s="123"/>
    </row>
    <row r="438" spans="1:19">
      <c r="A438" s="147" t="s">
        <v>844</v>
      </c>
      <c r="B438" s="147"/>
      <c r="C438" s="29">
        <v>6508375</v>
      </c>
      <c r="G438" s="29" t="s">
        <v>155</v>
      </c>
      <c r="H438" s="29" t="s">
        <v>845</v>
      </c>
      <c r="I438" s="120">
        <v>45659</v>
      </c>
      <c r="J438" s="29"/>
      <c r="K438" s="29"/>
      <c r="L438" s="29"/>
      <c r="M438" s="29"/>
      <c r="N438" s="29"/>
      <c r="O438" s="29"/>
      <c r="P438" s="29"/>
      <c r="Q438" s="81"/>
      <c r="R438" s="29"/>
      <c r="S438" s="123"/>
    </row>
    <row r="439" spans="1:19">
      <c r="A439" s="147" t="s">
        <v>844</v>
      </c>
      <c r="B439" s="147"/>
      <c r="C439" s="29">
        <v>6508420</v>
      </c>
      <c r="G439" s="29" t="s">
        <v>155</v>
      </c>
      <c r="H439" s="29" t="s">
        <v>845</v>
      </c>
      <c r="I439" s="120">
        <v>45659</v>
      </c>
      <c r="J439" s="29"/>
      <c r="K439" s="29"/>
      <c r="L439" s="29"/>
      <c r="M439" s="29"/>
      <c r="N439" s="29"/>
      <c r="O439" s="29"/>
      <c r="P439" s="29"/>
      <c r="Q439" s="81"/>
      <c r="R439" s="29"/>
      <c r="S439" s="123"/>
    </row>
    <row r="440" spans="1:19">
      <c r="A440" s="147" t="s">
        <v>844</v>
      </c>
      <c r="B440" s="147"/>
      <c r="C440" s="29">
        <v>6508410</v>
      </c>
      <c r="G440" s="29" t="s">
        <v>155</v>
      </c>
      <c r="H440" s="29" t="s">
        <v>845</v>
      </c>
      <c r="I440" s="120">
        <v>45659</v>
      </c>
      <c r="J440" s="29"/>
      <c r="K440" s="29"/>
      <c r="L440" s="29"/>
      <c r="M440" s="29"/>
      <c r="N440" s="29"/>
      <c r="O440" s="29"/>
      <c r="P440" s="29"/>
      <c r="Q440" s="81"/>
      <c r="R440" s="29"/>
      <c r="S440" s="123"/>
    </row>
    <row r="441" spans="1:19">
      <c r="A441" s="147" t="s">
        <v>844</v>
      </c>
      <c r="B441" s="147"/>
      <c r="C441" s="29">
        <v>6508430</v>
      </c>
      <c r="G441" s="29" t="s">
        <v>155</v>
      </c>
      <c r="H441" s="29" t="s">
        <v>845</v>
      </c>
      <c r="I441" s="120">
        <v>45659</v>
      </c>
      <c r="J441" s="29"/>
      <c r="K441" s="29"/>
      <c r="L441" s="29"/>
      <c r="M441" s="29"/>
      <c r="N441" s="29"/>
      <c r="O441" s="29"/>
      <c r="P441" s="29"/>
      <c r="Q441" s="81"/>
      <c r="R441" s="29"/>
      <c r="S441" s="123"/>
    </row>
    <row r="442" spans="1:19">
      <c r="A442" s="147" t="s">
        <v>844</v>
      </c>
      <c r="B442" s="147"/>
      <c r="C442" s="29">
        <v>6508443</v>
      </c>
      <c r="G442" s="29" t="s">
        <v>155</v>
      </c>
      <c r="H442" s="29" t="s">
        <v>845</v>
      </c>
      <c r="I442" s="120">
        <v>45659</v>
      </c>
      <c r="J442" s="29"/>
      <c r="K442" s="29"/>
      <c r="L442" s="29"/>
      <c r="M442" s="29"/>
      <c r="N442" s="29"/>
      <c r="O442" s="29"/>
      <c r="P442" s="29"/>
      <c r="Q442" s="81"/>
      <c r="R442" s="29"/>
      <c r="S442" s="123"/>
    </row>
    <row r="443" spans="1:19">
      <c r="A443" s="147" t="s">
        <v>844</v>
      </c>
      <c r="B443" s="147"/>
      <c r="C443" s="29">
        <v>6508466</v>
      </c>
      <c r="G443" s="29" t="s">
        <v>155</v>
      </c>
      <c r="H443" s="29" t="s">
        <v>845</v>
      </c>
      <c r="I443" s="120">
        <v>45659</v>
      </c>
      <c r="J443" s="29"/>
      <c r="K443" s="29"/>
      <c r="L443" s="29"/>
      <c r="M443" s="29"/>
      <c r="N443" s="29"/>
      <c r="O443" s="29"/>
      <c r="P443" s="29"/>
      <c r="Q443" s="81"/>
      <c r="R443" s="29"/>
      <c r="S443" s="123"/>
    </row>
    <row r="444" spans="1:19">
      <c r="A444" s="147" t="s">
        <v>844</v>
      </c>
      <c r="B444" s="147"/>
      <c r="C444" s="29">
        <v>6508486</v>
      </c>
      <c r="G444" s="29" t="s">
        <v>155</v>
      </c>
      <c r="H444" s="29" t="s">
        <v>845</v>
      </c>
      <c r="I444" s="120">
        <v>45659</v>
      </c>
      <c r="J444" s="29"/>
      <c r="K444" s="29"/>
      <c r="L444" s="29"/>
      <c r="M444" s="29"/>
      <c r="N444" s="29"/>
      <c r="O444" s="29"/>
      <c r="P444" s="29"/>
      <c r="Q444" s="81"/>
      <c r="R444" s="29"/>
      <c r="S444" s="123"/>
    </row>
    <row r="445" spans="1:19">
      <c r="A445" s="147" t="s">
        <v>844</v>
      </c>
      <c r="B445" s="147"/>
      <c r="C445" s="29">
        <v>6508492</v>
      </c>
      <c r="G445" s="29" t="s">
        <v>155</v>
      </c>
      <c r="H445" s="29" t="s">
        <v>845</v>
      </c>
      <c r="I445" s="120">
        <v>45659</v>
      </c>
      <c r="J445" s="29"/>
      <c r="K445" s="29"/>
      <c r="L445" s="29"/>
      <c r="M445" s="29"/>
      <c r="N445" s="29"/>
      <c r="O445" s="29"/>
      <c r="P445" s="29"/>
      <c r="Q445" s="81"/>
      <c r="R445" s="29"/>
      <c r="S445" s="123"/>
    </row>
    <row r="446" spans="1:19">
      <c r="A446" s="147" t="s">
        <v>844</v>
      </c>
      <c r="B446" s="147"/>
      <c r="C446" s="29">
        <v>6508513</v>
      </c>
      <c r="G446" s="29" t="s">
        <v>155</v>
      </c>
      <c r="H446" s="29" t="s">
        <v>845</v>
      </c>
      <c r="I446" s="120">
        <v>45659</v>
      </c>
      <c r="J446" s="29"/>
      <c r="K446" s="29"/>
      <c r="L446" s="29"/>
      <c r="M446" s="29"/>
      <c r="N446" s="29"/>
      <c r="O446" s="29"/>
      <c r="P446" s="29"/>
      <c r="Q446" s="81"/>
      <c r="R446" s="29"/>
      <c r="S446" s="123"/>
    </row>
    <row r="447" spans="1:19">
      <c r="A447" s="147" t="s">
        <v>844</v>
      </c>
      <c r="B447" s="147"/>
      <c r="C447" s="29">
        <v>6508521</v>
      </c>
      <c r="G447" s="29" t="s">
        <v>155</v>
      </c>
      <c r="H447" s="29" t="s">
        <v>845</v>
      </c>
      <c r="I447" s="120">
        <v>45659</v>
      </c>
      <c r="J447" s="29"/>
      <c r="K447" s="29"/>
      <c r="L447" s="29"/>
      <c r="M447" s="29"/>
      <c r="N447" s="29"/>
      <c r="O447" s="29"/>
      <c r="P447" s="29"/>
      <c r="Q447" s="81"/>
      <c r="R447" s="29"/>
      <c r="S447" s="123"/>
    </row>
    <row r="448" spans="1:19">
      <c r="A448" s="29" t="s">
        <v>844</v>
      </c>
      <c r="B448" s="29"/>
      <c r="C448" s="29">
        <v>35500215</v>
      </c>
      <c r="G448" s="29" t="s">
        <v>155</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155</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155</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155</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155</v>
      </c>
      <c r="H452" s="29" t="s">
        <v>845</v>
      </c>
      <c r="I452" s="120">
        <v>45659</v>
      </c>
      <c r="J452" s="29"/>
      <c r="P452" s="134"/>
      <c r="R452" s="29"/>
    </row>
    <row r="453" spans="1:19">
      <c r="A453" s="147" t="s">
        <v>844</v>
      </c>
      <c r="B453" s="147"/>
      <c r="C453" s="29">
        <v>6508102</v>
      </c>
      <c r="G453" s="29" t="s">
        <v>155</v>
      </c>
      <c r="H453" s="29" t="s">
        <v>845</v>
      </c>
      <c r="I453" s="120">
        <v>45659</v>
      </c>
      <c r="J453" s="29"/>
      <c r="P453" s="134"/>
      <c r="R453" s="29"/>
    </row>
    <row r="454" spans="1:19">
      <c r="A454" s="147" t="s">
        <v>844</v>
      </c>
      <c r="B454" s="147"/>
      <c r="C454" s="29">
        <v>6508109</v>
      </c>
      <c r="G454" s="29" t="s">
        <v>155</v>
      </c>
      <c r="H454" s="29" t="s">
        <v>845</v>
      </c>
      <c r="I454" s="120">
        <v>45659</v>
      </c>
      <c r="J454" s="29"/>
      <c r="P454" s="134"/>
      <c r="R454" s="29"/>
    </row>
    <row r="455" spans="1:19">
      <c r="A455" s="147" t="s">
        <v>844</v>
      </c>
      <c r="B455" s="147"/>
      <c r="C455" s="29">
        <v>6508118</v>
      </c>
      <c r="G455" s="29" t="s">
        <v>155</v>
      </c>
      <c r="H455" s="29" t="s">
        <v>845</v>
      </c>
      <c r="I455" s="120">
        <v>45659</v>
      </c>
      <c r="J455" s="29"/>
      <c r="P455" s="134"/>
      <c r="R455" s="29"/>
    </row>
    <row r="456" spans="1:19">
      <c r="A456" s="147" t="s">
        <v>844</v>
      </c>
      <c r="B456" s="147"/>
      <c r="C456" s="29">
        <v>6508147</v>
      </c>
      <c r="G456" s="29" t="s">
        <v>155</v>
      </c>
      <c r="H456" s="29" t="s">
        <v>845</v>
      </c>
      <c r="I456" s="120">
        <v>45659</v>
      </c>
      <c r="J456" s="29"/>
      <c r="P456" s="134"/>
      <c r="R456" s="29"/>
    </row>
    <row r="457" spans="1:19">
      <c r="A457" s="147" t="s">
        <v>844</v>
      </c>
      <c r="B457" s="147"/>
      <c r="C457" s="29">
        <v>6508194</v>
      </c>
      <c r="G457" s="29" t="s">
        <v>155</v>
      </c>
      <c r="H457" s="29" t="s">
        <v>845</v>
      </c>
      <c r="I457" s="120">
        <v>45659</v>
      </c>
      <c r="J457" s="29"/>
      <c r="P457" s="134"/>
      <c r="R457" s="29"/>
    </row>
    <row r="458" spans="1:19">
      <c r="A458" s="147" t="s">
        <v>844</v>
      </c>
      <c r="B458" s="147"/>
      <c r="C458" s="29">
        <v>6508205</v>
      </c>
      <c r="G458" s="29" t="s">
        <v>155</v>
      </c>
      <c r="H458" s="29" t="s">
        <v>845</v>
      </c>
      <c r="I458" s="120">
        <v>45659</v>
      </c>
      <c r="J458" s="29"/>
      <c r="P458" s="134"/>
      <c r="R458" s="29"/>
    </row>
    <row r="459" spans="1:19">
      <c r="A459" s="147" t="s">
        <v>844</v>
      </c>
      <c r="B459" s="147"/>
      <c r="C459" s="29">
        <v>6508233</v>
      </c>
      <c r="G459" s="29" t="s">
        <v>155</v>
      </c>
      <c r="H459" s="29" t="s">
        <v>845</v>
      </c>
      <c r="I459" s="120">
        <v>45659</v>
      </c>
      <c r="J459" s="29"/>
      <c r="P459" s="134"/>
      <c r="R459" s="29"/>
    </row>
    <row r="460" spans="1:19">
      <c r="A460" s="147" t="s">
        <v>844</v>
      </c>
      <c r="B460" s="147"/>
      <c r="C460" s="29">
        <v>6508247</v>
      </c>
      <c r="G460" s="29" t="s">
        <v>155</v>
      </c>
      <c r="H460" s="29" t="s">
        <v>845</v>
      </c>
      <c r="I460" s="120">
        <v>45659</v>
      </c>
      <c r="J460" s="29"/>
      <c r="P460" s="134"/>
      <c r="R460" s="29"/>
    </row>
    <row r="461" spans="1:19">
      <c r="A461" s="147" t="s">
        <v>844</v>
      </c>
      <c r="B461" s="147"/>
      <c r="C461" s="29">
        <v>6508254</v>
      </c>
      <c r="G461" s="29" t="s">
        <v>155</v>
      </c>
      <c r="H461" s="29" t="s">
        <v>845</v>
      </c>
      <c r="I461" s="120">
        <v>45659</v>
      </c>
      <c r="J461" s="29"/>
      <c r="P461" s="134"/>
      <c r="R461" s="29"/>
    </row>
    <row r="462" spans="1:19">
      <c r="A462" s="147" t="s">
        <v>844</v>
      </c>
      <c r="B462" s="147"/>
      <c r="C462" s="29">
        <v>6508313</v>
      </c>
      <c r="G462" s="29" t="s">
        <v>155</v>
      </c>
      <c r="H462" s="29" t="s">
        <v>845</v>
      </c>
      <c r="I462" s="120">
        <v>45659</v>
      </c>
      <c r="J462" s="29"/>
      <c r="P462" s="134"/>
      <c r="R462" s="29"/>
    </row>
    <row r="463" spans="1:19">
      <c r="A463" s="147" t="s">
        <v>844</v>
      </c>
      <c r="B463" s="147"/>
      <c r="C463" s="29">
        <v>6508324</v>
      </c>
      <c r="G463" s="29" t="s">
        <v>155</v>
      </c>
      <c r="H463" s="29" t="s">
        <v>845</v>
      </c>
      <c r="I463" s="120">
        <v>45659</v>
      </c>
      <c r="J463" s="29"/>
      <c r="P463" s="134"/>
      <c r="R463" s="29"/>
    </row>
    <row r="464" spans="1:19">
      <c r="A464" s="147" t="s">
        <v>844</v>
      </c>
      <c r="B464" s="147"/>
      <c r="C464" s="29">
        <v>6508339</v>
      </c>
      <c r="G464" s="29" t="s">
        <v>155</v>
      </c>
      <c r="H464" s="29" t="s">
        <v>845</v>
      </c>
      <c r="I464" s="120">
        <v>45659</v>
      </c>
      <c r="J464" s="29"/>
      <c r="P464" s="134"/>
      <c r="R464" s="29"/>
    </row>
    <row r="465" spans="1:18">
      <c r="A465" s="147" t="s">
        <v>844</v>
      </c>
      <c r="B465" s="147"/>
      <c r="C465" s="29">
        <v>6508357</v>
      </c>
      <c r="G465" s="29" t="s">
        <v>155</v>
      </c>
      <c r="H465" s="29" t="s">
        <v>845</v>
      </c>
      <c r="I465" s="120">
        <v>45659</v>
      </c>
      <c r="J465" s="29"/>
      <c r="P465" s="134"/>
      <c r="R465" s="29"/>
    </row>
    <row r="466" spans="1:18">
      <c r="A466" s="147" t="s">
        <v>844</v>
      </c>
      <c r="B466" s="147"/>
      <c r="C466" s="29">
        <v>6508367</v>
      </c>
      <c r="G466" s="29" t="s">
        <v>155</v>
      </c>
      <c r="H466" s="29" t="s">
        <v>845</v>
      </c>
      <c r="I466" s="120">
        <v>45659</v>
      </c>
      <c r="J466" s="29"/>
      <c r="P466" s="134"/>
      <c r="R466" s="29"/>
    </row>
    <row r="467" spans="1:18">
      <c r="A467" s="147" t="s">
        <v>844</v>
      </c>
      <c r="B467" s="147"/>
      <c r="C467" s="29">
        <v>6508375</v>
      </c>
      <c r="G467" s="29" t="s">
        <v>155</v>
      </c>
      <c r="H467" s="29" t="s">
        <v>845</v>
      </c>
      <c r="I467" s="120">
        <v>45659</v>
      </c>
      <c r="J467" s="29"/>
      <c r="P467" s="134"/>
      <c r="R467" s="29"/>
    </row>
    <row r="468" spans="1:18">
      <c r="A468" s="147" t="s">
        <v>844</v>
      </c>
      <c r="B468" s="147"/>
      <c r="C468" s="29">
        <v>6508420</v>
      </c>
      <c r="G468" s="29" t="s">
        <v>155</v>
      </c>
      <c r="H468" s="29" t="s">
        <v>845</v>
      </c>
      <c r="I468" s="120">
        <v>45659</v>
      </c>
      <c r="J468" s="29"/>
      <c r="P468" s="134"/>
      <c r="R468" s="29"/>
    </row>
    <row r="469" spans="1:18">
      <c r="A469" s="147" t="s">
        <v>844</v>
      </c>
      <c r="B469" s="147"/>
      <c r="C469" s="29">
        <v>6508410</v>
      </c>
      <c r="G469" s="29" t="s">
        <v>155</v>
      </c>
      <c r="H469" s="29" t="s">
        <v>845</v>
      </c>
      <c r="I469" s="120">
        <v>45659</v>
      </c>
      <c r="J469" s="29"/>
      <c r="P469" s="134"/>
      <c r="R469" s="29"/>
    </row>
    <row r="470" spans="1:18">
      <c r="A470" s="147" t="s">
        <v>844</v>
      </c>
      <c r="B470" s="147"/>
      <c r="C470" s="29">
        <v>6508430</v>
      </c>
      <c r="G470" s="29" t="s">
        <v>155</v>
      </c>
      <c r="H470" s="29" t="s">
        <v>845</v>
      </c>
      <c r="I470" s="120">
        <v>45659</v>
      </c>
      <c r="J470" s="29"/>
      <c r="P470" s="134"/>
      <c r="R470" s="29"/>
    </row>
    <row r="471" spans="1:18">
      <c r="A471" s="147" t="s">
        <v>844</v>
      </c>
      <c r="B471" s="147"/>
      <c r="C471" s="29">
        <v>6508443</v>
      </c>
      <c r="G471" s="29" t="s">
        <v>155</v>
      </c>
      <c r="H471" s="29" t="s">
        <v>845</v>
      </c>
      <c r="I471" s="120">
        <v>45659</v>
      </c>
      <c r="J471" s="29"/>
      <c r="P471" s="134"/>
      <c r="R471" s="29"/>
    </row>
    <row r="472" spans="1:18">
      <c r="A472" s="147" t="s">
        <v>844</v>
      </c>
      <c r="B472" s="147"/>
      <c r="C472" s="29">
        <v>6508466</v>
      </c>
      <c r="G472" s="29" t="s">
        <v>155</v>
      </c>
      <c r="H472" s="29" t="s">
        <v>845</v>
      </c>
      <c r="I472" s="120">
        <v>45659</v>
      </c>
      <c r="J472" s="29"/>
      <c r="P472" s="134"/>
      <c r="R472" s="29"/>
    </row>
    <row r="473" spans="1:18">
      <c r="A473" s="147" t="s">
        <v>844</v>
      </c>
      <c r="B473" s="147"/>
      <c r="C473" s="29">
        <v>6508486</v>
      </c>
      <c r="G473" s="29" t="s">
        <v>155</v>
      </c>
      <c r="H473" s="29" t="s">
        <v>845</v>
      </c>
      <c r="I473" s="120">
        <v>45659</v>
      </c>
      <c r="J473" s="29"/>
      <c r="P473" s="134"/>
      <c r="R473" s="29"/>
    </row>
    <row r="474" spans="1:18">
      <c r="A474" s="147" t="s">
        <v>844</v>
      </c>
      <c r="B474" s="147"/>
      <c r="C474" s="29">
        <v>6508492</v>
      </c>
      <c r="G474" s="29" t="s">
        <v>155</v>
      </c>
      <c r="H474" s="29" t="s">
        <v>845</v>
      </c>
      <c r="I474" s="120">
        <v>45659</v>
      </c>
      <c r="J474" s="29"/>
      <c r="P474" s="134"/>
      <c r="R474" s="29"/>
    </row>
    <row r="475" spans="1:18">
      <c r="A475" s="147" t="s">
        <v>844</v>
      </c>
      <c r="B475" s="147"/>
      <c r="C475" s="29">
        <v>6508513</v>
      </c>
      <c r="G475" s="29" t="s">
        <v>155</v>
      </c>
      <c r="H475" s="29" t="s">
        <v>845</v>
      </c>
      <c r="I475" s="120">
        <v>45659</v>
      </c>
      <c r="J475" s="29"/>
      <c r="P475" s="134"/>
      <c r="R475" s="29"/>
    </row>
    <row r="476" spans="1:18">
      <c r="A476" s="147" t="s">
        <v>844</v>
      </c>
      <c r="B476" s="147"/>
      <c r="C476" s="29">
        <v>6508521</v>
      </c>
      <c r="G476" s="29" t="s">
        <v>155</v>
      </c>
      <c r="H476" s="29" t="s">
        <v>845</v>
      </c>
      <c r="I476" s="120">
        <v>45659</v>
      </c>
      <c r="J476" s="29"/>
      <c r="P476" s="134"/>
      <c r="R476" s="29"/>
    </row>
    <row r="477" spans="1:18">
      <c r="A477" s="29" t="s">
        <v>844</v>
      </c>
      <c r="B477" s="29"/>
      <c r="C477" s="29">
        <v>35500215</v>
      </c>
      <c r="G477" s="29" t="s">
        <v>155</v>
      </c>
      <c r="H477" s="29" t="s">
        <v>850</v>
      </c>
      <c r="I477" s="120">
        <v>45659</v>
      </c>
      <c r="J477" s="29"/>
      <c r="P477" s="134"/>
      <c r="R477" s="29" t="s">
        <v>846</v>
      </c>
    </row>
    <row r="478" spans="1:18">
      <c r="A478" s="29" t="s">
        <v>844</v>
      </c>
      <c r="B478" s="29"/>
      <c r="C478" s="29">
        <v>31503960</v>
      </c>
      <c r="G478" s="29" t="s">
        <v>155</v>
      </c>
      <c r="H478" s="29" t="s">
        <v>850</v>
      </c>
      <c r="I478" s="120">
        <v>45659</v>
      </c>
      <c r="J478" s="29"/>
      <c r="P478" s="134"/>
      <c r="R478" s="29" t="s">
        <v>847</v>
      </c>
    </row>
    <row r="479" spans="1:18">
      <c r="A479" s="29" t="s">
        <v>844</v>
      </c>
      <c r="B479" s="29"/>
      <c r="C479" s="29">
        <v>32500495</v>
      </c>
      <c r="G479" s="29" t="s">
        <v>155</v>
      </c>
      <c r="H479" s="29" t="s">
        <v>850</v>
      </c>
      <c r="I479" s="120">
        <v>45659</v>
      </c>
      <c r="J479" s="29"/>
      <c r="P479" s="134"/>
      <c r="R479" s="29" t="s">
        <v>848</v>
      </c>
    </row>
    <row r="480" spans="1:18">
      <c r="A480" s="29" t="s">
        <v>844</v>
      </c>
      <c r="B480" s="29"/>
      <c r="C480" s="29">
        <v>35500151</v>
      </c>
      <c r="G480" s="29" t="s">
        <v>155</v>
      </c>
      <c r="H480" s="29" t="s">
        <v>850</v>
      </c>
      <c r="I480" s="120">
        <v>45659</v>
      </c>
      <c r="J480" s="29"/>
      <c r="P480" s="134"/>
      <c r="R480" s="29" t="s">
        <v>849</v>
      </c>
    </row>
    <row r="481" spans="1:19">
      <c r="A481" s="147" t="s">
        <v>851</v>
      </c>
      <c r="B481" s="147"/>
      <c r="C481" s="29">
        <v>16507757</v>
      </c>
      <c r="G481" s="29" t="s">
        <v>155</v>
      </c>
      <c r="H481" s="29" t="s">
        <v>852</v>
      </c>
      <c r="I481" s="120">
        <v>45673</v>
      </c>
      <c r="J481" s="29"/>
      <c r="K481" s="29"/>
      <c r="L481" s="29"/>
      <c r="M481" s="29"/>
      <c r="N481" s="29"/>
      <c r="O481" s="29"/>
      <c r="P481" s="29"/>
      <c r="Q481" s="81"/>
      <c r="R481" s="29"/>
      <c r="S481" s="123"/>
    </row>
    <row r="482" spans="1:19">
      <c r="A482" s="147" t="s">
        <v>851</v>
      </c>
      <c r="B482" s="147"/>
      <c r="C482" s="29">
        <v>16507726</v>
      </c>
      <c r="G482" s="29" t="s">
        <v>155</v>
      </c>
      <c r="H482" s="29" t="s">
        <v>852</v>
      </c>
      <c r="I482" s="120">
        <v>45673</v>
      </c>
      <c r="J482" s="29"/>
      <c r="K482" s="29"/>
      <c r="L482" s="29"/>
      <c r="M482" s="29"/>
      <c r="N482" s="29"/>
      <c r="O482" s="29"/>
      <c r="P482" s="29"/>
      <c r="Q482" s="81"/>
      <c r="R482" s="29"/>
      <c r="S482" s="123"/>
    </row>
    <row r="483" spans="1:19">
      <c r="A483" s="147" t="s">
        <v>851</v>
      </c>
      <c r="B483" s="147"/>
      <c r="C483" s="29">
        <v>16507808</v>
      </c>
      <c r="G483" s="29" t="s">
        <v>155</v>
      </c>
      <c r="H483" s="29" t="s">
        <v>852</v>
      </c>
      <c r="I483" s="120">
        <v>45673</v>
      </c>
      <c r="J483" s="29"/>
      <c r="K483" s="29"/>
      <c r="L483" s="29"/>
      <c r="M483" s="29"/>
      <c r="N483" s="29"/>
      <c r="O483" s="29"/>
      <c r="P483" s="29"/>
      <c r="Q483" s="81"/>
      <c r="R483" s="29"/>
      <c r="S483" s="123"/>
    </row>
    <row r="484" spans="1:19">
      <c r="A484" s="147" t="s">
        <v>851</v>
      </c>
      <c r="B484" s="147"/>
      <c r="C484" s="29">
        <v>16507786</v>
      </c>
      <c r="G484" s="29" t="s">
        <v>155</v>
      </c>
      <c r="H484" s="29" t="s">
        <v>852</v>
      </c>
      <c r="I484" s="120">
        <v>45673</v>
      </c>
      <c r="J484" s="29"/>
      <c r="K484" s="29"/>
      <c r="L484" s="29"/>
      <c r="M484" s="29"/>
      <c r="N484" s="29"/>
      <c r="O484" s="29"/>
      <c r="P484" s="29"/>
      <c r="Q484" s="81"/>
      <c r="R484" s="29"/>
      <c r="S484" s="123"/>
    </row>
    <row r="485" spans="1:19">
      <c r="A485" s="147" t="s">
        <v>851</v>
      </c>
      <c r="B485" s="147"/>
      <c r="C485" s="29">
        <v>35500151</v>
      </c>
      <c r="G485" s="29" t="s">
        <v>155</v>
      </c>
      <c r="H485" s="29" t="s">
        <v>243</v>
      </c>
      <c r="I485" s="120">
        <v>45692</v>
      </c>
      <c r="J485" s="29"/>
      <c r="K485" s="29"/>
      <c r="L485" s="29"/>
      <c r="M485" s="29"/>
      <c r="N485" s="29"/>
      <c r="O485" s="29"/>
      <c r="P485" s="29"/>
      <c r="Q485" s="81"/>
      <c r="R485" s="29"/>
      <c r="S485" s="123"/>
    </row>
    <row r="486" spans="1:19">
      <c r="A486" s="147" t="s">
        <v>851</v>
      </c>
      <c r="B486" s="147"/>
      <c r="C486" s="29">
        <v>16507757</v>
      </c>
      <c r="G486" s="29" t="s">
        <v>155</v>
      </c>
      <c r="H486" s="29" t="s">
        <v>852</v>
      </c>
      <c r="I486" s="120">
        <v>45673</v>
      </c>
      <c r="J486" s="29"/>
      <c r="P486" s="134"/>
    </row>
    <row r="487" spans="1:19">
      <c r="A487" s="147" t="s">
        <v>851</v>
      </c>
      <c r="B487" s="147"/>
      <c r="C487" s="29">
        <v>16507726</v>
      </c>
      <c r="G487" s="29" t="s">
        <v>155</v>
      </c>
      <c r="H487" s="29" t="s">
        <v>852</v>
      </c>
      <c r="I487" s="120">
        <v>45673</v>
      </c>
      <c r="J487" s="29"/>
      <c r="P487" s="134"/>
    </row>
    <row r="488" spans="1:19">
      <c r="A488" s="147" t="s">
        <v>851</v>
      </c>
      <c r="B488" s="147"/>
      <c r="C488" s="29">
        <v>16507786</v>
      </c>
      <c r="G488" s="29" t="s">
        <v>155</v>
      </c>
      <c r="H488" s="29" t="s">
        <v>852</v>
      </c>
      <c r="I488" s="120">
        <v>45673</v>
      </c>
      <c r="J488" s="29"/>
      <c r="P488" s="134"/>
    </row>
    <row r="489" spans="1:19">
      <c r="A489" s="147" t="s">
        <v>851</v>
      </c>
      <c r="B489" s="147"/>
      <c r="C489" s="29">
        <v>35500151</v>
      </c>
      <c r="G489" s="29" t="s">
        <v>155</v>
      </c>
      <c r="H489" s="29" t="s">
        <v>243</v>
      </c>
      <c r="I489" s="120">
        <v>45692</v>
      </c>
      <c r="J489" s="29"/>
      <c r="P489" s="134"/>
    </row>
    <row r="490" spans="1:19">
      <c r="A490" s="147" t="s">
        <v>853</v>
      </c>
      <c r="B490" s="147"/>
      <c r="C490" s="29">
        <v>21507458</v>
      </c>
      <c r="G490" s="29" t="s">
        <v>155</v>
      </c>
      <c r="H490" s="29" t="s">
        <v>243</v>
      </c>
      <c r="I490" s="120">
        <v>45678</v>
      </c>
      <c r="J490" s="29"/>
      <c r="K490" s="29"/>
      <c r="L490" s="29"/>
      <c r="M490" s="29"/>
      <c r="N490" s="29"/>
      <c r="O490" s="29"/>
      <c r="P490" s="29"/>
      <c r="Q490" s="81"/>
      <c r="R490" s="29"/>
      <c r="S490" s="123"/>
    </row>
    <row r="491" spans="1:19">
      <c r="A491" s="147" t="s">
        <v>853</v>
      </c>
      <c r="B491" s="147"/>
      <c r="C491" s="29">
        <v>21507496</v>
      </c>
      <c r="G491" s="29" t="s">
        <v>155</v>
      </c>
      <c r="H491" s="29" t="s">
        <v>243</v>
      </c>
      <c r="I491" s="120">
        <v>45678</v>
      </c>
      <c r="J491" s="29"/>
      <c r="K491" s="29"/>
      <c r="L491" s="29"/>
      <c r="M491" s="29"/>
      <c r="N491" s="29"/>
      <c r="O491" s="29"/>
      <c r="P491" s="29"/>
      <c r="Q491" s="81"/>
      <c r="R491" s="29"/>
      <c r="S491" s="123"/>
    </row>
    <row r="492" spans="1:19">
      <c r="A492" s="147" t="s">
        <v>853</v>
      </c>
      <c r="B492" s="147"/>
      <c r="C492" s="29">
        <v>21507508</v>
      </c>
      <c r="G492" s="29" t="s">
        <v>155</v>
      </c>
      <c r="H492" s="29" t="s">
        <v>243</v>
      </c>
      <c r="I492" s="120">
        <v>45678</v>
      </c>
      <c r="J492" s="29"/>
      <c r="K492" s="29"/>
      <c r="L492" s="29"/>
      <c r="M492" s="29"/>
      <c r="N492" s="29"/>
      <c r="O492" s="29"/>
      <c r="P492" s="29"/>
      <c r="Q492" s="81"/>
      <c r="R492" s="29"/>
      <c r="S492" s="123"/>
    </row>
    <row r="493" spans="1:19">
      <c r="A493" s="147" t="s">
        <v>853</v>
      </c>
      <c r="B493" s="147"/>
      <c r="C493" s="29">
        <v>21507522</v>
      </c>
      <c r="G493" s="29" t="s">
        <v>155</v>
      </c>
      <c r="H493" s="29" t="s">
        <v>243</v>
      </c>
      <c r="I493" s="120">
        <v>45678</v>
      </c>
      <c r="J493" s="29"/>
      <c r="K493" s="29"/>
      <c r="L493" s="29"/>
      <c r="M493" s="29"/>
      <c r="N493" s="29"/>
      <c r="O493" s="29"/>
      <c r="P493" s="29"/>
      <c r="Q493" s="81"/>
      <c r="R493" s="29"/>
      <c r="S493" s="123"/>
    </row>
    <row r="494" spans="1:19">
      <c r="A494" s="147" t="s">
        <v>853</v>
      </c>
      <c r="B494" s="147"/>
      <c r="C494" s="29">
        <v>15508079</v>
      </c>
      <c r="G494" s="29" t="s">
        <v>155</v>
      </c>
      <c r="H494" s="29" t="s">
        <v>77</v>
      </c>
      <c r="I494" s="120">
        <v>45672</v>
      </c>
      <c r="J494" s="29"/>
      <c r="K494" s="29"/>
      <c r="L494" s="29"/>
      <c r="M494" s="29"/>
      <c r="N494" s="29"/>
      <c r="O494" s="29"/>
      <c r="P494" s="29"/>
      <c r="Q494" s="81"/>
      <c r="R494" s="29"/>
      <c r="S494" s="123"/>
    </row>
    <row r="495" spans="1:19">
      <c r="A495" s="147" t="s">
        <v>853</v>
      </c>
      <c r="B495" s="147"/>
      <c r="C495" s="29">
        <v>15508117</v>
      </c>
      <c r="G495" s="29" t="s">
        <v>155</v>
      </c>
      <c r="H495" s="29" t="s">
        <v>77</v>
      </c>
      <c r="I495" s="120">
        <v>45672</v>
      </c>
      <c r="J495" s="29"/>
      <c r="K495" s="29"/>
      <c r="L495" s="29"/>
      <c r="M495" s="29"/>
      <c r="N495" s="29"/>
      <c r="O495" s="29"/>
      <c r="P495" s="29"/>
      <c r="Q495" s="81"/>
      <c r="R495" s="29"/>
      <c r="S495" s="123"/>
    </row>
    <row r="496" spans="1:19">
      <c r="A496" s="147" t="s">
        <v>853</v>
      </c>
      <c r="B496" s="147"/>
      <c r="C496" s="29">
        <v>15508166</v>
      </c>
      <c r="G496" s="29" t="s">
        <v>155</v>
      </c>
      <c r="H496" s="29" t="s">
        <v>77</v>
      </c>
      <c r="I496" s="120">
        <v>45672</v>
      </c>
      <c r="J496" s="29"/>
      <c r="K496" s="29"/>
      <c r="L496" s="29"/>
      <c r="M496" s="29"/>
      <c r="N496" s="29"/>
      <c r="O496" s="29"/>
      <c r="P496" s="29"/>
      <c r="Q496" s="81"/>
      <c r="R496" s="29"/>
      <c r="S496" s="123"/>
    </row>
    <row r="497" spans="1:19">
      <c r="A497" s="147" t="s">
        <v>853</v>
      </c>
      <c r="B497" s="147"/>
      <c r="C497" s="29">
        <v>15508197</v>
      </c>
      <c r="G497" s="29" t="s">
        <v>155</v>
      </c>
      <c r="H497" s="29" t="s">
        <v>77</v>
      </c>
      <c r="I497" s="120">
        <v>45672</v>
      </c>
      <c r="J497" s="29"/>
      <c r="K497" s="29"/>
      <c r="L497" s="29"/>
      <c r="M497" s="29"/>
      <c r="N497" s="29"/>
      <c r="O497" s="29"/>
      <c r="P497" s="29"/>
      <c r="Q497" s="81"/>
      <c r="R497" s="29"/>
      <c r="S497" s="123"/>
    </row>
    <row r="498" spans="1:19">
      <c r="A498" s="147" t="s">
        <v>853</v>
      </c>
      <c r="B498" s="147"/>
      <c r="C498" s="29">
        <v>15508138</v>
      </c>
      <c r="G498" s="29" t="s">
        <v>155</v>
      </c>
      <c r="H498" s="29" t="s">
        <v>77</v>
      </c>
      <c r="I498" s="120">
        <v>45672</v>
      </c>
      <c r="J498" s="29"/>
      <c r="K498" s="29"/>
      <c r="L498" s="29"/>
      <c r="M498" s="29"/>
      <c r="N498" s="29"/>
      <c r="O498" s="29"/>
      <c r="P498" s="29"/>
      <c r="Q498" s="81"/>
      <c r="R498" s="29"/>
      <c r="S498" s="123"/>
    </row>
    <row r="499" spans="1:19">
      <c r="A499" s="147" t="s">
        <v>853</v>
      </c>
      <c r="B499" s="147"/>
      <c r="C499" s="29">
        <v>15508079</v>
      </c>
      <c r="G499" s="29" t="s">
        <v>155</v>
      </c>
      <c r="H499" s="29" t="s">
        <v>77</v>
      </c>
      <c r="I499" s="120">
        <v>45672</v>
      </c>
      <c r="J499" s="29"/>
      <c r="P499" s="134"/>
    </row>
    <row r="500" spans="1:19">
      <c r="A500" s="147" t="s">
        <v>853</v>
      </c>
      <c r="B500" s="147"/>
      <c r="C500" s="29">
        <v>15508117</v>
      </c>
      <c r="G500" s="29" t="s">
        <v>155</v>
      </c>
      <c r="H500" s="29" t="s">
        <v>77</v>
      </c>
      <c r="I500" s="120">
        <v>45672</v>
      </c>
      <c r="J500" s="29"/>
      <c r="P500" s="134"/>
    </row>
    <row r="501" spans="1:19">
      <c r="A501" s="147" t="s">
        <v>853</v>
      </c>
      <c r="B501" s="147"/>
      <c r="C501" s="29">
        <v>15508166</v>
      </c>
      <c r="G501" s="29" t="s">
        <v>155</v>
      </c>
      <c r="H501" s="29" t="s">
        <v>77</v>
      </c>
      <c r="I501" s="120">
        <v>45672</v>
      </c>
      <c r="J501" s="29"/>
      <c r="P501" s="134"/>
    </row>
    <row r="502" spans="1:19">
      <c r="A502" s="147" t="s">
        <v>853</v>
      </c>
      <c r="B502" s="147"/>
      <c r="C502" s="29">
        <v>15508197</v>
      </c>
      <c r="G502" s="29" t="s">
        <v>155</v>
      </c>
      <c r="H502" s="29" t="s">
        <v>77</v>
      </c>
      <c r="I502" s="120">
        <v>45672</v>
      </c>
      <c r="J502" s="29"/>
      <c r="P502" s="134"/>
    </row>
    <row r="503" spans="1:19">
      <c r="A503" s="147" t="s">
        <v>853</v>
      </c>
      <c r="B503" s="147"/>
      <c r="C503" s="29">
        <v>15508138</v>
      </c>
      <c r="G503" s="29" t="s">
        <v>155</v>
      </c>
      <c r="H503" s="29" t="s">
        <v>77</v>
      </c>
      <c r="I503" s="120">
        <v>45672</v>
      </c>
      <c r="J503" s="29"/>
      <c r="P503" s="134"/>
    </row>
    <row r="504" spans="1:19">
      <c r="A504" s="147" t="s">
        <v>853</v>
      </c>
      <c r="B504" s="147"/>
      <c r="C504" s="29">
        <v>21507458</v>
      </c>
      <c r="G504" s="29" t="s">
        <v>155</v>
      </c>
      <c r="H504" s="29" t="s">
        <v>243</v>
      </c>
      <c r="I504" s="120">
        <v>45678</v>
      </c>
      <c r="J504" s="29"/>
      <c r="P504" s="134"/>
    </row>
    <row r="505" spans="1:19">
      <c r="A505" s="147" t="s">
        <v>853</v>
      </c>
      <c r="B505" s="147"/>
      <c r="C505" s="29">
        <v>21507496</v>
      </c>
      <c r="G505" s="29" t="s">
        <v>155</v>
      </c>
      <c r="H505" s="29" t="s">
        <v>243</v>
      </c>
      <c r="I505" s="120">
        <v>45678</v>
      </c>
      <c r="J505" s="29"/>
      <c r="P505" s="134"/>
    </row>
    <row r="506" spans="1:19">
      <c r="A506" s="147" t="s">
        <v>853</v>
      </c>
      <c r="B506" s="147"/>
      <c r="C506" s="29">
        <v>21507508</v>
      </c>
      <c r="G506" s="29" t="s">
        <v>155</v>
      </c>
      <c r="H506" s="29" t="s">
        <v>243</v>
      </c>
      <c r="I506" s="120">
        <v>45678</v>
      </c>
      <c r="J506" s="29"/>
      <c r="P506" s="134"/>
    </row>
    <row r="507" spans="1:19">
      <c r="A507" s="147" t="s">
        <v>853</v>
      </c>
      <c r="B507" s="147"/>
      <c r="C507" s="29">
        <v>21507522</v>
      </c>
      <c r="G507" s="29" t="s">
        <v>155</v>
      </c>
      <c r="H507" s="29" t="s">
        <v>243</v>
      </c>
      <c r="I507" s="120">
        <v>45678</v>
      </c>
      <c r="J507" s="29"/>
      <c r="P507" s="134"/>
    </row>
    <row r="508" spans="1:19">
      <c r="A508" s="147" t="s">
        <v>854</v>
      </c>
      <c r="B508" s="147"/>
      <c r="C508" s="29">
        <v>15508269</v>
      </c>
      <c r="G508" s="29" t="s">
        <v>155</v>
      </c>
      <c r="H508" s="29" t="s">
        <v>77</v>
      </c>
      <c r="I508" s="120">
        <v>45672</v>
      </c>
      <c r="J508" s="29"/>
      <c r="P508" s="134"/>
    </row>
    <row r="509" spans="1:19">
      <c r="A509" s="147" t="s">
        <v>854</v>
      </c>
      <c r="B509" s="147"/>
      <c r="C509" s="29">
        <v>15508306</v>
      </c>
      <c r="G509" s="29" t="s">
        <v>155</v>
      </c>
      <c r="H509" s="29" t="s">
        <v>77</v>
      </c>
      <c r="I509" s="120">
        <v>45672</v>
      </c>
      <c r="J509" s="29"/>
      <c r="P509" s="134"/>
    </row>
    <row r="510" spans="1:19">
      <c r="A510" s="147" t="s">
        <v>854</v>
      </c>
      <c r="B510" s="147"/>
      <c r="C510" s="29">
        <v>15508345</v>
      </c>
      <c r="G510" s="29" t="s">
        <v>155</v>
      </c>
      <c r="H510" s="29" t="s">
        <v>77</v>
      </c>
      <c r="I510" s="120">
        <v>45672</v>
      </c>
      <c r="J510" s="29"/>
      <c r="P510" s="134"/>
    </row>
    <row r="511" spans="1:19">
      <c r="A511" s="147" t="s">
        <v>854</v>
      </c>
      <c r="B511" s="147"/>
      <c r="C511" s="29">
        <v>15508377</v>
      </c>
      <c r="G511" s="29" t="s">
        <v>155</v>
      </c>
      <c r="H511" s="29" t="s">
        <v>77</v>
      </c>
      <c r="I511" s="120">
        <v>45672</v>
      </c>
      <c r="J511" s="29"/>
      <c r="P511" s="134"/>
    </row>
    <row r="512" spans="1:19">
      <c r="A512" s="147" t="s">
        <v>854</v>
      </c>
      <c r="B512" s="147"/>
      <c r="C512" s="29">
        <v>21507541</v>
      </c>
      <c r="G512" s="29" t="s">
        <v>155</v>
      </c>
      <c r="H512" s="29" t="s">
        <v>243</v>
      </c>
      <c r="I512" s="120">
        <v>45678</v>
      </c>
      <c r="J512" s="29"/>
      <c r="P512" s="134"/>
    </row>
    <row r="513" spans="1:19">
      <c r="A513" s="147" t="s">
        <v>854</v>
      </c>
      <c r="B513" s="147"/>
      <c r="C513" s="29">
        <v>21507542</v>
      </c>
      <c r="G513" s="29" t="s">
        <v>155</v>
      </c>
      <c r="H513" s="29" t="s">
        <v>243</v>
      </c>
      <c r="I513" s="120">
        <v>45678</v>
      </c>
      <c r="J513" s="29"/>
      <c r="P513" s="134"/>
    </row>
    <row r="514" spans="1:19">
      <c r="A514" s="147" t="s">
        <v>854</v>
      </c>
      <c r="B514" s="147"/>
      <c r="C514" s="29">
        <v>21507549</v>
      </c>
      <c r="G514" s="29" t="s">
        <v>155</v>
      </c>
      <c r="H514" s="29" t="s">
        <v>243</v>
      </c>
      <c r="I514" s="120">
        <v>45678</v>
      </c>
      <c r="J514" s="29"/>
      <c r="P514" s="134"/>
    </row>
    <row r="515" spans="1:19">
      <c r="A515" s="147" t="s">
        <v>854</v>
      </c>
      <c r="B515" s="147"/>
      <c r="C515" s="29">
        <v>21507541</v>
      </c>
      <c r="G515" s="29" t="s">
        <v>155</v>
      </c>
      <c r="H515" s="29" t="s">
        <v>243</v>
      </c>
      <c r="I515" s="120">
        <v>45678</v>
      </c>
      <c r="J515" s="29"/>
      <c r="K515" s="29"/>
      <c r="L515" s="29"/>
      <c r="M515" s="29"/>
      <c r="N515" s="29"/>
      <c r="O515" s="29"/>
      <c r="P515" s="29"/>
      <c r="Q515" s="81"/>
      <c r="R515" s="29"/>
      <c r="S515" s="123"/>
    </row>
    <row r="516" spans="1:19">
      <c r="A516" s="147" t="s">
        <v>854</v>
      </c>
      <c r="B516" s="147"/>
      <c r="C516" s="29">
        <v>21507542</v>
      </c>
      <c r="G516" s="29" t="s">
        <v>155</v>
      </c>
      <c r="H516" s="29" t="s">
        <v>243</v>
      </c>
      <c r="I516" s="120">
        <v>45678</v>
      </c>
      <c r="J516" s="29"/>
      <c r="K516" s="29"/>
      <c r="L516" s="29"/>
      <c r="M516" s="29"/>
      <c r="N516" s="29"/>
      <c r="O516" s="29"/>
      <c r="P516" s="29"/>
      <c r="Q516" s="81"/>
      <c r="R516" s="29"/>
      <c r="S516" s="123"/>
    </row>
    <row r="517" spans="1:19">
      <c r="A517" s="147" t="s">
        <v>854</v>
      </c>
      <c r="B517" s="147"/>
      <c r="C517" s="29">
        <v>21507549</v>
      </c>
      <c r="G517" s="29" t="s">
        <v>155</v>
      </c>
      <c r="H517" s="29" t="s">
        <v>243</v>
      </c>
      <c r="I517" s="120">
        <v>45678</v>
      </c>
      <c r="J517" s="29"/>
      <c r="K517" s="29"/>
      <c r="L517" s="29"/>
      <c r="M517" s="29"/>
      <c r="N517" s="29"/>
      <c r="O517" s="29"/>
      <c r="P517" s="29"/>
      <c r="Q517" s="81"/>
      <c r="R517" s="29"/>
      <c r="S517" s="123"/>
    </row>
    <row r="518" spans="1:19">
      <c r="A518" s="147" t="s">
        <v>854</v>
      </c>
      <c r="B518" s="147"/>
      <c r="C518" s="29">
        <v>21507550</v>
      </c>
      <c r="G518" s="29" t="s">
        <v>155</v>
      </c>
      <c r="H518" s="29" t="s">
        <v>243</v>
      </c>
      <c r="I518" s="120">
        <v>45678</v>
      </c>
      <c r="J518" s="29"/>
      <c r="K518" s="29"/>
      <c r="L518" s="29"/>
      <c r="M518" s="29"/>
      <c r="N518" s="29"/>
      <c r="O518" s="29"/>
      <c r="P518" s="29"/>
      <c r="Q518" s="81"/>
      <c r="R518" s="29"/>
      <c r="S518" s="123"/>
    </row>
    <row r="519" spans="1:19">
      <c r="A519" s="147" t="s">
        <v>854</v>
      </c>
      <c r="B519" s="147"/>
      <c r="C519" s="29">
        <v>15508269</v>
      </c>
      <c r="G519" s="29" t="s">
        <v>155</v>
      </c>
      <c r="H519" s="29" t="s">
        <v>77</v>
      </c>
      <c r="I519" s="120">
        <v>45672</v>
      </c>
      <c r="J519" s="29"/>
      <c r="K519" s="29"/>
      <c r="L519" s="29"/>
      <c r="M519" s="29"/>
      <c r="N519" s="29"/>
      <c r="O519" s="29"/>
      <c r="P519" s="29"/>
      <c r="Q519" s="81"/>
      <c r="R519" s="29"/>
      <c r="S519" s="123"/>
    </row>
    <row r="520" spans="1:19">
      <c r="A520" s="147" t="s">
        <v>854</v>
      </c>
      <c r="B520" s="147"/>
      <c r="C520" s="29">
        <v>15508306</v>
      </c>
      <c r="G520" s="29" t="s">
        <v>155</v>
      </c>
      <c r="H520" s="29" t="s">
        <v>77</v>
      </c>
      <c r="I520" s="120">
        <v>45672</v>
      </c>
      <c r="J520" s="29"/>
      <c r="K520" s="29"/>
      <c r="L520" s="29"/>
      <c r="M520" s="29"/>
      <c r="N520" s="29"/>
      <c r="O520" s="29"/>
      <c r="P520" s="29"/>
      <c r="Q520" s="81"/>
      <c r="R520" s="29"/>
      <c r="S520" s="123"/>
    </row>
    <row r="521" spans="1:19">
      <c r="A521" s="147" t="s">
        <v>854</v>
      </c>
      <c r="B521" s="147"/>
      <c r="C521" s="29">
        <v>15508345</v>
      </c>
      <c r="G521" s="29" t="s">
        <v>155</v>
      </c>
      <c r="H521" s="29" t="s">
        <v>77</v>
      </c>
      <c r="I521" s="120">
        <v>45672</v>
      </c>
      <c r="J521" s="29"/>
      <c r="K521" s="29"/>
      <c r="L521" s="29"/>
      <c r="M521" s="29"/>
      <c r="N521" s="29"/>
      <c r="O521" s="29"/>
      <c r="P521" s="29"/>
      <c r="Q521" s="81"/>
      <c r="R521" s="29"/>
      <c r="S521" s="123"/>
    </row>
    <row r="522" spans="1:19">
      <c r="A522" s="147" t="s">
        <v>854</v>
      </c>
      <c r="B522" s="147"/>
      <c r="C522" s="29">
        <v>15508377</v>
      </c>
      <c r="G522" s="29" t="s">
        <v>155</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155</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155</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155</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155</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155</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155</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155</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155</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155</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155</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155</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155</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155</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155</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155</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155</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155</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155</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155</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155</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155</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155</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155</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155</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155</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155</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155</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155</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155</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155</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155</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155</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155</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155</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155</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155</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155</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155</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155</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155</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155</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155</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155</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155</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155</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155</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155</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155</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155</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155</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155</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155</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155</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155</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155</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155</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155</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155</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155</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155</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155</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155</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155</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155</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155</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155</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155</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155</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155</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155</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155</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155</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155</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155</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155</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155</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155</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155</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155</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155</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155</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155</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155</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155</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155</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155</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155</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155</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155</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155</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155</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155</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155</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155</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155</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155</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155</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155</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155</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155</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155</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155</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155</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155</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155</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155</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155</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155</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155</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155</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155</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155</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155</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155</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155</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1924</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1924</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1924</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1925</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1925</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1925</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153</v>
      </c>
      <c r="C4531" s="195">
        <v>147604963</v>
      </c>
      <c r="D4531" s="168"/>
      <c r="E4531" s="29"/>
      <c r="F4531" s="29" t="s">
        <v>1994</v>
      </c>
      <c r="G4531" s="3" t="s">
        <v>155</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153</v>
      </c>
      <c r="C4532" s="195">
        <v>147604803</v>
      </c>
      <c r="D4532" s="168"/>
      <c r="E4532" s="29"/>
      <c r="F4532" s="29" t="s">
        <v>1994</v>
      </c>
      <c r="G4532" s="3" t="s">
        <v>155</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153</v>
      </c>
      <c r="C4533" s="195">
        <v>147605087</v>
      </c>
      <c r="D4533" s="168"/>
      <c r="E4533" s="29"/>
      <c r="F4533" s="29" t="s">
        <v>1994</v>
      </c>
      <c r="G4533" s="3" t="s">
        <v>155</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153</v>
      </c>
      <c r="C4534" s="195">
        <v>147605275</v>
      </c>
      <c r="D4534" s="168"/>
      <c r="E4534" s="29"/>
      <c r="F4534" s="29" t="s">
        <v>1994</v>
      </c>
      <c r="G4534" s="3" t="s">
        <v>155</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153</v>
      </c>
      <c r="C4535" s="195">
        <v>147605379</v>
      </c>
      <c r="D4535" s="168"/>
      <c r="E4535" s="29"/>
      <c r="F4535" s="29" t="s">
        <v>1994</v>
      </c>
      <c r="G4535" s="3" t="s">
        <v>155</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154</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154</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154</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154</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154</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154</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154</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B3FA1E3-2ABF-4039-8A92-1180A51C8F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2026-07-23T16:19:08Z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