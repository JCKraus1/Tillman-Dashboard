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9" documentId="8_{7F841BAC-E3D2-4E4B-A3CA-97B4D46101DD}" xr6:coauthVersionLast="47" xr6:coauthVersionMax="47" xr10:uidLastSave="{75325BBF-989F-4299-BB62-6B7A525C6E0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<sst xmlns="http://schemas.openxmlformats.org/spreadsheetml/2006/main" count="27611" uniqueCount="1909">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</sst>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395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254</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149</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O1" s="172"/>
      <c r="P1" s="171" t="s">
        <v>1</v>
      </c>
      <c r="Q1" s="171" t="s">
        <v>2</v>
      </c>
      <c r="R1" s="172" t="s">
        <v>3</v>
      </c>
      <c r="S1" s="172" t="s">
        <v>4</v>
      </c>
      <c r="T1" s="172"/>
    </row>
    <row r="2" spans="1:20" ht="18" customHeight="1">
      <c r="A2" s="210" t="s">
        <v>5</v>
      </c>
      <c r="B2" s="210"/>
      <c r="C2" s="210"/>
      <c r="D2" s="219" t="s">
        <v>6</v>
      </c>
      <c r="E2" s="219"/>
      <c r="F2" s="219"/>
      <c r="G2" s="211" t="s">
        <v>7</v>
      </c>
      <c r="H2" s="211"/>
      <c r="I2" s="211"/>
      <c r="J2" s="214" t="s">
        <v>8</v>
      </c>
      <c r="K2" s="214"/>
      <c r="L2" s="214"/>
      <c r="O2" s="172"/>
      <c r="P2" s="171" t="s">
        <v>9</v>
      </c>
      <c r="Q2" s="171" cm="1">
        <f t="array" ref="Q2">SUMPRODUCT((UPPER(Master!N2:N4996)="PENDING")*1)</f>
        <v>324</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7">
        <f>COUNTA(Master!B2:B4996)</f>
        <v>719</v>
      </c>
      <c r="B3" s="217"/>
      <c r="C3" s="217"/>
      <c r="D3" s="220" cm="1">
        <f t="array" ref="D3">SUMPRODUCT((UPPER(Master!N2:N4996)="PENDING")*1)</f>
        <v>324</v>
      </c>
      <c r="E3" s="220"/>
      <c r="F3" s="220"/>
      <c r="G3" s="212" cm="1">
        <f t="array" ref="G3">SUMPRODUCT((UPPER(Master!N2:N4996)="CLEAR")*1)</f>
        <v>395</v>
      </c>
      <c r="H3" s="212"/>
      <c r="I3" s="212"/>
      <c r="J3" s="215" cm="1">
        <f t="array" ref="J3">SUMPRODUCT((UPPER(Master!N2:N4996)="EXPIRED")*1)</f>
        <v>0</v>
      </c>
      <c r="K3" s="215"/>
      <c r="L3" s="215"/>
      <c r="O3" s="172"/>
      <c r="P3" s="171" t="s">
        <v>10</v>
      </c>
      <c r="Q3" s="171" cm="1">
        <f t="array" ref="Q3">SUMPRODUCT((UPPER(Master!N2:N4996)="CLEAR")*1)</f>
        <v>395</v>
      </c>
      <c r="R3" s="172" t="str">
        <v>CLEARWATER</v>
      </c>
      <c r="S3" s="172" t="str">
        <v>APT</v>
      </c>
      <c r="T3" s="172"/>
    </row>
    <row r="4" spans="1:20" ht="15.75" customHeight="1">
      <c r="A4" s="218" t="s">
        <v>11</v>
      </c>
      <c r="B4" s="218"/>
      <c r="C4" s="218"/>
      <c r="D4" s="221" t="s">
        <v>12</v>
      </c>
      <c r="E4" s="221"/>
      <c r="F4" s="221"/>
      <c r="G4" s="213" t="s">
        <v>13</v>
      </c>
      <c r="H4" s="213"/>
      <c r="I4" s="213"/>
      <c r="J4" s="216" t="s">
        <v>14</v>
      </c>
      <c r="K4" s="216"/>
      <c r="L4" s="216"/>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2" t="s">
        <v>24</v>
      </c>
      <c r="B22" s="222"/>
      <c r="C22" s="222"/>
      <c r="D22" s="222"/>
      <c r="E22" s="222"/>
      <c r="G22" s="223" t="s">
        <v>25</v>
      </c>
      <c r="H22" s="224"/>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254</v>
      </c>
      <c r="C25" s="111" cm="1">
        <f t="array" ref="C25">IF(A25="","",SUMPRODUCT((UPPER(Master!F2:F4996)=A25)*(UPPER(Master!N2:N4996)="CLEAR")))</f>
        <v>149</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324</v>
      </c>
      <c r="C39" s="91">
        <f>SUMIF(A24:A38,"&lt;&gt;",C24:C38)</f>
        <v>395</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324</v>
      </c>
      <c r="D43" t="s">
        <v>16</v>
      </c>
      <c r="E43">
        <f>E27</f>
        <v>52</v>
      </c>
      <c r="G43" t="s">
        <v>29</v>
      </c>
      <c r="H43">
        <f>H27</f>
        <v>114</v>
      </c>
    </row>
    <row r="44" spans="1:12" hidden="1">
      <c r="A44" t="s">
        <v>10</v>
      </c>
      <c r="B44">
        <f>G3</f>
        <v>395</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1833</v>
      </c>
      <c r="C48">
        <f>B55</f>
        <v>1185</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648</v>
      </c>
    </row>
    <row r="55" spans="1:2" hidden="1">
      <c r="A55" t="s">
        <v>10</v>
      </c>
      <c r="B55">
        <f>COUNTIF(Master!N2:N4996,"Clear")+COUNTIF(Master!N2:N4996,"clear")+COUNTIF(Master!N2:N4996,"CLEAR")</f>
        <v>1185</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97" activePane="topRight" state="frozen"/>
      <selection pane="topRight" activeCell="A676" sqref="A676:B703"/>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10</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182" t="s">
        <v>201</v>
      </c>
      <c r="B676" s="176">
        <v>160601960</v>
      </c>
      <c r="E676" s="29" t="s">
        <v>202</v>
      </c>
      <c r="F676" s="3" t="s">
        <v>203</v>
      </c>
      <c r="G676" s="3" t="s">
        <v>30</v>
      </c>
      <c r="H676" s="55">
        <v>46182</v>
      </c>
      <c r="I676" s="55">
        <v>46185</v>
      </c>
      <c r="J676" s="55">
        <v>46212</v>
      </c>
      <c r="N676" s="3" t="s">
        <v>10</v>
      </c>
      <c r="O676" s="55">
        <v>46183</v>
      </c>
      <c r="Q676" s="186"/>
    </row>
    <row r="677" spans="1:17" ht="15" customHeight="1">
      <c r="A677" s="182" t="s">
        <v>201</v>
      </c>
      <c r="B677" s="176">
        <v>160601922</v>
      </c>
      <c r="E677" s="29" t="s">
        <v>202</v>
      </c>
      <c r="F677" s="3" t="s">
        <v>203</v>
      </c>
      <c r="G677" s="3" t="s">
        <v>30</v>
      </c>
      <c r="H677" s="55">
        <v>46182</v>
      </c>
      <c r="I677" s="55">
        <v>46185</v>
      </c>
      <c r="J677" s="55">
        <v>46212</v>
      </c>
      <c r="N677" s="3" t="s">
        <v>10</v>
      </c>
      <c r="O677" s="55">
        <v>46183</v>
      </c>
      <c r="Q677" s="186"/>
    </row>
    <row r="678" spans="1:17" ht="15" customHeight="1">
      <c r="A678" s="182" t="s">
        <v>201</v>
      </c>
      <c r="B678" s="176">
        <v>160601871</v>
      </c>
      <c r="E678" s="29" t="s">
        <v>202</v>
      </c>
      <c r="F678" s="3" t="s">
        <v>203</v>
      </c>
      <c r="G678" s="3" t="s">
        <v>30</v>
      </c>
      <c r="H678" s="55">
        <v>46182</v>
      </c>
      <c r="I678" s="55">
        <v>46185</v>
      </c>
      <c r="J678" s="55">
        <v>46212</v>
      </c>
      <c r="N678" s="3" t="s">
        <v>10</v>
      </c>
      <c r="O678" s="55">
        <v>46183</v>
      </c>
      <c r="Q678" s="186"/>
    </row>
    <row r="679" spans="1:17" ht="15" customHeight="1">
      <c r="A679" s="182" t="s">
        <v>201</v>
      </c>
      <c r="B679" s="176">
        <v>160601812</v>
      </c>
      <c r="E679" s="29" t="s">
        <v>202</v>
      </c>
      <c r="F679" s="3" t="s">
        <v>203</v>
      </c>
      <c r="G679" s="3" t="s">
        <v>30</v>
      </c>
      <c r="H679" s="55">
        <v>46182</v>
      </c>
      <c r="I679" s="55">
        <v>46185</v>
      </c>
      <c r="J679" s="55">
        <v>46212</v>
      </c>
      <c r="N679" s="3" t="s">
        <v>10</v>
      </c>
      <c r="O679" s="55">
        <v>46183</v>
      </c>
      <c r="Q679" s="186"/>
    </row>
    <row r="680" spans="1:17" ht="15" customHeight="1">
      <c r="A680" s="182" t="s">
        <v>201</v>
      </c>
      <c r="B680" s="176">
        <v>160601844</v>
      </c>
      <c r="E680" s="29" t="s">
        <v>202</v>
      </c>
      <c r="F680" s="3" t="s">
        <v>203</v>
      </c>
      <c r="G680" s="3" t="s">
        <v>30</v>
      </c>
      <c r="H680" s="55">
        <v>46182</v>
      </c>
      <c r="I680" s="55">
        <v>46185</v>
      </c>
      <c r="J680" s="55">
        <v>46212</v>
      </c>
      <c r="N680" s="3" t="s">
        <v>10</v>
      </c>
      <c r="O680" s="55">
        <v>46183</v>
      </c>
      <c r="Q680" s="186"/>
    </row>
    <row r="681" spans="1:17" ht="15" customHeight="1">
      <c r="A681" s="182" t="s">
        <v>201</v>
      </c>
      <c r="B681" s="176">
        <v>160601705</v>
      </c>
      <c r="E681" s="29" t="s">
        <v>202</v>
      </c>
      <c r="F681" s="3" t="s">
        <v>203</v>
      </c>
      <c r="G681" s="3" t="s">
        <v>30</v>
      </c>
      <c r="H681" s="55">
        <v>46182</v>
      </c>
      <c r="I681" s="55">
        <v>46185</v>
      </c>
      <c r="J681" s="55">
        <v>46212</v>
      </c>
      <c r="N681" s="3" t="s">
        <v>10</v>
      </c>
      <c r="O681" s="55">
        <v>46183</v>
      </c>
      <c r="Q681" s="186"/>
    </row>
    <row r="682" spans="1:17" ht="15" customHeight="1">
      <c r="A682" s="182" t="s">
        <v>201</v>
      </c>
      <c r="B682" s="176">
        <v>160602144</v>
      </c>
      <c r="E682" s="29" t="s">
        <v>202</v>
      </c>
      <c r="F682" s="3" t="s">
        <v>203</v>
      </c>
      <c r="G682" s="3" t="s">
        <v>30</v>
      </c>
      <c r="H682" s="55">
        <v>46182</v>
      </c>
      <c r="I682" s="55">
        <v>46185</v>
      </c>
      <c r="J682" s="55">
        <v>46212</v>
      </c>
      <c r="N682" s="3" t="s">
        <v>10</v>
      </c>
      <c r="O682" s="55">
        <v>46183</v>
      </c>
      <c r="Q682" s="186"/>
    </row>
    <row r="683" spans="1:17" ht="15" customHeight="1">
      <c r="A683" s="182" t="s">
        <v>201</v>
      </c>
      <c r="B683" s="176">
        <v>160602127</v>
      </c>
      <c r="E683" s="29" t="s">
        <v>202</v>
      </c>
      <c r="F683" s="3" t="s">
        <v>203</v>
      </c>
      <c r="G683" s="3" t="s">
        <v>30</v>
      </c>
      <c r="H683" s="55">
        <v>46182</v>
      </c>
      <c r="I683" s="55">
        <v>46185</v>
      </c>
      <c r="J683" s="55">
        <v>46212</v>
      </c>
      <c r="N683" s="3" t="s">
        <v>10</v>
      </c>
      <c r="O683" s="55">
        <v>46183</v>
      </c>
      <c r="Q683" s="186"/>
    </row>
    <row r="684" spans="1:17" ht="15" customHeight="1">
      <c r="A684" s="182" t="s">
        <v>201</v>
      </c>
      <c r="B684" s="176">
        <v>160602105</v>
      </c>
      <c r="E684" s="29" t="s">
        <v>202</v>
      </c>
      <c r="F684" s="3" t="s">
        <v>203</v>
      </c>
      <c r="G684" s="3" t="s">
        <v>30</v>
      </c>
      <c r="H684" s="55">
        <v>46182</v>
      </c>
      <c r="I684" s="55">
        <v>46185</v>
      </c>
      <c r="J684" s="55">
        <v>46212</v>
      </c>
      <c r="N684" s="3" t="s">
        <v>10</v>
      </c>
      <c r="O684" s="55">
        <v>46183</v>
      </c>
      <c r="Q684" s="186"/>
    </row>
    <row r="685" spans="1:17" ht="15" customHeight="1">
      <c r="A685" s="182" t="s">
        <v>201</v>
      </c>
      <c r="B685" s="176">
        <v>160602080</v>
      </c>
      <c r="E685" s="29" t="s">
        <v>202</v>
      </c>
      <c r="F685" s="3" t="s">
        <v>203</v>
      </c>
      <c r="G685" s="3" t="s">
        <v>30</v>
      </c>
      <c r="H685" s="55">
        <v>46182</v>
      </c>
      <c r="I685" s="55">
        <v>46185</v>
      </c>
      <c r="J685" s="55">
        <v>46212</v>
      </c>
      <c r="N685" s="3" t="s">
        <v>10</v>
      </c>
      <c r="O685" s="55">
        <v>46183</v>
      </c>
      <c r="Q685" s="186"/>
    </row>
    <row r="686" spans="1:17" ht="15" customHeight="1">
      <c r="A686" s="182" t="s">
        <v>201</v>
      </c>
      <c r="B686" s="176">
        <v>160602067</v>
      </c>
      <c r="E686" s="29" t="s">
        <v>202</v>
      </c>
      <c r="F686" s="3" t="s">
        <v>203</v>
      </c>
      <c r="G686" s="3" t="s">
        <v>30</v>
      </c>
      <c r="H686" s="55">
        <v>46182</v>
      </c>
      <c r="I686" s="55">
        <v>46185</v>
      </c>
      <c r="J686" s="55">
        <v>46212</v>
      </c>
      <c r="N686" s="3" t="s">
        <v>10</v>
      </c>
      <c r="O686" s="55">
        <v>46183</v>
      </c>
      <c r="Q686" s="186"/>
    </row>
    <row r="687" spans="1:17" ht="15" customHeight="1">
      <c r="A687" s="182" t="s">
        <v>201</v>
      </c>
      <c r="B687" s="176">
        <v>160602020</v>
      </c>
      <c r="E687" s="29" t="s">
        <v>202</v>
      </c>
      <c r="F687" s="3" t="s">
        <v>203</v>
      </c>
      <c r="G687" s="3" t="s">
        <v>30</v>
      </c>
      <c r="H687" s="55">
        <v>46182</v>
      </c>
      <c r="I687" s="55">
        <v>46185</v>
      </c>
      <c r="J687" s="55">
        <v>46212</v>
      </c>
      <c r="N687" s="3" t="s">
        <v>10</v>
      </c>
      <c r="O687" s="55">
        <v>46177</v>
      </c>
      <c r="Q687" s="186"/>
    </row>
    <row r="688" spans="1:17" ht="15" customHeight="1">
      <c r="A688" s="182" t="s">
        <v>204</v>
      </c>
      <c r="B688" s="176">
        <v>153602931</v>
      </c>
      <c r="E688" s="29" t="s">
        <v>202</v>
      </c>
      <c r="F688" s="3" t="s">
        <v>203</v>
      </c>
      <c r="G688" s="3" t="s">
        <v>30</v>
      </c>
      <c r="H688" s="55">
        <v>46175</v>
      </c>
      <c r="I688" s="55">
        <v>46178</v>
      </c>
      <c r="J688" s="55">
        <v>46205</v>
      </c>
      <c r="N688" s="3" t="s">
        <v>10</v>
      </c>
      <c r="O688" s="55">
        <v>46177</v>
      </c>
      <c r="Q688" s="186"/>
    </row>
    <row r="689" spans="1:17" ht="15" customHeight="1">
      <c r="A689" s="182" t="s">
        <v>204</v>
      </c>
      <c r="B689" s="176">
        <v>153602832</v>
      </c>
      <c r="E689" s="29" t="s">
        <v>202</v>
      </c>
      <c r="F689" s="3" t="s">
        <v>203</v>
      </c>
      <c r="G689" s="3" t="s">
        <v>30</v>
      </c>
      <c r="H689" s="55">
        <v>46175</v>
      </c>
      <c r="I689" s="55">
        <v>46178</v>
      </c>
      <c r="J689" s="55">
        <v>46205</v>
      </c>
      <c r="N689" s="3" t="s">
        <v>10</v>
      </c>
      <c r="O689" s="55">
        <v>46177</v>
      </c>
      <c r="Q689" s="186"/>
    </row>
    <row r="690" spans="1:17" ht="15" customHeight="1">
      <c r="A690" s="182" t="s">
        <v>204</v>
      </c>
      <c r="B690" s="176">
        <v>153602810</v>
      </c>
      <c r="E690" s="29" t="s">
        <v>202</v>
      </c>
      <c r="F690" s="3" t="s">
        <v>203</v>
      </c>
      <c r="G690" s="3" t="s">
        <v>30</v>
      </c>
      <c r="H690" s="55">
        <v>46175</v>
      </c>
      <c r="I690" s="55">
        <v>46178</v>
      </c>
      <c r="J690" s="55">
        <v>46205</v>
      </c>
      <c r="N690" s="3" t="s">
        <v>10</v>
      </c>
      <c r="O690" s="55">
        <v>46177</v>
      </c>
      <c r="Q690" s="186"/>
    </row>
    <row r="691" spans="1:17" ht="15" customHeight="1">
      <c r="A691" s="182" t="s">
        <v>204</v>
      </c>
      <c r="B691" s="176">
        <v>153602786</v>
      </c>
      <c r="E691" s="29" t="s">
        <v>202</v>
      </c>
      <c r="F691" s="3" t="s">
        <v>203</v>
      </c>
      <c r="G691" s="3" t="s">
        <v>30</v>
      </c>
      <c r="H691" s="55">
        <v>46175</v>
      </c>
      <c r="I691" s="55">
        <v>46178</v>
      </c>
      <c r="J691" s="55">
        <v>46205</v>
      </c>
      <c r="N691" s="3" t="s">
        <v>10</v>
      </c>
      <c r="O691" s="55">
        <v>46177</v>
      </c>
      <c r="Q691" s="186"/>
    </row>
    <row r="692" spans="1:17" ht="15" customHeight="1">
      <c r="A692" s="182" t="s">
        <v>204</v>
      </c>
      <c r="B692" s="176">
        <v>153602772</v>
      </c>
      <c r="E692" s="29" t="s">
        <v>202</v>
      </c>
      <c r="F692" s="3" t="s">
        <v>203</v>
      </c>
      <c r="G692" s="3" t="s">
        <v>30</v>
      </c>
      <c r="H692" s="55">
        <v>46175</v>
      </c>
      <c r="I692" s="55">
        <v>46178</v>
      </c>
      <c r="J692" s="55">
        <v>46205</v>
      </c>
      <c r="N692" s="3" t="s">
        <v>10</v>
      </c>
      <c r="O692" s="55">
        <v>46177</v>
      </c>
      <c r="Q692" s="186"/>
    </row>
    <row r="693" spans="1:17" ht="15" customHeight="1">
      <c r="A693" s="182" t="s">
        <v>204</v>
      </c>
      <c r="B693" s="176">
        <v>153602759</v>
      </c>
      <c r="E693" s="29" t="s">
        <v>202</v>
      </c>
      <c r="F693" s="3" t="s">
        <v>203</v>
      </c>
      <c r="G693" s="3" t="s">
        <v>30</v>
      </c>
      <c r="H693" s="55">
        <v>46175</v>
      </c>
      <c r="I693" s="55">
        <v>46178</v>
      </c>
      <c r="J693" s="55">
        <v>46205</v>
      </c>
      <c r="N693" s="3" t="s">
        <v>10</v>
      </c>
      <c r="O693" s="55">
        <v>46177</v>
      </c>
      <c r="Q693" s="186"/>
    </row>
    <row r="694" spans="1:17" ht="15" customHeight="1">
      <c r="A694" s="182" t="s">
        <v>204</v>
      </c>
      <c r="B694" s="176">
        <v>153602744</v>
      </c>
      <c r="E694" s="29" t="s">
        <v>202</v>
      </c>
      <c r="F694" s="3" t="s">
        <v>203</v>
      </c>
      <c r="G694" s="3" t="s">
        <v>30</v>
      </c>
      <c r="H694" s="55">
        <v>46175</v>
      </c>
      <c r="I694" s="55">
        <v>46178</v>
      </c>
      <c r="J694" s="55">
        <v>46205</v>
      </c>
      <c r="N694" s="3" t="s">
        <v>10</v>
      </c>
      <c r="O694" s="55">
        <v>46177</v>
      </c>
      <c r="Q694" s="186"/>
    </row>
    <row r="695" spans="1:17" ht="15" customHeight="1">
      <c r="A695" s="182" t="s">
        <v>204</v>
      </c>
      <c r="B695" s="176">
        <v>153602666</v>
      </c>
      <c r="E695" s="29" t="s">
        <v>202</v>
      </c>
      <c r="F695" s="3" t="s">
        <v>203</v>
      </c>
      <c r="G695" s="3" t="s">
        <v>30</v>
      </c>
      <c r="H695" s="55">
        <v>46175</v>
      </c>
      <c r="I695" s="55">
        <v>46178</v>
      </c>
      <c r="J695" s="55">
        <v>46205</v>
      </c>
      <c r="N695" s="3" t="s">
        <v>10</v>
      </c>
      <c r="O695" s="55">
        <v>46177</v>
      </c>
      <c r="Q695" s="186"/>
    </row>
    <row r="696" spans="1:17" ht="15" customHeight="1">
      <c r="A696" s="182" t="s">
        <v>204</v>
      </c>
      <c r="B696" s="176">
        <v>153602570</v>
      </c>
      <c r="E696" s="29" t="s">
        <v>202</v>
      </c>
      <c r="F696" s="3" t="s">
        <v>203</v>
      </c>
      <c r="G696" s="3" t="s">
        <v>30</v>
      </c>
      <c r="H696" s="55">
        <v>46175</v>
      </c>
      <c r="I696" s="55">
        <v>46178</v>
      </c>
      <c r="J696" s="55">
        <v>46205</v>
      </c>
      <c r="N696" s="3" t="s">
        <v>10</v>
      </c>
      <c r="O696" s="55">
        <v>46177</v>
      </c>
      <c r="Q696" s="186"/>
    </row>
    <row r="697" spans="1:17" ht="15" customHeight="1">
      <c r="A697" s="182" t="s">
        <v>204</v>
      </c>
      <c r="B697" s="176">
        <v>153602531</v>
      </c>
      <c r="E697" s="29" t="s">
        <v>202</v>
      </c>
      <c r="F697" s="3" t="s">
        <v>203</v>
      </c>
      <c r="G697" s="3" t="s">
        <v>30</v>
      </c>
      <c r="H697" s="55">
        <v>46175</v>
      </c>
      <c r="I697" s="55">
        <v>46178</v>
      </c>
      <c r="J697" s="55">
        <v>46205</v>
      </c>
      <c r="N697" s="3" t="s">
        <v>10</v>
      </c>
      <c r="O697" s="55">
        <v>46177</v>
      </c>
      <c r="Q697" s="186"/>
    </row>
    <row r="698" spans="1:17" ht="15" customHeight="1">
      <c r="A698" s="182" t="s">
        <v>204</v>
      </c>
      <c r="B698" s="176">
        <v>153602520</v>
      </c>
      <c r="E698" s="29" t="s">
        <v>202</v>
      </c>
      <c r="F698" s="3" t="s">
        <v>203</v>
      </c>
      <c r="G698" s="3" t="s">
        <v>30</v>
      </c>
      <c r="H698" s="55">
        <v>46175</v>
      </c>
      <c r="I698" s="55">
        <v>46178</v>
      </c>
      <c r="J698" s="55">
        <v>46205</v>
      </c>
      <c r="N698" s="3" t="s">
        <v>10</v>
      </c>
      <c r="O698" s="55">
        <v>46177</v>
      </c>
      <c r="Q698" s="186"/>
    </row>
    <row r="699" spans="1:17" ht="15" customHeight="1">
      <c r="A699" s="182" t="s">
        <v>204</v>
      </c>
      <c r="B699" s="176">
        <v>153602498</v>
      </c>
      <c r="E699" s="29" t="s">
        <v>202</v>
      </c>
      <c r="F699" s="3" t="s">
        <v>203</v>
      </c>
      <c r="G699" s="3" t="s">
        <v>30</v>
      </c>
      <c r="H699" s="55">
        <v>46175</v>
      </c>
      <c r="I699" s="55">
        <v>46178</v>
      </c>
      <c r="J699" s="55">
        <v>46205</v>
      </c>
      <c r="N699" s="3" t="s">
        <v>10</v>
      </c>
      <c r="O699" s="55">
        <v>46177</v>
      </c>
      <c r="Q699" s="186"/>
    </row>
    <row r="700" spans="1:17" ht="15" customHeight="1">
      <c r="A700" s="182" t="s">
        <v>204</v>
      </c>
      <c r="B700" s="176">
        <v>153602483</v>
      </c>
      <c r="E700" s="29" t="s">
        <v>202</v>
      </c>
      <c r="F700" s="3" t="s">
        <v>203</v>
      </c>
      <c r="G700" s="3" t="s">
        <v>30</v>
      </c>
      <c r="H700" s="55">
        <v>46175</v>
      </c>
      <c r="I700" s="55">
        <v>46178</v>
      </c>
      <c r="J700" s="55">
        <v>46205</v>
      </c>
      <c r="N700" s="3" t="s">
        <v>10</v>
      </c>
      <c r="O700" s="55">
        <v>46177</v>
      </c>
      <c r="Q700" s="186"/>
    </row>
    <row r="701" spans="1:17" ht="15" customHeight="1">
      <c r="A701" s="182" t="s">
        <v>204</v>
      </c>
      <c r="B701" s="176">
        <v>153602443</v>
      </c>
      <c r="E701" s="29" t="s">
        <v>202</v>
      </c>
      <c r="F701" s="3" t="s">
        <v>203</v>
      </c>
      <c r="G701" s="3" t="s">
        <v>30</v>
      </c>
      <c r="H701" s="55">
        <v>46175</v>
      </c>
      <c r="I701" s="55">
        <v>46178</v>
      </c>
      <c r="J701" s="55">
        <v>46205</v>
      </c>
      <c r="N701" s="3" t="s">
        <v>10</v>
      </c>
      <c r="O701" s="55">
        <v>46177</v>
      </c>
      <c r="Q701" s="186"/>
    </row>
    <row r="702" spans="1:17" ht="15" customHeight="1">
      <c r="A702" s="182" t="s">
        <v>204</v>
      </c>
      <c r="B702" s="176">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182" t="s">
        <v>204</v>
      </c>
      <c r="B704" s="176">
        <v>153602343</v>
      </c>
      <c r="E704" s="29" t="s">
        <v>202</v>
      </c>
      <c r="F704" s="3" t="s">
        <v>203</v>
      </c>
      <c r="G704" s="3" t="s">
        <v>30</v>
      </c>
      <c r="H704" s="55">
        <v>46175</v>
      </c>
      <c r="I704" s="55">
        <v>46178</v>
      </c>
      <c r="J704" s="55">
        <v>46205</v>
      </c>
      <c r="N704" s="3" t="s">
        <v>10</v>
      </c>
      <c r="O704" s="55">
        <v>46177</v>
      </c>
      <c r="Q704" s="186"/>
    </row>
    <row r="705" spans="1:17" ht="15" customHeight="1">
      <c r="A705" s="182" t="s">
        <v>204</v>
      </c>
      <c r="B705" s="176">
        <v>153602300</v>
      </c>
      <c r="E705" s="29" t="s">
        <v>202</v>
      </c>
      <c r="F705" s="3" t="s">
        <v>203</v>
      </c>
      <c r="G705" s="3" t="s">
        <v>30</v>
      </c>
      <c r="H705" s="55">
        <v>46175</v>
      </c>
      <c r="I705" s="55">
        <v>46178</v>
      </c>
      <c r="J705" s="55">
        <v>46205</v>
      </c>
      <c r="N705" s="3" t="s">
        <v>10</v>
      </c>
      <c r="O705" s="55">
        <v>46177</v>
      </c>
      <c r="Q705" s="186"/>
    </row>
    <row r="706" spans="1:17" ht="15" customHeight="1">
      <c r="A706" s="182" t="s">
        <v>204</v>
      </c>
      <c r="B706" s="176">
        <v>153602272</v>
      </c>
      <c r="E706" s="29" t="s">
        <v>202</v>
      </c>
      <c r="F706" s="3" t="s">
        <v>203</v>
      </c>
      <c r="G706" s="3" t="s">
        <v>30</v>
      </c>
      <c r="H706" s="55">
        <v>46175</v>
      </c>
      <c r="I706" s="55">
        <v>46178</v>
      </c>
      <c r="J706" s="55">
        <v>46205</v>
      </c>
      <c r="N706" s="3" t="s">
        <v>10</v>
      </c>
      <c r="O706" s="55">
        <v>46177</v>
      </c>
      <c r="Q706" s="186"/>
    </row>
    <row r="707" spans="1:17" ht="15" customHeight="1">
      <c r="A707" s="182" t="s">
        <v>205</v>
      </c>
      <c r="B707" s="176">
        <v>167609280</v>
      </c>
      <c r="E707" s="29" t="s">
        <v>176</v>
      </c>
      <c r="F707" s="3" t="s">
        <v>206</v>
      </c>
      <c r="G707" s="3" t="s">
        <v>30</v>
      </c>
      <c r="H707" s="55">
        <v>46189</v>
      </c>
      <c r="I707" s="55">
        <v>46192</v>
      </c>
      <c r="J707" s="55">
        <v>46219</v>
      </c>
      <c r="N707" s="3" t="s">
        <v>9</v>
      </c>
      <c r="Q707" s="186"/>
    </row>
    <row r="708" spans="1:17" ht="15" customHeight="1">
      <c r="A708" s="182" t="s">
        <v>205</v>
      </c>
      <c r="B708" s="176">
        <v>167609291</v>
      </c>
      <c r="E708" s="29" t="s">
        <v>176</v>
      </c>
      <c r="F708" s="3" t="s">
        <v>206</v>
      </c>
      <c r="G708" s="3" t="s">
        <v>30</v>
      </c>
      <c r="H708" s="55">
        <v>46189</v>
      </c>
      <c r="I708" s="55">
        <v>46192</v>
      </c>
      <c r="J708" s="55">
        <v>46219</v>
      </c>
      <c r="N708" s="3" t="s">
        <v>9</v>
      </c>
      <c r="Q708" s="186"/>
    </row>
    <row r="709" spans="1:17" ht="15" customHeight="1">
      <c r="A709" s="182" t="s">
        <v>207</v>
      </c>
      <c r="B709" s="176">
        <v>168605429</v>
      </c>
      <c r="E709" s="29" t="s">
        <v>202</v>
      </c>
      <c r="F709" s="3" t="s">
        <v>203</v>
      </c>
      <c r="G709" s="3" t="s">
        <v>30</v>
      </c>
      <c r="H709" s="55">
        <v>46190</v>
      </c>
      <c r="I709" s="55">
        <v>46193</v>
      </c>
      <c r="J709" s="55">
        <v>46220</v>
      </c>
      <c r="N709" s="3" t="s">
        <v>9</v>
      </c>
      <c r="Q709" s="186"/>
    </row>
    <row r="710" spans="1:17" ht="15" customHeight="1">
      <c r="A710" s="182" t="s">
        <v>207</v>
      </c>
      <c r="B710" s="176">
        <v>168605387</v>
      </c>
      <c r="E710" s="29" t="s">
        <v>202</v>
      </c>
      <c r="F710" s="3" t="s">
        <v>203</v>
      </c>
      <c r="G710" s="3" t="s">
        <v>30</v>
      </c>
      <c r="H710" s="55">
        <v>46190</v>
      </c>
      <c r="I710" s="55">
        <v>46193</v>
      </c>
      <c r="J710" s="55">
        <v>46220</v>
      </c>
      <c r="N710" s="3" t="s">
        <v>9</v>
      </c>
      <c r="Q710" s="186"/>
    </row>
    <row r="711" spans="1:17" ht="15" customHeight="1">
      <c r="A711" s="182" t="s">
        <v>207</v>
      </c>
      <c r="B711" s="176">
        <v>168605373</v>
      </c>
      <c r="E711" s="29" t="s">
        <v>202</v>
      </c>
      <c r="F711" s="3" t="s">
        <v>203</v>
      </c>
      <c r="G711" s="3" t="s">
        <v>30</v>
      </c>
      <c r="H711" s="55">
        <v>46190</v>
      </c>
      <c r="I711" s="55">
        <v>46193</v>
      </c>
      <c r="J711" s="55">
        <v>46220</v>
      </c>
      <c r="N711" s="3" t="s">
        <v>9</v>
      </c>
      <c r="Q711" s="186"/>
    </row>
    <row r="712" spans="1:17" ht="15" customHeight="1">
      <c r="A712" s="182" t="s">
        <v>207</v>
      </c>
      <c r="B712" s="176">
        <v>168605339</v>
      </c>
      <c r="E712" s="29" t="s">
        <v>202</v>
      </c>
      <c r="F712" s="3" t="s">
        <v>203</v>
      </c>
      <c r="G712" s="3" t="s">
        <v>30</v>
      </c>
      <c r="H712" s="55">
        <v>46190</v>
      </c>
      <c r="I712" s="55">
        <v>46193</v>
      </c>
      <c r="J712" s="55">
        <v>46220</v>
      </c>
      <c r="N712" s="3" t="s">
        <v>9</v>
      </c>
      <c r="Q712" s="186"/>
    </row>
    <row r="713" spans="1:17" ht="15" customHeight="1">
      <c r="A713" s="182" t="s">
        <v>207</v>
      </c>
      <c r="B713" s="176">
        <v>168605318</v>
      </c>
      <c r="E713" s="29" t="s">
        <v>202</v>
      </c>
      <c r="F713" s="3" t="s">
        <v>203</v>
      </c>
      <c r="G713" s="3" t="s">
        <v>30</v>
      </c>
      <c r="H713" s="55">
        <v>46190</v>
      </c>
      <c r="I713" s="55">
        <v>46193</v>
      </c>
      <c r="J713" s="55">
        <v>46220</v>
      </c>
      <c r="N713" s="3" t="s">
        <v>9</v>
      </c>
      <c r="Q713" s="186"/>
    </row>
    <row r="714" spans="1:17" ht="15" customHeight="1">
      <c r="A714" s="182" t="s">
        <v>207</v>
      </c>
      <c r="B714" s="176">
        <v>168605266</v>
      </c>
      <c r="E714" s="29" t="s">
        <v>202</v>
      </c>
      <c r="F714" s="3" t="s">
        <v>203</v>
      </c>
      <c r="G714" s="3" t="s">
        <v>30</v>
      </c>
      <c r="H714" s="55">
        <v>46190</v>
      </c>
      <c r="I714" s="55">
        <v>46193</v>
      </c>
      <c r="J714" s="55">
        <v>46220</v>
      </c>
      <c r="N714" s="3" t="s">
        <v>9</v>
      </c>
      <c r="Q714" s="186"/>
    </row>
    <row r="715" spans="1:17" ht="15" customHeight="1">
      <c r="A715" s="182" t="s">
        <v>207</v>
      </c>
      <c r="B715" s="176">
        <v>168605224</v>
      </c>
      <c r="E715" s="29" t="s">
        <v>202</v>
      </c>
      <c r="F715" s="3" t="s">
        <v>203</v>
      </c>
      <c r="G715" s="3" t="s">
        <v>30</v>
      </c>
      <c r="H715" s="55">
        <v>46190</v>
      </c>
      <c r="I715" s="55">
        <v>46193</v>
      </c>
      <c r="J715" s="55">
        <v>46220</v>
      </c>
      <c r="N715" s="3" t="s">
        <v>9</v>
      </c>
      <c r="Q715" s="186"/>
    </row>
    <row r="716" spans="1:17" ht="15" customHeight="1">
      <c r="A716" s="182" t="s">
        <v>207</v>
      </c>
      <c r="B716" s="176">
        <v>168605167</v>
      </c>
      <c r="E716" s="29" t="s">
        <v>202</v>
      </c>
      <c r="F716" s="3" t="s">
        <v>203</v>
      </c>
      <c r="G716" s="3" t="s">
        <v>30</v>
      </c>
      <c r="H716" s="55">
        <v>46190</v>
      </c>
      <c r="I716" s="55">
        <v>46193</v>
      </c>
      <c r="J716" s="55">
        <v>46220</v>
      </c>
      <c r="N716" s="3" t="s">
        <v>9</v>
      </c>
      <c r="Q716" s="186"/>
    </row>
    <row r="717" spans="1:17" ht="15" customHeight="1">
      <c r="A717" s="182" t="s">
        <v>207</v>
      </c>
      <c r="B717" s="176">
        <v>168605090</v>
      </c>
      <c r="E717" s="29" t="s">
        <v>202</v>
      </c>
      <c r="F717" s="3" t="s">
        <v>203</v>
      </c>
      <c r="G717" s="3" t="s">
        <v>30</v>
      </c>
      <c r="H717" s="55">
        <v>46190</v>
      </c>
      <c r="I717" s="55">
        <v>46193</v>
      </c>
      <c r="J717" s="55">
        <v>46220</v>
      </c>
      <c r="N717" s="3" t="s">
        <v>9</v>
      </c>
      <c r="Q717" s="186"/>
    </row>
    <row r="718" spans="1:17" ht="15" customHeight="1">
      <c r="A718" s="182" t="s">
        <v>207</v>
      </c>
      <c r="B718" s="176">
        <v>168605878</v>
      </c>
      <c r="E718" s="29" t="s">
        <v>202</v>
      </c>
      <c r="F718" s="3" t="s">
        <v>203</v>
      </c>
      <c r="G718" s="3" t="s">
        <v>30</v>
      </c>
      <c r="H718" s="55">
        <v>46190</v>
      </c>
      <c r="I718" s="55">
        <v>46193</v>
      </c>
      <c r="J718" s="55">
        <v>46220</v>
      </c>
      <c r="N718" s="3" t="s">
        <v>9</v>
      </c>
      <c r="Q718" s="186"/>
    </row>
    <row r="719" spans="1:17" ht="15" customHeight="1">
      <c r="A719" s="182" t="s">
        <v>207</v>
      </c>
      <c r="B719" s="176">
        <v>168605847</v>
      </c>
      <c r="E719" s="29" t="s">
        <v>202</v>
      </c>
      <c r="F719" s="3" t="s">
        <v>203</v>
      </c>
      <c r="G719" s="3" t="s">
        <v>30</v>
      </c>
      <c r="H719" s="55">
        <v>46190</v>
      </c>
      <c r="I719" s="55">
        <v>46193</v>
      </c>
      <c r="J719" s="55">
        <v>46220</v>
      </c>
      <c r="N719" s="3" t="s">
        <v>9</v>
      </c>
      <c r="Q719" s="186"/>
    </row>
    <row r="720" spans="1:17" ht="15" customHeight="1">
      <c r="A720" s="182" t="s">
        <v>207</v>
      </c>
      <c r="B720" s="176">
        <v>168605769</v>
      </c>
      <c r="E720" s="29" t="s">
        <v>202</v>
      </c>
      <c r="F720" s="3" t="s">
        <v>203</v>
      </c>
      <c r="G720" s="3" t="s">
        <v>30</v>
      </c>
      <c r="H720" s="55">
        <v>46190</v>
      </c>
      <c r="I720" s="55">
        <v>46193</v>
      </c>
      <c r="J720" s="55">
        <v>46220</v>
      </c>
      <c r="N720" s="3" t="s">
        <v>9</v>
      </c>
      <c r="Q720" s="186"/>
    </row>
    <row r="721" spans="1:17" ht="15" customHeight="1">
      <c r="A721" s="182"/>
      <c r="B721" s="176"/>
      <c r="Q721" s="186"/>
    </row>
    <row r="722" spans="1:17" ht="15" customHeight="1">
      <c r="A722" s="182"/>
      <c r="B722" s="176"/>
      <c r="Q722" s="186"/>
    </row>
    <row r="723" spans="1:17" ht="15" customHeight="1">
      <c r="A723" s="182"/>
      <c r="B723" s="176"/>
      <c r="Q723" s="186"/>
    </row>
    <row r="724" spans="1:17" ht="15" customHeight="1">
      <c r="A724" s="182"/>
      <c r="B724" s="176"/>
      <c r="Q724" s="186"/>
    </row>
    <row r="725" spans="1:17" ht="15" customHeight="1">
      <c r="A725" s="182"/>
      <c r="B725" s="176"/>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4">
        <v>46126</v>
      </c>
      <c r="P3993" s="167" t="s">
        <v>1862</v>
      </c>
      <c r="Q3993" s="1" t="s">
        <v>1907</v>
      </c>
    </row>
    <row r="3994" spans="1:120">
      <c r="A3994" s="205" t="s">
        <v>1408</v>
      </c>
      <c r="B3994" s="169">
        <v>104603950</v>
      </c>
      <c r="C3994" s="170"/>
      <c r="D3994" s="170"/>
      <c r="E3994" s="170" t="s">
        <v>101</v>
      </c>
      <c r="F3994" s="206" t="s">
        <v>16</v>
      </c>
      <c r="G3994" s="206" t="s">
        <v>102</v>
      </c>
      <c r="H3994" s="204">
        <v>46128</v>
      </c>
      <c r="I3994" s="204">
        <v>46131</v>
      </c>
      <c r="J3994" s="204">
        <v>46156</v>
      </c>
      <c r="K3994" s="204"/>
      <c r="L3994" s="204"/>
      <c r="M3994" s="206"/>
      <c r="N3994" s="206" t="s">
        <v>10</v>
      </c>
      <c r="O3994" s="204">
        <v>46126</v>
      </c>
      <c r="P3994" s="207"/>
      <c r="Q3994" s="208" t="s">
        <v>1908</v>
      </c>
    </row>
    <row r="3995" spans="1:120">
      <c r="A3995" s="205" t="s">
        <v>1408</v>
      </c>
      <c r="B3995" s="169">
        <v>104603999</v>
      </c>
      <c r="C3995" s="170"/>
      <c r="D3995" s="170"/>
      <c r="E3995" s="170" t="s">
        <v>101</v>
      </c>
      <c r="F3995" s="206" t="s">
        <v>16</v>
      </c>
      <c r="G3995" s="206" t="s">
        <v>102</v>
      </c>
      <c r="H3995" s="204">
        <v>46128</v>
      </c>
      <c r="I3995" s="204">
        <v>46131</v>
      </c>
      <c r="J3995" s="204">
        <v>46156</v>
      </c>
      <c r="K3995" s="204"/>
      <c r="L3995" s="204"/>
      <c r="M3995" s="206"/>
      <c r="N3995" s="206" t="s">
        <v>10</v>
      </c>
      <c r="O3995" s="204">
        <v>46126</v>
      </c>
      <c r="P3995" s="207"/>
      <c r="Q3995" s="208" t="s">
        <v>1908</v>
      </c>
    </row>
    <row r="3996" spans="1:120">
      <c r="A3996" s="205" t="s">
        <v>1408</v>
      </c>
      <c r="B3996" s="169">
        <v>104604058</v>
      </c>
      <c r="C3996" s="170"/>
      <c r="D3996" s="170"/>
      <c r="E3996" s="170" t="s">
        <v>101</v>
      </c>
      <c r="F3996" s="206" t="s">
        <v>16</v>
      </c>
      <c r="G3996" s="206" t="s">
        <v>102</v>
      </c>
      <c r="H3996" s="204">
        <v>46128</v>
      </c>
      <c r="I3996" s="204">
        <v>46131</v>
      </c>
      <c r="J3996" s="204">
        <v>46156</v>
      </c>
      <c r="K3996" s="204"/>
      <c r="L3996" s="204"/>
      <c r="M3996" s="206"/>
      <c r="N3996" s="206" t="s">
        <v>10</v>
      </c>
      <c r="O3996" s="204">
        <v>46126</v>
      </c>
      <c r="P3996" s="207"/>
      <c r="Q3996" s="208"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6E240A4-E030-4BB0-BC06-A8ABDCDD27C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2026-06-19T14:07:47Z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