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41" documentId="8_{7F841BAC-E3D2-4E4B-A3CA-97B4D46101DD}" xr6:coauthVersionLast="47" xr6:coauthVersionMax="47" xr10:uidLastSave="{4E3C6E68-8299-4A0A-8E2B-37E05EE22D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<sst xmlns="http://schemas.openxmlformats.org/spreadsheetml/2006/main" count="22952" uniqueCount="1764">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</sst>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73</c:v>
                </c:pt>
                <c:pt idx="1">
                  <c:v>27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73</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73</v>
      </c>
      <c r="E3" s="186"/>
      <c r="F3" s="186"/>
      <c r="G3" s="178" cm="1">
        <f t="array" ref="G3">SUMPRODUCT((UPPER(Master!L2:L468)="CLEAR")*1)</f>
        <v>27</v>
      </c>
      <c r="H3" s="178"/>
      <c r="I3" s="178"/>
      <c r="J3" s="181" cm="1">
        <f t="array" ref="J3">SUMPRODUCT((UPPER(Master!L2:L468)="EXPIRED")*1)</f>
        <v>0</v>
      </c>
      <c r="K3" s="181"/>
      <c r="L3" s="181"/>
      <c r="P3" s="96" t="s">
        <v>10</v>
      </c>
      <c r="Q3" s="96" cm="1">
        <f t="array" ref="Q3">SUMPRODUCT((UPPER(Master!L2:L468)="CLEAR")*1)</f>
        <v>27</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73</v>
      </c>
      <c r="C39" s="91">
        <f>SUMIF(A24:A38,"&lt;&gt;",C24:C38)</f>
        <v>27</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73</v>
      </c>
      <c r="D47" t="s">
        <v>16</v>
      </c>
      <c r="E47">
        <f>E27</f>
        <v>5</v>
      </c>
      <c r="G47" t="s">
        <v>29</v>
      </c>
      <c r="H47" t="str">
        <f>H27</f>
        <v/>
      </c>
    </row>
    <row r="48" spans="1:12" hidden="1">
      <c r="A48" t="s">
        <v>10</v>
      </c>
      <c r="B48">
        <f>G3</f>
        <v>27</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227</v>
      </c>
      <c r="C52">
        <f>B59</f>
        <v>81</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146</v>
      </c>
    </row>
    <row r="59" spans="1:8" hidden="1">
      <c r="A59" t="s">
        <v>10</v>
      </c>
      <c r="B59">
        <f>COUNTIF(Master!L2:L168,"Clear")+COUNTIF(Master!L2:L168,"clear")+COUNTIF(Master!L2:L168,"CLEAR")</f>
        <v>81</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tabSelected="1" zoomScale="90" zoomScaleNormal="90" workbookViewId="0">
      <pane ySplit="1" topLeftCell="A89" activePane="bottomLeft" state="frozen"/>
      <selection pane="bottomLeft" activeCell="A102" sqref="A10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9</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9</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9</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9</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64" t="s">
        <v>9</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64" t="s">
        <v>9</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64" t="s">
        <v>9</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64" t="s">
        <v>9</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64" t="s">
        <v>9</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64" t="s">
        <v>9</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64" t="s">
        <v>9</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64" t="s">
        <v>9</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64" t="s">
        <v>9</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64" t="s">
        <v>9</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64" t="s">
        <v>9</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64" t="s">
        <v>9</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64" t="s">
        <v>9</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64" t="s">
        <v>9</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64" t="s">
        <v>9</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64" t="s">
        <v>9</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64" t="s">
        <v>9</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64" t="s">
        <v>9</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64" t="s">
        <v>9</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64" t="s">
        <v>9</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64" t="s">
        <v>9</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64" t="s">
        <v>9</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64" t="s">
        <v>9</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64" t="s">
        <v>9</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64" t="s">
        <v>9</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64" t="s">
        <v>9</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64" t="s">
        <v>9</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64" t="s">
        <v>9</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64" t="s">
        <v>9</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64" t="s">
        <v>9</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64" t="s">
        <v>9</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64" t="s">
        <v>9</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64" t="s">
        <v>9</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64" t="s">
        <v>9</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64" t="s">
        <v>9</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64" t="s">
        <v>9</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64" t="s">
        <v>9</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64" t="s">
        <v>9</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64" t="s">
        <v>9</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64" t="s">
        <v>9</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64" t="s">
        <v>9</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64" t="s">
        <v>9</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64" t="s">
        <v>9</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9</v>
      </c>
    </row>
    <row r="77" spans="1:15" ht="15" customHeight="1">
      <c r="A77" s="89" t="s">
        <v>98</v>
      </c>
      <c r="B77" s="110">
        <v>104603950</v>
      </c>
      <c r="E77" s="29" t="s">
        <v>99</v>
      </c>
      <c r="F77" s="4" t="s">
        <v>16</v>
      </c>
      <c r="G77" s="3" t="s">
        <v>100</v>
      </c>
      <c r="H77" s="55">
        <v>46128</v>
      </c>
      <c r="I77" s="75">
        <v>46131</v>
      </c>
      <c r="J77" s="75">
        <v>46156</v>
      </c>
      <c r="L77" s="4" t="s">
        <v>9</v>
      </c>
    </row>
    <row r="78" spans="1:15" ht="15" customHeight="1">
      <c r="A78" s="89" t="s">
        <v>98</v>
      </c>
      <c r="B78" s="110">
        <v>104603999</v>
      </c>
      <c r="E78" s="29" t="s">
        <v>99</v>
      </c>
      <c r="F78" s="4" t="s">
        <v>16</v>
      </c>
      <c r="G78" s="3" t="s">
        <v>100</v>
      </c>
      <c r="H78" s="55">
        <v>46128</v>
      </c>
      <c r="I78" s="75">
        <v>46131</v>
      </c>
      <c r="J78" s="75">
        <v>46156</v>
      </c>
      <c r="L78" s="4" t="s">
        <v>9</v>
      </c>
    </row>
    <row r="79" spans="1:15" ht="15" customHeight="1">
      <c r="A79" s="89" t="s">
        <v>98</v>
      </c>
      <c r="B79" s="110">
        <v>104604058</v>
      </c>
      <c r="E79" s="29" t="s">
        <v>99</v>
      </c>
      <c r="F79" s="4" t="s">
        <v>16</v>
      </c>
      <c r="G79" s="3" t="s">
        <v>100</v>
      </c>
      <c r="H79" s="55">
        <v>46128</v>
      </c>
      <c r="I79" s="75">
        <v>46131</v>
      </c>
      <c r="J79" s="75">
        <v>46156</v>
      </c>
      <c r="L79" s="4" t="s">
        <v>9</v>
      </c>
    </row>
    <row r="80" spans="1:15" ht="15" customHeight="1">
      <c r="A80" s="89" t="s">
        <v>101</v>
      </c>
      <c r="B80" s="88">
        <v>104604322</v>
      </c>
      <c r="E80" s="29" t="s">
        <v>99</v>
      </c>
      <c r="F80" s="4" t="s">
        <v>16</v>
      </c>
      <c r="G80" s="3" t="s">
        <v>100</v>
      </c>
      <c r="H80" s="55">
        <v>46128</v>
      </c>
      <c r="I80" s="75">
        <v>46131</v>
      </c>
      <c r="J80" s="75">
        <v>46156</v>
      </c>
      <c r="L80" s="4" t="s">
        <v>9</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9</v>
      </c>
    </row>
    <row r="83" spans="1:12" ht="15" customHeight="1">
      <c r="A83" s="89" t="s">
        <v>102</v>
      </c>
      <c r="B83" s="88">
        <v>106602423</v>
      </c>
      <c r="E83" s="29" t="s">
        <v>99</v>
      </c>
      <c r="F83" s="4" t="s">
        <v>16</v>
      </c>
      <c r="G83" s="3" t="s">
        <v>100</v>
      </c>
      <c r="H83" s="55">
        <v>46132</v>
      </c>
      <c r="I83" s="75">
        <v>46135</v>
      </c>
      <c r="J83" s="75">
        <v>46160</v>
      </c>
      <c r="L83" s="4" t="s">
        <v>9</v>
      </c>
    </row>
    <row r="84" spans="1:12" ht="15" customHeight="1">
      <c r="A84" s="89" t="s">
        <v>102</v>
      </c>
      <c r="B84" s="88">
        <v>106602462</v>
      </c>
      <c r="E84" s="29" t="s">
        <v>99</v>
      </c>
      <c r="F84" s="4" t="s">
        <v>16</v>
      </c>
      <c r="G84" s="3" t="s">
        <v>100</v>
      </c>
      <c r="H84" s="55">
        <v>46132</v>
      </c>
      <c r="I84" s="75">
        <v>46135</v>
      </c>
      <c r="J84" s="75">
        <v>46160</v>
      </c>
      <c r="L84" s="4" t="s">
        <v>9</v>
      </c>
    </row>
    <row r="85" spans="1:12" ht="15" customHeight="1">
      <c r="A85" s="89" t="s">
        <v>102</v>
      </c>
      <c r="B85" s="88">
        <v>106602552</v>
      </c>
      <c r="E85" s="29" t="s">
        <v>99</v>
      </c>
      <c r="F85" s="4" t="s">
        <v>16</v>
      </c>
      <c r="G85" s="3" t="s">
        <v>100</v>
      </c>
      <c r="H85" s="55">
        <v>46132</v>
      </c>
      <c r="I85" s="75">
        <v>46135</v>
      </c>
      <c r="J85" s="75">
        <v>46160</v>
      </c>
      <c r="L85" s="4" t="s">
        <v>9</v>
      </c>
    </row>
    <row r="86" spans="1:12" ht="15" customHeight="1">
      <c r="A86" s="89" t="s">
        <v>102</v>
      </c>
      <c r="B86" s="88">
        <v>106602996</v>
      </c>
      <c r="E86" s="29" t="s">
        <v>99</v>
      </c>
      <c r="F86" s="4" t="s">
        <v>16</v>
      </c>
      <c r="G86" s="3" t="s">
        <v>100</v>
      </c>
      <c r="H86" s="55">
        <v>46132</v>
      </c>
      <c r="I86" s="75">
        <v>46135</v>
      </c>
      <c r="J86" s="75">
        <v>46160</v>
      </c>
      <c r="L86" s="4" t="s">
        <v>9</v>
      </c>
    </row>
    <row r="87" spans="1:12" ht="15" customHeight="1">
      <c r="A87" s="89" t="s">
        <v>102</v>
      </c>
      <c r="B87" s="88">
        <v>106602687</v>
      </c>
      <c r="E87" s="29" t="s">
        <v>99</v>
      </c>
      <c r="F87" s="4" t="s">
        <v>16</v>
      </c>
      <c r="G87" s="3" t="s">
        <v>100</v>
      </c>
      <c r="H87" s="55">
        <v>46132</v>
      </c>
      <c r="I87" s="75">
        <v>46135</v>
      </c>
      <c r="J87" s="75">
        <v>46160</v>
      </c>
      <c r="L87" s="4" t="s">
        <v>9</v>
      </c>
    </row>
    <row r="88" spans="1:12" ht="15" customHeight="1">
      <c r="A88" s="89" t="s">
        <v>102</v>
      </c>
      <c r="B88" s="88">
        <v>106602754</v>
      </c>
      <c r="E88" s="29" t="s">
        <v>99</v>
      </c>
      <c r="F88" s="4" t="s">
        <v>16</v>
      </c>
      <c r="G88" s="3" t="s">
        <v>100</v>
      </c>
      <c r="H88" s="55">
        <v>46132</v>
      </c>
      <c r="I88" s="75">
        <v>46135</v>
      </c>
      <c r="J88" s="75">
        <v>46160</v>
      </c>
      <c r="L88" s="4" t="s">
        <v>9</v>
      </c>
    </row>
    <row r="89" spans="1:12" ht="15" customHeight="1">
      <c r="A89" s="89" t="s">
        <v>103</v>
      </c>
      <c r="B89" s="88">
        <v>106602842</v>
      </c>
      <c r="E89" s="29" t="s">
        <v>99</v>
      </c>
      <c r="F89" s="4" t="s">
        <v>16</v>
      </c>
      <c r="G89" s="3" t="s">
        <v>100</v>
      </c>
      <c r="H89" s="55">
        <v>46132</v>
      </c>
      <c r="I89" s="75">
        <v>46135</v>
      </c>
      <c r="J89" s="75">
        <v>46160</v>
      </c>
      <c r="L89" s="4" t="s">
        <v>9</v>
      </c>
    </row>
    <row r="90" spans="1:12" ht="15" customHeight="1">
      <c r="A90" s="89" t="s">
        <v>103</v>
      </c>
      <c r="B90" s="88">
        <v>106602832</v>
      </c>
      <c r="E90" s="29" t="s">
        <v>99</v>
      </c>
      <c r="F90" s="4" t="s">
        <v>16</v>
      </c>
      <c r="G90" s="3" t="s">
        <v>100</v>
      </c>
      <c r="H90" s="55">
        <v>46132</v>
      </c>
      <c r="I90" s="75">
        <v>46135</v>
      </c>
      <c r="J90" s="75">
        <v>46160</v>
      </c>
      <c r="L90" s="4" t="s">
        <v>9</v>
      </c>
    </row>
    <row r="91" spans="1:12" ht="15" customHeight="1">
      <c r="A91" s="89" t="s">
        <v>103</v>
      </c>
      <c r="B91" s="88">
        <v>106602927</v>
      </c>
      <c r="E91" s="29" t="s">
        <v>99</v>
      </c>
      <c r="F91" s="4" t="s">
        <v>16</v>
      </c>
      <c r="G91" s="3" t="s">
        <v>100</v>
      </c>
      <c r="H91" s="55">
        <v>46132</v>
      </c>
      <c r="I91" s="75">
        <v>46135</v>
      </c>
      <c r="J91" s="75">
        <v>46160</v>
      </c>
      <c r="L91" s="4" t="s">
        <v>9</v>
      </c>
    </row>
    <row r="92" spans="1:12" ht="15" customHeight="1">
      <c r="A92" s="89" t="s">
        <v>103</v>
      </c>
      <c r="B92" s="88">
        <v>106602961</v>
      </c>
      <c r="E92" s="29" t="s">
        <v>99</v>
      </c>
      <c r="F92" s="4" t="s">
        <v>16</v>
      </c>
      <c r="G92" s="3" t="s">
        <v>100</v>
      </c>
      <c r="H92" s="55">
        <v>46132</v>
      </c>
      <c r="I92" s="75">
        <v>46135</v>
      </c>
      <c r="J92" s="75">
        <v>46160</v>
      </c>
      <c r="L92" s="4" t="s">
        <v>9</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2648FD0-1D23-48BE-87E9-E714CC1C23B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2026-04-20T17:03:27Z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