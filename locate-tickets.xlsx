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01" documentId="8_{7F841BAC-E3D2-4E4B-A3CA-97B4D46101DD}" xr6:coauthVersionLast="47" xr6:coauthVersionMax="47" xr10:uidLastSave="{2088F489-55AD-4791-A529-6D2C391722E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<sst xmlns="http://schemas.openxmlformats.org/spreadsheetml/2006/main" count="25028" uniqueCount="1818">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</sst>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132</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6">
        <f>COUNTA(Master!B2:B395)</f>
        <v>260</v>
      </c>
      <c r="B3" s="196"/>
      <c r="C3" s="196"/>
      <c r="D3" s="199" cm="1">
        <f t="array" ref="D3">SUMPRODUCT((UPPER(Master!L2:L395)="PENDING")*1)</f>
        <v>132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26</v>
      </c>
      <c r="C25" s="113" cm="1">
        <f t="array" ref="C25">IF(A25="","",SUMPRODUCT((UPPER(Master!F2:F395)=A25)*(UPPER(Master!L2:L395)="CLEAR")))</f>
        <v>34</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132</v>
      </c>
      <c r="C39" s="91">
        <f>SUMIF(A24:A38,"&lt;&gt;",C24:C38)</f>
        <v>118</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132</v>
      </c>
      <c r="D47" t="s">
        <v>16</v>
      </c>
      <c r="E47">
        <f>E27</f>
        <v>2</v>
      </c>
      <c r="G47" t="s">
        <v>29</v>
      </c>
      <c r="H47">
        <f>H27</f>
        <v>37</v>
      </c>
    </row>
    <row r="48" spans="1:12" hidden="1">
      <c r="A48" t="s">
        <v>10</v>
      </c>
      <c r="B48">
        <f>G3</f>
        <v>118</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xSplit="2" topLeftCell="E240" activePane="topRight" state="frozen"/>
      <selection pane="topRight" activeCell="F253" sqref="F253:F261"/>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row>
    <row r="253" spans="1:12" ht="15" customHeight="1">
      <c r="A253" s="172" t="s">
        <v>120</v>
      </c>
      <c r="B253" s="175">
        <v>138607813</v>
      </c>
      <c r="E253" s="29" t="s">
        <v>121</v>
      </c>
      <c r="F253" s="3" t="s">
        <v>72</v>
      </c>
    </row>
    <row r="254" spans="1:12" ht="15" customHeight="1">
      <c r="A254" s="172" t="s">
        <v>120</v>
      </c>
      <c r="B254" s="175">
        <v>138607799</v>
      </c>
      <c r="E254" s="29" t="s">
        <v>121</v>
      </c>
      <c r="F254" s="3" t="s">
        <v>72</v>
      </c>
    </row>
    <row r="255" spans="1:12" ht="15" customHeight="1">
      <c r="A255" s="172" t="s">
        <v>120</v>
      </c>
      <c r="B255" s="175">
        <v>138607791</v>
      </c>
      <c r="E255" s="29" t="s">
        <v>121</v>
      </c>
      <c r="F255" s="3" t="s">
        <v>72</v>
      </c>
    </row>
    <row r="256" spans="1:12" ht="15" customHeight="1">
      <c r="A256" s="172" t="s">
        <v>120</v>
      </c>
      <c r="B256" s="175">
        <v>138607782</v>
      </c>
      <c r="E256" s="29" t="s">
        <v>121</v>
      </c>
      <c r="F256" s="3" t="s">
        <v>72</v>
      </c>
    </row>
    <row r="257" spans="1:6" ht="15" customHeight="1">
      <c r="A257" s="172" t="s">
        <v>120</v>
      </c>
      <c r="B257" s="175">
        <v>138607760</v>
      </c>
      <c r="E257" s="29" t="s">
        <v>121</v>
      </c>
      <c r="F257" s="3" t="s">
        <v>72</v>
      </c>
    </row>
    <row r="258" spans="1:6" ht="15" customHeight="1">
      <c r="A258" s="172" t="s">
        <v>120</v>
      </c>
      <c r="B258" s="175">
        <v>138607742</v>
      </c>
      <c r="E258" s="29" t="s">
        <v>121</v>
      </c>
      <c r="F258" s="3" t="s">
        <v>72</v>
      </c>
    </row>
    <row r="259" spans="1:6" ht="15" customHeight="1">
      <c r="A259" s="172" t="s">
        <v>120</v>
      </c>
      <c r="B259" s="175">
        <v>138607618</v>
      </c>
      <c r="E259" s="29" t="s">
        <v>121</v>
      </c>
      <c r="F259" s="3" t="s">
        <v>72</v>
      </c>
    </row>
    <row r="260" spans="1:6" ht="15" customHeight="1">
      <c r="A260" s="172" t="s">
        <v>120</v>
      </c>
      <c r="B260" s="175">
        <v>138607664</v>
      </c>
      <c r="E260" s="29" t="s">
        <v>121</v>
      </c>
      <c r="F260" s="3" t="s">
        <v>72</v>
      </c>
    </row>
    <row r="261" spans="1:6" ht="15" customHeight="1">
      <c r="A261" s="172" t="s">
        <v>120</v>
      </c>
      <c r="B261" s="175">
        <v>138607656</v>
      </c>
      <c r="E261" s="29" t="s">
        <v>121</v>
      </c>
      <c r="F261" s="3" t="s">
        <v>72</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100</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100</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100</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100</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100</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100</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100</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100</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100</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100</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100</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100</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100</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100</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100</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100</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100</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100</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100</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100</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100</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100</v>
      </c>
      <c r="F1543" s="29" t="s">
        <v>134</v>
      </c>
      <c r="G1543" s="29" t="s">
        <v>101</v>
      </c>
      <c r="H1543" s="122">
        <v>45744</v>
      </c>
      <c r="I1543" s="122">
        <f t="shared" si="15"/>
        <v>45749</v>
      </c>
      <c r="J1543" s="29"/>
      <c r="K1543" s="29"/>
      <c r="L1543" s="121" t="s">
        <v>788</v>
      </c>
      <c r="M1543" s="29"/>
      <c r="N1543" s="81"/>
    </row>
    <row r="1544" spans="1:15">
      <c r="A1544" s="136" t="s">
        <v>970</v>
      </c>
      <c r="B1544" s="29">
        <v>87506617</v>
      </c>
      <c r="C1544" s="29"/>
      <c r="E1544" s="29" t="s">
        <v>100</v>
      </c>
      <c r="F1544" s="29" t="s">
        <v>134</v>
      </c>
      <c r="G1544" s="29" t="s">
        <v>101</v>
      </c>
      <c r="H1544" s="122">
        <v>45744</v>
      </c>
      <c r="I1544" s="122">
        <f t="shared" si="15"/>
        <v>45749</v>
      </c>
      <c r="J1544" s="29"/>
      <c r="K1544" s="29"/>
      <c r="L1544" s="121" t="s">
        <v>788</v>
      </c>
      <c r="M1544" s="29"/>
      <c r="N1544" s="81"/>
    </row>
    <row r="1545" spans="1:15">
      <c r="A1545" s="136" t="s">
        <v>970</v>
      </c>
      <c r="B1545" s="29">
        <v>87506654</v>
      </c>
      <c r="C1545" s="29"/>
      <c r="E1545" s="29" t="s">
        <v>100</v>
      </c>
      <c r="F1545" s="29" t="s">
        <v>134</v>
      </c>
      <c r="G1545" s="29" t="s">
        <v>101</v>
      </c>
      <c r="H1545" s="122">
        <v>45744</v>
      </c>
      <c r="I1545" s="122">
        <f t="shared" si="15"/>
        <v>45749</v>
      </c>
      <c r="J1545" s="29"/>
      <c r="K1545" s="29"/>
      <c r="L1545" s="121" t="s">
        <v>788</v>
      </c>
      <c r="M1545" s="29"/>
      <c r="N1545" s="81"/>
    </row>
    <row r="1546" spans="1:15">
      <c r="A1546" s="136" t="s">
        <v>970</v>
      </c>
      <c r="B1546" s="29">
        <v>87506683</v>
      </c>
      <c r="C1546" s="29"/>
      <c r="E1546" s="29" t="s">
        <v>100</v>
      </c>
      <c r="F1546" s="29" t="s">
        <v>134</v>
      </c>
      <c r="G1546" s="29" t="s">
        <v>101</v>
      </c>
      <c r="H1546" s="122">
        <v>45744</v>
      </c>
      <c r="I1546" s="122">
        <f t="shared" si="15"/>
        <v>45749</v>
      </c>
      <c r="J1546" s="29"/>
      <c r="K1546" s="29"/>
      <c r="L1546" s="121" t="s">
        <v>788</v>
      </c>
      <c r="M1546" s="29"/>
      <c r="N1546" s="81"/>
    </row>
    <row r="1547" spans="1:15">
      <c r="A1547" s="136" t="s">
        <v>970</v>
      </c>
      <c r="B1547" s="29">
        <v>87506708</v>
      </c>
      <c r="C1547" s="29"/>
      <c r="E1547" s="29" t="s">
        <v>100</v>
      </c>
      <c r="F1547" s="29" t="s">
        <v>134</v>
      </c>
      <c r="G1547" s="29" t="s">
        <v>101</v>
      </c>
      <c r="H1547" s="122">
        <v>45744</v>
      </c>
      <c r="I1547" s="122">
        <f t="shared" si="15"/>
        <v>45749</v>
      </c>
      <c r="J1547" s="29"/>
      <c r="K1547" s="29"/>
      <c r="L1547" s="121" t="s">
        <v>788</v>
      </c>
      <c r="M1547" s="29"/>
      <c r="N1547" s="81"/>
    </row>
    <row r="1548" spans="1:15">
      <c r="A1548" s="136" t="s">
        <v>970</v>
      </c>
      <c r="B1548" s="29">
        <v>87506735</v>
      </c>
      <c r="C1548" s="29"/>
      <c r="E1548" s="29" t="s">
        <v>100</v>
      </c>
      <c r="F1548" s="29" t="s">
        <v>134</v>
      </c>
      <c r="G1548" s="29" t="s">
        <v>101</v>
      </c>
      <c r="H1548" s="122">
        <v>45744</v>
      </c>
      <c r="I1548" s="122">
        <f t="shared" ref="I1548:I1611" si="16">WORKDAY(H1548, 3)</f>
        <v>45749</v>
      </c>
      <c r="J1548" s="29"/>
      <c r="K1548" s="29"/>
      <c r="L1548" s="121" t="s">
        <v>788</v>
      </c>
      <c r="M1548" s="29"/>
      <c r="N1548" s="81"/>
    </row>
    <row r="1549" spans="1:15">
      <c r="A1549" s="136" t="s">
        <v>970</v>
      </c>
      <c r="B1549" s="29">
        <v>87506758</v>
      </c>
      <c r="C1549" s="29"/>
      <c r="E1549" s="29" t="s">
        <v>100</v>
      </c>
      <c r="F1549" s="29" t="s">
        <v>134</v>
      </c>
      <c r="G1549" s="29" t="s">
        <v>101</v>
      </c>
      <c r="H1549" s="122">
        <v>45744</v>
      </c>
      <c r="I1549" s="122">
        <f t="shared" si="16"/>
        <v>45749</v>
      </c>
      <c r="J1549" s="29"/>
      <c r="K1549" s="29"/>
      <c r="L1549" s="121" t="s">
        <v>788</v>
      </c>
      <c r="M1549" s="29"/>
      <c r="N1549" s="81"/>
    </row>
    <row r="1550" spans="1:15">
      <c r="A1550" s="136" t="s">
        <v>970</v>
      </c>
      <c r="B1550" s="29">
        <v>87506784</v>
      </c>
      <c r="C1550" s="29"/>
      <c r="E1550" s="29" t="s">
        <v>100</v>
      </c>
      <c r="F1550" s="29" t="s">
        <v>134</v>
      </c>
      <c r="G1550" s="29" t="s">
        <v>101</v>
      </c>
      <c r="H1550" s="122">
        <v>45744</v>
      </c>
      <c r="I1550" s="122">
        <f t="shared" si="16"/>
        <v>45749</v>
      </c>
      <c r="J1550" s="29"/>
      <c r="K1550" s="29"/>
      <c r="L1550" s="121" t="s">
        <v>788</v>
      </c>
      <c r="M1550" s="29"/>
      <c r="N1550" s="81"/>
    </row>
    <row r="1551" spans="1:15">
      <c r="A1551" s="136" t="s">
        <v>970</v>
      </c>
      <c r="B1551" s="29">
        <v>87506834</v>
      </c>
      <c r="C1551" s="29"/>
      <c r="E1551" s="29" t="s">
        <v>100</v>
      </c>
      <c r="F1551" s="29" t="s">
        <v>134</v>
      </c>
      <c r="G1551" s="29" t="s">
        <v>101</v>
      </c>
      <c r="H1551" s="122">
        <v>45744</v>
      </c>
      <c r="I1551" s="122">
        <f t="shared" si="16"/>
        <v>45749</v>
      </c>
      <c r="J1551" s="29"/>
      <c r="K1551" s="29"/>
      <c r="L1551" s="121" t="s">
        <v>788</v>
      </c>
      <c r="M1551" s="29"/>
      <c r="N1551" s="81"/>
    </row>
    <row r="1552" spans="1:15">
      <c r="A1552" s="136" t="s">
        <v>970</v>
      </c>
      <c r="B1552" s="29">
        <v>87506851</v>
      </c>
      <c r="C1552" s="29"/>
      <c r="E1552" s="29" t="s">
        <v>100</v>
      </c>
      <c r="F1552" s="29" t="s">
        <v>134</v>
      </c>
      <c r="G1552" s="29" t="s">
        <v>101</v>
      </c>
      <c r="H1552" s="122">
        <v>45744</v>
      </c>
      <c r="I1552" s="122">
        <f t="shared" si="16"/>
        <v>45749</v>
      </c>
      <c r="J1552" s="29"/>
      <c r="K1552" s="29"/>
      <c r="L1552" s="121" t="s">
        <v>788</v>
      </c>
      <c r="M1552" s="29"/>
      <c r="N1552" s="81"/>
    </row>
    <row r="1553" spans="1:14">
      <c r="A1553" s="136" t="s">
        <v>971</v>
      </c>
      <c r="B1553" s="29">
        <v>87504795</v>
      </c>
      <c r="C1553" s="29"/>
      <c r="E1553" s="29" t="s">
        <v>100</v>
      </c>
      <c r="F1553" s="29" t="s">
        <v>134</v>
      </c>
      <c r="G1553" s="29" t="s">
        <v>101</v>
      </c>
      <c r="H1553" s="122">
        <v>45744</v>
      </c>
      <c r="I1553" s="122">
        <f t="shared" si="16"/>
        <v>45749</v>
      </c>
      <c r="J1553" s="122">
        <v>45748</v>
      </c>
      <c r="K1553" s="29"/>
      <c r="L1553" s="121" t="s">
        <v>969</v>
      </c>
      <c r="M1553" s="29"/>
      <c r="N1553" s="81"/>
    </row>
    <row r="1554" spans="1:14">
      <c r="A1554" s="136" t="s">
        <v>971</v>
      </c>
      <c r="B1554" s="29">
        <v>87504939</v>
      </c>
      <c r="C1554" s="29"/>
      <c r="E1554" s="29" t="s">
        <v>100</v>
      </c>
      <c r="F1554" s="29" t="s">
        <v>134</v>
      </c>
      <c r="G1554" s="29" t="s">
        <v>101</v>
      </c>
      <c r="H1554" s="122">
        <v>45744</v>
      </c>
      <c r="I1554" s="122">
        <f t="shared" si="16"/>
        <v>45749</v>
      </c>
      <c r="J1554" s="122">
        <v>45748</v>
      </c>
      <c r="K1554" s="29"/>
      <c r="L1554" s="121" t="s">
        <v>969</v>
      </c>
      <c r="M1554" s="29"/>
      <c r="N1554" s="81"/>
    </row>
    <row r="1555" spans="1:14">
      <c r="A1555" s="136" t="s">
        <v>971</v>
      </c>
      <c r="B1555" s="29">
        <v>87505022</v>
      </c>
      <c r="C1555" s="29"/>
      <c r="E1555" s="29" t="s">
        <v>100</v>
      </c>
      <c r="F1555" s="29" t="s">
        <v>134</v>
      </c>
      <c r="G1555" s="29" t="s">
        <v>101</v>
      </c>
      <c r="H1555" s="122">
        <v>45744</v>
      </c>
      <c r="I1555" s="122">
        <f t="shared" si="16"/>
        <v>45749</v>
      </c>
      <c r="J1555" s="122">
        <v>45748</v>
      </c>
      <c r="K1555" s="29"/>
      <c r="L1555" s="121" t="s">
        <v>969</v>
      </c>
      <c r="M1555" s="29"/>
      <c r="N1555" s="81"/>
    </row>
    <row r="1556" spans="1:14">
      <c r="A1556" s="136" t="s">
        <v>971</v>
      </c>
      <c r="B1556" s="29">
        <v>87505104</v>
      </c>
      <c r="C1556" s="29"/>
      <c r="E1556" s="29" t="s">
        <v>100</v>
      </c>
      <c r="F1556" s="29" t="s">
        <v>134</v>
      </c>
      <c r="G1556" s="29" t="s">
        <v>101</v>
      </c>
      <c r="H1556" s="122">
        <v>45744</v>
      </c>
      <c r="I1556" s="122">
        <f t="shared" si="16"/>
        <v>45749</v>
      </c>
      <c r="J1556" s="122">
        <v>45748</v>
      </c>
      <c r="K1556" s="29"/>
      <c r="L1556" s="121" t="s">
        <v>969</v>
      </c>
      <c r="M1556" s="29"/>
      <c r="N1556" s="81"/>
    </row>
    <row r="1557" spans="1:14">
      <c r="A1557" s="136" t="s">
        <v>971</v>
      </c>
      <c r="B1557" s="29">
        <v>87505161</v>
      </c>
      <c r="C1557" s="29"/>
      <c r="E1557" s="29" t="s">
        <v>100</v>
      </c>
      <c r="F1557" s="29" t="s">
        <v>134</v>
      </c>
      <c r="G1557" s="29" t="s">
        <v>101</v>
      </c>
      <c r="H1557" s="122">
        <v>45744</v>
      </c>
      <c r="I1557" s="122">
        <f t="shared" si="16"/>
        <v>45749</v>
      </c>
      <c r="J1557" s="122">
        <v>45748</v>
      </c>
      <c r="K1557" s="29"/>
      <c r="L1557" s="121" t="s">
        <v>969</v>
      </c>
      <c r="M1557" s="29"/>
      <c r="N1557" s="81"/>
    </row>
    <row r="1558" spans="1:14">
      <c r="A1558" s="136" t="s">
        <v>971</v>
      </c>
      <c r="B1558" s="29">
        <v>87505202</v>
      </c>
      <c r="C1558" s="29"/>
      <c r="E1558" s="29" t="s">
        <v>100</v>
      </c>
      <c r="F1558" s="29" t="s">
        <v>134</v>
      </c>
      <c r="G1558" s="29" t="s">
        <v>101</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100</v>
      </c>
      <c r="F1624" s="29" t="s">
        <v>134</v>
      </c>
      <c r="G1624" s="29" t="s">
        <v>101</v>
      </c>
      <c r="H1624" s="122">
        <v>45743</v>
      </c>
      <c r="I1624" s="122">
        <f t="shared" si="17"/>
        <v>45748</v>
      </c>
      <c r="J1624" s="29" t="s">
        <v>986</v>
      </c>
      <c r="K1624" s="29"/>
      <c r="L1624" s="121" t="s">
        <v>788</v>
      </c>
      <c r="M1624" s="29"/>
      <c r="N1624" s="81"/>
    </row>
    <row r="1625" spans="1:20">
      <c r="A1625" s="136" t="s">
        <v>985</v>
      </c>
      <c r="B1625" s="29">
        <v>86505671</v>
      </c>
      <c r="C1625" s="29"/>
      <c r="E1625" s="29" t="s">
        <v>100</v>
      </c>
      <c r="F1625" s="29" t="s">
        <v>134</v>
      </c>
      <c r="G1625" s="29" t="s">
        <v>101</v>
      </c>
      <c r="H1625" s="122">
        <v>45743</v>
      </c>
      <c r="I1625" s="122">
        <f t="shared" si="17"/>
        <v>45748</v>
      </c>
      <c r="J1625" s="29" t="s">
        <v>986</v>
      </c>
      <c r="K1625" s="29"/>
      <c r="L1625" s="121" t="s">
        <v>788</v>
      </c>
      <c r="M1625" s="29"/>
      <c r="N1625" s="81"/>
    </row>
    <row r="1626" spans="1:20">
      <c r="A1626" s="136" t="s">
        <v>985</v>
      </c>
      <c r="B1626" s="29">
        <v>86505989</v>
      </c>
      <c r="C1626" s="29"/>
      <c r="E1626" s="29" t="s">
        <v>100</v>
      </c>
      <c r="F1626" s="29" t="s">
        <v>134</v>
      </c>
      <c r="G1626" s="29" t="s">
        <v>101</v>
      </c>
      <c r="H1626" s="122">
        <v>45743</v>
      </c>
      <c r="I1626" s="122">
        <f t="shared" si="17"/>
        <v>45748</v>
      </c>
      <c r="J1626" s="29" t="s">
        <v>986</v>
      </c>
      <c r="K1626" s="29"/>
      <c r="L1626" s="121" t="s">
        <v>788</v>
      </c>
      <c r="M1626" s="29"/>
      <c r="N1626" s="81"/>
    </row>
    <row r="1627" spans="1:20">
      <c r="A1627" s="136" t="s">
        <v>985</v>
      </c>
      <c r="B1627" s="29">
        <v>86508156</v>
      </c>
      <c r="C1627" s="29"/>
      <c r="E1627" s="29" t="s">
        <v>100</v>
      </c>
      <c r="F1627" s="29" t="s">
        <v>134</v>
      </c>
      <c r="G1627" s="29" t="s">
        <v>101</v>
      </c>
      <c r="H1627" s="122">
        <v>45743</v>
      </c>
      <c r="I1627" s="122">
        <f t="shared" si="17"/>
        <v>45748</v>
      </c>
      <c r="J1627" s="29" t="s">
        <v>986</v>
      </c>
      <c r="K1627" s="29"/>
      <c r="L1627" s="121" t="s">
        <v>788</v>
      </c>
      <c r="M1627" s="29"/>
      <c r="N1627" s="81"/>
    </row>
    <row r="1628" spans="1:20">
      <c r="A1628" s="136" t="s">
        <v>985</v>
      </c>
      <c r="B1628" s="29">
        <v>86508338</v>
      </c>
      <c r="C1628" s="29"/>
      <c r="E1628" s="29" t="s">
        <v>100</v>
      </c>
      <c r="F1628" s="29" t="s">
        <v>134</v>
      </c>
      <c r="G1628" s="29" t="s">
        <v>101</v>
      </c>
      <c r="H1628" s="122">
        <v>45743</v>
      </c>
      <c r="I1628" s="122">
        <f t="shared" si="17"/>
        <v>45748</v>
      </c>
      <c r="J1628" s="29" t="s">
        <v>986</v>
      </c>
      <c r="K1628" s="29"/>
      <c r="L1628" s="121" t="s">
        <v>788</v>
      </c>
      <c r="M1628" s="29"/>
      <c r="N1628" s="81"/>
    </row>
    <row r="1629" spans="1:20">
      <c r="A1629" s="136" t="s">
        <v>985</v>
      </c>
      <c r="B1629" s="29">
        <v>86508420</v>
      </c>
      <c r="C1629" s="29"/>
      <c r="E1629" s="29" t="s">
        <v>100</v>
      </c>
      <c r="F1629" s="29" t="s">
        <v>134</v>
      </c>
      <c r="G1629" s="29" t="s">
        <v>101</v>
      </c>
      <c r="H1629" s="122">
        <v>45743</v>
      </c>
      <c r="I1629" s="122">
        <f t="shared" si="17"/>
        <v>45748</v>
      </c>
      <c r="J1629" s="29" t="s">
        <v>986</v>
      </c>
      <c r="K1629" s="122">
        <v>45752</v>
      </c>
      <c r="L1629" s="121" t="s">
        <v>668</v>
      </c>
      <c r="M1629" s="29"/>
      <c r="N1629" s="81"/>
    </row>
    <row r="1630" spans="1:20">
      <c r="A1630" s="136" t="s">
        <v>985</v>
      </c>
      <c r="B1630" s="29">
        <v>86508380</v>
      </c>
      <c r="C1630" s="29"/>
      <c r="E1630" s="29" t="s">
        <v>100</v>
      </c>
      <c r="F1630" s="29" t="s">
        <v>134</v>
      </c>
      <c r="G1630" s="29" t="s">
        <v>101</v>
      </c>
      <c r="H1630" s="122">
        <v>45743</v>
      </c>
      <c r="I1630" s="122">
        <f t="shared" si="17"/>
        <v>45748</v>
      </c>
      <c r="J1630" s="29" t="s">
        <v>986</v>
      </c>
      <c r="K1630" s="29"/>
      <c r="L1630" s="121" t="s">
        <v>788</v>
      </c>
      <c r="M1630" s="29"/>
      <c r="N1630" s="81"/>
    </row>
    <row r="1631" spans="1:20">
      <c r="A1631" s="136" t="s">
        <v>985</v>
      </c>
      <c r="B1631" s="29">
        <v>86508535</v>
      </c>
      <c r="C1631" s="29"/>
      <c r="E1631" s="29" t="s">
        <v>100</v>
      </c>
      <c r="F1631" s="29" t="s">
        <v>134</v>
      </c>
      <c r="G1631" s="29" t="s">
        <v>101</v>
      </c>
      <c r="H1631" s="122">
        <v>45743</v>
      </c>
      <c r="I1631" s="122">
        <f t="shared" si="17"/>
        <v>45748</v>
      </c>
      <c r="J1631" s="29" t="s">
        <v>986</v>
      </c>
      <c r="K1631" s="29"/>
      <c r="L1631" s="121" t="s">
        <v>788</v>
      </c>
      <c r="M1631" s="29"/>
      <c r="N1631" s="81"/>
    </row>
    <row r="1632" spans="1:20">
      <c r="A1632" s="136" t="s">
        <v>985</v>
      </c>
      <c r="B1632" s="29">
        <v>86508522</v>
      </c>
      <c r="C1632" s="29"/>
      <c r="E1632" s="29" t="s">
        <v>100</v>
      </c>
      <c r="F1632" s="29" t="s">
        <v>134</v>
      </c>
      <c r="G1632" s="29" t="s">
        <v>101</v>
      </c>
      <c r="H1632" s="122">
        <v>45743</v>
      </c>
      <c r="I1632" s="122">
        <f t="shared" si="17"/>
        <v>45748</v>
      </c>
      <c r="J1632" s="29" t="s">
        <v>986</v>
      </c>
      <c r="K1632" s="29"/>
      <c r="L1632" s="121" t="s">
        <v>987</v>
      </c>
      <c r="M1632" s="29"/>
      <c r="N1632" s="81"/>
    </row>
    <row r="1633" spans="1:15">
      <c r="A1633" s="136" t="s">
        <v>985</v>
      </c>
      <c r="B1633" s="29">
        <v>86507888</v>
      </c>
      <c r="C1633" s="29"/>
      <c r="E1633" s="29" t="s">
        <v>100</v>
      </c>
      <c r="F1633" s="29" t="s">
        <v>134</v>
      </c>
      <c r="G1633" s="29" t="s">
        <v>101</v>
      </c>
      <c r="H1633" s="122">
        <v>45743</v>
      </c>
      <c r="I1633" s="122">
        <f t="shared" si="17"/>
        <v>45748</v>
      </c>
      <c r="J1633" s="29" t="s">
        <v>986</v>
      </c>
      <c r="K1633" s="29"/>
      <c r="L1633" s="121" t="s">
        <v>987</v>
      </c>
      <c r="M1633" s="29"/>
      <c r="N1633" s="81"/>
    </row>
    <row r="1634" spans="1:15">
      <c r="A1634" s="136" t="s">
        <v>985</v>
      </c>
      <c r="B1634" s="29">
        <v>86508569</v>
      </c>
      <c r="C1634" s="29"/>
      <c r="E1634" s="29" t="s">
        <v>100</v>
      </c>
      <c r="F1634" s="29" t="s">
        <v>134</v>
      </c>
      <c r="G1634" s="29" t="s">
        <v>101</v>
      </c>
      <c r="H1634" s="122">
        <v>45743</v>
      </c>
      <c r="I1634" s="122">
        <f t="shared" si="17"/>
        <v>45748</v>
      </c>
      <c r="J1634" s="29" t="s">
        <v>986</v>
      </c>
      <c r="K1634" s="29"/>
      <c r="L1634" s="121" t="s">
        <v>987</v>
      </c>
      <c r="M1634" s="29"/>
      <c r="N1634" s="81"/>
    </row>
    <row r="1635" spans="1:15">
      <c r="A1635" s="136" t="s">
        <v>985</v>
      </c>
      <c r="B1635" s="29">
        <v>86508454</v>
      </c>
      <c r="C1635" s="29"/>
      <c r="E1635" s="29" t="s">
        <v>100</v>
      </c>
      <c r="F1635" s="29" t="s">
        <v>134</v>
      </c>
      <c r="G1635" s="29" t="s">
        <v>101</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100</v>
      </c>
      <c r="F1693" s="29" t="s">
        <v>134</v>
      </c>
      <c r="G1693" s="29" t="s">
        <v>101</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100</v>
      </c>
      <c r="F1694" s="29" t="s">
        <v>134</v>
      </c>
      <c r="G1694" s="29" t="s">
        <v>101</v>
      </c>
      <c r="H1694" s="122">
        <v>45743</v>
      </c>
      <c r="I1694" s="122">
        <f t="shared" si="18"/>
        <v>45748</v>
      </c>
      <c r="J1694" s="122">
        <v>45748</v>
      </c>
      <c r="K1694" s="122">
        <v>45756</v>
      </c>
      <c r="L1694" s="121" t="s">
        <v>788</v>
      </c>
      <c r="M1694" s="29"/>
      <c r="N1694" s="81"/>
    </row>
    <row r="1695" spans="1:15">
      <c r="A1695" s="136" t="s">
        <v>985</v>
      </c>
      <c r="B1695" s="29">
        <v>86507992</v>
      </c>
      <c r="C1695" s="29"/>
      <c r="E1695" s="29" t="s">
        <v>100</v>
      </c>
      <c r="F1695" s="29" t="s">
        <v>134</v>
      </c>
      <c r="G1695" s="29" t="s">
        <v>101</v>
      </c>
      <c r="H1695" s="122">
        <v>45743</v>
      </c>
      <c r="I1695" s="122">
        <f t="shared" si="18"/>
        <v>45748</v>
      </c>
      <c r="J1695" s="122">
        <v>45748</v>
      </c>
      <c r="K1695" s="122">
        <v>45756</v>
      </c>
      <c r="L1695" s="121" t="s">
        <v>788</v>
      </c>
      <c r="M1695" s="29"/>
      <c r="N1695" s="81"/>
    </row>
    <row r="1696" spans="1:15">
      <c r="A1696" s="136" t="s">
        <v>985</v>
      </c>
      <c r="B1696" s="29">
        <v>86508250</v>
      </c>
      <c r="C1696" s="29"/>
      <c r="E1696" s="29" t="s">
        <v>100</v>
      </c>
      <c r="F1696" s="29" t="s">
        <v>134</v>
      </c>
      <c r="G1696" s="29" t="s">
        <v>101</v>
      </c>
      <c r="H1696" s="122">
        <v>45743</v>
      </c>
      <c r="I1696" s="122">
        <f t="shared" si="18"/>
        <v>45748</v>
      </c>
      <c r="J1696" s="122">
        <v>45748</v>
      </c>
      <c r="K1696" s="122">
        <v>45756</v>
      </c>
      <c r="L1696" s="121" t="s">
        <v>788</v>
      </c>
      <c r="M1696" s="29"/>
      <c r="N1696" s="81"/>
    </row>
    <row r="1697" spans="1:16">
      <c r="A1697" s="136" t="s">
        <v>985</v>
      </c>
      <c r="B1697" s="29">
        <v>86506614</v>
      </c>
      <c r="C1697" s="29"/>
      <c r="E1697" s="29" t="s">
        <v>100</v>
      </c>
      <c r="F1697" s="29" t="s">
        <v>134</v>
      </c>
      <c r="G1697" s="29" t="s">
        <v>101</v>
      </c>
      <c r="H1697" s="122">
        <v>45743</v>
      </c>
      <c r="I1697" s="122">
        <f t="shared" si="18"/>
        <v>45748</v>
      </c>
      <c r="J1697" s="122">
        <v>45748</v>
      </c>
      <c r="K1697" s="122">
        <v>45756</v>
      </c>
      <c r="L1697" s="121" t="s">
        <v>788</v>
      </c>
      <c r="M1697" s="29"/>
      <c r="N1697" s="81"/>
    </row>
    <row r="1698" spans="1:16">
      <c r="A1698" s="136" t="s">
        <v>985</v>
      </c>
      <c r="B1698" s="29">
        <v>86508468</v>
      </c>
      <c r="C1698" s="29"/>
      <c r="E1698" s="29" t="s">
        <v>100</v>
      </c>
      <c r="F1698" s="29" t="s">
        <v>134</v>
      </c>
      <c r="G1698" s="29" t="s">
        <v>101</v>
      </c>
      <c r="H1698" s="122">
        <v>45743</v>
      </c>
      <c r="I1698" s="122">
        <f t="shared" si="18"/>
        <v>45748</v>
      </c>
      <c r="J1698" s="122">
        <v>45748</v>
      </c>
      <c r="K1698" s="122">
        <v>45756</v>
      </c>
      <c r="L1698" s="121" t="s">
        <v>788</v>
      </c>
      <c r="M1698" s="29"/>
      <c r="N1698" s="81"/>
    </row>
    <row r="1699" spans="1:16">
      <c r="A1699" s="136" t="s">
        <v>985</v>
      </c>
      <c r="B1699" s="29">
        <v>86508488</v>
      </c>
      <c r="C1699" s="29"/>
      <c r="E1699" s="29" t="s">
        <v>100</v>
      </c>
      <c r="F1699" s="29" t="s">
        <v>134</v>
      </c>
      <c r="G1699" s="29" t="s">
        <v>101</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84</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90</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EDEAF37-33D6-49B6-ACA5-F99D0F5735F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2026-05-19T20:52:01Z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