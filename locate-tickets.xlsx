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33" documentId="8_{7F841BAC-E3D2-4E4B-A3CA-97B4D46101DD}" xr6:coauthVersionLast="47" xr6:coauthVersionMax="47" xr10:uidLastSave="{20BCB9FF-CC04-4B50-9440-80D846A694D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<sst xmlns="http://schemas.openxmlformats.org/spreadsheetml/2006/main" count="30188" uniqueCount="2012">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</sst>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16</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119</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112</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389</v>
      </c>
      <c r="B3" s="220"/>
      <c r="C3" s="220"/>
      <c r="D3" s="223" cm="1">
        <f t="array" ref="D3">SUMPRODUCT((UPPER(Master!O2:O4376)="PENDING")*1)</f>
        <v>112</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31" t="s">
        <v>24</v>
      </c>
      <c r="B22" s="231"/>
      <c r="C22" s="231"/>
      <c r="D22" s="231"/>
      <c r="E22" s="231"/>
      <c r="G22" s="232" t="s">
        <v>25</v>
      </c>
      <c r="H22" s="233"/>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16</v>
      </c>
      <c r="C25" s="111" cm="1">
        <f t="array" ref="C25">IF(A25="","",SUMPRODUCT((UPPER(Master!G2:G4376)=A25)*(UPPER(Master!O2:O4376)="CLEAR")))</f>
        <v>110</v>
      </c>
      <c r="D25" s="111" cm="1">
        <f t="array" ref="D25">IF(A25="","",SUMPRODUCT((UPPER(Master!G2:G4376)=A25)*(UPPER(Master!O2:O4376)="EXPIRED")))</f>
        <v>0</v>
      </c>
      <c r="E25" s="112">
        <f>IF(A25="","",B25+C25+D25)</f>
        <v>126</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119</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112</v>
      </c>
      <c r="C39" s="91">
        <f>SUMIF(A24:A38,"&lt;&gt;",C24:C38)</f>
        <v>277</v>
      </c>
      <c r="D39" s="91">
        <f>SUMIF(A24:A38,"&lt;&gt;",D24:D38)</f>
        <v>0</v>
      </c>
      <c r="E39" s="92">
        <f>SUMIF(A24:A38,"&lt;&gt;",E24:E38)</f>
        <v>389</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380</v>
      </c>
    </row>
    <row r="42" spans="1:12" hidden="1">
      <c r="A42" t="s">
        <v>1</v>
      </c>
      <c r="B42" t="s">
        <v>2</v>
      </c>
      <c r="D42" t="s">
        <v>17</v>
      </c>
      <c r="E42" t="s">
        <v>2</v>
      </c>
      <c r="G42" t="s">
        <v>23</v>
      </c>
      <c r="H42" t="s">
        <v>2</v>
      </c>
    </row>
    <row r="43" spans="1:12" hidden="1">
      <c r="A43" t="s">
        <v>9</v>
      </c>
      <c r="B43">
        <f>D3</f>
        <v>112</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389</v>
      </c>
      <c r="B48">
        <f>B54+B55</f>
        <v>1055</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224</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119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2" activePane="topRight" state="frozen"/>
      <selection pane="topRight" activeCell="G390" sqref="G390"/>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c r="B391" s="183"/>
      <c r="D391" s="168"/>
      <c r="E391" s="184"/>
      <c r="F391" s="184"/>
      <c r="H391" s="45"/>
      <c r="I391" s="45"/>
      <c r="J391" s="45"/>
      <c r="K391" s="45"/>
      <c r="L391" s="45"/>
      <c r="M391" s="45"/>
      <c r="N391" s="45"/>
      <c r="P391" s="45"/>
      <c r="Q391" s="185"/>
      <c r="R391" s="186"/>
    </row>
    <row r="392" spans="1:18" ht="15" customHeight="1">
      <c r="A392" s="183"/>
      <c r="B392" s="183"/>
      <c r="D392" s="168"/>
      <c r="E392" s="184"/>
      <c r="F392" s="184"/>
      <c r="H392" s="45"/>
      <c r="I392" s="45"/>
      <c r="J392" s="45"/>
      <c r="K392" s="45"/>
      <c r="L392" s="45"/>
      <c r="M392" s="45"/>
      <c r="N392" s="45"/>
      <c r="P392" s="45"/>
      <c r="Q392" s="185"/>
      <c r="R392" s="186"/>
    </row>
    <row r="393" spans="1:18" ht="15" customHeight="1">
      <c r="A393" s="183"/>
      <c r="B393" s="183"/>
      <c r="D393" s="168"/>
      <c r="E393" s="184"/>
      <c r="F393" s="184"/>
      <c r="H393" s="45"/>
      <c r="I393" s="45"/>
      <c r="J393" s="45"/>
      <c r="K393" s="45"/>
      <c r="L393" s="45"/>
      <c r="M393" s="45"/>
      <c r="N393" s="45"/>
      <c r="P393" s="45"/>
      <c r="Q393" s="185"/>
      <c r="R393" s="186"/>
    </row>
    <row r="394" spans="1:18" ht="15" customHeight="1">
      <c r="A394" s="183"/>
      <c r="B394" s="183"/>
      <c r="D394" s="168"/>
      <c r="E394" s="184"/>
      <c r="F394" s="184"/>
      <c r="H394" s="45"/>
      <c r="I394" s="45"/>
      <c r="J394" s="45"/>
      <c r="K394" s="45"/>
      <c r="L394" s="45"/>
      <c r="M394" s="45"/>
      <c r="N394" s="45"/>
      <c r="P394" s="45"/>
      <c r="Q394" s="185"/>
      <c r="R394" s="186"/>
    </row>
    <row r="395" spans="1:18" ht="15" customHeight="1">
      <c r="A395" s="183"/>
      <c r="B395" s="183"/>
      <c r="D395" s="168"/>
      <c r="E395" s="184"/>
      <c r="F395" s="184"/>
      <c r="H395" s="45"/>
      <c r="I395" s="45"/>
      <c r="J395" s="45"/>
      <c r="K395" s="45"/>
      <c r="L395" s="45"/>
      <c r="M395" s="45"/>
      <c r="N395" s="45"/>
      <c r="P395" s="45"/>
      <c r="Q395" s="185"/>
      <c r="R395" s="186"/>
    </row>
    <row r="396" spans="1:18" ht="15" customHeight="1">
      <c r="A396" s="183"/>
      <c r="B396" s="183"/>
      <c r="D396" s="168"/>
      <c r="E396" s="184"/>
      <c r="F396" s="184"/>
      <c r="H396" s="45"/>
      <c r="I396" s="45"/>
      <c r="J396" s="45"/>
      <c r="K396" s="45"/>
      <c r="L396" s="45"/>
      <c r="M396" s="45"/>
      <c r="N396" s="45"/>
      <c r="P396" s="45"/>
      <c r="Q396" s="185"/>
      <c r="R396" s="186"/>
    </row>
    <row r="397" spans="1:18" ht="15" customHeight="1">
      <c r="A397" s="183"/>
      <c r="B397" s="183"/>
      <c r="D397" s="168"/>
      <c r="E397" s="184"/>
      <c r="F397" s="184"/>
      <c r="H397" s="45"/>
      <c r="I397" s="45"/>
      <c r="J397" s="45"/>
      <c r="K397" s="45"/>
      <c r="L397" s="45"/>
      <c r="M397" s="45"/>
      <c r="N397" s="45"/>
      <c r="P397" s="45"/>
      <c r="Q397" s="185"/>
      <c r="R397" s="186"/>
    </row>
    <row r="398" spans="1:18" ht="15" customHeight="1">
      <c r="A398" s="183"/>
      <c r="B398" s="183"/>
      <c r="D398" s="168"/>
      <c r="E398" s="184"/>
      <c r="F398" s="184"/>
      <c r="H398" s="45"/>
      <c r="I398" s="45"/>
      <c r="J398" s="45"/>
      <c r="K398" s="45"/>
      <c r="L398" s="45"/>
      <c r="M398" s="45"/>
      <c r="N398" s="45"/>
      <c r="P398" s="45"/>
      <c r="Q398" s="185"/>
      <c r="R398" s="186"/>
    </row>
    <row r="399" spans="1:18" ht="15" customHeight="1">
      <c r="A399" s="183"/>
      <c r="B399" s="183"/>
      <c r="D399" s="168"/>
      <c r="E399" s="184"/>
      <c r="F399" s="184"/>
      <c r="H399" s="45"/>
      <c r="I399" s="45"/>
      <c r="J399" s="45"/>
      <c r="K399" s="45"/>
      <c r="L399" s="45"/>
      <c r="M399" s="45"/>
      <c r="N399" s="45"/>
      <c r="P399" s="45"/>
      <c r="Q399" s="185"/>
      <c r="R399" s="186"/>
    </row>
    <row r="400" spans="1:18" ht="15" customHeight="1">
      <c r="A400" s="183"/>
      <c r="B400" s="183"/>
      <c r="D400" s="168"/>
      <c r="E400" s="184"/>
      <c r="F400" s="184"/>
      <c r="H400" s="45"/>
      <c r="I400" s="45"/>
      <c r="J400" s="45"/>
      <c r="K400" s="45"/>
      <c r="L400" s="45"/>
      <c r="M400" s="45"/>
      <c r="N400" s="45"/>
      <c r="P400" s="45"/>
      <c r="Q400" s="185"/>
      <c r="R400" s="186"/>
    </row>
    <row r="401" spans="1:18" ht="15" customHeight="1">
      <c r="A401" s="183"/>
      <c r="B401" s="183"/>
      <c r="D401" s="168"/>
      <c r="E401" s="184"/>
      <c r="F401" s="184"/>
      <c r="H401" s="45"/>
      <c r="I401" s="45"/>
      <c r="J401" s="45"/>
      <c r="K401" s="45"/>
      <c r="L401" s="45"/>
      <c r="M401" s="45"/>
      <c r="N401" s="45"/>
      <c r="P401" s="45"/>
      <c r="Q401" s="185"/>
      <c r="R401" s="186"/>
    </row>
    <row r="402" spans="1:18" ht="15" customHeight="1">
      <c r="A402" s="183"/>
      <c r="B402" s="183"/>
      <c r="D402" s="168"/>
      <c r="E402" s="184"/>
      <c r="F402" s="184"/>
      <c r="H402" s="45"/>
      <c r="I402" s="45"/>
      <c r="J402" s="45"/>
      <c r="K402" s="45"/>
      <c r="L402" s="45"/>
      <c r="M402" s="45"/>
      <c r="N402" s="45"/>
      <c r="P402" s="45"/>
      <c r="Q402" s="185"/>
      <c r="R402" s="186"/>
    </row>
    <row r="403" spans="1:18" ht="15" customHeight="1">
      <c r="A403" s="183"/>
      <c r="B403" s="183"/>
      <c r="D403" s="168"/>
      <c r="E403" s="184"/>
      <c r="F403" s="184"/>
      <c r="H403" s="45"/>
      <c r="I403" s="45"/>
      <c r="J403" s="45"/>
      <c r="K403" s="45"/>
      <c r="L403" s="45"/>
      <c r="M403" s="45"/>
      <c r="N403" s="45"/>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185</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185</v>
      </c>
      <c r="F276" s="10" t="s">
        <v>354</v>
      </c>
    </row>
    <row r="277" spans="1:6" ht="39.75" customHeight="1">
      <c r="A277" s="10" t="s">
        <v>353</v>
      </c>
      <c r="B277" s="10">
        <v>36501547</v>
      </c>
      <c r="C277" s="10" t="s">
        <v>36</v>
      </c>
      <c r="D277" s="9">
        <v>45692</v>
      </c>
      <c r="E277" s="10" t="s">
        <v>185</v>
      </c>
      <c r="F277" s="10" t="s">
        <v>355</v>
      </c>
    </row>
    <row r="278" spans="1:6" ht="39.75" customHeight="1">
      <c r="A278" s="10" t="s">
        <v>353</v>
      </c>
      <c r="B278" s="10">
        <v>36501450</v>
      </c>
      <c r="C278" s="10" t="s">
        <v>36</v>
      </c>
      <c r="D278" s="9">
        <v>45692</v>
      </c>
      <c r="E278" s="10" t="s">
        <v>185</v>
      </c>
      <c r="F278" s="10" t="s">
        <v>356</v>
      </c>
    </row>
    <row r="279" spans="1:6" ht="39.75" customHeight="1">
      <c r="A279" s="10" t="s">
        <v>353</v>
      </c>
      <c r="B279" s="10">
        <v>36501361</v>
      </c>
      <c r="C279" s="10" t="s">
        <v>36</v>
      </c>
      <c r="D279" s="9">
        <v>45692</v>
      </c>
      <c r="E279" s="10" t="s">
        <v>185</v>
      </c>
      <c r="F279" s="10" t="s">
        <v>357</v>
      </c>
    </row>
    <row r="280" spans="1:6" ht="39.75" customHeight="1">
      <c r="A280" s="10" t="s">
        <v>353</v>
      </c>
      <c r="B280" s="10">
        <v>35509604</v>
      </c>
      <c r="C280" s="10" t="s">
        <v>36</v>
      </c>
      <c r="D280" s="9">
        <v>45692</v>
      </c>
      <c r="E280" s="10" t="s">
        <v>185</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185</v>
      </c>
      <c r="F344" s="10" t="s">
        <v>380</v>
      </c>
    </row>
    <row r="345" spans="1:6" ht="39.75" customHeight="1">
      <c r="A345" s="10" t="s">
        <v>379</v>
      </c>
      <c r="B345" s="10">
        <v>41510026</v>
      </c>
      <c r="C345" s="10" t="s">
        <v>36</v>
      </c>
      <c r="D345" s="9">
        <v>45694</v>
      </c>
      <c r="E345" s="10" t="s">
        <v>185</v>
      </c>
      <c r="F345" s="10" t="s">
        <v>381</v>
      </c>
    </row>
    <row r="346" spans="1:6" ht="39.75" customHeight="1">
      <c r="A346" s="10" t="s">
        <v>379</v>
      </c>
      <c r="B346" s="10">
        <v>41510021</v>
      </c>
      <c r="C346" s="10" t="s">
        <v>36</v>
      </c>
      <c r="D346" s="9">
        <v>45694</v>
      </c>
      <c r="E346" s="10" t="s">
        <v>185</v>
      </c>
      <c r="F346" s="10" t="s">
        <v>382</v>
      </c>
    </row>
    <row r="347" spans="1:6" ht="39.75" customHeight="1">
      <c r="A347" s="10" t="s">
        <v>379</v>
      </c>
      <c r="B347" s="10">
        <v>41510011</v>
      </c>
      <c r="C347" s="10" t="s">
        <v>36</v>
      </c>
      <c r="D347" s="9">
        <v>45694</v>
      </c>
      <c r="E347" s="10" t="s">
        <v>185</v>
      </c>
      <c r="F347" s="10" t="s">
        <v>383</v>
      </c>
    </row>
    <row r="348" spans="1:6" ht="39.75" customHeight="1">
      <c r="A348" s="10" t="s">
        <v>379</v>
      </c>
      <c r="B348" s="10">
        <v>41510009</v>
      </c>
      <c r="C348" s="10" t="s">
        <v>36</v>
      </c>
      <c r="D348" s="9">
        <v>45694</v>
      </c>
      <c r="E348" s="10" t="s">
        <v>185</v>
      </c>
      <c r="F348" s="10" t="s">
        <v>384</v>
      </c>
    </row>
    <row r="349" spans="1:6" ht="39.75" customHeight="1">
      <c r="A349" s="10" t="s">
        <v>379</v>
      </c>
      <c r="B349" s="10">
        <v>41509998</v>
      </c>
      <c r="C349" s="10" t="s">
        <v>36</v>
      </c>
      <c r="D349" s="9">
        <v>45694</v>
      </c>
      <c r="E349" s="10" t="s">
        <v>185</v>
      </c>
      <c r="F349" s="10" t="s">
        <v>383</v>
      </c>
    </row>
    <row r="350" spans="1:6" ht="39.75" customHeight="1">
      <c r="A350" s="10" t="s">
        <v>379</v>
      </c>
      <c r="B350" s="10">
        <v>41509965</v>
      </c>
      <c r="C350" s="10" t="s">
        <v>36</v>
      </c>
      <c r="D350" s="9">
        <v>45694</v>
      </c>
      <c r="E350" s="10" t="s">
        <v>185</v>
      </c>
      <c r="F350" s="10" t="s">
        <v>385</v>
      </c>
    </row>
    <row r="351" spans="1:6" ht="39.75" customHeight="1">
      <c r="A351" s="10" t="s">
        <v>379</v>
      </c>
      <c r="B351" s="10">
        <v>41509943</v>
      </c>
      <c r="C351" s="10" t="s">
        <v>36</v>
      </c>
      <c r="D351" s="9">
        <v>45694</v>
      </c>
      <c r="E351" s="10" t="s">
        <v>185</v>
      </c>
      <c r="F351" s="10" t="s">
        <v>386</v>
      </c>
    </row>
    <row r="352" spans="1:6" ht="39.75" customHeight="1">
      <c r="A352" s="10" t="s">
        <v>379</v>
      </c>
      <c r="B352" s="10">
        <v>41509932</v>
      </c>
      <c r="C352" s="10" t="s">
        <v>36</v>
      </c>
      <c r="D352" s="9">
        <v>45694</v>
      </c>
      <c r="E352" s="10" t="s">
        <v>185</v>
      </c>
      <c r="F352" s="10" t="s">
        <v>387</v>
      </c>
    </row>
    <row r="353" spans="1:6" ht="39.75" customHeight="1">
      <c r="A353" s="10" t="s">
        <v>379</v>
      </c>
      <c r="B353" s="10">
        <v>41509914</v>
      </c>
      <c r="C353" s="10" t="s">
        <v>36</v>
      </c>
      <c r="D353" s="9">
        <v>45694</v>
      </c>
      <c r="E353" s="10" t="s">
        <v>185</v>
      </c>
      <c r="F353" s="10" t="s">
        <v>388</v>
      </c>
    </row>
    <row r="354" spans="1:6" ht="39.75" customHeight="1">
      <c r="A354" s="10" t="s">
        <v>379</v>
      </c>
      <c r="B354" s="10">
        <v>41509898</v>
      </c>
      <c r="C354" s="10" t="s">
        <v>36</v>
      </c>
      <c r="D354" s="9">
        <v>45694</v>
      </c>
      <c r="E354" s="10" t="s">
        <v>185</v>
      </c>
      <c r="F354" s="10" t="s">
        <v>389</v>
      </c>
    </row>
    <row r="355" spans="1:6" ht="39.75" customHeight="1">
      <c r="A355" s="10" t="s">
        <v>379</v>
      </c>
      <c r="B355" s="10">
        <v>41509893</v>
      </c>
      <c r="C355" s="10" t="s">
        <v>36</v>
      </c>
      <c r="D355" s="9">
        <v>45694</v>
      </c>
      <c r="E355" s="10" t="s">
        <v>185</v>
      </c>
      <c r="F355" s="10" t="s">
        <v>390</v>
      </c>
    </row>
    <row r="356" spans="1:6" ht="39.75" customHeight="1">
      <c r="A356" s="10" t="s">
        <v>379</v>
      </c>
      <c r="B356" s="10">
        <v>41509884</v>
      </c>
      <c r="C356" s="10" t="s">
        <v>36</v>
      </c>
      <c r="D356" s="9">
        <v>45694</v>
      </c>
      <c r="E356" s="10" t="s">
        <v>185</v>
      </c>
      <c r="F356" s="10" t="s">
        <v>386</v>
      </c>
    </row>
    <row r="357" spans="1:6" ht="39.75" customHeight="1">
      <c r="A357" s="10" t="s">
        <v>379</v>
      </c>
      <c r="B357" s="10">
        <v>41509879</v>
      </c>
      <c r="C357" s="10" t="s">
        <v>36</v>
      </c>
      <c r="D357" s="9">
        <v>45694</v>
      </c>
      <c r="E357" s="10" t="s">
        <v>185</v>
      </c>
      <c r="F357" s="10" t="s">
        <v>386</v>
      </c>
    </row>
    <row r="358" spans="1:6" ht="39.75" customHeight="1">
      <c r="A358" s="10" t="s">
        <v>379</v>
      </c>
      <c r="B358" s="10">
        <v>41509833</v>
      </c>
      <c r="C358" s="10" t="s">
        <v>36</v>
      </c>
      <c r="D358" s="9">
        <v>45694</v>
      </c>
      <c r="E358" s="10" t="s">
        <v>185</v>
      </c>
      <c r="F358" s="10" t="s">
        <v>390</v>
      </c>
    </row>
    <row r="359" spans="1:6" ht="39.75" customHeight="1">
      <c r="A359" s="10" t="s">
        <v>379</v>
      </c>
      <c r="B359" s="10">
        <v>41509811</v>
      </c>
      <c r="C359" s="10" t="s">
        <v>36</v>
      </c>
      <c r="D359" s="9">
        <v>45694</v>
      </c>
      <c r="E359" s="10" t="s">
        <v>185</v>
      </c>
      <c r="F359" s="10" t="s">
        <v>389</v>
      </c>
    </row>
    <row r="360" spans="1:6" ht="39.75" customHeight="1">
      <c r="A360" s="10" t="s">
        <v>379</v>
      </c>
      <c r="B360" s="10">
        <v>41509791</v>
      </c>
      <c r="C360" s="10" t="s">
        <v>36</v>
      </c>
      <c r="D360" s="9">
        <v>45694</v>
      </c>
      <c r="E360" s="10" t="s">
        <v>185</v>
      </c>
      <c r="F360" s="10" t="s">
        <v>388</v>
      </c>
    </row>
    <row r="361" spans="1:6" ht="39.75" customHeight="1">
      <c r="A361" s="10" t="s">
        <v>353</v>
      </c>
      <c r="B361" s="10">
        <v>36501266</v>
      </c>
      <c r="C361" s="10" t="s">
        <v>36</v>
      </c>
      <c r="D361" s="9">
        <v>45694</v>
      </c>
      <c r="E361" s="10" t="s">
        <v>185</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185</v>
      </c>
      <c r="F645" s="3" t="s">
        <v>617</v>
      </c>
    </row>
    <row r="646" spans="1:6" ht="39.75" customHeight="1">
      <c r="A646" s="10" t="s">
        <v>358</v>
      </c>
      <c r="B646" s="3">
        <v>48507534</v>
      </c>
      <c r="C646" s="10" t="s">
        <v>36</v>
      </c>
      <c r="D646" s="55">
        <v>45705</v>
      </c>
      <c r="E646" s="3" t="s">
        <v>185</v>
      </c>
      <c r="F646" s="3" t="s">
        <v>618</v>
      </c>
    </row>
    <row r="647" spans="1:6" ht="39.75" customHeight="1">
      <c r="A647" s="10" t="s">
        <v>358</v>
      </c>
      <c r="B647" s="3">
        <v>48507486</v>
      </c>
      <c r="C647" s="10" t="s">
        <v>36</v>
      </c>
      <c r="D647" s="55">
        <v>45705</v>
      </c>
      <c r="E647" s="3" t="s">
        <v>185</v>
      </c>
      <c r="F647" s="3" t="s">
        <v>619</v>
      </c>
    </row>
    <row r="648" spans="1:6" ht="39.75" customHeight="1">
      <c r="A648" s="10" t="s">
        <v>358</v>
      </c>
      <c r="B648" s="3">
        <v>48507387</v>
      </c>
      <c r="C648" s="10" t="s">
        <v>36</v>
      </c>
      <c r="D648" s="55">
        <v>45705</v>
      </c>
      <c r="E648" s="3" t="s">
        <v>185</v>
      </c>
      <c r="F648" s="3" t="s">
        <v>620</v>
      </c>
    </row>
    <row r="649" spans="1:6" ht="39.75" customHeight="1">
      <c r="A649" s="10" t="s">
        <v>358</v>
      </c>
      <c r="B649" s="3">
        <v>48507301</v>
      </c>
      <c r="C649" s="10" t="s">
        <v>36</v>
      </c>
      <c r="D649" s="55">
        <v>45705</v>
      </c>
      <c r="E649" s="3" t="s">
        <v>185</v>
      </c>
      <c r="F649" s="3" t="s">
        <v>621</v>
      </c>
    </row>
    <row r="650" spans="1:6" ht="39.75" customHeight="1">
      <c r="A650" s="10" t="s">
        <v>358</v>
      </c>
      <c r="B650" s="3">
        <v>48507163</v>
      </c>
      <c r="C650" s="10" t="s">
        <v>36</v>
      </c>
      <c r="D650" s="55">
        <v>45705</v>
      </c>
      <c r="E650" s="3" t="s">
        <v>185</v>
      </c>
      <c r="F650" s="3" t="s">
        <v>622</v>
      </c>
    </row>
    <row r="651" spans="1:6">
      <c r="A651" s="3" t="s">
        <v>623</v>
      </c>
      <c r="B651" s="4">
        <v>55503706</v>
      </c>
      <c r="C651" s="3" t="s">
        <v>624</v>
      </c>
      <c r="D651" s="65">
        <v>45709</v>
      </c>
      <c r="E651" s="3" t="s">
        <v>185</v>
      </c>
      <c r="F651" s="3" t="s">
        <v>625</v>
      </c>
    </row>
    <row r="652" spans="1:6">
      <c r="A652" s="3" t="s">
        <v>623</v>
      </c>
      <c r="B652" s="4">
        <v>55503801</v>
      </c>
      <c r="C652" s="3" t="s">
        <v>624</v>
      </c>
      <c r="D652" s="65">
        <v>45709</v>
      </c>
      <c r="E652" s="3" t="s">
        <v>185</v>
      </c>
      <c r="F652" s="3" t="s">
        <v>626</v>
      </c>
    </row>
    <row r="653" spans="1:6">
      <c r="A653" s="3" t="s">
        <v>623</v>
      </c>
      <c r="B653" s="4">
        <v>55503862</v>
      </c>
      <c r="C653" s="3" t="s">
        <v>624</v>
      </c>
      <c r="D653" s="65">
        <v>45709</v>
      </c>
      <c r="E653" s="3" t="s">
        <v>185</v>
      </c>
      <c r="F653" s="3" t="s">
        <v>627</v>
      </c>
    </row>
    <row r="654" spans="1:6">
      <c r="A654" s="3" t="s">
        <v>623</v>
      </c>
      <c r="B654" s="4">
        <v>55503935</v>
      </c>
      <c r="C654" s="3" t="s">
        <v>624</v>
      </c>
      <c r="D654" s="65">
        <v>45709</v>
      </c>
      <c r="E654" s="3" t="s">
        <v>185</v>
      </c>
      <c r="F654" s="3" t="s">
        <v>628</v>
      </c>
    </row>
    <row r="655" spans="1:6">
      <c r="A655" s="3" t="s">
        <v>623</v>
      </c>
      <c r="B655" s="64">
        <v>55503969</v>
      </c>
      <c r="C655" s="45" t="s">
        <v>624</v>
      </c>
      <c r="D655" s="66">
        <v>45709</v>
      </c>
      <c r="E655" s="45" t="s">
        <v>185</v>
      </c>
      <c r="F655" s="45" t="s">
        <v>629</v>
      </c>
    </row>
    <row r="656" spans="1:6">
      <c r="A656" s="3" t="s">
        <v>630</v>
      </c>
      <c r="B656" s="3">
        <v>55504206</v>
      </c>
      <c r="C656" s="3" t="s">
        <v>624</v>
      </c>
      <c r="D656" s="55">
        <v>45709</v>
      </c>
      <c r="E656" s="3" t="s">
        <v>185</v>
      </c>
      <c r="F656" s="3" t="s">
        <v>631</v>
      </c>
    </row>
    <row r="657" spans="1:6">
      <c r="A657" s="3" t="s">
        <v>630</v>
      </c>
      <c r="B657" s="3">
        <v>55504188</v>
      </c>
      <c r="C657" s="3" t="s">
        <v>624</v>
      </c>
      <c r="D657" s="55">
        <v>45709</v>
      </c>
      <c r="E657" s="3" t="s">
        <v>185</v>
      </c>
      <c r="F657" s="3" t="s">
        <v>632</v>
      </c>
    </row>
    <row r="658" spans="1:6">
      <c r="A658" s="3" t="s">
        <v>630</v>
      </c>
      <c r="B658" s="3">
        <v>55504303</v>
      </c>
      <c r="C658" s="3" t="s">
        <v>624</v>
      </c>
      <c r="D658" s="55">
        <v>45709</v>
      </c>
      <c r="E658" s="3" t="s">
        <v>185</v>
      </c>
      <c r="F658" s="3" t="s">
        <v>633</v>
      </c>
    </row>
    <row r="659" spans="1:6">
      <c r="A659" s="3" t="s">
        <v>630</v>
      </c>
      <c r="B659" s="3">
        <v>55504345</v>
      </c>
      <c r="C659" s="3" t="s">
        <v>624</v>
      </c>
      <c r="D659" s="55">
        <v>45709</v>
      </c>
      <c r="E659" s="3" t="s">
        <v>185</v>
      </c>
      <c r="F659" s="3" t="s">
        <v>634</v>
      </c>
    </row>
    <row r="660" spans="1:6">
      <c r="A660" s="3" t="s">
        <v>630</v>
      </c>
      <c r="B660" s="3">
        <v>55504388</v>
      </c>
      <c r="C660" s="3" t="s">
        <v>624</v>
      </c>
      <c r="D660" s="55">
        <v>45709</v>
      </c>
      <c r="E660" s="3" t="s">
        <v>185</v>
      </c>
      <c r="F660" s="3" t="s">
        <v>635</v>
      </c>
    </row>
    <row r="661" spans="1:6">
      <c r="A661" s="3" t="s">
        <v>630</v>
      </c>
      <c r="B661" s="3">
        <v>55504421</v>
      </c>
      <c r="C661" s="3" t="s">
        <v>624</v>
      </c>
      <c r="D661" s="55">
        <v>45709</v>
      </c>
      <c r="E661" s="3" t="s">
        <v>185</v>
      </c>
      <c r="F661" s="3" t="s">
        <v>636</v>
      </c>
    </row>
    <row r="662" spans="1:6">
      <c r="A662" s="3" t="s">
        <v>630</v>
      </c>
      <c r="B662" s="3">
        <v>55504460</v>
      </c>
      <c r="C662" s="3" t="s">
        <v>624</v>
      </c>
      <c r="D662" s="55">
        <v>45709</v>
      </c>
      <c r="E662" s="3" t="s">
        <v>185</v>
      </c>
      <c r="F662" s="3" t="s">
        <v>625</v>
      </c>
    </row>
    <row r="663" spans="1:6">
      <c r="A663" s="6" t="s">
        <v>637</v>
      </c>
      <c r="B663" s="67">
        <v>51507839</v>
      </c>
      <c r="C663" s="10" t="s">
        <v>36</v>
      </c>
      <c r="D663" s="55">
        <v>45713</v>
      </c>
      <c r="E663" s="11" t="s">
        <v>185</v>
      </c>
      <c r="F663" s="68" t="s">
        <v>638</v>
      </c>
    </row>
    <row r="664" spans="1:6">
      <c r="A664" s="6" t="s">
        <v>637</v>
      </c>
      <c r="B664" s="67">
        <v>51507845</v>
      </c>
      <c r="C664" s="10" t="s">
        <v>36</v>
      </c>
      <c r="D664" s="55">
        <v>45713</v>
      </c>
      <c r="E664" s="11" t="s">
        <v>185</v>
      </c>
      <c r="F664" s="68" t="s">
        <v>639</v>
      </c>
    </row>
    <row r="665" spans="1:6">
      <c r="A665" s="6" t="s">
        <v>637</v>
      </c>
      <c r="B665" s="67">
        <v>51507850</v>
      </c>
      <c r="C665" s="10" t="s">
        <v>36</v>
      </c>
      <c r="D665" s="55">
        <v>45713</v>
      </c>
      <c r="E665" s="11" t="s">
        <v>185</v>
      </c>
      <c r="F665" s="68" t="s">
        <v>638</v>
      </c>
    </row>
    <row r="666" spans="1:6">
      <c r="A666" s="6" t="s">
        <v>637</v>
      </c>
      <c r="B666" s="67">
        <v>52505611</v>
      </c>
      <c r="C666" s="10" t="s">
        <v>36</v>
      </c>
      <c r="D666" s="55">
        <v>45713</v>
      </c>
      <c r="E666" s="11" t="s">
        <v>185</v>
      </c>
      <c r="F666" s="68" t="s">
        <v>640</v>
      </c>
    </row>
    <row r="667" spans="1:6">
      <c r="A667" s="6" t="s">
        <v>637</v>
      </c>
      <c r="B667" s="67">
        <v>52505674</v>
      </c>
      <c r="C667" s="10" t="s">
        <v>36</v>
      </c>
      <c r="D667" s="55">
        <v>45713</v>
      </c>
      <c r="E667" s="11" t="s">
        <v>185</v>
      </c>
      <c r="F667" s="68" t="s">
        <v>641</v>
      </c>
    </row>
    <row r="668" spans="1:6">
      <c r="A668" s="6" t="s">
        <v>637</v>
      </c>
      <c r="B668" s="67">
        <v>51507828</v>
      </c>
      <c r="C668" s="10" t="s">
        <v>36</v>
      </c>
      <c r="D668" s="55">
        <v>45713</v>
      </c>
      <c r="E668" s="11" t="s">
        <v>185</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737</v>
      </c>
      <c r="B2" s="71"/>
      <c r="C2" s="71">
        <v>38505194</v>
      </c>
      <c r="D2" s="145"/>
      <c r="E2" s="145"/>
      <c r="F2" s="145"/>
      <c r="G2" s="71" t="s">
        <v>153</v>
      </c>
      <c r="H2" s="71" t="s">
        <v>431</v>
      </c>
      <c r="I2" s="139">
        <v>45695</v>
      </c>
      <c r="J2" s="145"/>
      <c r="K2" s="145"/>
      <c r="L2" s="145"/>
      <c r="M2" s="145"/>
      <c r="N2" s="145"/>
      <c r="O2" s="145"/>
      <c r="P2" s="145"/>
      <c r="Q2" s="146"/>
      <c r="R2" s="71" t="s">
        <v>738</v>
      </c>
    </row>
    <row r="3" spans="1:18">
      <c r="A3" s="29" t="s">
        <v>737</v>
      </c>
      <c r="B3" s="29"/>
      <c r="C3" s="29">
        <v>38505213</v>
      </c>
      <c r="G3" s="29" t="s">
        <v>153</v>
      </c>
      <c r="H3" s="29" t="s">
        <v>431</v>
      </c>
      <c r="I3" s="120">
        <v>45695</v>
      </c>
      <c r="P3" s="134"/>
      <c r="R3" s="29" t="s">
        <v>739</v>
      </c>
    </row>
    <row r="4" spans="1:18">
      <c r="A4" s="41" t="s">
        <v>740</v>
      </c>
      <c r="B4" s="41"/>
      <c r="C4" s="41">
        <v>50507609</v>
      </c>
      <c r="G4" s="29" t="s">
        <v>153</v>
      </c>
      <c r="H4" s="29" t="s">
        <v>77</v>
      </c>
      <c r="I4" s="120">
        <v>45707</v>
      </c>
      <c r="P4" s="134"/>
      <c r="R4" s="41" t="s">
        <v>741</v>
      </c>
    </row>
    <row r="5" spans="1:18">
      <c r="A5" s="41" t="s">
        <v>740</v>
      </c>
      <c r="B5" s="41"/>
      <c r="C5" s="41">
        <v>50507859</v>
      </c>
      <c r="G5" s="29" t="s">
        <v>153</v>
      </c>
      <c r="H5" s="29" t="s">
        <v>77</v>
      </c>
      <c r="I5" s="120">
        <v>45707</v>
      </c>
      <c r="P5" s="134"/>
      <c r="R5" s="41" t="s">
        <v>742</v>
      </c>
    </row>
    <row r="6" spans="1:18">
      <c r="A6" s="147" t="s">
        <v>743</v>
      </c>
      <c r="B6" s="147"/>
      <c r="C6" s="29">
        <v>21507562</v>
      </c>
      <c r="G6" s="29" t="s">
        <v>153</v>
      </c>
      <c r="H6" s="29" t="s">
        <v>236</v>
      </c>
      <c r="I6" s="120">
        <v>45678</v>
      </c>
      <c r="P6" s="134"/>
      <c r="R6" s="29"/>
    </row>
    <row r="7" spans="1:18">
      <c r="A7" s="147" t="s">
        <v>743</v>
      </c>
      <c r="B7" s="147"/>
      <c r="C7" s="29">
        <v>21507565</v>
      </c>
      <c r="G7" s="29" t="s">
        <v>153</v>
      </c>
      <c r="H7" s="29" t="s">
        <v>236</v>
      </c>
      <c r="I7" s="120">
        <v>45678</v>
      </c>
      <c r="P7" s="134"/>
      <c r="R7" s="29"/>
    </row>
    <row r="8" spans="1:18">
      <c r="A8" s="147" t="s">
        <v>743</v>
      </c>
      <c r="B8" s="147"/>
      <c r="C8" s="29">
        <v>21507568</v>
      </c>
      <c r="G8" s="29" t="s">
        <v>153</v>
      </c>
      <c r="H8" s="29" t="s">
        <v>236</v>
      </c>
      <c r="I8" s="120">
        <v>45678</v>
      </c>
      <c r="P8" s="134"/>
      <c r="R8" s="29"/>
    </row>
    <row r="9" spans="1:18">
      <c r="A9" s="147" t="s">
        <v>743</v>
      </c>
      <c r="B9" s="147"/>
      <c r="C9" s="29">
        <v>21507569</v>
      </c>
      <c r="G9" s="29" t="s">
        <v>153</v>
      </c>
      <c r="H9" s="29" t="s">
        <v>236</v>
      </c>
      <c r="I9" s="120">
        <v>45678</v>
      </c>
      <c r="P9" s="134"/>
      <c r="R9" s="29"/>
    </row>
    <row r="10" spans="1:18">
      <c r="A10" s="147" t="s">
        <v>743</v>
      </c>
      <c r="B10" s="147"/>
      <c r="C10" s="29">
        <v>21507570</v>
      </c>
      <c r="G10" s="29" t="s">
        <v>153</v>
      </c>
      <c r="H10" s="29" t="s">
        <v>236</v>
      </c>
      <c r="I10" s="120">
        <v>45678</v>
      </c>
      <c r="P10" s="134"/>
      <c r="R10" s="29"/>
    </row>
    <row r="11" spans="1:18">
      <c r="A11" s="29" t="s">
        <v>248</v>
      </c>
      <c r="B11" s="29"/>
      <c r="C11" s="29">
        <v>30503735</v>
      </c>
      <c r="G11" s="29" t="s">
        <v>744</v>
      </c>
      <c r="H11" s="29" t="s">
        <v>249</v>
      </c>
      <c r="I11" s="120">
        <v>45686</v>
      </c>
      <c r="P11" s="134"/>
      <c r="R11" s="29" t="s">
        <v>250</v>
      </c>
    </row>
    <row r="12" spans="1:18">
      <c r="A12" s="29" t="s">
        <v>248</v>
      </c>
      <c r="B12" s="29"/>
      <c r="C12" s="29">
        <v>30503776</v>
      </c>
      <c r="G12" s="29" t="s">
        <v>744</v>
      </c>
      <c r="H12" s="29" t="s">
        <v>249</v>
      </c>
      <c r="I12" s="120">
        <v>45686</v>
      </c>
      <c r="P12" s="134"/>
      <c r="R12" s="29" t="s">
        <v>251</v>
      </c>
    </row>
    <row r="13" spans="1:18">
      <c r="A13" s="29" t="s">
        <v>248</v>
      </c>
      <c r="B13" s="29"/>
      <c r="C13" s="29">
        <v>30503798</v>
      </c>
      <c r="G13" s="29" t="s">
        <v>744</v>
      </c>
      <c r="H13" s="29" t="s">
        <v>249</v>
      </c>
      <c r="I13" s="120">
        <v>45686</v>
      </c>
      <c r="P13" s="134"/>
      <c r="R13" s="29" t="s">
        <v>252</v>
      </c>
    </row>
    <row r="14" spans="1:18">
      <c r="A14" s="29" t="s">
        <v>248</v>
      </c>
      <c r="B14" s="29"/>
      <c r="C14" s="29">
        <v>30503821</v>
      </c>
      <c r="G14" s="29" t="s">
        <v>744</v>
      </c>
      <c r="H14" s="29" t="s">
        <v>249</v>
      </c>
      <c r="I14" s="120">
        <v>45686</v>
      </c>
      <c r="P14" s="134"/>
      <c r="R14" s="29" t="s">
        <v>253</v>
      </c>
    </row>
    <row r="15" spans="1:18">
      <c r="A15" s="29" t="s">
        <v>248</v>
      </c>
      <c r="B15" s="29"/>
      <c r="C15" s="29">
        <v>30503763</v>
      </c>
      <c r="G15" s="29" t="s">
        <v>744</v>
      </c>
      <c r="H15" s="29" t="s">
        <v>249</v>
      </c>
      <c r="I15" s="120">
        <v>45686</v>
      </c>
      <c r="P15" s="134"/>
      <c r="R15" s="29" t="s">
        <v>254</v>
      </c>
    </row>
    <row r="16" spans="1:18">
      <c r="A16" s="29" t="s">
        <v>248</v>
      </c>
      <c r="B16" s="29"/>
      <c r="C16" s="29">
        <v>35505134</v>
      </c>
      <c r="G16" s="29" t="s">
        <v>744</v>
      </c>
      <c r="H16" s="29" t="s">
        <v>249</v>
      </c>
      <c r="I16" s="120">
        <v>45691</v>
      </c>
      <c r="P16" s="134"/>
      <c r="R16" s="29" t="s">
        <v>253</v>
      </c>
    </row>
    <row r="17" spans="1:19">
      <c r="A17" s="29" t="s">
        <v>248</v>
      </c>
      <c r="B17" s="29"/>
      <c r="C17" s="29">
        <v>35505087</v>
      </c>
      <c r="G17" s="29" t="s">
        <v>744</v>
      </c>
      <c r="H17" s="29" t="s">
        <v>249</v>
      </c>
      <c r="I17" s="120">
        <v>45691</v>
      </c>
      <c r="P17" s="134"/>
      <c r="R17" s="29" t="s">
        <v>252</v>
      </c>
    </row>
    <row r="18" spans="1:19">
      <c r="A18" s="29" t="s">
        <v>248</v>
      </c>
      <c r="B18" s="29"/>
      <c r="C18" s="29">
        <v>35504960</v>
      </c>
      <c r="G18" s="29" t="s">
        <v>744</v>
      </c>
      <c r="H18" s="29" t="s">
        <v>249</v>
      </c>
      <c r="I18" s="120">
        <v>45691</v>
      </c>
      <c r="J18" s="29"/>
      <c r="K18" s="29"/>
      <c r="L18" s="29"/>
      <c r="M18" s="29"/>
      <c r="N18" s="29"/>
      <c r="O18" s="29"/>
      <c r="P18" s="29"/>
      <c r="Q18" s="81"/>
      <c r="R18" s="29" t="s">
        <v>311</v>
      </c>
      <c r="S18" s="123"/>
    </row>
    <row r="19" spans="1:19">
      <c r="A19" s="29" t="s">
        <v>248</v>
      </c>
      <c r="B19" s="29"/>
      <c r="C19" s="29">
        <v>35504929</v>
      </c>
      <c r="G19" s="29" t="s">
        <v>744</v>
      </c>
      <c r="H19" s="29" t="s">
        <v>249</v>
      </c>
      <c r="I19" s="120">
        <v>45691</v>
      </c>
      <c r="J19" s="29"/>
      <c r="K19" s="29"/>
      <c r="L19" s="29"/>
      <c r="M19" s="29"/>
      <c r="N19" s="29"/>
      <c r="O19" s="29"/>
      <c r="P19" s="29"/>
      <c r="Q19" s="81"/>
      <c r="R19" s="29" t="s">
        <v>250</v>
      </c>
      <c r="S19" s="123"/>
    </row>
    <row r="20" spans="1:19">
      <c r="A20" s="29" t="s">
        <v>248</v>
      </c>
      <c r="B20" s="29"/>
      <c r="C20" s="29">
        <v>35504891</v>
      </c>
      <c r="G20" s="29" t="s">
        <v>744</v>
      </c>
      <c r="H20" s="29" t="s">
        <v>249</v>
      </c>
      <c r="I20" s="120">
        <v>45691</v>
      </c>
      <c r="J20" s="29"/>
      <c r="K20" s="29"/>
      <c r="L20" s="29"/>
      <c r="M20" s="29"/>
      <c r="N20" s="29"/>
      <c r="O20" s="29"/>
      <c r="P20" s="29"/>
      <c r="Q20" s="81"/>
      <c r="R20" s="29" t="s">
        <v>251</v>
      </c>
      <c r="S20" s="123"/>
    </row>
    <row r="21" spans="1:19">
      <c r="A21" s="29" t="s">
        <v>248</v>
      </c>
      <c r="B21" s="29"/>
      <c r="C21" s="29">
        <v>35504415</v>
      </c>
      <c r="G21" s="29" t="s">
        <v>744</v>
      </c>
      <c r="H21" s="29" t="s">
        <v>249</v>
      </c>
      <c r="I21" s="120">
        <v>45691</v>
      </c>
      <c r="J21" s="29"/>
      <c r="K21" s="29"/>
      <c r="L21" s="29"/>
      <c r="M21" s="29"/>
      <c r="N21" s="29"/>
      <c r="O21" s="29"/>
      <c r="P21" s="29"/>
      <c r="Q21" s="81"/>
      <c r="R21" s="29" t="s">
        <v>254</v>
      </c>
      <c r="S21" s="123"/>
    </row>
    <row r="22" spans="1:19">
      <c r="A22" s="29" t="s">
        <v>304</v>
      </c>
      <c r="B22" s="29"/>
      <c r="C22" s="29">
        <v>35506238</v>
      </c>
      <c r="G22" s="29" t="s">
        <v>744</v>
      </c>
      <c r="H22" s="29" t="s">
        <v>249</v>
      </c>
      <c r="I22" s="120">
        <v>45691</v>
      </c>
      <c r="J22" s="29"/>
      <c r="K22" s="29"/>
      <c r="L22" s="29"/>
      <c r="M22" s="29"/>
      <c r="N22" s="29"/>
      <c r="O22" s="29"/>
      <c r="P22" s="29"/>
      <c r="Q22" s="81"/>
      <c r="R22" s="29" t="s">
        <v>305</v>
      </c>
      <c r="S22" s="123"/>
    </row>
    <row r="23" spans="1:19">
      <c r="A23" s="29" t="s">
        <v>304</v>
      </c>
      <c r="B23" s="29"/>
      <c r="C23" s="29">
        <v>35506199</v>
      </c>
      <c r="G23" s="29" t="s">
        <v>744</v>
      </c>
      <c r="H23" s="29" t="s">
        <v>249</v>
      </c>
      <c r="I23" s="120">
        <v>45691</v>
      </c>
      <c r="J23" s="29"/>
      <c r="K23" s="29"/>
      <c r="L23" s="29"/>
      <c r="M23" s="29"/>
      <c r="N23" s="29"/>
      <c r="O23" s="29"/>
      <c r="P23" s="29"/>
      <c r="Q23" s="81"/>
      <c r="R23" s="29" t="s">
        <v>306</v>
      </c>
      <c r="S23" s="123"/>
    </row>
    <row r="24" spans="1:19">
      <c r="A24" s="29" t="s">
        <v>304</v>
      </c>
      <c r="B24" s="29"/>
      <c r="C24" s="29">
        <v>35506159</v>
      </c>
      <c r="G24" s="29" t="s">
        <v>744</v>
      </c>
      <c r="H24" s="29" t="s">
        <v>249</v>
      </c>
      <c r="I24" s="120">
        <v>45691</v>
      </c>
      <c r="J24" s="29"/>
      <c r="K24" s="29"/>
      <c r="L24" s="29"/>
      <c r="M24" s="29"/>
      <c r="N24" s="29"/>
      <c r="O24" s="29"/>
      <c r="P24" s="29"/>
      <c r="Q24" s="81"/>
      <c r="R24" s="29" t="s">
        <v>307</v>
      </c>
      <c r="S24" s="123"/>
    </row>
    <row r="25" spans="1:19">
      <c r="A25" s="29" t="s">
        <v>304</v>
      </c>
      <c r="B25" s="29"/>
      <c r="C25" s="29">
        <v>35506111</v>
      </c>
      <c r="G25" s="29" t="s">
        <v>744</v>
      </c>
      <c r="H25" s="29" t="s">
        <v>249</v>
      </c>
      <c r="I25" s="120">
        <v>45691</v>
      </c>
      <c r="J25" s="29"/>
      <c r="K25" s="29"/>
      <c r="L25" s="29"/>
      <c r="M25" s="29"/>
      <c r="N25" s="29"/>
      <c r="O25" s="29"/>
      <c r="P25" s="29"/>
      <c r="Q25" s="81"/>
      <c r="R25" s="29" t="s">
        <v>308</v>
      </c>
      <c r="S25" s="123"/>
    </row>
    <row r="26" spans="1:19">
      <c r="A26" s="29" t="s">
        <v>304</v>
      </c>
      <c r="B26" s="29"/>
      <c r="C26" s="29">
        <v>35506054</v>
      </c>
      <c r="G26" s="29" t="s">
        <v>744</v>
      </c>
      <c r="H26" s="29" t="s">
        <v>249</v>
      </c>
      <c r="I26" s="120">
        <v>45691</v>
      </c>
      <c r="J26" s="29"/>
      <c r="K26" s="29"/>
      <c r="L26" s="29"/>
      <c r="M26" s="29"/>
      <c r="N26" s="29"/>
      <c r="O26" s="29"/>
      <c r="P26" s="29"/>
      <c r="Q26" s="81"/>
      <c r="R26" s="29" t="s">
        <v>309</v>
      </c>
      <c r="S26" s="123"/>
    </row>
    <row r="27" spans="1:19">
      <c r="A27" s="29" t="s">
        <v>304</v>
      </c>
      <c r="B27" s="29"/>
      <c r="C27" s="29">
        <v>35505986</v>
      </c>
      <c r="G27" s="29" t="s">
        <v>744</v>
      </c>
      <c r="H27" s="29" t="s">
        <v>249</v>
      </c>
      <c r="I27" s="120">
        <v>45691</v>
      </c>
      <c r="J27" s="29"/>
      <c r="K27" s="29"/>
      <c r="L27" s="29"/>
      <c r="M27" s="29"/>
      <c r="N27" s="29"/>
      <c r="O27" s="29"/>
      <c r="P27" s="29"/>
      <c r="Q27" s="81"/>
      <c r="R27" s="29" t="s">
        <v>310</v>
      </c>
      <c r="S27" s="123"/>
    </row>
    <row r="28" spans="1:19">
      <c r="A28" s="29" t="s">
        <v>286</v>
      </c>
      <c r="B28" s="29"/>
      <c r="C28" s="29">
        <v>35510080</v>
      </c>
      <c r="G28" s="29" t="s">
        <v>744</v>
      </c>
      <c r="H28" s="29" t="s">
        <v>287</v>
      </c>
      <c r="I28" s="120">
        <v>45691</v>
      </c>
      <c r="J28" s="29"/>
      <c r="K28" s="29"/>
      <c r="L28" s="29"/>
      <c r="M28" s="29"/>
      <c r="N28" s="29"/>
      <c r="O28" s="29"/>
      <c r="P28" s="29"/>
      <c r="Q28" s="81"/>
      <c r="R28" s="29" t="s">
        <v>291</v>
      </c>
      <c r="S28" s="123"/>
    </row>
    <row r="29" spans="1:19">
      <c r="A29" s="29" t="s">
        <v>286</v>
      </c>
      <c r="B29" s="29"/>
      <c r="C29" s="29">
        <v>35510070</v>
      </c>
      <c r="G29" s="29" t="s">
        <v>744</v>
      </c>
      <c r="H29" s="29" t="s">
        <v>287</v>
      </c>
      <c r="I29" s="120">
        <v>45691</v>
      </c>
      <c r="J29" s="29"/>
      <c r="K29" s="29"/>
      <c r="L29" s="29"/>
      <c r="M29" s="29"/>
      <c r="N29" s="29"/>
      <c r="O29" s="29"/>
      <c r="P29" s="29"/>
      <c r="Q29" s="81"/>
      <c r="R29" s="29" t="s">
        <v>292</v>
      </c>
      <c r="S29" s="123"/>
    </row>
    <row r="30" spans="1:19">
      <c r="A30" s="29" t="s">
        <v>286</v>
      </c>
      <c r="B30" s="29"/>
      <c r="C30" s="29">
        <v>35510055</v>
      </c>
      <c r="G30" s="29" t="s">
        <v>744</v>
      </c>
      <c r="H30" s="29" t="s">
        <v>287</v>
      </c>
      <c r="I30" s="120">
        <v>45691</v>
      </c>
      <c r="J30" s="29"/>
      <c r="K30" s="29"/>
      <c r="L30" s="29"/>
      <c r="M30" s="29"/>
      <c r="N30" s="29"/>
      <c r="O30" s="29"/>
      <c r="P30" s="29"/>
      <c r="Q30" s="81"/>
      <c r="R30" s="29" t="s">
        <v>293</v>
      </c>
      <c r="S30" s="123"/>
    </row>
    <row r="31" spans="1:19">
      <c r="A31" s="29" t="s">
        <v>286</v>
      </c>
      <c r="B31" s="29"/>
      <c r="C31" s="29">
        <v>35510045</v>
      </c>
      <c r="G31" s="29" t="s">
        <v>744</v>
      </c>
      <c r="H31" s="29" t="s">
        <v>287</v>
      </c>
      <c r="I31" s="120">
        <v>45691</v>
      </c>
      <c r="J31" s="29"/>
      <c r="K31" s="29"/>
      <c r="L31" s="29"/>
      <c r="M31" s="29"/>
      <c r="N31" s="29"/>
      <c r="O31" s="29"/>
      <c r="P31" s="29"/>
      <c r="Q31" s="81"/>
      <c r="R31" s="29" t="s">
        <v>294</v>
      </c>
      <c r="S31" s="123"/>
    </row>
    <row r="32" spans="1:19">
      <c r="A32" s="29" t="s">
        <v>286</v>
      </c>
      <c r="B32" s="29"/>
      <c r="C32" s="29">
        <v>35510032</v>
      </c>
      <c r="G32" s="29" t="s">
        <v>744</v>
      </c>
      <c r="H32" s="29" t="s">
        <v>287</v>
      </c>
      <c r="I32" s="120">
        <v>45691</v>
      </c>
      <c r="J32" s="29"/>
      <c r="K32" s="29"/>
      <c r="L32" s="29"/>
      <c r="M32" s="29"/>
      <c r="N32" s="29"/>
      <c r="O32" s="29"/>
      <c r="P32" s="29"/>
      <c r="Q32" s="81"/>
      <c r="R32" s="29" t="s">
        <v>295</v>
      </c>
      <c r="S32" s="123"/>
    </row>
    <row r="33" spans="1:19">
      <c r="A33" s="29" t="s">
        <v>286</v>
      </c>
      <c r="B33" s="29"/>
      <c r="C33" s="29">
        <v>35510022</v>
      </c>
      <c r="G33" s="29" t="s">
        <v>744</v>
      </c>
      <c r="H33" s="29" t="s">
        <v>287</v>
      </c>
      <c r="I33" s="120">
        <v>45691</v>
      </c>
      <c r="J33" s="29"/>
      <c r="K33" s="29"/>
      <c r="L33" s="29"/>
      <c r="M33" s="29"/>
      <c r="N33" s="29"/>
      <c r="O33" s="29"/>
      <c r="P33" s="29"/>
      <c r="Q33" s="81"/>
      <c r="R33" s="29" t="s">
        <v>296</v>
      </c>
      <c r="S33" s="123"/>
    </row>
    <row r="34" spans="1:19">
      <c r="A34" s="29" t="s">
        <v>286</v>
      </c>
      <c r="B34" s="29"/>
      <c r="C34" s="29">
        <v>35510009</v>
      </c>
      <c r="G34" s="29" t="s">
        <v>744</v>
      </c>
      <c r="H34" s="29" t="s">
        <v>287</v>
      </c>
      <c r="I34" s="120">
        <v>45691</v>
      </c>
      <c r="J34" s="29"/>
      <c r="K34" s="29"/>
      <c r="L34" s="29"/>
      <c r="M34" s="29"/>
      <c r="N34" s="29"/>
      <c r="O34" s="29"/>
      <c r="P34" s="29"/>
      <c r="Q34" s="81"/>
      <c r="R34" s="29" t="s">
        <v>297</v>
      </c>
      <c r="S34" s="123"/>
    </row>
    <row r="35" spans="1:19">
      <c r="A35" s="29" t="s">
        <v>286</v>
      </c>
      <c r="B35" s="29"/>
      <c r="C35" s="29">
        <v>35509989</v>
      </c>
      <c r="G35" s="29" t="s">
        <v>744</v>
      </c>
      <c r="H35" s="29" t="s">
        <v>287</v>
      </c>
      <c r="I35" s="120">
        <v>45691</v>
      </c>
      <c r="J35" s="29"/>
      <c r="K35" s="29"/>
      <c r="L35" s="29"/>
      <c r="M35" s="29"/>
      <c r="N35" s="29"/>
      <c r="O35" s="29"/>
      <c r="P35" s="29"/>
      <c r="Q35" s="81"/>
      <c r="R35" s="29" t="s">
        <v>298</v>
      </c>
      <c r="S35" s="123"/>
    </row>
    <row r="36" spans="1:19">
      <c r="A36" s="29" t="s">
        <v>286</v>
      </c>
      <c r="B36" s="29"/>
      <c r="C36" s="29">
        <v>37508582</v>
      </c>
      <c r="G36" s="29" t="s">
        <v>744</v>
      </c>
      <c r="H36" s="29" t="s">
        <v>287</v>
      </c>
      <c r="I36" s="120">
        <v>45693</v>
      </c>
      <c r="J36" s="29"/>
      <c r="K36" s="29"/>
      <c r="L36" s="29"/>
      <c r="M36" s="29"/>
      <c r="N36" s="29"/>
      <c r="O36" s="29"/>
      <c r="P36" s="29"/>
      <c r="Q36" s="81"/>
      <c r="R36" s="29" t="s">
        <v>397</v>
      </c>
      <c r="S36" s="123"/>
    </row>
    <row r="37" spans="1:19">
      <c r="A37" s="29" t="s">
        <v>286</v>
      </c>
      <c r="B37" s="29"/>
      <c r="C37" s="29">
        <v>37508534</v>
      </c>
      <c r="G37" s="29" t="s">
        <v>744</v>
      </c>
      <c r="H37" s="29" t="s">
        <v>287</v>
      </c>
      <c r="I37" s="120">
        <v>45693</v>
      </c>
      <c r="J37" s="29"/>
      <c r="K37" s="29"/>
      <c r="L37" s="29"/>
      <c r="M37" s="29"/>
      <c r="N37" s="29"/>
      <c r="O37" s="29"/>
      <c r="P37" s="29"/>
      <c r="Q37" s="81"/>
      <c r="R37" s="29" t="s">
        <v>399</v>
      </c>
      <c r="S37" s="123"/>
    </row>
    <row r="38" spans="1:19">
      <c r="A38" s="29" t="s">
        <v>286</v>
      </c>
      <c r="B38" s="29"/>
      <c r="C38" s="29">
        <v>37508555</v>
      </c>
      <c r="G38" s="29" t="s">
        <v>744</v>
      </c>
      <c r="H38" s="29" t="s">
        <v>287</v>
      </c>
      <c r="I38" s="120">
        <v>45693</v>
      </c>
      <c r="J38" s="29"/>
      <c r="K38" s="29"/>
      <c r="L38" s="29"/>
      <c r="M38" s="29"/>
      <c r="N38" s="29"/>
      <c r="O38" s="29"/>
      <c r="P38" s="29"/>
      <c r="Q38" s="81"/>
      <c r="R38" s="29" t="s">
        <v>398</v>
      </c>
      <c r="S38" s="123"/>
    </row>
    <row r="39" spans="1:19">
      <c r="A39" s="29" t="s">
        <v>286</v>
      </c>
      <c r="B39" s="29"/>
      <c r="C39" s="29">
        <v>37508444</v>
      </c>
      <c r="G39" s="29" t="s">
        <v>744</v>
      </c>
      <c r="H39" s="29" t="s">
        <v>287</v>
      </c>
      <c r="I39" s="120">
        <v>45693</v>
      </c>
      <c r="J39" s="29"/>
      <c r="K39" s="29"/>
      <c r="L39" s="29"/>
      <c r="M39" s="29"/>
      <c r="N39" s="29"/>
      <c r="O39" s="29"/>
      <c r="P39" s="29"/>
      <c r="Q39" s="81"/>
      <c r="R39" s="29" t="s">
        <v>401</v>
      </c>
      <c r="S39" s="123"/>
    </row>
    <row r="40" spans="1:19">
      <c r="A40" s="29" t="s">
        <v>286</v>
      </c>
      <c r="B40" s="29"/>
      <c r="C40" s="29">
        <v>37508509</v>
      </c>
      <c r="G40" s="29" t="s">
        <v>744</v>
      </c>
      <c r="H40" s="29" t="s">
        <v>287</v>
      </c>
      <c r="I40" s="120">
        <v>45693</v>
      </c>
      <c r="J40" s="29"/>
      <c r="K40" s="29"/>
      <c r="L40" s="29"/>
      <c r="M40" s="29"/>
      <c r="N40" s="29"/>
      <c r="O40" s="29"/>
      <c r="P40" s="29"/>
      <c r="Q40" s="81"/>
      <c r="R40" s="29" t="s">
        <v>400</v>
      </c>
      <c r="S40" s="123"/>
    </row>
    <row r="41" spans="1:19">
      <c r="A41" s="29" t="s">
        <v>286</v>
      </c>
      <c r="B41" s="29"/>
      <c r="C41" s="29">
        <v>37508419</v>
      </c>
      <c r="G41" s="29" t="s">
        <v>744</v>
      </c>
      <c r="H41" s="29" t="s">
        <v>287</v>
      </c>
      <c r="I41" s="120">
        <v>45693</v>
      </c>
      <c r="J41" s="29"/>
      <c r="K41" s="29"/>
      <c r="L41" s="29"/>
      <c r="M41" s="29"/>
      <c r="N41" s="29"/>
      <c r="O41" s="29"/>
      <c r="P41" s="29"/>
      <c r="Q41" s="81"/>
      <c r="R41" s="29" t="s">
        <v>402</v>
      </c>
      <c r="S41" s="123"/>
    </row>
    <row r="42" spans="1:19">
      <c r="A42" s="29" t="s">
        <v>286</v>
      </c>
      <c r="B42" s="29"/>
      <c r="C42" s="29">
        <v>37508391</v>
      </c>
      <c r="G42" s="29" t="s">
        <v>744</v>
      </c>
      <c r="H42" s="29" t="s">
        <v>287</v>
      </c>
      <c r="I42" s="120">
        <v>45693</v>
      </c>
      <c r="J42" s="29"/>
      <c r="K42" s="29"/>
      <c r="L42" s="29"/>
      <c r="M42" s="29"/>
      <c r="N42" s="29"/>
      <c r="O42" s="29"/>
      <c r="P42" s="29"/>
      <c r="Q42" s="81"/>
      <c r="R42" s="29" t="s">
        <v>403</v>
      </c>
      <c r="S42" s="123"/>
    </row>
    <row r="43" spans="1:19">
      <c r="A43" s="29" t="s">
        <v>286</v>
      </c>
      <c r="B43" s="29"/>
      <c r="C43" s="29">
        <v>37508358</v>
      </c>
      <c r="G43" s="29" t="s">
        <v>744</v>
      </c>
      <c r="H43" s="29" t="s">
        <v>287</v>
      </c>
      <c r="I43" s="120">
        <v>45693</v>
      </c>
      <c r="J43" s="29"/>
      <c r="K43" s="29"/>
      <c r="L43" s="29"/>
      <c r="M43" s="29"/>
      <c r="N43" s="29"/>
      <c r="O43" s="29"/>
      <c r="P43" s="29"/>
      <c r="Q43" s="81"/>
      <c r="R43" s="29" t="s">
        <v>404</v>
      </c>
      <c r="S43" s="123"/>
    </row>
    <row r="44" spans="1:19">
      <c r="A44" s="29" t="s">
        <v>286</v>
      </c>
      <c r="B44" s="29"/>
      <c r="C44" s="29">
        <v>36500028</v>
      </c>
      <c r="G44" s="29" t="s">
        <v>744</v>
      </c>
      <c r="H44" s="29" t="s">
        <v>287</v>
      </c>
      <c r="I44" s="120">
        <v>45692</v>
      </c>
      <c r="J44" s="29"/>
      <c r="K44" s="29"/>
      <c r="L44" s="29"/>
      <c r="M44" s="29"/>
      <c r="N44" s="29"/>
      <c r="O44" s="29"/>
      <c r="P44" s="29"/>
      <c r="Q44" s="81"/>
      <c r="R44" s="29" t="s">
        <v>293</v>
      </c>
      <c r="S44" s="123"/>
    </row>
    <row r="45" spans="1:19">
      <c r="A45" s="29" t="s">
        <v>286</v>
      </c>
      <c r="B45" s="29"/>
      <c r="C45" s="29">
        <v>36500027</v>
      </c>
      <c r="G45" s="29" t="s">
        <v>744</v>
      </c>
      <c r="H45" s="29" t="s">
        <v>287</v>
      </c>
      <c r="I45" s="120">
        <v>45692</v>
      </c>
      <c r="J45" s="29"/>
      <c r="K45" s="29"/>
      <c r="L45" s="29"/>
      <c r="M45" s="29"/>
      <c r="N45" s="29"/>
      <c r="O45" s="29"/>
      <c r="P45" s="29"/>
      <c r="Q45" s="81"/>
      <c r="R45" s="29" t="s">
        <v>294</v>
      </c>
      <c r="S45" s="123"/>
    </row>
    <row r="46" spans="1:19">
      <c r="A46" s="29" t="s">
        <v>286</v>
      </c>
      <c r="B46" s="29"/>
      <c r="C46" s="29">
        <v>36500026</v>
      </c>
      <c r="G46" s="29" t="s">
        <v>744</v>
      </c>
      <c r="H46" s="29" t="s">
        <v>287</v>
      </c>
      <c r="I46" s="120">
        <v>45692</v>
      </c>
      <c r="J46" s="29"/>
      <c r="K46" s="29"/>
      <c r="L46" s="29"/>
      <c r="M46" s="29"/>
      <c r="N46" s="29"/>
      <c r="O46" s="29"/>
      <c r="P46" s="29"/>
      <c r="Q46" s="81"/>
      <c r="R46" s="29" t="s">
        <v>295</v>
      </c>
      <c r="S46" s="123"/>
    </row>
    <row r="47" spans="1:19">
      <c r="A47" s="29" t="s">
        <v>286</v>
      </c>
      <c r="B47" s="29"/>
      <c r="C47" s="29">
        <v>36500024</v>
      </c>
      <c r="G47" s="29" t="s">
        <v>744</v>
      </c>
      <c r="H47" s="29" t="s">
        <v>287</v>
      </c>
      <c r="I47" s="120">
        <v>45692</v>
      </c>
      <c r="J47" s="29"/>
      <c r="K47" s="29"/>
      <c r="L47" s="29"/>
      <c r="M47" s="29"/>
      <c r="N47" s="29"/>
      <c r="O47" s="29"/>
      <c r="P47" s="29"/>
      <c r="Q47" s="81"/>
      <c r="R47" s="29" t="s">
        <v>296</v>
      </c>
      <c r="S47" s="123"/>
    </row>
    <row r="48" spans="1:19">
      <c r="A48" s="29" t="s">
        <v>286</v>
      </c>
      <c r="B48" s="29"/>
      <c r="C48" s="29">
        <v>36500023</v>
      </c>
      <c r="G48" s="29" t="s">
        <v>744</v>
      </c>
      <c r="H48" s="29" t="s">
        <v>287</v>
      </c>
      <c r="I48" s="120">
        <v>45692</v>
      </c>
      <c r="J48" s="29"/>
      <c r="K48" s="29"/>
      <c r="L48" s="29"/>
      <c r="M48" s="29"/>
      <c r="N48" s="29"/>
      <c r="O48" s="29"/>
      <c r="P48" s="29"/>
      <c r="Q48" s="81"/>
      <c r="R48" s="29" t="s">
        <v>297</v>
      </c>
      <c r="S48" s="123"/>
    </row>
    <row r="49" spans="1:19">
      <c r="A49" s="29" t="s">
        <v>286</v>
      </c>
      <c r="B49" s="29"/>
      <c r="C49" s="29">
        <v>36500022</v>
      </c>
      <c r="G49" s="29" t="s">
        <v>744</v>
      </c>
      <c r="H49" s="29" t="s">
        <v>287</v>
      </c>
      <c r="I49" s="120">
        <v>45692</v>
      </c>
      <c r="J49" s="29"/>
      <c r="K49" s="29"/>
      <c r="L49" s="29"/>
      <c r="M49" s="29"/>
      <c r="N49" s="29"/>
      <c r="O49" s="29"/>
      <c r="P49" s="29"/>
      <c r="Q49" s="81"/>
      <c r="R49" s="29" t="s">
        <v>298</v>
      </c>
      <c r="S49" s="123"/>
    </row>
    <row r="50" spans="1:19">
      <c r="A50" s="29" t="s">
        <v>286</v>
      </c>
      <c r="B50" s="29"/>
      <c r="C50" s="29">
        <v>36500021</v>
      </c>
      <c r="G50" s="29" t="s">
        <v>744</v>
      </c>
      <c r="H50" s="29" t="s">
        <v>287</v>
      </c>
      <c r="I50" s="120">
        <v>45692</v>
      </c>
      <c r="J50" s="29"/>
      <c r="K50" s="29"/>
      <c r="L50" s="29"/>
      <c r="M50" s="29"/>
      <c r="N50" s="29"/>
      <c r="O50" s="29"/>
      <c r="P50" s="29"/>
      <c r="Q50" s="81"/>
      <c r="R50" s="29" t="s">
        <v>292</v>
      </c>
      <c r="S50" s="123"/>
    </row>
    <row r="51" spans="1:19">
      <c r="A51" s="29" t="s">
        <v>286</v>
      </c>
      <c r="B51" s="29"/>
      <c r="C51" s="29">
        <v>36500020</v>
      </c>
      <c r="G51" s="29" t="s">
        <v>744</v>
      </c>
      <c r="H51" s="29" t="s">
        <v>287</v>
      </c>
      <c r="I51" s="120">
        <v>45692</v>
      </c>
      <c r="J51" s="29"/>
      <c r="K51" s="29"/>
      <c r="L51" s="29"/>
      <c r="M51" s="29"/>
      <c r="N51" s="29"/>
      <c r="O51" s="29"/>
      <c r="P51" s="29"/>
      <c r="Q51" s="81"/>
      <c r="R51" s="29" t="s">
        <v>291</v>
      </c>
      <c r="S51" s="123"/>
    </row>
    <row r="52" spans="1:19">
      <c r="A52" s="29" t="s">
        <v>286</v>
      </c>
      <c r="B52" s="29"/>
      <c r="C52" s="29">
        <v>41510494</v>
      </c>
      <c r="G52" s="29" t="s">
        <v>744</v>
      </c>
      <c r="H52" s="29" t="s">
        <v>287</v>
      </c>
      <c r="I52" s="120">
        <v>45694</v>
      </c>
      <c r="J52" s="29"/>
      <c r="K52" s="29"/>
      <c r="L52" s="29"/>
      <c r="M52" s="29"/>
      <c r="N52" s="29"/>
      <c r="O52" s="29"/>
      <c r="P52" s="29"/>
      <c r="Q52" s="81"/>
      <c r="R52" s="29" t="s">
        <v>366</v>
      </c>
      <c r="S52" s="123"/>
    </row>
    <row r="53" spans="1:19">
      <c r="A53" s="29" t="s">
        <v>286</v>
      </c>
      <c r="B53" s="29"/>
      <c r="C53" s="29">
        <v>41510481</v>
      </c>
      <c r="G53" s="29" t="s">
        <v>744</v>
      </c>
      <c r="H53" s="29" t="s">
        <v>287</v>
      </c>
      <c r="I53" s="120">
        <v>45694</v>
      </c>
      <c r="J53" s="29"/>
      <c r="K53" s="29"/>
      <c r="L53" s="29"/>
      <c r="M53" s="29"/>
      <c r="N53" s="29"/>
      <c r="O53" s="29"/>
      <c r="P53" s="29"/>
      <c r="Q53" s="81"/>
      <c r="R53" s="29" t="s">
        <v>367</v>
      </c>
      <c r="S53" s="123"/>
    </row>
    <row r="54" spans="1:19">
      <c r="A54" s="29" t="s">
        <v>286</v>
      </c>
      <c r="B54" s="29"/>
      <c r="C54" s="29">
        <v>41510470</v>
      </c>
      <c r="G54" s="29" t="s">
        <v>744</v>
      </c>
      <c r="H54" s="29" t="s">
        <v>287</v>
      </c>
      <c r="I54" s="120">
        <v>45694</v>
      </c>
      <c r="J54" s="29"/>
      <c r="K54" s="29"/>
      <c r="L54" s="29"/>
      <c r="M54" s="29"/>
      <c r="N54" s="29"/>
      <c r="O54" s="29"/>
      <c r="P54" s="29"/>
      <c r="Q54" s="81"/>
      <c r="R54" s="29" t="s">
        <v>368</v>
      </c>
      <c r="S54" s="123"/>
    </row>
    <row r="55" spans="1:19">
      <c r="A55" s="29" t="s">
        <v>286</v>
      </c>
      <c r="B55" s="29"/>
      <c r="C55" s="29">
        <v>41510452</v>
      </c>
      <c r="G55" s="29" t="s">
        <v>744</v>
      </c>
      <c r="H55" s="29" t="s">
        <v>287</v>
      </c>
      <c r="I55" s="120">
        <v>45694</v>
      </c>
      <c r="J55" s="29"/>
      <c r="K55" s="29"/>
      <c r="L55" s="29"/>
      <c r="M55" s="29"/>
      <c r="N55" s="29"/>
      <c r="O55" s="29"/>
      <c r="P55" s="29"/>
      <c r="Q55" s="81"/>
      <c r="R55" s="29" t="s">
        <v>369</v>
      </c>
      <c r="S55" s="123"/>
    </row>
    <row r="56" spans="1:19">
      <c r="A56" s="29" t="s">
        <v>286</v>
      </c>
      <c r="B56" s="29"/>
      <c r="C56" s="29">
        <v>41510441</v>
      </c>
      <c r="G56" s="29" t="s">
        <v>744</v>
      </c>
      <c r="H56" s="29" t="s">
        <v>287</v>
      </c>
      <c r="I56" s="120">
        <v>45694</v>
      </c>
      <c r="J56" s="29"/>
      <c r="K56" s="29"/>
      <c r="L56" s="29"/>
      <c r="M56" s="29"/>
      <c r="N56" s="29"/>
      <c r="O56" s="29"/>
      <c r="P56" s="29"/>
      <c r="Q56" s="81"/>
      <c r="R56" s="29" t="s">
        <v>370</v>
      </c>
      <c r="S56" s="123"/>
    </row>
    <row r="57" spans="1:19">
      <c r="A57" s="29" t="s">
        <v>286</v>
      </c>
      <c r="B57" s="29"/>
      <c r="C57" s="29">
        <v>41510437</v>
      </c>
      <c r="G57" s="29" t="s">
        <v>744</v>
      </c>
      <c r="H57" s="29" t="s">
        <v>287</v>
      </c>
      <c r="I57" s="120">
        <v>45694</v>
      </c>
      <c r="J57" s="29"/>
      <c r="K57" s="29"/>
      <c r="L57" s="29"/>
      <c r="M57" s="29"/>
      <c r="N57" s="29"/>
      <c r="O57" s="29"/>
      <c r="P57" s="29"/>
      <c r="Q57" s="81"/>
      <c r="R57" s="29" t="s">
        <v>371</v>
      </c>
      <c r="S57" s="123"/>
    </row>
    <row r="58" spans="1:19">
      <c r="A58" s="29" t="s">
        <v>286</v>
      </c>
      <c r="B58" s="29"/>
      <c r="C58" s="29">
        <v>41510416</v>
      </c>
      <c r="G58" s="29" t="s">
        <v>744</v>
      </c>
      <c r="H58" s="29" t="s">
        <v>287</v>
      </c>
      <c r="I58" s="120">
        <v>45694</v>
      </c>
      <c r="J58" s="29"/>
      <c r="K58" s="29"/>
      <c r="L58" s="29"/>
      <c r="M58" s="29"/>
      <c r="N58" s="29"/>
      <c r="O58" s="29"/>
      <c r="P58" s="29"/>
      <c r="Q58" s="81"/>
      <c r="R58" s="29" t="s">
        <v>372</v>
      </c>
      <c r="S58" s="123"/>
    </row>
    <row r="59" spans="1:19">
      <c r="A59" s="29" t="s">
        <v>286</v>
      </c>
      <c r="B59" s="29"/>
      <c r="C59" s="29">
        <v>41510403</v>
      </c>
      <c r="G59" s="29" t="s">
        <v>744</v>
      </c>
      <c r="H59" s="29" t="s">
        <v>287</v>
      </c>
      <c r="I59" s="120">
        <v>45694</v>
      </c>
      <c r="J59" s="29"/>
      <c r="K59" s="29"/>
      <c r="L59" s="29"/>
      <c r="M59" s="29"/>
      <c r="N59" s="29"/>
      <c r="O59" s="29"/>
      <c r="P59" s="29"/>
      <c r="Q59" s="81"/>
      <c r="R59" s="29" t="s">
        <v>373</v>
      </c>
      <c r="S59" s="123"/>
    </row>
    <row r="60" spans="1:19">
      <c r="A60" s="29" t="s">
        <v>286</v>
      </c>
      <c r="B60" s="29"/>
      <c r="C60" s="29">
        <v>41510390</v>
      </c>
      <c r="G60" s="29" t="s">
        <v>744</v>
      </c>
      <c r="H60" s="29" t="s">
        <v>287</v>
      </c>
      <c r="I60" s="120">
        <v>45694</v>
      </c>
      <c r="J60" s="29"/>
      <c r="K60" s="29"/>
      <c r="L60" s="29"/>
      <c r="M60" s="29"/>
      <c r="N60" s="29"/>
      <c r="O60" s="29"/>
      <c r="P60" s="29"/>
      <c r="Q60" s="81"/>
      <c r="R60" s="29" t="s">
        <v>374</v>
      </c>
      <c r="S60" s="123"/>
    </row>
    <row r="61" spans="1:19">
      <c r="A61" s="29" t="s">
        <v>286</v>
      </c>
      <c r="B61" s="29"/>
      <c r="C61" s="29">
        <v>41510380</v>
      </c>
      <c r="G61" s="29" t="s">
        <v>744</v>
      </c>
      <c r="H61" s="29" t="s">
        <v>287</v>
      </c>
      <c r="I61" s="120">
        <v>45694</v>
      </c>
      <c r="J61" s="29"/>
      <c r="K61" s="29"/>
      <c r="L61" s="29"/>
      <c r="M61" s="29"/>
      <c r="N61" s="29"/>
      <c r="O61" s="29"/>
      <c r="P61" s="29"/>
      <c r="Q61" s="81"/>
      <c r="R61" s="29" t="s">
        <v>375</v>
      </c>
      <c r="S61" s="123"/>
    </row>
    <row r="62" spans="1:19">
      <c r="A62" s="29" t="s">
        <v>286</v>
      </c>
      <c r="B62" s="29"/>
      <c r="C62" s="29">
        <v>41510370</v>
      </c>
      <c r="G62" s="29" t="s">
        <v>744</v>
      </c>
      <c r="H62" s="29" t="s">
        <v>287</v>
      </c>
      <c r="I62" s="120">
        <v>45694</v>
      </c>
      <c r="J62" s="29"/>
      <c r="K62" s="29"/>
      <c r="L62" s="29"/>
      <c r="M62" s="29"/>
      <c r="N62" s="29"/>
      <c r="O62" s="29"/>
      <c r="P62" s="29"/>
      <c r="Q62" s="81"/>
      <c r="R62" s="29" t="s">
        <v>376</v>
      </c>
      <c r="S62" s="123"/>
    </row>
    <row r="63" spans="1:19">
      <c r="A63" s="29" t="s">
        <v>286</v>
      </c>
      <c r="B63" s="29"/>
      <c r="C63" s="29">
        <v>41510351</v>
      </c>
      <c r="G63" s="29" t="s">
        <v>744</v>
      </c>
      <c r="H63" s="29" t="s">
        <v>287</v>
      </c>
      <c r="I63" s="120">
        <v>45694</v>
      </c>
      <c r="J63" s="29"/>
      <c r="K63" s="29"/>
      <c r="L63" s="29"/>
      <c r="M63" s="29"/>
      <c r="N63" s="29"/>
      <c r="O63" s="29"/>
      <c r="P63" s="29"/>
      <c r="Q63" s="81"/>
      <c r="R63" s="29" t="s">
        <v>377</v>
      </c>
      <c r="S63" s="123"/>
    </row>
    <row r="64" spans="1:19">
      <c r="A64" s="29" t="s">
        <v>286</v>
      </c>
      <c r="B64" s="29"/>
      <c r="C64" s="29">
        <v>41510329</v>
      </c>
      <c r="G64" s="29" t="s">
        <v>744</v>
      </c>
      <c r="H64" s="29" t="s">
        <v>287</v>
      </c>
      <c r="I64" s="120">
        <v>45694</v>
      </c>
      <c r="J64" s="29"/>
      <c r="K64" s="29"/>
      <c r="L64" s="29"/>
      <c r="M64" s="29"/>
      <c r="N64" s="29"/>
      <c r="O64" s="29"/>
      <c r="P64" s="29"/>
      <c r="Q64" s="81"/>
      <c r="R64" s="29" t="s">
        <v>378</v>
      </c>
      <c r="S64" s="123"/>
    </row>
    <row r="65" spans="1:19">
      <c r="A65" s="41" t="s">
        <v>286</v>
      </c>
      <c r="B65" s="41"/>
      <c r="C65" s="41">
        <v>36500020</v>
      </c>
      <c r="G65" s="84" t="s">
        <v>744</v>
      </c>
      <c r="H65" s="29" t="s">
        <v>287</v>
      </c>
      <c r="I65" s="42">
        <v>45693</v>
      </c>
      <c r="J65" s="29"/>
      <c r="K65" s="29"/>
      <c r="L65" s="29"/>
      <c r="M65" s="29"/>
      <c r="N65" s="29"/>
      <c r="O65" s="29"/>
      <c r="P65" s="29"/>
      <c r="Q65" s="81"/>
      <c r="R65" s="41" t="s">
        <v>745</v>
      </c>
      <c r="S65" s="123"/>
    </row>
    <row r="66" spans="1:19">
      <c r="A66" s="41" t="s">
        <v>286</v>
      </c>
      <c r="B66" s="41"/>
      <c r="C66" s="41">
        <v>36500021</v>
      </c>
      <c r="G66" s="84" t="s">
        <v>744</v>
      </c>
      <c r="H66" s="29" t="s">
        <v>287</v>
      </c>
      <c r="I66" s="42">
        <v>45693</v>
      </c>
      <c r="J66" s="29"/>
      <c r="K66" s="29"/>
      <c r="L66" s="29"/>
      <c r="M66" s="29"/>
      <c r="N66" s="29"/>
      <c r="O66" s="29"/>
      <c r="P66" s="29"/>
      <c r="Q66" s="81"/>
      <c r="R66" s="41" t="s">
        <v>746</v>
      </c>
      <c r="S66" s="123"/>
    </row>
    <row r="67" spans="1:19">
      <c r="A67" s="41" t="s">
        <v>286</v>
      </c>
      <c r="B67" s="41"/>
      <c r="C67" s="41">
        <v>36500022</v>
      </c>
      <c r="G67" s="84" t="s">
        <v>744</v>
      </c>
      <c r="H67" s="29" t="s">
        <v>287</v>
      </c>
      <c r="I67" s="42">
        <v>45693</v>
      </c>
      <c r="J67" s="29"/>
      <c r="K67" s="29"/>
      <c r="L67" s="29"/>
      <c r="M67" s="29"/>
      <c r="N67" s="29"/>
      <c r="O67" s="29"/>
      <c r="P67" s="29"/>
      <c r="Q67" s="81"/>
      <c r="R67" s="41" t="s">
        <v>747</v>
      </c>
      <c r="S67" s="123"/>
    </row>
    <row r="68" spans="1:19">
      <c r="A68" s="41" t="s">
        <v>286</v>
      </c>
      <c r="B68" s="41"/>
      <c r="C68" s="41">
        <v>36500023</v>
      </c>
      <c r="G68" s="84" t="s">
        <v>744</v>
      </c>
      <c r="H68" s="29" t="s">
        <v>287</v>
      </c>
      <c r="I68" s="42">
        <v>45693</v>
      </c>
      <c r="J68" s="29"/>
      <c r="K68" s="29"/>
      <c r="L68" s="29"/>
      <c r="M68" s="29"/>
      <c r="N68" s="29"/>
      <c r="O68" s="29"/>
      <c r="P68" s="29"/>
      <c r="Q68" s="81"/>
      <c r="R68" s="41" t="s">
        <v>748</v>
      </c>
      <c r="S68" s="123"/>
    </row>
    <row r="69" spans="1:19">
      <c r="A69" s="41" t="s">
        <v>286</v>
      </c>
      <c r="B69" s="41"/>
      <c r="C69" s="41">
        <v>36500024</v>
      </c>
      <c r="G69" s="84" t="s">
        <v>744</v>
      </c>
      <c r="H69" s="29" t="s">
        <v>287</v>
      </c>
      <c r="I69" s="42">
        <v>45693</v>
      </c>
      <c r="J69" s="29"/>
      <c r="K69" s="29"/>
      <c r="L69" s="29"/>
      <c r="M69" s="29"/>
      <c r="N69" s="29"/>
      <c r="O69" s="29"/>
      <c r="P69" s="29"/>
      <c r="Q69" s="81"/>
      <c r="R69" s="41" t="s">
        <v>749</v>
      </c>
      <c r="S69" s="123"/>
    </row>
    <row r="70" spans="1:19">
      <c r="A70" s="41" t="s">
        <v>286</v>
      </c>
      <c r="B70" s="41"/>
      <c r="C70" s="41">
        <v>36500026</v>
      </c>
      <c r="G70" s="84" t="s">
        <v>744</v>
      </c>
      <c r="H70" s="29" t="s">
        <v>287</v>
      </c>
      <c r="I70" s="42">
        <v>45693</v>
      </c>
      <c r="J70" s="29"/>
      <c r="K70" s="29"/>
      <c r="L70" s="29"/>
      <c r="M70" s="29"/>
      <c r="N70" s="29"/>
      <c r="O70" s="29"/>
      <c r="P70" s="29"/>
      <c r="Q70" s="81"/>
      <c r="R70" s="41" t="s">
        <v>750</v>
      </c>
      <c r="S70" s="123"/>
    </row>
    <row r="71" spans="1:19">
      <c r="A71" s="41" t="s">
        <v>286</v>
      </c>
      <c r="B71" s="41"/>
      <c r="C71" s="41">
        <v>36500027</v>
      </c>
      <c r="G71" s="84" t="s">
        <v>744</v>
      </c>
      <c r="H71" s="29" t="s">
        <v>287</v>
      </c>
      <c r="I71" s="42">
        <v>45693</v>
      </c>
      <c r="J71" s="29"/>
      <c r="K71" s="29"/>
      <c r="L71" s="29"/>
      <c r="M71" s="29"/>
      <c r="N71" s="29"/>
      <c r="O71" s="29"/>
      <c r="P71" s="29"/>
      <c r="Q71" s="81"/>
      <c r="R71" s="41" t="s">
        <v>751</v>
      </c>
      <c r="S71" s="123"/>
    </row>
    <row r="72" spans="1:19">
      <c r="A72" s="41" t="s">
        <v>286</v>
      </c>
      <c r="B72" s="41"/>
      <c r="C72" s="41">
        <v>36500028</v>
      </c>
      <c r="G72" s="84" t="s">
        <v>744</v>
      </c>
      <c r="H72" s="29" t="s">
        <v>287</v>
      </c>
      <c r="I72" s="42">
        <v>45693</v>
      </c>
      <c r="J72" s="29"/>
      <c r="K72" s="29"/>
      <c r="L72" s="29"/>
      <c r="M72" s="29"/>
      <c r="N72" s="29"/>
      <c r="O72" s="29"/>
      <c r="P72" s="29"/>
      <c r="Q72" s="81"/>
      <c r="R72" s="41" t="s">
        <v>752</v>
      </c>
      <c r="S72" s="123"/>
    </row>
    <row r="73" spans="1:19">
      <c r="A73" s="41" t="s">
        <v>286</v>
      </c>
      <c r="B73" s="41"/>
      <c r="C73" s="41">
        <v>38506867</v>
      </c>
      <c r="G73" s="84" t="s">
        <v>744</v>
      </c>
      <c r="H73" s="29" t="s">
        <v>287</v>
      </c>
      <c r="I73" s="42">
        <v>45695</v>
      </c>
      <c r="J73" s="29"/>
      <c r="K73" s="29"/>
      <c r="L73" s="29"/>
      <c r="M73" s="29"/>
      <c r="N73" s="29"/>
      <c r="O73" s="29"/>
      <c r="P73" s="29"/>
      <c r="Q73" s="81"/>
      <c r="R73" s="41" t="s">
        <v>753</v>
      </c>
      <c r="S73" s="123"/>
    </row>
    <row r="74" spans="1:19">
      <c r="A74" s="41" t="s">
        <v>286</v>
      </c>
      <c r="B74" s="41"/>
      <c r="C74" s="41">
        <v>38506877</v>
      </c>
      <c r="G74" s="84" t="s">
        <v>744</v>
      </c>
      <c r="H74" s="29" t="s">
        <v>287</v>
      </c>
      <c r="I74" s="42">
        <v>45695</v>
      </c>
      <c r="J74" s="29"/>
      <c r="K74" s="29"/>
      <c r="L74" s="29"/>
      <c r="M74" s="29"/>
      <c r="N74" s="29"/>
      <c r="O74" s="29"/>
      <c r="P74" s="29"/>
      <c r="Q74" s="81"/>
      <c r="R74" s="41" t="s">
        <v>754</v>
      </c>
      <c r="S74" s="123"/>
    </row>
    <row r="75" spans="1:19">
      <c r="A75" s="41" t="s">
        <v>286</v>
      </c>
      <c r="B75" s="41"/>
      <c r="C75" s="41">
        <v>3506891</v>
      </c>
      <c r="G75" s="84" t="s">
        <v>744</v>
      </c>
      <c r="H75" s="29" t="s">
        <v>287</v>
      </c>
      <c r="I75" s="42">
        <v>45695</v>
      </c>
      <c r="J75" s="29"/>
      <c r="K75" s="29"/>
      <c r="L75" s="29"/>
      <c r="M75" s="29"/>
      <c r="N75" s="29"/>
      <c r="O75" s="29"/>
      <c r="P75" s="29"/>
      <c r="Q75" s="81"/>
      <c r="R75" s="41" t="s">
        <v>524</v>
      </c>
      <c r="S75" s="123"/>
    </row>
    <row r="76" spans="1:19">
      <c r="A76" s="41" t="s">
        <v>286</v>
      </c>
      <c r="B76" s="41"/>
      <c r="C76" s="41">
        <v>35506896</v>
      </c>
      <c r="G76" s="84" t="s">
        <v>744</v>
      </c>
      <c r="H76" s="29" t="s">
        <v>287</v>
      </c>
      <c r="I76" s="42">
        <v>45695</v>
      </c>
      <c r="J76" s="29"/>
      <c r="K76" s="29"/>
      <c r="L76" s="29"/>
      <c r="M76" s="29"/>
      <c r="N76" s="29"/>
      <c r="O76" s="29"/>
      <c r="P76" s="29"/>
      <c r="Q76" s="81"/>
      <c r="R76" s="41" t="s">
        <v>525</v>
      </c>
      <c r="S76" s="123"/>
    </row>
    <row r="77" spans="1:19">
      <c r="A77" s="41" t="s">
        <v>286</v>
      </c>
      <c r="B77" s="41"/>
      <c r="C77" s="41">
        <v>37508488</v>
      </c>
      <c r="G77" s="84" t="s">
        <v>744</v>
      </c>
      <c r="H77" s="29" t="s">
        <v>287</v>
      </c>
      <c r="I77" s="42">
        <v>45694</v>
      </c>
      <c r="J77" s="29"/>
      <c r="K77" s="29"/>
      <c r="L77" s="29"/>
      <c r="M77" s="29"/>
      <c r="N77" s="29"/>
      <c r="O77" s="29"/>
      <c r="P77" s="29"/>
      <c r="Q77" s="81"/>
      <c r="R77" s="41" t="s">
        <v>755</v>
      </c>
      <c r="S77" s="123"/>
    </row>
    <row r="78" spans="1:19">
      <c r="A78" s="41" t="s">
        <v>286</v>
      </c>
      <c r="B78" s="41"/>
      <c r="C78" s="41">
        <v>38506900</v>
      </c>
      <c r="G78" s="84" t="s">
        <v>744</v>
      </c>
      <c r="H78" s="29" t="s">
        <v>287</v>
      </c>
      <c r="I78" s="42">
        <v>45695</v>
      </c>
      <c r="J78" s="29"/>
      <c r="K78" s="29"/>
      <c r="L78" s="29"/>
      <c r="M78" s="29"/>
      <c r="N78" s="29"/>
      <c r="O78" s="29"/>
      <c r="P78" s="29"/>
      <c r="Q78" s="81"/>
      <c r="R78" s="41" t="s">
        <v>756</v>
      </c>
      <c r="S78" s="123"/>
    </row>
    <row r="79" spans="1:19">
      <c r="A79" s="41" t="s">
        <v>286</v>
      </c>
      <c r="B79" s="41"/>
      <c r="C79" s="41">
        <v>38506904</v>
      </c>
      <c r="G79" s="84" t="s">
        <v>744</v>
      </c>
      <c r="H79" s="29" t="s">
        <v>287</v>
      </c>
      <c r="I79" s="42">
        <v>45695</v>
      </c>
      <c r="J79" s="29"/>
      <c r="K79" s="29"/>
      <c r="L79" s="29"/>
      <c r="M79" s="29"/>
      <c r="N79" s="29"/>
      <c r="O79" s="29"/>
      <c r="P79" s="29"/>
      <c r="Q79" s="81"/>
      <c r="R79" s="41" t="s">
        <v>757</v>
      </c>
      <c r="S79" s="123"/>
    </row>
    <row r="80" spans="1:19">
      <c r="A80" s="41" t="s">
        <v>286</v>
      </c>
      <c r="B80" s="41"/>
      <c r="C80" s="41">
        <v>38506907</v>
      </c>
      <c r="G80" s="84" t="s">
        <v>744</v>
      </c>
      <c r="H80" s="29" t="s">
        <v>287</v>
      </c>
      <c r="I80" s="42">
        <v>45695</v>
      </c>
      <c r="J80" s="29"/>
      <c r="K80" s="29"/>
      <c r="L80" s="29"/>
      <c r="M80" s="29"/>
      <c r="N80" s="29"/>
      <c r="O80" s="29"/>
      <c r="P80" s="29"/>
      <c r="Q80" s="81"/>
      <c r="R80" s="41" t="s">
        <v>758</v>
      </c>
      <c r="S80" s="123"/>
    </row>
    <row r="81" spans="1:19">
      <c r="A81" s="41" t="s">
        <v>286</v>
      </c>
      <c r="B81" s="41"/>
      <c r="C81" s="41">
        <v>37508574</v>
      </c>
      <c r="G81" s="84" t="s">
        <v>744</v>
      </c>
      <c r="H81" s="29" t="s">
        <v>287</v>
      </c>
      <c r="I81" s="42">
        <v>45695</v>
      </c>
      <c r="J81" s="29"/>
      <c r="K81" s="29"/>
      <c r="L81" s="29"/>
      <c r="M81" s="29"/>
      <c r="N81" s="29"/>
      <c r="O81" s="29"/>
      <c r="P81" s="29"/>
      <c r="Q81" s="81"/>
      <c r="R81" s="41" t="s">
        <v>759</v>
      </c>
      <c r="S81" s="123"/>
    </row>
    <row r="82" spans="1:19">
      <c r="A82" s="41" t="s">
        <v>286</v>
      </c>
      <c r="B82" s="41"/>
      <c r="C82" s="41">
        <v>38506910</v>
      </c>
      <c r="G82" s="84" t="s">
        <v>744</v>
      </c>
      <c r="H82" s="29" t="s">
        <v>287</v>
      </c>
      <c r="I82" s="42">
        <v>45695</v>
      </c>
      <c r="J82" s="29"/>
      <c r="K82" s="29"/>
      <c r="L82" s="29"/>
      <c r="M82" s="29"/>
      <c r="N82" s="29"/>
      <c r="O82" s="29"/>
      <c r="P82" s="29"/>
      <c r="Q82" s="81"/>
      <c r="R82" s="41" t="s">
        <v>760</v>
      </c>
      <c r="S82" s="123"/>
    </row>
    <row r="83" spans="1:19">
      <c r="A83" s="41" t="s">
        <v>286</v>
      </c>
      <c r="B83" s="41"/>
      <c r="C83" s="41">
        <v>38506913</v>
      </c>
      <c r="G83" s="84" t="s">
        <v>744</v>
      </c>
      <c r="H83" s="29" t="s">
        <v>287</v>
      </c>
      <c r="I83" s="42">
        <v>45695</v>
      </c>
      <c r="J83" s="29"/>
      <c r="K83" s="29"/>
      <c r="L83" s="29"/>
      <c r="M83" s="29"/>
      <c r="N83" s="29"/>
      <c r="O83" s="29"/>
      <c r="P83" s="29"/>
      <c r="Q83" s="81"/>
      <c r="R83" s="41" t="s">
        <v>761</v>
      </c>
      <c r="S83" s="123"/>
    </row>
    <row r="84" spans="1:19">
      <c r="A84" s="41" t="s">
        <v>286</v>
      </c>
      <c r="B84" s="41"/>
      <c r="C84" s="41">
        <v>41510329</v>
      </c>
      <c r="G84" s="84" t="s">
        <v>744</v>
      </c>
      <c r="H84" s="29" t="s">
        <v>287</v>
      </c>
      <c r="I84" s="42">
        <v>45698</v>
      </c>
      <c r="J84" s="29"/>
      <c r="K84" s="29"/>
      <c r="L84" s="29"/>
      <c r="M84" s="29"/>
      <c r="N84" s="29"/>
      <c r="O84" s="29"/>
      <c r="P84" s="29"/>
      <c r="Q84" s="81"/>
      <c r="R84" s="41" t="s">
        <v>762</v>
      </c>
      <c r="S84" s="123"/>
    </row>
    <row r="85" spans="1:19">
      <c r="A85" s="41" t="s">
        <v>286</v>
      </c>
      <c r="B85" s="41"/>
      <c r="C85" s="41">
        <v>41510351</v>
      </c>
      <c r="G85" s="84" t="s">
        <v>744</v>
      </c>
      <c r="H85" s="29" t="s">
        <v>287</v>
      </c>
      <c r="I85" s="42">
        <v>45698</v>
      </c>
      <c r="J85" s="29"/>
      <c r="K85" s="29"/>
      <c r="L85" s="29"/>
      <c r="M85" s="29"/>
      <c r="N85" s="29"/>
      <c r="O85" s="29"/>
      <c r="P85" s="29"/>
      <c r="Q85" s="81"/>
      <c r="R85" s="41" t="s">
        <v>763</v>
      </c>
      <c r="S85" s="123"/>
    </row>
    <row r="86" spans="1:19">
      <c r="A86" s="41" t="s">
        <v>286</v>
      </c>
      <c r="B86" s="41"/>
      <c r="C86" s="41">
        <v>41510370</v>
      </c>
      <c r="G86" s="84" t="s">
        <v>744</v>
      </c>
      <c r="H86" s="29" t="s">
        <v>287</v>
      </c>
      <c r="I86" s="42">
        <v>45698</v>
      </c>
      <c r="J86" s="29"/>
      <c r="K86" s="29"/>
      <c r="L86" s="29"/>
      <c r="M86" s="29"/>
      <c r="N86" s="29"/>
      <c r="O86" s="29"/>
      <c r="P86" s="29"/>
      <c r="Q86" s="81"/>
      <c r="R86" s="41" t="s">
        <v>764</v>
      </c>
      <c r="S86" s="123"/>
    </row>
    <row r="87" spans="1:19">
      <c r="A87" s="41" t="s">
        <v>286</v>
      </c>
      <c r="B87" s="41"/>
      <c r="C87" s="41">
        <v>41510380</v>
      </c>
      <c r="G87" s="84" t="s">
        <v>744</v>
      </c>
      <c r="H87" s="29" t="s">
        <v>287</v>
      </c>
      <c r="I87" s="42">
        <v>45698</v>
      </c>
      <c r="J87" s="29"/>
      <c r="K87" s="29"/>
      <c r="L87" s="29"/>
      <c r="M87" s="29"/>
      <c r="N87" s="29"/>
      <c r="O87" s="29"/>
      <c r="P87" s="29"/>
      <c r="Q87" s="81"/>
      <c r="R87" s="41" t="s">
        <v>765</v>
      </c>
      <c r="S87" s="123"/>
    </row>
    <row r="88" spans="1:19">
      <c r="A88" s="41" t="s">
        <v>286</v>
      </c>
      <c r="B88" s="41"/>
      <c r="C88" s="41">
        <v>41510390</v>
      </c>
      <c r="G88" s="84" t="s">
        <v>744</v>
      </c>
      <c r="H88" s="29" t="s">
        <v>287</v>
      </c>
      <c r="I88" s="42">
        <v>45698</v>
      </c>
      <c r="J88" s="29"/>
      <c r="K88" s="29"/>
      <c r="L88" s="29"/>
      <c r="M88" s="29"/>
      <c r="N88" s="29"/>
      <c r="O88" s="29"/>
      <c r="P88" s="29"/>
      <c r="Q88" s="81"/>
      <c r="R88" s="41" t="s">
        <v>766</v>
      </c>
      <c r="S88" s="123"/>
    </row>
    <row r="89" spans="1:19">
      <c r="A89" s="41" t="s">
        <v>286</v>
      </c>
      <c r="B89" s="41"/>
      <c r="C89" s="41">
        <v>41510403</v>
      </c>
      <c r="G89" s="84" t="s">
        <v>744</v>
      </c>
      <c r="H89" s="29" t="s">
        <v>287</v>
      </c>
      <c r="I89" s="42">
        <v>45698</v>
      </c>
      <c r="J89" s="29"/>
      <c r="K89" s="29"/>
      <c r="L89" s="29"/>
      <c r="M89" s="29"/>
      <c r="N89" s="29"/>
      <c r="O89" s="29"/>
      <c r="P89" s="29"/>
      <c r="Q89" s="81"/>
      <c r="R89" s="41" t="s">
        <v>767</v>
      </c>
      <c r="S89" s="123"/>
    </row>
    <row r="90" spans="1:19">
      <c r="A90" s="41" t="s">
        <v>286</v>
      </c>
      <c r="B90" s="41"/>
      <c r="C90" s="41">
        <v>41510416</v>
      </c>
      <c r="G90" s="84" t="s">
        <v>744</v>
      </c>
      <c r="H90" s="29" t="s">
        <v>287</v>
      </c>
      <c r="I90" s="42">
        <v>45698</v>
      </c>
      <c r="J90" s="29"/>
      <c r="K90" s="29"/>
      <c r="L90" s="29"/>
      <c r="M90" s="29"/>
      <c r="N90" s="29"/>
      <c r="O90" s="29"/>
      <c r="P90" s="29"/>
      <c r="Q90" s="81"/>
      <c r="R90" s="41" t="s">
        <v>768</v>
      </c>
      <c r="S90" s="123"/>
    </row>
    <row r="91" spans="1:19">
      <c r="A91" s="41" t="s">
        <v>286</v>
      </c>
      <c r="B91" s="41"/>
      <c r="C91" s="41">
        <v>41510437</v>
      </c>
      <c r="G91" s="84" t="s">
        <v>744</v>
      </c>
      <c r="H91" s="29" t="s">
        <v>287</v>
      </c>
      <c r="I91" s="42">
        <v>45698</v>
      </c>
      <c r="J91" s="29"/>
      <c r="K91" s="29"/>
      <c r="L91" s="29"/>
      <c r="M91" s="29"/>
      <c r="N91" s="29"/>
      <c r="O91" s="29"/>
      <c r="P91" s="29"/>
      <c r="Q91" s="81"/>
      <c r="R91" s="41" t="s">
        <v>769</v>
      </c>
      <c r="S91" s="123"/>
    </row>
    <row r="92" spans="1:19">
      <c r="A92" s="41" t="s">
        <v>286</v>
      </c>
      <c r="B92" s="41"/>
      <c r="C92" s="41">
        <v>41510441</v>
      </c>
      <c r="G92" s="84" t="s">
        <v>744</v>
      </c>
      <c r="H92" s="29" t="s">
        <v>287</v>
      </c>
      <c r="I92" s="42">
        <v>45698</v>
      </c>
      <c r="J92" s="29"/>
      <c r="K92" s="29"/>
      <c r="L92" s="29"/>
      <c r="M92" s="29"/>
      <c r="N92" s="29"/>
      <c r="O92" s="29"/>
      <c r="P92" s="29"/>
      <c r="Q92" s="81"/>
      <c r="R92" s="41" t="s">
        <v>770</v>
      </c>
      <c r="S92" s="123"/>
    </row>
    <row r="93" spans="1:19">
      <c r="A93" s="41" t="s">
        <v>286</v>
      </c>
      <c r="B93" s="41"/>
      <c r="C93" s="41">
        <v>41510452</v>
      </c>
      <c r="G93" s="84" t="s">
        <v>744</v>
      </c>
      <c r="H93" s="29" t="s">
        <v>287</v>
      </c>
      <c r="I93" s="42">
        <v>45698</v>
      </c>
      <c r="J93" s="29"/>
      <c r="K93" s="29"/>
      <c r="L93" s="29"/>
      <c r="M93" s="29"/>
      <c r="N93" s="29"/>
      <c r="O93" s="29"/>
      <c r="P93" s="29"/>
      <c r="Q93" s="81"/>
      <c r="R93" s="41" t="s">
        <v>771</v>
      </c>
      <c r="S93" s="123"/>
    </row>
    <row r="94" spans="1:19">
      <c r="A94" s="41" t="s">
        <v>286</v>
      </c>
      <c r="B94" s="41"/>
      <c r="C94" s="41">
        <v>41510470</v>
      </c>
      <c r="G94" s="84" t="s">
        <v>744</v>
      </c>
      <c r="H94" s="29" t="s">
        <v>287</v>
      </c>
      <c r="I94" s="42">
        <v>45698</v>
      </c>
      <c r="J94" s="29"/>
      <c r="K94" s="29"/>
      <c r="L94" s="29"/>
      <c r="M94" s="29"/>
      <c r="N94" s="29"/>
      <c r="O94" s="29"/>
      <c r="P94" s="29"/>
      <c r="Q94" s="81"/>
      <c r="R94" s="41" t="s">
        <v>772</v>
      </c>
      <c r="S94" s="123"/>
    </row>
    <row r="95" spans="1:19">
      <c r="A95" s="41" t="s">
        <v>286</v>
      </c>
      <c r="B95" s="41"/>
      <c r="C95" s="41">
        <v>41510481</v>
      </c>
      <c r="G95" s="84" t="s">
        <v>744</v>
      </c>
      <c r="H95" s="29" t="s">
        <v>287</v>
      </c>
      <c r="I95" s="42">
        <v>45698</v>
      </c>
      <c r="J95" s="29"/>
      <c r="K95" s="29"/>
      <c r="L95" s="29"/>
      <c r="M95" s="29"/>
      <c r="N95" s="29"/>
      <c r="O95" s="29"/>
      <c r="P95" s="29"/>
      <c r="Q95" s="81"/>
      <c r="R95" s="41" t="s">
        <v>773</v>
      </c>
      <c r="S95" s="123"/>
    </row>
    <row r="96" spans="1:19">
      <c r="A96" s="41" t="s">
        <v>286</v>
      </c>
      <c r="B96" s="41"/>
      <c r="C96" s="41">
        <v>41510494</v>
      </c>
      <c r="G96" s="84" t="s">
        <v>744</v>
      </c>
      <c r="H96" s="29" t="s">
        <v>287</v>
      </c>
      <c r="I96" s="42">
        <v>45698</v>
      </c>
      <c r="J96" s="29"/>
      <c r="K96" s="29"/>
      <c r="L96" s="29"/>
      <c r="M96" s="29"/>
      <c r="N96" s="29"/>
      <c r="O96" s="29"/>
      <c r="P96" s="29"/>
      <c r="Q96" s="81"/>
      <c r="R96" s="41" t="s">
        <v>774</v>
      </c>
      <c r="S96" s="123"/>
    </row>
    <row r="97" spans="1:19">
      <c r="A97" s="29" t="s">
        <v>286</v>
      </c>
      <c r="B97" s="29"/>
      <c r="C97" s="29">
        <v>38506913</v>
      </c>
      <c r="G97" s="29" t="s">
        <v>744</v>
      </c>
      <c r="H97" s="29" t="s">
        <v>287</v>
      </c>
      <c r="I97" s="120">
        <v>45694</v>
      </c>
      <c r="J97" s="29"/>
      <c r="K97" s="29"/>
      <c r="L97" s="29"/>
      <c r="M97" s="29"/>
      <c r="N97" s="29"/>
      <c r="O97" s="29"/>
      <c r="P97" s="29"/>
      <c r="Q97" s="81"/>
      <c r="R97" s="29" t="s">
        <v>288</v>
      </c>
      <c r="S97" s="123"/>
    </row>
    <row r="98" spans="1:19">
      <c r="A98" s="29" t="s">
        <v>286</v>
      </c>
      <c r="B98" s="29"/>
      <c r="C98" s="29">
        <v>38506910</v>
      </c>
      <c r="G98" s="29" t="s">
        <v>744</v>
      </c>
      <c r="H98" s="29" t="s">
        <v>287</v>
      </c>
      <c r="I98" s="120">
        <v>45694</v>
      </c>
      <c r="J98" s="29"/>
      <c r="K98" s="29"/>
      <c r="L98" s="29"/>
      <c r="M98" s="29"/>
      <c r="N98" s="29"/>
      <c r="O98" s="29"/>
      <c r="P98" s="29"/>
      <c r="Q98" s="81"/>
      <c r="R98" s="29" t="s">
        <v>397</v>
      </c>
      <c r="S98" s="123"/>
    </row>
    <row r="99" spans="1:19">
      <c r="A99" s="29" t="s">
        <v>286</v>
      </c>
      <c r="B99" s="29"/>
      <c r="C99" s="29">
        <v>38506907</v>
      </c>
      <c r="G99" s="29" t="s">
        <v>744</v>
      </c>
      <c r="H99" s="29" t="s">
        <v>287</v>
      </c>
      <c r="I99" s="120">
        <v>45694</v>
      </c>
      <c r="J99" s="29"/>
      <c r="K99" s="29"/>
      <c r="L99" s="29"/>
      <c r="M99" s="29"/>
      <c r="N99" s="29"/>
      <c r="O99" s="29"/>
      <c r="P99" s="29"/>
      <c r="Q99" s="81"/>
      <c r="R99" s="29" t="s">
        <v>398</v>
      </c>
      <c r="S99" s="123"/>
    </row>
    <row r="100" spans="1:19">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c r="A108" s="29" t="s">
        <v>775</v>
      </c>
      <c r="B108" s="29"/>
      <c r="C108" s="29">
        <v>37506123</v>
      </c>
      <c r="G108" s="29" t="s">
        <v>744</v>
      </c>
      <c r="H108" s="29" t="s">
        <v>185</v>
      </c>
      <c r="I108" s="120">
        <v>45694</v>
      </c>
      <c r="J108" s="29"/>
      <c r="K108" s="29"/>
      <c r="L108" s="29"/>
      <c r="M108" s="29"/>
      <c r="N108" s="29"/>
      <c r="O108" s="29"/>
      <c r="P108" s="29"/>
      <c r="Q108" s="81"/>
      <c r="R108" s="29" t="s">
        <v>776</v>
      </c>
      <c r="S108" s="123"/>
    </row>
    <row r="109" spans="1:19">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c r="A154" s="29" t="s">
        <v>229</v>
      </c>
      <c r="B154" s="29"/>
      <c r="C154" s="29">
        <v>18500300</v>
      </c>
      <c r="G154" s="29" t="s">
        <v>744</v>
      </c>
      <c r="H154" s="29" t="s">
        <v>212</v>
      </c>
      <c r="I154" s="120">
        <v>45675</v>
      </c>
      <c r="J154" s="29"/>
      <c r="K154" s="29"/>
      <c r="L154" s="29"/>
      <c r="M154" s="29"/>
      <c r="N154" s="29"/>
      <c r="O154" s="29"/>
      <c r="P154" s="29"/>
      <c r="Q154" s="81"/>
      <c r="R154" s="29"/>
      <c r="S154" s="123"/>
    </row>
    <row r="155" spans="1:19">
      <c r="A155" s="29" t="s">
        <v>229</v>
      </c>
      <c r="B155" s="29"/>
      <c r="C155" s="29">
        <v>18500282</v>
      </c>
      <c r="G155" s="29" t="s">
        <v>744</v>
      </c>
      <c r="H155" s="29" t="s">
        <v>212</v>
      </c>
      <c r="I155" s="120">
        <v>45675</v>
      </c>
      <c r="J155" s="29"/>
      <c r="K155" s="29"/>
      <c r="L155" s="29"/>
      <c r="M155" s="29"/>
      <c r="N155" s="29"/>
      <c r="O155" s="29"/>
      <c r="P155" s="29"/>
      <c r="Q155" s="81"/>
      <c r="R155" s="29"/>
      <c r="S155" s="123"/>
    </row>
    <row r="156" spans="1:19">
      <c r="A156" s="29" t="s">
        <v>229</v>
      </c>
      <c r="B156" s="29"/>
      <c r="C156" s="29">
        <v>18500294</v>
      </c>
      <c r="G156" s="29" t="s">
        <v>744</v>
      </c>
      <c r="H156" s="29" t="s">
        <v>212</v>
      </c>
      <c r="I156" s="120">
        <v>45675</v>
      </c>
      <c r="J156" s="29"/>
      <c r="K156" s="29"/>
      <c r="L156" s="29"/>
      <c r="M156" s="29"/>
      <c r="N156" s="29"/>
      <c r="O156" s="29"/>
      <c r="P156" s="29"/>
      <c r="Q156" s="81"/>
      <c r="R156" s="29"/>
      <c r="S156" s="123"/>
    </row>
    <row r="157" spans="1:19">
      <c r="A157" s="29" t="s">
        <v>229</v>
      </c>
      <c r="B157" s="29"/>
      <c r="C157" s="29">
        <v>18500272</v>
      </c>
      <c r="G157" s="29" t="s">
        <v>744</v>
      </c>
      <c r="H157" s="29" t="s">
        <v>212</v>
      </c>
      <c r="I157" s="120">
        <v>45675</v>
      </c>
      <c r="J157" s="29"/>
      <c r="K157" s="29"/>
      <c r="L157" s="29"/>
      <c r="M157" s="29"/>
      <c r="N157" s="29"/>
      <c r="O157" s="29"/>
      <c r="P157" s="29"/>
      <c r="Q157" s="81"/>
      <c r="R157" s="29"/>
      <c r="S157" s="123"/>
    </row>
    <row r="158" spans="1:19">
      <c r="A158" s="29" t="s">
        <v>229</v>
      </c>
      <c r="B158" s="29"/>
      <c r="C158" s="29">
        <v>18500276</v>
      </c>
      <c r="G158" s="29" t="s">
        <v>744</v>
      </c>
      <c r="H158" s="29" t="s">
        <v>212</v>
      </c>
      <c r="I158" s="120">
        <v>45675</v>
      </c>
      <c r="J158" s="29"/>
      <c r="K158" s="29"/>
      <c r="L158" s="29"/>
      <c r="M158" s="29"/>
      <c r="N158" s="29"/>
      <c r="O158" s="29"/>
      <c r="P158" s="29"/>
      <c r="Q158" s="81"/>
      <c r="R158" s="29"/>
      <c r="S158" s="123"/>
    </row>
    <row r="159" spans="1:19">
      <c r="A159" s="147" t="s">
        <v>229</v>
      </c>
      <c r="B159" s="147"/>
      <c r="C159" s="29">
        <v>21507602</v>
      </c>
      <c r="G159" s="29" t="s">
        <v>744</v>
      </c>
      <c r="H159" s="29" t="s">
        <v>235</v>
      </c>
      <c r="I159" s="120">
        <v>45679</v>
      </c>
      <c r="J159" s="29"/>
      <c r="K159" s="29"/>
      <c r="L159" s="29"/>
      <c r="M159" s="29"/>
      <c r="N159" s="29"/>
      <c r="O159" s="29"/>
      <c r="P159" s="29"/>
      <c r="Q159" s="81"/>
      <c r="R159" s="29"/>
      <c r="S159" s="123"/>
    </row>
    <row r="160" spans="1:19">
      <c r="A160" s="147" t="s">
        <v>229</v>
      </c>
      <c r="B160" s="147"/>
      <c r="C160" s="29">
        <v>22500600</v>
      </c>
      <c r="G160" s="29" t="s">
        <v>744</v>
      </c>
      <c r="H160" s="29" t="s">
        <v>235</v>
      </c>
      <c r="I160" s="120">
        <v>45679</v>
      </c>
      <c r="J160" s="29"/>
      <c r="K160" s="29"/>
      <c r="L160" s="29"/>
      <c r="M160" s="29"/>
      <c r="N160" s="29"/>
      <c r="O160" s="29"/>
      <c r="P160" s="29"/>
      <c r="Q160" s="81"/>
      <c r="R160" s="29"/>
      <c r="S160" s="123"/>
    </row>
    <row r="161" spans="1:19">
      <c r="A161" s="147" t="s">
        <v>229</v>
      </c>
      <c r="B161" s="147"/>
      <c r="C161" s="29">
        <v>22500667</v>
      </c>
      <c r="G161" s="29" t="s">
        <v>744</v>
      </c>
      <c r="H161" s="29" t="s">
        <v>235</v>
      </c>
      <c r="I161" s="120">
        <v>45679</v>
      </c>
      <c r="J161" s="29"/>
      <c r="K161" s="29"/>
      <c r="L161" s="29"/>
      <c r="M161" s="29"/>
      <c r="N161" s="29"/>
      <c r="O161" s="29"/>
      <c r="P161" s="29"/>
      <c r="Q161" s="81"/>
      <c r="R161" s="29"/>
      <c r="S161" s="123"/>
    </row>
    <row r="162" spans="1:19">
      <c r="A162" s="147" t="s">
        <v>229</v>
      </c>
      <c r="B162" s="147"/>
      <c r="C162" s="29">
        <v>22500718</v>
      </c>
      <c r="G162" s="29" t="s">
        <v>744</v>
      </c>
      <c r="H162" s="29" t="s">
        <v>235</v>
      </c>
      <c r="I162" s="120">
        <v>45679</v>
      </c>
      <c r="J162" s="29"/>
      <c r="K162" s="29"/>
      <c r="L162" s="29"/>
      <c r="M162" s="29"/>
      <c r="N162" s="29"/>
      <c r="O162" s="29"/>
      <c r="P162" s="29"/>
      <c r="Q162" s="81"/>
      <c r="R162" s="29"/>
      <c r="S162" s="123"/>
    </row>
    <row r="163" spans="1:19">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c r="A215" s="29" t="s">
        <v>775</v>
      </c>
      <c r="B215" s="29"/>
      <c r="C215" s="29">
        <v>37505682</v>
      </c>
      <c r="G215" s="29" t="s">
        <v>744</v>
      </c>
      <c r="H215" s="29" t="s">
        <v>185</v>
      </c>
      <c r="I215" s="120">
        <v>45694</v>
      </c>
      <c r="J215" s="29"/>
      <c r="K215" s="29"/>
      <c r="L215" s="29"/>
      <c r="M215" s="29"/>
      <c r="N215" s="29"/>
      <c r="O215" s="29"/>
      <c r="P215" s="29"/>
      <c r="Q215" s="81"/>
      <c r="R215" s="29" t="s">
        <v>781</v>
      </c>
      <c r="S215" s="123"/>
    </row>
    <row r="216" spans="1:19">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c r="A217" s="29" t="s">
        <v>775</v>
      </c>
      <c r="B217" s="29"/>
      <c r="C217" s="29">
        <v>37505858</v>
      </c>
      <c r="G217" s="29" t="s">
        <v>744</v>
      </c>
      <c r="H217" s="29" t="s">
        <v>185</v>
      </c>
      <c r="I217" s="120">
        <v>45694</v>
      </c>
      <c r="J217" s="29"/>
      <c r="K217" s="29"/>
      <c r="L217" s="29"/>
      <c r="M217" s="29"/>
      <c r="N217" s="29"/>
      <c r="O217" s="29"/>
      <c r="P217" s="29"/>
      <c r="Q217" s="81"/>
      <c r="R217" s="29" t="s">
        <v>781</v>
      </c>
      <c r="S217" s="123"/>
    </row>
    <row r="218" spans="1:19">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c r="A220" s="29" t="s">
        <v>775</v>
      </c>
      <c r="B220" s="29"/>
      <c r="C220" s="29">
        <v>37505252</v>
      </c>
      <c r="G220" s="29" t="s">
        <v>744</v>
      </c>
      <c r="H220" s="29" t="s">
        <v>185</v>
      </c>
      <c r="I220" s="120">
        <v>45694</v>
      </c>
      <c r="J220" s="29"/>
      <c r="K220" s="29"/>
      <c r="L220" s="29"/>
      <c r="M220" s="29"/>
      <c r="N220" s="29"/>
      <c r="O220" s="29"/>
      <c r="P220" s="29"/>
      <c r="Q220" s="81"/>
      <c r="R220" s="29" t="s">
        <v>783</v>
      </c>
      <c r="S220" s="123"/>
    </row>
    <row r="221" spans="1:19">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c r="A226" s="29" t="s">
        <v>775</v>
      </c>
      <c r="B226" s="29"/>
      <c r="C226" s="29">
        <v>36501750</v>
      </c>
      <c r="G226" s="29" t="s">
        <v>744</v>
      </c>
      <c r="H226" s="29" t="s">
        <v>185</v>
      </c>
      <c r="I226" s="120">
        <v>45692</v>
      </c>
      <c r="J226" s="29"/>
      <c r="K226" s="29"/>
      <c r="L226" s="29"/>
      <c r="M226" s="29"/>
      <c r="N226" s="29"/>
      <c r="O226" s="29"/>
      <c r="P226" s="29"/>
      <c r="Q226" s="81"/>
      <c r="R226" s="29" t="s">
        <v>784</v>
      </c>
      <c r="S226" s="123"/>
    </row>
    <row r="227" spans="1:19">
      <c r="A227" s="29" t="s">
        <v>775</v>
      </c>
      <c r="B227" s="29"/>
      <c r="C227" s="29">
        <v>36501703</v>
      </c>
      <c r="G227" s="29" t="s">
        <v>744</v>
      </c>
      <c r="H227" s="29" t="s">
        <v>185</v>
      </c>
      <c r="I227" s="120">
        <v>45692</v>
      </c>
      <c r="J227" s="29"/>
      <c r="K227" s="29"/>
      <c r="L227" s="29"/>
      <c r="M227" s="29"/>
      <c r="N227" s="29"/>
      <c r="O227" s="29"/>
      <c r="P227" s="29"/>
      <c r="Q227" s="81"/>
      <c r="R227" s="29" t="s">
        <v>354</v>
      </c>
      <c r="S227" s="123"/>
    </row>
    <row r="228" spans="1:19">
      <c r="A228" s="29" t="s">
        <v>775</v>
      </c>
      <c r="B228" s="29"/>
      <c r="C228" s="29">
        <v>36501220</v>
      </c>
      <c r="G228" s="29" t="s">
        <v>744</v>
      </c>
      <c r="H228" s="29" t="s">
        <v>185</v>
      </c>
      <c r="I228" s="120">
        <v>45692</v>
      </c>
      <c r="J228" s="29"/>
      <c r="K228" s="29"/>
      <c r="L228" s="29"/>
      <c r="M228" s="29"/>
      <c r="N228" s="29"/>
      <c r="O228" s="29"/>
      <c r="P228" s="29"/>
      <c r="Q228" s="81"/>
      <c r="R228" s="29" t="s">
        <v>391</v>
      </c>
      <c r="S228" s="123"/>
    </row>
    <row r="229" spans="1:19">
      <c r="A229" s="29" t="s">
        <v>775</v>
      </c>
      <c r="B229" s="29"/>
      <c r="C229" s="29">
        <v>35509618</v>
      </c>
      <c r="G229" s="29" t="s">
        <v>744</v>
      </c>
      <c r="H229" s="29" t="s">
        <v>185</v>
      </c>
      <c r="I229" s="120">
        <v>45691</v>
      </c>
      <c r="J229" s="29"/>
      <c r="K229" s="29"/>
      <c r="L229" s="29"/>
      <c r="M229" s="29"/>
      <c r="N229" s="29"/>
      <c r="O229" s="29"/>
      <c r="P229" s="29"/>
      <c r="Q229" s="81"/>
      <c r="R229" s="29" t="s">
        <v>785</v>
      </c>
      <c r="S229" s="123"/>
    </row>
    <row r="230" spans="1:19">
      <c r="A230" s="29" t="s">
        <v>775</v>
      </c>
      <c r="B230" s="29"/>
      <c r="C230" s="29">
        <v>35509633</v>
      </c>
      <c r="G230" s="29" t="s">
        <v>744</v>
      </c>
      <c r="H230" s="29" t="s">
        <v>185</v>
      </c>
      <c r="I230" s="120">
        <v>45691</v>
      </c>
      <c r="J230" s="29"/>
      <c r="K230" s="29"/>
      <c r="L230" s="29"/>
      <c r="M230" s="29"/>
      <c r="N230" s="29"/>
      <c r="O230" s="29"/>
      <c r="P230" s="29"/>
      <c r="Q230" s="81"/>
      <c r="R230" s="29" t="s">
        <v>786</v>
      </c>
      <c r="S230" s="123"/>
    </row>
    <row r="231" spans="1:19">
      <c r="A231" s="29" t="s">
        <v>775</v>
      </c>
      <c r="B231" s="29"/>
      <c r="C231" s="29">
        <v>35509658</v>
      </c>
      <c r="G231" s="29" t="s">
        <v>744</v>
      </c>
      <c r="H231" s="29" t="s">
        <v>185</v>
      </c>
      <c r="I231" s="120">
        <v>45691</v>
      </c>
      <c r="J231" s="29"/>
      <c r="K231" s="29"/>
      <c r="L231" s="29"/>
      <c r="M231" s="29"/>
      <c r="N231" s="29"/>
      <c r="O231" s="29"/>
      <c r="P231" s="29"/>
      <c r="Q231" s="81"/>
      <c r="R231" s="29" t="s">
        <v>787</v>
      </c>
      <c r="S231" s="123"/>
    </row>
    <row r="232" spans="1:19">
      <c r="A232" s="29" t="s">
        <v>775</v>
      </c>
      <c r="B232" s="29"/>
      <c r="C232" s="29">
        <v>37506038</v>
      </c>
      <c r="G232" s="29" t="s">
        <v>744</v>
      </c>
      <c r="H232" s="29" t="s">
        <v>185</v>
      </c>
      <c r="I232" s="120">
        <v>45694</v>
      </c>
      <c r="J232" s="29"/>
      <c r="K232" s="29"/>
      <c r="L232" s="29"/>
      <c r="M232" s="29"/>
      <c r="N232" s="29"/>
      <c r="O232" s="29"/>
      <c r="P232" s="29"/>
      <c r="Q232" s="81"/>
      <c r="R232" s="29" t="s">
        <v>788</v>
      </c>
      <c r="S232" s="123"/>
    </row>
    <row r="233" spans="1:19">
      <c r="A233" s="29" t="s">
        <v>775</v>
      </c>
      <c r="B233" s="29"/>
      <c r="C233" s="29">
        <v>37505985</v>
      </c>
      <c r="G233" s="29" t="s">
        <v>744</v>
      </c>
      <c r="H233" s="29" t="s">
        <v>185</v>
      </c>
      <c r="I233" s="120">
        <v>45694</v>
      </c>
      <c r="J233" s="29"/>
      <c r="K233" s="29"/>
      <c r="L233" s="29"/>
      <c r="M233" s="29"/>
      <c r="N233" s="29"/>
      <c r="O233" s="29"/>
      <c r="P233" s="29"/>
      <c r="Q233" s="81"/>
      <c r="R233" s="29" t="s">
        <v>789</v>
      </c>
      <c r="S233" s="123"/>
    </row>
    <row r="234" spans="1:19">
      <c r="A234" s="29" t="s">
        <v>775</v>
      </c>
      <c r="B234" s="29"/>
      <c r="C234" s="29">
        <v>37505961</v>
      </c>
      <c r="G234" s="29" t="s">
        <v>744</v>
      </c>
      <c r="H234" s="29" t="s">
        <v>185</v>
      </c>
      <c r="I234" s="120">
        <v>45694</v>
      </c>
      <c r="J234" s="29"/>
      <c r="K234" s="29"/>
      <c r="L234" s="29"/>
      <c r="M234" s="29"/>
      <c r="N234" s="29"/>
      <c r="O234" s="29"/>
      <c r="P234" s="29"/>
      <c r="Q234" s="81"/>
      <c r="R234" s="29" t="s">
        <v>790</v>
      </c>
      <c r="S234" s="123"/>
    </row>
    <row r="235" spans="1:19">
      <c r="A235" s="29" t="s">
        <v>775</v>
      </c>
      <c r="B235" s="29"/>
      <c r="C235" s="29">
        <v>37505929</v>
      </c>
      <c r="G235" s="29" t="s">
        <v>744</v>
      </c>
      <c r="H235" s="29" t="s">
        <v>185</v>
      </c>
      <c r="I235" s="120">
        <v>45694</v>
      </c>
      <c r="J235" s="29"/>
      <c r="K235" s="29"/>
      <c r="L235" s="29"/>
      <c r="M235" s="29"/>
      <c r="N235" s="29"/>
      <c r="O235" s="29"/>
      <c r="P235" s="29"/>
      <c r="Q235" s="81"/>
      <c r="R235" s="29" t="s">
        <v>781</v>
      </c>
      <c r="S235" s="123"/>
    </row>
    <row r="236" spans="1:19">
      <c r="A236" s="29" t="s">
        <v>775</v>
      </c>
      <c r="B236" s="29"/>
      <c r="C236" s="29">
        <v>37505902</v>
      </c>
      <c r="G236" s="29" t="s">
        <v>744</v>
      </c>
      <c r="H236" s="29" t="s">
        <v>185</v>
      </c>
      <c r="I236" s="120">
        <v>45694</v>
      </c>
      <c r="J236" s="29"/>
      <c r="K236" s="29"/>
      <c r="L236" s="29"/>
      <c r="M236" s="29"/>
      <c r="N236" s="29"/>
      <c r="O236" s="29"/>
      <c r="P236" s="29"/>
      <c r="Q236" s="81"/>
      <c r="R236" s="29" t="s">
        <v>781</v>
      </c>
      <c r="S236" s="123"/>
    </row>
    <row r="237" spans="1:19">
      <c r="A237" s="29" t="s">
        <v>775</v>
      </c>
      <c r="B237" s="29"/>
      <c r="C237" s="29">
        <v>37505642</v>
      </c>
      <c r="G237" s="29" t="s">
        <v>744</v>
      </c>
      <c r="H237" s="29" t="s">
        <v>185</v>
      </c>
      <c r="I237" s="120">
        <v>45694</v>
      </c>
      <c r="J237" s="29"/>
      <c r="K237" s="29"/>
      <c r="L237" s="29"/>
      <c r="M237" s="29"/>
      <c r="N237" s="29"/>
      <c r="O237" s="29"/>
      <c r="P237" s="29"/>
      <c r="Q237" s="81"/>
      <c r="R237" s="29" t="s">
        <v>791</v>
      </c>
      <c r="S237" s="123"/>
    </row>
    <row r="238" spans="1:19">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c r="A239" s="29" t="s">
        <v>775</v>
      </c>
      <c r="B239" s="29"/>
      <c r="C239" s="29">
        <v>37505599</v>
      </c>
      <c r="G239" s="29" t="s">
        <v>744</v>
      </c>
      <c r="H239" s="29" t="s">
        <v>185</v>
      </c>
      <c r="I239" s="120">
        <v>45694</v>
      </c>
      <c r="J239" s="29"/>
      <c r="K239" s="29"/>
      <c r="L239" s="29"/>
      <c r="M239" s="29"/>
      <c r="N239" s="29"/>
      <c r="O239" s="29"/>
      <c r="P239" s="29"/>
      <c r="Q239" s="81"/>
      <c r="R239" s="29" t="s">
        <v>783</v>
      </c>
      <c r="S239" s="123"/>
    </row>
    <row r="240" spans="1:19">
      <c r="A240" s="29" t="s">
        <v>775</v>
      </c>
      <c r="B240" s="29"/>
      <c r="C240" s="29">
        <v>37505280</v>
      </c>
      <c r="G240" s="29" t="s">
        <v>744</v>
      </c>
      <c r="H240" s="29" t="s">
        <v>185</v>
      </c>
      <c r="I240" s="120">
        <v>45694</v>
      </c>
      <c r="J240" s="29"/>
      <c r="K240" s="29"/>
      <c r="L240" s="29"/>
      <c r="M240" s="29"/>
      <c r="N240" s="29"/>
      <c r="O240" s="29"/>
      <c r="P240" s="29"/>
      <c r="Q240" s="81"/>
      <c r="R240" s="29" t="s">
        <v>783</v>
      </c>
      <c r="S240" s="123"/>
    </row>
    <row r="241" spans="1:19">
      <c r="A241" s="29" t="s">
        <v>775</v>
      </c>
      <c r="B241" s="29"/>
      <c r="C241" s="29">
        <v>37506111</v>
      </c>
      <c r="G241" s="29" t="s">
        <v>744</v>
      </c>
      <c r="H241" s="29" t="s">
        <v>185</v>
      </c>
      <c r="I241" s="120">
        <v>45694</v>
      </c>
      <c r="J241" s="29"/>
      <c r="K241" s="29"/>
      <c r="L241" s="29"/>
      <c r="M241" s="29"/>
      <c r="N241" s="29"/>
      <c r="O241" s="29"/>
      <c r="P241" s="29"/>
      <c r="Q241" s="81"/>
      <c r="R241" s="29" t="s">
        <v>793</v>
      </c>
      <c r="S241" s="123"/>
    </row>
    <row r="242" spans="1:19">
      <c r="A242" s="29" t="s">
        <v>775</v>
      </c>
      <c r="B242" s="29"/>
      <c r="C242" s="29">
        <v>37506073</v>
      </c>
      <c r="G242" s="29" t="s">
        <v>744</v>
      </c>
      <c r="H242" s="29" t="s">
        <v>185</v>
      </c>
      <c r="I242" s="120">
        <v>45694</v>
      </c>
      <c r="J242" s="29"/>
      <c r="K242" s="29"/>
      <c r="L242" s="29"/>
      <c r="M242" s="29"/>
      <c r="N242" s="29"/>
      <c r="O242" s="29"/>
      <c r="P242" s="29"/>
      <c r="Q242" s="81"/>
      <c r="R242" s="29" t="s">
        <v>793</v>
      </c>
      <c r="S242" s="123"/>
    </row>
    <row r="243" spans="1:19">
      <c r="A243" s="29" t="s">
        <v>775</v>
      </c>
      <c r="B243" s="29"/>
      <c r="C243" s="29">
        <v>37506056</v>
      </c>
      <c r="G243" s="29" t="s">
        <v>744</v>
      </c>
      <c r="H243" s="29" t="s">
        <v>185</v>
      </c>
      <c r="I243" s="120">
        <v>45694</v>
      </c>
      <c r="J243" s="29"/>
      <c r="K243" s="29"/>
      <c r="L243" s="29"/>
      <c r="M243" s="29"/>
      <c r="N243" s="29"/>
      <c r="O243" s="29"/>
      <c r="P243" s="29"/>
      <c r="Q243" s="81"/>
      <c r="R243" s="29" t="s">
        <v>790</v>
      </c>
      <c r="S243" s="123"/>
    </row>
    <row r="244" spans="1:19">
      <c r="A244" s="29" t="s">
        <v>775</v>
      </c>
      <c r="B244" s="29"/>
      <c r="C244" s="29">
        <v>37505229</v>
      </c>
      <c r="G244" s="29" t="s">
        <v>744</v>
      </c>
      <c r="H244" s="29" t="s">
        <v>185</v>
      </c>
      <c r="I244" s="120">
        <v>45694</v>
      </c>
      <c r="J244" s="29"/>
      <c r="K244" s="29"/>
      <c r="L244" s="29"/>
      <c r="M244" s="29"/>
      <c r="N244" s="29"/>
      <c r="O244" s="29"/>
      <c r="P244" s="29"/>
      <c r="Q244" s="81"/>
      <c r="R244" s="29" t="s">
        <v>794</v>
      </c>
      <c r="S244" s="123"/>
    </row>
    <row r="245" spans="1:19">
      <c r="A245" s="29" t="s">
        <v>775</v>
      </c>
      <c r="B245" s="29"/>
      <c r="C245" s="29">
        <v>37505213</v>
      </c>
      <c r="G245" s="29" t="s">
        <v>744</v>
      </c>
      <c r="H245" s="29" t="s">
        <v>185</v>
      </c>
      <c r="I245" s="120">
        <v>45694</v>
      </c>
      <c r="J245" s="29"/>
      <c r="K245" s="29"/>
      <c r="L245" s="29"/>
      <c r="M245" s="29"/>
      <c r="N245" s="29"/>
      <c r="O245" s="29"/>
      <c r="P245" s="29"/>
      <c r="Q245" s="81"/>
      <c r="R245" s="29" t="s">
        <v>795</v>
      </c>
      <c r="S245" s="123"/>
    </row>
    <row r="246" spans="1:19">
      <c r="A246" s="29" t="s">
        <v>775</v>
      </c>
      <c r="B246" s="29"/>
      <c r="C246" s="29">
        <v>37505183</v>
      </c>
      <c r="G246" s="29" t="s">
        <v>744</v>
      </c>
      <c r="H246" s="29" t="s">
        <v>185</v>
      </c>
      <c r="I246" s="120">
        <v>45694</v>
      </c>
      <c r="J246" s="29"/>
      <c r="K246" s="29"/>
      <c r="L246" s="29"/>
      <c r="M246" s="29"/>
      <c r="N246" s="29"/>
      <c r="O246" s="29"/>
      <c r="P246" s="29"/>
      <c r="Q246" s="81"/>
      <c r="R246" s="29" t="s">
        <v>796</v>
      </c>
      <c r="S246" s="123"/>
    </row>
    <row r="247" spans="1:19">
      <c r="A247" s="29" t="s">
        <v>775</v>
      </c>
      <c r="B247" s="29"/>
      <c r="C247" s="29">
        <v>37505094</v>
      </c>
      <c r="G247" s="29" t="s">
        <v>744</v>
      </c>
      <c r="H247" s="29" t="s">
        <v>185</v>
      </c>
      <c r="I247" s="120">
        <v>45694</v>
      </c>
      <c r="J247" s="29"/>
      <c r="K247" s="29"/>
      <c r="L247" s="29"/>
      <c r="M247" s="29"/>
      <c r="N247" s="29"/>
      <c r="O247" s="29"/>
      <c r="P247" s="29"/>
      <c r="Q247" s="81"/>
      <c r="R247" s="29" t="s">
        <v>797</v>
      </c>
      <c r="S247" s="123"/>
    </row>
    <row r="248" spans="1:19">
      <c r="A248" s="29" t="s">
        <v>775</v>
      </c>
      <c r="B248" s="29"/>
      <c r="C248" s="29">
        <v>37505037</v>
      </c>
      <c r="G248" s="29" t="s">
        <v>744</v>
      </c>
      <c r="H248" s="29" t="s">
        <v>185</v>
      </c>
      <c r="I248" s="120">
        <v>45694</v>
      </c>
      <c r="J248" s="29"/>
      <c r="K248" s="29"/>
      <c r="L248" s="29"/>
      <c r="M248" s="29"/>
      <c r="N248" s="29"/>
      <c r="O248" s="29"/>
      <c r="P248" s="29"/>
      <c r="Q248" s="81"/>
      <c r="R248" s="29" t="s">
        <v>798</v>
      </c>
      <c r="S248" s="123"/>
    </row>
    <row r="249" spans="1:19">
      <c r="A249" s="29" t="s">
        <v>775</v>
      </c>
      <c r="B249" s="29"/>
      <c r="C249" s="29">
        <v>37502907</v>
      </c>
      <c r="G249" s="29" t="s">
        <v>744</v>
      </c>
      <c r="H249" s="29" t="s">
        <v>185</v>
      </c>
      <c r="I249" s="120">
        <v>45694</v>
      </c>
      <c r="J249" s="29"/>
      <c r="K249" s="29"/>
      <c r="L249" s="29"/>
      <c r="M249" s="29"/>
      <c r="N249" s="29"/>
      <c r="O249" s="29"/>
      <c r="P249" s="29"/>
      <c r="Q249" s="81"/>
      <c r="R249" s="29" t="s">
        <v>799</v>
      </c>
      <c r="S249" s="123"/>
    </row>
    <row r="250" spans="1:19">
      <c r="A250" s="29" t="s">
        <v>775</v>
      </c>
      <c r="B250" s="29"/>
      <c r="C250" s="29">
        <v>37502781</v>
      </c>
      <c r="G250" s="29" t="s">
        <v>744</v>
      </c>
      <c r="H250" s="29" t="s">
        <v>185</v>
      </c>
      <c r="I250" s="120">
        <v>45694</v>
      </c>
      <c r="J250" s="29"/>
      <c r="K250" s="29"/>
      <c r="L250" s="29"/>
      <c r="M250" s="29"/>
      <c r="N250" s="29"/>
      <c r="O250" s="29"/>
      <c r="P250" s="29"/>
      <c r="Q250" s="81"/>
      <c r="R250" s="29" t="s">
        <v>800</v>
      </c>
      <c r="S250" s="123"/>
    </row>
    <row r="251" spans="1:19">
      <c r="A251" s="29" t="s">
        <v>775</v>
      </c>
      <c r="B251" s="29"/>
      <c r="C251" s="29">
        <v>37504943</v>
      </c>
      <c r="G251" s="29" t="s">
        <v>744</v>
      </c>
      <c r="H251" s="29" t="s">
        <v>185</v>
      </c>
      <c r="I251" s="120">
        <v>45693</v>
      </c>
      <c r="J251" s="29"/>
      <c r="K251" s="29"/>
      <c r="L251" s="29"/>
      <c r="M251" s="29"/>
      <c r="N251" s="29"/>
      <c r="O251" s="29"/>
      <c r="P251" s="29"/>
      <c r="Q251" s="81"/>
      <c r="R251" s="29" t="s">
        <v>801</v>
      </c>
      <c r="S251" s="123"/>
    </row>
    <row r="252" spans="1:19">
      <c r="A252" s="29" t="s">
        <v>775</v>
      </c>
      <c r="B252" s="29"/>
      <c r="C252" s="29">
        <v>35509618</v>
      </c>
      <c r="G252" s="29" t="s">
        <v>744</v>
      </c>
      <c r="H252" s="29" t="s">
        <v>185</v>
      </c>
      <c r="I252" s="120">
        <v>45691</v>
      </c>
      <c r="P252" s="134"/>
      <c r="R252" s="29" t="s">
        <v>785</v>
      </c>
    </row>
    <row r="253" spans="1:19">
      <c r="A253" s="29" t="s">
        <v>775</v>
      </c>
      <c r="B253" s="29"/>
      <c r="C253" s="29">
        <v>35509633</v>
      </c>
      <c r="G253" s="29" t="s">
        <v>744</v>
      </c>
      <c r="H253" s="29" t="s">
        <v>185</v>
      </c>
      <c r="I253" s="120">
        <v>45691</v>
      </c>
      <c r="P253" s="134"/>
      <c r="R253" s="29" t="s">
        <v>786</v>
      </c>
    </row>
    <row r="254" spans="1:19">
      <c r="A254" s="29" t="s">
        <v>775</v>
      </c>
      <c r="B254" s="29"/>
      <c r="C254" s="29">
        <v>35509658</v>
      </c>
      <c r="G254" s="29" t="s">
        <v>744</v>
      </c>
      <c r="H254" s="29" t="s">
        <v>185</v>
      </c>
      <c r="I254" s="120">
        <v>45691</v>
      </c>
      <c r="P254" s="134"/>
      <c r="R254" s="29" t="s">
        <v>787</v>
      </c>
    </row>
    <row r="255" spans="1:19">
      <c r="A255" s="29" t="s">
        <v>775</v>
      </c>
      <c r="B255" s="29"/>
      <c r="C255" s="29">
        <v>37506123</v>
      </c>
      <c r="G255" s="29" t="s">
        <v>744</v>
      </c>
      <c r="H255" s="29" t="s">
        <v>185</v>
      </c>
      <c r="I255" s="120">
        <v>45694</v>
      </c>
      <c r="P255" s="134"/>
      <c r="R255" s="29" t="s">
        <v>776</v>
      </c>
    </row>
    <row r="256" spans="1:19">
      <c r="A256" s="29" t="s">
        <v>775</v>
      </c>
      <c r="B256" s="29"/>
      <c r="C256" s="29">
        <v>37506111</v>
      </c>
      <c r="G256" s="29" t="s">
        <v>744</v>
      </c>
      <c r="H256" s="29" t="s">
        <v>185</v>
      </c>
      <c r="I256" s="120">
        <v>45694</v>
      </c>
      <c r="P256" s="134"/>
      <c r="R256" s="29" t="s">
        <v>793</v>
      </c>
    </row>
    <row r="257" spans="1:18">
      <c r="A257" s="29" t="s">
        <v>775</v>
      </c>
      <c r="B257" s="29"/>
      <c r="C257" s="29">
        <v>37506073</v>
      </c>
      <c r="G257" s="29" t="s">
        <v>744</v>
      </c>
      <c r="H257" s="29" t="s">
        <v>185</v>
      </c>
      <c r="I257" s="120">
        <v>45694</v>
      </c>
      <c r="P257" s="134"/>
      <c r="R257" s="29" t="s">
        <v>793</v>
      </c>
    </row>
    <row r="258" spans="1:18">
      <c r="A258" s="29" t="s">
        <v>775</v>
      </c>
      <c r="B258" s="29"/>
      <c r="C258" s="29">
        <v>37506056</v>
      </c>
      <c r="G258" s="29" t="s">
        <v>744</v>
      </c>
      <c r="H258" s="29" t="s">
        <v>185</v>
      </c>
      <c r="I258" s="120">
        <v>45694</v>
      </c>
      <c r="P258" s="134"/>
      <c r="R258" s="29" t="s">
        <v>790</v>
      </c>
    </row>
    <row r="259" spans="1:18">
      <c r="A259" s="29" t="s">
        <v>775</v>
      </c>
      <c r="B259" s="29"/>
      <c r="C259" s="29">
        <v>37506038</v>
      </c>
      <c r="G259" s="29" t="s">
        <v>744</v>
      </c>
      <c r="H259" s="29" t="s">
        <v>185</v>
      </c>
      <c r="I259" s="120">
        <v>45694</v>
      </c>
      <c r="P259" s="134"/>
      <c r="R259" s="29" t="s">
        <v>788</v>
      </c>
    </row>
    <row r="260" spans="1:18">
      <c r="A260" s="29" t="s">
        <v>775</v>
      </c>
      <c r="B260" s="29"/>
      <c r="C260" s="29">
        <v>37505985</v>
      </c>
      <c r="G260" s="29" t="s">
        <v>744</v>
      </c>
      <c r="H260" s="29" t="s">
        <v>185</v>
      </c>
      <c r="I260" s="120">
        <v>45694</v>
      </c>
      <c r="P260" s="134"/>
      <c r="R260" s="29" t="s">
        <v>789</v>
      </c>
    </row>
    <row r="261" spans="1:18">
      <c r="A261" s="29" t="s">
        <v>775</v>
      </c>
      <c r="B261" s="29"/>
      <c r="C261" s="29">
        <v>37505961</v>
      </c>
      <c r="G261" s="29" t="s">
        <v>744</v>
      </c>
      <c r="H261" s="29" t="s">
        <v>185</v>
      </c>
      <c r="I261" s="120">
        <v>45694</v>
      </c>
      <c r="P261" s="134"/>
      <c r="R261" s="29" t="s">
        <v>790</v>
      </c>
    </row>
    <row r="262" spans="1:18">
      <c r="A262" s="29" t="s">
        <v>775</v>
      </c>
      <c r="B262" s="29"/>
      <c r="C262" s="29">
        <v>37505929</v>
      </c>
      <c r="G262" s="29" t="s">
        <v>744</v>
      </c>
      <c r="H262" s="29" t="s">
        <v>185</v>
      </c>
      <c r="I262" s="120">
        <v>45694</v>
      </c>
      <c r="P262" s="134"/>
      <c r="R262" s="29" t="s">
        <v>781</v>
      </c>
    </row>
    <row r="263" spans="1:18">
      <c r="A263" s="29" t="s">
        <v>775</v>
      </c>
      <c r="B263" s="29"/>
      <c r="C263" s="29">
        <v>37505902</v>
      </c>
      <c r="G263" s="29" t="s">
        <v>744</v>
      </c>
      <c r="H263" s="29" t="s">
        <v>185</v>
      </c>
      <c r="I263" s="120">
        <v>45694</v>
      </c>
      <c r="P263" s="134"/>
      <c r="R263" s="29" t="s">
        <v>781</v>
      </c>
    </row>
    <row r="264" spans="1:18">
      <c r="A264" s="29" t="s">
        <v>299</v>
      </c>
      <c r="B264" s="29"/>
      <c r="C264" s="29">
        <v>37505890</v>
      </c>
      <c r="G264" s="29" t="s">
        <v>744</v>
      </c>
      <c r="H264" s="29" t="s">
        <v>211</v>
      </c>
      <c r="I264" s="120">
        <v>45694</v>
      </c>
      <c r="P264" s="134"/>
      <c r="R264" s="29" t="s">
        <v>777</v>
      </c>
    </row>
    <row r="265" spans="1:18">
      <c r="A265" s="29" t="s">
        <v>299</v>
      </c>
      <c r="B265" s="29"/>
      <c r="C265" s="29">
        <v>37505866</v>
      </c>
      <c r="G265" s="29" t="s">
        <v>744</v>
      </c>
      <c r="H265" s="29" t="s">
        <v>211</v>
      </c>
      <c r="I265" s="120">
        <v>45694</v>
      </c>
      <c r="P265" s="134"/>
      <c r="R265" s="29" t="s">
        <v>778</v>
      </c>
    </row>
    <row r="266" spans="1:18">
      <c r="A266" s="29" t="s">
        <v>775</v>
      </c>
      <c r="B266" s="29"/>
      <c r="C266" s="29">
        <v>37505858</v>
      </c>
      <c r="G266" s="29" t="s">
        <v>744</v>
      </c>
      <c r="H266" s="29" t="s">
        <v>185</v>
      </c>
      <c r="I266" s="120">
        <v>45694</v>
      </c>
      <c r="P266" s="134"/>
      <c r="R266" s="29" t="s">
        <v>781</v>
      </c>
    </row>
    <row r="267" spans="1:18">
      <c r="A267" s="29" t="s">
        <v>299</v>
      </c>
      <c r="B267" s="29"/>
      <c r="C267" s="29">
        <v>37505767</v>
      </c>
      <c r="G267" s="29" t="s">
        <v>744</v>
      </c>
      <c r="H267" s="29" t="s">
        <v>211</v>
      </c>
      <c r="I267" s="120">
        <v>45694</v>
      </c>
      <c r="P267" s="134"/>
      <c r="R267" s="29" t="s">
        <v>779</v>
      </c>
    </row>
    <row r="268" spans="1:18">
      <c r="A268" s="29" t="s">
        <v>299</v>
      </c>
      <c r="B268" s="29"/>
      <c r="C268" s="29">
        <v>37505730</v>
      </c>
      <c r="G268" s="29" t="s">
        <v>744</v>
      </c>
      <c r="H268" s="29" t="s">
        <v>211</v>
      </c>
      <c r="I268" s="120">
        <v>45694</v>
      </c>
      <c r="P268" s="134"/>
      <c r="R268" s="29" t="s">
        <v>779</v>
      </c>
    </row>
    <row r="269" spans="1:18">
      <c r="A269" s="29" t="s">
        <v>299</v>
      </c>
      <c r="B269" s="29"/>
      <c r="C269" s="29">
        <v>37505708</v>
      </c>
      <c r="G269" s="29" t="s">
        <v>744</v>
      </c>
      <c r="H269" s="29" t="s">
        <v>211</v>
      </c>
      <c r="I269" s="120">
        <v>45694</v>
      </c>
      <c r="P269" s="134"/>
      <c r="R269" s="29" t="s">
        <v>779</v>
      </c>
    </row>
    <row r="270" spans="1:18">
      <c r="A270" s="29" t="s">
        <v>299</v>
      </c>
      <c r="B270" s="29"/>
      <c r="C270" s="29">
        <v>37505692</v>
      </c>
      <c r="G270" s="29" t="s">
        <v>744</v>
      </c>
      <c r="H270" s="29" t="s">
        <v>211</v>
      </c>
      <c r="I270" s="120">
        <v>45694</v>
      </c>
      <c r="P270" s="134"/>
      <c r="R270" s="29" t="s">
        <v>780</v>
      </c>
    </row>
    <row r="271" spans="1:18">
      <c r="A271" s="29" t="s">
        <v>775</v>
      </c>
      <c r="B271" s="29"/>
      <c r="C271" s="29">
        <v>37505682</v>
      </c>
      <c r="G271" s="29" t="s">
        <v>744</v>
      </c>
      <c r="H271" s="29" t="s">
        <v>185</v>
      </c>
      <c r="I271" s="120">
        <v>45694</v>
      </c>
      <c r="P271" s="134"/>
      <c r="R271" s="29" t="s">
        <v>781</v>
      </c>
    </row>
    <row r="272" spans="1:18">
      <c r="A272" s="29" t="s">
        <v>299</v>
      </c>
      <c r="B272" s="29"/>
      <c r="C272" s="29">
        <v>37505653</v>
      </c>
      <c r="G272" s="29" t="s">
        <v>744</v>
      </c>
      <c r="H272" s="29" t="s">
        <v>211</v>
      </c>
      <c r="I272" s="120">
        <v>45694</v>
      </c>
      <c r="P272" s="134"/>
      <c r="R272" s="29" t="s">
        <v>782</v>
      </c>
    </row>
    <row r="273" spans="1:18">
      <c r="A273" s="29" t="s">
        <v>775</v>
      </c>
      <c r="B273" s="29"/>
      <c r="C273" s="29">
        <v>37505642</v>
      </c>
      <c r="G273" s="29" t="s">
        <v>744</v>
      </c>
      <c r="H273" s="29" t="s">
        <v>185</v>
      </c>
      <c r="I273" s="120">
        <v>45694</v>
      </c>
      <c r="P273" s="134"/>
      <c r="R273" s="29" t="s">
        <v>791</v>
      </c>
    </row>
    <row r="274" spans="1:18">
      <c r="A274" s="29" t="s">
        <v>299</v>
      </c>
      <c r="B274" s="29"/>
      <c r="C274" s="29">
        <v>37505640</v>
      </c>
      <c r="G274" s="29" t="s">
        <v>744</v>
      </c>
      <c r="H274" s="29" t="s">
        <v>211</v>
      </c>
      <c r="I274" s="120">
        <v>45694</v>
      </c>
      <c r="P274" s="134"/>
      <c r="R274" s="29" t="s">
        <v>792</v>
      </c>
    </row>
    <row r="275" spans="1:18">
      <c r="A275" s="29" t="s">
        <v>775</v>
      </c>
      <c r="B275" s="29"/>
      <c r="C275" s="29">
        <v>37505599</v>
      </c>
      <c r="G275" s="29" t="s">
        <v>744</v>
      </c>
      <c r="H275" s="29" t="s">
        <v>185</v>
      </c>
      <c r="I275" s="120">
        <v>45694</v>
      </c>
      <c r="P275" s="134"/>
      <c r="R275" s="29" t="s">
        <v>783</v>
      </c>
    </row>
    <row r="276" spans="1:18">
      <c r="A276" s="29" t="s">
        <v>775</v>
      </c>
      <c r="B276" s="29"/>
      <c r="C276" s="29">
        <v>37505280</v>
      </c>
      <c r="G276" s="29" t="s">
        <v>744</v>
      </c>
      <c r="H276" s="29" t="s">
        <v>185</v>
      </c>
      <c r="I276" s="120">
        <v>45694</v>
      </c>
      <c r="P276" s="134"/>
      <c r="R276" s="29" t="s">
        <v>783</v>
      </c>
    </row>
    <row r="277" spans="1:18">
      <c r="A277" s="29" t="s">
        <v>775</v>
      </c>
      <c r="B277" s="29"/>
      <c r="C277" s="29">
        <v>37505252</v>
      </c>
      <c r="G277" s="29" t="s">
        <v>744</v>
      </c>
      <c r="H277" s="29" t="s">
        <v>185</v>
      </c>
      <c r="I277" s="120">
        <v>45694</v>
      </c>
      <c r="P277" s="134"/>
      <c r="R277" s="29" t="s">
        <v>783</v>
      </c>
    </row>
    <row r="278" spans="1:18">
      <c r="A278" s="29" t="s">
        <v>775</v>
      </c>
      <c r="B278" s="29"/>
      <c r="C278" s="29">
        <v>37505229</v>
      </c>
      <c r="G278" s="29" t="s">
        <v>744</v>
      </c>
      <c r="H278" s="29" t="s">
        <v>185</v>
      </c>
      <c r="I278" s="120">
        <v>45694</v>
      </c>
      <c r="P278" s="134"/>
      <c r="R278" s="29" t="s">
        <v>794</v>
      </c>
    </row>
    <row r="279" spans="1:18">
      <c r="A279" s="29" t="s">
        <v>775</v>
      </c>
      <c r="B279" s="29"/>
      <c r="C279" s="29">
        <v>37505213</v>
      </c>
      <c r="G279" s="29" t="s">
        <v>744</v>
      </c>
      <c r="H279" s="29" t="s">
        <v>185</v>
      </c>
      <c r="I279" s="120">
        <v>45694</v>
      </c>
      <c r="P279" s="134"/>
      <c r="R279" s="29" t="s">
        <v>795</v>
      </c>
    </row>
    <row r="280" spans="1:18">
      <c r="A280" s="29" t="s">
        <v>775</v>
      </c>
      <c r="B280" s="29"/>
      <c r="C280" s="29">
        <v>37505183</v>
      </c>
      <c r="G280" s="29" t="s">
        <v>744</v>
      </c>
      <c r="H280" s="29" t="s">
        <v>185</v>
      </c>
      <c r="I280" s="120">
        <v>45694</v>
      </c>
      <c r="P280" s="134"/>
      <c r="R280" s="29" t="s">
        <v>796</v>
      </c>
    </row>
    <row r="281" spans="1:18">
      <c r="A281" s="29" t="s">
        <v>775</v>
      </c>
      <c r="B281" s="29"/>
      <c r="C281" s="29">
        <v>37505094</v>
      </c>
      <c r="G281" s="29" t="s">
        <v>744</v>
      </c>
      <c r="H281" s="29" t="s">
        <v>185</v>
      </c>
      <c r="I281" s="120">
        <v>45694</v>
      </c>
      <c r="P281" s="134"/>
      <c r="R281" s="29" t="s">
        <v>797</v>
      </c>
    </row>
    <row r="282" spans="1:18">
      <c r="A282" s="29" t="s">
        <v>775</v>
      </c>
      <c r="B282" s="29"/>
      <c r="C282" s="29">
        <v>37505037</v>
      </c>
      <c r="G282" s="29" t="s">
        <v>744</v>
      </c>
      <c r="H282" s="29" t="s">
        <v>185</v>
      </c>
      <c r="I282" s="120">
        <v>45694</v>
      </c>
      <c r="P282" s="134"/>
      <c r="R282" s="29" t="s">
        <v>798</v>
      </c>
    </row>
    <row r="283" spans="1:18">
      <c r="A283" s="29" t="s">
        <v>775</v>
      </c>
      <c r="B283" s="29"/>
      <c r="C283" s="29">
        <v>37502907</v>
      </c>
      <c r="G283" s="29" t="s">
        <v>744</v>
      </c>
      <c r="H283" s="29" t="s">
        <v>185</v>
      </c>
      <c r="I283" s="120">
        <v>45694</v>
      </c>
      <c r="P283" s="134"/>
      <c r="R283" s="29" t="s">
        <v>799</v>
      </c>
    </row>
    <row r="284" spans="1:18">
      <c r="A284" s="29" t="s">
        <v>775</v>
      </c>
      <c r="B284" s="29"/>
      <c r="C284" s="29">
        <v>37502781</v>
      </c>
      <c r="G284" s="29" t="s">
        <v>744</v>
      </c>
      <c r="H284" s="29" t="s">
        <v>185</v>
      </c>
      <c r="I284" s="120">
        <v>45694</v>
      </c>
      <c r="P284" s="134"/>
      <c r="R284" s="29" t="s">
        <v>800</v>
      </c>
    </row>
    <row r="285" spans="1:18">
      <c r="A285" s="29" t="s">
        <v>775</v>
      </c>
      <c r="B285" s="29"/>
      <c r="C285" s="29">
        <v>36501750</v>
      </c>
      <c r="G285" s="29" t="s">
        <v>744</v>
      </c>
      <c r="H285" s="29" t="s">
        <v>185</v>
      </c>
      <c r="I285" s="120">
        <v>45692</v>
      </c>
      <c r="P285" s="134"/>
      <c r="R285" s="29" t="s">
        <v>784</v>
      </c>
    </row>
    <row r="286" spans="1:18">
      <c r="A286" s="29" t="s">
        <v>775</v>
      </c>
      <c r="B286" s="29"/>
      <c r="C286" s="29">
        <v>36501703</v>
      </c>
      <c r="G286" s="29" t="s">
        <v>744</v>
      </c>
      <c r="H286" s="29" t="s">
        <v>185</v>
      </c>
      <c r="I286" s="120">
        <v>45692</v>
      </c>
      <c r="P286" s="134"/>
      <c r="R286" s="29" t="s">
        <v>354</v>
      </c>
    </row>
    <row r="287" spans="1:18">
      <c r="A287" s="29" t="s">
        <v>775</v>
      </c>
      <c r="B287" s="29"/>
      <c r="C287" s="29">
        <v>36501220</v>
      </c>
      <c r="G287" s="29" t="s">
        <v>744</v>
      </c>
      <c r="H287" s="29" t="s">
        <v>185</v>
      </c>
      <c r="I287" s="120">
        <v>45692</v>
      </c>
      <c r="P287" s="134"/>
      <c r="R287" s="29" t="s">
        <v>391</v>
      </c>
    </row>
    <row r="288" spans="1:18">
      <c r="A288" s="29" t="s">
        <v>358</v>
      </c>
      <c r="B288" s="29"/>
      <c r="C288" s="29">
        <v>36508939</v>
      </c>
      <c r="G288" s="29" t="s">
        <v>744</v>
      </c>
      <c r="H288" s="147" t="s">
        <v>359</v>
      </c>
      <c r="I288" s="120">
        <v>45692</v>
      </c>
      <c r="P288" s="134"/>
      <c r="R288" s="29" t="s">
        <v>427</v>
      </c>
    </row>
    <row r="289" spans="1:18">
      <c r="A289" s="29" t="s">
        <v>358</v>
      </c>
      <c r="B289" s="29"/>
      <c r="C289" s="29">
        <v>36508971</v>
      </c>
      <c r="G289" s="29" t="s">
        <v>744</v>
      </c>
      <c r="H289" s="147" t="s">
        <v>359</v>
      </c>
      <c r="I289" s="120">
        <v>45692</v>
      </c>
      <c r="P289" s="134"/>
      <c r="R289" s="29" t="s">
        <v>425</v>
      </c>
    </row>
    <row r="290" spans="1:18">
      <c r="A290" s="29" t="s">
        <v>358</v>
      </c>
      <c r="B290" s="29"/>
      <c r="C290" s="29">
        <v>36509009</v>
      </c>
      <c r="G290" s="29" t="s">
        <v>744</v>
      </c>
      <c r="H290" s="147" t="s">
        <v>359</v>
      </c>
      <c r="I290" s="120">
        <v>45692</v>
      </c>
      <c r="P290" s="134"/>
      <c r="R290" s="29" t="s">
        <v>802</v>
      </c>
    </row>
    <row r="291" spans="1:18">
      <c r="A291" s="29" t="s">
        <v>358</v>
      </c>
      <c r="B291" s="29"/>
      <c r="C291" s="29">
        <v>36509029</v>
      </c>
      <c r="G291" s="29" t="s">
        <v>744</v>
      </c>
      <c r="H291" s="147" t="s">
        <v>359</v>
      </c>
      <c r="I291" s="120">
        <v>45692</v>
      </c>
      <c r="P291" s="134"/>
      <c r="R291" s="29" t="s">
        <v>803</v>
      </c>
    </row>
    <row r="292" spans="1:18">
      <c r="A292" s="29" t="s">
        <v>358</v>
      </c>
      <c r="B292" s="29"/>
      <c r="C292" s="29">
        <v>37508603</v>
      </c>
      <c r="G292" s="29" t="s">
        <v>744</v>
      </c>
      <c r="H292" s="147" t="s">
        <v>359</v>
      </c>
      <c r="I292" s="120">
        <v>45692</v>
      </c>
      <c r="P292" s="134"/>
      <c r="R292" s="29" t="s">
        <v>803</v>
      </c>
    </row>
    <row r="293" spans="1:18">
      <c r="A293" s="29" t="s">
        <v>358</v>
      </c>
      <c r="B293" s="29"/>
      <c r="C293" s="29">
        <v>37508593</v>
      </c>
      <c r="G293" s="29" t="s">
        <v>744</v>
      </c>
      <c r="H293" s="147" t="s">
        <v>359</v>
      </c>
      <c r="I293" s="120">
        <v>45692</v>
      </c>
      <c r="P293" s="134"/>
      <c r="R293" s="29" t="s">
        <v>802</v>
      </c>
    </row>
    <row r="294" spans="1:18">
      <c r="A294" s="29" t="s">
        <v>358</v>
      </c>
      <c r="B294" s="29"/>
      <c r="C294" s="29">
        <v>36508894</v>
      </c>
      <c r="G294" s="29" t="s">
        <v>744</v>
      </c>
      <c r="H294" s="147" t="s">
        <v>359</v>
      </c>
      <c r="I294" s="120">
        <v>45692</v>
      </c>
      <c r="P294" s="134"/>
      <c r="R294" s="29" t="s">
        <v>428</v>
      </c>
    </row>
    <row r="295" spans="1:18">
      <c r="A295" s="29" t="s">
        <v>358</v>
      </c>
      <c r="B295" s="29"/>
      <c r="C295" s="29">
        <v>36508864</v>
      </c>
      <c r="G295" s="29" t="s">
        <v>744</v>
      </c>
      <c r="H295" s="147" t="s">
        <v>359</v>
      </c>
      <c r="I295" s="120">
        <v>45692</v>
      </c>
      <c r="P295" s="134"/>
      <c r="R295" s="29" t="s">
        <v>430</v>
      </c>
    </row>
    <row r="296" spans="1:18">
      <c r="A296" s="29" t="s">
        <v>210</v>
      </c>
      <c r="B296" s="29"/>
      <c r="C296" s="29">
        <v>36505090</v>
      </c>
      <c r="G296" s="29" t="s">
        <v>744</v>
      </c>
      <c r="H296" s="29" t="s">
        <v>235</v>
      </c>
      <c r="I296" s="120">
        <v>45692</v>
      </c>
      <c r="P296" s="134"/>
      <c r="R296" s="29" t="s">
        <v>804</v>
      </c>
    </row>
    <row r="297" spans="1:18">
      <c r="A297" s="29" t="s">
        <v>210</v>
      </c>
      <c r="B297" s="29"/>
      <c r="C297" s="29">
        <v>36505041</v>
      </c>
      <c r="G297" s="29" t="s">
        <v>744</v>
      </c>
      <c r="H297" s="29" t="s">
        <v>235</v>
      </c>
      <c r="I297" s="120">
        <v>45692</v>
      </c>
      <c r="P297" s="134"/>
      <c r="R297" s="29" t="s">
        <v>805</v>
      </c>
    </row>
    <row r="298" spans="1:18">
      <c r="A298" s="29" t="s">
        <v>210</v>
      </c>
      <c r="B298" s="29"/>
      <c r="C298" s="29">
        <v>36505003</v>
      </c>
      <c r="G298" s="29" t="s">
        <v>744</v>
      </c>
      <c r="H298" s="29" t="s">
        <v>235</v>
      </c>
      <c r="I298" s="120">
        <v>45692</v>
      </c>
      <c r="P298" s="134"/>
      <c r="R298" s="29" t="s">
        <v>806</v>
      </c>
    </row>
    <row r="299" spans="1:18">
      <c r="A299" s="29" t="s">
        <v>210</v>
      </c>
      <c r="B299" s="29"/>
      <c r="C299" s="29">
        <v>36504973</v>
      </c>
      <c r="G299" s="29" t="s">
        <v>744</v>
      </c>
      <c r="H299" s="29" t="s">
        <v>235</v>
      </c>
      <c r="I299" s="120">
        <v>45692</v>
      </c>
      <c r="P299" s="134"/>
      <c r="R299" s="29" t="s">
        <v>807</v>
      </c>
    </row>
    <row r="300" spans="1:18">
      <c r="A300" s="29" t="s">
        <v>210</v>
      </c>
      <c r="B300" s="29"/>
      <c r="C300" s="29">
        <v>36504920</v>
      </c>
      <c r="G300" s="29" t="s">
        <v>744</v>
      </c>
      <c r="H300" s="29" t="s">
        <v>235</v>
      </c>
      <c r="I300" s="120">
        <v>45692</v>
      </c>
      <c r="P300" s="134"/>
      <c r="R300" s="29" t="s">
        <v>808</v>
      </c>
    </row>
    <row r="301" spans="1:18">
      <c r="A301" s="29" t="s">
        <v>210</v>
      </c>
      <c r="B301" s="29"/>
      <c r="C301" s="29">
        <v>36504794</v>
      </c>
      <c r="G301" s="29" t="s">
        <v>744</v>
      </c>
      <c r="H301" s="29" t="s">
        <v>235</v>
      </c>
      <c r="I301" s="120">
        <v>45692</v>
      </c>
      <c r="P301" s="134"/>
      <c r="R301" s="29" t="s">
        <v>809</v>
      </c>
    </row>
    <row r="302" spans="1:18">
      <c r="A302" s="29" t="s">
        <v>358</v>
      </c>
      <c r="B302" s="29"/>
      <c r="C302" s="29">
        <v>36500830</v>
      </c>
      <c r="G302" s="29" t="s">
        <v>744</v>
      </c>
      <c r="H302" s="147" t="s">
        <v>359</v>
      </c>
      <c r="I302" s="120">
        <v>45692</v>
      </c>
      <c r="P302" s="134"/>
      <c r="R302" s="29" t="s">
        <v>810</v>
      </c>
    </row>
    <row r="303" spans="1:18">
      <c r="A303" s="29" t="s">
        <v>286</v>
      </c>
      <c r="B303" s="29"/>
      <c r="C303" s="29">
        <v>36500028</v>
      </c>
      <c r="G303" s="29" t="s">
        <v>744</v>
      </c>
      <c r="H303" s="29" t="s">
        <v>287</v>
      </c>
      <c r="I303" s="120">
        <v>45692</v>
      </c>
      <c r="P303" s="134"/>
      <c r="R303" s="29" t="s">
        <v>293</v>
      </c>
    </row>
    <row r="304" spans="1:18">
      <c r="A304" s="29" t="s">
        <v>286</v>
      </c>
      <c r="B304" s="29"/>
      <c r="C304" s="29">
        <v>36500027</v>
      </c>
      <c r="G304" s="29" t="s">
        <v>744</v>
      </c>
      <c r="H304" s="29" t="s">
        <v>287</v>
      </c>
      <c r="I304" s="120">
        <v>45692</v>
      </c>
      <c r="P304" s="134"/>
      <c r="R304" s="29" t="s">
        <v>294</v>
      </c>
    </row>
    <row r="305" spans="1:18">
      <c r="A305" s="29" t="s">
        <v>286</v>
      </c>
      <c r="B305" s="29"/>
      <c r="C305" s="29">
        <v>36500026</v>
      </c>
      <c r="G305" s="29" t="s">
        <v>744</v>
      </c>
      <c r="H305" s="29" t="s">
        <v>287</v>
      </c>
      <c r="I305" s="120">
        <v>45692</v>
      </c>
      <c r="P305" s="134"/>
      <c r="R305" s="29" t="s">
        <v>295</v>
      </c>
    </row>
    <row r="306" spans="1:18">
      <c r="A306" s="29" t="s">
        <v>286</v>
      </c>
      <c r="B306" s="29"/>
      <c r="C306" s="29">
        <v>36500024</v>
      </c>
      <c r="G306" s="29" t="s">
        <v>744</v>
      </c>
      <c r="H306" s="29" t="s">
        <v>287</v>
      </c>
      <c r="I306" s="120">
        <v>45692</v>
      </c>
      <c r="P306" s="134"/>
      <c r="R306" s="29" t="s">
        <v>296</v>
      </c>
    </row>
    <row r="307" spans="1:18">
      <c r="A307" s="29" t="s">
        <v>286</v>
      </c>
      <c r="B307" s="29"/>
      <c r="C307" s="29">
        <v>36500023</v>
      </c>
      <c r="G307" s="29" t="s">
        <v>744</v>
      </c>
      <c r="H307" s="29" t="s">
        <v>287</v>
      </c>
      <c r="I307" s="120">
        <v>45692</v>
      </c>
      <c r="P307" s="134"/>
      <c r="R307" s="29" t="s">
        <v>297</v>
      </c>
    </row>
    <row r="308" spans="1:18">
      <c r="A308" s="29" t="s">
        <v>286</v>
      </c>
      <c r="B308" s="29"/>
      <c r="C308" s="29">
        <v>36500022</v>
      </c>
      <c r="G308" s="29" t="s">
        <v>744</v>
      </c>
      <c r="H308" s="29" t="s">
        <v>287</v>
      </c>
      <c r="I308" s="120">
        <v>45692</v>
      </c>
      <c r="P308" s="134"/>
      <c r="R308" s="29" t="s">
        <v>298</v>
      </c>
    </row>
    <row r="309" spans="1:18">
      <c r="A309" s="29" t="s">
        <v>286</v>
      </c>
      <c r="B309" s="29"/>
      <c r="C309" s="29">
        <v>36500021</v>
      </c>
      <c r="G309" s="29" t="s">
        <v>744</v>
      </c>
      <c r="H309" s="29" t="s">
        <v>287</v>
      </c>
      <c r="I309" s="120">
        <v>45692</v>
      </c>
      <c r="P309" s="134"/>
      <c r="R309" s="29" t="s">
        <v>292</v>
      </c>
    </row>
    <row r="310" spans="1:18">
      <c r="A310" s="29" t="s">
        <v>286</v>
      </c>
      <c r="B310" s="29"/>
      <c r="C310" s="29">
        <v>36500020</v>
      </c>
      <c r="G310" s="29" t="s">
        <v>744</v>
      </c>
      <c r="H310" s="29" t="s">
        <v>287</v>
      </c>
      <c r="I310" s="120">
        <v>45692</v>
      </c>
      <c r="P310" s="134"/>
      <c r="R310" s="29" t="s">
        <v>291</v>
      </c>
    </row>
    <row r="311" spans="1:18" ht="201.75">
      <c r="A311" s="147" t="s">
        <v>358</v>
      </c>
      <c r="B311" s="147"/>
      <c r="C311" s="150">
        <v>36508864</v>
      </c>
      <c r="G311" s="29" t="s">
        <v>744</v>
      </c>
      <c r="H311" s="147" t="s">
        <v>359</v>
      </c>
      <c r="I311" s="148">
        <v>45693</v>
      </c>
      <c r="P311" s="134"/>
      <c r="R311" s="149" t="s">
        <v>811</v>
      </c>
    </row>
    <row r="312" spans="1:18" ht="216.75">
      <c r="A312" s="147" t="s">
        <v>358</v>
      </c>
      <c r="B312" s="147"/>
      <c r="C312" s="150">
        <v>36508894</v>
      </c>
      <c r="G312" s="29" t="s">
        <v>744</v>
      </c>
      <c r="H312" s="147" t="s">
        <v>359</v>
      </c>
      <c r="I312" s="148">
        <v>45693</v>
      </c>
      <c r="P312" s="134"/>
      <c r="R312" s="149" t="s">
        <v>812</v>
      </c>
    </row>
    <row r="313" spans="1:18" ht="201.75">
      <c r="A313" s="147" t="s">
        <v>358</v>
      </c>
      <c r="B313" s="147"/>
      <c r="C313" s="150">
        <v>36508918</v>
      </c>
      <c r="G313" s="29" t="s">
        <v>744</v>
      </c>
      <c r="H313" s="147" t="s">
        <v>359</v>
      </c>
      <c r="I313" s="148">
        <v>45693</v>
      </c>
      <c r="P313" s="134"/>
      <c r="R313" s="149" t="s">
        <v>813</v>
      </c>
    </row>
    <row r="314" spans="1:18" ht="201.75">
      <c r="A314" s="147" t="s">
        <v>358</v>
      </c>
      <c r="B314" s="147"/>
      <c r="C314" s="150">
        <v>36508939</v>
      </c>
      <c r="G314" s="29" t="s">
        <v>744</v>
      </c>
      <c r="H314" s="147" t="s">
        <v>359</v>
      </c>
      <c r="I314" s="148">
        <v>45693</v>
      </c>
      <c r="P314" s="134"/>
      <c r="R314" s="149" t="s">
        <v>814</v>
      </c>
    </row>
    <row r="315" spans="1:18" ht="201.75">
      <c r="A315" s="147" t="s">
        <v>358</v>
      </c>
      <c r="B315" s="147"/>
      <c r="C315" s="150">
        <v>36508971</v>
      </c>
      <c r="G315" s="29" t="s">
        <v>744</v>
      </c>
      <c r="H315" s="147" t="s">
        <v>359</v>
      </c>
      <c r="I315" s="148">
        <v>45693</v>
      </c>
      <c r="P315" s="134"/>
      <c r="R315" s="149" t="s">
        <v>815</v>
      </c>
    </row>
    <row r="316" spans="1:18" ht="216.75">
      <c r="A316" s="147" t="s">
        <v>358</v>
      </c>
      <c r="B316" s="147"/>
      <c r="C316" s="150">
        <v>36509009</v>
      </c>
      <c r="G316" s="29" t="s">
        <v>744</v>
      </c>
      <c r="H316" s="147" t="s">
        <v>359</v>
      </c>
      <c r="I316" s="148">
        <v>45693</v>
      </c>
      <c r="P316" s="134"/>
      <c r="R316" s="149" t="s">
        <v>816</v>
      </c>
    </row>
    <row r="317" spans="1:18" ht="201.75">
      <c r="A317" s="147" t="s">
        <v>358</v>
      </c>
      <c r="B317" s="147"/>
      <c r="C317" s="150">
        <v>36509029</v>
      </c>
      <c r="G317" s="29" t="s">
        <v>744</v>
      </c>
      <c r="H317" s="147" t="s">
        <v>359</v>
      </c>
      <c r="I317" s="148">
        <v>45693</v>
      </c>
      <c r="P317" s="134"/>
      <c r="R317" s="149" t="s">
        <v>817</v>
      </c>
    </row>
    <row r="318" spans="1:18">
      <c r="A318" s="147" t="s">
        <v>210</v>
      </c>
      <c r="B318" s="147"/>
      <c r="C318" s="150">
        <v>36504794</v>
      </c>
      <c r="G318" s="29" t="s">
        <v>744</v>
      </c>
      <c r="H318" s="29" t="s">
        <v>235</v>
      </c>
      <c r="I318" s="148">
        <v>45693</v>
      </c>
      <c r="P318" s="134"/>
      <c r="R318" s="149" t="s">
        <v>563</v>
      </c>
    </row>
    <row r="319" spans="1:18">
      <c r="A319" s="147" t="s">
        <v>210</v>
      </c>
      <c r="B319" s="147"/>
      <c r="C319" s="150">
        <v>36504920</v>
      </c>
      <c r="G319" s="29" t="s">
        <v>744</v>
      </c>
      <c r="H319" s="29" t="s">
        <v>235</v>
      </c>
      <c r="I319" s="148">
        <v>45693</v>
      </c>
      <c r="P319" s="134"/>
      <c r="R319" s="149" t="s">
        <v>564</v>
      </c>
    </row>
    <row r="320" spans="1:18">
      <c r="A320" s="147" t="s">
        <v>210</v>
      </c>
      <c r="B320" s="147"/>
      <c r="C320" s="150">
        <v>36504973</v>
      </c>
      <c r="G320" s="29" t="s">
        <v>744</v>
      </c>
      <c r="H320" s="29" t="s">
        <v>235</v>
      </c>
      <c r="I320" s="148">
        <v>45693</v>
      </c>
      <c r="P320" s="134"/>
      <c r="R320" s="149" t="s">
        <v>565</v>
      </c>
    </row>
    <row r="321" spans="1:18">
      <c r="A321" s="147" t="s">
        <v>210</v>
      </c>
      <c r="B321" s="147"/>
      <c r="C321" s="150">
        <v>36505003</v>
      </c>
      <c r="G321" s="29" t="s">
        <v>744</v>
      </c>
      <c r="H321" s="29" t="s">
        <v>235</v>
      </c>
      <c r="I321" s="148">
        <v>45693</v>
      </c>
      <c r="P321" s="134"/>
      <c r="R321" s="149" t="s">
        <v>566</v>
      </c>
    </row>
    <row r="322" spans="1:18">
      <c r="A322" s="147" t="s">
        <v>210</v>
      </c>
      <c r="B322" s="147"/>
      <c r="C322" s="150">
        <v>36505041</v>
      </c>
      <c r="G322" s="29" t="s">
        <v>744</v>
      </c>
      <c r="H322" s="29" t="s">
        <v>235</v>
      </c>
      <c r="I322" s="148">
        <v>45693</v>
      </c>
      <c r="P322" s="134"/>
      <c r="R322" s="149" t="s">
        <v>567</v>
      </c>
    </row>
    <row r="323" spans="1:18">
      <c r="A323" s="147" t="s">
        <v>210</v>
      </c>
      <c r="B323" s="147"/>
      <c r="C323" s="150">
        <v>36505090</v>
      </c>
      <c r="G323" s="29" t="s">
        <v>744</v>
      </c>
      <c r="H323" s="29" t="s">
        <v>235</v>
      </c>
      <c r="I323" s="148">
        <v>45693</v>
      </c>
      <c r="P323" s="134"/>
      <c r="R323" s="149" t="s">
        <v>568</v>
      </c>
    </row>
    <row r="324" spans="1:18">
      <c r="A324" s="29" t="s">
        <v>286</v>
      </c>
      <c r="B324" s="29"/>
      <c r="C324" s="29">
        <v>37508582</v>
      </c>
      <c r="G324" s="29" t="s">
        <v>744</v>
      </c>
      <c r="H324" s="29" t="s">
        <v>287</v>
      </c>
      <c r="I324" s="120">
        <v>45693</v>
      </c>
      <c r="P324" s="134"/>
      <c r="R324" s="29" t="s">
        <v>397</v>
      </c>
    </row>
    <row r="325" spans="1:18">
      <c r="A325" s="29" t="s">
        <v>286</v>
      </c>
      <c r="B325" s="29"/>
      <c r="C325" s="29">
        <v>37508534</v>
      </c>
      <c r="G325" s="29" t="s">
        <v>744</v>
      </c>
      <c r="H325" s="29" t="s">
        <v>287</v>
      </c>
      <c r="I325" s="120">
        <v>45693</v>
      </c>
      <c r="P325" s="134"/>
      <c r="R325" s="29" t="s">
        <v>399</v>
      </c>
    </row>
    <row r="326" spans="1:18">
      <c r="A326" s="29" t="s">
        <v>286</v>
      </c>
      <c r="B326" s="29"/>
      <c r="C326" s="29">
        <v>37508555</v>
      </c>
      <c r="G326" s="29" t="s">
        <v>744</v>
      </c>
      <c r="H326" s="29" t="s">
        <v>287</v>
      </c>
      <c r="I326" s="120">
        <v>45693</v>
      </c>
      <c r="P326" s="134"/>
      <c r="R326" s="29" t="s">
        <v>398</v>
      </c>
    </row>
    <row r="327" spans="1:18">
      <c r="A327" s="29" t="s">
        <v>286</v>
      </c>
      <c r="B327" s="29"/>
      <c r="C327" s="29">
        <v>37508444</v>
      </c>
      <c r="G327" s="29" t="s">
        <v>744</v>
      </c>
      <c r="H327" s="29" t="s">
        <v>287</v>
      </c>
      <c r="I327" s="120">
        <v>45693</v>
      </c>
      <c r="P327" s="134"/>
      <c r="R327" s="29" t="s">
        <v>401</v>
      </c>
    </row>
    <row r="328" spans="1:18">
      <c r="A328" s="29" t="s">
        <v>286</v>
      </c>
      <c r="B328" s="29"/>
      <c r="C328" s="29">
        <v>37508509</v>
      </c>
      <c r="G328" s="29" t="s">
        <v>744</v>
      </c>
      <c r="H328" s="29" t="s">
        <v>287</v>
      </c>
      <c r="I328" s="120">
        <v>45693</v>
      </c>
      <c r="P328" s="134"/>
      <c r="R328" s="29" t="s">
        <v>400</v>
      </c>
    </row>
    <row r="329" spans="1:18">
      <c r="A329" s="29" t="s">
        <v>286</v>
      </c>
      <c r="B329" s="29"/>
      <c r="C329" s="29">
        <v>37508419</v>
      </c>
      <c r="G329" s="29" t="s">
        <v>744</v>
      </c>
      <c r="H329" s="29" t="s">
        <v>287</v>
      </c>
      <c r="I329" s="120">
        <v>45693</v>
      </c>
      <c r="P329" s="134"/>
      <c r="R329" s="29" t="s">
        <v>402</v>
      </c>
    </row>
    <row r="330" spans="1:18">
      <c r="A330" s="29" t="s">
        <v>286</v>
      </c>
      <c r="B330" s="29"/>
      <c r="C330" s="29">
        <v>37508391</v>
      </c>
      <c r="G330" s="29" t="s">
        <v>744</v>
      </c>
      <c r="H330" s="29" t="s">
        <v>287</v>
      </c>
      <c r="I330" s="120">
        <v>45693</v>
      </c>
      <c r="P330" s="134"/>
      <c r="R330" s="29" t="s">
        <v>403</v>
      </c>
    </row>
    <row r="331" spans="1:18">
      <c r="A331" s="29" t="s">
        <v>286</v>
      </c>
      <c r="B331" s="29"/>
      <c r="C331" s="29">
        <v>37508358</v>
      </c>
      <c r="G331" s="29" t="s">
        <v>744</v>
      </c>
      <c r="H331" s="29" t="s">
        <v>287</v>
      </c>
      <c r="I331" s="120">
        <v>45693</v>
      </c>
      <c r="P331" s="134"/>
      <c r="R331" s="29" t="s">
        <v>404</v>
      </c>
    </row>
    <row r="332" spans="1:18">
      <c r="A332" s="29" t="s">
        <v>775</v>
      </c>
      <c r="B332" s="29"/>
      <c r="C332" s="29">
        <v>37504943</v>
      </c>
      <c r="G332" s="29" t="s">
        <v>744</v>
      </c>
      <c r="H332" s="29" t="s">
        <v>185</v>
      </c>
      <c r="I332" s="120">
        <v>45693</v>
      </c>
      <c r="P332" s="134"/>
      <c r="R332" s="29" t="s">
        <v>801</v>
      </c>
    </row>
    <row r="333" spans="1:18">
      <c r="A333" s="84" t="s">
        <v>608</v>
      </c>
      <c r="B333" s="84"/>
      <c r="C333" s="84">
        <v>34509810</v>
      </c>
      <c r="G333" s="84" t="s">
        <v>744</v>
      </c>
      <c r="H333" s="88" t="s">
        <v>278</v>
      </c>
      <c r="I333" s="85">
        <v>45691</v>
      </c>
      <c r="P333" s="134"/>
      <c r="R333" s="84" t="s">
        <v>609</v>
      </c>
    </row>
    <row r="334" spans="1:18">
      <c r="A334" s="84" t="s">
        <v>608</v>
      </c>
      <c r="B334" s="84"/>
      <c r="C334" s="84">
        <v>34509844</v>
      </c>
      <c r="G334" s="84" t="s">
        <v>744</v>
      </c>
      <c r="H334" s="88" t="s">
        <v>278</v>
      </c>
      <c r="I334" s="85">
        <v>45691</v>
      </c>
      <c r="P334" s="134"/>
      <c r="R334" s="84" t="s">
        <v>610</v>
      </c>
    </row>
    <row r="335" spans="1:18">
      <c r="A335" s="84" t="s">
        <v>608</v>
      </c>
      <c r="B335" s="84"/>
      <c r="C335" s="84">
        <v>34509930</v>
      </c>
      <c r="G335" s="84" t="s">
        <v>744</v>
      </c>
      <c r="H335" s="88" t="s">
        <v>278</v>
      </c>
      <c r="I335" s="85">
        <v>45691</v>
      </c>
      <c r="P335" s="134"/>
      <c r="R335" s="84" t="s">
        <v>611</v>
      </c>
    </row>
    <row r="336" spans="1:18">
      <c r="A336" s="84" t="s">
        <v>608</v>
      </c>
      <c r="B336" s="84"/>
      <c r="C336" s="84">
        <v>34509957</v>
      </c>
      <c r="G336" s="84" t="s">
        <v>744</v>
      </c>
      <c r="H336" s="88" t="s">
        <v>278</v>
      </c>
      <c r="I336" s="85">
        <v>45691</v>
      </c>
      <c r="P336" s="134"/>
      <c r="R336" s="84" t="s">
        <v>612</v>
      </c>
    </row>
    <row r="337" spans="1:19">
      <c r="A337" s="84" t="s">
        <v>277</v>
      </c>
      <c r="B337" s="84"/>
      <c r="C337" s="84">
        <v>18500302</v>
      </c>
      <c r="G337" s="84" t="s">
        <v>744</v>
      </c>
      <c r="H337" s="88" t="s">
        <v>278</v>
      </c>
      <c r="I337" s="85">
        <v>45675</v>
      </c>
      <c r="P337" s="134"/>
      <c r="R337" s="84" t="s">
        <v>601</v>
      </c>
    </row>
    <row r="338" spans="1:19">
      <c r="A338" s="84" t="s">
        <v>277</v>
      </c>
      <c r="B338" s="84"/>
      <c r="C338" s="84">
        <v>18500307</v>
      </c>
      <c r="G338" s="84" t="s">
        <v>744</v>
      </c>
      <c r="H338" s="88" t="s">
        <v>278</v>
      </c>
      <c r="I338" s="85">
        <v>45675</v>
      </c>
      <c r="P338" s="134"/>
      <c r="R338" s="84" t="s">
        <v>602</v>
      </c>
    </row>
    <row r="339" spans="1:19">
      <c r="A339" s="84" t="s">
        <v>277</v>
      </c>
      <c r="B339" s="84"/>
      <c r="C339" s="84">
        <v>18500310</v>
      </c>
      <c r="G339" s="84" t="s">
        <v>744</v>
      </c>
      <c r="H339" s="88" t="s">
        <v>278</v>
      </c>
      <c r="I339" s="85">
        <v>45675</v>
      </c>
      <c r="P339" s="134"/>
      <c r="R339" s="84" t="s">
        <v>603</v>
      </c>
    </row>
    <row r="340" spans="1:19">
      <c r="A340" s="84" t="s">
        <v>277</v>
      </c>
      <c r="B340" s="84"/>
      <c r="C340" s="84">
        <v>18500314</v>
      </c>
      <c r="G340" s="84" t="s">
        <v>744</v>
      </c>
      <c r="H340" s="88" t="s">
        <v>278</v>
      </c>
      <c r="I340" s="85">
        <v>45675</v>
      </c>
      <c r="P340" s="134"/>
      <c r="R340" s="84" t="s">
        <v>604</v>
      </c>
    </row>
    <row r="341" spans="1:19">
      <c r="A341" s="84" t="s">
        <v>277</v>
      </c>
      <c r="B341" s="84"/>
      <c r="C341" s="84">
        <v>18500316</v>
      </c>
      <c r="G341" s="84" t="s">
        <v>744</v>
      </c>
      <c r="H341" s="88" t="s">
        <v>278</v>
      </c>
      <c r="I341" s="85">
        <v>45675</v>
      </c>
      <c r="P341" s="134"/>
      <c r="R341" s="84" t="s">
        <v>605</v>
      </c>
    </row>
    <row r="342" spans="1:19">
      <c r="A342" s="84" t="s">
        <v>277</v>
      </c>
      <c r="B342" s="84"/>
      <c r="C342" s="84">
        <v>18500318</v>
      </c>
      <c r="G342" s="84" t="s">
        <v>744</v>
      </c>
      <c r="H342" s="88" t="s">
        <v>278</v>
      </c>
      <c r="I342" s="85">
        <v>45675</v>
      </c>
      <c r="P342" s="134"/>
      <c r="R342" s="84" t="s">
        <v>606</v>
      </c>
    </row>
    <row r="343" spans="1:19">
      <c r="A343" s="84" t="s">
        <v>277</v>
      </c>
      <c r="B343" s="84"/>
      <c r="C343" s="84">
        <v>18500320</v>
      </c>
      <c r="G343" s="84" t="s">
        <v>744</v>
      </c>
      <c r="H343" s="88" t="s">
        <v>278</v>
      </c>
      <c r="I343" s="85">
        <v>45675</v>
      </c>
      <c r="P343" s="134"/>
      <c r="R343" s="84" t="s">
        <v>607</v>
      </c>
    </row>
    <row r="344" spans="1:19">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c r="A346" s="29" t="s">
        <v>818</v>
      </c>
      <c r="B346" s="29"/>
      <c r="C346" s="29">
        <v>36504999</v>
      </c>
      <c r="G346" s="29" t="s">
        <v>153</v>
      </c>
      <c r="H346" s="29" t="s">
        <v>819</v>
      </c>
      <c r="I346" s="120">
        <v>45692</v>
      </c>
      <c r="J346" s="29"/>
      <c r="K346" s="29"/>
      <c r="L346" s="29"/>
      <c r="M346" s="29"/>
      <c r="N346" s="29"/>
      <c r="O346" s="29"/>
      <c r="P346" s="29"/>
      <c r="Q346" s="81"/>
      <c r="R346" s="29" t="s">
        <v>820</v>
      </c>
      <c r="S346" s="123"/>
    </row>
    <row r="347" spans="1:19" ht="15.75">
      <c r="A347" s="29" t="s">
        <v>818</v>
      </c>
      <c r="B347" s="29"/>
      <c r="C347" s="121">
        <v>36505340</v>
      </c>
      <c r="G347" s="29" t="s">
        <v>153</v>
      </c>
      <c r="H347" s="29" t="s">
        <v>236</v>
      </c>
      <c r="I347" s="120">
        <v>45692</v>
      </c>
      <c r="J347" s="29"/>
      <c r="K347" s="29"/>
      <c r="L347" s="29"/>
      <c r="M347" s="29"/>
      <c r="N347" s="29"/>
      <c r="O347" s="29"/>
      <c r="P347" s="29"/>
      <c r="Q347" s="81"/>
      <c r="R347" s="29"/>
      <c r="S347" s="123"/>
    </row>
    <row r="348" spans="1:19" ht="15.75">
      <c r="A348" s="29" t="s">
        <v>818</v>
      </c>
      <c r="B348" s="29"/>
      <c r="C348" s="121">
        <v>36505390</v>
      </c>
      <c r="G348" s="29" t="s">
        <v>153</v>
      </c>
      <c r="H348" s="29" t="s">
        <v>236</v>
      </c>
      <c r="I348" s="120">
        <v>45692</v>
      </c>
      <c r="J348" s="29"/>
      <c r="K348" s="29"/>
      <c r="L348" s="29"/>
      <c r="M348" s="29"/>
      <c r="N348" s="29"/>
      <c r="O348" s="29"/>
      <c r="P348" s="29"/>
      <c r="Q348" s="81"/>
      <c r="R348" s="29"/>
      <c r="S348" s="123"/>
    </row>
    <row r="349" spans="1:19" ht="15.75">
      <c r="A349" s="29" t="s">
        <v>818</v>
      </c>
      <c r="B349" s="29"/>
      <c r="C349" s="121">
        <v>36505446</v>
      </c>
      <c r="G349" s="29" t="s">
        <v>153</v>
      </c>
      <c r="H349" s="29" t="s">
        <v>236</v>
      </c>
      <c r="I349" s="120">
        <v>45692</v>
      </c>
      <c r="J349" s="29"/>
      <c r="K349" s="29"/>
      <c r="L349" s="29"/>
      <c r="M349" s="29"/>
      <c r="N349" s="29"/>
      <c r="O349" s="29"/>
      <c r="P349" s="29"/>
      <c r="Q349" s="81"/>
      <c r="R349" s="29"/>
      <c r="S349" s="123"/>
    </row>
    <row r="350" spans="1:19" ht="15.75">
      <c r="A350" s="29" t="s">
        <v>818</v>
      </c>
      <c r="B350" s="29"/>
      <c r="C350" s="121">
        <v>36505501</v>
      </c>
      <c r="G350" s="29" t="s">
        <v>153</v>
      </c>
      <c r="H350" s="29" t="s">
        <v>236</v>
      </c>
      <c r="I350" s="120">
        <v>45692</v>
      </c>
      <c r="J350" s="29"/>
      <c r="K350" s="29"/>
      <c r="L350" s="29"/>
      <c r="M350" s="29"/>
      <c r="N350" s="29"/>
      <c r="O350" s="29"/>
      <c r="P350" s="29"/>
      <c r="Q350" s="81"/>
      <c r="R350" s="29"/>
      <c r="S350" s="123"/>
    </row>
    <row r="351" spans="1:19" ht="15.75">
      <c r="A351" s="29" t="s">
        <v>818</v>
      </c>
      <c r="B351" s="29"/>
      <c r="C351" s="121">
        <v>36504194</v>
      </c>
      <c r="G351" s="29" t="s">
        <v>153</v>
      </c>
      <c r="H351" s="29" t="s">
        <v>236</v>
      </c>
      <c r="I351" s="120">
        <v>45692</v>
      </c>
      <c r="J351" s="29"/>
      <c r="K351" s="29"/>
      <c r="L351" s="29"/>
      <c r="M351" s="29"/>
      <c r="N351" s="29"/>
      <c r="O351" s="29"/>
      <c r="P351" s="29"/>
      <c r="Q351" s="81"/>
      <c r="R351" s="29"/>
      <c r="S351" s="123"/>
    </row>
    <row r="352" spans="1:19" ht="15.75">
      <c r="A352" s="29" t="s">
        <v>818</v>
      </c>
      <c r="B352" s="29"/>
      <c r="C352" s="121">
        <v>36504399</v>
      </c>
      <c r="G352" s="29" t="s">
        <v>153</v>
      </c>
      <c r="H352" s="29" t="s">
        <v>236</v>
      </c>
      <c r="I352" s="120">
        <v>45692</v>
      </c>
      <c r="J352" s="29"/>
      <c r="K352" s="29"/>
      <c r="L352" s="29"/>
      <c r="M352" s="29"/>
      <c r="N352" s="29"/>
      <c r="O352" s="29"/>
      <c r="P352" s="29"/>
      <c r="Q352" s="81"/>
      <c r="R352" s="29"/>
      <c r="S352" s="123"/>
    </row>
    <row r="353" spans="1:19" ht="15.75">
      <c r="A353" s="29" t="s">
        <v>818</v>
      </c>
      <c r="B353" s="29"/>
      <c r="C353" s="121">
        <v>36504493</v>
      </c>
      <c r="G353" s="29" t="s">
        <v>153</v>
      </c>
      <c r="H353" s="29" t="s">
        <v>236</v>
      </c>
      <c r="I353" s="120">
        <v>45692</v>
      </c>
      <c r="J353" s="29"/>
      <c r="K353" s="29"/>
      <c r="L353" s="29"/>
      <c r="M353" s="29"/>
      <c r="N353" s="29"/>
      <c r="O353" s="29"/>
      <c r="P353" s="29"/>
      <c r="Q353" s="81"/>
      <c r="R353" s="29"/>
      <c r="S353" s="123"/>
    </row>
    <row r="354" spans="1:19" ht="15.75">
      <c r="A354" s="29" t="s">
        <v>818</v>
      </c>
      <c r="B354" s="29"/>
      <c r="C354" s="121">
        <v>36504549</v>
      </c>
      <c r="G354" s="29" t="s">
        <v>153</v>
      </c>
      <c r="H354" s="29" t="s">
        <v>236</v>
      </c>
      <c r="I354" s="120">
        <v>45692</v>
      </c>
      <c r="J354" s="29"/>
      <c r="K354" s="29"/>
      <c r="L354" s="29"/>
      <c r="M354" s="29"/>
      <c r="N354" s="29"/>
      <c r="O354" s="29"/>
      <c r="P354" s="29"/>
      <c r="Q354" s="81"/>
      <c r="R354" s="29"/>
      <c r="S354" s="123"/>
    </row>
    <row r="355" spans="1:19" ht="15.75">
      <c r="A355" s="29" t="s">
        <v>818</v>
      </c>
      <c r="B355" s="29"/>
      <c r="C355" s="121">
        <v>36504718</v>
      </c>
      <c r="G355" s="29" t="s">
        <v>153</v>
      </c>
      <c r="H355" s="29" t="s">
        <v>236</v>
      </c>
      <c r="I355" s="120">
        <v>45692</v>
      </c>
      <c r="J355" s="29"/>
      <c r="K355" s="29"/>
      <c r="L355" s="29"/>
      <c r="M355" s="29"/>
      <c r="N355" s="29"/>
      <c r="O355" s="29"/>
      <c r="P355" s="29"/>
      <c r="Q355" s="81"/>
      <c r="R355" s="29"/>
      <c r="S355" s="123"/>
    </row>
    <row r="356" spans="1:19">
      <c r="A356" s="29" t="s">
        <v>818</v>
      </c>
      <c r="B356" s="29"/>
      <c r="C356" s="29">
        <v>36505051</v>
      </c>
      <c r="G356" s="29" t="s">
        <v>153</v>
      </c>
      <c r="H356" s="29" t="s">
        <v>819</v>
      </c>
      <c r="I356" s="120">
        <v>45692</v>
      </c>
      <c r="J356" s="29"/>
      <c r="K356" s="29"/>
      <c r="L356" s="29"/>
      <c r="M356" s="29"/>
      <c r="N356" s="29"/>
      <c r="O356" s="29"/>
      <c r="P356" s="29"/>
      <c r="Q356" s="81"/>
      <c r="R356" s="29" t="s">
        <v>821</v>
      </c>
      <c r="S356" s="123"/>
    </row>
    <row r="357" spans="1:19">
      <c r="A357" s="29" t="s">
        <v>818</v>
      </c>
      <c r="B357" s="29"/>
      <c r="C357" s="29">
        <v>36505051</v>
      </c>
      <c r="G357" s="29" t="s">
        <v>153</v>
      </c>
      <c r="H357" s="29" t="s">
        <v>819</v>
      </c>
      <c r="I357" s="120">
        <v>45692</v>
      </c>
      <c r="J357" s="29"/>
      <c r="K357" s="29"/>
      <c r="L357" s="29"/>
      <c r="M357" s="29"/>
      <c r="N357" s="29"/>
      <c r="O357" s="29"/>
      <c r="P357" s="29"/>
      <c r="Q357" s="81"/>
      <c r="R357" s="29" t="s">
        <v>821</v>
      </c>
      <c r="S357" s="123"/>
    </row>
    <row r="358" spans="1:19">
      <c r="A358" s="29" t="s">
        <v>818</v>
      </c>
      <c r="B358" s="29"/>
      <c r="C358" s="29">
        <v>36501604</v>
      </c>
      <c r="G358" s="29" t="s">
        <v>153</v>
      </c>
      <c r="H358" s="29" t="s">
        <v>406</v>
      </c>
      <c r="I358" s="120">
        <v>45692</v>
      </c>
      <c r="J358" s="29"/>
      <c r="K358" s="29"/>
      <c r="L358" s="29"/>
      <c r="M358" s="29"/>
      <c r="N358" s="29"/>
      <c r="O358" s="29"/>
      <c r="P358" s="29"/>
      <c r="Q358" s="81"/>
      <c r="R358" s="29" t="s">
        <v>822</v>
      </c>
      <c r="S358" s="123"/>
    </row>
    <row r="359" spans="1:19">
      <c r="A359" s="29" t="s">
        <v>818</v>
      </c>
      <c r="B359" s="29"/>
      <c r="C359" s="29">
        <v>36505501</v>
      </c>
      <c r="G359" s="29" t="s">
        <v>153</v>
      </c>
      <c r="H359" s="29" t="s">
        <v>406</v>
      </c>
      <c r="I359" s="120">
        <v>45692</v>
      </c>
      <c r="J359" s="29"/>
      <c r="K359" s="29"/>
      <c r="L359" s="29"/>
      <c r="M359" s="29"/>
      <c r="N359" s="29"/>
      <c r="O359" s="29"/>
      <c r="P359" s="29"/>
      <c r="Q359" s="81"/>
      <c r="R359" s="29" t="s">
        <v>823</v>
      </c>
      <c r="S359" s="123"/>
    </row>
    <row r="360" spans="1:19">
      <c r="A360" s="29" t="s">
        <v>818</v>
      </c>
      <c r="B360" s="29"/>
      <c r="C360" s="29">
        <v>36505446</v>
      </c>
      <c r="G360" s="29" t="s">
        <v>153</v>
      </c>
      <c r="H360" s="29" t="s">
        <v>406</v>
      </c>
      <c r="I360" s="120">
        <v>45692</v>
      </c>
      <c r="J360" s="29"/>
      <c r="K360" s="29"/>
      <c r="L360" s="29"/>
      <c r="M360" s="29"/>
      <c r="N360" s="29"/>
      <c r="O360" s="29"/>
      <c r="P360" s="29"/>
      <c r="Q360" s="81"/>
      <c r="R360" s="29" t="s">
        <v>824</v>
      </c>
      <c r="S360" s="123"/>
    </row>
    <row r="361" spans="1:19">
      <c r="A361" s="29" t="s">
        <v>818</v>
      </c>
      <c r="B361" s="29"/>
      <c r="C361" s="29">
        <v>36505390</v>
      </c>
      <c r="G361" s="29" t="s">
        <v>153</v>
      </c>
      <c r="H361" s="29" t="s">
        <v>406</v>
      </c>
      <c r="I361" s="120">
        <v>45692</v>
      </c>
      <c r="J361" s="29"/>
      <c r="K361" s="29"/>
      <c r="L361" s="29"/>
      <c r="M361" s="29"/>
      <c r="N361" s="29"/>
      <c r="O361" s="29"/>
      <c r="P361" s="29"/>
      <c r="Q361" s="81"/>
      <c r="R361" s="29" t="s">
        <v>824</v>
      </c>
      <c r="S361" s="123"/>
    </row>
    <row r="362" spans="1:19">
      <c r="A362" s="29" t="s">
        <v>818</v>
      </c>
      <c r="B362" s="29"/>
      <c r="C362" s="29">
        <v>36505340</v>
      </c>
      <c r="G362" s="29" t="s">
        <v>153</v>
      </c>
      <c r="H362" s="29" t="s">
        <v>406</v>
      </c>
      <c r="I362" s="120">
        <v>45692</v>
      </c>
      <c r="J362" s="29"/>
      <c r="K362" s="29"/>
      <c r="L362" s="29"/>
      <c r="M362" s="29"/>
      <c r="N362" s="29"/>
      <c r="O362" s="29"/>
      <c r="P362" s="29"/>
      <c r="Q362" s="81"/>
      <c r="R362" s="29" t="s">
        <v>825</v>
      </c>
      <c r="S362" s="123"/>
    </row>
    <row r="363" spans="1:19">
      <c r="A363" s="29" t="s">
        <v>818</v>
      </c>
      <c r="B363" s="29"/>
      <c r="C363" s="29">
        <v>36505299</v>
      </c>
      <c r="G363" s="29" t="s">
        <v>153</v>
      </c>
      <c r="H363" s="29" t="s">
        <v>406</v>
      </c>
      <c r="I363" s="120">
        <v>45692</v>
      </c>
      <c r="J363" s="29"/>
      <c r="K363" s="29"/>
      <c r="L363" s="29"/>
      <c r="M363" s="29"/>
      <c r="N363" s="29"/>
      <c r="O363" s="29"/>
      <c r="P363" s="29"/>
      <c r="Q363" s="81"/>
      <c r="R363" s="29" t="s">
        <v>826</v>
      </c>
      <c r="S363" s="123"/>
    </row>
    <row r="364" spans="1:19">
      <c r="A364" s="29" t="s">
        <v>818</v>
      </c>
      <c r="B364" s="29"/>
      <c r="C364" s="29">
        <v>36505254</v>
      </c>
      <c r="G364" s="29" t="s">
        <v>153</v>
      </c>
      <c r="H364" s="29" t="s">
        <v>406</v>
      </c>
      <c r="I364" s="120">
        <v>45692</v>
      </c>
      <c r="J364" s="29"/>
      <c r="K364" s="29"/>
      <c r="L364" s="29"/>
      <c r="M364" s="29"/>
      <c r="N364" s="29"/>
      <c r="O364" s="29"/>
      <c r="P364" s="29"/>
      <c r="Q364" s="81"/>
      <c r="R364" s="29" t="s">
        <v>827</v>
      </c>
      <c r="S364" s="123"/>
    </row>
    <row r="365" spans="1:19">
      <c r="A365" s="29" t="s">
        <v>818</v>
      </c>
      <c r="B365" s="29"/>
      <c r="C365" s="29">
        <v>36505184</v>
      </c>
      <c r="G365" s="29" t="s">
        <v>153</v>
      </c>
      <c r="H365" s="29" t="s">
        <v>406</v>
      </c>
      <c r="I365" s="120">
        <v>45692</v>
      </c>
      <c r="J365" s="29"/>
      <c r="K365" s="29"/>
      <c r="L365" s="29"/>
      <c r="M365" s="29"/>
      <c r="N365" s="29"/>
      <c r="O365" s="29"/>
      <c r="P365" s="29"/>
      <c r="Q365" s="81"/>
      <c r="R365" s="29" t="s">
        <v>828</v>
      </c>
      <c r="S365" s="123"/>
    </row>
    <row r="366" spans="1:19" ht="15.75">
      <c r="A366" s="29" t="s">
        <v>818</v>
      </c>
      <c r="B366" s="29"/>
      <c r="C366" s="121">
        <v>36504303</v>
      </c>
      <c r="G366" s="29" t="s">
        <v>153</v>
      </c>
      <c r="H366" s="29" t="s">
        <v>236</v>
      </c>
      <c r="I366" s="120">
        <v>45692</v>
      </c>
      <c r="J366" s="29"/>
      <c r="P366" s="134"/>
      <c r="R366" s="29"/>
    </row>
    <row r="367" spans="1:19" ht="15.75">
      <c r="A367" s="29" t="s">
        <v>818</v>
      </c>
      <c r="B367" s="29"/>
      <c r="C367" s="121">
        <v>36504399</v>
      </c>
      <c r="G367" s="29" t="s">
        <v>153</v>
      </c>
      <c r="H367" s="29" t="s">
        <v>236</v>
      </c>
      <c r="I367" s="120">
        <v>45692</v>
      </c>
      <c r="J367" s="29"/>
      <c r="P367" s="134"/>
      <c r="R367" s="29"/>
    </row>
    <row r="368" spans="1:19" ht="15.75">
      <c r="A368" s="29" t="s">
        <v>818</v>
      </c>
      <c r="B368" s="29"/>
      <c r="C368" s="121">
        <v>36504493</v>
      </c>
      <c r="G368" s="29" t="s">
        <v>153</v>
      </c>
      <c r="H368" s="29" t="s">
        <v>236</v>
      </c>
      <c r="I368" s="120">
        <v>45692</v>
      </c>
      <c r="J368" s="29"/>
      <c r="P368" s="134"/>
      <c r="R368" s="29"/>
    </row>
    <row r="369" spans="1:18" ht="15.75">
      <c r="A369" s="29" t="s">
        <v>818</v>
      </c>
      <c r="B369" s="29"/>
      <c r="C369" s="121">
        <v>36504549</v>
      </c>
      <c r="G369" s="29" t="s">
        <v>153</v>
      </c>
      <c r="H369" s="29" t="s">
        <v>236</v>
      </c>
      <c r="I369" s="120">
        <v>45692</v>
      </c>
      <c r="J369" s="29"/>
      <c r="P369" s="134"/>
      <c r="R369" s="29"/>
    </row>
    <row r="370" spans="1:18" ht="15.75">
      <c r="A370" s="29" t="s">
        <v>818</v>
      </c>
      <c r="B370" s="29"/>
      <c r="C370" s="121">
        <v>36504718</v>
      </c>
      <c r="G370" s="29" t="s">
        <v>153</v>
      </c>
      <c r="H370" s="29" t="s">
        <v>236</v>
      </c>
      <c r="I370" s="120">
        <v>45692</v>
      </c>
      <c r="J370" s="29"/>
      <c r="P370" s="134"/>
      <c r="R370" s="29"/>
    </row>
    <row r="371" spans="1:18" ht="15.75">
      <c r="A371" s="29" t="s">
        <v>818</v>
      </c>
      <c r="B371" s="29"/>
      <c r="C371" s="121">
        <v>36504907</v>
      </c>
      <c r="G371" s="29" t="s">
        <v>153</v>
      </c>
      <c r="H371" s="29" t="s">
        <v>236</v>
      </c>
      <c r="I371" s="120">
        <v>45692</v>
      </c>
      <c r="J371" s="29"/>
      <c r="P371" s="134"/>
      <c r="R371" s="29"/>
    </row>
    <row r="372" spans="1:18">
      <c r="A372" s="29" t="s">
        <v>818</v>
      </c>
      <c r="B372" s="29"/>
      <c r="C372" s="29">
        <v>36504999</v>
      </c>
      <c r="G372" s="29" t="s">
        <v>153</v>
      </c>
      <c r="H372" s="29" t="s">
        <v>819</v>
      </c>
      <c r="I372" s="120">
        <v>45692</v>
      </c>
      <c r="J372" s="29"/>
      <c r="P372" s="134"/>
      <c r="R372" s="29" t="s">
        <v>820</v>
      </c>
    </row>
    <row r="373" spans="1:18">
      <c r="A373" s="29" t="s">
        <v>818</v>
      </c>
      <c r="B373" s="29"/>
      <c r="C373" s="29">
        <v>36505051</v>
      </c>
      <c r="G373" s="29" t="s">
        <v>153</v>
      </c>
      <c r="H373" s="29" t="s">
        <v>819</v>
      </c>
      <c r="I373" s="120">
        <v>45692</v>
      </c>
      <c r="J373" s="29"/>
      <c r="P373" s="134"/>
      <c r="R373" s="29" t="s">
        <v>821</v>
      </c>
    </row>
    <row r="374" spans="1:18">
      <c r="A374" s="29" t="s">
        <v>818</v>
      </c>
      <c r="B374" s="29"/>
      <c r="C374" s="29">
        <v>36505051</v>
      </c>
      <c r="G374" s="29" t="s">
        <v>153</v>
      </c>
      <c r="H374" s="29" t="s">
        <v>819</v>
      </c>
      <c r="I374" s="120">
        <v>45692</v>
      </c>
      <c r="J374" s="29"/>
      <c r="P374" s="134"/>
      <c r="R374" s="29" t="s">
        <v>821</v>
      </c>
    </row>
    <row r="375" spans="1:18">
      <c r="A375" s="29" t="s">
        <v>818</v>
      </c>
      <c r="B375" s="29"/>
      <c r="C375" s="29">
        <v>36505123</v>
      </c>
      <c r="G375" s="29" t="s">
        <v>153</v>
      </c>
      <c r="H375" s="29" t="s">
        <v>819</v>
      </c>
      <c r="I375" s="120">
        <v>45694</v>
      </c>
      <c r="J375" s="29"/>
      <c r="P375" s="134"/>
      <c r="R375" s="29" t="s">
        <v>829</v>
      </c>
    </row>
    <row r="376" spans="1:18">
      <c r="A376" s="29" t="s">
        <v>818</v>
      </c>
      <c r="B376" s="29"/>
      <c r="C376" s="29">
        <v>36505184</v>
      </c>
      <c r="G376" s="29" t="s">
        <v>153</v>
      </c>
      <c r="H376" s="29" t="s">
        <v>406</v>
      </c>
      <c r="I376" s="120">
        <v>45692</v>
      </c>
      <c r="J376" s="29"/>
      <c r="P376" s="134"/>
      <c r="R376" s="29" t="s">
        <v>828</v>
      </c>
    </row>
    <row r="377" spans="1:18">
      <c r="A377" s="29" t="s">
        <v>818</v>
      </c>
      <c r="B377" s="29"/>
      <c r="C377" s="29">
        <v>36505254</v>
      </c>
      <c r="G377" s="29" t="s">
        <v>153</v>
      </c>
      <c r="H377" s="29" t="s">
        <v>406</v>
      </c>
      <c r="I377" s="120">
        <v>45692</v>
      </c>
      <c r="J377" s="29"/>
      <c r="P377" s="134"/>
      <c r="R377" s="29" t="s">
        <v>827</v>
      </c>
    </row>
    <row r="378" spans="1:18">
      <c r="A378" s="29" t="s">
        <v>818</v>
      </c>
      <c r="B378" s="29"/>
      <c r="C378" s="29">
        <v>36505299</v>
      </c>
      <c r="G378" s="29" t="s">
        <v>153</v>
      </c>
      <c r="H378" s="29" t="s">
        <v>406</v>
      </c>
      <c r="I378" s="120">
        <v>45692</v>
      </c>
      <c r="J378" s="29"/>
      <c r="P378" s="134"/>
      <c r="R378" s="29" t="s">
        <v>826</v>
      </c>
    </row>
    <row r="379" spans="1:18" ht="15.75">
      <c r="A379" s="29" t="s">
        <v>818</v>
      </c>
      <c r="B379" s="29"/>
      <c r="C379" s="121">
        <v>36505340</v>
      </c>
      <c r="G379" s="29" t="s">
        <v>153</v>
      </c>
      <c r="H379" s="29" t="s">
        <v>236</v>
      </c>
      <c r="I379" s="120">
        <v>45692</v>
      </c>
      <c r="J379" s="29"/>
      <c r="P379" s="134"/>
      <c r="R379" s="29"/>
    </row>
    <row r="380" spans="1:18">
      <c r="A380" s="29" t="s">
        <v>818</v>
      </c>
      <c r="B380" s="29"/>
      <c r="C380" s="29">
        <v>36505340</v>
      </c>
      <c r="G380" s="29" t="s">
        <v>153</v>
      </c>
      <c r="H380" s="29" t="s">
        <v>406</v>
      </c>
      <c r="I380" s="120">
        <v>45692</v>
      </c>
      <c r="J380" s="29"/>
      <c r="P380" s="134"/>
      <c r="R380" s="29" t="s">
        <v>825</v>
      </c>
    </row>
    <row r="381" spans="1:18" ht="15.75">
      <c r="A381" s="29" t="s">
        <v>818</v>
      </c>
      <c r="B381" s="29"/>
      <c r="C381" s="121">
        <v>36505390</v>
      </c>
      <c r="G381" s="29" t="s">
        <v>153</v>
      </c>
      <c r="H381" s="29" t="s">
        <v>236</v>
      </c>
      <c r="I381" s="120">
        <v>45692</v>
      </c>
      <c r="J381" s="29"/>
      <c r="P381" s="134"/>
      <c r="R381" s="29"/>
    </row>
    <row r="382" spans="1:18">
      <c r="A382" s="29" t="s">
        <v>818</v>
      </c>
      <c r="B382" s="29"/>
      <c r="C382" s="29">
        <v>36505390</v>
      </c>
      <c r="G382" s="29" t="s">
        <v>153</v>
      </c>
      <c r="H382" s="29" t="s">
        <v>406</v>
      </c>
      <c r="I382" s="120">
        <v>45692</v>
      </c>
      <c r="J382" s="29"/>
      <c r="P382" s="134"/>
      <c r="R382" s="29" t="s">
        <v>824</v>
      </c>
    </row>
    <row r="383" spans="1:18" ht="15.75">
      <c r="A383" s="29" t="s">
        <v>818</v>
      </c>
      <c r="B383" s="29"/>
      <c r="C383" s="121">
        <v>36505446</v>
      </c>
      <c r="G383" s="29" t="s">
        <v>153</v>
      </c>
      <c r="H383" s="29" t="s">
        <v>236</v>
      </c>
      <c r="I383" s="120">
        <v>45692</v>
      </c>
      <c r="J383" s="29"/>
      <c r="P383" s="134"/>
      <c r="R383" s="29"/>
    </row>
    <row r="384" spans="1:18">
      <c r="A384" s="29" t="s">
        <v>818</v>
      </c>
      <c r="B384" s="29"/>
      <c r="C384" s="29">
        <v>36505446</v>
      </c>
      <c r="G384" s="29" t="s">
        <v>153</v>
      </c>
      <c r="H384" s="29" t="s">
        <v>406</v>
      </c>
      <c r="I384" s="120">
        <v>45692</v>
      </c>
      <c r="J384" s="29"/>
      <c r="P384" s="134"/>
      <c r="R384" s="29" t="s">
        <v>824</v>
      </c>
    </row>
    <row r="385" spans="1:19" ht="15.75">
      <c r="A385" s="29" t="s">
        <v>818</v>
      </c>
      <c r="B385" s="29"/>
      <c r="C385" s="121">
        <v>36505501</v>
      </c>
      <c r="G385" s="29" t="s">
        <v>153</v>
      </c>
      <c r="H385" s="29" t="s">
        <v>236</v>
      </c>
      <c r="I385" s="120">
        <v>45692</v>
      </c>
      <c r="J385" s="29"/>
      <c r="P385" s="134"/>
      <c r="R385" s="29"/>
    </row>
    <row r="386" spans="1:19">
      <c r="A386" s="29" t="s">
        <v>818</v>
      </c>
      <c r="B386" s="29"/>
      <c r="C386" s="29">
        <v>36505501</v>
      </c>
      <c r="G386" s="29" t="s">
        <v>153</v>
      </c>
      <c r="H386" s="29" t="s">
        <v>406</v>
      </c>
      <c r="I386" s="120">
        <v>45692</v>
      </c>
      <c r="J386" s="29"/>
      <c r="P386" s="134"/>
      <c r="R386" s="29" t="s">
        <v>823</v>
      </c>
    </row>
    <row r="387" spans="1:19">
      <c r="A387" s="29" t="s">
        <v>818</v>
      </c>
      <c r="B387" s="29"/>
      <c r="C387" s="29">
        <v>36505123</v>
      </c>
      <c r="G387" s="29" t="s">
        <v>153</v>
      </c>
      <c r="H387" s="29" t="s">
        <v>819</v>
      </c>
      <c r="I387" s="120">
        <v>45694</v>
      </c>
      <c r="J387" s="29"/>
      <c r="K387" s="29"/>
      <c r="L387" s="29"/>
      <c r="M387" s="29"/>
      <c r="N387" s="29"/>
      <c r="O387" s="29"/>
      <c r="P387" s="29"/>
      <c r="Q387" s="81"/>
      <c r="R387" s="29" t="s">
        <v>829</v>
      </c>
      <c r="S387" s="123"/>
    </row>
    <row r="388" spans="1:19">
      <c r="A388" s="29" t="s">
        <v>818</v>
      </c>
      <c r="B388" s="29"/>
      <c r="C388" s="29">
        <v>36501604</v>
      </c>
      <c r="G388" s="29" t="s">
        <v>153</v>
      </c>
      <c r="H388" s="29" t="s">
        <v>406</v>
      </c>
      <c r="I388" s="120">
        <v>45692</v>
      </c>
      <c r="J388" s="29"/>
      <c r="P388" s="134"/>
      <c r="R388" s="29" t="s">
        <v>822</v>
      </c>
    </row>
    <row r="389" spans="1:19">
      <c r="A389" s="41" t="s">
        <v>740</v>
      </c>
      <c r="B389" s="41"/>
      <c r="C389" s="41">
        <v>50507785</v>
      </c>
      <c r="G389" s="29" t="s">
        <v>153</v>
      </c>
      <c r="H389" s="29" t="s">
        <v>77</v>
      </c>
      <c r="I389" s="120">
        <v>45707</v>
      </c>
      <c r="J389" s="29"/>
      <c r="P389" s="134"/>
      <c r="R389" s="41" t="s">
        <v>830</v>
      </c>
    </row>
    <row r="390" spans="1:19">
      <c r="A390" s="41" t="s">
        <v>740</v>
      </c>
      <c r="B390" s="41"/>
      <c r="C390" s="41">
        <v>50507819</v>
      </c>
      <c r="G390" s="29" t="s">
        <v>153</v>
      </c>
      <c r="H390" s="29" t="s">
        <v>77</v>
      </c>
      <c r="I390" s="120">
        <v>45707</v>
      </c>
      <c r="J390" s="29"/>
      <c r="P390" s="134"/>
      <c r="R390" s="41" t="s">
        <v>831</v>
      </c>
    </row>
    <row r="391" spans="1:19">
      <c r="A391" s="41" t="s">
        <v>740</v>
      </c>
      <c r="B391" s="41"/>
      <c r="C391" s="41">
        <v>50507838</v>
      </c>
      <c r="G391" s="29" t="s">
        <v>153</v>
      </c>
      <c r="H391" s="29" t="s">
        <v>77</v>
      </c>
      <c r="I391" s="120">
        <v>45707</v>
      </c>
      <c r="J391" s="29"/>
      <c r="P391" s="134"/>
      <c r="R391" s="41" t="s">
        <v>832</v>
      </c>
    </row>
    <row r="392" spans="1:19">
      <c r="A392" s="41" t="s">
        <v>740</v>
      </c>
      <c r="B392" s="41"/>
      <c r="C392" s="41">
        <v>50507640</v>
      </c>
      <c r="G392" s="29" t="s">
        <v>153</v>
      </c>
      <c r="H392" s="29" t="s">
        <v>77</v>
      </c>
      <c r="I392" s="120">
        <v>45707</v>
      </c>
      <c r="J392" s="29"/>
      <c r="P392" s="134"/>
      <c r="R392" s="41" t="s">
        <v>833</v>
      </c>
    </row>
    <row r="393" spans="1:19">
      <c r="A393" s="41" t="s">
        <v>740</v>
      </c>
      <c r="B393" s="41"/>
      <c r="C393" s="41">
        <v>50507678</v>
      </c>
      <c r="G393" s="29" t="s">
        <v>153</v>
      </c>
      <c r="H393" s="29" t="s">
        <v>77</v>
      </c>
      <c r="I393" s="120">
        <v>45707</v>
      </c>
      <c r="J393" s="29"/>
      <c r="P393" s="134"/>
      <c r="R393" s="41" t="s">
        <v>834</v>
      </c>
    </row>
    <row r="394" spans="1:19">
      <c r="A394" s="41" t="s">
        <v>740</v>
      </c>
      <c r="B394" s="41"/>
      <c r="C394" s="41">
        <v>50507713</v>
      </c>
      <c r="G394" s="29" t="s">
        <v>153</v>
      </c>
      <c r="H394" s="29" t="s">
        <v>77</v>
      </c>
      <c r="I394" s="120">
        <v>45707</v>
      </c>
      <c r="J394" s="29"/>
      <c r="P394" s="134"/>
      <c r="R394" s="41" t="s">
        <v>835</v>
      </c>
    </row>
    <row r="395" spans="1:19">
      <c r="A395" s="41" t="s">
        <v>740</v>
      </c>
      <c r="B395" s="41"/>
      <c r="C395" s="41">
        <v>50507757</v>
      </c>
      <c r="G395" s="29" t="s">
        <v>153</v>
      </c>
      <c r="H395" s="29" t="s">
        <v>77</v>
      </c>
      <c r="I395" s="120">
        <v>45707</v>
      </c>
      <c r="J395" s="29"/>
      <c r="P395" s="134"/>
      <c r="R395" s="41" t="s">
        <v>836</v>
      </c>
    </row>
    <row r="396" spans="1:19">
      <c r="A396" s="41" t="s">
        <v>740</v>
      </c>
      <c r="B396" s="41"/>
      <c r="C396" s="41">
        <v>50507609</v>
      </c>
      <c r="G396" s="29" t="s">
        <v>153</v>
      </c>
      <c r="H396" s="29" t="s">
        <v>431</v>
      </c>
      <c r="I396" s="42">
        <v>45707</v>
      </c>
      <c r="P396" s="134"/>
      <c r="R396" s="41" t="s">
        <v>741</v>
      </c>
    </row>
    <row r="397" spans="1:19">
      <c r="A397" s="41" t="s">
        <v>740</v>
      </c>
      <c r="B397" s="41"/>
      <c r="C397" s="41">
        <v>50507859</v>
      </c>
      <c r="G397" s="29" t="s">
        <v>153</v>
      </c>
      <c r="H397" s="29" t="s">
        <v>431</v>
      </c>
      <c r="I397" s="42">
        <v>45707</v>
      </c>
      <c r="P397" s="134"/>
      <c r="R397" s="41" t="s">
        <v>742</v>
      </c>
    </row>
    <row r="398" spans="1:19">
      <c r="A398" s="41" t="s">
        <v>740</v>
      </c>
      <c r="B398" s="41"/>
      <c r="C398" s="41">
        <v>50507785</v>
      </c>
      <c r="G398" s="29" t="s">
        <v>153</v>
      </c>
      <c r="H398" s="29" t="s">
        <v>431</v>
      </c>
      <c r="I398" s="42">
        <v>45707</v>
      </c>
      <c r="P398" s="134"/>
      <c r="R398" s="41" t="s">
        <v>830</v>
      </c>
    </row>
    <row r="399" spans="1:19">
      <c r="A399" s="41" t="s">
        <v>740</v>
      </c>
      <c r="B399" s="41"/>
      <c r="C399" s="41">
        <v>50507819</v>
      </c>
      <c r="G399" s="29" t="s">
        <v>153</v>
      </c>
      <c r="H399" s="29" t="s">
        <v>431</v>
      </c>
      <c r="I399" s="42">
        <v>45707</v>
      </c>
      <c r="P399" s="134"/>
      <c r="R399" s="41" t="s">
        <v>831</v>
      </c>
    </row>
    <row r="400" spans="1:19">
      <c r="A400" s="41" t="s">
        <v>740</v>
      </c>
      <c r="B400" s="41"/>
      <c r="C400" s="41">
        <v>50507838</v>
      </c>
      <c r="G400" s="29" t="s">
        <v>153</v>
      </c>
      <c r="H400" s="29" t="s">
        <v>431</v>
      </c>
      <c r="I400" s="42">
        <v>45707</v>
      </c>
      <c r="P400" s="134"/>
      <c r="R400" s="41" t="s">
        <v>832</v>
      </c>
    </row>
    <row r="401" spans="1:18">
      <c r="A401" s="41" t="s">
        <v>740</v>
      </c>
      <c r="B401" s="41"/>
      <c r="C401" s="41">
        <v>50507640</v>
      </c>
      <c r="G401" s="29" t="s">
        <v>153</v>
      </c>
      <c r="H401" s="29" t="s">
        <v>431</v>
      </c>
      <c r="I401" s="42">
        <v>45707</v>
      </c>
      <c r="P401" s="134"/>
      <c r="R401" s="41" t="s">
        <v>833</v>
      </c>
    </row>
    <row r="402" spans="1:18">
      <c r="A402" s="41" t="s">
        <v>740</v>
      </c>
      <c r="B402" s="41"/>
      <c r="C402" s="41">
        <v>50507678</v>
      </c>
      <c r="G402" s="29" t="s">
        <v>153</v>
      </c>
      <c r="H402" s="29" t="s">
        <v>431</v>
      </c>
      <c r="I402" s="42">
        <v>45707</v>
      </c>
      <c r="P402" s="134"/>
      <c r="R402" s="41" t="s">
        <v>834</v>
      </c>
    </row>
    <row r="403" spans="1:18">
      <c r="A403" s="41" t="s">
        <v>740</v>
      </c>
      <c r="B403" s="41"/>
      <c r="C403" s="41">
        <v>50507713</v>
      </c>
      <c r="G403" s="29" t="s">
        <v>153</v>
      </c>
      <c r="H403" s="29" t="s">
        <v>431</v>
      </c>
      <c r="I403" s="42">
        <v>45707</v>
      </c>
      <c r="P403" s="134"/>
      <c r="R403" s="41" t="s">
        <v>835</v>
      </c>
    </row>
    <row r="404" spans="1:18">
      <c r="A404" s="41" t="s">
        <v>740</v>
      </c>
      <c r="B404" s="41"/>
      <c r="C404" s="41">
        <v>50507757</v>
      </c>
      <c r="G404" s="29" t="s">
        <v>153</v>
      </c>
      <c r="H404" s="29" t="s">
        <v>431</v>
      </c>
      <c r="I404" s="42">
        <v>45707</v>
      </c>
      <c r="P404" s="134"/>
      <c r="R404" s="41" t="s">
        <v>836</v>
      </c>
    </row>
    <row r="405" spans="1:18">
      <c r="A405" s="41" t="s">
        <v>740</v>
      </c>
      <c r="B405" s="41"/>
      <c r="C405" s="41">
        <v>50507609</v>
      </c>
      <c r="G405" s="29" t="s">
        <v>153</v>
      </c>
      <c r="H405" s="29" t="s">
        <v>431</v>
      </c>
      <c r="I405" s="42">
        <v>45707</v>
      </c>
      <c r="P405" s="134"/>
      <c r="R405" s="41" t="s">
        <v>741</v>
      </c>
    </row>
    <row r="406" spans="1:18">
      <c r="A406" s="41" t="s">
        <v>740</v>
      </c>
      <c r="B406" s="41"/>
      <c r="C406" s="41">
        <v>50507859</v>
      </c>
      <c r="G406" s="29" t="s">
        <v>153</v>
      </c>
      <c r="H406" s="29" t="s">
        <v>431</v>
      </c>
      <c r="I406" s="42">
        <v>45707</v>
      </c>
      <c r="P406" s="134"/>
      <c r="R406" s="41" t="s">
        <v>742</v>
      </c>
    </row>
    <row r="407" spans="1:18">
      <c r="A407" s="41" t="s">
        <v>740</v>
      </c>
      <c r="B407" s="41"/>
      <c r="C407" s="41">
        <v>50507785</v>
      </c>
      <c r="G407" s="29" t="s">
        <v>153</v>
      </c>
      <c r="H407" s="29" t="s">
        <v>431</v>
      </c>
      <c r="I407" s="42">
        <v>45707</v>
      </c>
      <c r="P407" s="134"/>
      <c r="R407" s="41" t="s">
        <v>830</v>
      </c>
    </row>
    <row r="408" spans="1:18">
      <c r="A408" s="41" t="s">
        <v>740</v>
      </c>
      <c r="B408" s="41"/>
      <c r="C408" s="41">
        <v>50507819</v>
      </c>
      <c r="G408" s="29" t="s">
        <v>153</v>
      </c>
      <c r="H408" s="29" t="s">
        <v>431</v>
      </c>
      <c r="I408" s="42">
        <v>45707</v>
      </c>
      <c r="P408" s="134"/>
      <c r="R408" s="41" t="s">
        <v>831</v>
      </c>
    </row>
    <row r="409" spans="1:18">
      <c r="A409" s="41" t="s">
        <v>740</v>
      </c>
      <c r="B409" s="41"/>
      <c r="C409" s="41">
        <v>50507838</v>
      </c>
      <c r="G409" s="29" t="s">
        <v>153</v>
      </c>
      <c r="H409" s="29" t="s">
        <v>431</v>
      </c>
      <c r="I409" s="42">
        <v>45707</v>
      </c>
      <c r="P409" s="134"/>
      <c r="R409" s="41" t="s">
        <v>832</v>
      </c>
    </row>
    <row r="410" spans="1:18">
      <c r="A410" s="41" t="s">
        <v>740</v>
      </c>
      <c r="B410" s="41"/>
      <c r="C410" s="41">
        <v>50507640</v>
      </c>
      <c r="G410" s="29" t="s">
        <v>153</v>
      </c>
      <c r="H410" s="29" t="s">
        <v>431</v>
      </c>
      <c r="I410" s="42">
        <v>45707</v>
      </c>
      <c r="P410" s="134"/>
      <c r="R410" s="41" t="s">
        <v>833</v>
      </c>
    </row>
    <row r="411" spans="1:18">
      <c r="A411" s="41" t="s">
        <v>740</v>
      </c>
      <c r="B411" s="41"/>
      <c r="C411" s="41">
        <v>50507678</v>
      </c>
      <c r="G411" s="29" t="s">
        <v>153</v>
      </c>
      <c r="H411" s="29" t="s">
        <v>431</v>
      </c>
      <c r="I411" s="42">
        <v>45707</v>
      </c>
      <c r="P411" s="134"/>
      <c r="R411" s="41" t="s">
        <v>834</v>
      </c>
    </row>
    <row r="412" spans="1:18">
      <c r="A412" s="41" t="s">
        <v>740</v>
      </c>
      <c r="B412" s="41"/>
      <c r="C412" s="41">
        <v>50507713</v>
      </c>
      <c r="G412" s="29" t="s">
        <v>153</v>
      </c>
      <c r="H412" s="29" t="s">
        <v>431</v>
      </c>
      <c r="I412" s="42">
        <v>45707</v>
      </c>
      <c r="P412" s="134"/>
      <c r="R412" s="41" t="s">
        <v>835</v>
      </c>
    </row>
    <row r="413" spans="1:18">
      <c r="A413" s="41" t="s">
        <v>740</v>
      </c>
      <c r="B413" s="41"/>
      <c r="C413" s="41">
        <v>50507757</v>
      </c>
      <c r="G413" s="29" t="s">
        <v>153</v>
      </c>
      <c r="H413" s="29" t="s">
        <v>431</v>
      </c>
      <c r="I413" s="42">
        <v>45707</v>
      </c>
      <c r="P413" s="134"/>
      <c r="R413" s="41" t="s">
        <v>836</v>
      </c>
    </row>
    <row r="414" spans="1:18">
      <c r="A414" s="41" t="s">
        <v>740</v>
      </c>
      <c r="B414" s="41"/>
      <c r="C414" s="41">
        <v>50507609</v>
      </c>
      <c r="G414" s="29" t="s">
        <v>153</v>
      </c>
      <c r="H414" s="29" t="s">
        <v>77</v>
      </c>
      <c r="I414" s="120">
        <v>45707</v>
      </c>
      <c r="J414" s="29"/>
      <c r="K414" s="29"/>
      <c r="L414" s="29"/>
      <c r="M414" s="29"/>
      <c r="N414" s="29"/>
      <c r="P414" s="134"/>
      <c r="R414" s="41" t="s">
        <v>741</v>
      </c>
    </row>
    <row r="415" spans="1:18">
      <c r="A415" s="41" t="s">
        <v>740</v>
      </c>
      <c r="B415" s="41"/>
      <c r="C415" s="41">
        <v>50507859</v>
      </c>
      <c r="G415" s="29" t="s">
        <v>153</v>
      </c>
      <c r="H415" s="29" t="s">
        <v>77</v>
      </c>
      <c r="I415" s="120">
        <v>45707</v>
      </c>
      <c r="J415" s="29"/>
      <c r="K415" s="29"/>
      <c r="L415" s="29"/>
      <c r="M415" s="29"/>
      <c r="N415" s="29"/>
      <c r="P415" s="134"/>
      <c r="R415" s="41" t="s">
        <v>742</v>
      </c>
    </row>
    <row r="416" spans="1:18">
      <c r="A416" s="41" t="s">
        <v>740</v>
      </c>
      <c r="B416" s="41"/>
      <c r="C416" s="41">
        <v>50507785</v>
      </c>
      <c r="G416" s="29" t="s">
        <v>153</v>
      </c>
      <c r="H416" s="29" t="s">
        <v>77</v>
      </c>
      <c r="I416" s="120">
        <v>45707</v>
      </c>
      <c r="J416" s="29"/>
      <c r="K416" s="29"/>
      <c r="L416" s="29"/>
      <c r="M416" s="29"/>
      <c r="N416" s="29"/>
      <c r="P416" s="134"/>
      <c r="R416" s="41" t="s">
        <v>830</v>
      </c>
    </row>
    <row r="417" spans="1:19">
      <c r="A417" s="41" t="s">
        <v>740</v>
      </c>
      <c r="B417" s="41"/>
      <c r="C417" s="41">
        <v>50507819</v>
      </c>
      <c r="G417" s="29" t="s">
        <v>153</v>
      </c>
      <c r="H417" s="29" t="s">
        <v>77</v>
      </c>
      <c r="I417" s="120">
        <v>45707</v>
      </c>
      <c r="J417" s="29"/>
      <c r="K417" s="29"/>
      <c r="L417" s="29"/>
      <c r="M417" s="29"/>
      <c r="N417" s="29"/>
      <c r="P417" s="134"/>
      <c r="R417" s="41" t="s">
        <v>831</v>
      </c>
    </row>
    <row r="418" spans="1:19">
      <c r="A418" s="41" t="s">
        <v>740</v>
      </c>
      <c r="B418" s="41"/>
      <c r="C418" s="41">
        <v>50507838</v>
      </c>
      <c r="G418" s="29" t="s">
        <v>153</v>
      </c>
      <c r="H418" s="29" t="s">
        <v>77</v>
      </c>
      <c r="I418" s="120">
        <v>45707</v>
      </c>
      <c r="J418" s="29"/>
      <c r="K418" s="29"/>
      <c r="L418" s="29"/>
      <c r="M418" s="29"/>
      <c r="N418" s="29"/>
      <c r="P418" s="134"/>
      <c r="R418" s="41" t="s">
        <v>832</v>
      </c>
    </row>
    <row r="419" spans="1:19">
      <c r="A419" s="41" t="s">
        <v>740</v>
      </c>
      <c r="B419" s="41"/>
      <c r="C419" s="41">
        <v>50507640</v>
      </c>
      <c r="G419" s="29" t="s">
        <v>153</v>
      </c>
      <c r="H419" s="29" t="s">
        <v>77</v>
      </c>
      <c r="I419" s="120">
        <v>45707</v>
      </c>
      <c r="J419" s="29"/>
      <c r="K419" s="29"/>
      <c r="L419" s="29"/>
      <c r="M419" s="29"/>
      <c r="N419" s="29"/>
      <c r="P419" s="134"/>
      <c r="R419" s="41" t="s">
        <v>833</v>
      </c>
    </row>
    <row r="420" spans="1:19">
      <c r="A420" s="41" t="s">
        <v>740</v>
      </c>
      <c r="B420" s="41"/>
      <c r="C420" s="41">
        <v>50507678</v>
      </c>
      <c r="G420" s="29" t="s">
        <v>153</v>
      </c>
      <c r="H420" s="29" t="s">
        <v>77</v>
      </c>
      <c r="I420" s="120">
        <v>45707</v>
      </c>
      <c r="J420" s="29"/>
      <c r="K420" s="29"/>
      <c r="L420" s="29"/>
      <c r="M420" s="29"/>
      <c r="N420" s="29"/>
      <c r="P420" s="134"/>
      <c r="R420" s="41" t="s">
        <v>834</v>
      </c>
    </row>
    <row r="421" spans="1:19">
      <c r="A421" s="41" t="s">
        <v>740</v>
      </c>
      <c r="B421" s="41"/>
      <c r="C421" s="41">
        <v>50507713</v>
      </c>
      <c r="G421" s="29" t="s">
        <v>153</v>
      </c>
      <c r="H421" s="29" t="s">
        <v>77</v>
      </c>
      <c r="I421" s="120">
        <v>45707</v>
      </c>
      <c r="J421" s="29"/>
      <c r="K421" s="29"/>
      <c r="L421" s="29"/>
      <c r="M421" s="29"/>
      <c r="N421" s="29"/>
      <c r="P421" s="134"/>
      <c r="R421" s="41" t="s">
        <v>835</v>
      </c>
    </row>
    <row r="422" spans="1:19">
      <c r="A422" s="41" t="s">
        <v>740</v>
      </c>
      <c r="B422" s="41"/>
      <c r="C422" s="41">
        <v>50507757</v>
      </c>
      <c r="G422" s="29" t="s">
        <v>153</v>
      </c>
      <c r="H422" s="29" t="s">
        <v>77</v>
      </c>
      <c r="I422" s="120">
        <v>45707</v>
      </c>
      <c r="J422" s="29"/>
      <c r="K422" s="29"/>
      <c r="L422" s="29"/>
      <c r="M422" s="29"/>
      <c r="N422" s="29"/>
      <c r="P422" s="134"/>
      <c r="R422" s="41" t="s">
        <v>836</v>
      </c>
    </row>
    <row r="423" spans="1:19">
      <c r="A423" s="147" t="s">
        <v>837</v>
      </c>
      <c r="B423" s="147"/>
      <c r="C423" s="29">
        <v>6508035</v>
      </c>
      <c r="G423" s="29" t="s">
        <v>153</v>
      </c>
      <c r="H423" s="29" t="s">
        <v>838</v>
      </c>
      <c r="I423" s="120">
        <v>45659</v>
      </c>
      <c r="J423" s="29"/>
      <c r="K423" s="29"/>
      <c r="L423" s="29"/>
      <c r="M423" s="29"/>
      <c r="N423" s="29"/>
      <c r="O423" s="29"/>
      <c r="P423" s="29"/>
      <c r="Q423" s="81"/>
      <c r="R423" s="29"/>
      <c r="S423" s="123"/>
    </row>
    <row r="424" spans="1:19">
      <c r="A424" s="147" t="s">
        <v>837</v>
      </c>
      <c r="B424" s="147"/>
      <c r="C424" s="29">
        <v>6508102</v>
      </c>
      <c r="G424" s="29" t="s">
        <v>153</v>
      </c>
      <c r="H424" s="29" t="s">
        <v>838</v>
      </c>
      <c r="I424" s="120">
        <v>45659</v>
      </c>
      <c r="J424" s="29"/>
      <c r="K424" s="29"/>
      <c r="L424" s="29"/>
      <c r="M424" s="29"/>
      <c r="N424" s="29"/>
      <c r="O424" s="29"/>
      <c r="P424" s="29"/>
      <c r="Q424" s="81"/>
      <c r="R424" s="29"/>
      <c r="S424" s="123"/>
    </row>
    <row r="425" spans="1:19">
      <c r="A425" s="147" t="s">
        <v>837</v>
      </c>
      <c r="B425" s="147"/>
      <c r="C425" s="29">
        <v>6508109</v>
      </c>
      <c r="G425" s="29" t="s">
        <v>153</v>
      </c>
      <c r="H425" s="29" t="s">
        <v>838</v>
      </c>
      <c r="I425" s="120">
        <v>45659</v>
      </c>
      <c r="J425" s="29"/>
      <c r="K425" s="29"/>
      <c r="L425" s="29"/>
      <c r="M425" s="29"/>
      <c r="N425" s="29"/>
      <c r="O425" s="29"/>
      <c r="P425" s="29"/>
      <c r="Q425" s="81"/>
      <c r="R425" s="29"/>
      <c r="S425" s="123"/>
    </row>
    <row r="426" spans="1:19">
      <c r="A426" s="147" t="s">
        <v>837</v>
      </c>
      <c r="B426" s="147"/>
      <c r="C426" s="29">
        <v>6508118</v>
      </c>
      <c r="G426" s="29" t="s">
        <v>153</v>
      </c>
      <c r="H426" s="29" t="s">
        <v>838</v>
      </c>
      <c r="I426" s="120">
        <v>45659</v>
      </c>
      <c r="J426" s="29"/>
      <c r="K426" s="29"/>
      <c r="L426" s="29"/>
      <c r="M426" s="29"/>
      <c r="N426" s="29"/>
      <c r="O426" s="29"/>
      <c r="P426" s="29"/>
      <c r="Q426" s="81"/>
      <c r="R426" s="29"/>
      <c r="S426" s="123"/>
    </row>
    <row r="427" spans="1:19">
      <c r="A427" s="147" t="s">
        <v>837</v>
      </c>
      <c r="B427" s="147"/>
      <c r="C427" s="29">
        <v>6508147</v>
      </c>
      <c r="G427" s="29" t="s">
        <v>153</v>
      </c>
      <c r="H427" s="29" t="s">
        <v>838</v>
      </c>
      <c r="I427" s="120">
        <v>45659</v>
      </c>
      <c r="J427" s="29"/>
      <c r="K427" s="29"/>
      <c r="L427" s="29"/>
      <c r="M427" s="29"/>
      <c r="N427" s="29"/>
      <c r="O427" s="29"/>
      <c r="P427" s="29"/>
      <c r="Q427" s="81"/>
      <c r="R427" s="29"/>
      <c r="S427" s="123"/>
    </row>
    <row r="428" spans="1:19">
      <c r="A428" s="147" t="s">
        <v>837</v>
      </c>
      <c r="B428" s="147"/>
      <c r="C428" s="29">
        <v>6508194</v>
      </c>
      <c r="G428" s="29" t="s">
        <v>153</v>
      </c>
      <c r="H428" s="29" t="s">
        <v>838</v>
      </c>
      <c r="I428" s="120">
        <v>45659</v>
      </c>
      <c r="J428" s="29"/>
      <c r="K428" s="29"/>
      <c r="L428" s="29"/>
      <c r="M428" s="29"/>
      <c r="N428" s="29"/>
      <c r="O428" s="29"/>
      <c r="P428" s="29"/>
      <c r="Q428" s="81"/>
      <c r="R428" s="29"/>
      <c r="S428" s="123"/>
    </row>
    <row r="429" spans="1:19">
      <c r="A429" s="147" t="s">
        <v>837</v>
      </c>
      <c r="B429" s="147"/>
      <c r="C429" s="29">
        <v>6508205</v>
      </c>
      <c r="G429" s="29" t="s">
        <v>153</v>
      </c>
      <c r="H429" s="29" t="s">
        <v>838</v>
      </c>
      <c r="I429" s="120">
        <v>45659</v>
      </c>
      <c r="J429" s="29"/>
      <c r="K429" s="29"/>
      <c r="L429" s="29"/>
      <c r="M429" s="29"/>
      <c r="N429" s="29"/>
      <c r="O429" s="29"/>
      <c r="P429" s="29"/>
      <c r="Q429" s="81"/>
      <c r="R429" s="29"/>
      <c r="S429" s="123"/>
    </row>
    <row r="430" spans="1:19">
      <c r="A430" s="147" t="s">
        <v>837</v>
      </c>
      <c r="B430" s="147"/>
      <c r="C430" s="29">
        <v>6508233</v>
      </c>
      <c r="G430" s="29" t="s">
        <v>153</v>
      </c>
      <c r="H430" s="29" t="s">
        <v>838</v>
      </c>
      <c r="I430" s="120">
        <v>45659</v>
      </c>
      <c r="J430" s="29"/>
      <c r="K430" s="29"/>
      <c r="L430" s="29"/>
      <c r="M430" s="29"/>
      <c r="N430" s="29"/>
      <c r="O430" s="29"/>
      <c r="P430" s="29"/>
      <c r="Q430" s="81"/>
      <c r="R430" s="29"/>
      <c r="S430" s="123"/>
    </row>
    <row r="431" spans="1:19">
      <c r="A431" s="147" t="s">
        <v>837</v>
      </c>
      <c r="B431" s="147"/>
      <c r="C431" s="29">
        <v>6508247</v>
      </c>
      <c r="G431" s="29" t="s">
        <v>153</v>
      </c>
      <c r="H431" s="29" t="s">
        <v>838</v>
      </c>
      <c r="I431" s="120">
        <v>45659</v>
      </c>
      <c r="J431" s="29"/>
      <c r="K431" s="29"/>
      <c r="L431" s="29"/>
      <c r="M431" s="29"/>
      <c r="N431" s="29"/>
      <c r="O431" s="29"/>
      <c r="P431" s="29"/>
      <c r="Q431" s="81"/>
      <c r="R431" s="29"/>
      <c r="S431" s="123"/>
    </row>
    <row r="432" spans="1:19">
      <c r="A432" s="147" t="s">
        <v>837</v>
      </c>
      <c r="B432" s="147"/>
      <c r="C432" s="29">
        <v>6508254</v>
      </c>
      <c r="G432" s="29" t="s">
        <v>153</v>
      </c>
      <c r="H432" s="29" t="s">
        <v>838</v>
      </c>
      <c r="I432" s="120">
        <v>45659</v>
      </c>
      <c r="J432" s="29"/>
      <c r="K432" s="29"/>
      <c r="L432" s="29"/>
      <c r="M432" s="29"/>
      <c r="N432" s="29"/>
      <c r="O432" s="29"/>
      <c r="P432" s="29"/>
      <c r="Q432" s="81"/>
      <c r="R432" s="29"/>
      <c r="S432" s="123"/>
    </row>
    <row r="433" spans="1:19">
      <c r="A433" s="147" t="s">
        <v>837</v>
      </c>
      <c r="B433" s="147"/>
      <c r="C433" s="29">
        <v>6508313</v>
      </c>
      <c r="G433" s="29" t="s">
        <v>153</v>
      </c>
      <c r="H433" s="29" t="s">
        <v>838</v>
      </c>
      <c r="I433" s="120">
        <v>45659</v>
      </c>
      <c r="J433" s="29"/>
      <c r="K433" s="29"/>
      <c r="L433" s="29"/>
      <c r="M433" s="29"/>
      <c r="N433" s="29"/>
      <c r="O433" s="29"/>
      <c r="P433" s="29"/>
      <c r="Q433" s="81"/>
      <c r="R433" s="29"/>
      <c r="S433" s="123"/>
    </row>
    <row r="434" spans="1:19">
      <c r="A434" s="147" t="s">
        <v>837</v>
      </c>
      <c r="B434" s="147"/>
      <c r="C434" s="29">
        <v>6508324</v>
      </c>
      <c r="G434" s="29" t="s">
        <v>153</v>
      </c>
      <c r="H434" s="29" t="s">
        <v>838</v>
      </c>
      <c r="I434" s="120">
        <v>45659</v>
      </c>
      <c r="J434" s="29"/>
      <c r="K434" s="29"/>
      <c r="L434" s="29"/>
      <c r="M434" s="29"/>
      <c r="N434" s="29"/>
      <c r="O434" s="29"/>
      <c r="P434" s="29"/>
      <c r="Q434" s="81"/>
      <c r="R434" s="29"/>
      <c r="S434" s="123"/>
    </row>
    <row r="435" spans="1:19">
      <c r="A435" s="147" t="s">
        <v>837</v>
      </c>
      <c r="B435" s="147"/>
      <c r="C435" s="29">
        <v>6508339</v>
      </c>
      <c r="G435" s="29" t="s">
        <v>153</v>
      </c>
      <c r="H435" s="29" t="s">
        <v>838</v>
      </c>
      <c r="I435" s="120">
        <v>45659</v>
      </c>
      <c r="J435" s="29"/>
      <c r="K435" s="29"/>
      <c r="L435" s="29"/>
      <c r="M435" s="29"/>
      <c r="N435" s="29"/>
      <c r="O435" s="29"/>
      <c r="P435" s="29"/>
      <c r="Q435" s="81"/>
      <c r="R435" s="29"/>
      <c r="S435" s="123"/>
    </row>
    <row r="436" spans="1:19">
      <c r="A436" s="147" t="s">
        <v>837</v>
      </c>
      <c r="B436" s="147"/>
      <c r="C436" s="29">
        <v>6508357</v>
      </c>
      <c r="G436" s="29" t="s">
        <v>153</v>
      </c>
      <c r="H436" s="29" t="s">
        <v>838</v>
      </c>
      <c r="I436" s="120">
        <v>45659</v>
      </c>
      <c r="J436" s="29"/>
      <c r="K436" s="29"/>
      <c r="L436" s="29"/>
      <c r="M436" s="29"/>
      <c r="N436" s="29"/>
      <c r="O436" s="29"/>
      <c r="P436" s="29"/>
      <c r="Q436" s="81"/>
      <c r="R436" s="29"/>
      <c r="S436" s="123"/>
    </row>
    <row r="437" spans="1:19">
      <c r="A437" s="147" t="s">
        <v>837</v>
      </c>
      <c r="B437" s="147"/>
      <c r="C437" s="29">
        <v>6508367</v>
      </c>
      <c r="G437" s="29" t="s">
        <v>153</v>
      </c>
      <c r="H437" s="29" t="s">
        <v>838</v>
      </c>
      <c r="I437" s="120">
        <v>45659</v>
      </c>
      <c r="J437" s="29"/>
      <c r="K437" s="29"/>
      <c r="L437" s="29"/>
      <c r="M437" s="29"/>
      <c r="N437" s="29"/>
      <c r="O437" s="29"/>
      <c r="P437" s="29"/>
      <c r="Q437" s="81"/>
      <c r="R437" s="29"/>
      <c r="S437" s="123"/>
    </row>
    <row r="438" spans="1:19">
      <c r="A438" s="147" t="s">
        <v>837</v>
      </c>
      <c r="B438" s="147"/>
      <c r="C438" s="29">
        <v>6508375</v>
      </c>
      <c r="G438" s="29" t="s">
        <v>153</v>
      </c>
      <c r="H438" s="29" t="s">
        <v>838</v>
      </c>
      <c r="I438" s="120">
        <v>45659</v>
      </c>
      <c r="J438" s="29"/>
      <c r="K438" s="29"/>
      <c r="L438" s="29"/>
      <c r="M438" s="29"/>
      <c r="N438" s="29"/>
      <c r="O438" s="29"/>
      <c r="P438" s="29"/>
      <c r="Q438" s="81"/>
      <c r="R438" s="29"/>
      <c r="S438" s="123"/>
    </row>
    <row r="439" spans="1:19">
      <c r="A439" s="147" t="s">
        <v>837</v>
      </c>
      <c r="B439" s="147"/>
      <c r="C439" s="29">
        <v>6508420</v>
      </c>
      <c r="G439" s="29" t="s">
        <v>153</v>
      </c>
      <c r="H439" s="29" t="s">
        <v>838</v>
      </c>
      <c r="I439" s="120">
        <v>45659</v>
      </c>
      <c r="J439" s="29"/>
      <c r="K439" s="29"/>
      <c r="L439" s="29"/>
      <c r="M439" s="29"/>
      <c r="N439" s="29"/>
      <c r="O439" s="29"/>
      <c r="P439" s="29"/>
      <c r="Q439" s="81"/>
      <c r="R439" s="29"/>
      <c r="S439" s="123"/>
    </row>
    <row r="440" spans="1:19">
      <c r="A440" s="147" t="s">
        <v>837</v>
      </c>
      <c r="B440" s="147"/>
      <c r="C440" s="29">
        <v>6508410</v>
      </c>
      <c r="G440" s="29" t="s">
        <v>153</v>
      </c>
      <c r="H440" s="29" t="s">
        <v>838</v>
      </c>
      <c r="I440" s="120">
        <v>45659</v>
      </c>
      <c r="J440" s="29"/>
      <c r="K440" s="29"/>
      <c r="L440" s="29"/>
      <c r="M440" s="29"/>
      <c r="N440" s="29"/>
      <c r="O440" s="29"/>
      <c r="P440" s="29"/>
      <c r="Q440" s="81"/>
      <c r="R440" s="29"/>
      <c r="S440" s="123"/>
    </row>
    <row r="441" spans="1:19">
      <c r="A441" s="147" t="s">
        <v>837</v>
      </c>
      <c r="B441" s="147"/>
      <c r="C441" s="29">
        <v>6508430</v>
      </c>
      <c r="G441" s="29" t="s">
        <v>153</v>
      </c>
      <c r="H441" s="29" t="s">
        <v>838</v>
      </c>
      <c r="I441" s="120">
        <v>45659</v>
      </c>
      <c r="J441" s="29"/>
      <c r="K441" s="29"/>
      <c r="L441" s="29"/>
      <c r="M441" s="29"/>
      <c r="N441" s="29"/>
      <c r="O441" s="29"/>
      <c r="P441" s="29"/>
      <c r="Q441" s="81"/>
      <c r="R441" s="29"/>
      <c r="S441" s="123"/>
    </row>
    <row r="442" spans="1:19">
      <c r="A442" s="147" t="s">
        <v>837</v>
      </c>
      <c r="B442" s="147"/>
      <c r="C442" s="29">
        <v>6508443</v>
      </c>
      <c r="G442" s="29" t="s">
        <v>153</v>
      </c>
      <c r="H442" s="29" t="s">
        <v>838</v>
      </c>
      <c r="I442" s="120">
        <v>45659</v>
      </c>
      <c r="J442" s="29"/>
      <c r="K442" s="29"/>
      <c r="L442" s="29"/>
      <c r="M442" s="29"/>
      <c r="N442" s="29"/>
      <c r="O442" s="29"/>
      <c r="P442" s="29"/>
      <c r="Q442" s="81"/>
      <c r="R442" s="29"/>
      <c r="S442" s="123"/>
    </row>
    <row r="443" spans="1:19">
      <c r="A443" s="147" t="s">
        <v>837</v>
      </c>
      <c r="B443" s="147"/>
      <c r="C443" s="29">
        <v>6508466</v>
      </c>
      <c r="G443" s="29" t="s">
        <v>153</v>
      </c>
      <c r="H443" s="29" t="s">
        <v>838</v>
      </c>
      <c r="I443" s="120">
        <v>45659</v>
      </c>
      <c r="J443" s="29"/>
      <c r="K443" s="29"/>
      <c r="L443" s="29"/>
      <c r="M443" s="29"/>
      <c r="N443" s="29"/>
      <c r="O443" s="29"/>
      <c r="P443" s="29"/>
      <c r="Q443" s="81"/>
      <c r="R443" s="29"/>
      <c r="S443" s="123"/>
    </row>
    <row r="444" spans="1:19">
      <c r="A444" s="147" t="s">
        <v>837</v>
      </c>
      <c r="B444" s="147"/>
      <c r="C444" s="29">
        <v>6508486</v>
      </c>
      <c r="G444" s="29" t="s">
        <v>153</v>
      </c>
      <c r="H444" s="29" t="s">
        <v>838</v>
      </c>
      <c r="I444" s="120">
        <v>45659</v>
      </c>
      <c r="J444" s="29"/>
      <c r="K444" s="29"/>
      <c r="L444" s="29"/>
      <c r="M444" s="29"/>
      <c r="N444" s="29"/>
      <c r="O444" s="29"/>
      <c r="P444" s="29"/>
      <c r="Q444" s="81"/>
      <c r="R444" s="29"/>
      <c r="S444" s="123"/>
    </row>
    <row r="445" spans="1:19">
      <c r="A445" s="147" t="s">
        <v>837</v>
      </c>
      <c r="B445" s="147"/>
      <c r="C445" s="29">
        <v>6508492</v>
      </c>
      <c r="G445" s="29" t="s">
        <v>153</v>
      </c>
      <c r="H445" s="29" t="s">
        <v>838</v>
      </c>
      <c r="I445" s="120">
        <v>45659</v>
      </c>
      <c r="J445" s="29"/>
      <c r="K445" s="29"/>
      <c r="L445" s="29"/>
      <c r="M445" s="29"/>
      <c r="N445" s="29"/>
      <c r="O445" s="29"/>
      <c r="P445" s="29"/>
      <c r="Q445" s="81"/>
      <c r="R445" s="29"/>
      <c r="S445" s="123"/>
    </row>
    <row r="446" spans="1:19">
      <c r="A446" s="147" t="s">
        <v>837</v>
      </c>
      <c r="B446" s="147"/>
      <c r="C446" s="29">
        <v>6508513</v>
      </c>
      <c r="G446" s="29" t="s">
        <v>153</v>
      </c>
      <c r="H446" s="29" t="s">
        <v>838</v>
      </c>
      <c r="I446" s="120">
        <v>45659</v>
      </c>
      <c r="J446" s="29"/>
      <c r="K446" s="29"/>
      <c r="L446" s="29"/>
      <c r="M446" s="29"/>
      <c r="N446" s="29"/>
      <c r="O446" s="29"/>
      <c r="P446" s="29"/>
      <c r="Q446" s="81"/>
      <c r="R446" s="29"/>
      <c r="S446" s="123"/>
    </row>
    <row r="447" spans="1:19">
      <c r="A447" s="147" t="s">
        <v>837</v>
      </c>
      <c r="B447" s="147"/>
      <c r="C447" s="29">
        <v>6508521</v>
      </c>
      <c r="G447" s="29" t="s">
        <v>153</v>
      </c>
      <c r="H447" s="29" t="s">
        <v>838</v>
      </c>
      <c r="I447" s="120">
        <v>45659</v>
      </c>
      <c r="J447" s="29"/>
      <c r="K447" s="29"/>
      <c r="L447" s="29"/>
      <c r="M447" s="29"/>
      <c r="N447" s="29"/>
      <c r="O447" s="29"/>
      <c r="P447" s="29"/>
      <c r="Q447" s="81"/>
      <c r="R447" s="29"/>
      <c r="S447" s="123"/>
    </row>
    <row r="448" spans="1:19">
      <c r="A448" s="29" t="s">
        <v>837</v>
      </c>
      <c r="B448" s="29"/>
      <c r="C448" s="29">
        <v>35500215</v>
      </c>
      <c r="G448" s="29" t="s">
        <v>153</v>
      </c>
      <c r="H448" s="29" t="s">
        <v>236</v>
      </c>
      <c r="I448" s="120">
        <v>45659</v>
      </c>
      <c r="J448" s="29"/>
      <c r="K448" s="29"/>
      <c r="L448" s="29"/>
      <c r="M448" s="29"/>
      <c r="N448" s="29"/>
      <c r="O448" s="29"/>
      <c r="P448" s="29"/>
      <c r="Q448" s="81"/>
      <c r="R448" s="29" t="s">
        <v>839</v>
      </c>
      <c r="S448" s="123"/>
    </row>
    <row r="449" spans="1:19">
      <c r="A449" s="29" t="s">
        <v>837</v>
      </c>
      <c r="B449" s="29"/>
      <c r="C449" s="29">
        <v>31503960</v>
      </c>
      <c r="G449" s="29" t="s">
        <v>153</v>
      </c>
      <c r="H449" s="29" t="s">
        <v>236</v>
      </c>
      <c r="I449" s="120">
        <v>45659</v>
      </c>
      <c r="J449" s="29"/>
      <c r="K449" s="29"/>
      <c r="L449" s="29"/>
      <c r="M449" s="29"/>
      <c r="N449" s="29"/>
      <c r="O449" s="29"/>
      <c r="P449" s="29"/>
      <c r="Q449" s="81"/>
      <c r="R449" s="29" t="s">
        <v>840</v>
      </c>
      <c r="S449" s="123"/>
    </row>
    <row r="450" spans="1:19">
      <c r="A450" s="29" t="s">
        <v>837</v>
      </c>
      <c r="B450" s="29"/>
      <c r="C450" s="29">
        <v>32500495</v>
      </c>
      <c r="G450" s="29" t="s">
        <v>153</v>
      </c>
      <c r="H450" s="29" t="s">
        <v>236</v>
      </c>
      <c r="I450" s="120">
        <v>45659</v>
      </c>
      <c r="J450" s="29"/>
      <c r="K450" s="29"/>
      <c r="L450" s="29"/>
      <c r="M450" s="29"/>
      <c r="N450" s="29"/>
      <c r="O450" s="29"/>
      <c r="P450" s="29"/>
      <c r="Q450" s="81"/>
      <c r="R450" s="29" t="s">
        <v>841</v>
      </c>
      <c r="S450" s="123"/>
    </row>
    <row r="451" spans="1:19">
      <c r="A451" s="29" t="s">
        <v>837</v>
      </c>
      <c r="B451" s="29"/>
      <c r="C451" s="29">
        <v>35500151</v>
      </c>
      <c r="G451" s="29" t="s">
        <v>153</v>
      </c>
      <c r="H451" s="29" t="s">
        <v>236</v>
      </c>
      <c r="I451" s="120">
        <v>45659</v>
      </c>
      <c r="J451" s="29"/>
      <c r="K451" s="29"/>
      <c r="L451" s="29"/>
      <c r="M451" s="29"/>
      <c r="N451" s="29"/>
      <c r="O451" s="29"/>
      <c r="P451" s="29"/>
      <c r="Q451" s="81"/>
      <c r="R451" s="29" t="s">
        <v>842</v>
      </c>
      <c r="S451" s="123"/>
    </row>
    <row r="452" spans="1:19">
      <c r="A452" s="147" t="s">
        <v>837</v>
      </c>
      <c r="B452" s="147"/>
      <c r="C452" s="29">
        <v>6508035</v>
      </c>
      <c r="G452" s="29" t="s">
        <v>153</v>
      </c>
      <c r="H452" s="29" t="s">
        <v>838</v>
      </c>
      <c r="I452" s="120">
        <v>45659</v>
      </c>
      <c r="J452" s="29"/>
      <c r="P452" s="134"/>
      <c r="R452" s="29"/>
    </row>
    <row r="453" spans="1:19">
      <c r="A453" s="147" t="s">
        <v>837</v>
      </c>
      <c r="B453" s="147"/>
      <c r="C453" s="29">
        <v>6508102</v>
      </c>
      <c r="G453" s="29" t="s">
        <v>153</v>
      </c>
      <c r="H453" s="29" t="s">
        <v>838</v>
      </c>
      <c r="I453" s="120">
        <v>45659</v>
      </c>
      <c r="J453" s="29"/>
      <c r="P453" s="134"/>
      <c r="R453" s="29"/>
    </row>
    <row r="454" spans="1:19">
      <c r="A454" s="147" t="s">
        <v>837</v>
      </c>
      <c r="B454" s="147"/>
      <c r="C454" s="29">
        <v>6508109</v>
      </c>
      <c r="G454" s="29" t="s">
        <v>153</v>
      </c>
      <c r="H454" s="29" t="s">
        <v>838</v>
      </c>
      <c r="I454" s="120">
        <v>45659</v>
      </c>
      <c r="J454" s="29"/>
      <c r="P454" s="134"/>
      <c r="R454" s="29"/>
    </row>
    <row r="455" spans="1:19">
      <c r="A455" s="147" t="s">
        <v>837</v>
      </c>
      <c r="B455" s="147"/>
      <c r="C455" s="29">
        <v>6508118</v>
      </c>
      <c r="G455" s="29" t="s">
        <v>153</v>
      </c>
      <c r="H455" s="29" t="s">
        <v>838</v>
      </c>
      <c r="I455" s="120">
        <v>45659</v>
      </c>
      <c r="J455" s="29"/>
      <c r="P455" s="134"/>
      <c r="R455" s="29"/>
    </row>
    <row r="456" spans="1:19">
      <c r="A456" s="147" t="s">
        <v>837</v>
      </c>
      <c r="B456" s="147"/>
      <c r="C456" s="29">
        <v>6508147</v>
      </c>
      <c r="G456" s="29" t="s">
        <v>153</v>
      </c>
      <c r="H456" s="29" t="s">
        <v>838</v>
      </c>
      <c r="I456" s="120">
        <v>45659</v>
      </c>
      <c r="J456" s="29"/>
      <c r="P456" s="134"/>
      <c r="R456" s="29"/>
    </row>
    <row r="457" spans="1:19">
      <c r="A457" s="147" t="s">
        <v>837</v>
      </c>
      <c r="B457" s="147"/>
      <c r="C457" s="29">
        <v>6508194</v>
      </c>
      <c r="G457" s="29" t="s">
        <v>153</v>
      </c>
      <c r="H457" s="29" t="s">
        <v>838</v>
      </c>
      <c r="I457" s="120">
        <v>45659</v>
      </c>
      <c r="J457" s="29"/>
      <c r="P457" s="134"/>
      <c r="R457" s="29"/>
    </row>
    <row r="458" spans="1:19">
      <c r="A458" s="147" t="s">
        <v>837</v>
      </c>
      <c r="B458" s="147"/>
      <c r="C458" s="29">
        <v>6508205</v>
      </c>
      <c r="G458" s="29" t="s">
        <v>153</v>
      </c>
      <c r="H458" s="29" t="s">
        <v>838</v>
      </c>
      <c r="I458" s="120">
        <v>45659</v>
      </c>
      <c r="J458" s="29"/>
      <c r="P458" s="134"/>
      <c r="R458" s="29"/>
    </row>
    <row r="459" spans="1:19">
      <c r="A459" s="147" t="s">
        <v>837</v>
      </c>
      <c r="B459" s="147"/>
      <c r="C459" s="29">
        <v>6508233</v>
      </c>
      <c r="G459" s="29" t="s">
        <v>153</v>
      </c>
      <c r="H459" s="29" t="s">
        <v>838</v>
      </c>
      <c r="I459" s="120">
        <v>45659</v>
      </c>
      <c r="J459" s="29"/>
      <c r="P459" s="134"/>
      <c r="R459" s="29"/>
    </row>
    <row r="460" spans="1:19">
      <c r="A460" s="147" t="s">
        <v>837</v>
      </c>
      <c r="B460" s="147"/>
      <c r="C460" s="29">
        <v>6508247</v>
      </c>
      <c r="G460" s="29" t="s">
        <v>153</v>
      </c>
      <c r="H460" s="29" t="s">
        <v>838</v>
      </c>
      <c r="I460" s="120">
        <v>45659</v>
      </c>
      <c r="J460" s="29"/>
      <c r="P460" s="134"/>
      <c r="R460" s="29"/>
    </row>
    <row r="461" spans="1:19">
      <c r="A461" s="147" t="s">
        <v>837</v>
      </c>
      <c r="B461" s="147"/>
      <c r="C461" s="29">
        <v>6508254</v>
      </c>
      <c r="G461" s="29" t="s">
        <v>153</v>
      </c>
      <c r="H461" s="29" t="s">
        <v>838</v>
      </c>
      <c r="I461" s="120">
        <v>45659</v>
      </c>
      <c r="J461" s="29"/>
      <c r="P461" s="134"/>
      <c r="R461" s="29"/>
    </row>
    <row r="462" spans="1:19">
      <c r="A462" s="147" t="s">
        <v>837</v>
      </c>
      <c r="B462" s="147"/>
      <c r="C462" s="29">
        <v>6508313</v>
      </c>
      <c r="G462" s="29" t="s">
        <v>153</v>
      </c>
      <c r="H462" s="29" t="s">
        <v>838</v>
      </c>
      <c r="I462" s="120">
        <v>45659</v>
      </c>
      <c r="J462" s="29"/>
      <c r="P462" s="134"/>
      <c r="R462" s="29"/>
    </row>
    <row r="463" spans="1:19">
      <c r="A463" s="147" t="s">
        <v>837</v>
      </c>
      <c r="B463" s="147"/>
      <c r="C463" s="29">
        <v>6508324</v>
      </c>
      <c r="G463" s="29" t="s">
        <v>153</v>
      </c>
      <c r="H463" s="29" t="s">
        <v>838</v>
      </c>
      <c r="I463" s="120">
        <v>45659</v>
      </c>
      <c r="J463" s="29"/>
      <c r="P463" s="134"/>
      <c r="R463" s="29"/>
    </row>
    <row r="464" spans="1:19">
      <c r="A464" s="147" t="s">
        <v>837</v>
      </c>
      <c r="B464" s="147"/>
      <c r="C464" s="29">
        <v>6508339</v>
      </c>
      <c r="G464" s="29" t="s">
        <v>153</v>
      </c>
      <c r="H464" s="29" t="s">
        <v>838</v>
      </c>
      <c r="I464" s="120">
        <v>45659</v>
      </c>
      <c r="J464" s="29"/>
      <c r="P464" s="134"/>
      <c r="R464" s="29"/>
    </row>
    <row r="465" spans="1:18">
      <c r="A465" s="147" t="s">
        <v>837</v>
      </c>
      <c r="B465" s="147"/>
      <c r="C465" s="29">
        <v>6508357</v>
      </c>
      <c r="G465" s="29" t="s">
        <v>153</v>
      </c>
      <c r="H465" s="29" t="s">
        <v>838</v>
      </c>
      <c r="I465" s="120">
        <v>45659</v>
      </c>
      <c r="J465" s="29"/>
      <c r="P465" s="134"/>
      <c r="R465" s="29"/>
    </row>
    <row r="466" spans="1:18">
      <c r="A466" s="147" t="s">
        <v>837</v>
      </c>
      <c r="B466" s="147"/>
      <c r="C466" s="29">
        <v>6508367</v>
      </c>
      <c r="G466" s="29" t="s">
        <v>153</v>
      </c>
      <c r="H466" s="29" t="s">
        <v>838</v>
      </c>
      <c r="I466" s="120">
        <v>45659</v>
      </c>
      <c r="J466" s="29"/>
      <c r="P466" s="134"/>
      <c r="R466" s="29"/>
    </row>
    <row r="467" spans="1:18">
      <c r="A467" s="147" t="s">
        <v>837</v>
      </c>
      <c r="B467" s="147"/>
      <c r="C467" s="29">
        <v>6508375</v>
      </c>
      <c r="G467" s="29" t="s">
        <v>153</v>
      </c>
      <c r="H467" s="29" t="s">
        <v>838</v>
      </c>
      <c r="I467" s="120">
        <v>45659</v>
      </c>
      <c r="J467" s="29"/>
      <c r="P467" s="134"/>
      <c r="R467" s="29"/>
    </row>
    <row r="468" spans="1:18">
      <c r="A468" s="147" t="s">
        <v>837</v>
      </c>
      <c r="B468" s="147"/>
      <c r="C468" s="29">
        <v>6508420</v>
      </c>
      <c r="G468" s="29" t="s">
        <v>153</v>
      </c>
      <c r="H468" s="29" t="s">
        <v>838</v>
      </c>
      <c r="I468" s="120">
        <v>45659</v>
      </c>
      <c r="J468" s="29"/>
      <c r="P468" s="134"/>
      <c r="R468" s="29"/>
    </row>
    <row r="469" spans="1:18">
      <c r="A469" s="147" t="s">
        <v>837</v>
      </c>
      <c r="B469" s="147"/>
      <c r="C469" s="29">
        <v>6508410</v>
      </c>
      <c r="G469" s="29" t="s">
        <v>153</v>
      </c>
      <c r="H469" s="29" t="s">
        <v>838</v>
      </c>
      <c r="I469" s="120">
        <v>45659</v>
      </c>
      <c r="J469" s="29"/>
      <c r="P469" s="134"/>
      <c r="R469" s="29"/>
    </row>
    <row r="470" spans="1:18">
      <c r="A470" s="147" t="s">
        <v>837</v>
      </c>
      <c r="B470" s="147"/>
      <c r="C470" s="29">
        <v>6508430</v>
      </c>
      <c r="G470" s="29" t="s">
        <v>153</v>
      </c>
      <c r="H470" s="29" t="s">
        <v>838</v>
      </c>
      <c r="I470" s="120">
        <v>45659</v>
      </c>
      <c r="J470" s="29"/>
      <c r="P470" s="134"/>
      <c r="R470" s="29"/>
    </row>
    <row r="471" spans="1:18">
      <c r="A471" s="147" t="s">
        <v>837</v>
      </c>
      <c r="B471" s="147"/>
      <c r="C471" s="29">
        <v>6508443</v>
      </c>
      <c r="G471" s="29" t="s">
        <v>153</v>
      </c>
      <c r="H471" s="29" t="s">
        <v>838</v>
      </c>
      <c r="I471" s="120">
        <v>45659</v>
      </c>
      <c r="J471" s="29"/>
      <c r="P471" s="134"/>
      <c r="R471" s="29"/>
    </row>
    <row r="472" spans="1:18">
      <c r="A472" s="147" t="s">
        <v>837</v>
      </c>
      <c r="B472" s="147"/>
      <c r="C472" s="29">
        <v>6508466</v>
      </c>
      <c r="G472" s="29" t="s">
        <v>153</v>
      </c>
      <c r="H472" s="29" t="s">
        <v>838</v>
      </c>
      <c r="I472" s="120">
        <v>45659</v>
      </c>
      <c r="J472" s="29"/>
      <c r="P472" s="134"/>
      <c r="R472" s="29"/>
    </row>
    <row r="473" spans="1:18">
      <c r="A473" s="147" t="s">
        <v>837</v>
      </c>
      <c r="B473" s="147"/>
      <c r="C473" s="29">
        <v>6508486</v>
      </c>
      <c r="G473" s="29" t="s">
        <v>153</v>
      </c>
      <c r="H473" s="29" t="s">
        <v>838</v>
      </c>
      <c r="I473" s="120">
        <v>45659</v>
      </c>
      <c r="J473" s="29"/>
      <c r="P473" s="134"/>
      <c r="R473" s="29"/>
    </row>
    <row r="474" spans="1:18">
      <c r="A474" s="147" t="s">
        <v>837</v>
      </c>
      <c r="B474" s="147"/>
      <c r="C474" s="29">
        <v>6508492</v>
      </c>
      <c r="G474" s="29" t="s">
        <v>153</v>
      </c>
      <c r="H474" s="29" t="s">
        <v>838</v>
      </c>
      <c r="I474" s="120">
        <v>45659</v>
      </c>
      <c r="J474" s="29"/>
      <c r="P474" s="134"/>
      <c r="R474" s="29"/>
    </row>
    <row r="475" spans="1:18">
      <c r="A475" s="147" t="s">
        <v>837</v>
      </c>
      <c r="B475" s="147"/>
      <c r="C475" s="29">
        <v>6508513</v>
      </c>
      <c r="G475" s="29" t="s">
        <v>153</v>
      </c>
      <c r="H475" s="29" t="s">
        <v>838</v>
      </c>
      <c r="I475" s="120">
        <v>45659</v>
      </c>
      <c r="J475" s="29"/>
      <c r="P475" s="134"/>
      <c r="R475" s="29"/>
    </row>
    <row r="476" spans="1:18">
      <c r="A476" s="147" t="s">
        <v>837</v>
      </c>
      <c r="B476" s="147"/>
      <c r="C476" s="29">
        <v>6508521</v>
      </c>
      <c r="G476" s="29" t="s">
        <v>153</v>
      </c>
      <c r="H476" s="29" t="s">
        <v>838</v>
      </c>
      <c r="I476" s="120">
        <v>45659</v>
      </c>
      <c r="J476" s="29"/>
      <c r="P476" s="134"/>
      <c r="R476" s="29"/>
    </row>
    <row r="477" spans="1:18">
      <c r="A477" s="29" t="s">
        <v>837</v>
      </c>
      <c r="B477" s="29"/>
      <c r="C477" s="29">
        <v>35500215</v>
      </c>
      <c r="G477" s="29" t="s">
        <v>153</v>
      </c>
      <c r="H477" s="29" t="s">
        <v>843</v>
      </c>
      <c r="I477" s="120">
        <v>45659</v>
      </c>
      <c r="J477" s="29"/>
      <c r="P477" s="134"/>
      <c r="R477" s="29" t="s">
        <v>839</v>
      </c>
    </row>
    <row r="478" spans="1:18">
      <c r="A478" s="29" t="s">
        <v>837</v>
      </c>
      <c r="B478" s="29"/>
      <c r="C478" s="29">
        <v>31503960</v>
      </c>
      <c r="G478" s="29" t="s">
        <v>153</v>
      </c>
      <c r="H478" s="29" t="s">
        <v>843</v>
      </c>
      <c r="I478" s="120">
        <v>45659</v>
      </c>
      <c r="J478" s="29"/>
      <c r="P478" s="134"/>
      <c r="R478" s="29" t="s">
        <v>840</v>
      </c>
    </row>
    <row r="479" spans="1:18">
      <c r="A479" s="29" t="s">
        <v>837</v>
      </c>
      <c r="B479" s="29"/>
      <c r="C479" s="29">
        <v>32500495</v>
      </c>
      <c r="G479" s="29" t="s">
        <v>153</v>
      </c>
      <c r="H479" s="29" t="s">
        <v>843</v>
      </c>
      <c r="I479" s="120">
        <v>45659</v>
      </c>
      <c r="J479" s="29"/>
      <c r="P479" s="134"/>
      <c r="R479" s="29" t="s">
        <v>841</v>
      </c>
    </row>
    <row r="480" spans="1:18">
      <c r="A480" s="29" t="s">
        <v>837</v>
      </c>
      <c r="B480" s="29"/>
      <c r="C480" s="29">
        <v>35500151</v>
      </c>
      <c r="G480" s="29" t="s">
        <v>153</v>
      </c>
      <c r="H480" s="29" t="s">
        <v>843</v>
      </c>
      <c r="I480" s="120">
        <v>45659</v>
      </c>
      <c r="J480" s="29"/>
      <c r="P480" s="134"/>
      <c r="R480" s="29" t="s">
        <v>842</v>
      </c>
    </row>
    <row r="481" spans="1:19">
      <c r="A481" s="147" t="s">
        <v>844</v>
      </c>
      <c r="B481" s="147"/>
      <c r="C481" s="29">
        <v>16507757</v>
      </c>
      <c r="G481" s="29" t="s">
        <v>153</v>
      </c>
      <c r="H481" s="29" t="s">
        <v>845</v>
      </c>
      <c r="I481" s="120">
        <v>45673</v>
      </c>
      <c r="J481" s="29"/>
      <c r="K481" s="29"/>
      <c r="L481" s="29"/>
      <c r="M481" s="29"/>
      <c r="N481" s="29"/>
      <c r="O481" s="29"/>
      <c r="P481" s="29"/>
      <c r="Q481" s="81"/>
      <c r="R481" s="29"/>
      <c r="S481" s="123"/>
    </row>
    <row r="482" spans="1:19">
      <c r="A482" s="147" t="s">
        <v>844</v>
      </c>
      <c r="B482" s="147"/>
      <c r="C482" s="29">
        <v>16507726</v>
      </c>
      <c r="G482" s="29" t="s">
        <v>153</v>
      </c>
      <c r="H482" s="29" t="s">
        <v>845</v>
      </c>
      <c r="I482" s="120">
        <v>45673</v>
      </c>
      <c r="J482" s="29"/>
      <c r="K482" s="29"/>
      <c r="L482" s="29"/>
      <c r="M482" s="29"/>
      <c r="N482" s="29"/>
      <c r="O482" s="29"/>
      <c r="P482" s="29"/>
      <c r="Q482" s="81"/>
      <c r="R482" s="29"/>
      <c r="S482" s="123"/>
    </row>
    <row r="483" spans="1:19">
      <c r="A483" s="147" t="s">
        <v>844</v>
      </c>
      <c r="B483" s="147"/>
      <c r="C483" s="29">
        <v>16507808</v>
      </c>
      <c r="G483" s="29" t="s">
        <v>153</v>
      </c>
      <c r="H483" s="29" t="s">
        <v>845</v>
      </c>
      <c r="I483" s="120">
        <v>45673</v>
      </c>
      <c r="J483" s="29"/>
      <c r="K483" s="29"/>
      <c r="L483" s="29"/>
      <c r="M483" s="29"/>
      <c r="N483" s="29"/>
      <c r="O483" s="29"/>
      <c r="P483" s="29"/>
      <c r="Q483" s="81"/>
      <c r="R483" s="29"/>
      <c r="S483" s="123"/>
    </row>
    <row r="484" spans="1:19">
      <c r="A484" s="147" t="s">
        <v>844</v>
      </c>
      <c r="B484" s="147"/>
      <c r="C484" s="29">
        <v>16507786</v>
      </c>
      <c r="G484" s="29" t="s">
        <v>153</v>
      </c>
      <c r="H484" s="29" t="s">
        <v>845</v>
      </c>
      <c r="I484" s="120">
        <v>45673</v>
      </c>
      <c r="J484" s="29"/>
      <c r="K484" s="29"/>
      <c r="L484" s="29"/>
      <c r="M484" s="29"/>
      <c r="N484" s="29"/>
      <c r="O484" s="29"/>
      <c r="P484" s="29"/>
      <c r="Q484" s="81"/>
      <c r="R484" s="29"/>
      <c r="S484" s="123"/>
    </row>
    <row r="485" spans="1:19">
      <c r="A485" s="147" t="s">
        <v>844</v>
      </c>
      <c r="B485" s="147"/>
      <c r="C485" s="29">
        <v>35500151</v>
      </c>
      <c r="G485" s="29" t="s">
        <v>153</v>
      </c>
      <c r="H485" s="29" t="s">
        <v>236</v>
      </c>
      <c r="I485" s="120">
        <v>45692</v>
      </c>
      <c r="J485" s="29"/>
      <c r="K485" s="29"/>
      <c r="L485" s="29"/>
      <c r="M485" s="29"/>
      <c r="N485" s="29"/>
      <c r="O485" s="29"/>
      <c r="P485" s="29"/>
      <c r="Q485" s="81"/>
      <c r="R485" s="29"/>
      <c r="S485" s="123"/>
    </row>
    <row r="486" spans="1:19">
      <c r="A486" s="147" t="s">
        <v>844</v>
      </c>
      <c r="B486" s="147"/>
      <c r="C486" s="29">
        <v>16507757</v>
      </c>
      <c r="G486" s="29" t="s">
        <v>153</v>
      </c>
      <c r="H486" s="29" t="s">
        <v>845</v>
      </c>
      <c r="I486" s="120">
        <v>45673</v>
      </c>
      <c r="J486" s="29"/>
      <c r="P486" s="134"/>
    </row>
    <row r="487" spans="1:19">
      <c r="A487" s="147" t="s">
        <v>844</v>
      </c>
      <c r="B487" s="147"/>
      <c r="C487" s="29">
        <v>16507726</v>
      </c>
      <c r="G487" s="29" t="s">
        <v>153</v>
      </c>
      <c r="H487" s="29" t="s">
        <v>845</v>
      </c>
      <c r="I487" s="120">
        <v>45673</v>
      </c>
      <c r="J487" s="29"/>
      <c r="P487" s="134"/>
    </row>
    <row r="488" spans="1:19">
      <c r="A488" s="147" t="s">
        <v>844</v>
      </c>
      <c r="B488" s="147"/>
      <c r="C488" s="29">
        <v>16507786</v>
      </c>
      <c r="G488" s="29" t="s">
        <v>153</v>
      </c>
      <c r="H488" s="29" t="s">
        <v>845</v>
      </c>
      <c r="I488" s="120">
        <v>45673</v>
      </c>
      <c r="J488" s="29"/>
      <c r="P488" s="134"/>
    </row>
    <row r="489" spans="1:19">
      <c r="A489" s="147" t="s">
        <v>844</v>
      </c>
      <c r="B489" s="147"/>
      <c r="C489" s="29">
        <v>35500151</v>
      </c>
      <c r="G489" s="29" t="s">
        <v>153</v>
      </c>
      <c r="H489" s="29" t="s">
        <v>236</v>
      </c>
      <c r="I489" s="120">
        <v>45692</v>
      </c>
      <c r="J489" s="29"/>
      <c r="P489" s="134"/>
    </row>
    <row r="490" spans="1:19">
      <c r="A490" s="147" t="s">
        <v>846</v>
      </c>
      <c r="B490" s="147"/>
      <c r="C490" s="29">
        <v>21507458</v>
      </c>
      <c r="G490" s="29" t="s">
        <v>153</v>
      </c>
      <c r="H490" s="29" t="s">
        <v>236</v>
      </c>
      <c r="I490" s="120">
        <v>45678</v>
      </c>
      <c r="J490" s="29"/>
      <c r="K490" s="29"/>
      <c r="L490" s="29"/>
      <c r="M490" s="29"/>
      <c r="N490" s="29"/>
      <c r="O490" s="29"/>
      <c r="P490" s="29"/>
      <c r="Q490" s="81"/>
      <c r="R490" s="29"/>
      <c r="S490" s="123"/>
    </row>
    <row r="491" spans="1:19">
      <c r="A491" s="147" t="s">
        <v>846</v>
      </c>
      <c r="B491" s="147"/>
      <c r="C491" s="29">
        <v>21507496</v>
      </c>
      <c r="G491" s="29" t="s">
        <v>153</v>
      </c>
      <c r="H491" s="29" t="s">
        <v>236</v>
      </c>
      <c r="I491" s="120">
        <v>45678</v>
      </c>
      <c r="J491" s="29"/>
      <c r="K491" s="29"/>
      <c r="L491" s="29"/>
      <c r="M491" s="29"/>
      <c r="N491" s="29"/>
      <c r="O491" s="29"/>
      <c r="P491" s="29"/>
      <c r="Q491" s="81"/>
      <c r="R491" s="29"/>
      <c r="S491" s="123"/>
    </row>
    <row r="492" spans="1:19">
      <c r="A492" s="147" t="s">
        <v>846</v>
      </c>
      <c r="B492" s="147"/>
      <c r="C492" s="29">
        <v>21507508</v>
      </c>
      <c r="G492" s="29" t="s">
        <v>153</v>
      </c>
      <c r="H492" s="29" t="s">
        <v>236</v>
      </c>
      <c r="I492" s="120">
        <v>45678</v>
      </c>
      <c r="J492" s="29"/>
      <c r="K492" s="29"/>
      <c r="L492" s="29"/>
      <c r="M492" s="29"/>
      <c r="N492" s="29"/>
      <c r="O492" s="29"/>
      <c r="P492" s="29"/>
      <c r="Q492" s="81"/>
      <c r="R492" s="29"/>
      <c r="S492" s="123"/>
    </row>
    <row r="493" spans="1:19">
      <c r="A493" s="147" t="s">
        <v>846</v>
      </c>
      <c r="B493" s="147"/>
      <c r="C493" s="29">
        <v>21507522</v>
      </c>
      <c r="G493" s="29" t="s">
        <v>153</v>
      </c>
      <c r="H493" s="29" t="s">
        <v>236</v>
      </c>
      <c r="I493" s="120">
        <v>45678</v>
      </c>
      <c r="J493" s="29"/>
      <c r="K493" s="29"/>
      <c r="L493" s="29"/>
      <c r="M493" s="29"/>
      <c r="N493" s="29"/>
      <c r="O493" s="29"/>
      <c r="P493" s="29"/>
      <c r="Q493" s="81"/>
      <c r="R493" s="29"/>
      <c r="S493" s="123"/>
    </row>
    <row r="494" spans="1:19">
      <c r="A494" s="147" t="s">
        <v>846</v>
      </c>
      <c r="B494" s="147"/>
      <c r="C494" s="29">
        <v>15508079</v>
      </c>
      <c r="G494" s="29" t="s">
        <v>153</v>
      </c>
      <c r="H494" s="29" t="s">
        <v>77</v>
      </c>
      <c r="I494" s="120">
        <v>45672</v>
      </c>
      <c r="J494" s="29"/>
      <c r="K494" s="29"/>
      <c r="L494" s="29"/>
      <c r="M494" s="29"/>
      <c r="N494" s="29"/>
      <c r="O494" s="29"/>
      <c r="P494" s="29"/>
      <c r="Q494" s="81"/>
      <c r="R494" s="29"/>
      <c r="S494" s="123"/>
    </row>
    <row r="495" spans="1:19">
      <c r="A495" s="147" t="s">
        <v>846</v>
      </c>
      <c r="B495" s="147"/>
      <c r="C495" s="29">
        <v>15508117</v>
      </c>
      <c r="G495" s="29" t="s">
        <v>153</v>
      </c>
      <c r="H495" s="29" t="s">
        <v>77</v>
      </c>
      <c r="I495" s="120">
        <v>45672</v>
      </c>
      <c r="J495" s="29"/>
      <c r="K495" s="29"/>
      <c r="L495" s="29"/>
      <c r="M495" s="29"/>
      <c r="N495" s="29"/>
      <c r="O495" s="29"/>
      <c r="P495" s="29"/>
      <c r="Q495" s="81"/>
      <c r="R495" s="29"/>
      <c r="S495" s="123"/>
    </row>
    <row r="496" spans="1:19">
      <c r="A496" s="147" t="s">
        <v>846</v>
      </c>
      <c r="B496" s="147"/>
      <c r="C496" s="29">
        <v>15508166</v>
      </c>
      <c r="G496" s="29" t="s">
        <v>153</v>
      </c>
      <c r="H496" s="29" t="s">
        <v>77</v>
      </c>
      <c r="I496" s="120">
        <v>45672</v>
      </c>
      <c r="J496" s="29"/>
      <c r="K496" s="29"/>
      <c r="L496" s="29"/>
      <c r="M496" s="29"/>
      <c r="N496" s="29"/>
      <c r="O496" s="29"/>
      <c r="P496" s="29"/>
      <c r="Q496" s="81"/>
      <c r="R496" s="29"/>
      <c r="S496" s="123"/>
    </row>
    <row r="497" spans="1:19">
      <c r="A497" s="147" t="s">
        <v>846</v>
      </c>
      <c r="B497" s="147"/>
      <c r="C497" s="29">
        <v>15508197</v>
      </c>
      <c r="G497" s="29" t="s">
        <v>153</v>
      </c>
      <c r="H497" s="29" t="s">
        <v>77</v>
      </c>
      <c r="I497" s="120">
        <v>45672</v>
      </c>
      <c r="J497" s="29"/>
      <c r="K497" s="29"/>
      <c r="L497" s="29"/>
      <c r="M497" s="29"/>
      <c r="N497" s="29"/>
      <c r="O497" s="29"/>
      <c r="P497" s="29"/>
      <c r="Q497" s="81"/>
      <c r="R497" s="29"/>
      <c r="S497" s="123"/>
    </row>
    <row r="498" spans="1:19">
      <c r="A498" s="147" t="s">
        <v>846</v>
      </c>
      <c r="B498" s="147"/>
      <c r="C498" s="29">
        <v>15508138</v>
      </c>
      <c r="G498" s="29" t="s">
        <v>153</v>
      </c>
      <c r="H498" s="29" t="s">
        <v>77</v>
      </c>
      <c r="I498" s="120">
        <v>45672</v>
      </c>
      <c r="J498" s="29"/>
      <c r="K498" s="29"/>
      <c r="L498" s="29"/>
      <c r="M498" s="29"/>
      <c r="N498" s="29"/>
      <c r="O498" s="29"/>
      <c r="P498" s="29"/>
      <c r="Q498" s="81"/>
      <c r="R498" s="29"/>
      <c r="S498" s="123"/>
    </row>
    <row r="499" spans="1:19">
      <c r="A499" s="147" t="s">
        <v>846</v>
      </c>
      <c r="B499" s="147"/>
      <c r="C499" s="29">
        <v>15508079</v>
      </c>
      <c r="G499" s="29" t="s">
        <v>153</v>
      </c>
      <c r="H499" s="29" t="s">
        <v>77</v>
      </c>
      <c r="I499" s="120">
        <v>45672</v>
      </c>
      <c r="J499" s="29"/>
      <c r="P499" s="134"/>
    </row>
    <row r="500" spans="1:19">
      <c r="A500" s="147" t="s">
        <v>846</v>
      </c>
      <c r="B500" s="147"/>
      <c r="C500" s="29">
        <v>15508117</v>
      </c>
      <c r="G500" s="29" t="s">
        <v>153</v>
      </c>
      <c r="H500" s="29" t="s">
        <v>77</v>
      </c>
      <c r="I500" s="120">
        <v>45672</v>
      </c>
      <c r="J500" s="29"/>
      <c r="P500" s="134"/>
    </row>
    <row r="501" spans="1:19">
      <c r="A501" s="147" t="s">
        <v>846</v>
      </c>
      <c r="B501" s="147"/>
      <c r="C501" s="29">
        <v>15508166</v>
      </c>
      <c r="G501" s="29" t="s">
        <v>153</v>
      </c>
      <c r="H501" s="29" t="s">
        <v>77</v>
      </c>
      <c r="I501" s="120">
        <v>45672</v>
      </c>
      <c r="J501" s="29"/>
      <c r="P501" s="134"/>
    </row>
    <row r="502" spans="1:19">
      <c r="A502" s="147" t="s">
        <v>846</v>
      </c>
      <c r="B502" s="147"/>
      <c r="C502" s="29">
        <v>15508197</v>
      </c>
      <c r="G502" s="29" t="s">
        <v>153</v>
      </c>
      <c r="H502" s="29" t="s">
        <v>77</v>
      </c>
      <c r="I502" s="120">
        <v>45672</v>
      </c>
      <c r="J502" s="29"/>
      <c r="P502" s="134"/>
    </row>
    <row r="503" spans="1:19">
      <c r="A503" s="147" t="s">
        <v>846</v>
      </c>
      <c r="B503" s="147"/>
      <c r="C503" s="29">
        <v>15508138</v>
      </c>
      <c r="G503" s="29" t="s">
        <v>153</v>
      </c>
      <c r="H503" s="29" t="s">
        <v>77</v>
      </c>
      <c r="I503" s="120">
        <v>45672</v>
      </c>
      <c r="J503" s="29"/>
      <c r="P503" s="134"/>
    </row>
    <row r="504" spans="1:19">
      <c r="A504" s="147" t="s">
        <v>846</v>
      </c>
      <c r="B504" s="147"/>
      <c r="C504" s="29">
        <v>21507458</v>
      </c>
      <c r="G504" s="29" t="s">
        <v>153</v>
      </c>
      <c r="H504" s="29" t="s">
        <v>236</v>
      </c>
      <c r="I504" s="120">
        <v>45678</v>
      </c>
      <c r="J504" s="29"/>
      <c r="P504" s="134"/>
    </row>
    <row r="505" spans="1:19">
      <c r="A505" s="147" t="s">
        <v>846</v>
      </c>
      <c r="B505" s="147"/>
      <c r="C505" s="29">
        <v>21507496</v>
      </c>
      <c r="G505" s="29" t="s">
        <v>153</v>
      </c>
      <c r="H505" s="29" t="s">
        <v>236</v>
      </c>
      <c r="I505" s="120">
        <v>45678</v>
      </c>
      <c r="J505" s="29"/>
      <c r="P505" s="134"/>
    </row>
    <row r="506" spans="1:19">
      <c r="A506" s="147" t="s">
        <v>846</v>
      </c>
      <c r="B506" s="147"/>
      <c r="C506" s="29">
        <v>21507508</v>
      </c>
      <c r="G506" s="29" t="s">
        <v>153</v>
      </c>
      <c r="H506" s="29" t="s">
        <v>236</v>
      </c>
      <c r="I506" s="120">
        <v>45678</v>
      </c>
      <c r="J506" s="29"/>
      <c r="P506" s="134"/>
    </row>
    <row r="507" spans="1:19">
      <c r="A507" s="147" t="s">
        <v>846</v>
      </c>
      <c r="B507" s="147"/>
      <c r="C507" s="29">
        <v>21507522</v>
      </c>
      <c r="G507" s="29" t="s">
        <v>153</v>
      </c>
      <c r="H507" s="29" t="s">
        <v>236</v>
      </c>
      <c r="I507" s="120">
        <v>45678</v>
      </c>
      <c r="J507" s="29"/>
      <c r="P507" s="134"/>
    </row>
    <row r="508" spans="1:19">
      <c r="A508" s="147" t="s">
        <v>847</v>
      </c>
      <c r="B508" s="147"/>
      <c r="C508" s="29">
        <v>15508269</v>
      </c>
      <c r="G508" s="29" t="s">
        <v>153</v>
      </c>
      <c r="H508" s="29" t="s">
        <v>77</v>
      </c>
      <c r="I508" s="120">
        <v>45672</v>
      </c>
      <c r="J508" s="29"/>
      <c r="P508" s="134"/>
    </row>
    <row r="509" spans="1:19">
      <c r="A509" s="147" t="s">
        <v>847</v>
      </c>
      <c r="B509" s="147"/>
      <c r="C509" s="29">
        <v>15508306</v>
      </c>
      <c r="G509" s="29" t="s">
        <v>153</v>
      </c>
      <c r="H509" s="29" t="s">
        <v>77</v>
      </c>
      <c r="I509" s="120">
        <v>45672</v>
      </c>
      <c r="J509" s="29"/>
      <c r="P509" s="134"/>
    </row>
    <row r="510" spans="1:19">
      <c r="A510" s="147" t="s">
        <v>847</v>
      </c>
      <c r="B510" s="147"/>
      <c r="C510" s="29">
        <v>15508345</v>
      </c>
      <c r="G510" s="29" t="s">
        <v>153</v>
      </c>
      <c r="H510" s="29" t="s">
        <v>77</v>
      </c>
      <c r="I510" s="120">
        <v>45672</v>
      </c>
      <c r="J510" s="29"/>
      <c r="P510" s="134"/>
    </row>
    <row r="511" spans="1:19">
      <c r="A511" s="147" t="s">
        <v>847</v>
      </c>
      <c r="B511" s="147"/>
      <c r="C511" s="29">
        <v>15508377</v>
      </c>
      <c r="G511" s="29" t="s">
        <v>153</v>
      </c>
      <c r="H511" s="29" t="s">
        <v>77</v>
      </c>
      <c r="I511" s="120">
        <v>45672</v>
      </c>
      <c r="J511" s="29"/>
      <c r="P511" s="134"/>
    </row>
    <row r="512" spans="1:19">
      <c r="A512" s="147" t="s">
        <v>847</v>
      </c>
      <c r="B512" s="147"/>
      <c r="C512" s="29">
        <v>21507541</v>
      </c>
      <c r="G512" s="29" t="s">
        <v>153</v>
      </c>
      <c r="H512" s="29" t="s">
        <v>236</v>
      </c>
      <c r="I512" s="120">
        <v>45678</v>
      </c>
      <c r="J512" s="29"/>
      <c r="P512" s="134"/>
    </row>
    <row r="513" spans="1:19">
      <c r="A513" s="147" t="s">
        <v>847</v>
      </c>
      <c r="B513" s="147"/>
      <c r="C513" s="29">
        <v>21507542</v>
      </c>
      <c r="G513" s="29" t="s">
        <v>153</v>
      </c>
      <c r="H513" s="29" t="s">
        <v>236</v>
      </c>
      <c r="I513" s="120">
        <v>45678</v>
      </c>
      <c r="J513" s="29"/>
      <c r="P513" s="134"/>
    </row>
    <row r="514" spans="1:19">
      <c r="A514" s="147" t="s">
        <v>847</v>
      </c>
      <c r="B514" s="147"/>
      <c r="C514" s="29">
        <v>21507549</v>
      </c>
      <c r="G514" s="29" t="s">
        <v>153</v>
      </c>
      <c r="H514" s="29" t="s">
        <v>236</v>
      </c>
      <c r="I514" s="120">
        <v>45678</v>
      </c>
      <c r="J514" s="29"/>
      <c r="P514" s="134"/>
    </row>
    <row r="515" spans="1:19">
      <c r="A515" s="147" t="s">
        <v>847</v>
      </c>
      <c r="B515" s="147"/>
      <c r="C515" s="29">
        <v>21507541</v>
      </c>
      <c r="G515" s="29" t="s">
        <v>153</v>
      </c>
      <c r="H515" s="29" t="s">
        <v>236</v>
      </c>
      <c r="I515" s="120">
        <v>45678</v>
      </c>
      <c r="J515" s="29"/>
      <c r="K515" s="29"/>
      <c r="L515" s="29"/>
      <c r="M515" s="29"/>
      <c r="N515" s="29"/>
      <c r="O515" s="29"/>
      <c r="P515" s="29"/>
      <c r="Q515" s="81"/>
      <c r="R515" s="29"/>
      <c r="S515" s="123"/>
    </row>
    <row r="516" spans="1:19">
      <c r="A516" s="147" t="s">
        <v>847</v>
      </c>
      <c r="B516" s="147"/>
      <c r="C516" s="29">
        <v>21507542</v>
      </c>
      <c r="G516" s="29" t="s">
        <v>153</v>
      </c>
      <c r="H516" s="29" t="s">
        <v>236</v>
      </c>
      <c r="I516" s="120">
        <v>45678</v>
      </c>
      <c r="J516" s="29"/>
      <c r="K516" s="29"/>
      <c r="L516" s="29"/>
      <c r="M516" s="29"/>
      <c r="N516" s="29"/>
      <c r="O516" s="29"/>
      <c r="P516" s="29"/>
      <c r="Q516" s="81"/>
      <c r="R516" s="29"/>
      <c r="S516" s="123"/>
    </row>
    <row r="517" spans="1:19">
      <c r="A517" s="147" t="s">
        <v>847</v>
      </c>
      <c r="B517" s="147"/>
      <c r="C517" s="29">
        <v>21507549</v>
      </c>
      <c r="G517" s="29" t="s">
        <v>153</v>
      </c>
      <c r="H517" s="29" t="s">
        <v>236</v>
      </c>
      <c r="I517" s="120">
        <v>45678</v>
      </c>
      <c r="J517" s="29"/>
      <c r="K517" s="29"/>
      <c r="L517" s="29"/>
      <c r="M517" s="29"/>
      <c r="N517" s="29"/>
      <c r="O517" s="29"/>
      <c r="P517" s="29"/>
      <c r="Q517" s="81"/>
      <c r="R517" s="29"/>
      <c r="S517" s="123"/>
    </row>
    <row r="518" spans="1:19">
      <c r="A518" s="147" t="s">
        <v>847</v>
      </c>
      <c r="B518" s="147"/>
      <c r="C518" s="29">
        <v>21507550</v>
      </c>
      <c r="G518" s="29" t="s">
        <v>153</v>
      </c>
      <c r="H518" s="29" t="s">
        <v>236</v>
      </c>
      <c r="I518" s="120">
        <v>45678</v>
      </c>
      <c r="J518" s="29"/>
      <c r="K518" s="29"/>
      <c r="L518" s="29"/>
      <c r="M518" s="29"/>
      <c r="N518" s="29"/>
      <c r="O518" s="29"/>
      <c r="P518" s="29"/>
      <c r="Q518" s="81"/>
      <c r="R518" s="29"/>
      <c r="S518" s="123"/>
    </row>
    <row r="519" spans="1:19">
      <c r="A519" s="147" t="s">
        <v>847</v>
      </c>
      <c r="B519" s="147"/>
      <c r="C519" s="29">
        <v>15508269</v>
      </c>
      <c r="G519" s="29" t="s">
        <v>153</v>
      </c>
      <c r="H519" s="29" t="s">
        <v>77</v>
      </c>
      <c r="I519" s="120">
        <v>45672</v>
      </c>
      <c r="J519" s="29"/>
      <c r="K519" s="29"/>
      <c r="L519" s="29"/>
      <c r="M519" s="29"/>
      <c r="N519" s="29"/>
      <c r="O519" s="29"/>
      <c r="P519" s="29"/>
      <c r="Q519" s="81"/>
      <c r="R519" s="29"/>
      <c r="S519" s="123"/>
    </row>
    <row r="520" spans="1:19">
      <c r="A520" s="147" t="s">
        <v>847</v>
      </c>
      <c r="B520" s="147"/>
      <c r="C520" s="29">
        <v>15508306</v>
      </c>
      <c r="G520" s="29" t="s">
        <v>153</v>
      </c>
      <c r="H520" s="29" t="s">
        <v>77</v>
      </c>
      <c r="I520" s="120">
        <v>45672</v>
      </c>
      <c r="J520" s="29"/>
      <c r="K520" s="29"/>
      <c r="L520" s="29"/>
      <c r="M520" s="29"/>
      <c r="N520" s="29"/>
      <c r="O520" s="29"/>
      <c r="P520" s="29"/>
      <c r="Q520" s="81"/>
      <c r="R520" s="29"/>
      <c r="S520" s="123"/>
    </row>
    <row r="521" spans="1:19">
      <c r="A521" s="147" t="s">
        <v>847</v>
      </c>
      <c r="B521" s="147"/>
      <c r="C521" s="29">
        <v>15508345</v>
      </c>
      <c r="G521" s="29" t="s">
        <v>153</v>
      </c>
      <c r="H521" s="29" t="s">
        <v>77</v>
      </c>
      <c r="I521" s="120">
        <v>45672</v>
      </c>
      <c r="J521" s="29"/>
      <c r="K521" s="29"/>
      <c r="L521" s="29"/>
      <c r="M521" s="29"/>
      <c r="N521" s="29"/>
      <c r="O521" s="29"/>
      <c r="P521" s="29"/>
      <c r="Q521" s="81"/>
      <c r="R521" s="29"/>
      <c r="S521" s="123"/>
    </row>
    <row r="522" spans="1:19">
      <c r="A522" s="147" t="s">
        <v>847</v>
      </c>
      <c r="B522" s="147"/>
      <c r="C522" s="29">
        <v>15508377</v>
      </c>
      <c r="G522" s="29" t="s">
        <v>153</v>
      </c>
      <c r="H522" s="29" t="s">
        <v>77</v>
      </c>
      <c r="I522" s="120">
        <v>45672</v>
      </c>
      <c r="J522" s="29"/>
      <c r="K522" s="29"/>
      <c r="L522" s="29"/>
      <c r="M522" s="29"/>
      <c r="N522" s="29"/>
      <c r="O522" s="29"/>
      <c r="P522" s="29"/>
      <c r="Q522" s="81"/>
      <c r="R522" s="29"/>
      <c r="S522" s="123"/>
    </row>
    <row r="523" spans="1:19">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c r="A531" s="147" t="s">
        <v>851</v>
      </c>
      <c r="B531" s="147"/>
      <c r="C531" s="29">
        <v>6508533</v>
      </c>
      <c r="D531" s="29"/>
      <c r="F531" s="29"/>
      <c r="G531" s="29" t="s">
        <v>153</v>
      </c>
      <c r="H531" s="29" t="s">
        <v>838</v>
      </c>
      <c r="I531" s="120">
        <v>45659</v>
      </c>
      <c r="J531" s="120">
        <f>WORKDAY(I531, 3)</f>
        <v>45664</v>
      </c>
      <c r="K531" s="120"/>
      <c r="L531" s="120"/>
      <c r="M531" s="120"/>
      <c r="N531" s="120"/>
      <c r="O531" s="119" t="s">
        <v>850</v>
      </c>
      <c r="P531" s="120"/>
      <c r="Q531" s="135"/>
      <c r="R531" s="29"/>
      <c r="S531" s="123"/>
    </row>
    <row r="532" spans="1:19">
      <c r="A532" s="147" t="s">
        <v>851</v>
      </c>
      <c r="B532" s="147"/>
      <c r="C532" s="29">
        <v>6506107</v>
      </c>
      <c r="D532" s="29"/>
      <c r="F532" s="29"/>
      <c r="G532" s="29" t="s">
        <v>153</v>
      </c>
      <c r="H532" s="29" t="s">
        <v>838</v>
      </c>
      <c r="I532" s="120">
        <v>45659</v>
      </c>
      <c r="J532" s="120">
        <f>WORKDAY(I532, 3)</f>
        <v>45664</v>
      </c>
      <c r="K532" s="120"/>
      <c r="L532" s="120"/>
      <c r="M532" s="120"/>
      <c r="N532" s="120"/>
      <c r="O532" s="119" t="s">
        <v>850</v>
      </c>
      <c r="P532" s="120"/>
      <c r="Q532" s="135"/>
      <c r="R532" s="29"/>
      <c r="S532" s="123"/>
    </row>
    <row r="533" spans="1:19">
      <c r="A533" s="147" t="s">
        <v>851</v>
      </c>
      <c r="B533" s="147"/>
      <c r="C533" s="29">
        <v>6506134</v>
      </c>
      <c r="D533" s="29"/>
      <c r="F533" s="29"/>
      <c r="G533" s="29" t="s">
        <v>153</v>
      </c>
      <c r="H533" s="29" t="s">
        <v>838</v>
      </c>
      <c r="I533" s="120">
        <v>45659</v>
      </c>
      <c r="J533" s="120">
        <f>WORKDAY(I533, 3)</f>
        <v>45664</v>
      </c>
      <c r="K533" s="120"/>
      <c r="L533" s="120"/>
      <c r="M533" s="120"/>
      <c r="N533" s="120"/>
      <c r="O533" s="119" t="s">
        <v>850</v>
      </c>
      <c r="P533" s="120"/>
      <c r="Q533" s="135"/>
      <c r="R533" s="29"/>
      <c r="S533" s="123"/>
    </row>
    <row r="534" spans="1:19">
      <c r="A534" s="147" t="s">
        <v>851</v>
      </c>
      <c r="B534" s="147"/>
      <c r="C534" s="29">
        <v>6506217</v>
      </c>
      <c r="D534" s="29"/>
      <c r="F534" s="29"/>
      <c r="G534" s="29" t="s">
        <v>153</v>
      </c>
      <c r="H534" s="29" t="s">
        <v>838</v>
      </c>
      <c r="I534" s="120">
        <v>45659</v>
      </c>
      <c r="J534" s="120">
        <f>WORKDAY(I534, 3)</f>
        <v>45664</v>
      </c>
      <c r="K534" s="120"/>
      <c r="L534" s="120"/>
      <c r="M534" s="120"/>
      <c r="N534" s="120"/>
      <c r="O534" s="119" t="s">
        <v>850</v>
      </c>
      <c r="P534" s="120"/>
      <c r="Q534" s="135"/>
      <c r="R534" s="29"/>
      <c r="S534" s="123"/>
    </row>
    <row r="535" spans="1:19">
      <c r="A535" s="147" t="s">
        <v>851</v>
      </c>
      <c r="B535" s="147"/>
      <c r="C535" s="29">
        <v>6506261</v>
      </c>
      <c r="D535" s="29"/>
      <c r="F535" s="29"/>
      <c r="G535" s="29" t="s">
        <v>153</v>
      </c>
      <c r="H535" s="29" t="s">
        <v>838</v>
      </c>
      <c r="I535" s="120">
        <v>45659</v>
      </c>
      <c r="J535" s="120">
        <f>WORKDAY(I535, 3)</f>
        <v>45664</v>
      </c>
      <c r="K535" s="120"/>
      <c r="L535" s="120"/>
      <c r="M535" s="120"/>
      <c r="N535" s="120"/>
      <c r="O535" s="119" t="s">
        <v>850</v>
      </c>
      <c r="P535" s="120"/>
      <c r="Q535" s="135"/>
      <c r="R535" s="29"/>
      <c r="S535" s="123"/>
    </row>
    <row r="536" spans="1:19">
      <c r="A536" s="147" t="s">
        <v>851</v>
      </c>
      <c r="B536" s="147"/>
      <c r="C536" s="29">
        <v>6506316</v>
      </c>
      <c r="D536" s="29"/>
      <c r="F536" s="29"/>
      <c r="G536" s="29" t="s">
        <v>153</v>
      </c>
      <c r="H536" s="29" t="s">
        <v>838</v>
      </c>
      <c r="I536" s="120">
        <v>45659</v>
      </c>
      <c r="J536" s="120">
        <f>WORKDAY(I536, 3)</f>
        <v>45664</v>
      </c>
      <c r="K536" s="120"/>
      <c r="L536" s="120"/>
      <c r="M536" s="120"/>
      <c r="N536" s="120"/>
      <c r="O536" s="119" t="s">
        <v>850</v>
      </c>
      <c r="P536" s="120"/>
      <c r="Q536" s="135"/>
      <c r="R536" s="29"/>
      <c r="S536" s="123"/>
    </row>
    <row r="537" spans="1:19">
      <c r="A537" s="147" t="s">
        <v>851</v>
      </c>
      <c r="B537" s="147"/>
      <c r="C537" s="29">
        <v>6506332</v>
      </c>
      <c r="D537" s="29"/>
      <c r="F537" s="29"/>
      <c r="G537" s="29" t="s">
        <v>153</v>
      </c>
      <c r="H537" s="29" t="s">
        <v>838</v>
      </c>
      <c r="I537" s="120">
        <v>45659</v>
      </c>
      <c r="J537" s="120">
        <f>WORKDAY(I537, 3)</f>
        <v>45664</v>
      </c>
      <c r="K537" s="120"/>
      <c r="L537" s="120"/>
      <c r="M537" s="120"/>
      <c r="N537" s="120"/>
      <c r="O537" s="119" t="s">
        <v>850</v>
      </c>
      <c r="P537" s="120"/>
      <c r="Q537" s="135"/>
      <c r="R537" s="29"/>
      <c r="S537" s="123"/>
    </row>
    <row r="538" spans="1:19">
      <c r="A538" s="147" t="s">
        <v>851</v>
      </c>
      <c r="B538" s="147"/>
      <c r="C538" s="29">
        <v>6506420</v>
      </c>
      <c r="D538" s="29"/>
      <c r="F538" s="29"/>
      <c r="G538" s="29" t="s">
        <v>153</v>
      </c>
      <c r="H538" s="29" t="s">
        <v>838</v>
      </c>
      <c r="I538" s="120">
        <v>45659</v>
      </c>
      <c r="J538" s="120">
        <f>WORKDAY(I538, 3)</f>
        <v>45664</v>
      </c>
      <c r="K538" s="120"/>
      <c r="L538" s="120"/>
      <c r="M538" s="120"/>
      <c r="N538" s="120"/>
      <c r="O538" s="119" t="s">
        <v>850</v>
      </c>
      <c r="P538" s="120"/>
      <c r="Q538" s="135"/>
      <c r="R538" s="29"/>
      <c r="S538" s="123"/>
    </row>
    <row r="539" spans="1:19">
      <c r="A539" s="147" t="s">
        <v>851</v>
      </c>
      <c r="B539" s="147"/>
      <c r="C539" s="29">
        <v>6506478</v>
      </c>
      <c r="D539" s="29"/>
      <c r="F539" s="29"/>
      <c r="G539" s="29" t="s">
        <v>153</v>
      </c>
      <c r="H539" s="29" t="s">
        <v>838</v>
      </c>
      <c r="I539" s="120">
        <v>45659</v>
      </c>
      <c r="J539" s="120">
        <f>WORKDAY(I539, 3)</f>
        <v>45664</v>
      </c>
      <c r="K539" s="120"/>
      <c r="L539" s="120"/>
      <c r="M539" s="120"/>
      <c r="N539" s="120"/>
      <c r="O539" s="119" t="s">
        <v>850</v>
      </c>
      <c r="P539" s="120"/>
      <c r="Q539" s="135"/>
      <c r="R539" s="29"/>
      <c r="S539" s="123"/>
    </row>
    <row r="540" spans="1:19">
      <c r="A540" s="147" t="s">
        <v>851</v>
      </c>
      <c r="B540" s="147"/>
      <c r="C540" s="29">
        <v>6508047</v>
      </c>
      <c r="D540" s="29"/>
      <c r="F540" s="29"/>
      <c r="G540" s="29" t="s">
        <v>153</v>
      </c>
      <c r="H540" s="29" t="s">
        <v>838</v>
      </c>
      <c r="I540" s="120">
        <v>45659</v>
      </c>
      <c r="J540" s="120">
        <f>WORKDAY(I540, 3)</f>
        <v>45664</v>
      </c>
      <c r="K540" s="120"/>
      <c r="L540" s="120"/>
      <c r="M540" s="120"/>
      <c r="N540" s="120"/>
      <c r="O540" s="119" t="s">
        <v>850</v>
      </c>
      <c r="P540" s="120"/>
      <c r="Q540" s="135"/>
      <c r="R540" s="29"/>
      <c r="S540" s="123"/>
    </row>
    <row r="541" spans="1:19">
      <c r="A541" s="147" t="s">
        <v>851</v>
      </c>
      <c r="B541" s="147"/>
      <c r="C541" s="29">
        <v>6506487</v>
      </c>
      <c r="D541" s="29"/>
      <c r="F541" s="29"/>
      <c r="G541" s="29" t="s">
        <v>153</v>
      </c>
      <c r="H541" s="29" t="s">
        <v>838</v>
      </c>
      <c r="I541" s="120">
        <v>45659</v>
      </c>
      <c r="J541" s="120">
        <f>WORKDAY(I541, 3)</f>
        <v>45664</v>
      </c>
      <c r="K541" s="120"/>
      <c r="L541" s="120"/>
      <c r="M541" s="120"/>
      <c r="N541" s="120"/>
      <c r="O541" s="119" t="s">
        <v>850</v>
      </c>
      <c r="P541" s="120"/>
      <c r="Q541" s="135"/>
      <c r="R541" s="29"/>
      <c r="S541" s="123"/>
    </row>
    <row r="542" spans="1:19">
      <c r="A542" s="147" t="s">
        <v>851</v>
      </c>
      <c r="B542" s="147"/>
      <c r="C542" s="29">
        <v>6506502</v>
      </c>
      <c r="D542" s="29"/>
      <c r="F542" s="29"/>
      <c r="G542" s="29" t="s">
        <v>153</v>
      </c>
      <c r="H542" s="29" t="s">
        <v>838</v>
      </c>
      <c r="I542" s="120">
        <v>45659</v>
      </c>
      <c r="J542" s="120">
        <f>WORKDAY(I542, 3)</f>
        <v>45664</v>
      </c>
      <c r="K542" s="120"/>
      <c r="L542" s="120"/>
      <c r="M542" s="120"/>
      <c r="N542" s="120"/>
      <c r="O542" s="119" t="s">
        <v>850</v>
      </c>
      <c r="P542" s="120"/>
      <c r="Q542" s="135"/>
      <c r="R542" s="29"/>
      <c r="S542" s="123"/>
    </row>
    <row r="543" spans="1:19">
      <c r="A543" s="147" t="s">
        <v>851</v>
      </c>
      <c r="B543" s="147"/>
      <c r="C543" s="29">
        <v>6506520</v>
      </c>
      <c r="D543" s="29"/>
      <c r="F543" s="29"/>
      <c r="G543" s="29" t="s">
        <v>153</v>
      </c>
      <c r="H543" s="29" t="s">
        <v>838</v>
      </c>
      <c r="I543" s="120">
        <v>45659</v>
      </c>
      <c r="J543" s="120">
        <f>WORKDAY(I543, 3)</f>
        <v>45664</v>
      </c>
      <c r="K543" s="120"/>
      <c r="L543" s="120"/>
      <c r="M543" s="120"/>
      <c r="N543" s="120"/>
      <c r="O543" s="119" t="s">
        <v>850</v>
      </c>
      <c r="P543" s="120"/>
      <c r="Q543" s="135"/>
      <c r="R543" s="29"/>
      <c r="S543" s="123"/>
    </row>
    <row r="544" spans="1:19">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c r="A562" s="147" t="s">
        <v>852</v>
      </c>
      <c r="B562" s="147"/>
      <c r="C562" s="41">
        <v>16500038</v>
      </c>
      <c r="D562" s="41"/>
      <c r="F562" s="41"/>
      <c r="G562" s="29" t="s">
        <v>153</v>
      </c>
      <c r="H562" s="29" t="s">
        <v>236</v>
      </c>
      <c r="I562" s="120">
        <v>45673</v>
      </c>
      <c r="J562" s="120">
        <f>WORKDAY(I562, 3)</f>
        <v>45678</v>
      </c>
      <c r="K562" s="120"/>
      <c r="L562" s="120"/>
      <c r="M562" s="120"/>
      <c r="N562" s="120"/>
      <c r="O562" s="119" t="s">
        <v>850</v>
      </c>
      <c r="P562" s="120"/>
      <c r="Q562" s="135"/>
      <c r="R562" s="29" t="s">
        <v>853</v>
      </c>
      <c r="S562" s="123"/>
    </row>
    <row r="563" spans="1:19">
      <c r="A563" s="147" t="s">
        <v>852</v>
      </c>
      <c r="B563" s="147"/>
      <c r="C563" s="29">
        <v>16500048</v>
      </c>
      <c r="D563" s="29"/>
      <c r="F563" s="29"/>
      <c r="G563" s="29" t="s">
        <v>153</v>
      </c>
      <c r="H563" s="29" t="s">
        <v>236</v>
      </c>
      <c r="I563" s="120">
        <v>45673</v>
      </c>
      <c r="J563" s="120">
        <f>WORKDAY(I563, 3)</f>
        <v>45678</v>
      </c>
      <c r="K563" s="120"/>
      <c r="L563" s="120"/>
      <c r="M563" s="120"/>
      <c r="N563" s="120"/>
      <c r="O563" s="119" t="s">
        <v>850</v>
      </c>
      <c r="P563" s="120"/>
      <c r="Q563" s="135"/>
      <c r="R563" s="29" t="s">
        <v>854</v>
      </c>
      <c r="S563" s="123"/>
    </row>
    <row r="564" spans="1:19">
      <c r="A564" s="147" t="s">
        <v>852</v>
      </c>
      <c r="B564" s="147"/>
      <c r="C564" s="29">
        <v>16509247</v>
      </c>
      <c r="D564" s="29"/>
      <c r="F564" s="29"/>
      <c r="G564" s="29" t="s">
        <v>153</v>
      </c>
      <c r="H564" s="29" t="s">
        <v>236</v>
      </c>
      <c r="I564" s="120">
        <v>45673</v>
      </c>
      <c r="J564" s="120">
        <f>WORKDAY(I564, 3)</f>
        <v>45678</v>
      </c>
      <c r="K564" s="120"/>
      <c r="L564" s="120"/>
      <c r="M564" s="120"/>
      <c r="N564" s="120"/>
      <c r="O564" s="119" t="s">
        <v>850</v>
      </c>
      <c r="P564" s="120"/>
      <c r="Q564" s="135"/>
      <c r="R564" s="29" t="s">
        <v>855</v>
      </c>
      <c r="S564" s="123"/>
    </row>
    <row r="565" spans="1:19">
      <c r="A565" s="147" t="s">
        <v>852</v>
      </c>
      <c r="B565" s="147"/>
      <c r="C565" s="29">
        <v>16509177</v>
      </c>
      <c r="D565" s="29"/>
      <c r="F565" s="29"/>
      <c r="G565" s="29" t="s">
        <v>153</v>
      </c>
      <c r="H565" s="29" t="s">
        <v>236</v>
      </c>
      <c r="I565" s="120">
        <v>45673</v>
      </c>
      <c r="J565" s="120">
        <f>WORKDAY(I565, 3)</f>
        <v>45678</v>
      </c>
      <c r="K565" s="120"/>
      <c r="L565" s="120"/>
      <c r="M565" s="120"/>
      <c r="N565" s="120"/>
      <c r="O565" s="119" t="s">
        <v>850</v>
      </c>
      <c r="P565" s="120"/>
      <c r="Q565" s="135"/>
      <c r="R565" s="29" t="s">
        <v>856</v>
      </c>
      <c r="S565" s="123"/>
    </row>
    <row r="566" spans="1:19">
      <c r="A566" s="147" t="s">
        <v>852</v>
      </c>
      <c r="B566" s="147"/>
      <c r="C566" s="29">
        <v>16509169</v>
      </c>
      <c r="D566" s="29"/>
      <c r="F566" s="29"/>
      <c r="G566" s="29" t="s">
        <v>153</v>
      </c>
      <c r="H566" s="29" t="s">
        <v>236</v>
      </c>
      <c r="I566" s="120">
        <v>45673</v>
      </c>
      <c r="J566" s="120">
        <f>WORKDAY(I566, 3)</f>
        <v>45678</v>
      </c>
      <c r="K566" s="120"/>
      <c r="L566" s="120"/>
      <c r="M566" s="120"/>
      <c r="N566" s="120"/>
      <c r="O566" s="119" t="s">
        <v>850</v>
      </c>
      <c r="P566" s="120"/>
      <c r="Q566" s="135"/>
      <c r="R566" s="29" t="s">
        <v>857</v>
      </c>
      <c r="S566" s="123"/>
    </row>
    <row r="567" spans="1:19">
      <c r="A567" s="147" t="s">
        <v>852</v>
      </c>
      <c r="B567" s="147"/>
      <c r="C567" s="29">
        <v>16508362</v>
      </c>
      <c r="D567" s="29"/>
      <c r="F567" s="29"/>
      <c r="G567" s="29" t="s">
        <v>153</v>
      </c>
      <c r="H567" s="29" t="s">
        <v>236</v>
      </c>
      <c r="I567" s="120">
        <v>45673</v>
      </c>
      <c r="J567" s="120">
        <f>WORKDAY(I567, 3)</f>
        <v>45678</v>
      </c>
      <c r="K567" s="120"/>
      <c r="L567" s="120"/>
      <c r="M567" s="120"/>
      <c r="N567" s="120"/>
      <c r="O567" s="119" t="s">
        <v>850</v>
      </c>
      <c r="P567" s="120"/>
      <c r="Q567" s="135"/>
      <c r="R567" s="29" t="s">
        <v>858</v>
      </c>
      <c r="S567" s="123"/>
    </row>
    <row r="568" spans="1:19">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c r="A725" s="29" t="s">
        <v>289</v>
      </c>
      <c r="B725" s="29"/>
      <c r="C725" s="29">
        <v>35509586</v>
      </c>
      <c r="D725" s="29"/>
      <c r="F725" s="29"/>
      <c r="G725" s="29" t="s">
        <v>744</v>
      </c>
      <c r="H725" s="29" t="s">
        <v>185</v>
      </c>
      <c r="I725" s="120">
        <v>45691</v>
      </c>
      <c r="J725" s="120">
        <f>WORKDAY(I725, 3)</f>
        <v>45694</v>
      </c>
      <c r="K725" s="120">
        <v>45729</v>
      </c>
      <c r="L725" s="120"/>
      <c r="M725" s="120"/>
      <c r="N725" s="120"/>
      <c r="O725" s="119" t="s">
        <v>850</v>
      </c>
      <c r="P725" s="120"/>
      <c r="Q725" s="135"/>
      <c r="R725" s="29" t="s">
        <v>290</v>
      </c>
      <c r="S725" s="123"/>
    </row>
    <row r="726" spans="1:19">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c r="A727" s="29" t="s">
        <v>859</v>
      </c>
      <c r="B727" s="29"/>
      <c r="C727" s="121">
        <v>36504907</v>
      </c>
      <c r="D727" s="121"/>
      <c r="F727" s="121"/>
      <c r="G727" s="29" t="s">
        <v>153</v>
      </c>
      <c r="H727" s="29" t="s">
        <v>236</v>
      </c>
      <c r="I727" s="120">
        <v>45692</v>
      </c>
      <c r="J727" s="120">
        <f>WORKDAY(I727, 3)</f>
        <v>45695</v>
      </c>
      <c r="K727" s="120"/>
      <c r="L727" s="120"/>
      <c r="M727" s="120"/>
      <c r="N727" s="120"/>
      <c r="O727" s="119" t="s">
        <v>850</v>
      </c>
      <c r="P727" s="120"/>
      <c r="Q727" s="135"/>
      <c r="R727" s="29"/>
      <c r="S727" s="123"/>
    </row>
    <row r="728" spans="1:19" ht="15.75">
      <c r="A728" s="29" t="s">
        <v>859</v>
      </c>
      <c r="B728" s="29"/>
      <c r="C728" s="121">
        <v>36504999</v>
      </c>
      <c r="D728" s="121"/>
      <c r="F728" s="121"/>
      <c r="G728" s="29" t="s">
        <v>153</v>
      </c>
      <c r="H728" s="29" t="s">
        <v>236</v>
      </c>
      <c r="I728" s="120">
        <v>45692</v>
      </c>
      <c r="J728" s="120">
        <f>WORKDAY(I728, 3)</f>
        <v>45695</v>
      </c>
      <c r="K728" s="120"/>
      <c r="L728" s="120"/>
      <c r="M728" s="120"/>
      <c r="N728" s="120"/>
      <c r="O728" s="119" t="s">
        <v>850</v>
      </c>
      <c r="P728" s="120"/>
      <c r="Q728" s="135"/>
      <c r="R728" s="29"/>
      <c r="S728" s="123"/>
    </row>
    <row r="729" spans="1:19">
      <c r="A729" s="29" t="s">
        <v>859</v>
      </c>
      <c r="B729" s="29"/>
      <c r="C729" s="29">
        <v>36505051</v>
      </c>
      <c r="D729" s="29"/>
      <c r="F729" s="29"/>
      <c r="G729" s="29" t="s">
        <v>153</v>
      </c>
      <c r="H729" s="29" t="s">
        <v>236</v>
      </c>
      <c r="I729" s="120">
        <v>45692</v>
      </c>
      <c r="J729" s="120">
        <f>WORKDAY(I729, 3)</f>
        <v>45695</v>
      </c>
      <c r="K729" s="120"/>
      <c r="L729" s="120"/>
      <c r="M729" s="120"/>
      <c r="N729" s="120"/>
      <c r="O729" s="119" t="s">
        <v>850</v>
      </c>
      <c r="P729" s="120"/>
      <c r="Q729" s="135"/>
      <c r="R729" s="29"/>
      <c r="S729" s="123"/>
    </row>
    <row r="730" spans="1:19">
      <c r="A730" s="29" t="s">
        <v>859</v>
      </c>
      <c r="B730" s="29"/>
      <c r="C730" s="29">
        <v>36505184</v>
      </c>
      <c r="D730" s="29"/>
      <c r="F730" s="29"/>
      <c r="G730" s="29" t="s">
        <v>153</v>
      </c>
      <c r="H730" s="29" t="s">
        <v>236</v>
      </c>
      <c r="I730" s="120">
        <v>45692</v>
      </c>
      <c r="J730" s="120">
        <f>WORKDAY(I730, 3)</f>
        <v>45695</v>
      </c>
      <c r="K730" s="120"/>
      <c r="L730" s="120"/>
      <c r="M730" s="120"/>
      <c r="N730" s="120"/>
      <c r="O730" s="119" t="s">
        <v>850</v>
      </c>
      <c r="P730" s="120"/>
      <c r="Q730" s="135"/>
      <c r="R730" s="29"/>
      <c r="S730" s="123"/>
    </row>
    <row r="731" spans="1:19">
      <c r="A731" s="29" t="s">
        <v>859</v>
      </c>
      <c r="B731" s="29"/>
      <c r="C731" s="29">
        <v>36505254</v>
      </c>
      <c r="D731" s="29"/>
      <c r="F731" s="29"/>
      <c r="G731" s="29" t="s">
        <v>153</v>
      </c>
      <c r="H731" s="29" t="s">
        <v>236</v>
      </c>
      <c r="I731" s="120">
        <v>45692</v>
      </c>
      <c r="J731" s="120">
        <f>WORKDAY(I731, 3)</f>
        <v>45695</v>
      </c>
      <c r="K731" s="120"/>
      <c r="L731" s="120"/>
      <c r="M731" s="120"/>
      <c r="N731" s="120"/>
      <c r="O731" s="119" t="s">
        <v>850</v>
      </c>
      <c r="P731" s="120"/>
      <c r="Q731" s="135"/>
      <c r="R731" s="29"/>
      <c r="S731" s="123"/>
    </row>
    <row r="732" spans="1:19">
      <c r="A732" s="29" t="s">
        <v>859</v>
      </c>
      <c r="B732" s="29"/>
      <c r="C732" s="29">
        <v>36505299</v>
      </c>
      <c r="D732" s="29"/>
      <c r="F732" s="29"/>
      <c r="G732" s="29" t="s">
        <v>153</v>
      </c>
      <c r="H732" s="29" t="s">
        <v>236</v>
      </c>
      <c r="I732" s="120">
        <v>45692</v>
      </c>
      <c r="J732" s="120">
        <f>WORKDAY(I732, 3)</f>
        <v>45695</v>
      </c>
      <c r="K732" s="120"/>
      <c r="L732" s="120"/>
      <c r="M732" s="120"/>
      <c r="N732" s="120"/>
      <c r="O732" s="119" t="s">
        <v>850</v>
      </c>
      <c r="P732" s="120"/>
      <c r="Q732" s="135"/>
      <c r="R732" s="29"/>
      <c r="S732" s="123"/>
    </row>
    <row r="733" spans="1:19">
      <c r="A733" s="29" t="s">
        <v>353</v>
      </c>
      <c r="B733" s="29"/>
      <c r="C733" s="29">
        <v>36501666</v>
      </c>
      <c r="D733" s="29"/>
      <c r="F733" s="29"/>
      <c r="G733" s="29" t="s">
        <v>744</v>
      </c>
      <c r="H733" s="29" t="s">
        <v>185</v>
      </c>
      <c r="I733" s="120">
        <v>45692</v>
      </c>
      <c r="J733" s="120">
        <f>WORKDAY(I733, 3)</f>
        <v>45695</v>
      </c>
      <c r="K733" s="120"/>
      <c r="L733" s="120"/>
      <c r="M733" s="120"/>
      <c r="N733" s="120">
        <v>45697</v>
      </c>
      <c r="O733" s="119" t="s">
        <v>10</v>
      </c>
      <c r="P733" s="152"/>
      <c r="Q733" s="153"/>
      <c r="R733" s="29" t="s">
        <v>354</v>
      </c>
      <c r="S733" s="123"/>
    </row>
    <row r="734" spans="1:19">
      <c r="A734" s="29" t="s">
        <v>353</v>
      </c>
      <c r="B734" s="29"/>
      <c r="C734" s="29">
        <v>36501547</v>
      </c>
      <c r="D734" s="29"/>
      <c r="F734" s="29"/>
      <c r="G734" s="29" t="s">
        <v>744</v>
      </c>
      <c r="H734" s="29" t="s">
        <v>185</v>
      </c>
      <c r="I734" s="120">
        <v>45692</v>
      </c>
      <c r="J734" s="120">
        <f>WORKDAY(I734, 3)</f>
        <v>45695</v>
      </c>
      <c r="K734" s="120">
        <v>45729</v>
      </c>
      <c r="L734" s="120"/>
      <c r="M734" s="120"/>
      <c r="N734" s="120"/>
      <c r="O734" s="119" t="s">
        <v>860</v>
      </c>
      <c r="P734" s="120"/>
      <c r="Q734" s="135"/>
      <c r="R734" s="29" t="s">
        <v>355</v>
      </c>
      <c r="S734" s="123"/>
    </row>
    <row r="735" spans="1:19">
      <c r="A735" s="29" t="s">
        <v>353</v>
      </c>
      <c r="B735" s="29"/>
      <c r="C735" s="29">
        <v>36501450</v>
      </c>
      <c r="D735" s="29"/>
      <c r="F735" s="29"/>
      <c r="G735" s="29" t="s">
        <v>744</v>
      </c>
      <c r="H735" s="29" t="s">
        <v>185</v>
      </c>
      <c r="I735" s="120">
        <v>45692</v>
      </c>
      <c r="J735" s="120">
        <f>WORKDAY(I735, 3)</f>
        <v>45695</v>
      </c>
      <c r="K735" s="120">
        <v>45729</v>
      </c>
      <c r="L735" s="120"/>
      <c r="M735" s="120"/>
      <c r="N735" s="120"/>
      <c r="O735" s="119" t="s">
        <v>860</v>
      </c>
      <c r="P735" s="120"/>
      <c r="Q735" s="135"/>
      <c r="R735" s="29" t="s">
        <v>356</v>
      </c>
      <c r="S735" s="123"/>
    </row>
    <row r="736" spans="1:19">
      <c r="A736" s="29" t="s">
        <v>353</v>
      </c>
      <c r="B736" s="29"/>
      <c r="C736" s="29">
        <v>36501361</v>
      </c>
      <c r="D736" s="29"/>
      <c r="F736" s="29"/>
      <c r="G736" s="29" t="s">
        <v>744</v>
      </c>
      <c r="H736" s="29" t="s">
        <v>185</v>
      </c>
      <c r="I736" s="120">
        <v>45692</v>
      </c>
      <c r="J736" s="120">
        <f>WORKDAY(I736, 3)</f>
        <v>45695</v>
      </c>
      <c r="K736" s="120">
        <v>45729</v>
      </c>
      <c r="L736" s="120"/>
      <c r="M736" s="120"/>
      <c r="N736" s="120"/>
      <c r="O736" s="119" t="s">
        <v>860</v>
      </c>
      <c r="P736" s="120"/>
      <c r="Q736" s="135"/>
      <c r="R736" s="29" t="s">
        <v>357</v>
      </c>
      <c r="S736" s="123"/>
    </row>
    <row r="737" spans="1:19">
      <c r="A737" s="29" t="s">
        <v>353</v>
      </c>
      <c r="B737" s="29"/>
      <c r="C737" s="29">
        <v>35509604</v>
      </c>
      <c r="D737" s="29"/>
      <c r="F737" s="29"/>
      <c r="G737" s="29" t="s">
        <v>744</v>
      </c>
      <c r="H737" s="29" t="s">
        <v>185</v>
      </c>
      <c r="I737" s="120">
        <v>45692</v>
      </c>
      <c r="J737" s="120">
        <f>WORKDAY(I737, 3)</f>
        <v>45695</v>
      </c>
      <c r="K737" s="120"/>
      <c r="L737" s="120"/>
      <c r="M737" s="120"/>
      <c r="N737" s="120">
        <v>45697</v>
      </c>
      <c r="O737" s="119" t="s">
        <v>10</v>
      </c>
      <c r="P737" s="152"/>
      <c r="Q737" s="153"/>
      <c r="R737" s="29" t="s">
        <v>290</v>
      </c>
      <c r="S737" s="123"/>
    </row>
    <row r="738" spans="1:19">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c r="A771" s="29" t="s">
        <v>379</v>
      </c>
      <c r="B771" s="29"/>
      <c r="C771" s="29">
        <v>41510040</v>
      </c>
      <c r="D771" s="29"/>
      <c r="F771" s="29"/>
      <c r="G771" s="29" t="s">
        <v>744</v>
      </c>
      <c r="H771" s="29" t="s">
        <v>185</v>
      </c>
      <c r="I771" s="120">
        <v>45694</v>
      </c>
      <c r="J771" s="120">
        <f>WORKDAY(I771, 3)</f>
        <v>45699</v>
      </c>
      <c r="K771" s="120"/>
      <c r="L771" s="120"/>
      <c r="M771" s="120"/>
      <c r="N771" s="120">
        <v>45709</v>
      </c>
      <c r="O771" s="119" t="s">
        <v>10</v>
      </c>
      <c r="P771" s="152"/>
      <c r="Q771" s="153"/>
      <c r="R771" s="29" t="s">
        <v>380</v>
      </c>
      <c r="S771" s="123"/>
    </row>
    <row r="772" spans="1:19">
      <c r="A772" s="29" t="s">
        <v>379</v>
      </c>
      <c r="B772" s="29"/>
      <c r="C772" s="29">
        <v>41510026</v>
      </c>
      <c r="D772" s="29"/>
      <c r="F772" s="29"/>
      <c r="G772" s="29" t="s">
        <v>744</v>
      </c>
      <c r="H772" s="29" t="s">
        <v>185</v>
      </c>
      <c r="I772" s="120">
        <v>45694</v>
      </c>
      <c r="J772" s="120">
        <f>WORKDAY(I772, 3)</f>
        <v>45699</v>
      </c>
      <c r="K772" s="120"/>
      <c r="L772" s="120"/>
      <c r="M772" s="120"/>
      <c r="N772" s="120">
        <v>45710</v>
      </c>
      <c r="O772" s="119" t="s">
        <v>10</v>
      </c>
      <c r="P772" s="152"/>
      <c r="Q772" s="153"/>
      <c r="R772" s="29" t="s">
        <v>381</v>
      </c>
      <c r="S772" s="123"/>
    </row>
    <row r="773" spans="1:19">
      <c r="A773" s="29" t="s">
        <v>379</v>
      </c>
      <c r="B773" s="29"/>
      <c r="C773" s="29">
        <v>41510021</v>
      </c>
      <c r="D773" s="29"/>
      <c r="F773" s="29"/>
      <c r="G773" s="29" t="s">
        <v>744</v>
      </c>
      <c r="H773" s="29" t="s">
        <v>185</v>
      </c>
      <c r="I773" s="120">
        <v>45694</v>
      </c>
      <c r="J773" s="120">
        <f>WORKDAY(I773, 3)</f>
        <v>45699</v>
      </c>
      <c r="K773" s="120"/>
      <c r="L773" s="120"/>
      <c r="M773" s="120"/>
      <c r="N773" s="120">
        <v>45703</v>
      </c>
      <c r="O773" s="119" t="s">
        <v>10</v>
      </c>
      <c r="P773" s="152"/>
      <c r="Q773" s="153"/>
      <c r="R773" s="29" t="s">
        <v>382</v>
      </c>
      <c r="S773" s="123"/>
    </row>
    <row r="774" spans="1:19">
      <c r="A774" s="29" t="s">
        <v>379</v>
      </c>
      <c r="B774" s="29"/>
      <c r="C774" s="29">
        <v>41510011</v>
      </c>
      <c r="D774" s="29"/>
      <c r="F774" s="29"/>
      <c r="G774" s="29" t="s">
        <v>744</v>
      </c>
      <c r="H774" s="29" t="s">
        <v>185</v>
      </c>
      <c r="I774" s="120">
        <v>45694</v>
      </c>
      <c r="J774" s="120">
        <f>WORKDAY(I774, 3)</f>
        <v>45699</v>
      </c>
      <c r="K774" s="120"/>
      <c r="L774" s="120"/>
      <c r="M774" s="120"/>
      <c r="N774" s="120">
        <v>45710</v>
      </c>
      <c r="O774" s="119" t="s">
        <v>10</v>
      </c>
      <c r="P774" s="152"/>
      <c r="Q774" s="153"/>
      <c r="R774" s="29" t="s">
        <v>383</v>
      </c>
      <c r="S774" s="123"/>
    </row>
    <row r="775" spans="1:19">
      <c r="A775" s="29" t="s">
        <v>379</v>
      </c>
      <c r="B775" s="29"/>
      <c r="C775" s="29">
        <v>41510009</v>
      </c>
      <c r="D775" s="29"/>
      <c r="F775" s="29"/>
      <c r="G775" s="29" t="s">
        <v>744</v>
      </c>
      <c r="H775" s="29" t="s">
        <v>185</v>
      </c>
      <c r="I775" s="120">
        <v>45694</v>
      </c>
      <c r="J775" s="120">
        <f>WORKDAY(I775, 3)</f>
        <v>45699</v>
      </c>
      <c r="K775" s="120"/>
      <c r="L775" s="120"/>
      <c r="M775" s="120"/>
      <c r="N775" s="120">
        <v>45701</v>
      </c>
      <c r="O775" s="119" t="s">
        <v>10</v>
      </c>
      <c r="P775" s="152"/>
      <c r="Q775" s="153"/>
      <c r="R775" s="29" t="s">
        <v>384</v>
      </c>
      <c r="S775" s="123"/>
    </row>
    <row r="776" spans="1:19">
      <c r="A776" s="29" t="s">
        <v>379</v>
      </c>
      <c r="B776" s="29"/>
      <c r="C776" s="29">
        <v>41509998</v>
      </c>
      <c r="D776" s="29"/>
      <c r="F776" s="29"/>
      <c r="G776" s="29" t="s">
        <v>744</v>
      </c>
      <c r="H776" s="29" t="s">
        <v>185</v>
      </c>
      <c r="I776" s="120">
        <v>45694</v>
      </c>
      <c r="J776" s="120">
        <f>WORKDAY(I776, 3)</f>
        <v>45699</v>
      </c>
      <c r="K776" s="120"/>
      <c r="L776" s="120"/>
      <c r="M776" s="120"/>
      <c r="N776" s="148"/>
      <c r="O776" s="119" t="s">
        <v>850</v>
      </c>
      <c r="P776" s="148"/>
      <c r="Q776" s="154"/>
      <c r="R776" s="29" t="s">
        <v>383</v>
      </c>
      <c r="S776" s="123"/>
    </row>
    <row r="777" spans="1:19">
      <c r="A777" s="29" t="s">
        <v>379</v>
      </c>
      <c r="B777" s="29"/>
      <c r="C777" s="29">
        <v>41509965</v>
      </c>
      <c r="D777" s="29"/>
      <c r="F777" s="29"/>
      <c r="G777" s="29" t="s">
        <v>744</v>
      </c>
      <c r="H777" s="29" t="s">
        <v>185</v>
      </c>
      <c r="I777" s="120">
        <v>45694</v>
      </c>
      <c r="J777" s="120">
        <f>WORKDAY(I777, 3)</f>
        <v>45699</v>
      </c>
      <c r="K777" s="120"/>
      <c r="L777" s="120"/>
      <c r="M777" s="120"/>
      <c r="N777" s="120">
        <v>45709</v>
      </c>
      <c r="O777" s="119" t="s">
        <v>10</v>
      </c>
      <c r="P777" s="152"/>
      <c r="Q777" s="153"/>
      <c r="R777" s="29" t="s">
        <v>385</v>
      </c>
      <c r="S777" s="123"/>
    </row>
    <row r="778" spans="1:19">
      <c r="A778" s="29" t="s">
        <v>379</v>
      </c>
      <c r="B778" s="29"/>
      <c r="C778" s="29">
        <v>41509943</v>
      </c>
      <c r="D778" s="29"/>
      <c r="F778" s="29"/>
      <c r="G778" s="29" t="s">
        <v>744</v>
      </c>
      <c r="H778" s="29" t="s">
        <v>185</v>
      </c>
      <c r="I778" s="120">
        <v>45694</v>
      </c>
      <c r="J778" s="120">
        <f>WORKDAY(I778, 3)</f>
        <v>45699</v>
      </c>
      <c r="K778" s="120"/>
      <c r="L778" s="120"/>
      <c r="M778" s="120"/>
      <c r="N778" s="120">
        <v>45701</v>
      </c>
      <c r="O778" s="119" t="s">
        <v>10</v>
      </c>
      <c r="P778" s="152"/>
      <c r="Q778" s="153"/>
      <c r="R778" s="29" t="s">
        <v>386</v>
      </c>
      <c r="S778" s="123"/>
    </row>
    <row r="779" spans="1:19">
      <c r="A779" s="29" t="s">
        <v>379</v>
      </c>
      <c r="B779" s="29"/>
      <c r="C779" s="29">
        <v>41509932</v>
      </c>
      <c r="D779" s="29"/>
      <c r="F779" s="29"/>
      <c r="G779" s="29" t="s">
        <v>744</v>
      </c>
      <c r="H779" s="29" t="s">
        <v>185</v>
      </c>
      <c r="I779" s="120">
        <v>45694</v>
      </c>
      <c r="J779" s="120">
        <f>WORKDAY(I779, 3)</f>
        <v>45699</v>
      </c>
      <c r="K779" s="120"/>
      <c r="L779" s="120"/>
      <c r="M779" s="120"/>
      <c r="N779" s="120">
        <v>45706</v>
      </c>
      <c r="O779" s="119" t="s">
        <v>10</v>
      </c>
      <c r="P779" s="152"/>
      <c r="Q779" s="153"/>
      <c r="R779" s="29" t="s">
        <v>387</v>
      </c>
      <c r="S779" s="123"/>
    </row>
    <row r="780" spans="1:19">
      <c r="A780" s="29" t="s">
        <v>379</v>
      </c>
      <c r="B780" s="29"/>
      <c r="C780" s="29">
        <v>41509914</v>
      </c>
      <c r="D780" s="29"/>
      <c r="F780" s="29"/>
      <c r="G780" s="29" t="s">
        <v>744</v>
      </c>
      <c r="H780" s="29" t="s">
        <v>185</v>
      </c>
      <c r="I780" s="120">
        <v>45694</v>
      </c>
      <c r="J780" s="120">
        <f>WORKDAY(I780, 3)</f>
        <v>45699</v>
      </c>
      <c r="K780" s="120"/>
      <c r="L780" s="120"/>
      <c r="M780" s="120"/>
      <c r="N780" s="120">
        <v>45701</v>
      </c>
      <c r="O780" s="119" t="s">
        <v>10</v>
      </c>
      <c r="P780" s="152"/>
      <c r="Q780" s="153"/>
      <c r="R780" s="29" t="s">
        <v>388</v>
      </c>
      <c r="S780" s="123"/>
    </row>
    <row r="781" spans="1:19">
      <c r="A781" s="29" t="s">
        <v>379</v>
      </c>
      <c r="B781" s="29"/>
      <c r="C781" s="29">
        <v>41509898</v>
      </c>
      <c r="D781" s="29"/>
      <c r="F781" s="29"/>
      <c r="G781" s="29" t="s">
        <v>744</v>
      </c>
      <c r="H781" s="29" t="s">
        <v>185</v>
      </c>
      <c r="I781" s="120">
        <v>45694</v>
      </c>
      <c r="J781" s="120">
        <f>WORKDAY(I781, 3)</f>
        <v>45699</v>
      </c>
      <c r="K781" s="120"/>
      <c r="L781" s="120"/>
      <c r="M781" s="120"/>
      <c r="N781" s="120">
        <v>45702</v>
      </c>
      <c r="O781" s="119" t="s">
        <v>10</v>
      </c>
      <c r="P781" s="152"/>
      <c r="Q781" s="153"/>
      <c r="R781" s="29" t="s">
        <v>389</v>
      </c>
      <c r="S781" s="123"/>
    </row>
    <row r="782" spans="1:19">
      <c r="A782" s="29" t="s">
        <v>379</v>
      </c>
      <c r="B782" s="29"/>
      <c r="C782" s="29">
        <v>41509893</v>
      </c>
      <c r="D782" s="29"/>
      <c r="F782" s="29"/>
      <c r="G782" s="29" t="s">
        <v>744</v>
      </c>
      <c r="H782" s="29" t="s">
        <v>185</v>
      </c>
      <c r="I782" s="120">
        <v>45694</v>
      </c>
      <c r="J782" s="120">
        <f>WORKDAY(I782, 3)</f>
        <v>45699</v>
      </c>
      <c r="K782" s="120"/>
      <c r="L782" s="120"/>
      <c r="M782" s="120"/>
      <c r="N782" s="120">
        <v>45707</v>
      </c>
      <c r="O782" s="119" t="s">
        <v>10</v>
      </c>
      <c r="P782" s="152"/>
      <c r="Q782" s="153"/>
      <c r="R782" s="29" t="s">
        <v>390</v>
      </c>
      <c r="S782" s="123"/>
    </row>
    <row r="783" spans="1:19">
      <c r="A783" s="29" t="s">
        <v>379</v>
      </c>
      <c r="B783" s="29"/>
      <c r="C783" s="29">
        <v>41509884</v>
      </c>
      <c r="D783" s="29"/>
      <c r="F783" s="29"/>
      <c r="G783" s="29" t="s">
        <v>744</v>
      </c>
      <c r="H783" s="29" t="s">
        <v>185</v>
      </c>
      <c r="I783" s="120">
        <v>45694</v>
      </c>
      <c r="J783" s="120">
        <f>WORKDAY(I783, 3)</f>
        <v>45699</v>
      </c>
      <c r="K783" s="120">
        <v>45729</v>
      </c>
      <c r="L783" s="120"/>
      <c r="M783" s="120"/>
      <c r="N783" s="148"/>
      <c r="O783" s="119" t="s">
        <v>850</v>
      </c>
      <c r="P783" s="148"/>
      <c r="Q783" s="154"/>
      <c r="R783" s="29" t="s">
        <v>386</v>
      </c>
      <c r="S783" s="123"/>
    </row>
    <row r="784" spans="1:19">
      <c r="A784" s="29" t="s">
        <v>379</v>
      </c>
      <c r="B784" s="29"/>
      <c r="C784" s="29">
        <v>41509879</v>
      </c>
      <c r="D784" s="29"/>
      <c r="F784" s="29"/>
      <c r="G784" s="29" t="s">
        <v>744</v>
      </c>
      <c r="H784" s="29" t="s">
        <v>185</v>
      </c>
      <c r="I784" s="120">
        <v>45694</v>
      </c>
      <c r="J784" s="120">
        <f>WORKDAY(I784, 3)</f>
        <v>45699</v>
      </c>
      <c r="K784" s="120">
        <v>45729</v>
      </c>
      <c r="L784" s="120"/>
      <c r="M784" s="120"/>
      <c r="N784" s="148"/>
      <c r="O784" s="119" t="s">
        <v>850</v>
      </c>
      <c r="P784" s="148"/>
      <c r="Q784" s="154"/>
      <c r="R784" s="29" t="s">
        <v>386</v>
      </c>
      <c r="S784" s="123"/>
    </row>
    <row r="785" spans="1:19">
      <c r="A785" s="29" t="s">
        <v>379</v>
      </c>
      <c r="B785" s="29"/>
      <c r="C785" s="29">
        <v>41509833</v>
      </c>
      <c r="D785" s="29"/>
      <c r="F785" s="29"/>
      <c r="G785" s="29" t="s">
        <v>744</v>
      </c>
      <c r="H785" s="29" t="s">
        <v>185</v>
      </c>
      <c r="I785" s="120">
        <v>45694</v>
      </c>
      <c r="J785" s="120">
        <f>WORKDAY(I785, 3)</f>
        <v>45699</v>
      </c>
      <c r="K785" s="120">
        <v>45729</v>
      </c>
      <c r="L785" s="120"/>
      <c r="M785" s="120"/>
      <c r="N785" s="148"/>
      <c r="O785" s="119" t="s">
        <v>850</v>
      </c>
      <c r="P785" s="148"/>
      <c r="Q785" s="154"/>
      <c r="R785" s="29" t="s">
        <v>390</v>
      </c>
      <c r="S785" s="123"/>
    </row>
    <row r="786" spans="1:19">
      <c r="A786" s="29" t="s">
        <v>379</v>
      </c>
      <c r="B786" s="29"/>
      <c r="C786" s="29">
        <v>41509811</v>
      </c>
      <c r="D786" s="29"/>
      <c r="F786" s="29"/>
      <c r="G786" s="29" t="s">
        <v>744</v>
      </c>
      <c r="H786" s="29" t="s">
        <v>185</v>
      </c>
      <c r="I786" s="120">
        <v>45694</v>
      </c>
      <c r="J786" s="120">
        <f>WORKDAY(I786, 3)</f>
        <v>45699</v>
      </c>
      <c r="K786" s="120">
        <v>45729</v>
      </c>
      <c r="L786" s="120"/>
      <c r="M786" s="120"/>
      <c r="N786" s="148"/>
      <c r="O786" s="119" t="s">
        <v>850</v>
      </c>
      <c r="P786" s="148"/>
      <c r="Q786" s="154"/>
      <c r="R786" s="29" t="s">
        <v>389</v>
      </c>
      <c r="S786" s="123"/>
    </row>
    <row r="787" spans="1:19">
      <c r="A787" s="29" t="s">
        <v>379</v>
      </c>
      <c r="B787" s="29"/>
      <c r="C787" s="29">
        <v>41509791</v>
      </c>
      <c r="D787" s="29"/>
      <c r="F787" s="29"/>
      <c r="G787" s="29" t="s">
        <v>744</v>
      </c>
      <c r="H787" s="29" t="s">
        <v>185</v>
      </c>
      <c r="I787" s="120">
        <v>45694</v>
      </c>
      <c r="J787" s="120">
        <f>WORKDAY(I787, 3)</f>
        <v>45699</v>
      </c>
      <c r="K787" s="120">
        <v>45729</v>
      </c>
      <c r="L787" s="120"/>
      <c r="M787" s="120"/>
      <c r="N787" s="148"/>
      <c r="O787" s="119" t="s">
        <v>850</v>
      </c>
      <c r="P787" s="148"/>
      <c r="Q787" s="154"/>
      <c r="R787" s="29" t="s">
        <v>388</v>
      </c>
      <c r="S787" s="123"/>
    </row>
    <row r="788" spans="1:19">
      <c r="A788" s="29" t="s">
        <v>353</v>
      </c>
      <c r="B788" s="29"/>
      <c r="C788" s="29">
        <v>36501266</v>
      </c>
      <c r="D788" s="29"/>
      <c r="F788" s="29"/>
      <c r="G788" s="29" t="s">
        <v>744</v>
      </c>
      <c r="H788" s="29" t="s">
        <v>185</v>
      </c>
      <c r="I788" s="120">
        <v>45694</v>
      </c>
      <c r="J788" s="120">
        <f>WORKDAY(I788, 3)</f>
        <v>45699</v>
      </c>
      <c r="K788" s="120">
        <v>45729</v>
      </c>
      <c r="L788" s="120"/>
      <c r="M788" s="120"/>
      <c r="N788" s="148"/>
      <c r="O788" s="119" t="s">
        <v>850</v>
      </c>
      <c r="P788" s="148"/>
      <c r="Q788" s="154"/>
      <c r="R788" s="29" t="s">
        <v>391</v>
      </c>
      <c r="S788" s="123"/>
    </row>
    <row r="789" spans="1:19">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c r="A839" s="29" t="s">
        <v>859</v>
      </c>
      <c r="B839" s="29"/>
      <c r="C839" s="29">
        <v>36504907</v>
      </c>
      <c r="D839" s="29"/>
      <c r="F839" s="29"/>
      <c r="G839" s="29" t="s">
        <v>153</v>
      </c>
      <c r="H839" s="29" t="s">
        <v>236</v>
      </c>
      <c r="I839" s="120">
        <v>45695</v>
      </c>
      <c r="J839" s="120">
        <f>WORKDAY(I839, 3)</f>
        <v>45700</v>
      </c>
      <c r="K839" s="120"/>
      <c r="L839" s="120"/>
      <c r="M839" s="120"/>
      <c r="N839" s="120"/>
      <c r="O839" s="119" t="s">
        <v>850</v>
      </c>
      <c r="P839" s="120"/>
      <c r="Q839" s="135"/>
      <c r="R839" s="29" t="s">
        <v>863</v>
      </c>
      <c r="S839" s="123"/>
    </row>
    <row r="840" spans="1:19">
      <c r="A840" s="29" t="s">
        <v>859</v>
      </c>
      <c r="B840" s="29"/>
      <c r="C840" s="29">
        <v>36504718</v>
      </c>
      <c r="D840" s="29"/>
      <c r="F840" s="29"/>
      <c r="G840" s="29" t="s">
        <v>153</v>
      </c>
      <c r="H840" s="29" t="s">
        <v>236</v>
      </c>
      <c r="I840" s="120">
        <v>45695</v>
      </c>
      <c r="J840" s="120">
        <f>WORKDAY(I840, 3)</f>
        <v>45700</v>
      </c>
      <c r="K840" s="120"/>
      <c r="L840" s="120"/>
      <c r="M840" s="120"/>
      <c r="N840" s="120"/>
      <c r="O840" s="119" t="s">
        <v>850</v>
      </c>
      <c r="P840" s="120"/>
      <c r="Q840" s="135"/>
      <c r="R840" s="29" t="s">
        <v>864</v>
      </c>
      <c r="S840" s="123"/>
    </row>
    <row r="841" spans="1:19">
      <c r="A841" s="29" t="s">
        <v>859</v>
      </c>
      <c r="B841" s="29"/>
      <c r="C841" s="29">
        <v>36504651</v>
      </c>
      <c r="D841" s="29"/>
      <c r="F841" s="29"/>
      <c r="G841" s="29" t="s">
        <v>153</v>
      </c>
      <c r="H841" s="29" t="s">
        <v>236</v>
      </c>
      <c r="I841" s="120">
        <v>45695</v>
      </c>
      <c r="J841" s="120">
        <f>WORKDAY(I841, 3)</f>
        <v>45700</v>
      </c>
      <c r="K841" s="120"/>
      <c r="L841" s="120"/>
      <c r="M841" s="120"/>
      <c r="N841" s="120"/>
      <c r="O841" s="119" t="s">
        <v>850</v>
      </c>
      <c r="P841" s="120"/>
      <c r="Q841" s="135"/>
      <c r="R841" s="29" t="s">
        <v>864</v>
      </c>
      <c r="S841" s="123"/>
    </row>
    <row r="842" spans="1:19">
      <c r="A842" s="29" t="s">
        <v>859</v>
      </c>
      <c r="B842" s="29"/>
      <c r="C842" s="29">
        <v>36504549</v>
      </c>
      <c r="D842" s="29"/>
      <c r="F842" s="29"/>
      <c r="G842" s="29" t="s">
        <v>153</v>
      </c>
      <c r="H842" s="29" t="s">
        <v>236</v>
      </c>
      <c r="I842" s="120">
        <v>45695</v>
      </c>
      <c r="J842" s="120">
        <f>WORKDAY(I842, 3)</f>
        <v>45700</v>
      </c>
      <c r="K842" s="120"/>
      <c r="L842" s="120"/>
      <c r="M842" s="120"/>
      <c r="N842" s="120"/>
      <c r="O842" s="119" t="s">
        <v>850</v>
      </c>
      <c r="P842" s="120"/>
      <c r="Q842" s="135"/>
      <c r="R842" s="29" t="s">
        <v>831</v>
      </c>
      <c r="S842" s="123"/>
    </row>
    <row r="843" spans="1:19">
      <c r="A843" s="29" t="s">
        <v>859</v>
      </c>
      <c r="B843" s="29"/>
      <c r="C843" s="29">
        <v>36504493</v>
      </c>
      <c r="D843" s="29"/>
      <c r="F843" s="29"/>
      <c r="G843" s="29" t="s">
        <v>153</v>
      </c>
      <c r="H843" s="29" t="s">
        <v>236</v>
      </c>
      <c r="I843" s="120">
        <v>45695</v>
      </c>
      <c r="J843" s="120">
        <f>WORKDAY(I843, 3)</f>
        <v>45700</v>
      </c>
      <c r="K843" s="120"/>
      <c r="L843" s="120"/>
      <c r="M843" s="120"/>
      <c r="N843" s="120"/>
      <c r="O843" s="119" t="s">
        <v>850</v>
      </c>
      <c r="P843" s="120"/>
      <c r="Q843" s="135"/>
      <c r="R843" s="29" t="s">
        <v>865</v>
      </c>
      <c r="S843" s="123"/>
    </row>
    <row r="844" spans="1:19">
      <c r="A844" s="29" t="s">
        <v>859</v>
      </c>
      <c r="B844" s="29"/>
      <c r="C844" s="29">
        <v>36504399</v>
      </c>
      <c r="D844" s="29"/>
      <c r="F844" s="29"/>
      <c r="G844" s="29" t="s">
        <v>153</v>
      </c>
      <c r="H844" s="29" t="s">
        <v>236</v>
      </c>
      <c r="I844" s="120">
        <v>45695</v>
      </c>
      <c r="J844" s="120">
        <f>WORKDAY(I844, 3)</f>
        <v>45700</v>
      </c>
      <c r="K844" s="120"/>
      <c r="L844" s="120"/>
      <c r="M844" s="120"/>
      <c r="N844" s="120"/>
      <c r="O844" s="119" t="s">
        <v>850</v>
      </c>
      <c r="P844" s="120"/>
      <c r="Q844" s="135"/>
      <c r="R844" s="29" t="s">
        <v>866</v>
      </c>
      <c r="S844" s="123"/>
    </row>
    <row r="845" spans="1:19">
      <c r="A845" s="29" t="s">
        <v>859</v>
      </c>
      <c r="B845" s="29"/>
      <c r="C845" s="29">
        <v>36504303</v>
      </c>
      <c r="D845" s="29"/>
      <c r="F845" s="29"/>
      <c r="G845" s="29" t="s">
        <v>153</v>
      </c>
      <c r="H845" s="29" t="s">
        <v>236</v>
      </c>
      <c r="I845" s="120">
        <v>45695</v>
      </c>
      <c r="J845" s="120">
        <f>WORKDAY(I845, 3)</f>
        <v>45700</v>
      </c>
      <c r="K845" s="120"/>
      <c r="L845" s="120"/>
      <c r="M845" s="120"/>
      <c r="N845" s="120"/>
      <c r="O845" s="119" t="s">
        <v>850</v>
      </c>
      <c r="P845" s="120"/>
      <c r="Q845" s="135"/>
      <c r="R845" s="29" t="s">
        <v>867</v>
      </c>
      <c r="S845" s="123"/>
    </row>
    <row r="846" spans="1:19">
      <c r="A846" s="29" t="s">
        <v>859</v>
      </c>
      <c r="B846" s="29"/>
      <c r="C846" s="29">
        <v>36504194</v>
      </c>
      <c r="D846" s="29"/>
      <c r="F846" s="29"/>
      <c r="G846" s="29" t="s">
        <v>153</v>
      </c>
      <c r="H846" s="29" t="s">
        <v>236</v>
      </c>
      <c r="I846" s="120">
        <v>45695</v>
      </c>
      <c r="J846" s="120">
        <f>WORKDAY(I846, 3)</f>
        <v>45700</v>
      </c>
      <c r="K846" s="120"/>
      <c r="L846" s="120"/>
      <c r="M846" s="120"/>
      <c r="N846" s="120"/>
      <c r="O846" s="119" t="s">
        <v>850</v>
      </c>
      <c r="P846" s="120"/>
      <c r="Q846" s="135"/>
      <c r="R846" s="29" t="s">
        <v>823</v>
      </c>
      <c r="S846" s="123"/>
    </row>
    <row r="847" spans="1:19">
      <c r="A847" s="29" t="s">
        <v>859</v>
      </c>
      <c r="B847" s="29"/>
      <c r="C847" s="29">
        <v>36504135</v>
      </c>
      <c r="D847" s="29"/>
      <c r="F847" s="29"/>
      <c r="G847" s="29" t="s">
        <v>153</v>
      </c>
      <c r="H847" s="29" t="s">
        <v>236</v>
      </c>
      <c r="I847" s="120">
        <v>45695</v>
      </c>
      <c r="J847" s="120">
        <f>WORKDAY(I847, 3)</f>
        <v>45700</v>
      </c>
      <c r="K847" s="120"/>
      <c r="L847" s="120"/>
      <c r="M847" s="120"/>
      <c r="N847" s="120"/>
      <c r="O847" s="119" t="s">
        <v>850</v>
      </c>
      <c r="P847" s="120"/>
      <c r="Q847" s="135"/>
      <c r="R847" s="29" t="s">
        <v>824</v>
      </c>
      <c r="S847" s="123"/>
    </row>
    <row r="848" spans="1:19">
      <c r="A848" s="29" t="s">
        <v>859</v>
      </c>
      <c r="B848" s="29"/>
      <c r="C848" s="29">
        <v>36504066</v>
      </c>
      <c r="D848" s="29"/>
      <c r="F848" s="29"/>
      <c r="G848" s="29" t="s">
        <v>153</v>
      </c>
      <c r="H848" s="29" t="s">
        <v>236</v>
      </c>
      <c r="I848" s="120">
        <v>45695</v>
      </c>
      <c r="J848" s="120">
        <f>WORKDAY(I848, 3)</f>
        <v>45700</v>
      </c>
      <c r="K848" s="120"/>
      <c r="L848" s="120"/>
      <c r="M848" s="120"/>
      <c r="N848" s="120"/>
      <c r="O848" s="119" t="s">
        <v>850</v>
      </c>
      <c r="P848" s="120"/>
      <c r="Q848" s="135"/>
      <c r="R848" s="29" t="s">
        <v>824</v>
      </c>
      <c r="S848" s="123"/>
    </row>
    <row r="849" spans="1:19">
      <c r="A849" s="29" t="s">
        <v>859</v>
      </c>
      <c r="B849" s="29"/>
      <c r="C849" s="29">
        <v>36503985</v>
      </c>
      <c r="D849" s="29"/>
      <c r="F849" s="29"/>
      <c r="G849" s="29" t="s">
        <v>153</v>
      </c>
      <c r="H849" s="29" t="s">
        <v>236</v>
      </c>
      <c r="I849" s="120">
        <v>45695</v>
      </c>
      <c r="J849" s="120">
        <f>WORKDAY(I849, 3)</f>
        <v>45700</v>
      </c>
      <c r="K849" s="120"/>
      <c r="L849" s="120"/>
      <c r="M849" s="120"/>
      <c r="N849" s="120"/>
      <c r="O849" s="119" t="s">
        <v>850</v>
      </c>
      <c r="P849" s="120"/>
      <c r="Q849" s="135"/>
      <c r="R849" s="29" t="s">
        <v>825</v>
      </c>
      <c r="S849" s="123"/>
    </row>
    <row r="850" spans="1:19">
      <c r="A850" s="29" t="s">
        <v>859</v>
      </c>
      <c r="B850" s="29"/>
      <c r="C850" s="29">
        <v>36503232</v>
      </c>
      <c r="D850" s="29"/>
      <c r="F850" s="29"/>
      <c r="G850" s="29" t="s">
        <v>153</v>
      </c>
      <c r="H850" s="29" t="s">
        <v>236</v>
      </c>
      <c r="I850" s="120">
        <v>45695</v>
      </c>
      <c r="J850" s="120">
        <f>WORKDAY(I850, 3)</f>
        <v>45700</v>
      </c>
      <c r="K850" s="120"/>
      <c r="L850" s="120"/>
      <c r="M850" s="120"/>
      <c r="N850" s="120"/>
      <c r="O850" s="119" t="s">
        <v>850</v>
      </c>
      <c r="P850" s="120"/>
      <c r="Q850" s="135"/>
      <c r="R850" s="29" t="s">
        <v>868</v>
      </c>
      <c r="S850" s="123"/>
    </row>
    <row r="851" spans="1:19">
      <c r="A851" s="29" t="s">
        <v>859</v>
      </c>
      <c r="B851" s="29"/>
      <c r="C851" s="29">
        <v>36503199</v>
      </c>
      <c r="D851" s="29"/>
      <c r="F851" s="29"/>
      <c r="G851" s="29" t="s">
        <v>153</v>
      </c>
      <c r="H851" s="29" t="s">
        <v>236</v>
      </c>
      <c r="I851" s="120">
        <v>45695</v>
      </c>
      <c r="J851" s="120">
        <f>WORKDAY(I851, 3)</f>
        <v>45700</v>
      </c>
      <c r="K851" s="120"/>
      <c r="L851" s="120"/>
      <c r="M851" s="120"/>
      <c r="N851" s="120"/>
      <c r="O851" s="119" t="s">
        <v>850</v>
      </c>
      <c r="P851" s="120"/>
      <c r="Q851" s="135"/>
      <c r="R851" s="29" t="s">
        <v>869</v>
      </c>
      <c r="S851" s="123"/>
    </row>
    <row r="852" spans="1:19">
      <c r="A852" s="29" t="s">
        <v>859</v>
      </c>
      <c r="B852" s="29"/>
      <c r="C852" s="29">
        <v>36503116</v>
      </c>
      <c r="D852" s="29"/>
      <c r="F852" s="29"/>
      <c r="G852" s="29" t="s">
        <v>153</v>
      </c>
      <c r="H852" s="29" t="s">
        <v>236</v>
      </c>
      <c r="I852" s="120">
        <v>45695</v>
      </c>
      <c r="J852" s="120">
        <f>WORKDAY(I852, 3)</f>
        <v>45700</v>
      </c>
      <c r="K852" s="120"/>
      <c r="L852" s="120"/>
      <c r="M852" s="120"/>
      <c r="N852" s="120"/>
      <c r="O852" s="119" t="s">
        <v>850</v>
      </c>
      <c r="P852" s="120"/>
      <c r="Q852" s="135"/>
      <c r="R852" s="29" t="s">
        <v>870</v>
      </c>
      <c r="S852" s="123"/>
    </row>
    <row r="853" spans="1:19">
      <c r="A853" s="29" t="s">
        <v>859</v>
      </c>
      <c r="B853" s="29"/>
      <c r="C853" s="29">
        <v>36503061</v>
      </c>
      <c r="D853" s="29"/>
      <c r="F853" s="29"/>
      <c r="G853" s="29" t="s">
        <v>153</v>
      </c>
      <c r="H853" s="29" t="s">
        <v>236</v>
      </c>
      <c r="I853" s="120">
        <v>45695</v>
      </c>
      <c r="J853" s="120">
        <f>WORKDAY(I853, 3)</f>
        <v>45700</v>
      </c>
      <c r="K853" s="120"/>
      <c r="L853" s="120"/>
      <c r="M853" s="120"/>
      <c r="N853" s="120"/>
      <c r="O853" s="119" t="s">
        <v>850</v>
      </c>
      <c r="P853" s="120"/>
      <c r="Q853" s="135"/>
      <c r="R853" s="29" t="s">
        <v>871</v>
      </c>
      <c r="S853" s="123"/>
    </row>
    <row r="854" spans="1:19">
      <c r="A854" s="29" t="s">
        <v>859</v>
      </c>
      <c r="B854" s="29"/>
      <c r="C854" s="29">
        <v>36502983</v>
      </c>
      <c r="D854" s="29"/>
      <c r="F854" s="29"/>
      <c r="G854" s="29" t="s">
        <v>153</v>
      </c>
      <c r="H854" s="29" t="s">
        <v>236</v>
      </c>
      <c r="I854" s="120">
        <v>45695</v>
      </c>
      <c r="J854" s="120">
        <f>WORKDAY(I854, 3)</f>
        <v>45700</v>
      </c>
      <c r="K854" s="120"/>
      <c r="L854" s="120"/>
      <c r="M854" s="120"/>
      <c r="N854" s="120"/>
      <c r="O854" s="119" t="s">
        <v>850</v>
      </c>
      <c r="P854" s="120"/>
      <c r="Q854" s="135"/>
      <c r="R854" s="29" t="s">
        <v>872</v>
      </c>
      <c r="S854" s="123"/>
    </row>
    <row r="855" spans="1:19">
      <c r="A855" s="29" t="s">
        <v>859</v>
      </c>
      <c r="B855" s="29"/>
      <c r="C855" s="29">
        <v>36502894</v>
      </c>
      <c r="D855" s="29"/>
      <c r="F855" s="29"/>
      <c r="G855" s="29" t="s">
        <v>153</v>
      </c>
      <c r="H855" s="29" t="s">
        <v>236</v>
      </c>
      <c r="I855" s="120">
        <v>45695</v>
      </c>
      <c r="J855" s="120">
        <f>WORKDAY(I855, 3)</f>
        <v>45700</v>
      </c>
      <c r="K855" s="120"/>
      <c r="L855" s="120"/>
      <c r="M855" s="120"/>
      <c r="N855" s="120"/>
      <c r="O855" s="119" t="s">
        <v>850</v>
      </c>
      <c r="P855" s="120"/>
      <c r="Q855" s="135"/>
      <c r="R855" s="29" t="s">
        <v>873</v>
      </c>
      <c r="S855" s="123"/>
    </row>
    <row r="856" spans="1:19">
      <c r="A856" s="29" t="s">
        <v>859</v>
      </c>
      <c r="B856" s="29"/>
      <c r="C856" s="29">
        <v>36502627</v>
      </c>
      <c r="D856" s="29"/>
      <c r="F856" s="29"/>
      <c r="G856" s="29" t="s">
        <v>153</v>
      </c>
      <c r="H856" s="29" t="s">
        <v>236</v>
      </c>
      <c r="I856" s="120">
        <v>45695</v>
      </c>
      <c r="J856" s="120">
        <f>WORKDAY(I856, 3)</f>
        <v>45700</v>
      </c>
      <c r="K856" s="120"/>
      <c r="L856" s="120"/>
      <c r="M856" s="120"/>
      <c r="N856" s="120"/>
      <c r="O856" s="119" t="s">
        <v>850</v>
      </c>
      <c r="P856" s="120"/>
      <c r="Q856" s="135"/>
      <c r="R856" s="29" t="s">
        <v>874</v>
      </c>
      <c r="S856" s="123"/>
    </row>
    <row r="857" spans="1:19">
      <c r="A857" s="29" t="s">
        <v>859</v>
      </c>
      <c r="B857" s="29"/>
      <c r="C857" s="29">
        <v>36502464</v>
      </c>
      <c r="D857" s="29"/>
      <c r="F857" s="29"/>
      <c r="G857" s="29" t="s">
        <v>153</v>
      </c>
      <c r="H857" s="29" t="s">
        <v>236</v>
      </c>
      <c r="I857" s="120">
        <v>45695</v>
      </c>
      <c r="J857" s="120">
        <f>WORKDAY(I857, 3)</f>
        <v>45700</v>
      </c>
      <c r="K857" s="120"/>
      <c r="L857" s="120"/>
      <c r="M857" s="120"/>
      <c r="N857" s="120"/>
      <c r="O857" s="119" t="s">
        <v>850</v>
      </c>
      <c r="P857" s="120"/>
      <c r="Q857" s="135"/>
      <c r="R857" s="29" t="s">
        <v>875</v>
      </c>
      <c r="S857" s="123"/>
    </row>
    <row r="858" spans="1:19">
      <c r="A858" s="29" t="s">
        <v>859</v>
      </c>
      <c r="B858" s="29"/>
      <c r="C858" s="29">
        <v>36502169</v>
      </c>
      <c r="D858" s="29"/>
      <c r="F858" s="29"/>
      <c r="G858" s="29" t="s">
        <v>153</v>
      </c>
      <c r="H858" s="29" t="s">
        <v>236</v>
      </c>
      <c r="I858" s="120">
        <v>45695</v>
      </c>
      <c r="J858" s="120">
        <f>WORKDAY(I858, 3)</f>
        <v>45700</v>
      </c>
      <c r="K858" s="120"/>
      <c r="L858" s="120"/>
      <c r="M858" s="120"/>
      <c r="N858" s="120"/>
      <c r="O858" s="119" t="s">
        <v>850</v>
      </c>
      <c r="P858" s="120"/>
      <c r="Q858" s="135"/>
      <c r="R858" s="29" t="s">
        <v>876</v>
      </c>
      <c r="S858" s="123"/>
    </row>
    <row r="859" spans="1:19">
      <c r="A859" s="29" t="s">
        <v>859</v>
      </c>
      <c r="B859" s="29"/>
      <c r="C859" s="29">
        <v>36501980</v>
      </c>
      <c r="D859" s="29"/>
      <c r="F859" s="29"/>
      <c r="G859" s="29" t="s">
        <v>153</v>
      </c>
      <c r="H859" s="29" t="s">
        <v>236</v>
      </c>
      <c r="I859" s="120">
        <v>45695</v>
      </c>
      <c r="J859" s="120">
        <f>WORKDAY(I859, 3)</f>
        <v>45700</v>
      </c>
      <c r="K859" s="120"/>
      <c r="L859" s="120"/>
      <c r="M859" s="120"/>
      <c r="N859" s="120"/>
      <c r="O859" s="119" t="s">
        <v>850</v>
      </c>
      <c r="P859" s="120"/>
      <c r="Q859" s="135"/>
      <c r="R859" s="29" t="s">
        <v>877</v>
      </c>
      <c r="S859" s="123"/>
    </row>
    <row r="860" spans="1:19">
      <c r="A860" s="29" t="s">
        <v>859</v>
      </c>
      <c r="B860" s="29"/>
      <c r="C860" s="29">
        <v>36501811</v>
      </c>
      <c r="D860" s="29"/>
      <c r="F860" s="29"/>
      <c r="G860" s="29" t="s">
        <v>153</v>
      </c>
      <c r="H860" s="29" t="s">
        <v>236</v>
      </c>
      <c r="I860" s="120">
        <v>45695</v>
      </c>
      <c r="J860" s="120">
        <f>WORKDAY(I860, 3)</f>
        <v>45700</v>
      </c>
      <c r="K860" s="120"/>
      <c r="L860" s="120"/>
      <c r="M860" s="120"/>
      <c r="N860" s="120"/>
      <c r="O860" s="119" t="s">
        <v>850</v>
      </c>
      <c r="P860" s="120"/>
      <c r="Q860" s="135"/>
      <c r="R860" s="29" t="s">
        <v>878</v>
      </c>
      <c r="S860" s="123"/>
    </row>
    <row r="861" spans="1:19">
      <c r="A861" s="29" t="s">
        <v>859</v>
      </c>
      <c r="B861" s="29"/>
      <c r="C861" s="29">
        <v>36501705</v>
      </c>
      <c r="D861" s="29"/>
      <c r="F861" s="29"/>
      <c r="G861" s="29" t="s">
        <v>153</v>
      </c>
      <c r="H861" s="29" t="s">
        <v>236</v>
      </c>
      <c r="I861" s="120">
        <v>45695</v>
      </c>
      <c r="J861" s="120">
        <f>WORKDAY(I861, 3)</f>
        <v>45700</v>
      </c>
      <c r="K861" s="120"/>
      <c r="L861" s="120"/>
      <c r="M861" s="120"/>
      <c r="N861" s="120"/>
      <c r="O861" s="119" t="s">
        <v>850</v>
      </c>
      <c r="P861" s="120"/>
      <c r="Q861" s="135"/>
      <c r="R861" s="29" t="s">
        <v>879</v>
      </c>
      <c r="S861" s="123"/>
    </row>
    <row r="862" spans="1:19">
      <c r="A862" s="29" t="s">
        <v>859</v>
      </c>
      <c r="B862" s="29"/>
      <c r="C862" s="29">
        <v>36501290</v>
      </c>
      <c r="D862" s="29"/>
      <c r="F862" s="29"/>
      <c r="G862" s="29" t="s">
        <v>153</v>
      </c>
      <c r="H862" s="29" t="s">
        <v>236</v>
      </c>
      <c r="I862" s="120">
        <v>45695</v>
      </c>
      <c r="J862" s="120">
        <f>WORKDAY(I862, 3)</f>
        <v>45700</v>
      </c>
      <c r="K862" s="120"/>
      <c r="L862" s="120"/>
      <c r="M862" s="120"/>
      <c r="N862" s="120"/>
      <c r="O862" s="119" t="s">
        <v>850</v>
      </c>
      <c r="P862" s="120"/>
      <c r="Q862" s="135"/>
      <c r="R862" s="29" t="s">
        <v>880</v>
      </c>
      <c r="S862" s="123"/>
    </row>
    <row r="863" spans="1:19">
      <c r="A863" s="29" t="s">
        <v>859</v>
      </c>
      <c r="B863" s="29"/>
      <c r="C863" s="29">
        <v>36501232</v>
      </c>
      <c r="D863" s="29"/>
      <c r="F863" s="29"/>
      <c r="G863" s="29" t="s">
        <v>153</v>
      </c>
      <c r="H863" s="29" t="s">
        <v>236</v>
      </c>
      <c r="I863" s="120">
        <v>45695</v>
      </c>
      <c r="J863" s="120">
        <f>WORKDAY(I863, 3)</f>
        <v>45700</v>
      </c>
      <c r="K863" s="120"/>
      <c r="L863" s="120"/>
      <c r="M863" s="120"/>
      <c r="N863" s="120"/>
      <c r="O863" s="119" t="s">
        <v>850</v>
      </c>
      <c r="P863" s="120"/>
      <c r="Q863" s="135"/>
      <c r="R863" s="29" t="s">
        <v>881</v>
      </c>
      <c r="S863" s="123"/>
    </row>
    <row r="864" spans="1:19">
      <c r="A864" s="29" t="s">
        <v>859</v>
      </c>
      <c r="B864" s="29"/>
      <c r="C864" s="29">
        <v>36501131</v>
      </c>
      <c r="D864" s="29"/>
      <c r="F864" s="29"/>
      <c r="G864" s="29" t="s">
        <v>153</v>
      </c>
      <c r="H864" s="29" t="s">
        <v>236</v>
      </c>
      <c r="I864" s="120">
        <v>45695</v>
      </c>
      <c r="J864" s="120">
        <f>WORKDAY(I864, 3)</f>
        <v>45700</v>
      </c>
      <c r="K864" s="120"/>
      <c r="L864" s="120"/>
      <c r="M864" s="120"/>
      <c r="N864" s="120"/>
      <c r="O864" s="119" t="s">
        <v>850</v>
      </c>
      <c r="P864" s="120"/>
      <c r="Q864" s="135"/>
      <c r="R864" s="29" t="s">
        <v>880</v>
      </c>
      <c r="S864" s="123"/>
    </row>
    <row r="865" spans="1:19">
      <c r="A865" s="29" t="s">
        <v>859</v>
      </c>
      <c r="B865" s="29"/>
      <c r="C865" s="29">
        <v>36501011</v>
      </c>
      <c r="D865" s="29"/>
      <c r="F865" s="29"/>
      <c r="G865" s="29" t="s">
        <v>153</v>
      </c>
      <c r="H865" s="29" t="s">
        <v>236</v>
      </c>
      <c r="I865" s="120">
        <v>45695</v>
      </c>
      <c r="J865" s="120">
        <f>WORKDAY(I865, 3)</f>
        <v>45700</v>
      </c>
      <c r="K865" s="120"/>
      <c r="L865" s="120"/>
      <c r="M865" s="120"/>
      <c r="N865" s="120"/>
      <c r="O865" s="119" t="s">
        <v>850</v>
      </c>
      <c r="P865" s="120"/>
      <c r="Q865" s="135"/>
      <c r="R865" s="29" t="s">
        <v>825</v>
      </c>
      <c r="S865" s="123"/>
    </row>
    <row r="866" spans="1:19">
      <c r="A866" s="29" t="s">
        <v>859</v>
      </c>
      <c r="B866" s="29"/>
      <c r="C866" s="29">
        <v>36504907</v>
      </c>
      <c r="D866" s="29"/>
      <c r="F866" s="29"/>
      <c r="G866" s="29" t="s">
        <v>153</v>
      </c>
      <c r="H866" s="29" t="s">
        <v>236</v>
      </c>
      <c r="I866" s="120">
        <v>45695</v>
      </c>
      <c r="J866" s="120">
        <f>WORKDAY(I866, 3)</f>
        <v>45700</v>
      </c>
      <c r="K866" s="120"/>
      <c r="L866" s="120"/>
      <c r="M866" s="120"/>
      <c r="N866" s="120"/>
      <c r="O866" s="119" t="s">
        <v>850</v>
      </c>
      <c r="P866" s="120"/>
      <c r="Q866" s="135"/>
      <c r="R866" s="29" t="s">
        <v>863</v>
      </c>
      <c r="S866" s="123"/>
    </row>
    <row r="867" spans="1:19">
      <c r="A867" s="29" t="s">
        <v>859</v>
      </c>
      <c r="B867" s="29"/>
      <c r="C867" s="29">
        <v>36504718</v>
      </c>
      <c r="D867" s="29"/>
      <c r="F867" s="29"/>
      <c r="G867" s="29" t="s">
        <v>153</v>
      </c>
      <c r="H867" s="29" t="s">
        <v>236</v>
      </c>
      <c r="I867" s="120">
        <v>45695</v>
      </c>
      <c r="J867" s="120">
        <f>WORKDAY(I867, 3)</f>
        <v>45700</v>
      </c>
      <c r="K867" s="120"/>
      <c r="L867" s="120"/>
      <c r="M867" s="120"/>
      <c r="N867" s="120"/>
      <c r="O867" s="119" t="s">
        <v>850</v>
      </c>
      <c r="P867" s="120"/>
      <c r="Q867" s="135"/>
      <c r="R867" s="29" t="s">
        <v>864</v>
      </c>
      <c r="S867" s="123"/>
    </row>
    <row r="868" spans="1:19">
      <c r="A868" s="29" t="s">
        <v>859</v>
      </c>
      <c r="B868" s="29"/>
      <c r="C868" s="29">
        <v>36504651</v>
      </c>
      <c r="D868" s="29"/>
      <c r="F868" s="29"/>
      <c r="G868" s="29" t="s">
        <v>153</v>
      </c>
      <c r="H868" s="29" t="s">
        <v>236</v>
      </c>
      <c r="I868" s="120">
        <v>45695</v>
      </c>
      <c r="J868" s="120">
        <f>WORKDAY(I868, 3)</f>
        <v>45700</v>
      </c>
      <c r="K868" s="120"/>
      <c r="L868" s="120"/>
      <c r="M868" s="120"/>
      <c r="N868" s="120"/>
      <c r="O868" s="119" t="s">
        <v>850</v>
      </c>
      <c r="P868" s="120"/>
      <c r="Q868" s="135"/>
      <c r="R868" s="29" t="s">
        <v>864</v>
      </c>
      <c r="S868" s="123"/>
    </row>
    <row r="869" spans="1:19">
      <c r="A869" s="29" t="s">
        <v>859</v>
      </c>
      <c r="B869" s="29"/>
      <c r="C869" s="29">
        <v>36504549</v>
      </c>
      <c r="D869" s="29"/>
      <c r="F869" s="29"/>
      <c r="G869" s="29" t="s">
        <v>153</v>
      </c>
      <c r="H869" s="29" t="s">
        <v>236</v>
      </c>
      <c r="I869" s="120">
        <v>45695</v>
      </c>
      <c r="J869" s="120">
        <f>WORKDAY(I869, 3)</f>
        <v>45700</v>
      </c>
      <c r="K869" s="120"/>
      <c r="L869" s="120"/>
      <c r="M869" s="120"/>
      <c r="N869" s="120"/>
      <c r="O869" s="119" t="s">
        <v>850</v>
      </c>
      <c r="P869" s="120"/>
      <c r="Q869" s="135"/>
      <c r="R869" s="29" t="s">
        <v>831</v>
      </c>
      <c r="S869" s="123"/>
    </row>
    <row r="870" spans="1:19">
      <c r="A870" s="29" t="s">
        <v>859</v>
      </c>
      <c r="B870" s="29"/>
      <c r="C870" s="29">
        <v>36504493</v>
      </c>
      <c r="D870" s="29"/>
      <c r="F870" s="29"/>
      <c r="G870" s="29" t="s">
        <v>153</v>
      </c>
      <c r="H870" s="29" t="s">
        <v>236</v>
      </c>
      <c r="I870" s="120">
        <v>45695</v>
      </c>
      <c r="J870" s="120">
        <f>WORKDAY(I870, 3)</f>
        <v>45700</v>
      </c>
      <c r="K870" s="120"/>
      <c r="L870" s="120"/>
      <c r="M870" s="120"/>
      <c r="N870" s="120"/>
      <c r="O870" s="119" t="s">
        <v>850</v>
      </c>
      <c r="P870" s="120"/>
      <c r="Q870" s="135"/>
      <c r="R870" s="29" t="s">
        <v>865</v>
      </c>
      <c r="S870" s="123"/>
    </row>
    <row r="871" spans="1:19">
      <c r="A871" s="29" t="s">
        <v>859</v>
      </c>
      <c r="B871" s="29"/>
      <c r="C871" s="29">
        <v>36504399</v>
      </c>
      <c r="D871" s="29"/>
      <c r="F871" s="29"/>
      <c r="G871" s="29" t="s">
        <v>153</v>
      </c>
      <c r="H871" s="29" t="s">
        <v>236</v>
      </c>
      <c r="I871" s="120">
        <v>45695</v>
      </c>
      <c r="J871" s="120">
        <f>WORKDAY(I871, 3)</f>
        <v>45700</v>
      </c>
      <c r="K871" s="120"/>
      <c r="L871" s="120"/>
      <c r="M871" s="120"/>
      <c r="N871" s="120"/>
      <c r="O871" s="119" t="s">
        <v>850</v>
      </c>
      <c r="P871" s="120"/>
      <c r="Q871" s="135"/>
      <c r="R871" s="29" t="s">
        <v>866</v>
      </c>
      <c r="S871" s="123"/>
    </row>
    <row r="872" spans="1:19">
      <c r="A872" s="29" t="s">
        <v>859</v>
      </c>
      <c r="B872" s="29"/>
      <c r="C872" s="29">
        <v>36504194</v>
      </c>
      <c r="D872" s="29"/>
      <c r="F872" s="29"/>
      <c r="G872" s="29" t="s">
        <v>153</v>
      </c>
      <c r="H872" s="29" t="s">
        <v>236</v>
      </c>
      <c r="I872" s="120">
        <v>45695</v>
      </c>
      <c r="J872" s="120">
        <f>WORKDAY(I872, 3)</f>
        <v>45700</v>
      </c>
      <c r="K872" s="120"/>
      <c r="L872" s="120"/>
      <c r="M872" s="120"/>
      <c r="N872" s="120"/>
      <c r="O872" s="119" t="s">
        <v>850</v>
      </c>
      <c r="P872" s="120"/>
      <c r="Q872" s="135"/>
      <c r="R872" s="29" t="s">
        <v>823</v>
      </c>
      <c r="S872" s="123"/>
    </row>
    <row r="873" spans="1:19">
      <c r="A873" s="29" t="s">
        <v>859</v>
      </c>
      <c r="B873" s="29"/>
      <c r="C873" s="29">
        <v>36504135</v>
      </c>
      <c r="D873" s="29"/>
      <c r="F873" s="29"/>
      <c r="G873" s="29" t="s">
        <v>153</v>
      </c>
      <c r="H873" s="29" t="s">
        <v>236</v>
      </c>
      <c r="I873" s="120">
        <v>45695</v>
      </c>
      <c r="J873" s="120">
        <f>WORKDAY(I873, 3)</f>
        <v>45700</v>
      </c>
      <c r="K873" s="120"/>
      <c r="L873" s="120"/>
      <c r="M873" s="120"/>
      <c r="N873" s="120"/>
      <c r="O873" s="119" t="s">
        <v>850</v>
      </c>
      <c r="P873" s="120"/>
      <c r="Q873" s="135"/>
      <c r="R873" s="29" t="s">
        <v>824</v>
      </c>
      <c r="S873" s="123"/>
    </row>
    <row r="874" spans="1:19">
      <c r="A874" s="29" t="s">
        <v>859</v>
      </c>
      <c r="B874" s="29"/>
      <c r="C874" s="29">
        <v>36504066</v>
      </c>
      <c r="D874" s="29"/>
      <c r="F874" s="29"/>
      <c r="G874" s="29" t="s">
        <v>153</v>
      </c>
      <c r="H874" s="29" t="s">
        <v>236</v>
      </c>
      <c r="I874" s="120">
        <v>45695</v>
      </c>
      <c r="J874" s="120">
        <f>WORKDAY(I874, 3)</f>
        <v>45700</v>
      </c>
      <c r="K874" s="120"/>
      <c r="L874" s="120"/>
      <c r="M874" s="120"/>
      <c r="N874" s="120"/>
      <c r="O874" s="119" t="s">
        <v>850</v>
      </c>
      <c r="P874" s="120"/>
      <c r="Q874" s="135"/>
      <c r="R874" s="29" t="s">
        <v>824</v>
      </c>
      <c r="S874" s="123"/>
    </row>
    <row r="875" spans="1:19">
      <c r="A875" s="29" t="s">
        <v>859</v>
      </c>
      <c r="B875" s="29"/>
      <c r="C875" s="29">
        <v>36503985</v>
      </c>
      <c r="D875" s="29"/>
      <c r="F875" s="29"/>
      <c r="G875" s="29" t="s">
        <v>153</v>
      </c>
      <c r="H875" s="29" t="s">
        <v>236</v>
      </c>
      <c r="I875" s="120">
        <v>45695</v>
      </c>
      <c r="J875" s="120">
        <f>WORKDAY(I875, 3)</f>
        <v>45700</v>
      </c>
      <c r="K875" s="120"/>
      <c r="L875" s="120"/>
      <c r="M875" s="120"/>
      <c r="N875" s="120"/>
      <c r="O875" s="119" t="s">
        <v>850</v>
      </c>
      <c r="P875" s="120"/>
      <c r="Q875" s="135"/>
      <c r="R875" s="29" t="s">
        <v>825</v>
      </c>
      <c r="S875" s="123"/>
    </row>
    <row r="876" spans="1:19">
      <c r="A876" s="29" t="s">
        <v>859</v>
      </c>
      <c r="B876" s="29"/>
      <c r="C876" s="29">
        <v>36503232</v>
      </c>
      <c r="D876" s="29"/>
      <c r="F876" s="29"/>
      <c r="G876" s="29" t="s">
        <v>153</v>
      </c>
      <c r="H876" s="29" t="s">
        <v>236</v>
      </c>
      <c r="I876" s="120">
        <v>45695</v>
      </c>
      <c r="J876" s="120">
        <f>WORKDAY(I876, 3)</f>
        <v>45700</v>
      </c>
      <c r="K876" s="120"/>
      <c r="L876" s="120"/>
      <c r="M876" s="120"/>
      <c r="N876" s="120"/>
      <c r="O876" s="119" t="s">
        <v>850</v>
      </c>
      <c r="P876" s="120"/>
      <c r="Q876" s="135"/>
      <c r="R876" s="29" t="s">
        <v>868</v>
      </c>
      <c r="S876" s="123"/>
    </row>
    <row r="877" spans="1:19">
      <c r="A877" s="29" t="s">
        <v>859</v>
      </c>
      <c r="B877" s="29"/>
      <c r="C877" s="29">
        <v>36503199</v>
      </c>
      <c r="D877" s="29"/>
      <c r="F877" s="29"/>
      <c r="G877" s="29" t="s">
        <v>153</v>
      </c>
      <c r="H877" s="29" t="s">
        <v>236</v>
      </c>
      <c r="I877" s="120">
        <v>45695</v>
      </c>
      <c r="J877" s="120">
        <f>WORKDAY(I877, 3)</f>
        <v>45700</v>
      </c>
      <c r="K877" s="120"/>
      <c r="L877" s="120"/>
      <c r="M877" s="120"/>
      <c r="N877" s="120"/>
      <c r="O877" s="119" t="s">
        <v>850</v>
      </c>
      <c r="P877" s="120"/>
      <c r="Q877" s="135"/>
      <c r="R877" s="29" t="s">
        <v>869</v>
      </c>
      <c r="S877" s="123"/>
    </row>
    <row r="878" spans="1:19">
      <c r="A878" s="29" t="s">
        <v>859</v>
      </c>
      <c r="B878" s="29"/>
      <c r="C878" s="29">
        <v>36503116</v>
      </c>
      <c r="D878" s="29"/>
      <c r="F878" s="29"/>
      <c r="G878" s="29" t="s">
        <v>153</v>
      </c>
      <c r="H878" s="29" t="s">
        <v>236</v>
      </c>
      <c r="I878" s="120">
        <v>45695</v>
      </c>
      <c r="J878" s="120">
        <f>WORKDAY(I878, 3)</f>
        <v>45700</v>
      </c>
      <c r="K878" s="120"/>
      <c r="L878" s="120"/>
      <c r="M878" s="120"/>
      <c r="N878" s="120"/>
      <c r="O878" s="119" t="s">
        <v>850</v>
      </c>
      <c r="P878" s="120"/>
      <c r="Q878" s="135"/>
      <c r="R878" s="29" t="s">
        <v>870</v>
      </c>
      <c r="S878" s="123"/>
    </row>
    <row r="879" spans="1:19">
      <c r="A879" s="29" t="s">
        <v>859</v>
      </c>
      <c r="B879" s="29"/>
      <c r="C879" s="29">
        <v>36503061</v>
      </c>
      <c r="D879" s="29"/>
      <c r="F879" s="29"/>
      <c r="G879" s="29" t="s">
        <v>153</v>
      </c>
      <c r="H879" s="29" t="s">
        <v>236</v>
      </c>
      <c r="I879" s="120">
        <v>45695</v>
      </c>
      <c r="J879" s="120">
        <f>WORKDAY(I879, 3)</f>
        <v>45700</v>
      </c>
      <c r="K879" s="120"/>
      <c r="L879" s="120"/>
      <c r="M879" s="120"/>
      <c r="N879" s="120"/>
      <c r="O879" s="119" t="s">
        <v>850</v>
      </c>
      <c r="P879" s="120"/>
      <c r="Q879" s="135"/>
      <c r="R879" s="29" t="s">
        <v>871</v>
      </c>
      <c r="S879" s="123"/>
    </row>
    <row r="880" spans="1:19">
      <c r="A880" s="29" t="s">
        <v>859</v>
      </c>
      <c r="B880" s="29"/>
      <c r="C880" s="29">
        <v>36502983</v>
      </c>
      <c r="D880" s="29"/>
      <c r="F880" s="29"/>
      <c r="G880" s="29" t="s">
        <v>153</v>
      </c>
      <c r="H880" s="29" t="s">
        <v>236</v>
      </c>
      <c r="I880" s="120">
        <v>45695</v>
      </c>
      <c r="J880" s="120">
        <f>WORKDAY(I880, 3)</f>
        <v>45700</v>
      </c>
      <c r="K880" s="120"/>
      <c r="L880" s="120"/>
      <c r="M880" s="120"/>
      <c r="N880" s="120"/>
      <c r="O880" s="119" t="s">
        <v>850</v>
      </c>
      <c r="P880" s="120"/>
      <c r="Q880" s="135"/>
      <c r="R880" s="29" t="s">
        <v>872</v>
      </c>
      <c r="S880" s="123"/>
    </row>
    <row r="881" spans="1:19">
      <c r="A881" s="29" t="s">
        <v>859</v>
      </c>
      <c r="B881" s="29"/>
      <c r="C881" s="29">
        <v>36502894</v>
      </c>
      <c r="D881" s="29"/>
      <c r="F881" s="29"/>
      <c r="G881" s="29" t="s">
        <v>153</v>
      </c>
      <c r="H881" s="29" t="s">
        <v>236</v>
      </c>
      <c r="I881" s="120">
        <v>45695</v>
      </c>
      <c r="J881" s="120">
        <f>WORKDAY(I881, 3)</f>
        <v>45700</v>
      </c>
      <c r="K881" s="120"/>
      <c r="L881" s="120"/>
      <c r="M881" s="120"/>
      <c r="N881" s="120"/>
      <c r="O881" s="119" t="s">
        <v>850</v>
      </c>
      <c r="P881" s="120"/>
      <c r="Q881" s="135"/>
      <c r="R881" s="29" t="s">
        <v>873</v>
      </c>
      <c r="S881" s="123"/>
    </row>
    <row r="882" spans="1:19">
      <c r="A882" s="29" t="s">
        <v>859</v>
      </c>
      <c r="B882" s="29"/>
      <c r="C882" s="29">
        <v>36502627</v>
      </c>
      <c r="D882" s="29"/>
      <c r="F882" s="29"/>
      <c r="G882" s="29" t="s">
        <v>153</v>
      </c>
      <c r="H882" s="29" t="s">
        <v>236</v>
      </c>
      <c r="I882" s="120">
        <v>45695</v>
      </c>
      <c r="J882" s="120">
        <f>WORKDAY(I882, 3)</f>
        <v>45700</v>
      </c>
      <c r="K882" s="120"/>
      <c r="L882" s="120"/>
      <c r="M882" s="120"/>
      <c r="N882" s="120"/>
      <c r="O882" s="119" t="s">
        <v>850</v>
      </c>
      <c r="P882" s="120"/>
      <c r="Q882" s="135"/>
      <c r="R882" s="29" t="s">
        <v>874</v>
      </c>
      <c r="S882" s="123"/>
    </row>
    <row r="883" spans="1:19">
      <c r="A883" s="29" t="s">
        <v>859</v>
      </c>
      <c r="B883" s="29"/>
      <c r="C883" s="29">
        <v>36502464</v>
      </c>
      <c r="D883" s="29"/>
      <c r="F883" s="29"/>
      <c r="G883" s="29" t="s">
        <v>153</v>
      </c>
      <c r="H883" s="29" t="s">
        <v>236</v>
      </c>
      <c r="I883" s="120">
        <v>45695</v>
      </c>
      <c r="J883" s="120">
        <f>WORKDAY(I883, 3)</f>
        <v>45700</v>
      </c>
      <c r="K883" s="120"/>
      <c r="L883" s="120"/>
      <c r="M883" s="120"/>
      <c r="N883" s="120"/>
      <c r="O883" s="119" t="s">
        <v>850</v>
      </c>
      <c r="P883" s="120"/>
      <c r="Q883" s="135"/>
      <c r="R883" s="29" t="s">
        <v>875</v>
      </c>
      <c r="S883" s="123"/>
    </row>
    <row r="884" spans="1:19">
      <c r="A884" s="29" t="s">
        <v>859</v>
      </c>
      <c r="B884" s="29"/>
      <c r="C884" s="29">
        <v>36502169</v>
      </c>
      <c r="D884" s="29"/>
      <c r="F884" s="29"/>
      <c r="G884" s="29" t="s">
        <v>153</v>
      </c>
      <c r="H884" s="29" t="s">
        <v>236</v>
      </c>
      <c r="I884" s="120">
        <v>45695</v>
      </c>
      <c r="J884" s="120">
        <f>WORKDAY(I884, 3)</f>
        <v>45700</v>
      </c>
      <c r="K884" s="120"/>
      <c r="L884" s="120"/>
      <c r="M884" s="120"/>
      <c r="N884" s="120"/>
      <c r="O884" s="119" t="s">
        <v>850</v>
      </c>
      <c r="P884" s="120"/>
      <c r="Q884" s="135"/>
      <c r="R884" s="29" t="s">
        <v>876</v>
      </c>
      <c r="S884" s="123"/>
    </row>
    <row r="885" spans="1:19">
      <c r="A885" s="29" t="s">
        <v>859</v>
      </c>
      <c r="B885" s="29"/>
      <c r="C885" s="29">
        <v>36501980</v>
      </c>
      <c r="D885" s="29"/>
      <c r="F885" s="29"/>
      <c r="G885" s="29" t="s">
        <v>153</v>
      </c>
      <c r="H885" s="29" t="s">
        <v>236</v>
      </c>
      <c r="I885" s="120">
        <v>45695</v>
      </c>
      <c r="J885" s="120">
        <f>WORKDAY(I885, 3)</f>
        <v>45700</v>
      </c>
      <c r="K885" s="120"/>
      <c r="L885" s="120"/>
      <c r="M885" s="120"/>
      <c r="N885" s="120"/>
      <c r="O885" s="119" t="s">
        <v>850</v>
      </c>
      <c r="P885" s="120"/>
      <c r="Q885" s="135"/>
      <c r="R885" s="29" t="s">
        <v>877</v>
      </c>
      <c r="S885" s="123"/>
    </row>
    <row r="886" spans="1:19">
      <c r="A886" s="29" t="s">
        <v>859</v>
      </c>
      <c r="B886" s="29"/>
      <c r="C886" s="29">
        <v>36501811</v>
      </c>
      <c r="D886" s="29"/>
      <c r="F886" s="29"/>
      <c r="G886" s="29" t="s">
        <v>153</v>
      </c>
      <c r="H886" s="29" t="s">
        <v>236</v>
      </c>
      <c r="I886" s="120">
        <v>45695</v>
      </c>
      <c r="J886" s="120">
        <f>WORKDAY(I886, 3)</f>
        <v>45700</v>
      </c>
      <c r="K886" s="120"/>
      <c r="L886" s="120"/>
      <c r="M886" s="120"/>
      <c r="N886" s="120"/>
      <c r="O886" s="119" t="s">
        <v>850</v>
      </c>
      <c r="P886" s="120"/>
      <c r="Q886" s="135"/>
      <c r="R886" s="29" t="s">
        <v>878</v>
      </c>
      <c r="S886" s="123"/>
    </row>
    <row r="887" spans="1:19">
      <c r="A887" s="29" t="s">
        <v>859</v>
      </c>
      <c r="B887" s="29"/>
      <c r="C887" s="29">
        <v>36501705</v>
      </c>
      <c r="D887" s="29"/>
      <c r="F887" s="29"/>
      <c r="G887" s="29" t="s">
        <v>153</v>
      </c>
      <c r="H887" s="29" t="s">
        <v>236</v>
      </c>
      <c r="I887" s="120">
        <v>45695</v>
      </c>
      <c r="J887" s="120">
        <f>WORKDAY(I887, 3)</f>
        <v>45700</v>
      </c>
      <c r="K887" s="120"/>
      <c r="L887" s="120"/>
      <c r="M887" s="120"/>
      <c r="N887" s="120"/>
      <c r="O887" s="119" t="s">
        <v>850</v>
      </c>
      <c r="P887" s="120"/>
      <c r="Q887" s="135"/>
      <c r="R887" s="29" t="s">
        <v>879</v>
      </c>
      <c r="S887" s="123"/>
    </row>
    <row r="888" spans="1:19">
      <c r="A888" s="29" t="s">
        <v>859</v>
      </c>
      <c r="B888" s="29"/>
      <c r="C888" s="29">
        <v>36501290</v>
      </c>
      <c r="D888" s="29"/>
      <c r="F888" s="29"/>
      <c r="G888" s="29" t="s">
        <v>153</v>
      </c>
      <c r="H888" s="29" t="s">
        <v>236</v>
      </c>
      <c r="I888" s="120">
        <v>45695</v>
      </c>
      <c r="J888" s="120">
        <f>WORKDAY(I888, 3)</f>
        <v>45700</v>
      </c>
      <c r="K888" s="120"/>
      <c r="L888" s="120"/>
      <c r="M888" s="120"/>
      <c r="N888" s="120"/>
      <c r="O888" s="119" t="s">
        <v>850</v>
      </c>
      <c r="P888" s="120"/>
      <c r="Q888" s="135"/>
      <c r="R888" s="29" t="s">
        <v>880</v>
      </c>
      <c r="S888" s="123"/>
    </row>
    <row r="889" spans="1:19">
      <c r="A889" s="29" t="s">
        <v>859</v>
      </c>
      <c r="B889" s="29"/>
      <c r="C889" s="29">
        <v>36501232</v>
      </c>
      <c r="D889" s="29"/>
      <c r="F889" s="29"/>
      <c r="G889" s="29" t="s">
        <v>153</v>
      </c>
      <c r="H889" s="29" t="s">
        <v>236</v>
      </c>
      <c r="I889" s="120">
        <v>45695</v>
      </c>
      <c r="J889" s="120">
        <f>WORKDAY(I889, 3)</f>
        <v>45700</v>
      </c>
      <c r="K889" s="120"/>
      <c r="L889" s="120"/>
      <c r="M889" s="120"/>
      <c r="N889" s="120"/>
      <c r="O889" s="119" t="s">
        <v>850</v>
      </c>
      <c r="P889" s="120"/>
      <c r="Q889" s="135"/>
      <c r="R889" s="29" t="s">
        <v>881</v>
      </c>
      <c r="S889" s="123"/>
    </row>
    <row r="890" spans="1:19">
      <c r="A890" s="29" t="s">
        <v>859</v>
      </c>
      <c r="B890" s="29"/>
      <c r="C890" s="29">
        <v>36501131</v>
      </c>
      <c r="D890" s="29"/>
      <c r="F890" s="29"/>
      <c r="G890" s="29" t="s">
        <v>153</v>
      </c>
      <c r="H890" s="29" t="s">
        <v>236</v>
      </c>
      <c r="I890" s="120">
        <v>45695</v>
      </c>
      <c r="J890" s="120">
        <f>WORKDAY(I890, 3)</f>
        <v>45700</v>
      </c>
      <c r="K890" s="120"/>
      <c r="L890" s="120"/>
      <c r="M890" s="120"/>
      <c r="N890" s="120"/>
      <c r="O890" s="119" t="s">
        <v>850</v>
      </c>
      <c r="P890" s="120"/>
      <c r="Q890" s="135"/>
      <c r="R890" s="29" t="s">
        <v>880</v>
      </c>
      <c r="S890" s="123"/>
    </row>
    <row r="891" spans="1:19">
      <c r="A891" s="29" t="s">
        <v>859</v>
      </c>
      <c r="B891" s="29"/>
      <c r="C891" s="29">
        <v>36501011</v>
      </c>
      <c r="D891" s="29"/>
      <c r="F891" s="29"/>
      <c r="G891" s="29" t="s">
        <v>153</v>
      </c>
      <c r="H891" s="29" t="s">
        <v>236</v>
      </c>
      <c r="I891" s="120">
        <v>45695</v>
      </c>
      <c r="J891" s="120">
        <f>WORKDAY(I891, 3)</f>
        <v>45700</v>
      </c>
      <c r="K891" s="120"/>
      <c r="L891" s="120"/>
      <c r="M891" s="120"/>
      <c r="N891" s="120"/>
      <c r="O891" s="119" t="s">
        <v>850</v>
      </c>
      <c r="P891" s="120"/>
      <c r="Q891" s="135"/>
      <c r="R891" s="29" t="s">
        <v>825</v>
      </c>
      <c r="S891" s="123"/>
    </row>
    <row r="892" spans="1:19">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c r="A1044" s="147" t="s">
        <v>852</v>
      </c>
      <c r="B1044" s="147"/>
      <c r="C1044" s="29">
        <v>56504026</v>
      </c>
      <c r="D1044" s="29"/>
      <c r="F1044" s="29"/>
      <c r="G1044" s="29" t="s">
        <v>153</v>
      </c>
      <c r="H1044" s="29" t="s">
        <v>22</v>
      </c>
      <c r="I1044" s="120">
        <v>45713</v>
      </c>
      <c r="J1044" s="120">
        <f>WORKDAY(I1044, 3)</f>
        <v>45716</v>
      </c>
      <c r="K1044" s="120"/>
      <c r="L1044" s="120"/>
      <c r="M1044" s="120"/>
      <c r="N1044" s="120"/>
      <c r="O1044" s="119" t="s">
        <v>884</v>
      </c>
      <c r="P1044" s="120"/>
      <c r="Q1044" s="135"/>
    </row>
    <row r="1045" spans="1:19" ht="15.75">
      <c r="A1045" s="147" t="s">
        <v>859</v>
      </c>
      <c r="B1045" s="147"/>
      <c r="C1045" s="121">
        <v>56503360</v>
      </c>
      <c r="D1045" s="121"/>
      <c r="F1045" s="121"/>
      <c r="G1045" s="29" t="s">
        <v>153</v>
      </c>
      <c r="H1045" s="29" t="s">
        <v>431</v>
      </c>
      <c r="I1045" s="120">
        <v>45713</v>
      </c>
      <c r="J1045" s="120">
        <f>WORKDAY(I1045, 3)</f>
        <v>45716</v>
      </c>
      <c r="K1045" s="120"/>
      <c r="L1045" s="120"/>
      <c r="M1045" s="120"/>
      <c r="N1045" s="120"/>
      <c r="O1045" s="119" t="s">
        <v>850</v>
      </c>
      <c r="P1045" s="120"/>
      <c r="Q1045" s="135"/>
      <c r="R1045" s="41" t="s">
        <v>885</v>
      </c>
    </row>
    <row r="1046" spans="1:19" ht="15.75">
      <c r="A1046" s="147" t="s">
        <v>859</v>
      </c>
      <c r="B1046" s="147"/>
      <c r="C1046" s="121">
        <v>56503412</v>
      </c>
      <c r="D1046" s="121"/>
      <c r="F1046" s="121"/>
      <c r="G1046" s="29" t="s">
        <v>153</v>
      </c>
      <c r="H1046" s="29" t="s">
        <v>431</v>
      </c>
      <c r="I1046" s="120">
        <v>45713</v>
      </c>
      <c r="J1046" s="120">
        <f>WORKDAY(I1046, 3)</f>
        <v>45716</v>
      </c>
      <c r="K1046" s="120"/>
      <c r="L1046" s="120"/>
      <c r="M1046" s="120"/>
      <c r="N1046" s="120"/>
      <c r="O1046" s="119" t="s">
        <v>850</v>
      </c>
      <c r="P1046" s="120"/>
      <c r="Q1046" s="135"/>
      <c r="R1046" s="41" t="s">
        <v>886</v>
      </c>
    </row>
    <row r="1047" spans="1:19" ht="15.75">
      <c r="A1047" s="147" t="s">
        <v>859</v>
      </c>
      <c r="B1047" s="147"/>
      <c r="C1047" s="121">
        <v>56503469</v>
      </c>
      <c r="D1047" s="121"/>
      <c r="F1047" s="121"/>
      <c r="G1047" s="29" t="s">
        <v>153</v>
      </c>
      <c r="H1047" s="29" t="s">
        <v>431</v>
      </c>
      <c r="I1047" s="120">
        <v>45713</v>
      </c>
      <c r="J1047" s="120">
        <f>WORKDAY(I1047, 3)</f>
        <v>45716</v>
      </c>
      <c r="K1047" s="120"/>
      <c r="L1047" s="120"/>
      <c r="M1047" s="120"/>
      <c r="N1047" s="120"/>
      <c r="O1047" s="119" t="s">
        <v>850</v>
      </c>
      <c r="P1047" s="120"/>
      <c r="Q1047" s="135"/>
      <c r="R1047" s="41" t="s">
        <v>863</v>
      </c>
    </row>
    <row r="1048" spans="1:19" ht="15.75">
      <c r="A1048" s="147" t="s">
        <v>859</v>
      </c>
      <c r="B1048" s="147"/>
      <c r="C1048" s="121">
        <v>56503520</v>
      </c>
      <c r="D1048" s="121"/>
      <c r="F1048" s="121"/>
      <c r="G1048" s="29" t="s">
        <v>153</v>
      </c>
      <c r="H1048" s="29" t="s">
        <v>431</v>
      </c>
      <c r="I1048" s="120">
        <v>45713</v>
      </c>
      <c r="J1048" s="120">
        <f>WORKDAY(I1048, 3)</f>
        <v>45716</v>
      </c>
      <c r="K1048" s="120"/>
      <c r="L1048" s="120"/>
      <c r="M1048" s="120"/>
      <c r="N1048" s="120">
        <v>45720</v>
      </c>
      <c r="O1048" s="119" t="s">
        <v>10</v>
      </c>
      <c r="P1048" s="152"/>
      <c r="Q1048" s="153"/>
      <c r="R1048" s="41" t="s">
        <v>820</v>
      </c>
    </row>
    <row r="1049" spans="1:19" ht="15.75">
      <c r="A1049" s="147" t="s">
        <v>859</v>
      </c>
      <c r="B1049" s="147"/>
      <c r="C1049" s="121">
        <v>56503584</v>
      </c>
      <c r="D1049" s="121"/>
      <c r="F1049" s="121"/>
      <c r="G1049" s="29" t="s">
        <v>153</v>
      </c>
      <c r="H1049" s="29" t="s">
        <v>431</v>
      </c>
      <c r="I1049" s="120">
        <v>45713</v>
      </c>
      <c r="J1049" s="120">
        <f>WORKDAY(I1049, 3)</f>
        <v>45716</v>
      </c>
      <c r="K1049" s="120"/>
      <c r="L1049" s="120"/>
      <c r="M1049" s="120"/>
      <c r="N1049" s="120">
        <v>45720</v>
      </c>
      <c r="O1049" s="119" t="s">
        <v>10</v>
      </c>
      <c r="P1049" s="152"/>
      <c r="Q1049" s="153"/>
      <c r="R1049" s="41" t="s">
        <v>887</v>
      </c>
    </row>
    <row r="1050" spans="1:19" ht="15.75">
      <c r="A1050" s="147" t="s">
        <v>859</v>
      </c>
      <c r="B1050" s="147"/>
      <c r="C1050" s="121">
        <v>56503639</v>
      </c>
      <c r="D1050" s="121"/>
      <c r="F1050" s="121"/>
      <c r="G1050" s="29" t="s">
        <v>153</v>
      </c>
      <c r="H1050" s="29" t="s">
        <v>431</v>
      </c>
      <c r="I1050" s="120">
        <v>45713</v>
      </c>
      <c r="J1050" s="120">
        <f>WORKDAY(I1050, 3)</f>
        <v>45716</v>
      </c>
      <c r="K1050" s="120"/>
      <c r="L1050" s="120"/>
      <c r="M1050" s="120"/>
      <c r="N1050" s="120">
        <v>45719</v>
      </c>
      <c r="O1050" s="119" t="s">
        <v>10</v>
      </c>
      <c r="P1050" s="152"/>
      <c r="Q1050" s="153"/>
      <c r="R1050" s="41" t="s">
        <v>821</v>
      </c>
    </row>
    <row r="1051" spans="1:19">
      <c r="A1051" s="29" t="s">
        <v>358</v>
      </c>
      <c r="B1051" s="29"/>
      <c r="C1051" s="29">
        <v>48507590</v>
      </c>
      <c r="D1051" s="29"/>
      <c r="F1051" s="29"/>
      <c r="G1051" s="29" t="s">
        <v>744</v>
      </c>
      <c r="H1051" s="29" t="s">
        <v>185</v>
      </c>
      <c r="I1051" s="120">
        <v>45705</v>
      </c>
      <c r="J1051" s="120">
        <f>WORKDAY(I1051, 3)</f>
        <v>45708</v>
      </c>
      <c r="K1051" s="120"/>
      <c r="L1051" s="120"/>
      <c r="M1051" s="120"/>
      <c r="N1051" s="120"/>
      <c r="O1051" s="119" t="s">
        <v>850</v>
      </c>
      <c r="P1051" s="120"/>
      <c r="Q1051" s="135"/>
      <c r="R1051" s="29" t="s">
        <v>617</v>
      </c>
    </row>
    <row r="1052" spans="1:19">
      <c r="A1052" s="29" t="s">
        <v>358</v>
      </c>
      <c r="B1052" s="29"/>
      <c r="C1052" s="29">
        <v>48507534</v>
      </c>
      <c r="D1052" s="29"/>
      <c r="F1052" s="29"/>
      <c r="G1052" s="29" t="s">
        <v>744</v>
      </c>
      <c r="H1052" s="29" t="s">
        <v>185</v>
      </c>
      <c r="I1052" s="120">
        <v>45705</v>
      </c>
      <c r="J1052" s="120">
        <f>WORKDAY(I1052, 3)</f>
        <v>45708</v>
      </c>
      <c r="K1052" s="120"/>
      <c r="L1052" s="120"/>
      <c r="M1052" s="120"/>
      <c r="N1052" s="120"/>
      <c r="O1052" s="119" t="s">
        <v>850</v>
      </c>
      <c r="P1052" s="120"/>
      <c r="Q1052" s="135"/>
      <c r="R1052" s="29" t="s">
        <v>618</v>
      </c>
    </row>
    <row r="1053" spans="1:19">
      <c r="A1053" s="29" t="s">
        <v>358</v>
      </c>
      <c r="B1053" s="29"/>
      <c r="C1053" s="29">
        <v>48507486</v>
      </c>
      <c r="D1053" s="29"/>
      <c r="F1053" s="29"/>
      <c r="G1053" s="29" t="s">
        <v>744</v>
      </c>
      <c r="H1053" s="29" t="s">
        <v>185</v>
      </c>
      <c r="I1053" s="120">
        <v>45705</v>
      </c>
      <c r="J1053" s="120">
        <f>WORKDAY(I1053, 3)</f>
        <v>45708</v>
      </c>
      <c r="K1053" s="120"/>
      <c r="L1053" s="120"/>
      <c r="M1053" s="120"/>
      <c r="N1053" s="120"/>
      <c r="O1053" s="119" t="s">
        <v>850</v>
      </c>
      <c r="P1053" s="120"/>
      <c r="Q1053" s="135"/>
      <c r="R1053" s="29" t="s">
        <v>619</v>
      </c>
    </row>
    <row r="1054" spans="1:19">
      <c r="A1054" s="29" t="s">
        <v>358</v>
      </c>
      <c r="B1054" s="29"/>
      <c r="C1054" s="29">
        <v>48507387</v>
      </c>
      <c r="D1054" s="29"/>
      <c r="F1054" s="29"/>
      <c r="G1054" s="29" t="s">
        <v>744</v>
      </c>
      <c r="H1054" s="29" t="s">
        <v>185</v>
      </c>
      <c r="I1054" s="120">
        <v>45705</v>
      </c>
      <c r="J1054" s="120">
        <f>WORKDAY(I1054, 3)</f>
        <v>45708</v>
      </c>
      <c r="K1054" s="120"/>
      <c r="L1054" s="120"/>
      <c r="M1054" s="120"/>
      <c r="N1054" s="120"/>
      <c r="O1054" s="119" t="s">
        <v>850</v>
      </c>
      <c r="P1054" s="120"/>
      <c r="Q1054" s="135"/>
      <c r="R1054" s="29" t="s">
        <v>620</v>
      </c>
    </row>
    <row r="1055" spans="1:19">
      <c r="A1055" s="29" t="s">
        <v>358</v>
      </c>
      <c r="B1055" s="29"/>
      <c r="C1055" s="29">
        <v>48507301</v>
      </c>
      <c r="D1055" s="29"/>
      <c r="F1055" s="29"/>
      <c r="G1055" s="29" t="s">
        <v>744</v>
      </c>
      <c r="H1055" s="29" t="s">
        <v>185</v>
      </c>
      <c r="I1055" s="120">
        <v>45705</v>
      </c>
      <c r="J1055" s="120">
        <f>WORKDAY(I1055, 3)</f>
        <v>45708</v>
      </c>
      <c r="K1055" s="120"/>
      <c r="L1055" s="120"/>
      <c r="M1055" s="120"/>
      <c r="N1055" s="120"/>
      <c r="O1055" s="119" t="s">
        <v>850</v>
      </c>
      <c r="P1055" s="120"/>
      <c r="Q1055" s="135"/>
      <c r="R1055" s="29" t="s">
        <v>621</v>
      </c>
    </row>
    <row r="1056" spans="1:19">
      <c r="A1056" s="29" t="s">
        <v>358</v>
      </c>
      <c r="B1056" s="29"/>
      <c r="C1056" s="29">
        <v>48507163</v>
      </c>
      <c r="D1056" s="29"/>
      <c r="F1056" s="29"/>
      <c r="G1056" s="29" t="s">
        <v>744</v>
      </c>
      <c r="H1056" s="29" t="s">
        <v>185</v>
      </c>
      <c r="I1056" s="120">
        <v>45705</v>
      </c>
      <c r="J1056" s="120">
        <f>WORKDAY(I1056, 3)</f>
        <v>45708</v>
      </c>
      <c r="K1056" s="120"/>
      <c r="L1056" s="120"/>
      <c r="M1056" s="120"/>
      <c r="N1056" s="120"/>
      <c r="O1056" s="119" t="s">
        <v>850</v>
      </c>
      <c r="P1056" s="120"/>
      <c r="Q1056" s="135"/>
      <c r="R1056" s="29" t="s">
        <v>622</v>
      </c>
    </row>
    <row r="1057" spans="1:18">
      <c r="A1057" s="29" t="s">
        <v>888</v>
      </c>
      <c r="B1057" s="29"/>
      <c r="C1057" s="29">
        <v>55503706</v>
      </c>
      <c r="D1057" s="29"/>
      <c r="F1057" s="29"/>
      <c r="G1057" s="29" t="s">
        <v>624</v>
      </c>
      <c r="H1057" s="29" t="s">
        <v>185</v>
      </c>
      <c r="I1057" s="120">
        <v>45709</v>
      </c>
      <c r="J1057" s="120">
        <f>WORKDAY(I1057, 3)</f>
        <v>45714</v>
      </c>
      <c r="K1057" s="120"/>
      <c r="L1057" s="120"/>
      <c r="M1057" s="120"/>
      <c r="N1057" s="120"/>
      <c r="O1057" s="119" t="s">
        <v>850</v>
      </c>
      <c r="P1057" s="120"/>
      <c r="Q1057" s="135"/>
      <c r="R1057" s="29" t="s">
        <v>625</v>
      </c>
    </row>
    <row r="1058" spans="1:18">
      <c r="A1058" s="29" t="s">
        <v>888</v>
      </c>
      <c r="B1058" s="29"/>
      <c r="C1058" s="29">
        <v>55503801</v>
      </c>
      <c r="D1058" s="29"/>
      <c r="F1058" s="29"/>
      <c r="G1058" s="29" t="s">
        <v>624</v>
      </c>
      <c r="H1058" s="29" t="s">
        <v>185</v>
      </c>
      <c r="I1058" s="120">
        <v>45709</v>
      </c>
      <c r="J1058" s="120">
        <f>WORKDAY(I1058, 3)</f>
        <v>45714</v>
      </c>
      <c r="K1058" s="120"/>
      <c r="L1058" s="120"/>
      <c r="M1058" s="120"/>
      <c r="N1058" s="120"/>
      <c r="O1058" s="119" t="s">
        <v>850</v>
      </c>
      <c r="P1058" s="120"/>
      <c r="Q1058" s="135"/>
      <c r="R1058" s="29" t="s">
        <v>626</v>
      </c>
    </row>
    <row r="1059" spans="1:18">
      <c r="A1059" s="29" t="s">
        <v>888</v>
      </c>
      <c r="B1059" s="29"/>
      <c r="C1059" s="29">
        <v>55503862</v>
      </c>
      <c r="D1059" s="29"/>
      <c r="F1059" s="29"/>
      <c r="G1059" s="29" t="s">
        <v>624</v>
      </c>
      <c r="H1059" s="29" t="s">
        <v>185</v>
      </c>
      <c r="I1059" s="120">
        <v>45709</v>
      </c>
      <c r="J1059" s="120">
        <f>WORKDAY(I1059, 3)</f>
        <v>45714</v>
      </c>
      <c r="K1059" s="120"/>
      <c r="L1059" s="120"/>
      <c r="M1059" s="120"/>
      <c r="N1059" s="120"/>
      <c r="O1059" s="119" t="s">
        <v>850</v>
      </c>
      <c r="P1059" s="120"/>
      <c r="Q1059" s="135"/>
      <c r="R1059" s="29" t="s">
        <v>627</v>
      </c>
    </row>
    <row r="1060" spans="1:18">
      <c r="A1060" s="29" t="s">
        <v>888</v>
      </c>
      <c r="B1060" s="29"/>
      <c r="C1060" s="29">
        <v>55503935</v>
      </c>
      <c r="D1060" s="29"/>
      <c r="F1060" s="29"/>
      <c r="G1060" s="29" t="s">
        <v>624</v>
      </c>
      <c r="H1060" s="29" t="s">
        <v>185</v>
      </c>
      <c r="I1060" s="120">
        <v>45709</v>
      </c>
      <c r="J1060" s="120">
        <f>WORKDAY(I1060, 3)</f>
        <v>45714</v>
      </c>
      <c r="K1060" s="120"/>
      <c r="L1060" s="120"/>
      <c r="M1060" s="120"/>
      <c r="N1060" s="120"/>
      <c r="O1060" s="119" t="s">
        <v>850</v>
      </c>
      <c r="P1060" s="120"/>
      <c r="Q1060" s="135"/>
      <c r="R1060" s="29" t="s">
        <v>628</v>
      </c>
    </row>
    <row r="1061" spans="1:18">
      <c r="A1061" s="29" t="s">
        <v>888</v>
      </c>
      <c r="B1061" s="29"/>
      <c r="C1061" s="29">
        <v>55503969</v>
      </c>
      <c r="D1061" s="29"/>
      <c r="F1061" s="29"/>
      <c r="G1061" s="29" t="s">
        <v>624</v>
      </c>
      <c r="H1061" s="29" t="s">
        <v>185</v>
      </c>
      <c r="I1061" s="120">
        <v>45709</v>
      </c>
      <c r="J1061" s="120">
        <f>WORKDAY(I1061, 3)</f>
        <v>45714</v>
      </c>
      <c r="K1061" s="120"/>
      <c r="L1061" s="120"/>
      <c r="M1061" s="120"/>
      <c r="N1061" s="120"/>
      <c r="O1061" s="119" t="s">
        <v>850</v>
      </c>
      <c r="P1061" s="120"/>
      <c r="Q1061" s="135"/>
      <c r="R1061" s="29" t="s">
        <v>629</v>
      </c>
    </row>
    <row r="1062" spans="1:18">
      <c r="A1062" s="29" t="s">
        <v>889</v>
      </c>
      <c r="B1062" s="29"/>
      <c r="C1062" s="29">
        <v>55504206</v>
      </c>
      <c r="D1062" s="29"/>
      <c r="F1062" s="29"/>
      <c r="G1062" s="29" t="s">
        <v>624</v>
      </c>
      <c r="H1062" s="29" t="s">
        <v>185</v>
      </c>
      <c r="I1062" s="120">
        <v>45709</v>
      </c>
      <c r="J1062" s="120">
        <f>WORKDAY(I1062, 3)</f>
        <v>45714</v>
      </c>
      <c r="K1062" s="120"/>
      <c r="L1062" s="120"/>
      <c r="M1062" s="120"/>
      <c r="N1062" s="120"/>
      <c r="O1062" s="119" t="s">
        <v>850</v>
      </c>
      <c r="P1062" s="120"/>
      <c r="Q1062" s="135"/>
      <c r="R1062" s="29" t="s">
        <v>631</v>
      </c>
    </row>
    <row r="1063" spans="1:18">
      <c r="A1063" s="29" t="s">
        <v>889</v>
      </c>
      <c r="B1063" s="29"/>
      <c r="C1063" s="29">
        <v>55504188</v>
      </c>
      <c r="D1063" s="29"/>
      <c r="F1063" s="29"/>
      <c r="G1063" s="29" t="s">
        <v>624</v>
      </c>
      <c r="H1063" s="29" t="s">
        <v>185</v>
      </c>
      <c r="I1063" s="120">
        <v>45709</v>
      </c>
      <c r="J1063" s="120">
        <f>WORKDAY(I1063, 3)</f>
        <v>45714</v>
      </c>
      <c r="K1063" s="120"/>
      <c r="L1063" s="120"/>
      <c r="M1063" s="120"/>
      <c r="N1063" s="120"/>
      <c r="O1063" s="119" t="s">
        <v>850</v>
      </c>
      <c r="P1063" s="120"/>
      <c r="Q1063" s="135"/>
      <c r="R1063" s="29" t="s">
        <v>632</v>
      </c>
    </row>
    <row r="1064" spans="1:18">
      <c r="A1064" s="29" t="s">
        <v>889</v>
      </c>
      <c r="B1064" s="29"/>
      <c r="C1064" s="29">
        <v>55504303</v>
      </c>
      <c r="D1064" s="29"/>
      <c r="F1064" s="29"/>
      <c r="G1064" s="29" t="s">
        <v>624</v>
      </c>
      <c r="H1064" s="29" t="s">
        <v>185</v>
      </c>
      <c r="I1064" s="120">
        <v>45709</v>
      </c>
      <c r="J1064" s="120">
        <f>WORKDAY(I1064, 3)</f>
        <v>45714</v>
      </c>
      <c r="K1064" s="120"/>
      <c r="L1064" s="120"/>
      <c r="M1064" s="120"/>
      <c r="N1064" s="120"/>
      <c r="O1064" s="119" t="s">
        <v>850</v>
      </c>
      <c r="P1064" s="120"/>
      <c r="Q1064" s="135"/>
      <c r="R1064" s="29" t="s">
        <v>633</v>
      </c>
    </row>
    <row r="1065" spans="1:18">
      <c r="A1065" s="29" t="s">
        <v>889</v>
      </c>
      <c r="B1065" s="29"/>
      <c r="C1065" s="29">
        <v>55504345</v>
      </c>
      <c r="D1065" s="29"/>
      <c r="F1065" s="29"/>
      <c r="G1065" s="29" t="s">
        <v>624</v>
      </c>
      <c r="H1065" s="29" t="s">
        <v>185</v>
      </c>
      <c r="I1065" s="120">
        <v>45709</v>
      </c>
      <c r="J1065" s="120">
        <f>WORKDAY(I1065, 3)</f>
        <v>45714</v>
      </c>
      <c r="K1065" s="120"/>
      <c r="L1065" s="120"/>
      <c r="M1065" s="120"/>
      <c r="N1065" s="120"/>
      <c r="O1065" s="119" t="s">
        <v>850</v>
      </c>
      <c r="P1065" s="120"/>
      <c r="Q1065" s="135"/>
      <c r="R1065" s="29" t="s">
        <v>634</v>
      </c>
    </row>
    <row r="1066" spans="1:18">
      <c r="A1066" s="29" t="s">
        <v>889</v>
      </c>
      <c r="B1066" s="29"/>
      <c r="C1066" s="29">
        <v>55504388</v>
      </c>
      <c r="D1066" s="29"/>
      <c r="F1066" s="29"/>
      <c r="G1066" s="29" t="s">
        <v>624</v>
      </c>
      <c r="H1066" s="29" t="s">
        <v>185</v>
      </c>
      <c r="I1066" s="120">
        <v>45709</v>
      </c>
      <c r="J1066" s="120">
        <f>WORKDAY(I1066, 3)</f>
        <v>45714</v>
      </c>
      <c r="K1066" s="120"/>
      <c r="L1066" s="120"/>
      <c r="M1066" s="120"/>
      <c r="N1066" s="120"/>
      <c r="O1066" s="119" t="s">
        <v>850</v>
      </c>
      <c r="P1066" s="120"/>
      <c r="Q1066" s="135"/>
      <c r="R1066" s="29" t="s">
        <v>635</v>
      </c>
    </row>
    <row r="1067" spans="1:18">
      <c r="A1067" s="29" t="s">
        <v>889</v>
      </c>
      <c r="B1067" s="29"/>
      <c r="C1067" s="29">
        <v>55504421</v>
      </c>
      <c r="D1067" s="29"/>
      <c r="F1067" s="29"/>
      <c r="G1067" s="29" t="s">
        <v>624</v>
      </c>
      <c r="H1067" s="29" t="s">
        <v>185</v>
      </c>
      <c r="I1067" s="120">
        <v>45709</v>
      </c>
      <c r="J1067" s="120">
        <f>WORKDAY(I1067, 3)</f>
        <v>45714</v>
      </c>
      <c r="K1067" s="120"/>
      <c r="L1067" s="120"/>
      <c r="M1067" s="120"/>
      <c r="N1067" s="120"/>
      <c r="O1067" s="119" t="s">
        <v>850</v>
      </c>
      <c r="P1067" s="120"/>
      <c r="Q1067" s="135"/>
      <c r="R1067" s="29" t="s">
        <v>636</v>
      </c>
    </row>
    <row r="1068" spans="1:18">
      <c r="A1068" s="29" t="s">
        <v>889</v>
      </c>
      <c r="B1068" s="29"/>
      <c r="C1068" s="29">
        <v>55504460</v>
      </c>
      <c r="D1068" s="29"/>
      <c r="F1068" s="29"/>
      <c r="G1068" s="29" t="s">
        <v>624</v>
      </c>
      <c r="H1068" s="29" t="s">
        <v>185</v>
      </c>
      <c r="I1068" s="120">
        <v>45709</v>
      </c>
      <c r="J1068" s="120">
        <f>WORKDAY(I1068, 3)</f>
        <v>45714</v>
      </c>
      <c r="K1068" s="120"/>
      <c r="L1068" s="120"/>
      <c r="M1068" s="120"/>
      <c r="N1068" s="120"/>
      <c r="O1068" s="119" t="s">
        <v>850</v>
      </c>
      <c r="P1068" s="120"/>
      <c r="Q1068" s="135"/>
      <c r="R1068" s="29" t="s">
        <v>625</v>
      </c>
    </row>
    <row r="1069" spans="1:18">
      <c r="A1069" s="147" t="s">
        <v>637</v>
      </c>
      <c r="B1069" s="147"/>
      <c r="C1069" s="67">
        <v>51507839</v>
      </c>
      <c r="D1069" s="67"/>
      <c r="F1069" s="67"/>
      <c r="G1069" s="29" t="s">
        <v>744</v>
      </c>
      <c r="H1069" s="29" t="s">
        <v>185</v>
      </c>
      <c r="I1069" s="120">
        <v>45713</v>
      </c>
      <c r="J1069" s="120">
        <f>WORKDAY(I1069, 3)</f>
        <v>45716</v>
      </c>
      <c r="K1069" s="120"/>
      <c r="L1069" s="120"/>
      <c r="M1069" s="120"/>
      <c r="N1069" s="120">
        <v>45721</v>
      </c>
      <c r="O1069" s="119" t="s">
        <v>10</v>
      </c>
      <c r="P1069" s="152"/>
      <c r="Q1069" s="153"/>
      <c r="R1069" s="67" t="s">
        <v>638</v>
      </c>
    </row>
    <row r="1070" spans="1:18">
      <c r="A1070" s="147" t="s">
        <v>637</v>
      </c>
      <c r="B1070" s="147"/>
      <c r="C1070" s="67">
        <v>51507845</v>
      </c>
      <c r="D1070" s="67"/>
      <c r="F1070" s="67"/>
      <c r="G1070" s="29" t="s">
        <v>744</v>
      </c>
      <c r="H1070" s="29" t="s">
        <v>185</v>
      </c>
      <c r="I1070" s="120">
        <v>45713</v>
      </c>
      <c r="J1070" s="120">
        <f>WORKDAY(I1070, 3)</f>
        <v>45716</v>
      </c>
      <c r="K1070" s="120"/>
      <c r="L1070" s="120"/>
      <c r="M1070" s="120"/>
      <c r="N1070" s="120">
        <v>45717</v>
      </c>
      <c r="O1070" s="119" t="s">
        <v>10</v>
      </c>
      <c r="P1070" s="152"/>
      <c r="Q1070" s="153"/>
      <c r="R1070" s="67" t="s">
        <v>639</v>
      </c>
    </row>
    <row r="1071" spans="1:18">
      <c r="A1071" s="147" t="s">
        <v>637</v>
      </c>
      <c r="B1071" s="147"/>
      <c r="C1071" s="67">
        <v>51507850</v>
      </c>
      <c r="D1071" s="67"/>
      <c r="F1071" s="67"/>
      <c r="G1071" s="29" t="s">
        <v>744</v>
      </c>
      <c r="H1071" s="29" t="s">
        <v>185</v>
      </c>
      <c r="I1071" s="120">
        <v>45713</v>
      </c>
      <c r="J1071" s="120">
        <f>WORKDAY(I1071, 3)</f>
        <v>45716</v>
      </c>
      <c r="K1071" s="120"/>
      <c r="L1071" s="120"/>
      <c r="M1071" s="120"/>
      <c r="N1071" s="120">
        <v>45722</v>
      </c>
      <c r="O1071" s="119" t="s">
        <v>10</v>
      </c>
      <c r="P1071" s="152"/>
      <c r="Q1071" s="153"/>
      <c r="R1071" s="67" t="s">
        <v>638</v>
      </c>
    </row>
    <row r="1072" spans="1:18">
      <c r="A1072" s="147" t="s">
        <v>637</v>
      </c>
      <c r="B1072" s="147"/>
      <c r="C1072" s="67">
        <v>52505611</v>
      </c>
      <c r="D1072" s="67"/>
      <c r="F1072" s="67"/>
      <c r="G1072" s="29" t="s">
        <v>744</v>
      </c>
      <c r="H1072" s="29" t="s">
        <v>185</v>
      </c>
      <c r="I1072" s="120">
        <v>45713</v>
      </c>
      <c r="J1072" s="120">
        <f>WORKDAY(I1072, 3)</f>
        <v>45716</v>
      </c>
      <c r="K1072" s="120">
        <v>45729</v>
      </c>
      <c r="L1072" s="120"/>
      <c r="M1072" s="120"/>
      <c r="N1072" s="120"/>
      <c r="O1072" s="119" t="s">
        <v>850</v>
      </c>
      <c r="P1072" s="120"/>
      <c r="Q1072" s="135"/>
      <c r="R1072" s="67" t="s">
        <v>640</v>
      </c>
    </row>
    <row r="1073" spans="1:18">
      <c r="A1073" s="147" t="s">
        <v>637</v>
      </c>
      <c r="B1073" s="147"/>
      <c r="C1073" s="67">
        <v>52505674</v>
      </c>
      <c r="D1073" s="67"/>
      <c r="F1073" s="67"/>
      <c r="G1073" s="29" t="s">
        <v>744</v>
      </c>
      <c r="H1073" s="29" t="s">
        <v>185</v>
      </c>
      <c r="I1073" s="120">
        <v>45713</v>
      </c>
      <c r="J1073" s="120">
        <f>WORKDAY(I1073, 3)</f>
        <v>45716</v>
      </c>
      <c r="K1073" s="120">
        <v>45729</v>
      </c>
      <c r="L1073" s="120"/>
      <c r="M1073" s="120"/>
      <c r="N1073" s="120"/>
      <c r="O1073" s="119" t="s">
        <v>850</v>
      </c>
      <c r="P1073" s="120"/>
      <c r="Q1073" s="135"/>
      <c r="R1073" s="67" t="s">
        <v>641</v>
      </c>
    </row>
    <row r="1074" spans="1:18">
      <c r="A1074" s="147" t="s">
        <v>637</v>
      </c>
      <c r="B1074" s="147"/>
      <c r="C1074" s="67">
        <v>51507828</v>
      </c>
      <c r="D1074" s="67"/>
      <c r="F1074" s="67"/>
      <c r="G1074" s="29" t="s">
        <v>744</v>
      </c>
      <c r="H1074" s="29" t="s">
        <v>185</v>
      </c>
      <c r="I1074" s="120">
        <v>45713</v>
      </c>
      <c r="J1074" s="120">
        <f>WORKDAY(I1074, 3)</f>
        <v>45716</v>
      </c>
      <c r="K1074" s="120"/>
      <c r="L1074" s="120"/>
      <c r="M1074" s="120"/>
      <c r="N1074" s="120">
        <v>45717</v>
      </c>
      <c r="O1074" s="119" t="s">
        <v>10</v>
      </c>
      <c r="P1074" s="152"/>
      <c r="Q1074" s="153"/>
      <c r="R1074" s="67" t="s">
        <v>639</v>
      </c>
    </row>
    <row r="1075" spans="1:18">
      <c r="A1075" s="147" t="s">
        <v>890</v>
      </c>
      <c r="B1075" s="147"/>
      <c r="C1075" s="29">
        <v>57502427</v>
      </c>
      <c r="D1075" s="29"/>
      <c r="F1075" s="29"/>
      <c r="G1075" s="29" t="s">
        <v>153</v>
      </c>
      <c r="H1075" s="29" t="s">
        <v>236</v>
      </c>
      <c r="I1075" s="120">
        <v>45714</v>
      </c>
      <c r="J1075" s="120">
        <f>WORKDAY(I1075, 3)</f>
        <v>45719</v>
      </c>
      <c r="K1075" s="120"/>
      <c r="L1075" s="120"/>
      <c r="M1075" s="120"/>
      <c r="N1075" s="120"/>
      <c r="O1075" s="119" t="s">
        <v>850</v>
      </c>
      <c r="P1075" s="120"/>
      <c r="Q1075" s="135"/>
    </row>
    <row r="1076" spans="1:18" ht="15.75">
      <c r="A1076" s="147" t="s">
        <v>891</v>
      </c>
      <c r="B1076" s="147"/>
      <c r="C1076" s="121">
        <v>52505244</v>
      </c>
      <c r="D1076" s="121"/>
      <c r="F1076" s="121"/>
      <c r="G1076" s="29" t="s">
        <v>153</v>
      </c>
      <c r="H1076" s="29" t="s">
        <v>236</v>
      </c>
      <c r="I1076" s="120">
        <v>45709</v>
      </c>
      <c r="J1076" s="120">
        <f>WORKDAY(I1076, 3)</f>
        <v>45714</v>
      </c>
      <c r="K1076" s="120"/>
      <c r="L1076" s="120"/>
      <c r="M1076" s="120"/>
      <c r="N1076" s="120"/>
      <c r="O1076" s="119" t="s">
        <v>850</v>
      </c>
      <c r="P1076" s="120"/>
      <c r="Q1076" s="135"/>
    </row>
    <row r="1077" spans="1:18" ht="15.75">
      <c r="A1077" s="147" t="s">
        <v>891</v>
      </c>
      <c r="B1077" s="147"/>
      <c r="C1077" s="122">
        <v>52505439</v>
      </c>
      <c r="D1077" s="122"/>
      <c r="F1077" s="122"/>
      <c r="G1077" s="29" t="s">
        <v>153</v>
      </c>
      <c r="H1077" s="29" t="s">
        <v>236</v>
      </c>
      <c r="I1077" s="120">
        <v>45709</v>
      </c>
      <c r="J1077" s="120">
        <f>WORKDAY(I1077, 3)</f>
        <v>45714</v>
      </c>
      <c r="K1077" s="120"/>
      <c r="L1077" s="120"/>
      <c r="M1077" s="120"/>
      <c r="N1077" s="120"/>
      <c r="O1077" s="119" t="s">
        <v>850</v>
      </c>
      <c r="P1077" s="120"/>
      <c r="Q1077" s="135"/>
    </row>
    <row r="1078" spans="1:18" ht="15.75">
      <c r="A1078" s="147" t="s">
        <v>891</v>
      </c>
      <c r="B1078" s="147"/>
      <c r="C1078" s="122">
        <v>52505467</v>
      </c>
      <c r="D1078" s="122"/>
      <c r="F1078" s="122"/>
      <c r="G1078" s="29" t="s">
        <v>153</v>
      </c>
      <c r="H1078" s="29" t="s">
        <v>236</v>
      </c>
      <c r="I1078" s="120">
        <v>45709</v>
      </c>
      <c r="J1078" s="120">
        <f>WORKDAY(I1078, 3)</f>
        <v>45714</v>
      </c>
      <c r="K1078" s="120"/>
      <c r="L1078" s="120"/>
      <c r="M1078" s="120"/>
      <c r="N1078" s="120"/>
      <c r="O1078" s="119" t="s">
        <v>850</v>
      </c>
      <c r="P1078" s="120"/>
      <c r="Q1078" s="135"/>
    </row>
    <row r="1079" spans="1:18">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c r="A1098" s="41" t="s">
        <v>737</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738</v>
      </c>
      <c r="S1098" s="123"/>
    </row>
    <row r="1099" spans="1:19">
      <c r="A1099" s="41" t="s">
        <v>737</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739</v>
      </c>
      <c r="S1099" s="123"/>
    </row>
    <row r="1100" spans="1:19">
      <c r="A1100" s="41" t="s">
        <v>859</v>
      </c>
      <c r="B1100" s="41"/>
      <c r="C1100" s="41">
        <v>56503360</v>
      </c>
      <c r="D1100" s="41"/>
      <c r="F1100" s="41"/>
      <c r="G1100" s="29" t="s">
        <v>153</v>
      </c>
      <c r="H1100" s="29" t="s">
        <v>77</v>
      </c>
      <c r="I1100" s="42">
        <v>45713</v>
      </c>
      <c r="J1100" s="120">
        <f>WORKDAY(I1100, 3)</f>
        <v>45716</v>
      </c>
      <c r="K1100" s="42">
        <v>45729</v>
      </c>
      <c r="L1100" s="42"/>
      <c r="M1100" s="42"/>
      <c r="N1100" s="120"/>
      <c r="O1100" s="119" t="s">
        <v>850</v>
      </c>
      <c r="P1100" s="120"/>
      <c r="Q1100" s="135"/>
      <c r="R1100" s="41" t="s">
        <v>885</v>
      </c>
      <c r="S1100" s="123"/>
    </row>
    <row r="1101" spans="1:19">
      <c r="A1101" s="41" t="s">
        <v>859</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821</v>
      </c>
      <c r="S1101" s="123"/>
    </row>
    <row r="1102" spans="1:19">
      <c r="A1102" s="41" t="s">
        <v>859</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859</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820</v>
      </c>
      <c r="S1103" s="123"/>
    </row>
    <row r="1104" spans="1:19">
      <c r="A1104" s="41" t="s">
        <v>859</v>
      </c>
      <c r="B1104" s="41"/>
      <c r="C1104" s="41">
        <v>56503469</v>
      </c>
      <c r="D1104" s="41"/>
      <c r="F1104" s="41"/>
      <c r="G1104" s="29" t="s">
        <v>153</v>
      </c>
      <c r="H1104" s="29" t="s">
        <v>77</v>
      </c>
      <c r="I1104" s="42">
        <v>45713</v>
      </c>
      <c r="J1104" s="120">
        <f>WORKDAY(I1104, 3)</f>
        <v>45716</v>
      </c>
      <c r="K1104" s="42">
        <v>45729</v>
      </c>
      <c r="L1104" s="42"/>
      <c r="M1104" s="42"/>
      <c r="N1104" s="120"/>
      <c r="O1104" s="119" t="s">
        <v>850</v>
      </c>
      <c r="P1104" s="120"/>
      <c r="Q1104" s="135"/>
      <c r="R1104" s="41" t="s">
        <v>863</v>
      </c>
      <c r="S1104" s="123"/>
    </row>
    <row r="1105" spans="1:19">
      <c r="A1105" s="41" t="s">
        <v>859</v>
      </c>
      <c r="B1105" s="41"/>
      <c r="C1105" s="41">
        <v>56503412</v>
      </c>
      <c r="D1105" s="41"/>
      <c r="F1105" s="41"/>
      <c r="G1105" s="29" t="s">
        <v>153</v>
      </c>
      <c r="H1105" s="29" t="s">
        <v>77</v>
      </c>
      <c r="I1105" s="42">
        <v>45713</v>
      </c>
      <c r="J1105" s="120">
        <f>WORKDAY(I1105, 3)</f>
        <v>45716</v>
      </c>
      <c r="K1105" s="42">
        <v>45729</v>
      </c>
      <c r="L1105" s="42"/>
      <c r="M1105" s="42"/>
      <c r="N1105" s="120"/>
      <c r="O1105" s="119" t="s">
        <v>850</v>
      </c>
      <c r="P1105" s="120"/>
      <c r="Q1105" s="135"/>
      <c r="R1105" s="41" t="s">
        <v>886</v>
      </c>
      <c r="S1105" s="123"/>
    </row>
    <row r="1106" spans="1:19">
      <c r="A1106" s="41" t="s">
        <v>892</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205</v>
      </c>
      <c r="B1110" s="29"/>
      <c r="C1110" s="29">
        <v>56506013</v>
      </c>
      <c r="D1110" s="29"/>
      <c r="F1110" s="29"/>
      <c r="G1110" s="29" t="s">
        <v>106</v>
      </c>
      <c r="H1110" s="29" t="s">
        <v>207</v>
      </c>
      <c r="I1110" s="120">
        <v>45716</v>
      </c>
      <c r="J1110" s="120">
        <f>WORKDAY(I1110, 3)</f>
        <v>45721</v>
      </c>
      <c r="K1110" s="120">
        <v>45729</v>
      </c>
      <c r="L1110" s="120"/>
      <c r="M1110" s="120"/>
      <c r="N1110" s="120"/>
      <c r="O1110" s="119" t="s">
        <v>850</v>
      </c>
      <c r="P1110" s="120"/>
      <c r="Q1110" s="135"/>
      <c r="R1110" s="29"/>
    </row>
    <row r="1111" spans="1:19">
      <c r="A1111" s="29" t="s">
        <v>205</v>
      </c>
      <c r="B1111" s="29"/>
      <c r="C1111" s="29">
        <v>56506218</v>
      </c>
      <c r="D1111" s="29"/>
      <c r="F1111" s="29"/>
      <c r="G1111" s="29" t="s">
        <v>106</v>
      </c>
      <c r="H1111" s="29" t="s">
        <v>207</v>
      </c>
      <c r="I1111" s="120">
        <v>45716</v>
      </c>
      <c r="J1111" s="120">
        <f>WORKDAY(I1111, 3)</f>
        <v>45721</v>
      </c>
      <c r="K1111" s="120"/>
      <c r="L1111" s="120"/>
      <c r="M1111" s="120"/>
      <c r="N1111" s="120">
        <v>45717</v>
      </c>
      <c r="O1111" s="119" t="s">
        <v>10</v>
      </c>
      <c r="P1111" s="152"/>
      <c r="Q1111" s="153"/>
      <c r="R1111" s="29"/>
    </row>
    <row r="1112" spans="1:19">
      <c r="A1112" s="29" t="s">
        <v>208</v>
      </c>
      <c r="B1112" s="29"/>
      <c r="C1112" s="29">
        <v>56506367</v>
      </c>
      <c r="D1112" s="29"/>
      <c r="F1112" s="29"/>
      <c r="G1112" s="29" t="s">
        <v>106</v>
      </c>
      <c r="H1112" s="29" t="s">
        <v>207</v>
      </c>
      <c r="I1112" s="120">
        <v>45716</v>
      </c>
      <c r="J1112" s="120">
        <f>WORKDAY(I1112, 3)</f>
        <v>45721</v>
      </c>
      <c r="K1112" s="120">
        <v>45729</v>
      </c>
      <c r="L1112" s="120"/>
      <c r="M1112" s="120"/>
      <c r="N1112" s="120"/>
      <c r="O1112" s="119" t="s">
        <v>850</v>
      </c>
      <c r="P1112" s="120"/>
      <c r="Q1112" s="135"/>
      <c r="R1112" s="29"/>
    </row>
    <row r="1113" spans="1:19">
      <c r="A1113" s="29" t="s">
        <v>209</v>
      </c>
      <c r="B1113" s="29"/>
      <c r="C1113" s="29">
        <v>56506513</v>
      </c>
      <c r="D1113" s="29"/>
      <c r="F1113" s="29"/>
      <c r="G1113" s="29" t="s">
        <v>106</v>
      </c>
      <c r="H1113" s="29" t="s">
        <v>207</v>
      </c>
      <c r="I1113" s="120">
        <v>45716</v>
      </c>
      <c r="J1113" s="120">
        <f>WORKDAY(I1113, 3)</f>
        <v>45721</v>
      </c>
      <c r="K1113" s="120"/>
      <c r="L1113" s="120"/>
      <c r="M1113" s="120"/>
      <c r="N1113" s="120">
        <v>45717</v>
      </c>
      <c r="O1113" s="119" t="s">
        <v>10</v>
      </c>
      <c r="P1113" s="120"/>
      <c r="Q1113" s="135"/>
      <c r="R1113" s="29"/>
    </row>
    <row r="1114" spans="1:19">
      <c r="A1114" s="29" t="s">
        <v>209</v>
      </c>
      <c r="B1114" s="29"/>
      <c r="C1114" s="29">
        <v>56506567</v>
      </c>
      <c r="D1114" s="29"/>
      <c r="F1114" s="29"/>
      <c r="G1114" s="29" t="s">
        <v>106</v>
      </c>
      <c r="H1114" s="29" t="s">
        <v>207</v>
      </c>
      <c r="I1114" s="120">
        <v>45716</v>
      </c>
      <c r="J1114" s="120">
        <f>WORKDAY(I1114, 3)</f>
        <v>45721</v>
      </c>
      <c r="K1114" s="120"/>
      <c r="L1114" s="120"/>
      <c r="M1114" s="120"/>
      <c r="N1114" s="120">
        <v>45714</v>
      </c>
      <c r="O1114" s="119" t="s">
        <v>10</v>
      </c>
      <c r="P1114" s="152"/>
      <c r="Q1114" s="153"/>
      <c r="R1114" s="29"/>
    </row>
    <row r="1115" spans="1:19">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744</v>
      </c>
      <c r="H1215" s="29" t="s">
        <v>142</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744</v>
      </c>
      <c r="H1216" s="29" t="s">
        <v>142</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744</v>
      </c>
      <c r="H1217" s="29" t="s">
        <v>142</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744</v>
      </c>
      <c r="H1218" s="29" t="s">
        <v>142</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744</v>
      </c>
      <c r="H1219" s="29" t="s">
        <v>142</v>
      </c>
      <c r="I1219" s="120">
        <v>45726</v>
      </c>
      <c r="J1219" s="120">
        <f>WORKDAY(I1219, 3)</f>
        <v>45729</v>
      </c>
      <c r="K1219" s="42">
        <v>45727</v>
      </c>
      <c r="L1219" s="42"/>
      <c r="M1219" s="42"/>
      <c r="N1219" s="120">
        <v>45737</v>
      </c>
      <c r="O1219" s="119" t="s">
        <v>902</v>
      </c>
      <c r="P1219" s="29"/>
      <c r="Q1219" s="81"/>
    </row>
    <row r="1220" spans="1:18">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142</v>
      </c>
      <c r="I1221" s="120">
        <v>45720</v>
      </c>
      <c r="J1221" s="120">
        <f>WORKDAY(I1221, 3)</f>
        <v>45723</v>
      </c>
      <c r="K1221" s="42">
        <v>45727</v>
      </c>
      <c r="L1221" s="42"/>
      <c r="M1221" s="42"/>
      <c r="N1221" s="29"/>
      <c r="O1221" s="119" t="s">
        <v>850</v>
      </c>
      <c r="P1221" s="29"/>
      <c r="Q1221" s="81"/>
    </row>
    <row r="1222" spans="1:18">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c r="A1337" s="134" t="s">
        <v>971</v>
      </c>
      <c r="C1337" s="29">
        <v>72502083</v>
      </c>
      <c r="D1337" s="29"/>
      <c r="F1337" s="29" t="s">
        <v>76</v>
      </c>
      <c r="G1337" s="29" t="s">
        <v>153</v>
      </c>
      <c r="H1337" s="29" t="s">
        <v>77</v>
      </c>
      <c r="I1337" s="42">
        <v>45729</v>
      </c>
      <c r="J1337" s="120">
        <f>WORKDAY(I1337, 3)</f>
        <v>45734</v>
      </c>
      <c r="K1337" s="120">
        <v>45730</v>
      </c>
      <c r="L1337" s="120"/>
      <c r="M1337" s="120"/>
      <c r="N1337" s="120">
        <v>45738</v>
      </c>
      <c r="O1337" s="119" t="s">
        <v>884</v>
      </c>
      <c r="P1337" s="29"/>
      <c r="Q1337" s="81"/>
      <c r="R1337" s="119" t="s">
        <v>972</v>
      </c>
    </row>
    <row r="1338" spans="1:18">
      <c r="A1338" s="134" t="s">
        <v>971</v>
      </c>
      <c r="C1338" s="29">
        <v>72502046</v>
      </c>
      <c r="D1338" s="29"/>
      <c r="F1338" s="29" t="s">
        <v>76</v>
      </c>
      <c r="G1338" s="29" t="s">
        <v>153</v>
      </c>
      <c r="H1338" s="29" t="s">
        <v>77</v>
      </c>
      <c r="I1338" s="42">
        <v>45729</v>
      </c>
      <c r="J1338" s="120">
        <f>WORKDAY(I1338, 3)</f>
        <v>45734</v>
      </c>
      <c r="K1338" s="120">
        <v>45730</v>
      </c>
      <c r="L1338" s="120"/>
      <c r="M1338" s="120"/>
      <c r="N1338" s="29"/>
      <c r="O1338" s="119" t="s">
        <v>860</v>
      </c>
      <c r="P1338" s="29"/>
      <c r="Q1338" s="81">
        <v>1100</v>
      </c>
      <c r="R1338" s="119" t="s">
        <v>973</v>
      </c>
    </row>
    <row r="1339" spans="1:18">
      <c r="A1339" s="134" t="s">
        <v>971</v>
      </c>
      <c r="C1339" s="29">
        <v>72502007</v>
      </c>
      <c r="D1339" s="29"/>
      <c r="F1339" s="29" t="s">
        <v>76</v>
      </c>
      <c r="G1339" s="29" t="s">
        <v>153</v>
      </c>
      <c r="H1339" s="29" t="s">
        <v>77</v>
      </c>
      <c r="I1339" s="42">
        <v>45729</v>
      </c>
      <c r="J1339" s="120">
        <f>WORKDAY(I1339, 3)</f>
        <v>45734</v>
      </c>
      <c r="K1339" s="120">
        <v>45730</v>
      </c>
      <c r="L1339" s="120"/>
      <c r="M1339" s="120"/>
      <c r="N1339" s="120">
        <v>45738</v>
      </c>
      <c r="O1339" s="119" t="s">
        <v>884</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c r="A1364" s="134" t="s">
        <v>975</v>
      </c>
      <c r="C1364" s="29">
        <v>71509589</v>
      </c>
      <c r="D1364" s="29"/>
      <c r="F1364" s="29" t="s">
        <v>183</v>
      </c>
      <c r="G1364" s="29" t="s">
        <v>744</v>
      </c>
      <c r="H1364" s="29" t="s">
        <v>976</v>
      </c>
      <c r="I1364" s="42">
        <v>45728</v>
      </c>
      <c r="J1364" s="120">
        <f>WORKDAY(I1364, 3)</f>
        <v>45733</v>
      </c>
      <c r="K1364" s="120">
        <v>45733</v>
      </c>
      <c r="L1364" s="120"/>
      <c r="M1364" s="120"/>
      <c r="N1364" s="120">
        <v>45738</v>
      </c>
      <c r="O1364" s="119" t="s">
        <v>884</v>
      </c>
      <c r="P1364" s="134"/>
    </row>
    <row r="1365" spans="1:17">
      <c r="A1365" s="134" t="s">
        <v>975</v>
      </c>
      <c r="C1365" s="29">
        <v>71509608</v>
      </c>
      <c r="D1365" s="29"/>
      <c r="F1365" s="29" t="s">
        <v>183</v>
      </c>
      <c r="G1365" s="29" t="s">
        <v>744</v>
      </c>
      <c r="H1365" s="29" t="s">
        <v>976</v>
      </c>
      <c r="I1365" s="42">
        <v>45728</v>
      </c>
      <c r="J1365" s="120">
        <f>WORKDAY(I1365, 3)</f>
        <v>45733</v>
      </c>
      <c r="K1365" s="120">
        <v>45733</v>
      </c>
      <c r="L1365" s="120"/>
      <c r="M1365" s="120"/>
      <c r="N1365" s="120">
        <v>45738</v>
      </c>
      <c r="O1365" s="119" t="s">
        <v>884</v>
      </c>
      <c r="P1365" s="29"/>
      <c r="Q1365" s="81"/>
    </row>
    <row r="1366" spans="1:17">
      <c r="A1366" s="134" t="s">
        <v>975</v>
      </c>
      <c r="C1366" s="29">
        <v>71509579</v>
      </c>
      <c r="D1366" s="29"/>
      <c r="F1366" s="29" t="s">
        <v>183</v>
      </c>
      <c r="G1366" s="29" t="s">
        <v>744</v>
      </c>
      <c r="H1366" s="29" t="s">
        <v>976</v>
      </c>
      <c r="I1366" s="42">
        <v>45728</v>
      </c>
      <c r="J1366" s="120">
        <f>WORKDAY(I1366, 3)</f>
        <v>45733</v>
      </c>
      <c r="K1366" s="120">
        <v>45733</v>
      </c>
      <c r="L1366" s="120"/>
      <c r="M1366" s="120"/>
      <c r="N1366" s="120">
        <v>45738</v>
      </c>
      <c r="O1366" s="119" t="s">
        <v>884</v>
      </c>
      <c r="P1366" s="29"/>
      <c r="Q1366" s="81"/>
    </row>
    <row r="1367" spans="1:17">
      <c r="A1367" s="134" t="s">
        <v>975</v>
      </c>
      <c r="C1367" s="29">
        <v>71509631</v>
      </c>
      <c r="D1367" s="29"/>
      <c r="F1367" s="29" t="s">
        <v>183</v>
      </c>
      <c r="G1367" s="29" t="s">
        <v>744</v>
      </c>
      <c r="H1367" s="29" t="s">
        <v>976</v>
      </c>
      <c r="I1367" s="42">
        <v>45728</v>
      </c>
      <c r="J1367" s="120">
        <f>WORKDAY(I1367, 3)</f>
        <v>45733</v>
      </c>
      <c r="K1367" s="120">
        <v>45733</v>
      </c>
      <c r="L1367" s="120"/>
      <c r="M1367" s="120"/>
      <c r="N1367" s="120">
        <v>45738</v>
      </c>
      <c r="O1367" s="119" t="s">
        <v>884</v>
      </c>
      <c r="P1367" s="29"/>
      <c r="Q1367" s="81"/>
    </row>
    <row r="1368" spans="1:17">
      <c r="A1368" s="134" t="s">
        <v>975</v>
      </c>
      <c r="C1368" s="29">
        <v>71509628</v>
      </c>
      <c r="D1368" s="29"/>
      <c r="F1368" s="29" t="s">
        <v>183</v>
      </c>
      <c r="G1368" s="29" t="s">
        <v>744</v>
      </c>
      <c r="H1368" s="29" t="s">
        <v>976</v>
      </c>
      <c r="I1368" s="42">
        <v>45728</v>
      </c>
      <c r="J1368" s="120">
        <f>WORKDAY(I1368, 3)</f>
        <v>45733</v>
      </c>
      <c r="K1368" s="120">
        <v>45733</v>
      </c>
      <c r="L1368" s="120"/>
      <c r="M1368" s="120"/>
      <c r="N1368" s="120">
        <v>45738</v>
      </c>
      <c r="O1368" s="119" t="s">
        <v>884</v>
      </c>
      <c r="P1368" s="29"/>
      <c r="Q1368" s="81"/>
    </row>
    <row r="1369" spans="1:17">
      <c r="A1369" s="134" t="s">
        <v>975</v>
      </c>
      <c r="C1369" s="29">
        <v>71509598</v>
      </c>
      <c r="D1369" s="29"/>
      <c r="F1369" s="29" t="s">
        <v>183</v>
      </c>
      <c r="G1369" s="29" t="s">
        <v>744</v>
      </c>
      <c r="H1369" s="29" t="s">
        <v>976</v>
      </c>
      <c r="I1369" s="42">
        <v>45728</v>
      </c>
      <c r="J1369" s="120">
        <f>WORKDAY(I1369, 3)</f>
        <v>45733</v>
      </c>
      <c r="K1369" s="120">
        <v>45733</v>
      </c>
      <c r="L1369" s="120"/>
      <c r="M1369" s="120"/>
      <c r="N1369" s="120">
        <v>45738</v>
      </c>
      <c r="O1369" s="119" t="s">
        <v>884</v>
      </c>
      <c r="P1369" s="29"/>
      <c r="Q1369" s="81"/>
    </row>
    <row r="1370" spans="1:17">
      <c r="A1370" s="134" t="s">
        <v>975</v>
      </c>
      <c r="C1370" s="29">
        <v>71509498</v>
      </c>
      <c r="D1370" s="29"/>
      <c r="F1370" s="29" t="s">
        <v>183</v>
      </c>
      <c r="G1370" s="29" t="s">
        <v>744</v>
      </c>
      <c r="H1370" s="29" t="s">
        <v>976</v>
      </c>
      <c r="I1370" s="42">
        <v>45728</v>
      </c>
      <c r="J1370" s="120">
        <f>WORKDAY(I1370, 3)</f>
        <v>45733</v>
      </c>
      <c r="K1370" s="120">
        <v>45733</v>
      </c>
      <c r="L1370" s="120"/>
      <c r="M1370" s="120"/>
      <c r="N1370" s="120">
        <v>45738</v>
      </c>
      <c r="O1370" s="119" t="s">
        <v>884</v>
      </c>
      <c r="P1370" s="29"/>
      <c r="Q1370" s="81"/>
    </row>
    <row r="1371" spans="1:17">
      <c r="A1371" s="134" t="s">
        <v>975</v>
      </c>
      <c r="C1371" s="29">
        <v>71509510</v>
      </c>
      <c r="D1371" s="29"/>
      <c r="F1371" s="29" t="s">
        <v>183</v>
      </c>
      <c r="G1371" s="29" t="s">
        <v>744</v>
      </c>
      <c r="H1371" s="29" t="s">
        <v>976</v>
      </c>
      <c r="I1371" s="42">
        <v>45728</v>
      </c>
      <c r="J1371" s="120">
        <f>WORKDAY(I1371, 3)</f>
        <v>45733</v>
      </c>
      <c r="K1371" s="120">
        <v>45733</v>
      </c>
      <c r="L1371" s="120"/>
      <c r="M1371" s="120"/>
      <c r="N1371" s="120">
        <v>45738</v>
      </c>
      <c r="O1371" s="119" t="s">
        <v>884</v>
      </c>
      <c r="P1371" s="29"/>
      <c r="Q1371" s="81"/>
    </row>
    <row r="1372" spans="1:17">
      <c r="A1372" s="134" t="s">
        <v>975</v>
      </c>
      <c r="C1372" s="29">
        <v>71509534</v>
      </c>
      <c r="D1372" s="29"/>
      <c r="F1372" s="29" t="s">
        <v>183</v>
      </c>
      <c r="G1372" s="29" t="s">
        <v>744</v>
      </c>
      <c r="H1372" s="29" t="s">
        <v>976</v>
      </c>
      <c r="I1372" s="42">
        <v>45728</v>
      </c>
      <c r="J1372" s="120">
        <f>WORKDAY(I1372, 3)</f>
        <v>45733</v>
      </c>
      <c r="K1372" s="120">
        <v>45733</v>
      </c>
      <c r="L1372" s="120"/>
      <c r="M1372" s="120"/>
      <c r="N1372" s="120">
        <v>45738</v>
      </c>
      <c r="O1372" s="119" t="s">
        <v>884</v>
      </c>
      <c r="P1372" s="29"/>
      <c r="Q1372" s="81"/>
    </row>
    <row r="1373" spans="1:17">
      <c r="A1373" s="134" t="s">
        <v>975</v>
      </c>
      <c r="C1373" s="29">
        <v>71509573</v>
      </c>
      <c r="D1373" s="29"/>
      <c r="F1373" s="29" t="s">
        <v>183</v>
      </c>
      <c r="G1373" s="29" t="s">
        <v>744</v>
      </c>
      <c r="H1373" s="29" t="s">
        <v>976</v>
      </c>
      <c r="I1373" s="42">
        <v>45728</v>
      </c>
      <c r="J1373" s="120">
        <f>WORKDAY(I1373, 3)</f>
        <v>45733</v>
      </c>
      <c r="K1373" s="120">
        <v>45733</v>
      </c>
      <c r="L1373" s="120"/>
      <c r="M1373" s="120"/>
      <c r="N1373" s="120">
        <v>45740</v>
      </c>
      <c r="O1373" s="119" t="s">
        <v>884</v>
      </c>
      <c r="P1373" s="29"/>
      <c r="Q1373" s="81"/>
    </row>
    <row r="1374" spans="1:17">
      <c r="A1374" s="134" t="s">
        <v>975</v>
      </c>
      <c r="C1374" s="29">
        <v>71509553</v>
      </c>
      <c r="D1374" s="29"/>
      <c r="F1374" s="29" t="s">
        <v>183</v>
      </c>
      <c r="G1374" s="29" t="s">
        <v>744</v>
      </c>
      <c r="H1374" s="29" t="s">
        <v>976</v>
      </c>
      <c r="I1374" s="42">
        <v>45728</v>
      </c>
      <c r="J1374" s="120">
        <f>WORKDAY(I1374, 3)</f>
        <v>45733</v>
      </c>
      <c r="K1374" s="120">
        <v>45733</v>
      </c>
      <c r="L1374" s="120"/>
      <c r="M1374" s="120"/>
      <c r="N1374" s="120">
        <v>45740</v>
      </c>
      <c r="O1374" s="119" t="s">
        <v>884</v>
      </c>
      <c r="P1374" s="29"/>
      <c r="Q1374" s="81"/>
    </row>
    <row r="1375" spans="1:17">
      <c r="A1375" s="134" t="s">
        <v>975</v>
      </c>
      <c r="C1375" s="29">
        <v>71509566</v>
      </c>
      <c r="D1375" s="29"/>
      <c r="F1375" s="29" t="s">
        <v>183</v>
      </c>
      <c r="G1375" s="29" t="s">
        <v>744</v>
      </c>
      <c r="H1375" s="29" t="s">
        <v>976</v>
      </c>
      <c r="I1375" s="42">
        <v>45728</v>
      </c>
      <c r="J1375" s="120">
        <f>WORKDAY(I1375, 3)</f>
        <v>45733</v>
      </c>
      <c r="K1375" s="120">
        <v>45733</v>
      </c>
      <c r="L1375" s="120"/>
      <c r="M1375" s="120"/>
      <c r="N1375" s="120">
        <v>45738</v>
      </c>
      <c r="O1375" s="119" t="s">
        <v>884</v>
      </c>
      <c r="P1375" s="29"/>
      <c r="Q1375" s="81"/>
    </row>
    <row r="1376" spans="1:17">
      <c r="A1376" s="134" t="s">
        <v>975</v>
      </c>
      <c r="C1376" s="29">
        <v>71509620</v>
      </c>
      <c r="D1376" s="29"/>
      <c r="F1376" s="29" t="s">
        <v>183</v>
      </c>
      <c r="G1376" s="29" t="s">
        <v>744</v>
      </c>
      <c r="H1376" s="29" t="s">
        <v>976</v>
      </c>
      <c r="I1376" s="42">
        <v>45728</v>
      </c>
      <c r="J1376" s="120">
        <f>WORKDAY(I1376, 3)</f>
        <v>45733</v>
      </c>
      <c r="K1376" s="120">
        <v>45733</v>
      </c>
      <c r="L1376" s="120"/>
      <c r="M1376" s="120"/>
      <c r="N1376" s="120">
        <v>45738</v>
      </c>
      <c r="O1376" s="119" t="s">
        <v>884</v>
      </c>
      <c r="P1376" s="29"/>
      <c r="Q1376" s="81"/>
    </row>
    <row r="1377" spans="1:18">
      <c r="A1377" s="134" t="s">
        <v>975</v>
      </c>
      <c r="C1377" s="29">
        <v>71509267</v>
      </c>
      <c r="D1377" s="29"/>
      <c r="F1377" s="29" t="s">
        <v>183</v>
      </c>
      <c r="G1377" s="29" t="s">
        <v>744</v>
      </c>
      <c r="H1377" s="29" t="s">
        <v>976</v>
      </c>
      <c r="I1377" s="42">
        <v>45728</v>
      </c>
      <c r="J1377" s="120">
        <f>WORKDAY(I1377, 3)</f>
        <v>45733</v>
      </c>
      <c r="K1377" s="120">
        <v>45733</v>
      </c>
      <c r="L1377" s="120"/>
      <c r="M1377" s="120"/>
      <c r="N1377" s="120">
        <v>45740</v>
      </c>
      <c r="O1377" s="119" t="s">
        <v>884</v>
      </c>
      <c r="P1377" s="29"/>
      <c r="Q1377" s="81"/>
    </row>
    <row r="1378" spans="1:18">
      <c r="A1378" s="134" t="s">
        <v>975</v>
      </c>
      <c r="C1378" s="29">
        <v>71509293</v>
      </c>
      <c r="D1378" s="29"/>
      <c r="F1378" s="29" t="s">
        <v>183</v>
      </c>
      <c r="G1378" s="29" t="s">
        <v>744</v>
      </c>
      <c r="H1378" s="29" t="s">
        <v>976</v>
      </c>
      <c r="I1378" s="42">
        <v>45728</v>
      </c>
      <c r="J1378" s="120">
        <f>WORKDAY(I1378, 3)</f>
        <v>45733</v>
      </c>
      <c r="K1378" s="120">
        <v>45733</v>
      </c>
      <c r="L1378" s="120"/>
      <c r="M1378" s="120"/>
      <c r="N1378" s="120">
        <v>45738</v>
      </c>
      <c r="O1378" s="119" t="s">
        <v>884</v>
      </c>
      <c r="P1378" s="29"/>
      <c r="Q1378" s="81"/>
    </row>
    <row r="1379" spans="1:18">
      <c r="A1379" s="134" t="s">
        <v>975</v>
      </c>
      <c r="C1379" s="29">
        <v>71509399</v>
      </c>
      <c r="D1379" s="29"/>
      <c r="F1379" s="29" t="s">
        <v>183</v>
      </c>
      <c r="G1379" s="29" t="s">
        <v>744</v>
      </c>
      <c r="H1379" s="29" t="s">
        <v>976</v>
      </c>
      <c r="I1379" s="42">
        <v>45728</v>
      </c>
      <c r="J1379" s="120">
        <f>WORKDAY(I1379, 3)</f>
        <v>45733</v>
      </c>
      <c r="K1379" s="120">
        <v>45733</v>
      </c>
      <c r="L1379" s="120"/>
      <c r="M1379" s="120"/>
      <c r="N1379" s="120">
        <v>45738</v>
      </c>
      <c r="O1379" s="119" t="s">
        <v>884</v>
      </c>
      <c r="P1379" s="29"/>
      <c r="Q1379" s="81"/>
    </row>
    <row r="1380" spans="1:18">
      <c r="A1380" s="134" t="s">
        <v>975</v>
      </c>
      <c r="C1380" s="29">
        <v>71509418</v>
      </c>
      <c r="D1380" s="29"/>
      <c r="F1380" s="29" t="s">
        <v>183</v>
      </c>
      <c r="G1380" s="29" t="s">
        <v>744</v>
      </c>
      <c r="H1380" s="29" t="s">
        <v>976</v>
      </c>
      <c r="I1380" s="42">
        <v>45728</v>
      </c>
      <c r="J1380" s="120">
        <f>WORKDAY(I1380, 3)</f>
        <v>45733</v>
      </c>
      <c r="K1380" s="120">
        <v>45733</v>
      </c>
      <c r="L1380" s="120"/>
      <c r="M1380" s="120"/>
      <c r="N1380" s="120">
        <v>45738</v>
      </c>
      <c r="O1380" s="119" t="s">
        <v>884</v>
      </c>
      <c r="P1380" s="29"/>
      <c r="Q1380" s="81"/>
    </row>
    <row r="1381" spans="1:18">
      <c r="A1381" s="134" t="s">
        <v>975</v>
      </c>
      <c r="C1381" s="29">
        <v>71509325</v>
      </c>
      <c r="D1381" s="29"/>
      <c r="F1381" s="29" t="s">
        <v>183</v>
      </c>
      <c r="G1381" s="29" t="s">
        <v>744</v>
      </c>
      <c r="H1381" s="29" t="s">
        <v>976</v>
      </c>
      <c r="I1381" s="42">
        <v>45728</v>
      </c>
      <c r="J1381" s="120">
        <f>WORKDAY(I1381, 3)</f>
        <v>45733</v>
      </c>
      <c r="K1381" s="120">
        <v>45733</v>
      </c>
      <c r="L1381" s="120"/>
      <c r="M1381" s="120"/>
      <c r="N1381" s="120">
        <v>45737</v>
      </c>
      <c r="O1381" s="119" t="s">
        <v>884</v>
      </c>
      <c r="P1381" s="29"/>
      <c r="Q1381" s="81"/>
    </row>
    <row r="1382" spans="1:18">
      <c r="A1382" s="134" t="s">
        <v>975</v>
      </c>
      <c r="C1382" s="29">
        <v>71509370</v>
      </c>
      <c r="D1382" s="29"/>
      <c r="F1382" s="29" t="s">
        <v>183</v>
      </c>
      <c r="G1382" s="29" t="s">
        <v>744</v>
      </c>
      <c r="H1382" s="29" t="s">
        <v>976</v>
      </c>
      <c r="I1382" s="42">
        <v>45728</v>
      </c>
      <c r="J1382" s="120">
        <f>WORKDAY(I1382, 3)</f>
        <v>45733</v>
      </c>
      <c r="K1382" s="120">
        <v>45733</v>
      </c>
      <c r="L1382" s="120"/>
      <c r="M1382" s="120"/>
      <c r="N1382" s="120">
        <v>45737</v>
      </c>
      <c r="O1382" s="119" t="s">
        <v>884</v>
      </c>
      <c r="P1382" s="29"/>
      <c r="Q1382" s="81"/>
    </row>
    <row r="1383" spans="1:18">
      <c r="A1383" s="134" t="s">
        <v>975</v>
      </c>
      <c r="C1383" s="29">
        <v>71509213</v>
      </c>
      <c r="D1383" s="29"/>
      <c r="F1383" s="29" t="s">
        <v>183</v>
      </c>
      <c r="G1383" s="29" t="s">
        <v>744</v>
      </c>
      <c r="H1383" s="29" t="s">
        <v>976</v>
      </c>
      <c r="I1383" s="42">
        <v>45728</v>
      </c>
      <c r="J1383" s="120">
        <f>WORKDAY(I1383, 3)</f>
        <v>45733</v>
      </c>
      <c r="K1383" s="120">
        <v>45733</v>
      </c>
      <c r="L1383" s="120"/>
      <c r="M1383" s="120"/>
      <c r="N1383" s="120">
        <v>45738</v>
      </c>
      <c r="O1383" s="119" t="s">
        <v>884</v>
      </c>
      <c r="P1383" s="29"/>
      <c r="Q1383" s="81"/>
    </row>
    <row r="1384" spans="1:18">
      <c r="A1384" s="134" t="s">
        <v>975</v>
      </c>
      <c r="C1384" s="29">
        <v>71509244</v>
      </c>
      <c r="D1384" s="29"/>
      <c r="F1384" s="29" t="s">
        <v>183</v>
      </c>
      <c r="G1384" s="29" t="s">
        <v>744</v>
      </c>
      <c r="H1384" s="29" t="s">
        <v>976</v>
      </c>
      <c r="I1384" s="42">
        <v>45728</v>
      </c>
      <c r="J1384" s="120">
        <f>WORKDAY(I1384, 3)</f>
        <v>45733</v>
      </c>
      <c r="K1384" s="120">
        <v>45733</v>
      </c>
      <c r="L1384" s="120"/>
      <c r="M1384" s="120"/>
      <c r="N1384" s="120">
        <v>45738</v>
      </c>
      <c r="O1384" s="119" t="s">
        <v>884</v>
      </c>
      <c r="P1384" s="29"/>
      <c r="Q1384" s="81"/>
    </row>
    <row r="1385" spans="1:18">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744</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744</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744</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744</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744</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183</v>
      </c>
      <c r="G1543" s="29" t="s">
        <v>744</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183</v>
      </c>
      <c r="G1544" s="29" t="s">
        <v>744</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183</v>
      </c>
      <c r="G1545" s="29" t="s">
        <v>744</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183</v>
      </c>
      <c r="G1546" s="29" t="s">
        <v>744</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183</v>
      </c>
      <c r="G1547" s="29" t="s">
        <v>744</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183</v>
      </c>
      <c r="G1548" s="29" t="s">
        <v>744</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183</v>
      </c>
      <c r="G1549" s="29" t="s">
        <v>744</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183</v>
      </c>
      <c r="G1550" s="29" t="s">
        <v>744</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183</v>
      </c>
      <c r="G1551" s="29" t="s">
        <v>744</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183</v>
      </c>
      <c r="G1552" s="29" t="s">
        <v>744</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183</v>
      </c>
      <c r="G1553" s="29" t="s">
        <v>744</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183</v>
      </c>
      <c r="G1554" s="29" t="s">
        <v>744</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183</v>
      </c>
      <c r="G1555" s="29" t="s">
        <v>744</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183</v>
      </c>
      <c r="G1556" s="29" t="s">
        <v>744</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183</v>
      </c>
      <c r="G1557" s="29" t="s">
        <v>744</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183</v>
      </c>
      <c r="G1558" s="29" t="s">
        <v>744</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c r="A1571" s="134" t="s">
        <v>1065</v>
      </c>
      <c r="C1571" s="29">
        <v>91503998</v>
      </c>
      <c r="D1571" s="29"/>
      <c r="F1571" s="29" t="s">
        <v>87</v>
      </c>
      <c r="G1571" s="29" t="s">
        <v>744</v>
      </c>
      <c r="H1571" s="29" t="s">
        <v>38</v>
      </c>
      <c r="I1571" s="120">
        <v>45748</v>
      </c>
      <c r="J1571" s="120">
        <f>WORKDAY(I1571, 3)</f>
        <v>45751</v>
      </c>
      <c r="K1571" s="29"/>
      <c r="L1571" s="29"/>
      <c r="M1571" s="29"/>
      <c r="N1571" s="29"/>
      <c r="O1571" s="119" t="s">
        <v>860</v>
      </c>
      <c r="P1571" s="29"/>
      <c r="Q1571" s="81"/>
      <c r="R1571" s="134" t="s">
        <v>1057</v>
      </c>
    </row>
    <row r="1572" spans="1:18">
      <c r="A1572" s="134" t="s">
        <v>1065</v>
      </c>
      <c r="C1572" s="29">
        <v>91504092</v>
      </c>
      <c r="D1572" s="29"/>
      <c r="F1572" s="29" t="s">
        <v>87</v>
      </c>
      <c r="G1572" s="29" t="s">
        <v>744</v>
      </c>
      <c r="H1572" s="29" t="s">
        <v>38</v>
      </c>
      <c r="I1572" s="120">
        <v>45748</v>
      </c>
      <c r="J1572" s="120">
        <f>WORKDAY(I1572, 3)</f>
        <v>45751</v>
      </c>
      <c r="K1572" s="29"/>
      <c r="L1572" s="29"/>
      <c r="M1572" s="29"/>
      <c r="N1572" s="29"/>
      <c r="O1572" s="119" t="s">
        <v>860</v>
      </c>
      <c r="P1572" s="29"/>
      <c r="Q1572" s="81"/>
      <c r="R1572" s="134" t="s">
        <v>1057</v>
      </c>
    </row>
    <row r="1573" spans="1:18">
      <c r="A1573" s="134" t="s">
        <v>1065</v>
      </c>
      <c r="C1573" s="29">
        <v>91504312</v>
      </c>
      <c r="D1573" s="29"/>
      <c r="F1573" s="29" t="s">
        <v>87</v>
      </c>
      <c r="G1573" s="29" t="s">
        <v>744</v>
      </c>
      <c r="H1573" s="29" t="s">
        <v>38</v>
      </c>
      <c r="I1573" s="120">
        <v>45748</v>
      </c>
      <c r="J1573" s="120">
        <f>WORKDAY(I1573, 3)</f>
        <v>45751</v>
      </c>
      <c r="K1573" s="29"/>
      <c r="L1573" s="29"/>
      <c r="M1573" s="29"/>
      <c r="N1573" s="29"/>
      <c r="O1573" s="119" t="s">
        <v>860</v>
      </c>
      <c r="P1573" s="29"/>
      <c r="Q1573" s="81"/>
      <c r="R1573" s="134" t="s">
        <v>1057</v>
      </c>
    </row>
    <row r="1574" spans="1:18">
      <c r="A1574" s="134" t="s">
        <v>1065</v>
      </c>
      <c r="C1574" s="29">
        <v>91504430</v>
      </c>
      <c r="D1574" s="29"/>
      <c r="F1574" s="29" t="s">
        <v>87</v>
      </c>
      <c r="G1574" s="29" t="s">
        <v>744</v>
      </c>
      <c r="H1574" s="29" t="s">
        <v>38</v>
      </c>
      <c r="I1574" s="120">
        <v>45748</v>
      </c>
      <c r="J1574" s="120">
        <f>WORKDAY(I1574, 3)</f>
        <v>45751</v>
      </c>
      <c r="K1574" s="29"/>
      <c r="L1574" s="29"/>
      <c r="M1574" s="29"/>
      <c r="N1574" s="29"/>
      <c r="O1574" s="119" t="s">
        <v>860</v>
      </c>
      <c r="P1574" s="29"/>
      <c r="Q1574" s="81"/>
      <c r="R1574" s="134" t="s">
        <v>1057</v>
      </c>
    </row>
    <row r="1575" spans="1:18">
      <c r="A1575" s="134" t="s">
        <v>1065</v>
      </c>
      <c r="C1575" s="29">
        <v>91504828</v>
      </c>
      <c r="D1575" s="29"/>
      <c r="F1575" s="29" t="s">
        <v>87</v>
      </c>
      <c r="G1575" s="29" t="s">
        <v>744</v>
      </c>
      <c r="H1575" s="29" t="s">
        <v>38</v>
      </c>
      <c r="I1575" s="120">
        <v>45748</v>
      </c>
      <c r="J1575" s="120">
        <f>WORKDAY(I1575, 3)</f>
        <v>45751</v>
      </c>
      <c r="K1575" s="29"/>
      <c r="L1575" s="29"/>
      <c r="M1575" s="29"/>
      <c r="N1575" s="29"/>
      <c r="O1575" s="119" t="s">
        <v>860</v>
      </c>
      <c r="P1575" s="29"/>
      <c r="Q1575" s="81"/>
      <c r="R1575" s="134" t="s">
        <v>1057</v>
      </c>
    </row>
    <row r="1576" spans="1:18">
      <c r="A1576" s="134" t="s">
        <v>1065</v>
      </c>
      <c r="C1576" s="29">
        <v>91505107</v>
      </c>
      <c r="D1576" s="29"/>
      <c r="F1576" s="29" t="s">
        <v>87</v>
      </c>
      <c r="G1576" s="29" t="s">
        <v>744</v>
      </c>
      <c r="H1576" s="29" t="s">
        <v>38</v>
      </c>
      <c r="I1576" s="120">
        <v>45748</v>
      </c>
      <c r="J1576" s="120">
        <f>WORKDAY(I1576, 3)</f>
        <v>45751</v>
      </c>
      <c r="K1576" s="29"/>
      <c r="L1576" s="29"/>
      <c r="M1576" s="29"/>
      <c r="N1576" s="29"/>
      <c r="O1576" s="119" t="s">
        <v>860</v>
      </c>
      <c r="P1576" s="29"/>
      <c r="Q1576" s="81"/>
      <c r="R1576" s="134" t="s">
        <v>1057</v>
      </c>
    </row>
    <row r="1577" spans="1:18">
      <c r="A1577" s="134" t="s">
        <v>1065</v>
      </c>
      <c r="C1577" s="29">
        <v>91505163</v>
      </c>
      <c r="D1577" s="29"/>
      <c r="F1577" s="29" t="s">
        <v>87</v>
      </c>
      <c r="G1577" s="29" t="s">
        <v>744</v>
      </c>
      <c r="H1577" s="29" t="s">
        <v>38</v>
      </c>
      <c r="I1577" s="120">
        <v>45748</v>
      </c>
      <c r="J1577" s="120">
        <f>WORKDAY(I1577, 3)</f>
        <v>45751</v>
      </c>
      <c r="K1577" s="29"/>
      <c r="L1577" s="29"/>
      <c r="M1577" s="29"/>
      <c r="N1577" s="29"/>
      <c r="O1577" s="119" t="s">
        <v>860</v>
      </c>
      <c r="P1577" s="29"/>
      <c r="Q1577" s="81"/>
      <c r="R1577" s="134" t="s">
        <v>1057</v>
      </c>
    </row>
    <row r="1578" spans="1:18">
      <c r="A1578" s="134" t="s">
        <v>1065</v>
      </c>
      <c r="C1578" s="29">
        <v>91505221</v>
      </c>
      <c r="D1578" s="29"/>
      <c r="F1578" s="29" t="s">
        <v>87</v>
      </c>
      <c r="G1578" s="29" t="s">
        <v>744</v>
      </c>
      <c r="H1578" s="29" t="s">
        <v>38</v>
      </c>
      <c r="I1578" s="120">
        <v>45748</v>
      </c>
      <c r="J1578" s="120">
        <f>WORKDAY(I1578, 3)</f>
        <v>45751</v>
      </c>
      <c r="K1578" s="29"/>
      <c r="L1578" s="29"/>
      <c r="M1578" s="29"/>
      <c r="N1578" s="29"/>
      <c r="O1578" s="119" t="s">
        <v>860</v>
      </c>
      <c r="P1578" s="29"/>
      <c r="Q1578" s="81"/>
      <c r="R1578" s="134" t="s">
        <v>1057</v>
      </c>
    </row>
    <row r="1579" spans="1:18">
      <c r="A1579" s="134" t="s">
        <v>1065</v>
      </c>
      <c r="C1579" s="29">
        <v>91505372</v>
      </c>
      <c r="D1579" s="29"/>
      <c r="F1579" s="29" t="s">
        <v>87</v>
      </c>
      <c r="G1579" s="29" t="s">
        <v>744</v>
      </c>
      <c r="H1579" s="29" t="s">
        <v>38</v>
      </c>
      <c r="I1579" s="120">
        <v>45748</v>
      </c>
      <c r="J1579" s="120">
        <f>WORKDAY(I1579, 3)</f>
        <v>45751</v>
      </c>
      <c r="K1579" s="29"/>
      <c r="L1579" s="29"/>
      <c r="M1579" s="29"/>
      <c r="N1579" s="29"/>
      <c r="O1579" s="119" t="s">
        <v>860</v>
      </c>
      <c r="P1579" s="29"/>
      <c r="Q1579" s="81"/>
      <c r="R1579" s="134" t="s">
        <v>1057</v>
      </c>
    </row>
    <row r="1580" spans="1:18">
      <c r="A1580" s="134" t="s">
        <v>1065</v>
      </c>
      <c r="C1580" s="29">
        <v>91505527</v>
      </c>
      <c r="D1580" s="29"/>
      <c r="F1580" s="29" t="s">
        <v>87</v>
      </c>
      <c r="G1580" s="29" t="s">
        <v>744</v>
      </c>
      <c r="H1580" s="29" t="s">
        <v>38</v>
      </c>
      <c r="I1580" s="120">
        <v>45748</v>
      </c>
      <c r="J1580" s="120">
        <f>WORKDAY(I1580, 3)</f>
        <v>45751</v>
      </c>
      <c r="K1580" s="29"/>
      <c r="L1580" s="29"/>
      <c r="M1580" s="29"/>
      <c r="N1580" s="29"/>
      <c r="O1580" s="119" t="s">
        <v>860</v>
      </c>
      <c r="P1580" s="29"/>
      <c r="Q1580" s="81"/>
      <c r="R1580" s="134" t="s">
        <v>1057</v>
      </c>
    </row>
    <row r="1581" spans="1:18">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c r="A1600" s="134" t="s">
        <v>1059</v>
      </c>
      <c r="C1600" s="29">
        <v>92500131</v>
      </c>
      <c r="D1600" s="29"/>
      <c r="F1600" s="29" t="s">
        <v>87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c r="A1605" s="134" t="s">
        <v>210</v>
      </c>
      <c r="C1605" s="29">
        <v>105505465</v>
      </c>
      <c r="D1605" s="29"/>
      <c r="F1605" s="29" t="s">
        <v>87</v>
      </c>
      <c r="G1605" s="29" t="s">
        <v>744</v>
      </c>
      <c r="H1605" s="29" t="s">
        <v>38</v>
      </c>
      <c r="I1605" s="120">
        <v>45763</v>
      </c>
      <c r="J1605" s="120">
        <f>WORKDAY(I1605, 3)</f>
        <v>45768</v>
      </c>
      <c r="K1605" s="29"/>
      <c r="L1605" s="29"/>
      <c r="M1605" s="29"/>
      <c r="N1605" s="29"/>
      <c r="O1605" s="119" t="s">
        <v>982</v>
      </c>
      <c r="P1605" s="29"/>
      <c r="Q1605" s="81">
        <v>80</v>
      </c>
      <c r="R1605" s="134" t="s">
        <v>1070</v>
      </c>
    </row>
    <row r="1606" spans="1:18">
      <c r="A1606" s="134" t="s">
        <v>210</v>
      </c>
      <c r="C1606" s="29">
        <v>106500966</v>
      </c>
      <c r="D1606" s="29"/>
      <c r="F1606" s="29" t="s">
        <v>87</v>
      </c>
      <c r="G1606" s="29" t="s">
        <v>744</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744</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744</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744</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744</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744</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744</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744</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744</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744</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860</v>
      </c>
      <c r="P1618" s="29"/>
      <c r="Q1618" s="81">
        <v>280</v>
      </c>
      <c r="W1618" s="124" t="s">
        <v>1074</v>
      </c>
    </row>
    <row r="1619" spans="1:23">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c r="A1624" s="134" t="s">
        <v>1077</v>
      </c>
      <c r="C1624" s="29">
        <v>86505581</v>
      </c>
      <c r="D1624" s="29"/>
      <c r="F1624" s="29" t="s">
        <v>183</v>
      </c>
      <c r="G1624" s="29" t="s">
        <v>744</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183</v>
      </c>
      <c r="G1625" s="29" t="s">
        <v>744</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183</v>
      </c>
      <c r="G1626" s="29" t="s">
        <v>744</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183</v>
      </c>
      <c r="G1627" s="29" t="s">
        <v>744</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183</v>
      </c>
      <c r="G1628" s="29" t="s">
        <v>744</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183</v>
      </c>
      <c r="G1629" s="29" t="s">
        <v>744</v>
      </c>
      <c r="H1629" s="29" t="s">
        <v>1062</v>
      </c>
      <c r="I1629" s="120">
        <v>45743</v>
      </c>
      <c r="J1629" s="120">
        <f>WORKDAY(I1629, 3)</f>
        <v>45748</v>
      </c>
      <c r="K1629" s="29" t="s">
        <v>1078</v>
      </c>
      <c r="L1629" s="29"/>
      <c r="M1629" s="29"/>
      <c r="N1629" s="120">
        <v>45752</v>
      </c>
      <c r="O1629" s="119" t="s">
        <v>884</v>
      </c>
      <c r="P1629" s="29"/>
      <c r="Q1629" s="81"/>
    </row>
    <row r="1630" spans="1:23">
      <c r="A1630" s="134" t="s">
        <v>1077</v>
      </c>
      <c r="C1630" s="29">
        <v>86508380</v>
      </c>
      <c r="D1630" s="29"/>
      <c r="F1630" s="29" t="s">
        <v>183</v>
      </c>
      <c r="G1630" s="29" t="s">
        <v>744</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183</v>
      </c>
      <c r="G1631" s="29" t="s">
        <v>744</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183</v>
      </c>
      <c r="G1632" s="29" t="s">
        <v>744</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183</v>
      </c>
      <c r="G1633" s="29" t="s">
        <v>744</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183</v>
      </c>
      <c r="G1634" s="29" t="s">
        <v>744</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183</v>
      </c>
      <c r="G1635" s="29" t="s">
        <v>744</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c r="A1673" s="134" t="s">
        <v>1084</v>
      </c>
      <c r="C1673" s="29">
        <v>106501285</v>
      </c>
      <c r="D1673" s="29"/>
      <c r="F1673" s="29" t="s">
        <v>87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c r="A1685" s="134" t="s">
        <v>210</v>
      </c>
      <c r="C1685" s="29">
        <v>106500513</v>
      </c>
      <c r="D1685" s="29"/>
      <c r="F1685" s="29" t="s">
        <v>87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183</v>
      </c>
      <c r="G1693" s="29" t="s">
        <v>744</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183</v>
      </c>
      <c r="G1694" s="29" t="s">
        <v>744</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183</v>
      </c>
      <c r="G1695" s="29" t="s">
        <v>744</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183</v>
      </c>
      <c r="G1696" s="29" t="s">
        <v>744</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183</v>
      </c>
      <c r="G1697" s="29" t="s">
        <v>744</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183</v>
      </c>
      <c r="G1698" s="29" t="s">
        <v>744</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183</v>
      </c>
      <c r="G1699" s="29" t="s">
        <v>744</v>
      </c>
      <c r="H1699" s="29" t="s">
        <v>1062</v>
      </c>
      <c r="I1699" s="120">
        <v>45743</v>
      </c>
      <c r="J1699" s="120">
        <f>WORKDAY(I1699, 3)</f>
        <v>45748</v>
      </c>
      <c r="K1699" s="120">
        <v>45748</v>
      </c>
      <c r="L1699" s="120"/>
      <c r="M1699" s="120"/>
      <c r="N1699" s="120">
        <v>45754</v>
      </c>
      <c r="O1699" s="119" t="s">
        <v>901</v>
      </c>
      <c r="P1699" s="29"/>
      <c r="Q1699" s="81"/>
    </row>
    <row r="1700" spans="1:19">
      <c r="A1700" s="134" t="s">
        <v>210</v>
      </c>
      <c r="C1700" s="29">
        <v>113506868</v>
      </c>
      <c r="D1700" s="29"/>
      <c r="F1700" s="29" t="s">
        <v>87</v>
      </c>
      <c r="G1700" s="29" t="s">
        <v>744</v>
      </c>
      <c r="H1700" s="29" t="s">
        <v>38</v>
      </c>
      <c r="I1700" s="120">
        <v>45770</v>
      </c>
      <c r="J1700" s="120">
        <f>WORKDAY(I1700, 3)</f>
        <v>45775</v>
      </c>
      <c r="K1700" s="29"/>
      <c r="L1700" s="29"/>
      <c r="M1700" s="29"/>
      <c r="N1700" s="29"/>
      <c r="O1700" s="119" t="s">
        <v>982</v>
      </c>
      <c r="P1700" s="29"/>
      <c r="Q1700" s="81">
        <v>50</v>
      </c>
      <c r="R1700" s="134" t="s">
        <v>1092</v>
      </c>
    </row>
    <row r="1701" spans="1:19">
      <c r="A1701" s="134" t="s">
        <v>210</v>
      </c>
      <c r="C1701" s="29">
        <v>113506906</v>
      </c>
      <c r="D1701" s="29"/>
      <c r="F1701" s="29" t="s">
        <v>87</v>
      </c>
      <c r="G1701" s="29" t="s">
        <v>744</v>
      </c>
      <c r="H1701" s="29" t="s">
        <v>38</v>
      </c>
      <c r="I1701" s="120">
        <v>45770</v>
      </c>
      <c r="J1701" s="120">
        <f>WORKDAY(I1701, 3)</f>
        <v>45775</v>
      </c>
      <c r="K1701" s="29"/>
      <c r="L1701" s="29"/>
      <c r="M1701" s="29"/>
      <c r="N1701" s="29"/>
      <c r="O1701" s="119" t="s">
        <v>982</v>
      </c>
      <c r="P1701" s="29"/>
      <c r="Q1701" s="81">
        <v>50</v>
      </c>
      <c r="R1701" s="134" t="s">
        <v>1093</v>
      </c>
    </row>
    <row r="1702" spans="1:19">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c r="A1728" s="134" t="s">
        <v>210</v>
      </c>
      <c r="C1728" s="29">
        <v>78501166</v>
      </c>
      <c r="D1728" s="29"/>
      <c r="F1728" s="29" t="s">
        <v>87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744</v>
      </c>
      <c r="H1741" s="29" t="s">
        <v>38</v>
      </c>
      <c r="I1741" s="120">
        <v>45779</v>
      </c>
      <c r="J1741" s="120">
        <f>WORKDAY(I1741, 3)</f>
        <v>45784</v>
      </c>
      <c r="K1741" s="29"/>
      <c r="L1741" s="29"/>
      <c r="M1741" s="29"/>
      <c r="N1741" s="29"/>
      <c r="O1741" s="119" t="s">
        <v>860</v>
      </c>
      <c r="P1741" s="29"/>
      <c r="Q1741" s="156">
        <v>1300</v>
      </c>
    </row>
    <row r="1742" spans="1:18">
      <c r="A1742" s="134" t="s">
        <v>1110</v>
      </c>
      <c r="C1742" s="29">
        <v>122501985</v>
      </c>
      <c r="D1742" s="29"/>
      <c r="F1742" s="29" t="s">
        <v>87</v>
      </c>
      <c r="G1742" s="29" t="s">
        <v>744</v>
      </c>
      <c r="H1742" s="29" t="s">
        <v>38</v>
      </c>
      <c r="I1742" s="120">
        <v>45779</v>
      </c>
      <c r="J1742" s="120">
        <f>WORKDAY(I1742, 3)</f>
        <v>45784</v>
      </c>
      <c r="K1742" s="29"/>
      <c r="L1742" s="29"/>
      <c r="M1742" s="29"/>
      <c r="N1742" s="29"/>
      <c r="O1742" s="119" t="s">
        <v>860</v>
      </c>
      <c r="P1742" s="29"/>
      <c r="Q1742" s="156">
        <v>1300</v>
      </c>
    </row>
    <row r="1743" spans="1:18">
      <c r="A1743" s="134" t="s">
        <v>888</v>
      </c>
      <c r="C1743" s="29">
        <v>122501749</v>
      </c>
      <c r="D1743" s="29"/>
      <c r="F1743" s="29" t="s">
        <v>87</v>
      </c>
      <c r="G1743" s="29" t="s">
        <v>744</v>
      </c>
      <c r="H1743" s="29" t="s">
        <v>38</v>
      </c>
      <c r="I1743" s="120">
        <v>45779</v>
      </c>
      <c r="J1743" s="120">
        <f>WORKDAY(I1743, 3)</f>
        <v>45784</v>
      </c>
      <c r="K1743" s="29"/>
      <c r="L1743" s="29"/>
      <c r="M1743" s="29"/>
      <c r="N1743" s="29"/>
      <c r="O1743" s="119" t="s">
        <v>860</v>
      </c>
      <c r="P1743" s="29"/>
      <c r="Q1743" s="156">
        <v>550</v>
      </c>
    </row>
    <row r="1744" spans="1:18">
      <c r="A1744" s="134" t="s">
        <v>888</v>
      </c>
      <c r="C1744" s="29">
        <v>122501783</v>
      </c>
      <c r="D1744" s="29"/>
      <c r="F1744" s="29" t="s">
        <v>87</v>
      </c>
      <c r="G1744" s="29" t="s">
        <v>744</v>
      </c>
      <c r="H1744" s="29" t="s">
        <v>38</v>
      </c>
      <c r="I1744" s="120">
        <v>45779</v>
      </c>
      <c r="J1744" s="120">
        <f>WORKDAY(I1744, 3)</f>
        <v>45784</v>
      </c>
      <c r="K1744" s="29"/>
      <c r="L1744" s="29"/>
      <c r="M1744" s="29"/>
      <c r="N1744" s="29"/>
      <c r="O1744" s="119" t="s">
        <v>860</v>
      </c>
      <c r="P1744" s="29"/>
      <c r="Q1744" s="156">
        <v>550</v>
      </c>
    </row>
    <row r="1745" spans="1:18">
      <c r="A1745" s="134" t="s">
        <v>888</v>
      </c>
      <c r="C1745" s="29">
        <v>122501790</v>
      </c>
      <c r="D1745" s="29"/>
      <c r="F1745" s="29" t="s">
        <v>87</v>
      </c>
      <c r="G1745" s="29" t="s">
        <v>744</v>
      </c>
      <c r="H1745" s="29" t="s">
        <v>38</v>
      </c>
      <c r="I1745" s="120">
        <v>45779</v>
      </c>
      <c r="J1745" s="120">
        <f>WORKDAY(I1745, 3)</f>
        <v>45784</v>
      </c>
      <c r="K1745" s="29"/>
      <c r="L1745" s="29"/>
      <c r="M1745" s="29"/>
      <c r="N1745" s="29"/>
      <c r="O1745" s="119" t="s">
        <v>860</v>
      </c>
      <c r="P1745" s="29"/>
      <c r="Q1745" s="156">
        <v>700</v>
      </c>
    </row>
    <row r="1746" spans="1:18">
      <c r="A1746" s="134" t="s">
        <v>888</v>
      </c>
      <c r="C1746" s="29">
        <v>122501808</v>
      </c>
      <c r="D1746" s="29"/>
      <c r="F1746" s="29" t="s">
        <v>87</v>
      </c>
      <c r="G1746" s="29" t="s">
        <v>744</v>
      </c>
      <c r="H1746" s="29" t="s">
        <v>38</v>
      </c>
      <c r="I1746" s="120">
        <v>45779</v>
      </c>
      <c r="J1746" s="120">
        <f>WORKDAY(I1746, 3)</f>
        <v>45784</v>
      </c>
      <c r="K1746" s="29"/>
      <c r="L1746" s="29"/>
      <c r="M1746" s="29"/>
      <c r="N1746" s="29"/>
      <c r="O1746" s="119" t="s">
        <v>860</v>
      </c>
      <c r="P1746" s="29"/>
      <c r="Q1746" s="156">
        <v>320</v>
      </c>
    </row>
    <row r="1747" spans="1:18">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744</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744</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744</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744</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744</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744</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744</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744</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744</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744</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744</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c r="A1843" s="134" t="s">
        <v>417</v>
      </c>
      <c r="C1843" s="29">
        <v>92501215</v>
      </c>
      <c r="D1843" s="29"/>
      <c r="F1843" s="29" t="s">
        <v>87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c r="A1844" s="134" t="s">
        <v>1140</v>
      </c>
      <c r="C1844" s="29">
        <v>92501826</v>
      </c>
      <c r="D1844" s="29"/>
      <c r="F1844" s="29" t="s">
        <v>87</v>
      </c>
      <c r="G1844" s="29" t="s">
        <v>744</v>
      </c>
      <c r="H1844" s="29" t="s">
        <v>38</v>
      </c>
      <c r="I1844" s="120">
        <v>45749</v>
      </c>
      <c r="J1844" s="120">
        <f>WORKDAY(I1844, 3)</f>
        <v>45754</v>
      </c>
      <c r="K1844" s="120"/>
      <c r="L1844" s="120"/>
      <c r="M1844" s="120"/>
      <c r="N1844" s="120">
        <v>45762</v>
      </c>
      <c r="O1844" s="119" t="s">
        <v>884</v>
      </c>
      <c r="P1844" s="29"/>
      <c r="Q1844" s="81">
        <v>300</v>
      </c>
    </row>
    <row r="1845" spans="1:19">
      <c r="A1845" s="134" t="s">
        <v>1140</v>
      </c>
      <c r="C1845" s="29">
        <v>92502043</v>
      </c>
      <c r="D1845" s="29"/>
      <c r="F1845" s="29" t="s">
        <v>87</v>
      </c>
      <c r="G1845" s="29" t="s">
        <v>744</v>
      </c>
      <c r="H1845" s="29" t="s">
        <v>38</v>
      </c>
      <c r="I1845" s="120">
        <v>45749</v>
      </c>
      <c r="J1845" s="120">
        <f>WORKDAY(I1845, 3)</f>
        <v>45754</v>
      </c>
      <c r="K1845" s="120"/>
      <c r="L1845" s="120"/>
      <c r="M1845" s="120"/>
      <c r="N1845" s="120">
        <v>45759</v>
      </c>
      <c r="O1845" s="119" t="s">
        <v>884</v>
      </c>
      <c r="P1845" s="29"/>
      <c r="Q1845" s="81">
        <v>215</v>
      </c>
    </row>
    <row r="1846" spans="1:19">
      <c r="A1846" s="134" t="s">
        <v>1140</v>
      </c>
      <c r="C1846" s="29">
        <v>92502098</v>
      </c>
      <c r="D1846" s="29"/>
      <c r="F1846" s="29" t="s">
        <v>87</v>
      </c>
      <c r="G1846" s="29" t="s">
        <v>744</v>
      </c>
      <c r="H1846" s="29" t="s">
        <v>38</v>
      </c>
      <c r="I1846" s="120">
        <v>45749</v>
      </c>
      <c r="J1846" s="120">
        <f>WORKDAY(I1846, 3)</f>
        <v>45754</v>
      </c>
      <c r="K1846" s="120"/>
      <c r="L1846" s="120"/>
      <c r="M1846" s="120"/>
      <c r="N1846" s="120">
        <v>45762</v>
      </c>
      <c r="O1846" s="119" t="s">
        <v>884</v>
      </c>
      <c r="P1846" s="29"/>
      <c r="Q1846" s="81">
        <v>200</v>
      </c>
    </row>
    <row r="1847" spans="1:19">
      <c r="A1847" s="134" t="s">
        <v>1140</v>
      </c>
      <c r="C1847" s="29">
        <v>92502178</v>
      </c>
      <c r="D1847" s="29"/>
      <c r="F1847" s="29" t="s">
        <v>87</v>
      </c>
      <c r="G1847" s="29" t="s">
        <v>744</v>
      </c>
      <c r="H1847" s="29" t="s">
        <v>38</v>
      </c>
      <c r="I1847" s="120">
        <v>45749</v>
      </c>
      <c r="J1847" s="120">
        <f>WORKDAY(I1847, 3)</f>
        <v>45754</v>
      </c>
      <c r="K1847" s="120"/>
      <c r="L1847" s="120"/>
      <c r="M1847" s="120"/>
      <c r="N1847" s="120">
        <v>45762</v>
      </c>
      <c r="O1847" s="119" t="s">
        <v>884</v>
      </c>
      <c r="P1847" s="29"/>
      <c r="Q1847" s="81">
        <v>260</v>
      </c>
    </row>
    <row r="1848" spans="1:19">
      <c r="A1848" s="134" t="s">
        <v>1140</v>
      </c>
      <c r="C1848" s="29">
        <v>92502299</v>
      </c>
      <c r="D1848" s="29"/>
      <c r="F1848" s="29" t="s">
        <v>87</v>
      </c>
      <c r="G1848" s="29" t="s">
        <v>744</v>
      </c>
      <c r="H1848" s="29" t="s">
        <v>38</v>
      </c>
      <c r="I1848" s="120">
        <v>45749</v>
      </c>
      <c r="J1848" s="120">
        <f>WORKDAY(I1848, 3)</f>
        <v>45754</v>
      </c>
      <c r="K1848" s="120"/>
      <c r="L1848" s="120"/>
      <c r="M1848" s="120"/>
      <c r="N1848" s="120">
        <v>45762</v>
      </c>
      <c r="O1848" s="119" t="s">
        <v>884</v>
      </c>
      <c r="P1848" s="29"/>
      <c r="Q1848" s="81">
        <v>130</v>
      </c>
    </row>
    <row r="1849" spans="1:19">
      <c r="A1849" s="134" t="s">
        <v>1140</v>
      </c>
      <c r="C1849" s="29">
        <v>92502551</v>
      </c>
      <c r="D1849" s="29"/>
      <c r="F1849" s="29" t="s">
        <v>87</v>
      </c>
      <c r="G1849" s="29" t="s">
        <v>744</v>
      </c>
      <c r="H1849" s="29" t="s">
        <v>38</v>
      </c>
      <c r="I1849" s="120">
        <v>45749</v>
      </c>
      <c r="J1849" s="120">
        <f>WORKDAY(I1849, 3)</f>
        <v>45754</v>
      </c>
      <c r="K1849" s="120"/>
      <c r="L1849" s="120"/>
      <c r="M1849" s="120"/>
      <c r="N1849" s="120">
        <v>45762</v>
      </c>
      <c r="O1849" s="119" t="s">
        <v>884</v>
      </c>
      <c r="P1849" s="29"/>
      <c r="Q1849" s="81">
        <v>775</v>
      </c>
    </row>
    <row r="1850" spans="1:19">
      <c r="A1850" s="134" t="s">
        <v>1140</v>
      </c>
      <c r="C1850" s="29">
        <v>92502638</v>
      </c>
      <c r="D1850" s="29"/>
      <c r="F1850" s="29" t="s">
        <v>87</v>
      </c>
      <c r="G1850" s="29" t="s">
        <v>744</v>
      </c>
      <c r="H1850" s="29" t="s">
        <v>38</v>
      </c>
      <c r="I1850" s="120">
        <v>45749</v>
      </c>
      <c r="J1850" s="120">
        <f>WORKDAY(I1850, 3)</f>
        <v>45754</v>
      </c>
      <c r="K1850" s="120"/>
      <c r="L1850" s="120"/>
      <c r="M1850" s="120"/>
      <c r="N1850" s="120">
        <v>45762</v>
      </c>
      <c r="O1850" s="119" t="s">
        <v>884</v>
      </c>
      <c r="P1850" s="29"/>
      <c r="Q1850" s="81">
        <v>175</v>
      </c>
    </row>
    <row r="1851" spans="1:19">
      <c r="A1851" s="134" t="s">
        <v>1140</v>
      </c>
      <c r="C1851" s="29">
        <v>92502659</v>
      </c>
      <c r="D1851" s="29"/>
      <c r="F1851" s="29" t="s">
        <v>87</v>
      </c>
      <c r="G1851" s="29" t="s">
        <v>744</v>
      </c>
      <c r="H1851" s="29" t="s">
        <v>38</v>
      </c>
      <c r="I1851" s="120">
        <v>45749</v>
      </c>
      <c r="J1851" s="120">
        <f>WORKDAY(I1851, 3)</f>
        <v>45754</v>
      </c>
      <c r="K1851" s="120"/>
      <c r="L1851" s="120"/>
      <c r="M1851" s="120"/>
      <c r="N1851" s="120">
        <v>45762</v>
      </c>
      <c r="O1851" s="119" t="s">
        <v>884</v>
      </c>
      <c r="P1851" s="29"/>
      <c r="Q1851" s="81">
        <v>175</v>
      </c>
    </row>
    <row r="1852" spans="1:19">
      <c r="A1852" s="134" t="s">
        <v>1140</v>
      </c>
      <c r="C1852" s="29">
        <v>92502820</v>
      </c>
      <c r="D1852" s="29"/>
      <c r="F1852" s="29" t="s">
        <v>87</v>
      </c>
      <c r="G1852" s="29" t="s">
        <v>744</v>
      </c>
      <c r="H1852" s="29" t="s">
        <v>38</v>
      </c>
      <c r="I1852" s="120">
        <v>45749</v>
      </c>
      <c r="J1852" s="120">
        <f>WORKDAY(I1852, 3)</f>
        <v>45754</v>
      </c>
      <c r="K1852" s="120"/>
      <c r="L1852" s="120"/>
      <c r="M1852" s="120"/>
      <c r="N1852" s="120">
        <v>45762</v>
      </c>
      <c r="O1852" s="119" t="s">
        <v>884</v>
      </c>
      <c r="P1852" s="29"/>
      <c r="Q1852" s="81">
        <v>650</v>
      </c>
    </row>
    <row r="1853" spans="1:19">
      <c r="A1853" s="134" t="s">
        <v>1140</v>
      </c>
      <c r="C1853" s="29">
        <v>92502886</v>
      </c>
      <c r="D1853" s="29"/>
      <c r="F1853" s="29" t="s">
        <v>87</v>
      </c>
      <c r="G1853" s="29" t="s">
        <v>744</v>
      </c>
      <c r="H1853" s="29" t="s">
        <v>38</v>
      </c>
      <c r="I1853" s="120">
        <v>45749</v>
      </c>
      <c r="J1853" s="120">
        <f>WORKDAY(I1853, 3)</f>
        <v>45754</v>
      </c>
      <c r="K1853" s="120"/>
      <c r="L1853" s="120"/>
      <c r="M1853" s="120"/>
      <c r="N1853" s="120">
        <v>45762</v>
      </c>
      <c r="O1853" s="119" t="s">
        <v>884</v>
      </c>
      <c r="P1853" s="29"/>
      <c r="Q1853" s="81">
        <v>180</v>
      </c>
    </row>
    <row r="1854" spans="1:19">
      <c r="A1854" s="134" t="s">
        <v>1140</v>
      </c>
      <c r="C1854" s="29">
        <v>92503066</v>
      </c>
      <c r="D1854" s="29"/>
      <c r="F1854" s="29" t="s">
        <v>87</v>
      </c>
      <c r="G1854" s="29" t="s">
        <v>744</v>
      </c>
      <c r="H1854" s="29" t="s">
        <v>38</v>
      </c>
      <c r="I1854" s="120">
        <v>45749</v>
      </c>
      <c r="J1854" s="120">
        <f>WORKDAY(I1854, 3)</f>
        <v>45754</v>
      </c>
      <c r="K1854" s="120"/>
      <c r="L1854" s="120"/>
      <c r="M1854" s="120"/>
      <c r="N1854" s="120">
        <v>45758</v>
      </c>
      <c r="O1854" s="119" t="s">
        <v>884</v>
      </c>
      <c r="P1854" s="29"/>
      <c r="Q1854" s="81">
        <v>270</v>
      </c>
    </row>
    <row r="1855" spans="1:19">
      <c r="A1855" s="134" t="s">
        <v>1140</v>
      </c>
      <c r="C1855" s="29">
        <v>92503156</v>
      </c>
      <c r="D1855" s="29"/>
      <c r="F1855" s="29" t="s">
        <v>87</v>
      </c>
      <c r="G1855" s="29" t="s">
        <v>744</v>
      </c>
      <c r="H1855" s="29" t="s">
        <v>38</v>
      </c>
      <c r="I1855" s="120">
        <v>45749</v>
      </c>
      <c r="J1855" s="120">
        <f>WORKDAY(I1855, 3)</f>
        <v>45754</v>
      </c>
      <c r="K1855" s="120"/>
      <c r="L1855" s="120"/>
      <c r="M1855" s="120"/>
      <c r="N1855" s="120">
        <v>45758</v>
      </c>
      <c r="O1855" s="119" t="s">
        <v>884</v>
      </c>
      <c r="P1855" s="29"/>
      <c r="Q1855" s="81">
        <v>240</v>
      </c>
    </row>
    <row r="1856" spans="1:19">
      <c r="A1856" s="134" t="s">
        <v>1140</v>
      </c>
      <c r="C1856" s="29">
        <v>92503216</v>
      </c>
      <c r="D1856" s="29"/>
      <c r="F1856" s="29" t="s">
        <v>87</v>
      </c>
      <c r="G1856" s="29" t="s">
        <v>744</v>
      </c>
      <c r="H1856" s="29" t="s">
        <v>38</v>
      </c>
      <c r="I1856" s="120">
        <v>45749</v>
      </c>
      <c r="J1856" s="120">
        <f>WORKDAY(I1856, 3)</f>
        <v>45754</v>
      </c>
      <c r="K1856" s="120"/>
      <c r="L1856" s="120"/>
      <c r="M1856" s="120"/>
      <c r="N1856" s="120">
        <v>45754</v>
      </c>
      <c r="O1856" s="119" t="s">
        <v>884</v>
      </c>
      <c r="P1856" s="29"/>
      <c r="Q1856" s="81">
        <v>210</v>
      </c>
    </row>
    <row r="1857" spans="1:18">
      <c r="A1857" s="134" t="s">
        <v>1140</v>
      </c>
      <c r="C1857" s="29">
        <v>92503249</v>
      </c>
      <c r="D1857" s="29"/>
      <c r="F1857" s="29" t="s">
        <v>87</v>
      </c>
      <c r="G1857" s="29" t="s">
        <v>744</v>
      </c>
      <c r="H1857" s="29" t="s">
        <v>38</v>
      </c>
      <c r="I1857" s="120">
        <v>45749</v>
      </c>
      <c r="J1857" s="120">
        <f>WORKDAY(I1857, 3)</f>
        <v>45754</v>
      </c>
      <c r="K1857" s="120"/>
      <c r="L1857" s="120"/>
      <c r="M1857" s="120"/>
      <c r="N1857" s="120">
        <v>45758</v>
      </c>
      <c r="O1857" s="119" t="s">
        <v>884</v>
      </c>
      <c r="P1857" s="29"/>
      <c r="Q1857" s="81">
        <v>250</v>
      </c>
    </row>
    <row r="1858" spans="1:18">
      <c r="A1858" s="134" t="s">
        <v>1140</v>
      </c>
      <c r="C1858" s="29">
        <v>92503322</v>
      </c>
      <c r="D1858" s="29"/>
      <c r="F1858" s="29" t="s">
        <v>87</v>
      </c>
      <c r="G1858" s="29" t="s">
        <v>744</v>
      </c>
      <c r="H1858" s="29" t="s">
        <v>38</v>
      </c>
      <c r="I1858" s="120">
        <v>45749</v>
      </c>
      <c r="J1858" s="120">
        <f>WORKDAY(I1858, 3)</f>
        <v>45754</v>
      </c>
      <c r="K1858" s="120"/>
      <c r="L1858" s="120"/>
      <c r="M1858" s="120"/>
      <c r="N1858" s="120">
        <v>45758</v>
      </c>
      <c r="O1858" s="119" t="s">
        <v>884</v>
      </c>
      <c r="P1858" s="29"/>
      <c r="Q1858" s="81">
        <v>375</v>
      </c>
    </row>
    <row r="1859" spans="1:18">
      <c r="A1859" s="134" t="s">
        <v>1140</v>
      </c>
      <c r="C1859" s="29">
        <v>92503354</v>
      </c>
      <c r="D1859" s="29"/>
      <c r="F1859" s="29" t="s">
        <v>87</v>
      </c>
      <c r="G1859" s="29" t="s">
        <v>744</v>
      </c>
      <c r="H1859" s="29" t="s">
        <v>38</v>
      </c>
      <c r="I1859" s="120">
        <v>45749</v>
      </c>
      <c r="J1859" s="120">
        <f>WORKDAY(I1859, 3)</f>
        <v>45754</v>
      </c>
      <c r="K1859" s="120"/>
      <c r="L1859" s="120"/>
      <c r="M1859" s="120"/>
      <c r="N1859" s="120">
        <v>45758</v>
      </c>
      <c r="O1859" s="119" t="s">
        <v>884</v>
      </c>
      <c r="P1859" s="29"/>
      <c r="Q1859" s="81">
        <v>280</v>
      </c>
    </row>
    <row r="1860" spans="1:18">
      <c r="A1860" s="134" t="s">
        <v>1140</v>
      </c>
      <c r="C1860" s="29">
        <v>92503481</v>
      </c>
      <c r="D1860" s="29"/>
      <c r="F1860" s="29" t="s">
        <v>87</v>
      </c>
      <c r="G1860" s="29" t="s">
        <v>744</v>
      </c>
      <c r="H1860" s="29" t="s">
        <v>38</v>
      </c>
      <c r="I1860" s="120">
        <v>45749</v>
      </c>
      <c r="J1860" s="120">
        <f>WORKDAY(I1860, 3)</f>
        <v>45754</v>
      </c>
      <c r="K1860" s="120"/>
      <c r="L1860" s="120"/>
      <c r="M1860" s="120"/>
      <c r="N1860" s="120">
        <v>45758</v>
      </c>
      <c r="O1860" s="119" t="s">
        <v>884</v>
      </c>
      <c r="P1860" s="29"/>
      <c r="Q1860" s="81">
        <v>400</v>
      </c>
    </row>
    <row r="1861" spans="1:18">
      <c r="A1861" s="134" t="s">
        <v>1140</v>
      </c>
      <c r="C1861" s="29">
        <v>92503513</v>
      </c>
      <c r="D1861" s="29"/>
      <c r="F1861" s="29" t="s">
        <v>87</v>
      </c>
      <c r="G1861" s="29" t="s">
        <v>744</v>
      </c>
      <c r="H1861" s="29" t="s">
        <v>38</v>
      </c>
      <c r="I1861" s="120">
        <v>45749</v>
      </c>
      <c r="J1861" s="120">
        <f>WORKDAY(I1861, 3)</f>
        <v>45754</v>
      </c>
      <c r="K1861" s="120"/>
      <c r="L1861" s="120"/>
      <c r="M1861" s="120"/>
      <c r="N1861" s="120">
        <v>45758</v>
      </c>
      <c r="O1861" s="119" t="s">
        <v>884</v>
      </c>
      <c r="P1861" s="29"/>
      <c r="Q1861" s="81">
        <v>150</v>
      </c>
    </row>
    <row r="1862" spans="1:18">
      <c r="A1862" s="134" t="s">
        <v>1140</v>
      </c>
      <c r="C1862" s="29">
        <v>92503550</v>
      </c>
      <c r="D1862" s="29"/>
      <c r="F1862" s="29" t="s">
        <v>87</v>
      </c>
      <c r="G1862" s="29" t="s">
        <v>744</v>
      </c>
      <c r="H1862" s="29" t="s">
        <v>38</v>
      </c>
      <c r="I1862" s="120">
        <v>45749</v>
      </c>
      <c r="J1862" s="120">
        <f>WORKDAY(I1862, 3)</f>
        <v>45754</v>
      </c>
      <c r="K1862" s="120"/>
      <c r="L1862" s="120"/>
      <c r="M1862" s="120"/>
      <c r="N1862" s="120">
        <v>45758</v>
      </c>
      <c r="O1862" s="119" t="s">
        <v>884</v>
      </c>
      <c r="P1862" s="29"/>
      <c r="Q1862" s="81">
        <v>250</v>
      </c>
    </row>
    <row r="1863" spans="1:18">
      <c r="A1863" s="134" t="s">
        <v>1107</v>
      </c>
      <c r="C1863" s="29">
        <v>92504231</v>
      </c>
      <c r="D1863" s="29"/>
      <c r="F1863" s="29" t="s">
        <v>87</v>
      </c>
      <c r="G1863" s="29" t="s">
        <v>744</v>
      </c>
      <c r="H1863" s="29" t="s">
        <v>38</v>
      </c>
      <c r="I1863" s="120">
        <v>45749</v>
      </c>
      <c r="J1863" s="120">
        <f>WORKDAY(I1863, 3)</f>
        <v>45754</v>
      </c>
      <c r="K1863" s="120"/>
      <c r="L1863" s="120"/>
      <c r="M1863" s="120"/>
      <c r="N1863" s="120">
        <v>45758</v>
      </c>
      <c r="O1863" s="119" t="s">
        <v>884</v>
      </c>
      <c r="P1863" s="29"/>
      <c r="Q1863" s="81">
        <v>420</v>
      </c>
    </row>
    <row r="1864" spans="1:18">
      <c r="A1864" s="134" t="s">
        <v>1107</v>
      </c>
      <c r="C1864" s="29">
        <v>92504293</v>
      </c>
      <c r="D1864" s="29"/>
      <c r="F1864" s="29" t="s">
        <v>87</v>
      </c>
      <c r="G1864" s="29" t="s">
        <v>744</v>
      </c>
      <c r="H1864" s="29" t="s">
        <v>38</v>
      </c>
      <c r="I1864" s="120">
        <v>45749</v>
      </c>
      <c r="J1864" s="120">
        <f>WORKDAY(I1864, 3)</f>
        <v>45754</v>
      </c>
      <c r="K1864" s="120"/>
      <c r="L1864" s="120"/>
      <c r="M1864" s="120"/>
      <c r="N1864" s="120">
        <v>45764</v>
      </c>
      <c r="O1864" s="119" t="s">
        <v>884</v>
      </c>
      <c r="P1864" s="29"/>
      <c r="Q1864" s="81">
        <v>420</v>
      </c>
    </row>
    <row r="1865" spans="1:18">
      <c r="A1865" s="134" t="s">
        <v>1107</v>
      </c>
      <c r="C1865" s="29">
        <v>92504342</v>
      </c>
      <c r="D1865" s="29"/>
      <c r="F1865" s="29" t="s">
        <v>87</v>
      </c>
      <c r="G1865" s="29" t="s">
        <v>744</v>
      </c>
      <c r="H1865" s="29" t="s">
        <v>38</v>
      </c>
      <c r="I1865" s="120">
        <v>45749</v>
      </c>
      <c r="J1865" s="120">
        <f>WORKDAY(I1865, 3)</f>
        <v>45754</v>
      </c>
      <c r="K1865" s="120"/>
      <c r="L1865" s="120"/>
      <c r="M1865" s="120"/>
      <c r="N1865" s="120">
        <v>45764</v>
      </c>
      <c r="O1865" s="119" t="s">
        <v>884</v>
      </c>
      <c r="P1865" s="29"/>
      <c r="Q1865" s="81">
        <v>190</v>
      </c>
    </row>
    <row r="1866" spans="1:18">
      <c r="A1866" s="134" t="s">
        <v>1107</v>
      </c>
      <c r="C1866" s="29">
        <v>92504376</v>
      </c>
      <c r="D1866" s="29"/>
      <c r="F1866" s="29" t="s">
        <v>87</v>
      </c>
      <c r="G1866" s="29" t="s">
        <v>744</v>
      </c>
      <c r="H1866" s="29" t="s">
        <v>38</v>
      </c>
      <c r="I1866" s="120">
        <v>45749</v>
      </c>
      <c r="J1866" s="120">
        <f>WORKDAY(I1866, 3)</f>
        <v>45754</v>
      </c>
      <c r="K1866" s="120"/>
      <c r="L1866" s="120"/>
      <c r="M1866" s="120"/>
      <c r="N1866" s="120">
        <v>45762</v>
      </c>
      <c r="O1866" s="119" t="s">
        <v>884</v>
      </c>
      <c r="P1866" s="29"/>
      <c r="Q1866" s="81">
        <v>330</v>
      </c>
    </row>
    <row r="1867" spans="1:18">
      <c r="A1867" s="134" t="s">
        <v>1107</v>
      </c>
      <c r="C1867" s="29">
        <v>92504430</v>
      </c>
      <c r="D1867" s="29"/>
      <c r="F1867" s="29" t="s">
        <v>87</v>
      </c>
      <c r="G1867" s="29" t="s">
        <v>744</v>
      </c>
      <c r="H1867" s="29" t="s">
        <v>38</v>
      </c>
      <c r="I1867" s="120">
        <v>45749</v>
      </c>
      <c r="J1867" s="120">
        <f>WORKDAY(I1867, 3)</f>
        <v>45754</v>
      </c>
      <c r="K1867" s="120"/>
      <c r="L1867" s="120"/>
      <c r="M1867" s="120"/>
      <c r="N1867" s="120">
        <v>45764</v>
      </c>
      <c r="O1867" s="119" t="s">
        <v>884</v>
      </c>
      <c r="P1867" s="29"/>
      <c r="Q1867" s="81">
        <v>260</v>
      </c>
    </row>
    <row r="1868" spans="1:18">
      <c r="A1868" s="134" t="s">
        <v>1107</v>
      </c>
      <c r="C1868" s="29">
        <v>92504450</v>
      </c>
      <c r="D1868" s="29"/>
      <c r="F1868" s="29" t="s">
        <v>87</v>
      </c>
      <c r="G1868" s="29" t="s">
        <v>744</v>
      </c>
      <c r="H1868" s="29" t="s">
        <v>38</v>
      </c>
      <c r="I1868" s="120">
        <v>45749</v>
      </c>
      <c r="J1868" s="120">
        <f>WORKDAY(I1868, 3)</f>
        <v>45754</v>
      </c>
      <c r="K1868" s="120"/>
      <c r="L1868" s="120"/>
      <c r="M1868" s="120"/>
      <c r="N1868" s="120">
        <v>45764</v>
      </c>
      <c r="O1868" s="119" t="s">
        <v>884</v>
      </c>
      <c r="P1868" s="29"/>
      <c r="Q1868" s="81">
        <v>430</v>
      </c>
    </row>
    <row r="1869" spans="1:18">
      <c r="A1869" s="134" t="s">
        <v>1107</v>
      </c>
      <c r="C1869" s="29">
        <v>92504488</v>
      </c>
      <c r="D1869" s="29"/>
      <c r="F1869" s="29" t="s">
        <v>87</v>
      </c>
      <c r="G1869" s="29" t="s">
        <v>744</v>
      </c>
      <c r="H1869" s="29" t="s">
        <v>38</v>
      </c>
      <c r="I1869" s="120">
        <v>45749</v>
      </c>
      <c r="J1869" s="120">
        <f>WORKDAY(I1869, 3)</f>
        <v>45754</v>
      </c>
      <c r="K1869" s="120">
        <v>45762</v>
      </c>
      <c r="L1869" s="120"/>
      <c r="M1869" s="120"/>
      <c r="N1869" s="120">
        <v>45769</v>
      </c>
      <c r="O1869" s="119" t="s">
        <v>884</v>
      </c>
      <c r="P1869" s="29"/>
      <c r="Q1869" s="81">
        <v>1000</v>
      </c>
    </row>
    <row r="1870" spans="1:18">
      <c r="A1870" s="134" t="s">
        <v>1107</v>
      </c>
      <c r="C1870" s="29">
        <v>92504501</v>
      </c>
      <c r="D1870" s="29"/>
      <c r="F1870" s="29" t="s">
        <v>87</v>
      </c>
      <c r="G1870" s="29" t="s">
        <v>744</v>
      </c>
      <c r="H1870" s="29" t="s">
        <v>38</v>
      </c>
      <c r="I1870" s="120">
        <v>45749</v>
      </c>
      <c r="J1870" s="120">
        <f>WORKDAY(I1870, 3)</f>
        <v>45754</v>
      </c>
      <c r="K1870" s="120">
        <v>45762</v>
      </c>
      <c r="L1870" s="120"/>
      <c r="M1870" s="120"/>
      <c r="N1870" s="120">
        <v>45769</v>
      </c>
      <c r="O1870" s="119" t="s">
        <v>884</v>
      </c>
      <c r="P1870" s="29"/>
      <c r="Q1870" s="81">
        <v>1000</v>
      </c>
    </row>
    <row r="1871" spans="1:18">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c r="A1936" s="134" t="s">
        <v>1211</v>
      </c>
      <c r="C1936" s="29">
        <v>78508080</v>
      </c>
      <c r="D1936" s="29"/>
      <c r="F1936" s="29" t="s">
        <v>76</v>
      </c>
      <c r="G1936" s="29" t="s">
        <v>153</v>
      </c>
      <c r="H1936" s="29" t="s">
        <v>77</v>
      </c>
      <c r="I1936" s="42">
        <v>45735</v>
      </c>
      <c r="J1936" s="120">
        <f>WORKDAY(I1936, 3)</f>
        <v>45740</v>
      </c>
      <c r="K1936" s="120"/>
      <c r="L1936" s="120"/>
      <c r="M1936" s="120"/>
      <c r="N1936" s="120">
        <v>45742</v>
      </c>
      <c r="O1936" s="29" t="s">
        <v>884</v>
      </c>
      <c r="P1936" s="120"/>
      <c r="Q1936" s="81"/>
      <c r="R1936" s="29"/>
    </row>
    <row r="1937" spans="1:19">
      <c r="A1937" s="134" t="s">
        <v>1211</v>
      </c>
      <c r="C1937" s="29">
        <v>78508106</v>
      </c>
      <c r="D1937" s="29"/>
      <c r="F1937" s="29" t="s">
        <v>76</v>
      </c>
      <c r="G1937" s="29" t="s">
        <v>153</v>
      </c>
      <c r="H1937" s="29" t="s">
        <v>77</v>
      </c>
      <c r="I1937" s="42">
        <v>45735</v>
      </c>
      <c r="J1937" s="120">
        <f>WORKDAY(I1937, 3)</f>
        <v>45740</v>
      </c>
      <c r="K1937" s="120"/>
      <c r="L1937" s="120"/>
      <c r="M1937" s="120"/>
      <c r="N1937" s="120">
        <v>45742</v>
      </c>
      <c r="O1937" s="29" t="s">
        <v>884</v>
      </c>
      <c r="P1937" s="120"/>
      <c r="Q1937" s="81"/>
      <c r="R1937" s="29"/>
    </row>
    <row r="1938" spans="1:19">
      <c r="A1938" s="134" t="s">
        <v>1211</v>
      </c>
      <c r="C1938" s="29">
        <v>78508127</v>
      </c>
      <c r="D1938" s="29"/>
      <c r="F1938" s="29" t="s">
        <v>76</v>
      </c>
      <c r="G1938" s="29" t="s">
        <v>153</v>
      </c>
      <c r="H1938" s="29" t="s">
        <v>77</v>
      </c>
      <c r="I1938" s="42">
        <v>45735</v>
      </c>
      <c r="J1938" s="120">
        <f>WORKDAY(I1938, 3)</f>
        <v>45740</v>
      </c>
      <c r="K1938" s="120"/>
      <c r="L1938" s="120"/>
      <c r="M1938" s="120"/>
      <c r="N1938" s="120">
        <v>45742</v>
      </c>
      <c r="O1938" s="29" t="s">
        <v>884</v>
      </c>
      <c r="P1938" s="120"/>
      <c r="Q1938" s="81"/>
      <c r="R1938" s="29"/>
    </row>
    <row r="1939" spans="1:19">
      <c r="A1939" s="134" t="s">
        <v>1211</v>
      </c>
      <c r="C1939" s="29">
        <v>78508175</v>
      </c>
      <c r="D1939" s="29"/>
      <c r="F1939" s="29" t="s">
        <v>76</v>
      </c>
      <c r="G1939" s="29" t="s">
        <v>153</v>
      </c>
      <c r="H1939" s="29" t="s">
        <v>77</v>
      </c>
      <c r="I1939" s="42">
        <v>45735</v>
      </c>
      <c r="J1939" s="120">
        <f>WORKDAY(I1939, 3)</f>
        <v>45740</v>
      </c>
      <c r="K1939" s="120"/>
      <c r="L1939" s="120"/>
      <c r="M1939" s="120"/>
      <c r="N1939" s="120">
        <v>45742</v>
      </c>
      <c r="O1939" s="29" t="s">
        <v>884</v>
      </c>
      <c r="P1939" s="120"/>
      <c r="Q1939" s="81"/>
      <c r="R1939" s="29"/>
    </row>
    <row r="1940" spans="1:19">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c r="A1958" s="134" t="s">
        <v>980</v>
      </c>
      <c r="C1958" s="29">
        <v>105505134</v>
      </c>
      <c r="D1958" s="29"/>
      <c r="F1958" s="29" t="s">
        <v>87</v>
      </c>
      <c r="G1958" s="29" t="s">
        <v>744</v>
      </c>
      <c r="H1958" s="29" t="s">
        <v>38</v>
      </c>
      <c r="I1958" s="120">
        <v>45762</v>
      </c>
      <c r="J1958" s="120">
        <f>WORKDAY(I1958, 3)</f>
        <v>45765</v>
      </c>
      <c r="K1958" s="120"/>
      <c r="L1958" s="120"/>
      <c r="M1958" s="120"/>
      <c r="N1958" s="29"/>
      <c r="O1958" s="29" t="s">
        <v>884</v>
      </c>
      <c r="P1958" s="120"/>
      <c r="Q1958" s="81"/>
      <c r="R1958" s="29">
        <v>600</v>
      </c>
    </row>
    <row r="1959" spans="1:19">
      <c r="A1959" s="134" t="s">
        <v>1056</v>
      </c>
      <c r="C1959" s="29">
        <v>105505191</v>
      </c>
      <c r="D1959" s="29"/>
      <c r="F1959" s="29" t="s">
        <v>87</v>
      </c>
      <c r="G1959" s="29" t="s">
        <v>744</v>
      </c>
      <c r="H1959" s="29" t="s">
        <v>38</v>
      </c>
      <c r="I1959" s="120">
        <v>45762</v>
      </c>
      <c r="J1959" s="120">
        <f>WORKDAY(I1959, 3)</f>
        <v>45765</v>
      </c>
      <c r="K1959" s="120"/>
      <c r="L1959" s="120"/>
      <c r="M1959" s="120"/>
      <c r="N1959" s="29"/>
      <c r="O1959" s="29" t="s">
        <v>884</v>
      </c>
      <c r="P1959" s="120"/>
      <c r="Q1959" s="81"/>
      <c r="R1959" s="29">
        <v>750</v>
      </c>
    </row>
    <row r="1960" spans="1:19">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c r="A1987" s="134" t="s">
        <v>1115</v>
      </c>
      <c r="C1987" s="29">
        <v>90503907</v>
      </c>
      <c r="D1987" s="29"/>
      <c r="F1987" s="29" t="s">
        <v>87</v>
      </c>
      <c r="G1987" s="29" t="s">
        <v>744</v>
      </c>
      <c r="H1987" s="29" t="s">
        <v>38</v>
      </c>
      <c r="I1987" s="120">
        <v>45747</v>
      </c>
      <c r="J1987" s="120">
        <f>WORKDAY(I1987, 3)</f>
        <v>45750</v>
      </c>
      <c r="K1987" s="120"/>
      <c r="L1987" s="120"/>
      <c r="M1987" s="120"/>
      <c r="N1987" s="120">
        <v>45748</v>
      </c>
      <c r="O1987" s="29" t="s">
        <v>884</v>
      </c>
      <c r="P1987" s="120"/>
      <c r="Q1987" s="81"/>
      <c r="R1987" s="29">
        <v>260</v>
      </c>
    </row>
    <row r="1988" spans="1:24">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744</v>
      </c>
      <c r="H1992" s="29" t="s">
        <v>38</v>
      </c>
      <c r="I1992" s="120">
        <v>45751</v>
      </c>
      <c r="J1992" s="120">
        <f>WORKDAY(I1992, 3)</f>
        <v>45756</v>
      </c>
      <c r="K1992" s="120"/>
      <c r="L1992" s="120"/>
      <c r="M1992" s="120"/>
      <c r="N1992" s="29"/>
      <c r="O1992" s="29" t="s">
        <v>884</v>
      </c>
      <c r="P1992" s="120"/>
      <c r="Q1992" s="81"/>
      <c r="R1992" s="29">
        <v>250</v>
      </c>
    </row>
    <row r="1993" spans="1:24">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c r="A2061" s="134" t="s">
        <v>210</v>
      </c>
      <c r="C2061" s="29">
        <v>106500474</v>
      </c>
      <c r="D2061" s="29"/>
      <c r="F2061" s="29" t="s">
        <v>87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c r="A2062" s="134" t="s">
        <v>210</v>
      </c>
      <c r="C2062" s="29">
        <v>93500953</v>
      </c>
      <c r="D2062" s="29"/>
      <c r="F2062" s="29" t="s">
        <v>87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c r="A2063" s="134" t="s">
        <v>210</v>
      </c>
      <c r="C2063" s="29">
        <v>98505401</v>
      </c>
      <c r="D2063" s="29"/>
      <c r="F2063" s="29" t="s">
        <v>87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c r="A2064" s="134" t="s">
        <v>210</v>
      </c>
      <c r="C2064" s="29">
        <v>98505823</v>
      </c>
      <c r="D2064" s="29"/>
      <c r="F2064" s="29" t="s">
        <v>87</v>
      </c>
      <c r="G2064" s="29" t="s">
        <v>744</v>
      </c>
      <c r="H2064" s="29" t="s">
        <v>38</v>
      </c>
      <c r="I2064" s="120">
        <v>45755</v>
      </c>
      <c r="J2064" s="120">
        <f>WORKDAY(I2064, 3)</f>
        <v>45758</v>
      </c>
      <c r="K2064" s="120"/>
      <c r="L2064" s="120"/>
      <c r="M2064" s="120"/>
      <c r="N2064" s="29"/>
      <c r="O2064" s="29" t="s">
        <v>884</v>
      </c>
      <c r="P2064" s="120"/>
      <c r="Q2064" s="81"/>
      <c r="R2064" s="29">
        <v>165</v>
      </c>
    </row>
    <row r="2065" spans="1:19">
      <c r="A2065" s="134" t="s">
        <v>210</v>
      </c>
      <c r="C2065" s="29">
        <v>99501174</v>
      </c>
      <c r="D2065" s="29"/>
      <c r="F2065" s="29" t="s">
        <v>87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c r="A2066" s="134" t="s">
        <v>210</v>
      </c>
      <c r="C2066" s="29">
        <v>101502482</v>
      </c>
      <c r="D2066" s="29"/>
      <c r="F2066" s="29" t="s">
        <v>87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c r="A2067" s="134" t="s">
        <v>210</v>
      </c>
      <c r="C2067" s="29">
        <v>101503453</v>
      </c>
      <c r="D2067" s="29"/>
      <c r="F2067" s="29" t="s">
        <v>87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c r="A2068" s="134" t="s">
        <v>210</v>
      </c>
      <c r="C2068" s="29">
        <v>101503999</v>
      </c>
      <c r="D2068" s="29"/>
      <c r="F2068" s="29" t="s">
        <v>87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c r="A2070" s="134" t="s">
        <v>210</v>
      </c>
      <c r="C2070" s="29">
        <v>107501877</v>
      </c>
      <c r="D2070" s="29"/>
      <c r="F2070" s="29" t="s">
        <v>87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c r="A2071" s="134" t="s">
        <v>210</v>
      </c>
      <c r="C2071" s="29">
        <v>107502240</v>
      </c>
      <c r="D2071" s="29"/>
      <c r="F2071" s="29" t="s">
        <v>87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c r="A2072" s="134" t="s">
        <v>210</v>
      </c>
      <c r="C2072" s="29">
        <v>111500938</v>
      </c>
      <c r="D2072" s="29"/>
      <c r="F2072" s="29" t="s">
        <v>87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c r="A2073" s="134" t="s">
        <v>210</v>
      </c>
      <c r="C2073" s="29">
        <v>111506803</v>
      </c>
      <c r="D2073" s="29"/>
      <c r="F2073" s="29" t="s">
        <v>87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c r="A2074" s="134" t="s">
        <v>210</v>
      </c>
      <c r="C2074" s="29">
        <v>111506867</v>
      </c>
      <c r="D2074" s="29"/>
      <c r="F2074" s="29" t="s">
        <v>87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c r="A2075" s="134" t="s">
        <v>210</v>
      </c>
      <c r="C2075" s="29">
        <v>111506944</v>
      </c>
      <c r="D2075" s="29"/>
      <c r="F2075" s="29" t="s">
        <v>87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c r="A2076" s="134" t="s">
        <v>210</v>
      </c>
      <c r="C2076" s="29">
        <v>118500711</v>
      </c>
      <c r="D2076" s="29"/>
      <c r="F2076" s="29" t="s">
        <v>87</v>
      </c>
      <c r="G2076" s="29" t="s">
        <v>744</v>
      </c>
      <c r="H2076" s="29" t="s">
        <v>38</v>
      </c>
      <c r="I2076" s="120">
        <v>45772</v>
      </c>
      <c r="J2076" s="120">
        <f>WORKDAY(I2076, 3)</f>
        <v>45777</v>
      </c>
      <c r="K2076" s="120"/>
      <c r="L2076" s="120"/>
      <c r="M2076" s="120"/>
      <c r="N2076" s="29"/>
      <c r="O2076" s="29" t="s">
        <v>884</v>
      </c>
      <c r="P2076" s="120"/>
      <c r="Q2076" s="81"/>
      <c r="R2076" s="150">
        <v>90</v>
      </c>
    </row>
    <row r="2077" spans="1:19">
      <c r="A2077" s="134" t="s">
        <v>210</v>
      </c>
      <c r="C2077" s="29">
        <v>118500746</v>
      </c>
      <c r="D2077" s="29"/>
      <c r="F2077" s="29" t="s">
        <v>87</v>
      </c>
      <c r="G2077" s="29" t="s">
        <v>744</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744</v>
      </c>
      <c r="H2078" s="29" t="s">
        <v>38</v>
      </c>
      <c r="I2078" s="120">
        <v>45761</v>
      </c>
      <c r="J2078" s="120">
        <f>WORKDAY(I2078, 3)</f>
        <v>45764</v>
      </c>
      <c r="K2078" s="120"/>
      <c r="L2078" s="120"/>
      <c r="M2078" s="120"/>
      <c r="N2078" s="120">
        <v>45763</v>
      </c>
      <c r="O2078" s="29" t="s">
        <v>884</v>
      </c>
      <c r="P2078" s="120"/>
      <c r="Q2078" s="81"/>
      <c r="R2078" s="29">
        <v>460</v>
      </c>
    </row>
    <row r="2079" spans="1:19">
      <c r="A2079" s="134" t="s">
        <v>1280</v>
      </c>
      <c r="C2079" s="29">
        <v>104503608</v>
      </c>
      <c r="D2079" s="29"/>
      <c r="F2079" s="29" t="s">
        <v>87</v>
      </c>
      <c r="G2079" s="29" t="s">
        <v>744</v>
      </c>
      <c r="H2079" s="29" t="s">
        <v>38</v>
      </c>
      <c r="I2079" s="120">
        <v>45761</v>
      </c>
      <c r="J2079" s="120">
        <f>WORKDAY(I2079, 3)</f>
        <v>45764</v>
      </c>
      <c r="K2079" s="120"/>
      <c r="L2079" s="120"/>
      <c r="M2079" s="120"/>
      <c r="N2079" s="120">
        <v>45763</v>
      </c>
      <c r="O2079" s="29" t="s">
        <v>884</v>
      </c>
      <c r="P2079" s="120"/>
      <c r="Q2079" s="81"/>
      <c r="R2079" s="29">
        <v>350</v>
      </c>
    </row>
    <row r="2080" spans="1:19">
      <c r="A2080" s="134" t="s">
        <v>1280</v>
      </c>
      <c r="C2080" s="29">
        <v>104503640</v>
      </c>
      <c r="D2080" s="29"/>
      <c r="F2080" s="29" t="s">
        <v>87</v>
      </c>
      <c r="G2080" s="29" t="s">
        <v>744</v>
      </c>
      <c r="H2080" s="29" t="s">
        <v>38</v>
      </c>
      <c r="I2080" s="120">
        <v>45761</v>
      </c>
      <c r="J2080" s="120">
        <f>WORKDAY(I2080, 3)</f>
        <v>45764</v>
      </c>
      <c r="K2080" s="120"/>
      <c r="L2080" s="120"/>
      <c r="M2080" s="120"/>
      <c r="N2080" s="120">
        <v>45763</v>
      </c>
      <c r="O2080" s="29" t="s">
        <v>884</v>
      </c>
      <c r="P2080" s="120"/>
      <c r="Q2080" s="81"/>
      <c r="R2080" s="29">
        <v>350</v>
      </c>
    </row>
    <row r="2081" spans="1:18">
      <c r="A2081" s="134" t="s">
        <v>1280</v>
      </c>
      <c r="C2081" s="29">
        <v>104503706</v>
      </c>
      <c r="D2081" s="29"/>
      <c r="F2081" s="29" t="s">
        <v>87</v>
      </c>
      <c r="G2081" s="29" t="s">
        <v>744</v>
      </c>
      <c r="H2081" s="29" t="s">
        <v>38</v>
      </c>
      <c r="I2081" s="120">
        <v>45761</v>
      </c>
      <c r="J2081" s="120">
        <f>WORKDAY(I2081, 3)</f>
        <v>45764</v>
      </c>
      <c r="K2081" s="120"/>
      <c r="L2081" s="120"/>
      <c r="M2081" s="120"/>
      <c r="N2081" s="120">
        <v>45763</v>
      </c>
      <c r="O2081" s="29" t="s">
        <v>884</v>
      </c>
      <c r="P2081" s="120"/>
      <c r="Q2081" s="81"/>
      <c r="R2081" s="29">
        <v>350</v>
      </c>
    </row>
    <row r="2082" spans="1:18">
      <c r="A2082" s="134" t="s">
        <v>1280</v>
      </c>
      <c r="C2082" s="29">
        <v>104503745</v>
      </c>
      <c r="D2082" s="29"/>
      <c r="F2082" s="29" t="s">
        <v>87</v>
      </c>
      <c r="G2082" s="29" t="s">
        <v>744</v>
      </c>
      <c r="H2082" s="29" t="s">
        <v>38</v>
      </c>
      <c r="I2082" s="120">
        <v>45761</v>
      </c>
      <c r="J2082" s="120">
        <f>WORKDAY(I2082, 3)</f>
        <v>45764</v>
      </c>
      <c r="K2082" s="120"/>
      <c r="L2082" s="120"/>
      <c r="M2082" s="120"/>
      <c r="N2082" s="120">
        <v>45763</v>
      </c>
      <c r="O2082" s="29" t="s">
        <v>884</v>
      </c>
      <c r="P2082" s="120"/>
      <c r="Q2082" s="81"/>
      <c r="R2082" s="29">
        <v>200</v>
      </c>
    </row>
    <row r="2083" spans="1:18">
      <c r="A2083" s="134" t="s">
        <v>1280</v>
      </c>
      <c r="C2083" s="29">
        <v>104503779</v>
      </c>
      <c r="D2083" s="29"/>
      <c r="F2083" s="29" t="s">
        <v>87</v>
      </c>
      <c r="G2083" s="29" t="s">
        <v>744</v>
      </c>
      <c r="H2083" s="29" t="s">
        <v>38</v>
      </c>
      <c r="I2083" s="120">
        <v>45761</v>
      </c>
      <c r="J2083" s="120">
        <f>WORKDAY(I2083, 3)</f>
        <v>45764</v>
      </c>
      <c r="K2083" s="120"/>
      <c r="L2083" s="120"/>
      <c r="M2083" s="120"/>
      <c r="N2083" s="120">
        <v>45763</v>
      </c>
      <c r="O2083" s="29" t="s">
        <v>884</v>
      </c>
      <c r="P2083" s="120"/>
      <c r="Q2083" s="81"/>
      <c r="R2083" s="29">
        <v>240</v>
      </c>
    </row>
    <row r="2084" spans="1:18">
      <c r="A2084" s="134" t="s">
        <v>1084</v>
      </c>
      <c r="C2084" s="29">
        <v>104503876</v>
      </c>
      <c r="D2084" s="29"/>
      <c r="F2084" s="29" t="s">
        <v>87</v>
      </c>
      <c r="G2084" s="29" t="s">
        <v>744</v>
      </c>
      <c r="H2084" s="29" t="s">
        <v>38</v>
      </c>
      <c r="I2084" s="120">
        <v>45761</v>
      </c>
      <c r="J2084" s="120">
        <f>WORKDAY(I2084, 3)</f>
        <v>45764</v>
      </c>
      <c r="K2084" s="120"/>
      <c r="L2084" s="120"/>
      <c r="M2084" s="120"/>
      <c r="N2084" s="120">
        <v>45763</v>
      </c>
      <c r="O2084" s="29" t="s">
        <v>884</v>
      </c>
      <c r="P2084" s="120"/>
      <c r="Q2084" s="81"/>
      <c r="R2084" s="29">
        <v>200</v>
      </c>
    </row>
    <row r="2085" spans="1:18">
      <c r="A2085" s="134" t="s">
        <v>1084</v>
      </c>
      <c r="C2085" s="29">
        <v>104503914</v>
      </c>
      <c r="D2085" s="29"/>
      <c r="F2085" s="29" t="s">
        <v>87</v>
      </c>
      <c r="G2085" s="29" t="s">
        <v>744</v>
      </c>
      <c r="H2085" s="29" t="s">
        <v>38</v>
      </c>
      <c r="I2085" s="120">
        <v>45761</v>
      </c>
      <c r="J2085" s="120">
        <f>WORKDAY(I2085, 3)</f>
        <v>45764</v>
      </c>
      <c r="K2085" s="120"/>
      <c r="L2085" s="120"/>
      <c r="M2085" s="120"/>
      <c r="N2085" s="120">
        <v>45763</v>
      </c>
      <c r="O2085" s="29" t="s">
        <v>884</v>
      </c>
      <c r="P2085" s="120"/>
      <c r="Q2085" s="81"/>
      <c r="R2085" s="29">
        <v>270</v>
      </c>
    </row>
    <row r="2086" spans="1:18">
      <c r="A2086" s="134" t="s">
        <v>1084</v>
      </c>
      <c r="C2086" s="29">
        <v>104503956</v>
      </c>
      <c r="D2086" s="29"/>
      <c r="F2086" s="29" t="s">
        <v>87</v>
      </c>
      <c r="G2086" s="29" t="s">
        <v>744</v>
      </c>
      <c r="H2086" s="29" t="s">
        <v>38</v>
      </c>
      <c r="I2086" s="120">
        <v>45761</v>
      </c>
      <c r="J2086" s="120">
        <f>WORKDAY(I2086, 3)</f>
        <v>45764</v>
      </c>
      <c r="K2086" s="120"/>
      <c r="L2086" s="120"/>
      <c r="M2086" s="120"/>
      <c r="N2086" s="120">
        <v>45763</v>
      </c>
      <c r="O2086" s="29" t="s">
        <v>884</v>
      </c>
      <c r="P2086" s="120"/>
      <c r="Q2086" s="81"/>
      <c r="R2086" s="29">
        <v>340</v>
      </c>
    </row>
    <row r="2087" spans="1:18">
      <c r="A2087" s="134" t="s">
        <v>1071</v>
      </c>
      <c r="C2087" s="29">
        <v>101500441</v>
      </c>
      <c r="D2087" s="29"/>
      <c r="F2087" s="29" t="s">
        <v>87</v>
      </c>
      <c r="G2087" s="29" t="s">
        <v>744</v>
      </c>
      <c r="H2087" s="29" t="s">
        <v>38</v>
      </c>
      <c r="I2087" s="120">
        <v>45758</v>
      </c>
      <c r="J2087" s="120">
        <f>WORKDAY(I2087, 3)</f>
        <v>45763</v>
      </c>
      <c r="K2087" s="120"/>
      <c r="L2087" s="120"/>
      <c r="M2087" s="120"/>
      <c r="N2087" s="120">
        <v>45762</v>
      </c>
      <c r="O2087" s="29" t="s">
        <v>884</v>
      </c>
      <c r="P2087" s="120"/>
      <c r="Q2087" s="81"/>
      <c r="R2087" s="29">
        <v>250</v>
      </c>
    </row>
    <row r="2088" spans="1:18">
      <c r="A2088" s="134" t="s">
        <v>1071</v>
      </c>
      <c r="C2088" s="29">
        <v>101500516</v>
      </c>
      <c r="D2088" s="29"/>
      <c r="F2088" s="29" t="s">
        <v>87</v>
      </c>
      <c r="G2088" s="29" t="s">
        <v>744</v>
      </c>
      <c r="H2088" s="29" t="s">
        <v>38</v>
      </c>
      <c r="I2088" s="120">
        <v>45758</v>
      </c>
      <c r="J2088" s="120">
        <f>WORKDAY(I2088, 3)</f>
        <v>45763</v>
      </c>
      <c r="K2088" s="120"/>
      <c r="L2088" s="120"/>
      <c r="M2088" s="120"/>
      <c r="N2088" s="120">
        <v>45762</v>
      </c>
      <c r="O2088" s="29" t="s">
        <v>884</v>
      </c>
      <c r="P2088" s="120"/>
      <c r="Q2088" s="81"/>
      <c r="R2088" s="29">
        <v>130</v>
      </c>
    </row>
    <row r="2089" spans="1:18">
      <c r="A2089" s="134" t="s">
        <v>1071</v>
      </c>
      <c r="C2089" s="29">
        <v>101500590</v>
      </c>
      <c r="D2089" s="29"/>
      <c r="F2089" s="29" t="s">
        <v>87</v>
      </c>
      <c r="G2089" s="29" t="s">
        <v>744</v>
      </c>
      <c r="H2089" s="29" t="s">
        <v>38</v>
      </c>
      <c r="I2089" s="120">
        <v>45758</v>
      </c>
      <c r="J2089" s="120">
        <f>WORKDAY(I2089, 3)</f>
        <v>45763</v>
      </c>
      <c r="K2089" s="120"/>
      <c r="L2089" s="120"/>
      <c r="M2089" s="120"/>
      <c r="N2089" s="120">
        <v>45762</v>
      </c>
      <c r="O2089" s="29" t="s">
        <v>884</v>
      </c>
      <c r="P2089" s="120"/>
      <c r="Q2089" s="81"/>
      <c r="R2089" s="29">
        <v>250</v>
      </c>
    </row>
    <row r="2090" spans="1:18">
      <c r="A2090" s="134" t="s">
        <v>1071</v>
      </c>
      <c r="C2090" s="29">
        <v>101500702</v>
      </c>
      <c r="D2090" s="29"/>
      <c r="F2090" s="29" t="s">
        <v>87</v>
      </c>
      <c r="G2090" s="29" t="s">
        <v>744</v>
      </c>
      <c r="H2090" s="29" t="s">
        <v>38</v>
      </c>
      <c r="I2090" s="120">
        <v>45758</v>
      </c>
      <c r="J2090" s="120">
        <f>WORKDAY(I2090, 3)</f>
        <v>45763</v>
      </c>
      <c r="K2090" s="120"/>
      <c r="L2090" s="120"/>
      <c r="M2090" s="120"/>
      <c r="N2090" s="120">
        <v>45762</v>
      </c>
      <c r="O2090" s="29" t="s">
        <v>884</v>
      </c>
      <c r="P2090" s="120"/>
      <c r="Q2090" s="81"/>
      <c r="R2090" s="29">
        <v>230</v>
      </c>
    </row>
    <row r="2091" spans="1:18">
      <c r="A2091" s="134" t="s">
        <v>1071</v>
      </c>
      <c r="C2091" s="29">
        <v>101500797</v>
      </c>
      <c r="D2091" s="29"/>
      <c r="F2091" s="29" t="s">
        <v>87</v>
      </c>
      <c r="G2091" s="29" t="s">
        <v>744</v>
      </c>
      <c r="H2091" s="29" t="s">
        <v>38</v>
      </c>
      <c r="I2091" s="120">
        <v>45758</v>
      </c>
      <c r="J2091" s="120">
        <f>WORKDAY(I2091, 3)</f>
        <v>45763</v>
      </c>
      <c r="K2091" s="120"/>
      <c r="L2091" s="120"/>
      <c r="M2091" s="120"/>
      <c r="N2091" s="120">
        <v>45762</v>
      </c>
      <c r="O2091" s="29" t="s">
        <v>884</v>
      </c>
      <c r="P2091" s="120"/>
      <c r="Q2091" s="81"/>
      <c r="R2091" s="29">
        <v>435</v>
      </c>
    </row>
    <row r="2092" spans="1:18">
      <c r="A2092" s="134" t="s">
        <v>1071</v>
      </c>
      <c r="C2092" s="29">
        <v>101500817</v>
      </c>
      <c r="D2092" s="29"/>
      <c r="F2092" s="29" t="s">
        <v>87</v>
      </c>
      <c r="G2092" s="29" t="s">
        <v>744</v>
      </c>
      <c r="H2092" s="29" t="s">
        <v>38</v>
      </c>
      <c r="I2092" s="120">
        <v>45758</v>
      </c>
      <c r="J2092" s="120">
        <f>WORKDAY(I2092, 3)</f>
        <v>45763</v>
      </c>
      <c r="K2092" s="120"/>
      <c r="L2092" s="120"/>
      <c r="M2092" s="120"/>
      <c r="N2092" s="120">
        <v>45762</v>
      </c>
      <c r="O2092" s="29" t="s">
        <v>884</v>
      </c>
      <c r="P2092" s="120"/>
      <c r="Q2092" s="81"/>
      <c r="R2092" s="29">
        <v>275</v>
      </c>
    </row>
    <row r="2093" spans="1:18">
      <c r="A2093" s="134" t="s">
        <v>1071</v>
      </c>
      <c r="C2093" s="29">
        <v>101500843</v>
      </c>
      <c r="D2093" s="29"/>
      <c r="F2093" s="29" t="s">
        <v>87</v>
      </c>
      <c r="G2093" s="29" t="s">
        <v>744</v>
      </c>
      <c r="H2093" s="29" t="s">
        <v>38</v>
      </c>
      <c r="I2093" s="120">
        <v>45758</v>
      </c>
      <c r="J2093" s="120">
        <f>WORKDAY(I2093, 3)</f>
        <v>45763</v>
      </c>
      <c r="K2093" s="120"/>
      <c r="L2093" s="120"/>
      <c r="M2093" s="120"/>
      <c r="N2093" s="120">
        <v>45762</v>
      </c>
      <c r="O2093" s="29" t="s">
        <v>884</v>
      </c>
      <c r="P2093" s="120"/>
      <c r="Q2093" s="81"/>
      <c r="R2093" s="29">
        <v>110</v>
      </c>
    </row>
    <row r="2094" spans="1:18">
      <c r="A2094" s="134" t="s">
        <v>1281</v>
      </c>
      <c r="C2094" s="29">
        <v>101500957</v>
      </c>
      <c r="D2094" s="29"/>
      <c r="F2094" s="29" t="s">
        <v>87</v>
      </c>
      <c r="G2094" s="29" t="s">
        <v>744</v>
      </c>
      <c r="H2094" s="29" t="s">
        <v>38</v>
      </c>
      <c r="I2094" s="120">
        <v>45758</v>
      </c>
      <c r="J2094" s="120">
        <f>WORKDAY(I2094, 3)</f>
        <v>45763</v>
      </c>
      <c r="K2094" s="120"/>
      <c r="L2094" s="120"/>
      <c r="M2094" s="120"/>
      <c r="N2094" s="120">
        <v>45762</v>
      </c>
      <c r="O2094" s="29" t="s">
        <v>884</v>
      </c>
      <c r="P2094" s="120"/>
      <c r="Q2094" s="81"/>
      <c r="R2094" s="29">
        <v>900</v>
      </c>
    </row>
    <row r="2095" spans="1:18">
      <c r="A2095" s="134" t="s">
        <v>1281</v>
      </c>
      <c r="C2095" s="29">
        <v>101500993</v>
      </c>
      <c r="D2095" s="29"/>
      <c r="F2095" s="29" t="s">
        <v>87</v>
      </c>
      <c r="G2095" s="29" t="s">
        <v>744</v>
      </c>
      <c r="H2095" s="29" t="s">
        <v>38</v>
      </c>
      <c r="I2095" s="120">
        <v>45758</v>
      </c>
      <c r="J2095" s="120">
        <f>WORKDAY(I2095, 3)</f>
        <v>45763</v>
      </c>
      <c r="K2095" s="120"/>
      <c r="L2095" s="120"/>
      <c r="M2095" s="120"/>
      <c r="N2095" s="120">
        <v>45762</v>
      </c>
      <c r="O2095" s="29" t="s">
        <v>884</v>
      </c>
      <c r="P2095" s="120"/>
      <c r="Q2095" s="81"/>
      <c r="R2095" s="29">
        <v>350</v>
      </c>
    </row>
    <row r="2096" spans="1:18">
      <c r="A2096" s="134" t="s">
        <v>1281</v>
      </c>
      <c r="C2096" s="29">
        <v>101501073</v>
      </c>
      <c r="D2096" s="29"/>
      <c r="F2096" s="29" t="s">
        <v>87</v>
      </c>
      <c r="G2096" s="29" t="s">
        <v>744</v>
      </c>
      <c r="H2096" s="29" t="s">
        <v>38</v>
      </c>
      <c r="I2096" s="120">
        <v>45758</v>
      </c>
      <c r="J2096" s="120">
        <f>WORKDAY(I2096, 3)</f>
        <v>45763</v>
      </c>
      <c r="K2096" s="120"/>
      <c r="L2096" s="120"/>
      <c r="M2096" s="120"/>
      <c r="N2096" s="120">
        <v>45762</v>
      </c>
      <c r="O2096" s="29" t="s">
        <v>884</v>
      </c>
      <c r="P2096" s="120"/>
      <c r="Q2096" s="81"/>
      <c r="R2096" s="29">
        <v>300</v>
      </c>
    </row>
    <row r="2097" spans="1:18">
      <c r="A2097" s="134" t="s">
        <v>1281</v>
      </c>
      <c r="C2097" s="29">
        <v>101501151</v>
      </c>
      <c r="D2097" s="29"/>
      <c r="F2097" s="29" t="s">
        <v>87</v>
      </c>
      <c r="G2097" s="29" t="s">
        <v>744</v>
      </c>
      <c r="H2097" s="29" t="s">
        <v>38</v>
      </c>
      <c r="I2097" s="120">
        <v>45758</v>
      </c>
      <c r="J2097" s="120">
        <f>WORKDAY(I2097, 3)</f>
        <v>45763</v>
      </c>
      <c r="K2097" s="120"/>
      <c r="L2097" s="120"/>
      <c r="M2097" s="120"/>
      <c r="N2097" s="120">
        <v>45762</v>
      </c>
      <c r="O2097" s="29" t="s">
        <v>884</v>
      </c>
      <c r="P2097" s="120"/>
      <c r="Q2097" s="81"/>
      <c r="R2097" s="29">
        <v>240</v>
      </c>
    </row>
    <row r="2098" spans="1:18">
      <c r="A2098" s="134" t="s">
        <v>1282</v>
      </c>
      <c r="C2098" s="29">
        <v>101501379</v>
      </c>
      <c r="D2098" s="29"/>
      <c r="F2098" s="29" t="s">
        <v>87</v>
      </c>
      <c r="G2098" s="29" t="s">
        <v>744</v>
      </c>
      <c r="H2098" s="29" t="s">
        <v>38</v>
      </c>
      <c r="I2098" s="120">
        <v>45758</v>
      </c>
      <c r="J2098" s="120">
        <f>WORKDAY(I2098, 3)</f>
        <v>45763</v>
      </c>
      <c r="K2098" s="120"/>
      <c r="L2098" s="120"/>
      <c r="M2098" s="120"/>
      <c r="N2098" s="120">
        <v>45762</v>
      </c>
      <c r="O2098" s="29" t="s">
        <v>884</v>
      </c>
      <c r="P2098" s="29"/>
      <c r="Q2098" s="81"/>
      <c r="R2098" s="29">
        <v>500</v>
      </c>
    </row>
    <row r="2099" spans="1:18">
      <c r="A2099" s="134" t="s">
        <v>1282</v>
      </c>
      <c r="C2099" s="29">
        <v>101501412</v>
      </c>
      <c r="D2099" s="29"/>
      <c r="F2099" s="29" t="s">
        <v>87</v>
      </c>
      <c r="G2099" s="29" t="s">
        <v>744</v>
      </c>
      <c r="H2099" s="29" t="s">
        <v>38</v>
      </c>
      <c r="I2099" s="120">
        <v>45758</v>
      </c>
      <c r="J2099" s="120">
        <f>WORKDAY(I2099, 3)</f>
        <v>45763</v>
      </c>
      <c r="K2099" s="120"/>
      <c r="L2099" s="120"/>
      <c r="M2099" s="120"/>
      <c r="N2099" s="120">
        <v>45762</v>
      </c>
      <c r="O2099" s="29" t="s">
        <v>884</v>
      </c>
      <c r="P2099" s="29"/>
      <c r="Q2099" s="81"/>
      <c r="R2099" s="29">
        <v>700</v>
      </c>
    </row>
    <row r="2100" spans="1:18">
      <c r="A2100" s="134" t="s">
        <v>1282</v>
      </c>
      <c r="C2100" s="29">
        <v>101501442</v>
      </c>
      <c r="D2100" s="29"/>
      <c r="F2100" s="29" t="s">
        <v>87</v>
      </c>
      <c r="G2100" s="29" t="s">
        <v>744</v>
      </c>
      <c r="H2100" s="29" t="s">
        <v>38</v>
      </c>
      <c r="I2100" s="120">
        <v>45758</v>
      </c>
      <c r="J2100" s="120">
        <f>WORKDAY(I2100, 3)</f>
        <v>45763</v>
      </c>
      <c r="K2100" s="120"/>
      <c r="L2100" s="120"/>
      <c r="M2100" s="120"/>
      <c r="N2100" s="120">
        <v>45762</v>
      </c>
      <c r="O2100" s="29" t="s">
        <v>884</v>
      </c>
      <c r="P2100" s="29"/>
      <c r="Q2100" s="81"/>
      <c r="R2100" s="29">
        <v>700</v>
      </c>
    </row>
    <row r="2101" spans="1:18">
      <c r="A2101" s="134" t="s">
        <v>1084</v>
      </c>
      <c r="C2101" s="29">
        <v>101501584</v>
      </c>
      <c r="D2101" s="29"/>
      <c r="F2101" s="29" t="s">
        <v>87</v>
      </c>
      <c r="G2101" s="29" t="s">
        <v>744</v>
      </c>
      <c r="H2101" s="29" t="s">
        <v>38</v>
      </c>
      <c r="I2101" s="120">
        <v>45758</v>
      </c>
      <c r="J2101" s="120">
        <f>WORKDAY(I2101, 3)</f>
        <v>45763</v>
      </c>
      <c r="K2101" s="120"/>
      <c r="L2101" s="120"/>
      <c r="M2101" s="120"/>
      <c r="N2101" s="120">
        <v>45762</v>
      </c>
      <c r="O2101" s="29" t="s">
        <v>884</v>
      </c>
      <c r="P2101" s="120"/>
      <c r="Q2101" s="81"/>
      <c r="R2101" s="29">
        <v>700</v>
      </c>
    </row>
    <row r="2102" spans="1:18">
      <c r="A2102" s="134" t="s">
        <v>1084</v>
      </c>
      <c r="C2102" s="29">
        <v>101501645</v>
      </c>
      <c r="D2102" s="29"/>
      <c r="F2102" s="29" t="s">
        <v>87</v>
      </c>
      <c r="G2102" s="29" t="s">
        <v>744</v>
      </c>
      <c r="H2102" s="29" t="s">
        <v>38</v>
      </c>
      <c r="I2102" s="120">
        <v>45758</v>
      </c>
      <c r="J2102" s="120">
        <f>WORKDAY(I2102, 3)</f>
        <v>45763</v>
      </c>
      <c r="K2102" s="120"/>
      <c r="L2102" s="120"/>
      <c r="M2102" s="120"/>
      <c r="N2102" s="120">
        <v>45762</v>
      </c>
      <c r="O2102" s="29" t="s">
        <v>884</v>
      </c>
      <c r="P2102" s="120"/>
      <c r="Q2102" s="81"/>
      <c r="R2102" s="29">
        <v>500</v>
      </c>
    </row>
    <row r="2103" spans="1:18">
      <c r="A2103" s="134" t="s">
        <v>1084</v>
      </c>
      <c r="C2103" s="29">
        <v>101501722</v>
      </c>
      <c r="D2103" s="29"/>
      <c r="F2103" s="29" t="s">
        <v>87</v>
      </c>
      <c r="G2103" s="29" t="s">
        <v>744</v>
      </c>
      <c r="H2103" s="29" t="s">
        <v>38</v>
      </c>
      <c r="I2103" s="120">
        <v>45758</v>
      </c>
      <c r="J2103" s="120">
        <f>WORKDAY(I2103, 3)</f>
        <v>45763</v>
      </c>
      <c r="K2103" s="120"/>
      <c r="L2103" s="120"/>
      <c r="M2103" s="120"/>
      <c r="N2103" s="120">
        <v>45762</v>
      </c>
      <c r="O2103" s="29" t="s">
        <v>884</v>
      </c>
      <c r="P2103" s="120"/>
      <c r="Q2103" s="81"/>
      <c r="R2103" s="29">
        <v>300</v>
      </c>
    </row>
    <row r="2104" spans="1:18">
      <c r="A2104" s="134" t="s">
        <v>1280</v>
      </c>
      <c r="C2104" s="29">
        <v>101502229</v>
      </c>
      <c r="D2104" s="29"/>
      <c r="F2104" s="29" t="s">
        <v>87</v>
      </c>
      <c r="G2104" s="29" t="s">
        <v>744</v>
      </c>
      <c r="H2104" s="29" t="s">
        <v>38</v>
      </c>
      <c r="I2104" s="120">
        <v>45758</v>
      </c>
      <c r="J2104" s="120">
        <f>WORKDAY(I2104, 3)</f>
        <v>45763</v>
      </c>
      <c r="K2104" s="120"/>
      <c r="L2104" s="120"/>
      <c r="M2104" s="120"/>
      <c r="N2104" s="120">
        <v>45762</v>
      </c>
      <c r="O2104" s="29" t="s">
        <v>884</v>
      </c>
      <c r="P2104" s="120"/>
      <c r="Q2104" s="81"/>
      <c r="R2104" s="29">
        <v>900</v>
      </c>
    </row>
    <row r="2105" spans="1:18">
      <c r="A2105" s="134" t="s">
        <v>1280</v>
      </c>
      <c r="C2105" s="29">
        <v>101502274</v>
      </c>
      <c r="D2105" s="29"/>
      <c r="F2105" s="29" t="s">
        <v>87</v>
      </c>
      <c r="G2105" s="29" t="s">
        <v>744</v>
      </c>
      <c r="H2105" s="29" t="s">
        <v>38</v>
      </c>
      <c r="I2105" s="120">
        <v>45758</v>
      </c>
      <c r="J2105" s="120">
        <f>WORKDAY(I2105, 3)</f>
        <v>45763</v>
      </c>
      <c r="K2105" s="120"/>
      <c r="L2105" s="120"/>
      <c r="M2105" s="120"/>
      <c r="N2105" s="120">
        <v>45762</v>
      </c>
      <c r="O2105" s="29" t="s">
        <v>884</v>
      </c>
      <c r="P2105" s="120"/>
      <c r="Q2105" s="81"/>
      <c r="R2105" s="29">
        <v>300</v>
      </c>
    </row>
    <row r="2106" spans="1:18">
      <c r="A2106" s="134" t="s">
        <v>1280</v>
      </c>
      <c r="C2106" s="29">
        <v>101502409</v>
      </c>
      <c r="D2106" s="29"/>
      <c r="F2106" s="29" t="s">
        <v>87</v>
      </c>
      <c r="G2106" s="29" t="s">
        <v>744</v>
      </c>
      <c r="H2106" s="29" t="s">
        <v>38</v>
      </c>
      <c r="I2106" s="120">
        <v>45758</v>
      </c>
      <c r="J2106" s="120">
        <f>WORKDAY(I2106, 3)</f>
        <v>45763</v>
      </c>
      <c r="K2106" s="120"/>
      <c r="L2106" s="120"/>
      <c r="M2106" s="120"/>
      <c r="N2106" s="120">
        <v>45762</v>
      </c>
      <c r="O2106" s="29" t="s">
        <v>884</v>
      </c>
      <c r="P2106" s="120"/>
      <c r="Q2106" s="81"/>
      <c r="R2106" s="29">
        <v>400</v>
      </c>
    </row>
    <row r="2107" spans="1:18">
      <c r="A2107" s="134" t="s">
        <v>1280</v>
      </c>
      <c r="C2107" s="29">
        <v>101502330</v>
      </c>
      <c r="D2107" s="29"/>
      <c r="F2107" s="29" t="s">
        <v>87</v>
      </c>
      <c r="G2107" s="29" t="s">
        <v>744</v>
      </c>
      <c r="H2107" s="29" t="s">
        <v>38</v>
      </c>
      <c r="I2107" s="120">
        <v>45758</v>
      </c>
      <c r="J2107" s="120">
        <f>WORKDAY(I2107, 3)</f>
        <v>45763</v>
      </c>
      <c r="K2107" s="120"/>
      <c r="L2107" s="120"/>
      <c r="M2107" s="120"/>
      <c r="N2107" s="120">
        <v>45762</v>
      </c>
      <c r="O2107" s="29" t="s">
        <v>884</v>
      </c>
      <c r="P2107" s="120"/>
      <c r="Q2107" s="81"/>
      <c r="R2107" s="29">
        <v>400</v>
      </c>
    </row>
    <row r="2108" spans="1:18">
      <c r="A2108" s="134" t="s">
        <v>1280</v>
      </c>
      <c r="C2108" s="29">
        <v>101502377</v>
      </c>
      <c r="D2108" s="29"/>
      <c r="F2108" s="29" t="s">
        <v>87</v>
      </c>
      <c r="G2108" s="29" t="s">
        <v>744</v>
      </c>
      <c r="H2108" s="29" t="s">
        <v>38</v>
      </c>
      <c r="I2108" s="120">
        <v>45758</v>
      </c>
      <c r="J2108" s="120">
        <f>WORKDAY(I2108, 3)</f>
        <v>45763</v>
      </c>
      <c r="K2108" s="120"/>
      <c r="L2108" s="120"/>
      <c r="M2108" s="120"/>
      <c r="N2108" s="120">
        <v>45762</v>
      </c>
      <c r="O2108" s="29" t="s">
        <v>884</v>
      </c>
      <c r="P2108" s="120"/>
      <c r="Q2108" s="81"/>
      <c r="R2108" s="29">
        <v>450</v>
      </c>
    </row>
    <row r="2109" spans="1:18">
      <c r="A2109" s="134" t="s">
        <v>1071</v>
      </c>
      <c r="C2109" s="29">
        <v>100500804</v>
      </c>
      <c r="D2109" s="29"/>
      <c r="F2109" s="29" t="s">
        <v>87</v>
      </c>
      <c r="G2109" s="29" t="s">
        <v>744</v>
      </c>
      <c r="H2109" s="29" t="s">
        <v>38</v>
      </c>
      <c r="I2109" s="120">
        <v>45757</v>
      </c>
      <c r="J2109" s="120">
        <f>WORKDAY(I2109, 3)</f>
        <v>45762</v>
      </c>
      <c r="K2109" s="120"/>
      <c r="L2109" s="120"/>
      <c r="M2109" s="120"/>
      <c r="N2109" s="120">
        <v>45762</v>
      </c>
      <c r="O2109" s="29" t="s">
        <v>884</v>
      </c>
      <c r="P2109" s="120"/>
      <c r="Q2109" s="81"/>
      <c r="R2109" s="29">
        <v>1500</v>
      </c>
    </row>
    <row r="2110" spans="1:18">
      <c r="A2110" s="134" t="s">
        <v>1071</v>
      </c>
      <c r="C2110" s="29">
        <v>100501121</v>
      </c>
      <c r="D2110" s="29"/>
      <c r="F2110" s="29" t="s">
        <v>87</v>
      </c>
      <c r="G2110" s="29" t="s">
        <v>744</v>
      </c>
      <c r="H2110" s="29" t="s">
        <v>38</v>
      </c>
      <c r="I2110" s="120">
        <v>45757</v>
      </c>
      <c r="J2110" s="120">
        <f>WORKDAY(I2110, 3)</f>
        <v>45762</v>
      </c>
      <c r="K2110" s="120"/>
      <c r="L2110" s="120"/>
      <c r="M2110" s="120"/>
      <c r="N2110" s="120">
        <v>45762</v>
      </c>
      <c r="O2110" s="29" t="s">
        <v>884</v>
      </c>
      <c r="P2110" s="120"/>
      <c r="Q2110" s="81"/>
      <c r="R2110" s="29">
        <v>200</v>
      </c>
    </row>
    <row r="2111" spans="1:18">
      <c r="A2111" s="134" t="s">
        <v>1071</v>
      </c>
      <c r="C2111" s="29">
        <v>100501178</v>
      </c>
      <c r="D2111" s="29"/>
      <c r="F2111" s="29" t="s">
        <v>87</v>
      </c>
      <c r="G2111" s="29" t="s">
        <v>744</v>
      </c>
      <c r="H2111" s="29" t="s">
        <v>38</v>
      </c>
      <c r="I2111" s="120">
        <v>45757</v>
      </c>
      <c r="J2111" s="120">
        <f>WORKDAY(I2111, 3)</f>
        <v>45762</v>
      </c>
      <c r="K2111" s="120"/>
      <c r="L2111" s="120"/>
      <c r="M2111" s="120"/>
      <c r="N2111" s="120">
        <v>45762</v>
      </c>
      <c r="O2111" s="29" t="s">
        <v>884</v>
      </c>
      <c r="P2111" s="120"/>
      <c r="Q2111" s="81"/>
      <c r="R2111" s="29">
        <v>200</v>
      </c>
    </row>
    <row r="2112" spans="1:18">
      <c r="A2112" s="134" t="s">
        <v>1281</v>
      </c>
      <c r="C2112" s="29">
        <v>100501414</v>
      </c>
      <c r="D2112" s="29"/>
      <c r="F2112" s="29" t="s">
        <v>87</v>
      </c>
      <c r="G2112" s="29" t="s">
        <v>744</v>
      </c>
      <c r="H2112" s="29" t="s">
        <v>38</v>
      </c>
      <c r="I2112" s="120">
        <v>45757</v>
      </c>
      <c r="J2112" s="120">
        <f>WORKDAY(I2112, 3)</f>
        <v>45762</v>
      </c>
      <c r="K2112" s="120"/>
      <c r="L2112" s="120"/>
      <c r="M2112" s="120"/>
      <c r="N2112" s="120">
        <v>45762</v>
      </c>
      <c r="O2112" s="29" t="s">
        <v>884</v>
      </c>
      <c r="P2112" s="120"/>
      <c r="Q2112" s="81"/>
      <c r="R2112" s="29">
        <v>1100</v>
      </c>
    </row>
    <row r="2113" spans="1:19">
      <c r="A2113" s="134" t="s">
        <v>1281</v>
      </c>
      <c r="C2113" s="29">
        <v>100501475</v>
      </c>
      <c r="D2113" s="29"/>
      <c r="F2113" s="29" t="s">
        <v>87</v>
      </c>
      <c r="G2113" s="29" t="s">
        <v>744</v>
      </c>
      <c r="H2113" s="29" t="s">
        <v>38</v>
      </c>
      <c r="I2113" s="120">
        <v>45757</v>
      </c>
      <c r="J2113" s="120">
        <f>WORKDAY(I2113, 3)</f>
        <v>45762</v>
      </c>
      <c r="K2113" s="120"/>
      <c r="L2113" s="120"/>
      <c r="M2113" s="120"/>
      <c r="N2113" s="120">
        <v>45762</v>
      </c>
      <c r="O2113" s="29" t="s">
        <v>884</v>
      </c>
      <c r="P2113" s="120"/>
      <c r="Q2113" s="81"/>
      <c r="R2113" s="29">
        <v>730</v>
      </c>
    </row>
    <row r="2114" spans="1:19">
      <c r="A2114" s="134" t="s">
        <v>1281</v>
      </c>
      <c r="C2114" s="29">
        <v>100501543</v>
      </c>
      <c r="D2114" s="29"/>
      <c r="F2114" s="29" t="s">
        <v>87</v>
      </c>
      <c r="G2114" s="29" t="s">
        <v>744</v>
      </c>
      <c r="H2114" s="29" t="s">
        <v>38</v>
      </c>
      <c r="I2114" s="120">
        <v>45757</v>
      </c>
      <c r="J2114" s="120">
        <f>WORKDAY(I2114, 3)</f>
        <v>45762</v>
      </c>
      <c r="K2114" s="120"/>
      <c r="L2114" s="120"/>
      <c r="M2114" s="120"/>
      <c r="N2114" s="120">
        <v>45762</v>
      </c>
      <c r="O2114" s="29" t="s">
        <v>884</v>
      </c>
      <c r="P2114" s="120"/>
      <c r="Q2114" s="81"/>
      <c r="R2114" s="29">
        <v>260</v>
      </c>
    </row>
    <row r="2115" spans="1:19">
      <c r="A2115" s="134" t="s">
        <v>1282</v>
      </c>
      <c r="C2115" s="29">
        <v>100501862</v>
      </c>
      <c r="D2115" s="29"/>
      <c r="F2115" s="29" t="s">
        <v>87</v>
      </c>
      <c r="G2115" s="29" t="s">
        <v>744</v>
      </c>
      <c r="H2115" s="29" t="s">
        <v>38</v>
      </c>
      <c r="I2115" s="120">
        <v>45757</v>
      </c>
      <c r="J2115" s="120">
        <f>WORKDAY(I2115, 3)</f>
        <v>45762</v>
      </c>
      <c r="K2115" s="120"/>
      <c r="L2115" s="120"/>
      <c r="M2115" s="120"/>
      <c r="N2115" s="120">
        <v>45762</v>
      </c>
      <c r="O2115" s="29" t="s">
        <v>884</v>
      </c>
      <c r="P2115" s="120"/>
      <c r="Q2115" s="81"/>
      <c r="R2115" s="29">
        <v>650</v>
      </c>
    </row>
    <row r="2116" spans="1:19">
      <c r="A2116" s="134" t="s">
        <v>1282</v>
      </c>
      <c r="C2116" s="29">
        <v>100502020</v>
      </c>
      <c r="D2116" s="29"/>
      <c r="F2116" s="29" t="s">
        <v>87</v>
      </c>
      <c r="G2116" s="29" t="s">
        <v>744</v>
      </c>
      <c r="H2116" s="29" t="s">
        <v>38</v>
      </c>
      <c r="I2116" s="120">
        <v>45757</v>
      </c>
      <c r="J2116" s="120">
        <f>WORKDAY(I2116, 3)</f>
        <v>45762</v>
      </c>
      <c r="K2116" s="120"/>
      <c r="L2116" s="120"/>
      <c r="M2116" s="120"/>
      <c r="N2116" s="120">
        <v>45762</v>
      </c>
      <c r="O2116" s="29" t="s">
        <v>884</v>
      </c>
      <c r="P2116" s="120"/>
      <c r="Q2116" s="81"/>
      <c r="R2116" s="29">
        <v>705</v>
      </c>
    </row>
    <row r="2117" spans="1:19">
      <c r="A2117" s="134" t="s">
        <v>1282</v>
      </c>
      <c r="C2117" s="29">
        <v>100502117</v>
      </c>
      <c r="D2117" s="29"/>
      <c r="F2117" s="29" t="s">
        <v>87</v>
      </c>
      <c r="G2117" s="29" t="s">
        <v>744</v>
      </c>
      <c r="H2117" s="29" t="s">
        <v>38</v>
      </c>
      <c r="I2117" s="120">
        <v>45757</v>
      </c>
      <c r="J2117" s="120">
        <f>WORKDAY(I2117, 3)</f>
        <v>45762</v>
      </c>
      <c r="K2117" s="120"/>
      <c r="L2117" s="120"/>
      <c r="M2117" s="120"/>
      <c r="N2117" s="120">
        <v>45762</v>
      </c>
      <c r="O2117" s="29" t="s">
        <v>884</v>
      </c>
      <c r="P2117" s="120"/>
      <c r="Q2117" s="81"/>
      <c r="R2117" s="29">
        <v>300</v>
      </c>
    </row>
    <row r="2118" spans="1:19">
      <c r="A2118" s="134" t="s">
        <v>1282</v>
      </c>
      <c r="C2118" s="29">
        <v>100502162</v>
      </c>
      <c r="D2118" s="29"/>
      <c r="F2118" s="29" t="s">
        <v>87</v>
      </c>
      <c r="G2118" s="29" t="s">
        <v>744</v>
      </c>
      <c r="H2118" s="29" t="s">
        <v>38</v>
      </c>
      <c r="I2118" s="120">
        <v>45757</v>
      </c>
      <c r="J2118" s="120">
        <f>WORKDAY(I2118, 3)</f>
        <v>45762</v>
      </c>
      <c r="K2118" s="120"/>
      <c r="L2118" s="120"/>
      <c r="M2118" s="120"/>
      <c r="N2118" s="120">
        <v>45762</v>
      </c>
      <c r="O2118" s="29" t="s">
        <v>884</v>
      </c>
      <c r="P2118" s="120"/>
      <c r="Q2118" s="81"/>
      <c r="R2118" s="29">
        <v>300</v>
      </c>
    </row>
    <row r="2119" spans="1:19">
      <c r="A2119" s="134" t="s">
        <v>1281</v>
      </c>
      <c r="C2119" s="29">
        <v>101501046</v>
      </c>
      <c r="D2119" s="29"/>
      <c r="F2119" s="29" t="s">
        <v>87</v>
      </c>
      <c r="G2119" s="29" t="s">
        <v>744</v>
      </c>
      <c r="H2119" s="29" t="s">
        <v>38</v>
      </c>
      <c r="I2119" s="120">
        <v>45758</v>
      </c>
      <c r="J2119" s="120">
        <f>WORKDAY(I2119, 3)</f>
        <v>45763</v>
      </c>
      <c r="K2119" s="120"/>
      <c r="L2119" s="120"/>
      <c r="M2119" s="120"/>
      <c r="N2119" s="120">
        <v>45762</v>
      </c>
      <c r="O2119" s="29" t="s">
        <v>884</v>
      </c>
      <c r="P2119" s="120"/>
      <c r="Q2119" s="81"/>
      <c r="R2119" s="29">
        <v>250</v>
      </c>
    </row>
    <row r="2120" spans="1:19">
      <c r="A2120" s="134" t="s">
        <v>1112</v>
      </c>
      <c r="C2120" s="29">
        <v>100502549</v>
      </c>
      <c r="D2120" s="29"/>
      <c r="F2120" s="29" t="s">
        <v>87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c r="A2121" s="134" t="s">
        <v>1280</v>
      </c>
      <c r="C2121" s="29">
        <v>100502739</v>
      </c>
      <c r="D2121" s="29"/>
      <c r="F2121" s="29" t="s">
        <v>87</v>
      </c>
      <c r="G2121" s="29" t="s">
        <v>744</v>
      </c>
      <c r="H2121" s="29" t="s">
        <v>38</v>
      </c>
      <c r="I2121" s="120">
        <v>45757</v>
      </c>
      <c r="J2121" s="120">
        <f>WORKDAY(I2121, 3)</f>
        <v>45762</v>
      </c>
      <c r="K2121" s="120"/>
      <c r="L2121" s="120"/>
      <c r="M2121" s="120"/>
      <c r="N2121" s="120">
        <v>45762</v>
      </c>
      <c r="O2121" s="29" t="s">
        <v>884</v>
      </c>
      <c r="P2121" s="120"/>
      <c r="Q2121" s="81"/>
      <c r="R2121" s="29">
        <v>1000</v>
      </c>
    </row>
    <row r="2122" spans="1:19">
      <c r="A2122" s="134" t="s">
        <v>1280</v>
      </c>
      <c r="C2122" s="29">
        <v>100502761</v>
      </c>
      <c r="D2122" s="29"/>
      <c r="F2122" s="29" t="s">
        <v>87</v>
      </c>
      <c r="G2122" s="29" t="s">
        <v>744</v>
      </c>
      <c r="H2122" s="29" t="s">
        <v>38</v>
      </c>
      <c r="I2122" s="120">
        <v>45757</v>
      </c>
      <c r="J2122" s="120">
        <f>WORKDAY(I2122, 3)</f>
        <v>45762</v>
      </c>
      <c r="K2122" s="120"/>
      <c r="L2122" s="120"/>
      <c r="M2122" s="120"/>
      <c r="N2122" s="120">
        <v>45762</v>
      </c>
      <c r="O2122" s="29" t="s">
        <v>884</v>
      </c>
      <c r="P2122" s="120"/>
      <c r="Q2122" s="81"/>
      <c r="R2122" s="29">
        <v>1100</v>
      </c>
    </row>
    <row r="2123" spans="1:19">
      <c r="A2123" s="134" t="s">
        <v>1084</v>
      </c>
      <c r="C2123" s="29">
        <v>100502338</v>
      </c>
      <c r="D2123" s="29"/>
      <c r="F2123" s="29" t="s">
        <v>87</v>
      </c>
      <c r="G2123" s="29" t="s">
        <v>744</v>
      </c>
      <c r="H2123" s="29" t="s">
        <v>38</v>
      </c>
      <c r="I2123" s="120">
        <v>45757</v>
      </c>
      <c r="J2123" s="120">
        <f>WORKDAY(I2123, 3)</f>
        <v>45762</v>
      </c>
      <c r="K2123" s="120"/>
      <c r="L2123" s="120"/>
      <c r="M2123" s="120"/>
      <c r="N2123" s="120">
        <v>45762</v>
      </c>
      <c r="O2123" s="29" t="s">
        <v>884</v>
      </c>
      <c r="P2123" s="120"/>
      <c r="Q2123" s="81"/>
      <c r="R2123" s="29">
        <v>1200</v>
      </c>
    </row>
    <row r="2124" spans="1:19">
      <c r="A2124" s="134" t="s">
        <v>1084</v>
      </c>
      <c r="C2124" s="29">
        <v>100502409</v>
      </c>
      <c r="D2124" s="29"/>
      <c r="F2124" s="29" t="s">
        <v>87</v>
      </c>
      <c r="G2124" s="29" t="s">
        <v>744</v>
      </c>
      <c r="H2124" s="29" t="s">
        <v>38</v>
      </c>
      <c r="I2124" s="120">
        <v>45757</v>
      </c>
      <c r="J2124" s="120">
        <f>WORKDAY(I2124, 3)</f>
        <v>45762</v>
      </c>
      <c r="K2124" s="120"/>
      <c r="L2124" s="120"/>
      <c r="M2124" s="120"/>
      <c r="N2124" s="120">
        <v>45762</v>
      </c>
      <c r="O2124" s="29" t="s">
        <v>884</v>
      </c>
      <c r="P2124" s="120"/>
      <c r="Q2124" s="81"/>
      <c r="R2124" s="29">
        <v>1200</v>
      </c>
    </row>
    <row r="2125" spans="1:19">
      <c r="A2125" s="134" t="s">
        <v>980</v>
      </c>
      <c r="C2125" s="29">
        <v>105505153</v>
      </c>
      <c r="D2125" s="29"/>
      <c r="F2125" s="29" t="s">
        <v>87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210</v>
      </c>
      <c r="C2139" s="29">
        <v>111500902</v>
      </c>
      <c r="D2139" s="29"/>
      <c r="F2139" s="29" t="s">
        <v>87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210</v>
      </c>
      <c r="C2172" s="29">
        <v>107502870</v>
      </c>
      <c r="D2172" s="29"/>
      <c r="F2172" s="29" t="s">
        <v>87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c r="A2174" s="134" t="s">
        <v>1058</v>
      </c>
      <c r="C2174" s="29">
        <v>125500256</v>
      </c>
      <c r="D2174" s="29"/>
      <c r="F2174" s="29" t="s">
        <v>87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744</v>
      </c>
      <c r="H2175" s="29" t="s">
        <v>38</v>
      </c>
      <c r="I2175" s="120">
        <v>45765</v>
      </c>
      <c r="J2175" s="120">
        <f>WORKDAY(I2175, 3)</f>
        <v>45770</v>
      </c>
      <c r="K2175" s="120"/>
      <c r="L2175" s="120"/>
      <c r="M2175" s="120"/>
      <c r="N2175" s="29"/>
      <c r="O2175" s="29" t="s">
        <v>884</v>
      </c>
      <c r="P2175" s="120"/>
      <c r="Q2175" s="81" t="s">
        <v>1254</v>
      </c>
      <c r="R2175" s="29">
        <v>230</v>
      </c>
    </row>
    <row r="2176" spans="1:19">
      <c r="A2176" s="134" t="s">
        <v>1080</v>
      </c>
      <c r="C2176" s="29">
        <v>107504125</v>
      </c>
      <c r="D2176" s="29"/>
      <c r="F2176" s="29" t="s">
        <v>87</v>
      </c>
      <c r="G2176" s="29" t="s">
        <v>744</v>
      </c>
      <c r="H2176" s="29" t="s">
        <v>38</v>
      </c>
      <c r="I2176" s="120">
        <v>45764</v>
      </c>
      <c r="J2176" s="120">
        <f>WORKDAY(I2176, 3)</f>
        <v>45769</v>
      </c>
      <c r="K2176" s="120"/>
      <c r="L2176" s="120"/>
      <c r="M2176" s="120"/>
      <c r="N2176" s="29"/>
      <c r="O2176" s="29" t="s">
        <v>884</v>
      </c>
      <c r="P2176" s="120"/>
      <c r="Q2176" s="81" t="s">
        <v>1254</v>
      </c>
      <c r="R2176" s="29">
        <v>375</v>
      </c>
    </row>
    <row r="2177" spans="1:18">
      <c r="A2177" s="134" t="s">
        <v>1080</v>
      </c>
      <c r="C2177" s="29">
        <v>107504130</v>
      </c>
      <c r="D2177" s="29"/>
      <c r="F2177" s="29" t="s">
        <v>87</v>
      </c>
      <c r="G2177" s="29" t="s">
        <v>744</v>
      </c>
      <c r="H2177" s="29" t="s">
        <v>38</v>
      </c>
      <c r="I2177" s="120">
        <v>45764</v>
      </c>
      <c r="J2177" s="120">
        <f>WORKDAY(I2177, 3)</f>
        <v>45769</v>
      </c>
      <c r="K2177" s="120"/>
      <c r="L2177" s="120"/>
      <c r="M2177" s="120"/>
      <c r="N2177" s="29"/>
      <c r="O2177" s="29" t="s">
        <v>884</v>
      </c>
      <c r="P2177" s="120"/>
      <c r="Q2177" s="81" t="s">
        <v>1254</v>
      </c>
      <c r="R2177" s="29">
        <v>165</v>
      </c>
    </row>
    <row r="2178" spans="1:18">
      <c r="A2178" s="134" t="s">
        <v>1056</v>
      </c>
      <c r="C2178" s="29">
        <v>105505210</v>
      </c>
      <c r="D2178" s="29"/>
      <c r="F2178" s="29" t="s">
        <v>87</v>
      </c>
      <c r="G2178" s="29" t="s">
        <v>744</v>
      </c>
      <c r="H2178" s="29" t="s">
        <v>38</v>
      </c>
      <c r="I2178" s="120">
        <v>45762</v>
      </c>
      <c r="J2178" s="120">
        <f>WORKDAY(I2178, 3)</f>
        <v>45765</v>
      </c>
      <c r="K2178" s="120"/>
      <c r="L2178" s="120"/>
      <c r="M2178" s="120"/>
      <c r="N2178" s="29"/>
      <c r="O2178" s="29" t="s">
        <v>884</v>
      </c>
      <c r="P2178" s="120"/>
      <c r="Q2178" s="81" t="s">
        <v>1254</v>
      </c>
      <c r="R2178" s="29">
        <v>700</v>
      </c>
    </row>
    <row r="2179" spans="1:18">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c r="A2249" s="134" t="s">
        <v>1071</v>
      </c>
      <c r="C2249" s="29">
        <v>106501312</v>
      </c>
      <c r="D2249" s="29"/>
      <c r="F2249" s="29" t="s">
        <v>87</v>
      </c>
      <c r="G2249" s="29" t="s">
        <v>744</v>
      </c>
      <c r="H2249" s="29" t="s">
        <v>38</v>
      </c>
      <c r="I2249" s="120">
        <v>45763</v>
      </c>
      <c r="J2249" s="120">
        <f>WORKDAY(I2249, 3)</f>
        <v>45768</v>
      </c>
      <c r="K2249" s="120"/>
      <c r="L2249" s="120"/>
      <c r="M2249" s="120"/>
      <c r="N2249" s="29"/>
      <c r="O2249" s="29" t="s">
        <v>884</v>
      </c>
      <c r="P2249" s="120"/>
      <c r="Q2249" s="81"/>
      <c r="R2249" s="29">
        <v>120</v>
      </c>
    </row>
    <row r="2250" spans="1:19">
      <c r="A2250" s="134" t="s">
        <v>1071</v>
      </c>
      <c r="C2250" s="29">
        <v>104500095</v>
      </c>
      <c r="D2250" s="29"/>
      <c r="F2250" s="29" t="s">
        <v>87</v>
      </c>
      <c r="G2250" s="29" t="s">
        <v>744</v>
      </c>
      <c r="H2250" s="29" t="s">
        <v>38</v>
      </c>
      <c r="I2250" s="120">
        <v>45761</v>
      </c>
      <c r="J2250" s="120">
        <f>WORKDAY(I2250, 3)</f>
        <v>45764</v>
      </c>
      <c r="K2250" s="120"/>
      <c r="L2250" s="120"/>
      <c r="M2250" s="120"/>
      <c r="N2250" s="120">
        <v>45763</v>
      </c>
      <c r="O2250" s="29" t="s">
        <v>884</v>
      </c>
      <c r="P2250" s="120"/>
      <c r="Q2250" s="81"/>
      <c r="R2250" s="29">
        <v>425</v>
      </c>
    </row>
    <row r="2251" spans="1:19">
      <c r="A2251" s="134" t="s">
        <v>1281</v>
      </c>
      <c r="C2251" s="29">
        <v>104500101</v>
      </c>
      <c r="D2251" s="29"/>
      <c r="F2251" s="29" t="s">
        <v>87</v>
      </c>
      <c r="G2251" s="29" t="s">
        <v>744</v>
      </c>
      <c r="H2251" s="29" t="s">
        <v>38</v>
      </c>
      <c r="I2251" s="120">
        <v>45761</v>
      </c>
      <c r="J2251" s="120">
        <f>WORKDAY(I2251, 3)</f>
        <v>45764</v>
      </c>
      <c r="K2251" s="120"/>
      <c r="L2251" s="120"/>
      <c r="M2251" s="120"/>
      <c r="N2251" s="120">
        <v>45763</v>
      </c>
      <c r="O2251" s="29" t="s">
        <v>884</v>
      </c>
      <c r="P2251" s="120"/>
      <c r="Q2251" s="81"/>
      <c r="R2251" s="29">
        <v>175</v>
      </c>
    </row>
    <row r="2252" spans="1:19">
      <c r="A2252" s="134" t="s">
        <v>1282</v>
      </c>
      <c r="C2252" s="29">
        <v>104500132</v>
      </c>
      <c r="D2252" s="29"/>
      <c r="F2252" s="29" t="s">
        <v>87</v>
      </c>
      <c r="G2252" s="29" t="s">
        <v>744</v>
      </c>
      <c r="H2252" s="29" t="s">
        <v>38</v>
      </c>
      <c r="I2252" s="120">
        <v>45761</v>
      </c>
      <c r="J2252" s="120">
        <f>WORKDAY(I2252, 3)</f>
        <v>45764</v>
      </c>
      <c r="K2252" s="120"/>
      <c r="L2252" s="120"/>
      <c r="M2252" s="120"/>
      <c r="N2252" s="120">
        <v>45763</v>
      </c>
      <c r="O2252" s="29" t="s">
        <v>884</v>
      </c>
      <c r="P2252" s="29"/>
      <c r="Q2252" s="81"/>
      <c r="R2252" s="29">
        <v>200</v>
      </c>
    </row>
    <row r="2253" spans="1:19">
      <c r="A2253" s="134" t="s">
        <v>1282</v>
      </c>
      <c r="C2253" s="29">
        <v>104500146</v>
      </c>
      <c r="D2253" s="29"/>
      <c r="F2253" s="29" t="s">
        <v>87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c r="A2254" s="134" t="s">
        <v>1282</v>
      </c>
      <c r="C2254" s="29">
        <v>104500189</v>
      </c>
      <c r="D2254" s="29"/>
      <c r="F2254" s="29" t="s">
        <v>87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c r="A2255" s="134" t="s">
        <v>1282</v>
      </c>
      <c r="C2255" s="29">
        <v>104500259</v>
      </c>
      <c r="D2255" s="29"/>
      <c r="F2255" s="29" t="s">
        <v>87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c r="A2256" s="134" t="s">
        <v>1282</v>
      </c>
      <c r="C2256" s="29">
        <v>104500318</v>
      </c>
      <c r="D2256" s="29"/>
      <c r="F2256" s="29" t="s">
        <v>87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c r="A2257" s="134" t="s">
        <v>1112</v>
      </c>
      <c r="C2257" s="29">
        <v>104501676</v>
      </c>
      <c r="D2257" s="29"/>
      <c r="F2257" s="29" t="s">
        <v>87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c r="A2258" s="134" t="s">
        <v>353</v>
      </c>
      <c r="C2258" s="29">
        <v>104502093</v>
      </c>
      <c r="D2258" s="29"/>
      <c r="F2258" s="29" t="s">
        <v>87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c r="A2259" s="134" t="s">
        <v>1084</v>
      </c>
      <c r="C2259" s="29">
        <v>104503075</v>
      </c>
      <c r="D2259" s="29"/>
      <c r="F2259" s="29" t="s">
        <v>87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c r="A2260" s="134" t="s">
        <v>1084</v>
      </c>
      <c r="C2260" s="29">
        <v>104503122</v>
      </c>
      <c r="D2260" s="29"/>
      <c r="F2260" s="29" t="s">
        <v>87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c r="A2261" s="134" t="s">
        <v>1084</v>
      </c>
      <c r="C2261" s="29">
        <v>104503156</v>
      </c>
      <c r="D2261" s="29"/>
      <c r="F2261" s="29" t="s">
        <v>87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c r="A2262" s="134" t="s">
        <v>1084</v>
      </c>
      <c r="C2262" s="29">
        <v>104503184</v>
      </c>
      <c r="D2262" s="29"/>
      <c r="F2262" s="29" t="s">
        <v>87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c r="A2263" s="134" t="s">
        <v>1084</v>
      </c>
      <c r="C2263" s="29">
        <v>104503230</v>
      </c>
      <c r="D2263" s="29"/>
      <c r="F2263" s="29" t="s">
        <v>87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c r="A2264" s="134" t="s">
        <v>1084</v>
      </c>
      <c r="C2264" s="29">
        <v>104503264</v>
      </c>
      <c r="D2264" s="29"/>
      <c r="F2264" s="29" t="s">
        <v>87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c r="A2265" s="134" t="s">
        <v>1084</v>
      </c>
      <c r="C2265" s="29">
        <v>104503296</v>
      </c>
      <c r="D2265" s="29"/>
      <c r="F2265" s="29" t="s">
        <v>87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c r="A2266" s="134" t="s">
        <v>1084</v>
      </c>
      <c r="C2266" s="29">
        <v>104503362</v>
      </c>
      <c r="D2266" s="29"/>
      <c r="F2266" s="29" t="s">
        <v>87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c r="A2267" s="134" t="s">
        <v>1280</v>
      </c>
      <c r="C2267" s="29">
        <v>104503533</v>
      </c>
      <c r="D2267" s="29"/>
      <c r="F2267" s="29" t="s">
        <v>87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744</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744</v>
      </c>
      <c r="H2289" s="29" t="s">
        <v>38</v>
      </c>
      <c r="I2289" s="120">
        <v>45768</v>
      </c>
      <c r="J2289" s="120">
        <f>WORKDAY(I2289, 3)</f>
        <v>45771</v>
      </c>
      <c r="K2289" s="120">
        <v>45798</v>
      </c>
      <c r="L2289" s="120"/>
      <c r="M2289" s="120"/>
      <c r="N2289" s="29"/>
      <c r="O2289" s="29" t="s">
        <v>884</v>
      </c>
      <c r="P2289" s="120"/>
      <c r="Q2289" s="81">
        <v>420</v>
      </c>
    </row>
    <row r="2290" spans="1:18">
      <c r="A2290" s="134" t="s">
        <v>1077</v>
      </c>
      <c r="C2290" s="29">
        <v>111500626</v>
      </c>
      <c r="D2290" s="29"/>
      <c r="E2290" s="29"/>
      <c r="F2290" s="29" t="s">
        <v>87</v>
      </c>
      <c r="G2290" s="29" t="s">
        <v>744</v>
      </c>
      <c r="H2290" s="29" t="s">
        <v>38</v>
      </c>
      <c r="I2290" s="120">
        <v>45768</v>
      </c>
      <c r="J2290" s="120">
        <f>WORKDAY(I2290, 3)</f>
        <v>45771</v>
      </c>
      <c r="K2290" s="120">
        <v>45798</v>
      </c>
      <c r="L2290" s="120"/>
      <c r="M2290" s="120"/>
      <c r="N2290" s="29"/>
      <c r="O2290" s="29" t="s">
        <v>884</v>
      </c>
      <c r="P2290" s="120"/>
      <c r="Q2290" s="81">
        <v>160</v>
      </c>
    </row>
    <row r="2291" spans="1:18">
      <c r="A2291" s="134" t="s">
        <v>1077</v>
      </c>
      <c r="C2291" s="29">
        <v>111500677</v>
      </c>
      <c r="D2291" s="29"/>
      <c r="E2291" s="29"/>
      <c r="F2291" s="29" t="s">
        <v>87</v>
      </c>
      <c r="G2291" s="29" t="s">
        <v>744</v>
      </c>
      <c r="H2291" s="29" t="s">
        <v>38</v>
      </c>
      <c r="I2291" s="120">
        <v>45768</v>
      </c>
      <c r="J2291" s="120">
        <f>WORKDAY(I2291, 3)</f>
        <v>45771</v>
      </c>
      <c r="K2291" s="120">
        <v>45798</v>
      </c>
      <c r="L2291" s="120"/>
      <c r="M2291" s="120"/>
      <c r="N2291" s="29"/>
      <c r="O2291" s="29" t="s">
        <v>884</v>
      </c>
      <c r="P2291" s="120"/>
      <c r="Q2291" s="81">
        <v>80</v>
      </c>
    </row>
    <row r="2292" spans="1:18">
      <c r="A2292" s="134" t="s">
        <v>1061</v>
      </c>
      <c r="C2292" s="29">
        <v>111501708</v>
      </c>
      <c r="D2292" s="29">
        <v>136500095</v>
      </c>
      <c r="E2292" s="29"/>
      <c r="F2292" s="29" t="s">
        <v>87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358</v>
      </c>
      <c r="C2295" s="29">
        <v>111506703</v>
      </c>
      <c r="D2295" s="29">
        <v>141500347</v>
      </c>
      <c r="E2295" s="29"/>
      <c r="F2295" s="29" t="s">
        <v>87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358</v>
      </c>
      <c r="C2296" s="29">
        <v>113500840</v>
      </c>
      <c r="D2296" s="29"/>
      <c r="E2296" s="29"/>
      <c r="F2296" s="29" t="s">
        <v>87</v>
      </c>
      <c r="G2296" s="29" t="s">
        <v>744</v>
      </c>
      <c r="H2296" s="29" t="s">
        <v>38</v>
      </c>
      <c r="I2296" s="120">
        <v>45770</v>
      </c>
      <c r="J2296" s="120">
        <f>WORKDAY(I2296, 3)</f>
        <v>45775</v>
      </c>
      <c r="K2296" s="120">
        <v>45800</v>
      </c>
      <c r="L2296" s="120"/>
      <c r="M2296" s="120"/>
      <c r="N2296" s="29"/>
      <c r="O2296" s="29" t="s">
        <v>884</v>
      </c>
      <c r="P2296" s="120"/>
      <c r="Q2296" s="81">
        <v>500</v>
      </c>
    </row>
    <row r="2297" spans="1:18">
      <c r="A2297" s="134" t="s">
        <v>1072</v>
      </c>
      <c r="C2297" s="29">
        <v>114500855</v>
      </c>
      <c r="D2297" s="29">
        <v>147502068</v>
      </c>
      <c r="E2297" s="29"/>
      <c r="F2297" s="29" t="s">
        <v>87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c r="A2298" s="134" t="s">
        <v>1072</v>
      </c>
      <c r="C2298" s="29">
        <v>114500883</v>
      </c>
      <c r="D2298" s="29">
        <v>147502082</v>
      </c>
      <c r="E2298" s="29"/>
      <c r="F2298" s="29" t="s">
        <v>87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c r="A2299" s="134" t="s">
        <v>1072</v>
      </c>
      <c r="C2299" s="29">
        <v>114500780</v>
      </c>
      <c r="D2299" s="29">
        <v>147502092</v>
      </c>
      <c r="E2299" s="29"/>
      <c r="F2299" s="29" t="s">
        <v>87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744</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744</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744</v>
      </c>
      <c r="H2302" s="29" t="s">
        <v>38</v>
      </c>
      <c r="I2302" s="120">
        <v>45775</v>
      </c>
      <c r="J2302" s="120">
        <f>WORKDAY(I2302, 3)</f>
        <v>45778</v>
      </c>
      <c r="K2302" s="120">
        <v>45805</v>
      </c>
      <c r="L2302" s="120"/>
      <c r="M2302" s="120"/>
      <c r="N2302" s="29"/>
      <c r="O2302" s="29" t="s">
        <v>884</v>
      </c>
      <c r="P2302" s="120"/>
      <c r="Q2302" s="156">
        <v>270</v>
      </c>
    </row>
    <row r="2303" spans="1:18">
      <c r="A2303" s="134" t="s">
        <v>1077</v>
      </c>
      <c r="C2303" s="29">
        <v>119500244</v>
      </c>
      <c r="D2303" s="29"/>
      <c r="E2303" s="29"/>
      <c r="F2303" s="29" t="s">
        <v>87</v>
      </c>
      <c r="G2303" s="29" t="s">
        <v>744</v>
      </c>
      <c r="H2303" s="29" t="s">
        <v>38</v>
      </c>
      <c r="I2303" s="120">
        <v>45775</v>
      </c>
      <c r="J2303" s="120">
        <f>WORKDAY(I2303, 3)</f>
        <v>45778</v>
      </c>
      <c r="K2303" s="120">
        <v>45805</v>
      </c>
      <c r="L2303" s="120"/>
      <c r="M2303" s="120"/>
      <c r="N2303" s="29"/>
      <c r="O2303" s="29" t="s">
        <v>884</v>
      </c>
      <c r="P2303" s="120"/>
      <c r="Q2303" s="156">
        <v>570</v>
      </c>
    </row>
    <row r="2304" spans="1:18">
      <c r="A2304" s="134" t="s">
        <v>1077</v>
      </c>
      <c r="C2304" s="29">
        <v>119500251</v>
      </c>
      <c r="D2304" s="29"/>
      <c r="E2304" s="29"/>
      <c r="F2304" s="29" t="s">
        <v>87</v>
      </c>
      <c r="G2304" s="29" t="s">
        <v>744</v>
      </c>
      <c r="H2304" s="29" t="s">
        <v>38</v>
      </c>
      <c r="I2304" s="120">
        <v>45775</v>
      </c>
      <c r="J2304" s="120">
        <f>WORKDAY(I2304, 3)</f>
        <v>45778</v>
      </c>
      <c r="K2304" s="120">
        <v>45805</v>
      </c>
      <c r="L2304" s="120"/>
      <c r="M2304" s="120"/>
      <c r="N2304" s="29"/>
      <c r="O2304" s="29" t="s">
        <v>884</v>
      </c>
      <c r="P2304" s="120"/>
      <c r="Q2304" s="156">
        <v>450</v>
      </c>
    </row>
    <row r="2305" spans="1:18">
      <c r="A2305" s="134" t="s">
        <v>1077</v>
      </c>
      <c r="C2305" s="29">
        <v>119500257</v>
      </c>
      <c r="D2305" s="29">
        <v>147501882</v>
      </c>
      <c r="E2305" s="29"/>
      <c r="F2305" s="29" t="s">
        <v>87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744</v>
      </c>
      <c r="H2307" s="29" t="s">
        <v>38</v>
      </c>
      <c r="I2307" s="120">
        <v>45784</v>
      </c>
      <c r="J2307" s="120">
        <f>WORKDAY(I2307, 3)</f>
        <v>45789</v>
      </c>
      <c r="K2307" s="120">
        <v>45815</v>
      </c>
      <c r="L2307" s="120"/>
      <c r="M2307" s="120"/>
      <c r="N2307" s="29"/>
      <c r="O2307" s="29" t="s">
        <v>884</v>
      </c>
      <c r="P2307" s="120"/>
      <c r="Q2307" s="156">
        <v>50</v>
      </c>
    </row>
    <row r="2308" spans="1:18">
      <c r="A2308" s="134" t="s">
        <v>959</v>
      </c>
      <c r="C2308" s="29">
        <v>127504535</v>
      </c>
      <c r="D2308" s="29"/>
      <c r="E2308" s="29"/>
      <c r="F2308" s="29" t="s">
        <v>87</v>
      </c>
      <c r="G2308" s="29" t="s">
        <v>744</v>
      </c>
      <c r="H2308" s="29" t="s">
        <v>38</v>
      </c>
      <c r="I2308" s="120">
        <v>45784</v>
      </c>
      <c r="J2308" s="120">
        <f>WORKDAY(I2308, 3)</f>
        <v>45789</v>
      </c>
      <c r="K2308" s="120">
        <v>45815</v>
      </c>
      <c r="L2308" s="120"/>
      <c r="M2308" s="120"/>
      <c r="N2308" s="29"/>
      <c r="O2308" s="29" t="s">
        <v>884</v>
      </c>
      <c r="P2308" s="120"/>
      <c r="Q2308" s="156">
        <v>300</v>
      </c>
    </row>
    <row r="2309" spans="1:18">
      <c r="A2309" s="134" t="s">
        <v>959</v>
      </c>
      <c r="C2309" s="29">
        <v>127504570</v>
      </c>
      <c r="D2309" s="29"/>
      <c r="E2309" s="29"/>
      <c r="F2309" s="29" t="s">
        <v>87</v>
      </c>
      <c r="G2309" s="29" t="s">
        <v>744</v>
      </c>
      <c r="H2309" s="29" t="s">
        <v>38</v>
      </c>
      <c r="I2309" s="120">
        <v>45784</v>
      </c>
      <c r="J2309" s="120">
        <f>WORKDAY(I2309, 3)</f>
        <v>45789</v>
      </c>
      <c r="K2309" s="120">
        <v>45815</v>
      </c>
      <c r="L2309" s="120"/>
      <c r="M2309" s="120"/>
      <c r="N2309" s="29"/>
      <c r="O2309" s="29" t="s">
        <v>884</v>
      </c>
      <c r="P2309" s="120"/>
      <c r="Q2309" s="156">
        <v>300</v>
      </c>
    </row>
    <row r="2310" spans="1:18">
      <c r="A2310" s="134" t="s">
        <v>959</v>
      </c>
      <c r="C2310" s="29">
        <v>127504593</v>
      </c>
      <c r="D2310" s="29"/>
      <c r="E2310" s="29"/>
      <c r="F2310" s="29" t="s">
        <v>87</v>
      </c>
      <c r="G2310" s="29" t="s">
        <v>744</v>
      </c>
      <c r="H2310" s="29" t="s">
        <v>38</v>
      </c>
      <c r="I2310" s="120">
        <v>45784</v>
      </c>
      <c r="J2310" s="120">
        <f>WORKDAY(I2310, 3)</f>
        <v>45789</v>
      </c>
      <c r="K2310" s="120">
        <v>45815</v>
      </c>
      <c r="L2310" s="120"/>
      <c r="M2310" s="120"/>
      <c r="N2310" s="29"/>
      <c r="O2310" s="29" t="s">
        <v>884</v>
      </c>
      <c r="P2310" s="120"/>
      <c r="Q2310" s="156">
        <v>300</v>
      </c>
    </row>
    <row r="2311" spans="1:18">
      <c r="A2311" s="134" t="s">
        <v>1112</v>
      </c>
      <c r="C2311" s="29">
        <v>128501134</v>
      </c>
      <c r="D2311" s="29"/>
      <c r="E2311" s="29"/>
      <c r="F2311" s="29" t="s">
        <v>87</v>
      </c>
      <c r="G2311" s="29" t="s">
        <v>744</v>
      </c>
      <c r="H2311" s="29" t="s">
        <v>38</v>
      </c>
      <c r="I2311" s="120">
        <v>45785</v>
      </c>
      <c r="J2311" s="120">
        <f>WORKDAY(I2311, 3)</f>
        <v>45790</v>
      </c>
      <c r="K2311" s="120">
        <v>45816</v>
      </c>
      <c r="L2311" s="120"/>
      <c r="M2311" s="120"/>
      <c r="N2311" s="29"/>
      <c r="O2311" s="29" t="s">
        <v>884</v>
      </c>
      <c r="P2311" s="120"/>
      <c r="Q2311" s="156">
        <v>300</v>
      </c>
    </row>
    <row r="2312" spans="1:18">
      <c r="A2312" s="134" t="s">
        <v>1112</v>
      </c>
      <c r="C2312" s="29">
        <v>128501084</v>
      </c>
      <c r="D2312" s="29"/>
      <c r="E2312" s="29"/>
      <c r="F2312" s="29" t="s">
        <v>87</v>
      </c>
      <c r="G2312" s="29" t="s">
        <v>744</v>
      </c>
      <c r="H2312" s="29" t="s">
        <v>38</v>
      </c>
      <c r="I2312" s="120">
        <v>45785</v>
      </c>
      <c r="J2312" s="120">
        <f>WORKDAY(I2312, 3)</f>
        <v>45790</v>
      </c>
      <c r="K2312" s="120">
        <v>45816</v>
      </c>
      <c r="L2312" s="120"/>
      <c r="M2312" s="120"/>
      <c r="N2312" s="29"/>
      <c r="O2312" s="29" t="s">
        <v>884</v>
      </c>
      <c r="P2312" s="120"/>
      <c r="Q2312" s="156">
        <v>500</v>
      </c>
    </row>
    <row r="2313" spans="1:18">
      <c r="A2313" s="134" t="s">
        <v>1112</v>
      </c>
      <c r="C2313" s="29">
        <v>128501092</v>
      </c>
      <c r="D2313" s="29"/>
      <c r="E2313" s="29"/>
      <c r="F2313" s="29" t="s">
        <v>87</v>
      </c>
      <c r="G2313" s="29" t="s">
        <v>744</v>
      </c>
      <c r="H2313" s="29" t="s">
        <v>38</v>
      </c>
      <c r="I2313" s="120">
        <v>45785</v>
      </c>
      <c r="J2313" s="120">
        <f>WORKDAY(I2313, 3)</f>
        <v>45790</v>
      </c>
      <c r="K2313" s="120">
        <v>45816</v>
      </c>
      <c r="L2313" s="120"/>
      <c r="M2313" s="120"/>
      <c r="N2313" s="29"/>
      <c r="O2313" s="29" t="s">
        <v>884</v>
      </c>
      <c r="P2313" s="120"/>
      <c r="Q2313" s="156">
        <v>900</v>
      </c>
    </row>
    <row r="2314" spans="1:18">
      <c r="A2314" s="134" t="s">
        <v>1112</v>
      </c>
      <c r="C2314" s="29">
        <v>128501118</v>
      </c>
      <c r="D2314" s="29"/>
      <c r="E2314" s="29"/>
      <c r="F2314" s="29" t="s">
        <v>87</v>
      </c>
      <c r="G2314" s="29" t="s">
        <v>744</v>
      </c>
      <c r="H2314" s="29" t="s">
        <v>38</v>
      </c>
      <c r="I2314" s="120">
        <v>45785</v>
      </c>
      <c r="J2314" s="120">
        <f>WORKDAY(I2314, 3)</f>
        <v>45790</v>
      </c>
      <c r="K2314" s="120">
        <v>45816</v>
      </c>
      <c r="L2314" s="120"/>
      <c r="M2314" s="120"/>
      <c r="N2314" s="29"/>
      <c r="O2314" s="29" t="s">
        <v>884</v>
      </c>
      <c r="P2314" s="120"/>
      <c r="Q2314" s="156">
        <v>900</v>
      </c>
    </row>
    <row r="2315" spans="1:18">
      <c r="A2315" s="134" t="s">
        <v>1112</v>
      </c>
      <c r="C2315" s="29">
        <v>128501125</v>
      </c>
      <c r="D2315" s="29"/>
      <c r="E2315" s="29"/>
      <c r="F2315" s="29" t="s">
        <v>87</v>
      </c>
      <c r="G2315" s="29" t="s">
        <v>744</v>
      </c>
      <c r="H2315" s="29" t="s">
        <v>38</v>
      </c>
      <c r="I2315" s="120">
        <v>45785</v>
      </c>
      <c r="J2315" s="120">
        <f>WORKDAY(I2315, 3)</f>
        <v>45790</v>
      </c>
      <c r="K2315" s="120">
        <v>45816</v>
      </c>
      <c r="L2315" s="120"/>
      <c r="M2315" s="120"/>
      <c r="N2315" s="29"/>
      <c r="O2315" s="29" t="s">
        <v>884</v>
      </c>
      <c r="P2315" s="120"/>
      <c r="Q2315" s="156">
        <v>200</v>
      </c>
    </row>
    <row r="2316" spans="1:18">
      <c r="A2316" s="134" t="s">
        <v>1112</v>
      </c>
      <c r="C2316" s="29">
        <v>128501144</v>
      </c>
      <c r="D2316" s="29"/>
      <c r="E2316" s="29"/>
      <c r="F2316" s="29" t="s">
        <v>87</v>
      </c>
      <c r="G2316" s="29" t="s">
        <v>744</v>
      </c>
      <c r="H2316" s="29" t="s">
        <v>38</v>
      </c>
      <c r="I2316" s="120">
        <v>45785</v>
      </c>
      <c r="J2316" s="120">
        <f>WORKDAY(I2316, 3)</f>
        <v>45790</v>
      </c>
      <c r="K2316" s="120">
        <v>45816</v>
      </c>
      <c r="L2316" s="120"/>
      <c r="M2316" s="120"/>
      <c r="N2316" s="29"/>
      <c r="O2316" s="29" t="s">
        <v>884</v>
      </c>
      <c r="P2316" s="120"/>
      <c r="Q2316" s="156">
        <v>500</v>
      </c>
    </row>
    <row r="2317" spans="1:18">
      <c r="A2317" s="134" t="s">
        <v>1112</v>
      </c>
      <c r="C2317" s="29">
        <v>128501153</v>
      </c>
      <c r="D2317" s="29"/>
      <c r="E2317" s="29"/>
      <c r="F2317" s="29" t="s">
        <v>87</v>
      </c>
      <c r="G2317" s="29" t="s">
        <v>744</v>
      </c>
      <c r="H2317" s="29" t="s">
        <v>38</v>
      </c>
      <c r="I2317" s="120">
        <v>45785</v>
      </c>
      <c r="J2317" s="120">
        <f>WORKDAY(I2317, 3)</f>
        <v>45790</v>
      </c>
      <c r="K2317" s="120">
        <v>45816</v>
      </c>
      <c r="L2317" s="120"/>
      <c r="M2317" s="120"/>
      <c r="N2317" s="29"/>
      <c r="O2317" s="29" t="s">
        <v>884</v>
      </c>
      <c r="P2317" s="120"/>
      <c r="Q2317" s="156">
        <v>110</v>
      </c>
    </row>
    <row r="2318" spans="1:18">
      <c r="A2318" s="134" t="s">
        <v>1112</v>
      </c>
      <c r="C2318" s="29">
        <v>128501161</v>
      </c>
      <c r="D2318" s="29"/>
      <c r="E2318" s="29"/>
      <c r="F2318" s="29" t="s">
        <v>87</v>
      </c>
      <c r="G2318" s="29" t="s">
        <v>744</v>
      </c>
      <c r="H2318" s="29" t="s">
        <v>38</v>
      </c>
      <c r="I2318" s="120">
        <v>45785</v>
      </c>
      <c r="J2318" s="120">
        <f>WORKDAY(I2318, 3)</f>
        <v>45790</v>
      </c>
      <c r="K2318" s="120">
        <v>45816</v>
      </c>
      <c r="L2318" s="120"/>
      <c r="M2318" s="120"/>
      <c r="N2318" s="29"/>
      <c r="O2318" s="29" t="s">
        <v>884</v>
      </c>
      <c r="P2318" s="120"/>
      <c r="Q2318" s="156">
        <v>200</v>
      </c>
    </row>
    <row r="2319" spans="1:18">
      <c r="A2319" s="134" t="s">
        <v>1112</v>
      </c>
      <c r="C2319" s="29">
        <v>128501171</v>
      </c>
      <c r="D2319" s="29"/>
      <c r="E2319" s="29"/>
      <c r="F2319" s="29" t="s">
        <v>87</v>
      </c>
      <c r="G2319" s="29" t="s">
        <v>744</v>
      </c>
      <c r="H2319" s="29" t="s">
        <v>38</v>
      </c>
      <c r="I2319" s="120">
        <v>45785</v>
      </c>
      <c r="J2319" s="120">
        <f>WORKDAY(I2319, 3)</f>
        <v>45790</v>
      </c>
      <c r="K2319" s="120">
        <v>45816</v>
      </c>
      <c r="L2319" s="120"/>
      <c r="M2319" s="120"/>
      <c r="N2319" s="29"/>
      <c r="O2319" s="29" t="s">
        <v>884</v>
      </c>
      <c r="P2319" s="120"/>
      <c r="Q2319" s="156">
        <v>250</v>
      </c>
    </row>
    <row r="2320" spans="1:18">
      <c r="A2320" s="134" t="s">
        <v>1112</v>
      </c>
      <c r="C2320" s="29">
        <v>128501177</v>
      </c>
      <c r="D2320" s="29"/>
      <c r="E2320" s="29"/>
      <c r="F2320" s="29" t="s">
        <v>87</v>
      </c>
      <c r="G2320" s="29" t="s">
        <v>744</v>
      </c>
      <c r="H2320" s="29" t="s">
        <v>38</v>
      </c>
      <c r="I2320" s="120">
        <v>45785</v>
      </c>
      <c r="J2320" s="120">
        <f>WORKDAY(I2320, 3)</f>
        <v>45790</v>
      </c>
      <c r="K2320" s="120">
        <v>45816</v>
      </c>
      <c r="L2320" s="120"/>
      <c r="M2320" s="120"/>
      <c r="N2320" s="29"/>
      <c r="O2320" s="29" t="s">
        <v>884</v>
      </c>
      <c r="P2320" s="120"/>
      <c r="Q2320" s="156">
        <v>180</v>
      </c>
    </row>
    <row r="2321" spans="1:18">
      <c r="A2321" s="134" t="s">
        <v>1112</v>
      </c>
      <c r="C2321" s="29">
        <v>128501188</v>
      </c>
      <c r="D2321" s="29"/>
      <c r="E2321" s="29"/>
      <c r="F2321" s="29" t="s">
        <v>87</v>
      </c>
      <c r="G2321" s="29" t="s">
        <v>744</v>
      </c>
      <c r="H2321" s="29" t="s">
        <v>38</v>
      </c>
      <c r="I2321" s="120">
        <v>45785</v>
      </c>
      <c r="J2321" s="120">
        <f>WORKDAY(I2321, 3)</f>
        <v>45790</v>
      </c>
      <c r="K2321" s="120">
        <v>45816</v>
      </c>
      <c r="L2321" s="120"/>
      <c r="M2321" s="120"/>
      <c r="N2321" s="29"/>
      <c r="O2321" s="29" t="s">
        <v>884</v>
      </c>
      <c r="P2321" s="120"/>
      <c r="Q2321" s="156">
        <v>550</v>
      </c>
    </row>
    <row r="2322" spans="1:18">
      <c r="A2322" s="134" t="s">
        <v>717</v>
      </c>
      <c r="C2322" s="29">
        <v>128501583</v>
      </c>
      <c r="D2322" s="29"/>
      <c r="E2322" s="29"/>
      <c r="F2322" s="29" t="s">
        <v>87</v>
      </c>
      <c r="G2322" s="29" t="s">
        <v>744</v>
      </c>
      <c r="H2322" s="29" t="s">
        <v>38</v>
      </c>
      <c r="I2322" s="120">
        <v>45785</v>
      </c>
      <c r="J2322" s="120">
        <f>WORKDAY(I2322, 3)</f>
        <v>45790</v>
      </c>
      <c r="K2322" s="120">
        <v>45816</v>
      </c>
      <c r="L2322" s="120"/>
      <c r="M2322" s="120"/>
      <c r="N2322" s="29"/>
      <c r="O2322" s="29" t="s">
        <v>884</v>
      </c>
      <c r="P2322" s="120"/>
      <c r="Q2322" s="156">
        <v>990</v>
      </c>
    </row>
    <row r="2323" spans="1:18">
      <c r="A2323" s="134" t="s">
        <v>717</v>
      </c>
      <c r="C2323" s="29">
        <v>128501601</v>
      </c>
      <c r="D2323" s="29"/>
      <c r="E2323" s="29"/>
      <c r="F2323" s="29" t="s">
        <v>87</v>
      </c>
      <c r="G2323" s="29" t="s">
        <v>744</v>
      </c>
      <c r="H2323" s="29" t="s">
        <v>38</v>
      </c>
      <c r="I2323" s="120">
        <v>45785</v>
      </c>
      <c r="J2323" s="120">
        <f>WORKDAY(I2323, 3)</f>
        <v>45790</v>
      </c>
      <c r="K2323" s="120">
        <v>45816</v>
      </c>
      <c r="L2323" s="120"/>
      <c r="M2323" s="120"/>
      <c r="N2323" s="29"/>
      <c r="O2323" s="29" t="s">
        <v>884</v>
      </c>
      <c r="P2323" s="120"/>
      <c r="Q2323" s="156">
        <v>60</v>
      </c>
    </row>
    <row r="2324" spans="1:18">
      <c r="A2324" s="134" t="s">
        <v>717</v>
      </c>
      <c r="C2324" s="29">
        <v>128501615</v>
      </c>
      <c r="D2324" s="29"/>
      <c r="E2324" s="29"/>
      <c r="F2324" s="29" t="s">
        <v>87</v>
      </c>
      <c r="G2324" s="29" t="s">
        <v>744</v>
      </c>
      <c r="H2324" s="29" t="s">
        <v>38</v>
      </c>
      <c r="I2324" s="120">
        <v>45785</v>
      </c>
      <c r="J2324" s="120">
        <f>WORKDAY(I2324, 3)</f>
        <v>45790</v>
      </c>
      <c r="K2324" s="120">
        <v>45816</v>
      </c>
      <c r="L2324" s="120"/>
      <c r="M2324" s="120"/>
      <c r="N2324" s="29"/>
      <c r="O2324" s="29" t="s">
        <v>884</v>
      </c>
      <c r="P2324" s="120"/>
      <c r="Q2324" s="156">
        <v>60</v>
      </c>
    </row>
    <row r="2325" spans="1:18">
      <c r="A2325" s="134" t="s">
        <v>717</v>
      </c>
      <c r="C2325" s="29">
        <v>128501627</v>
      </c>
      <c r="D2325" s="29"/>
      <c r="E2325" s="29"/>
      <c r="F2325" s="29" t="s">
        <v>87</v>
      </c>
      <c r="G2325" s="29" t="s">
        <v>744</v>
      </c>
      <c r="H2325" s="29" t="s">
        <v>38</v>
      </c>
      <c r="I2325" s="120">
        <v>45785</v>
      </c>
      <c r="J2325" s="120">
        <f>WORKDAY(I2325, 3)</f>
        <v>45790</v>
      </c>
      <c r="K2325" s="120">
        <v>45816</v>
      </c>
      <c r="L2325" s="120"/>
      <c r="M2325" s="120"/>
      <c r="N2325" s="29"/>
      <c r="O2325" s="29" t="s">
        <v>884</v>
      </c>
      <c r="P2325" s="120"/>
      <c r="Q2325" s="156">
        <v>60</v>
      </c>
    </row>
    <row r="2326" spans="1:18">
      <c r="A2326" s="134" t="s">
        <v>717</v>
      </c>
      <c r="C2326" s="29">
        <v>128501652</v>
      </c>
      <c r="D2326" s="29"/>
      <c r="E2326" s="29"/>
      <c r="F2326" s="29" t="s">
        <v>87</v>
      </c>
      <c r="G2326" s="29" t="s">
        <v>744</v>
      </c>
      <c r="H2326" s="29" t="s">
        <v>38</v>
      </c>
      <c r="I2326" s="120">
        <v>45785</v>
      </c>
      <c r="J2326" s="120">
        <f>WORKDAY(I2326, 3)</f>
        <v>45790</v>
      </c>
      <c r="K2326" s="120">
        <v>45816</v>
      </c>
      <c r="L2326" s="120"/>
      <c r="M2326" s="120"/>
      <c r="N2326" s="29"/>
      <c r="O2326" s="29" t="s">
        <v>884</v>
      </c>
      <c r="P2326" s="120"/>
      <c r="Q2326" s="156">
        <v>375</v>
      </c>
    </row>
    <row r="2327" spans="1:18">
      <c r="A2327" s="134" t="s">
        <v>717</v>
      </c>
      <c r="C2327" s="29">
        <v>128501685</v>
      </c>
      <c r="D2327" s="29"/>
      <c r="E2327" s="29"/>
      <c r="F2327" s="29" t="s">
        <v>87</v>
      </c>
      <c r="G2327" s="29" t="s">
        <v>744</v>
      </c>
      <c r="H2327" s="29" t="s">
        <v>38</v>
      </c>
      <c r="I2327" s="120">
        <v>45785</v>
      </c>
      <c r="J2327" s="120">
        <f>WORKDAY(I2327, 3)</f>
        <v>45790</v>
      </c>
      <c r="K2327" s="120">
        <v>45816</v>
      </c>
      <c r="L2327" s="120"/>
      <c r="M2327" s="120"/>
      <c r="N2327" s="29"/>
      <c r="O2327" s="29" t="s">
        <v>884</v>
      </c>
      <c r="P2327" s="120"/>
      <c r="Q2327" s="156">
        <v>275</v>
      </c>
    </row>
    <row r="2328" spans="1:18">
      <c r="A2328" s="134" t="s">
        <v>717</v>
      </c>
      <c r="C2328" s="29">
        <v>128501712</v>
      </c>
      <c r="D2328" s="29"/>
      <c r="E2328" s="29"/>
      <c r="F2328" s="29" t="s">
        <v>87</v>
      </c>
      <c r="G2328" s="29" t="s">
        <v>744</v>
      </c>
      <c r="H2328" s="29" t="s">
        <v>38</v>
      </c>
      <c r="I2328" s="120">
        <v>45785</v>
      </c>
      <c r="J2328" s="120">
        <f>WORKDAY(I2328, 3)</f>
        <v>45790</v>
      </c>
      <c r="K2328" s="120">
        <v>45816</v>
      </c>
      <c r="L2328" s="120"/>
      <c r="M2328" s="120"/>
      <c r="N2328" s="29"/>
      <c r="O2328" s="29" t="s">
        <v>884</v>
      </c>
      <c r="P2328" s="120"/>
      <c r="Q2328" s="156">
        <v>60</v>
      </c>
    </row>
    <row r="2329" spans="1:18">
      <c r="A2329" s="134" t="s">
        <v>717</v>
      </c>
      <c r="C2329" s="29">
        <v>128501743</v>
      </c>
      <c r="D2329" s="29"/>
      <c r="E2329" s="29"/>
      <c r="F2329" s="29" t="s">
        <v>87</v>
      </c>
      <c r="G2329" s="29" t="s">
        <v>744</v>
      </c>
      <c r="H2329" s="29" t="s">
        <v>38</v>
      </c>
      <c r="I2329" s="120">
        <v>45785</v>
      </c>
      <c r="J2329" s="120">
        <f>WORKDAY(I2329, 3)</f>
        <v>45790</v>
      </c>
      <c r="K2329" s="120">
        <v>45816</v>
      </c>
      <c r="L2329" s="120"/>
      <c r="M2329" s="120"/>
      <c r="N2329" s="29"/>
      <c r="O2329" s="29" t="s">
        <v>884</v>
      </c>
      <c r="P2329" s="120"/>
      <c r="Q2329" s="156">
        <v>650</v>
      </c>
    </row>
    <row r="2330" spans="1:18">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c r="A2333" s="134" t="s">
        <v>717</v>
      </c>
      <c r="C2333" s="29">
        <v>129500101</v>
      </c>
      <c r="D2333" s="29"/>
      <c r="E2333" s="29"/>
      <c r="F2333" s="29" t="s">
        <v>87</v>
      </c>
      <c r="G2333" s="29" t="s">
        <v>744</v>
      </c>
      <c r="H2333" s="29" t="s">
        <v>38</v>
      </c>
      <c r="I2333" s="120">
        <v>45786</v>
      </c>
      <c r="J2333" s="120">
        <f>WORKDAY(I2333, 3)</f>
        <v>45791</v>
      </c>
      <c r="K2333" s="120">
        <v>45817</v>
      </c>
      <c r="L2333" s="120"/>
      <c r="M2333" s="120"/>
      <c r="N2333" s="29"/>
      <c r="O2333" s="29" t="s">
        <v>884</v>
      </c>
      <c r="P2333" s="120"/>
      <c r="Q2333" s="156">
        <v>500</v>
      </c>
    </row>
    <row r="2334" spans="1:18">
      <c r="A2334" s="134" t="s">
        <v>717</v>
      </c>
      <c r="C2334" s="29">
        <v>129500104</v>
      </c>
      <c r="D2334" s="29"/>
      <c r="E2334" s="29"/>
      <c r="F2334" s="29" t="s">
        <v>87</v>
      </c>
      <c r="G2334" s="29" t="s">
        <v>744</v>
      </c>
      <c r="H2334" s="29" t="s">
        <v>38</v>
      </c>
      <c r="I2334" s="120">
        <v>45786</v>
      </c>
      <c r="J2334" s="120">
        <f>WORKDAY(I2334, 3)</f>
        <v>45791</v>
      </c>
      <c r="K2334" s="120">
        <v>45817</v>
      </c>
      <c r="L2334" s="120"/>
      <c r="M2334" s="120"/>
      <c r="N2334" s="29"/>
      <c r="O2334" s="29" t="s">
        <v>884</v>
      </c>
      <c r="P2334" s="120"/>
      <c r="Q2334" s="156">
        <v>300</v>
      </c>
    </row>
    <row r="2335" spans="1:18">
      <c r="A2335" s="134" t="s">
        <v>717</v>
      </c>
      <c r="C2335" s="29">
        <v>129500114</v>
      </c>
      <c r="D2335" s="29"/>
      <c r="E2335" s="29"/>
      <c r="F2335" s="29" t="s">
        <v>87</v>
      </c>
      <c r="G2335" s="29" t="s">
        <v>744</v>
      </c>
      <c r="H2335" s="29" t="s">
        <v>38</v>
      </c>
      <c r="I2335" s="120">
        <v>45786</v>
      </c>
      <c r="J2335" s="120">
        <f>WORKDAY(I2335, 3)</f>
        <v>45791</v>
      </c>
      <c r="K2335" s="120">
        <v>45817</v>
      </c>
      <c r="L2335" s="120"/>
      <c r="M2335" s="120"/>
      <c r="N2335" s="29"/>
      <c r="O2335" s="29" t="s">
        <v>884</v>
      </c>
      <c r="P2335" s="120"/>
      <c r="Q2335" s="156">
        <v>60</v>
      </c>
    </row>
    <row r="2336" spans="1:18" ht="15.75">
      <c r="A2336" s="126" t="s">
        <v>1069</v>
      </c>
      <c r="B2336" s="126"/>
      <c r="C2336" s="29">
        <v>119505499</v>
      </c>
      <c r="D2336" s="29">
        <v>147501832</v>
      </c>
      <c r="E2336" s="29"/>
      <c r="F2336" s="29" t="s">
        <v>87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744</v>
      </c>
      <c r="H2342" s="29" t="s">
        <v>38</v>
      </c>
      <c r="I2342" s="120">
        <v>45779</v>
      </c>
      <c r="J2342" s="120">
        <f>WORKDAY(I2342, 3)</f>
        <v>45784</v>
      </c>
      <c r="K2342" s="120">
        <v>45816</v>
      </c>
      <c r="L2342" s="120"/>
      <c r="M2342" s="120"/>
      <c r="N2342" s="29"/>
      <c r="O2342" s="29" t="s">
        <v>884</v>
      </c>
      <c r="P2342" s="120"/>
      <c r="Q2342" s="156">
        <v>250</v>
      </c>
    </row>
    <row r="2343" spans="1:18">
      <c r="A2343" s="134" t="s">
        <v>1312</v>
      </c>
      <c r="C2343" s="29">
        <v>122501284</v>
      </c>
      <c r="D2343" s="29"/>
      <c r="E2343" s="29"/>
      <c r="F2343" s="29" t="s">
        <v>87</v>
      </c>
      <c r="G2343" s="29" t="s">
        <v>744</v>
      </c>
      <c r="H2343" s="29" t="s">
        <v>38</v>
      </c>
      <c r="I2343" s="120">
        <v>45779</v>
      </c>
      <c r="J2343" s="120">
        <f>WORKDAY(I2343, 3)</f>
        <v>45784</v>
      </c>
      <c r="K2343" s="120">
        <v>45810</v>
      </c>
      <c r="L2343" s="120"/>
      <c r="M2343" s="120"/>
      <c r="N2343" s="29"/>
      <c r="O2343" s="29" t="s">
        <v>884</v>
      </c>
      <c r="P2343" s="120"/>
      <c r="Q2343" s="156">
        <v>30</v>
      </c>
    </row>
    <row r="2344" spans="1:18">
      <c r="A2344" s="134" t="s">
        <v>1311</v>
      </c>
      <c r="C2344" s="29">
        <v>122501374</v>
      </c>
      <c r="D2344" s="29"/>
      <c r="E2344" s="29"/>
      <c r="F2344" s="29" t="s">
        <v>87</v>
      </c>
      <c r="G2344" s="29" t="s">
        <v>744</v>
      </c>
      <c r="H2344" s="29" t="s">
        <v>38</v>
      </c>
      <c r="I2344" s="120">
        <v>45779</v>
      </c>
      <c r="J2344" s="120">
        <f>WORKDAY(I2344, 3)</f>
        <v>45784</v>
      </c>
      <c r="K2344" s="120">
        <v>45810</v>
      </c>
      <c r="L2344" s="120"/>
      <c r="M2344" s="120"/>
      <c r="N2344" s="29"/>
      <c r="O2344" s="29" t="s">
        <v>884</v>
      </c>
      <c r="P2344" s="120"/>
      <c r="Q2344" s="156">
        <v>500</v>
      </c>
    </row>
    <row r="2345" spans="1:18">
      <c r="A2345" s="134" t="s">
        <v>981</v>
      </c>
      <c r="C2345" s="29">
        <v>129500087</v>
      </c>
      <c r="D2345" s="29">
        <v>148501570</v>
      </c>
      <c r="E2345" s="29"/>
      <c r="F2345" s="29" t="s">
        <v>87</v>
      </c>
      <c r="G2345" s="29" t="s">
        <v>744</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744</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744</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884</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884</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744</v>
      </c>
      <c r="H2365" s="29" t="s">
        <v>38</v>
      </c>
      <c r="I2365" s="120">
        <v>45783</v>
      </c>
      <c r="J2365" s="120">
        <f>WORKDAY(I2365, 3)</f>
        <v>45786</v>
      </c>
      <c r="K2365" s="120">
        <v>45814</v>
      </c>
      <c r="L2365" s="120"/>
      <c r="M2365" s="120"/>
      <c r="O2365" s="29" t="s">
        <v>884</v>
      </c>
      <c r="P2365" s="120"/>
      <c r="Q2365" s="156">
        <v>450</v>
      </c>
    </row>
    <row r="2366" spans="1:18">
      <c r="A2366" s="134" t="s">
        <v>1313</v>
      </c>
      <c r="C2366" s="29">
        <v>127500104</v>
      </c>
      <c r="D2366" s="29"/>
      <c r="E2366" s="29"/>
      <c r="F2366" s="29" t="s">
        <v>87</v>
      </c>
      <c r="G2366" s="29" t="s">
        <v>744</v>
      </c>
      <c r="H2366" s="29" t="s">
        <v>38</v>
      </c>
      <c r="I2366" s="120">
        <v>45783</v>
      </c>
      <c r="J2366" s="120">
        <f>WORKDAY(I2366, 3)</f>
        <v>45786</v>
      </c>
      <c r="K2366" s="120">
        <v>45814</v>
      </c>
      <c r="L2366" s="120"/>
      <c r="M2366" s="120"/>
      <c r="O2366" s="29" t="s">
        <v>884</v>
      </c>
      <c r="P2366" s="120"/>
      <c r="Q2366" s="156">
        <v>700</v>
      </c>
    </row>
    <row r="2367" spans="1:18">
      <c r="A2367" s="134" t="s">
        <v>1313</v>
      </c>
      <c r="C2367" s="29">
        <v>127500108</v>
      </c>
      <c r="D2367" s="29"/>
      <c r="E2367" s="29"/>
      <c r="F2367" s="29" t="s">
        <v>87</v>
      </c>
      <c r="G2367" s="29" t="s">
        <v>744</v>
      </c>
      <c r="H2367" s="29" t="s">
        <v>38</v>
      </c>
      <c r="I2367" s="120">
        <v>45783</v>
      </c>
      <c r="J2367" s="120">
        <f>WORKDAY(I2367, 3)</f>
        <v>45786</v>
      </c>
      <c r="K2367" s="120">
        <v>45814</v>
      </c>
      <c r="L2367" s="120"/>
      <c r="M2367" s="120"/>
      <c r="O2367" s="29" t="s">
        <v>884</v>
      </c>
      <c r="P2367" s="120"/>
      <c r="Q2367" s="156">
        <v>700</v>
      </c>
    </row>
    <row r="2368" spans="1:18">
      <c r="A2368" s="134" t="s">
        <v>1313</v>
      </c>
      <c r="C2368" s="29">
        <v>127500099</v>
      </c>
      <c r="D2368" s="29"/>
      <c r="E2368" s="29"/>
      <c r="F2368" s="29" t="s">
        <v>87</v>
      </c>
      <c r="G2368" s="29" t="s">
        <v>744</v>
      </c>
      <c r="H2368" s="29" t="s">
        <v>38</v>
      </c>
      <c r="I2368" s="120">
        <v>45783</v>
      </c>
      <c r="J2368" s="120">
        <f>WORKDAY(I2368, 3)</f>
        <v>45786</v>
      </c>
      <c r="K2368" s="120">
        <v>45814</v>
      </c>
      <c r="L2368" s="120"/>
      <c r="M2368" s="120"/>
      <c r="O2368" s="29" t="s">
        <v>884</v>
      </c>
      <c r="P2368" s="120"/>
      <c r="Q2368" s="156">
        <v>650</v>
      </c>
    </row>
    <row r="2369" spans="1:18">
      <c r="A2369" s="134" t="s">
        <v>1313</v>
      </c>
      <c r="C2369" s="29" t="s">
        <v>1313</v>
      </c>
      <c r="D2369" s="29"/>
      <c r="E2369" s="29"/>
      <c r="F2369" s="29" t="s">
        <v>87</v>
      </c>
      <c r="G2369" s="29" t="s">
        <v>744</v>
      </c>
      <c r="H2369" s="29" t="s">
        <v>38</v>
      </c>
      <c r="I2369" s="120">
        <v>45783</v>
      </c>
      <c r="J2369" s="120">
        <f>WORKDAY(I2369, 3)</f>
        <v>45786</v>
      </c>
      <c r="K2369" s="120">
        <v>45814</v>
      </c>
      <c r="L2369" s="120"/>
      <c r="M2369" s="120"/>
      <c r="O2369" s="29" t="s">
        <v>884</v>
      </c>
      <c r="P2369" s="120"/>
      <c r="Q2369" s="156">
        <v>300</v>
      </c>
    </row>
    <row r="2370" spans="1:18">
      <c r="A2370" s="134" t="s">
        <v>1313</v>
      </c>
      <c r="C2370" s="29" t="s">
        <v>1313</v>
      </c>
      <c r="D2370" s="29"/>
      <c r="E2370" s="29"/>
      <c r="F2370" s="29" t="s">
        <v>87</v>
      </c>
      <c r="G2370" s="29" t="s">
        <v>744</v>
      </c>
      <c r="H2370" s="29" t="s">
        <v>38</v>
      </c>
      <c r="I2370" s="120">
        <v>45783</v>
      </c>
      <c r="J2370" s="120">
        <f>WORKDAY(I2370, 3)</f>
        <v>45786</v>
      </c>
      <c r="K2370" s="120">
        <v>45814</v>
      </c>
      <c r="L2370" s="120"/>
      <c r="M2370" s="120"/>
      <c r="O2370" s="29" t="s">
        <v>884</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744</v>
      </c>
      <c r="H2372" s="29" t="s">
        <v>38</v>
      </c>
      <c r="I2372" s="120">
        <v>45784</v>
      </c>
      <c r="J2372" s="120">
        <f>WORKDAY(I2372, 3)</f>
        <v>45789</v>
      </c>
      <c r="K2372" s="120">
        <v>45815</v>
      </c>
      <c r="L2372" s="120"/>
      <c r="M2372" s="120"/>
      <c r="N2372" s="29"/>
      <c r="O2372" s="29" t="s">
        <v>884</v>
      </c>
      <c r="P2372" s="120"/>
      <c r="Q2372" s="156">
        <v>250</v>
      </c>
    </row>
    <row r="2373" spans="1:18">
      <c r="A2373" s="134" t="s">
        <v>959</v>
      </c>
      <c r="C2373" s="29">
        <v>127504664</v>
      </c>
      <c r="D2373" s="29"/>
      <c r="E2373" s="29"/>
      <c r="F2373" s="29" t="s">
        <v>87</v>
      </c>
      <c r="G2373" s="29" t="s">
        <v>744</v>
      </c>
      <c r="H2373" s="29" t="s">
        <v>38</v>
      </c>
      <c r="I2373" s="120">
        <v>45784</v>
      </c>
      <c r="J2373" s="120">
        <f>WORKDAY(I2373, 3)</f>
        <v>45789</v>
      </c>
      <c r="K2373" s="120">
        <v>45815</v>
      </c>
      <c r="L2373" s="120"/>
      <c r="M2373" s="120"/>
      <c r="N2373" s="29"/>
      <c r="O2373" s="29" t="s">
        <v>884</v>
      </c>
      <c r="P2373" s="120"/>
      <c r="Q2373" s="156">
        <v>400</v>
      </c>
    </row>
    <row r="2374" spans="1:18">
      <c r="A2374" s="134" t="s">
        <v>959</v>
      </c>
      <c r="C2374" s="29">
        <v>127504715</v>
      </c>
      <c r="D2374" s="29"/>
      <c r="E2374" s="29"/>
      <c r="F2374" s="29" t="s">
        <v>87</v>
      </c>
      <c r="G2374" s="29" t="s">
        <v>744</v>
      </c>
      <c r="H2374" s="29" t="s">
        <v>38</v>
      </c>
      <c r="I2374" s="120">
        <v>45784</v>
      </c>
      <c r="J2374" s="120">
        <f>WORKDAY(I2374, 3)</f>
        <v>45789</v>
      </c>
      <c r="K2374" s="120">
        <v>45815</v>
      </c>
      <c r="L2374" s="120"/>
      <c r="M2374" s="120"/>
      <c r="N2374" s="29"/>
      <c r="O2374" s="29" t="s">
        <v>884</v>
      </c>
      <c r="P2374" s="120"/>
      <c r="Q2374" s="156">
        <v>890</v>
      </c>
    </row>
    <row r="2375" spans="1:18">
      <c r="A2375" s="160" t="s">
        <v>1314</v>
      </c>
      <c r="B2375" s="160"/>
      <c r="C2375" s="29">
        <v>143500248</v>
      </c>
      <c r="D2375" s="29"/>
      <c r="E2375" s="29"/>
      <c r="F2375" s="29" t="s">
        <v>87</v>
      </c>
      <c r="G2375" s="29" t="s">
        <v>744</v>
      </c>
      <c r="H2375" s="29" t="s">
        <v>38</v>
      </c>
      <c r="I2375" s="120">
        <v>45800</v>
      </c>
      <c r="J2375" s="120">
        <f>WORKDAY(I2375, 3)</f>
        <v>45805</v>
      </c>
      <c r="K2375" s="120">
        <v>45831</v>
      </c>
      <c r="L2375" s="120"/>
      <c r="M2375" s="120"/>
      <c r="N2375" s="120">
        <v>45805</v>
      </c>
      <c r="O2375" s="29" t="s">
        <v>884</v>
      </c>
      <c r="P2375" s="120"/>
      <c r="Q2375" s="156">
        <v>200</v>
      </c>
    </row>
    <row r="2376" spans="1:18">
      <c r="A2376" s="134" t="s">
        <v>1225</v>
      </c>
      <c r="C2376" s="29">
        <v>134500501</v>
      </c>
      <c r="D2376" s="29"/>
      <c r="E2376" s="29"/>
      <c r="F2376" s="29" t="s">
        <v>87</v>
      </c>
      <c r="G2376" s="29" t="s">
        <v>744</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744</v>
      </c>
      <c r="H2377" s="29" t="s">
        <v>38</v>
      </c>
      <c r="I2377" s="120">
        <v>45790</v>
      </c>
      <c r="J2377" s="120">
        <f>WORKDAY(I2377, 3)</f>
        <v>45793</v>
      </c>
      <c r="K2377" s="120">
        <v>45821</v>
      </c>
      <c r="L2377" s="120"/>
      <c r="M2377" s="120"/>
      <c r="N2377" s="120">
        <v>45790</v>
      </c>
      <c r="O2377" s="29" t="s">
        <v>884</v>
      </c>
      <c r="P2377" s="120"/>
      <c r="Q2377" s="156">
        <v>230</v>
      </c>
    </row>
    <row r="2378" spans="1:18">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c r="A2379" s="134" t="s">
        <v>1281</v>
      </c>
      <c r="C2379" s="29">
        <v>134500389</v>
      </c>
      <c r="D2379" s="29"/>
      <c r="E2379" s="29"/>
      <c r="F2379" s="29" t="s">
        <v>87</v>
      </c>
      <c r="G2379" s="29" t="s">
        <v>744</v>
      </c>
      <c r="H2379" s="29" t="s">
        <v>38</v>
      </c>
      <c r="I2379" s="120">
        <v>45791</v>
      </c>
      <c r="J2379" s="120">
        <f>WORKDAY(I2379, 3)</f>
        <v>45796</v>
      </c>
      <c r="K2379" s="120">
        <v>45822</v>
      </c>
      <c r="L2379" s="120"/>
      <c r="M2379" s="120"/>
      <c r="O2379" s="29" t="s">
        <v>884</v>
      </c>
      <c r="P2379" s="120"/>
      <c r="Q2379" s="156">
        <v>1000</v>
      </c>
    </row>
    <row r="2380" spans="1:18">
      <c r="A2380" s="134" t="s">
        <v>959</v>
      </c>
      <c r="C2380" s="29">
        <v>134500868</v>
      </c>
      <c r="D2380" s="29"/>
      <c r="E2380" s="29"/>
      <c r="F2380" s="29" t="s">
        <v>87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744</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744</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c r="A2413" s="134" t="s">
        <v>1072</v>
      </c>
      <c r="C2413" s="29">
        <v>134502005</v>
      </c>
      <c r="D2413" s="29"/>
      <c r="E2413" s="29"/>
      <c r="F2413" s="29" t="s">
        <v>87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c r="A2414" s="134" t="s">
        <v>1072</v>
      </c>
      <c r="C2414" s="29">
        <v>134502258</v>
      </c>
      <c r="D2414" s="29"/>
      <c r="E2414" s="29"/>
      <c r="F2414" s="29" t="s">
        <v>87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c r="A2433" s="134" t="s">
        <v>1321</v>
      </c>
      <c r="C2433" s="29">
        <v>160503596</v>
      </c>
      <c r="D2433" s="29"/>
      <c r="E2433" s="29"/>
      <c r="F2433" s="29" t="s">
        <v>87</v>
      </c>
      <c r="G2433" s="29" t="s">
        <v>744</v>
      </c>
      <c r="H2433" s="29" t="s">
        <v>38</v>
      </c>
      <c r="I2433" s="120">
        <v>45814</v>
      </c>
      <c r="J2433" s="120">
        <f>WORKDAY(I2433, 3)</f>
        <v>45819</v>
      </c>
      <c r="K2433" s="120">
        <v>45844</v>
      </c>
      <c r="L2433" s="120"/>
      <c r="M2433" s="120"/>
      <c r="N2433" s="120">
        <v>45810</v>
      </c>
      <c r="O2433" s="29" t="s">
        <v>884</v>
      </c>
      <c r="P2433" s="120"/>
      <c r="Q2433" s="156">
        <v>1500</v>
      </c>
    </row>
    <row r="2434" spans="1:18">
      <c r="A2434" s="134" t="s">
        <v>1321</v>
      </c>
      <c r="C2434" s="29">
        <v>160503427</v>
      </c>
      <c r="D2434" s="29"/>
      <c r="E2434" s="29"/>
      <c r="F2434" s="29" t="s">
        <v>87</v>
      </c>
      <c r="G2434" s="29" t="s">
        <v>744</v>
      </c>
      <c r="H2434" s="29" t="s">
        <v>38</v>
      </c>
      <c r="I2434" s="120">
        <v>45817</v>
      </c>
      <c r="J2434" s="120">
        <f>WORKDAY(I2434, 3)</f>
        <v>45820</v>
      </c>
      <c r="K2434" s="120">
        <v>45847</v>
      </c>
      <c r="L2434" s="120"/>
      <c r="M2434" s="120"/>
      <c r="N2434" s="29"/>
      <c r="O2434" s="29" t="s">
        <v>884</v>
      </c>
      <c r="P2434" s="120"/>
      <c r="Q2434" s="156">
        <v>450</v>
      </c>
    </row>
    <row r="2435" spans="1:18">
      <c r="A2435" s="134" t="s">
        <v>1321</v>
      </c>
      <c r="C2435" s="29">
        <v>160503513</v>
      </c>
      <c r="D2435" s="29"/>
      <c r="E2435" s="29"/>
      <c r="F2435" s="29" t="s">
        <v>87</v>
      </c>
      <c r="G2435" s="29" t="s">
        <v>744</v>
      </c>
      <c r="H2435" s="29" t="s">
        <v>38</v>
      </c>
      <c r="I2435" s="120">
        <v>45817</v>
      </c>
      <c r="J2435" s="120">
        <f>WORKDAY(I2435, 3)</f>
        <v>45820</v>
      </c>
      <c r="K2435" s="120">
        <v>45847</v>
      </c>
      <c r="L2435" s="120"/>
      <c r="M2435" s="120"/>
      <c r="N2435" s="29"/>
      <c r="O2435" s="29" t="s">
        <v>884</v>
      </c>
      <c r="P2435" s="120"/>
      <c r="Q2435" s="156">
        <v>1260</v>
      </c>
    </row>
    <row r="2436" spans="1:18">
      <c r="A2436" s="134" t="s">
        <v>1321</v>
      </c>
      <c r="C2436" s="29">
        <v>160503625</v>
      </c>
      <c r="D2436" s="29"/>
      <c r="E2436" s="29"/>
      <c r="F2436" s="29" t="s">
        <v>87</v>
      </c>
      <c r="G2436" s="29" t="s">
        <v>744</v>
      </c>
      <c r="H2436" s="29" t="s">
        <v>38</v>
      </c>
      <c r="I2436" s="120">
        <v>45817</v>
      </c>
      <c r="J2436" s="120">
        <f>WORKDAY(I2436, 3)</f>
        <v>45820</v>
      </c>
      <c r="K2436" s="120">
        <v>45847</v>
      </c>
      <c r="L2436" s="120"/>
      <c r="M2436" s="120"/>
      <c r="N2436" s="29"/>
      <c r="O2436" s="29" t="s">
        <v>884</v>
      </c>
      <c r="P2436" s="120"/>
      <c r="Q2436" s="156">
        <v>1500</v>
      </c>
    </row>
    <row r="2437" spans="1:18">
      <c r="A2437" s="134" t="s">
        <v>1321</v>
      </c>
      <c r="C2437" s="29">
        <v>160503705</v>
      </c>
      <c r="D2437" s="29"/>
      <c r="E2437" s="29"/>
      <c r="F2437" s="29" t="s">
        <v>87</v>
      </c>
      <c r="G2437" s="29" t="s">
        <v>744</v>
      </c>
      <c r="H2437" s="29" t="s">
        <v>38</v>
      </c>
      <c r="I2437" s="120">
        <v>45817</v>
      </c>
      <c r="J2437" s="120">
        <f>WORKDAY(I2437, 3)</f>
        <v>45820</v>
      </c>
      <c r="K2437" s="120">
        <v>45847</v>
      </c>
      <c r="L2437" s="120"/>
      <c r="M2437" s="120"/>
      <c r="N2437" s="29"/>
      <c r="O2437" s="29" t="s">
        <v>884</v>
      </c>
      <c r="P2437" s="120"/>
      <c r="Q2437" s="156">
        <v>40</v>
      </c>
    </row>
    <row r="2438" spans="1:18">
      <c r="A2438" s="134" t="s">
        <v>1321</v>
      </c>
      <c r="C2438" s="29">
        <v>160503793</v>
      </c>
      <c r="D2438" s="29"/>
      <c r="E2438" s="29"/>
      <c r="F2438" s="29" t="s">
        <v>87</v>
      </c>
      <c r="G2438" s="29" t="s">
        <v>744</v>
      </c>
      <c r="H2438" s="29" t="s">
        <v>38</v>
      </c>
      <c r="I2438" s="120">
        <v>45817</v>
      </c>
      <c r="J2438" s="120">
        <f>WORKDAY(I2438, 3)</f>
        <v>45820</v>
      </c>
      <c r="K2438" s="120">
        <v>45847</v>
      </c>
      <c r="L2438" s="120"/>
      <c r="M2438" s="120"/>
      <c r="N2438" s="29"/>
      <c r="O2438" s="29" t="s">
        <v>884</v>
      </c>
      <c r="P2438" s="120"/>
      <c r="Q2438" s="156">
        <v>1100</v>
      </c>
    </row>
    <row r="2439" spans="1:18">
      <c r="A2439" s="134" t="s">
        <v>1321</v>
      </c>
      <c r="C2439" s="29">
        <v>160503894</v>
      </c>
      <c r="D2439" s="29"/>
      <c r="E2439" s="29"/>
      <c r="F2439" s="29" t="s">
        <v>87</v>
      </c>
      <c r="G2439" s="29" t="s">
        <v>744</v>
      </c>
      <c r="H2439" s="29" t="s">
        <v>38</v>
      </c>
      <c r="I2439" s="120">
        <v>45817</v>
      </c>
      <c r="J2439" s="120">
        <f>WORKDAY(I2439, 3)</f>
        <v>45820</v>
      </c>
      <c r="K2439" s="120">
        <v>45847</v>
      </c>
      <c r="L2439" s="120"/>
      <c r="M2439" s="120"/>
      <c r="N2439" s="29"/>
      <c r="O2439" s="29" t="s">
        <v>884</v>
      </c>
      <c r="P2439" s="120"/>
      <c r="Q2439" s="156">
        <v>570</v>
      </c>
    </row>
    <row r="2440" spans="1:18">
      <c r="A2440" s="134" t="s">
        <v>1321</v>
      </c>
      <c r="C2440" s="29">
        <v>160504211</v>
      </c>
      <c r="D2440" s="29"/>
      <c r="E2440" s="29"/>
      <c r="F2440" s="29" t="s">
        <v>87</v>
      </c>
      <c r="G2440" s="29" t="s">
        <v>744</v>
      </c>
      <c r="H2440" s="29" t="s">
        <v>38</v>
      </c>
      <c r="I2440" s="120">
        <v>45817</v>
      </c>
      <c r="J2440" s="120">
        <f>WORKDAY(I2440, 3)</f>
        <v>45820</v>
      </c>
      <c r="K2440" s="120">
        <v>45847</v>
      </c>
      <c r="L2440" s="120"/>
      <c r="M2440" s="120"/>
      <c r="N2440" s="29"/>
      <c r="O2440" s="29" t="s">
        <v>884</v>
      </c>
      <c r="P2440" s="120"/>
      <c r="Q2440" s="156">
        <v>200</v>
      </c>
    </row>
    <row r="2441" spans="1:18">
      <c r="A2441" s="134" t="s">
        <v>1321</v>
      </c>
      <c r="C2441" s="29">
        <v>160504235</v>
      </c>
      <c r="D2441" s="29"/>
      <c r="E2441" s="29"/>
      <c r="F2441" s="29" t="s">
        <v>87</v>
      </c>
      <c r="G2441" s="29" t="s">
        <v>744</v>
      </c>
      <c r="H2441" s="29" t="s">
        <v>38</v>
      </c>
      <c r="I2441" s="120">
        <v>45817</v>
      </c>
      <c r="J2441" s="120">
        <f>WORKDAY(I2441, 3)</f>
        <v>45820</v>
      </c>
      <c r="K2441" s="120">
        <v>45847</v>
      </c>
      <c r="L2441" s="120"/>
      <c r="M2441" s="120"/>
      <c r="N2441" s="29"/>
      <c r="O2441" s="29" t="s">
        <v>884</v>
      </c>
      <c r="P2441" s="120"/>
      <c r="Q2441" s="156">
        <v>250</v>
      </c>
    </row>
    <row r="2442" spans="1:18">
      <c r="A2442" s="134" t="s">
        <v>1321</v>
      </c>
      <c r="C2442" s="29">
        <v>160504281</v>
      </c>
      <c r="D2442" s="29"/>
      <c r="E2442" s="29"/>
      <c r="F2442" s="29" t="s">
        <v>87</v>
      </c>
      <c r="G2442" s="29" t="s">
        <v>744</v>
      </c>
      <c r="H2442" s="29" t="s">
        <v>38</v>
      </c>
      <c r="I2442" s="120">
        <v>45817</v>
      </c>
      <c r="J2442" s="120">
        <f>WORKDAY(I2442, 3)</f>
        <v>45820</v>
      </c>
      <c r="K2442" s="120">
        <v>45847</v>
      </c>
      <c r="L2442" s="120"/>
      <c r="M2442" s="120"/>
      <c r="N2442" s="29"/>
      <c r="O2442" s="29" t="s">
        <v>884</v>
      </c>
      <c r="P2442" s="120"/>
      <c r="Q2442" s="156">
        <v>530</v>
      </c>
    </row>
    <row r="2443" spans="1:18">
      <c r="A2443" s="134" t="s">
        <v>1322</v>
      </c>
      <c r="C2443" s="29">
        <v>161503640</v>
      </c>
      <c r="D2443" s="29"/>
      <c r="E2443" s="29"/>
      <c r="F2443" s="29" t="s">
        <v>87</v>
      </c>
      <c r="G2443" s="29" t="s">
        <v>744</v>
      </c>
      <c r="H2443" s="29" t="s">
        <v>38</v>
      </c>
      <c r="I2443" s="120">
        <v>45818</v>
      </c>
      <c r="J2443" s="120">
        <f>WORKDAY(I2443, 3)</f>
        <v>45821</v>
      </c>
      <c r="K2443" s="120">
        <v>45848</v>
      </c>
      <c r="L2443" s="120"/>
      <c r="M2443" s="120"/>
      <c r="N2443" s="120">
        <v>45825</v>
      </c>
      <c r="O2443" s="29" t="s">
        <v>884</v>
      </c>
      <c r="P2443" s="120"/>
      <c r="Q2443" s="156">
        <v>65</v>
      </c>
    </row>
    <row r="2444" spans="1:18">
      <c r="A2444" s="134" t="s">
        <v>1080</v>
      </c>
      <c r="C2444" s="29">
        <v>134501393</v>
      </c>
      <c r="D2444" s="29"/>
      <c r="E2444" s="29"/>
      <c r="F2444" s="29" t="s">
        <v>87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744</v>
      </c>
      <c r="H2446" s="29" t="s">
        <v>38</v>
      </c>
      <c r="I2446" s="120">
        <v>45791</v>
      </c>
      <c r="J2446" s="120">
        <f>WORKDAY(I2446, 3)</f>
        <v>45796</v>
      </c>
      <c r="K2446" s="120">
        <v>45822</v>
      </c>
      <c r="L2446" s="120"/>
      <c r="M2446" s="120"/>
      <c r="N2446" s="120">
        <v>45797</v>
      </c>
      <c r="O2446" s="29" t="s">
        <v>884</v>
      </c>
      <c r="P2446" s="120"/>
      <c r="Q2446" s="156">
        <v>685</v>
      </c>
    </row>
    <row r="2447" spans="1:18">
      <c r="A2447" s="134" t="s">
        <v>980</v>
      </c>
      <c r="C2447" s="29">
        <v>134501374</v>
      </c>
      <c r="D2447" s="29"/>
      <c r="E2447" s="29"/>
      <c r="F2447" s="29" t="s">
        <v>87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744</v>
      </c>
      <c r="H2453" s="29" t="s">
        <v>38</v>
      </c>
      <c r="I2453" s="120">
        <v>45791</v>
      </c>
      <c r="J2453" s="120">
        <f>WORKDAY(I2453, 3)</f>
        <v>45796</v>
      </c>
      <c r="K2453" s="120">
        <v>45822</v>
      </c>
      <c r="L2453" s="120"/>
      <c r="M2453" s="120"/>
      <c r="N2453" s="120">
        <v>45797</v>
      </c>
      <c r="O2453" s="29" t="s">
        <v>884</v>
      </c>
      <c r="P2453" s="120"/>
      <c r="Q2453" s="156">
        <v>600</v>
      </c>
    </row>
    <row r="2454" spans="1:18">
      <c r="A2454" s="134" t="s">
        <v>1056</v>
      </c>
      <c r="C2454" s="29">
        <v>134501911</v>
      </c>
      <c r="D2454" s="29"/>
      <c r="E2454" s="29"/>
      <c r="F2454" s="29" t="s">
        <v>87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744</v>
      </c>
      <c r="H2455" s="29" t="s">
        <v>38</v>
      </c>
      <c r="I2455" s="120">
        <v>45791</v>
      </c>
      <c r="J2455" s="120">
        <f>WORKDAY(I2455, 3)</f>
        <v>45796</v>
      </c>
      <c r="K2455" s="120">
        <v>45822</v>
      </c>
      <c r="L2455" s="120"/>
      <c r="M2455" s="120"/>
      <c r="N2455" s="120">
        <v>45797</v>
      </c>
      <c r="O2455" s="29" t="s">
        <v>884</v>
      </c>
      <c r="P2455" s="120"/>
      <c r="Q2455" s="156">
        <v>260</v>
      </c>
    </row>
    <row r="2456" spans="1:18">
      <c r="A2456" s="134" t="s">
        <v>1058</v>
      </c>
      <c r="C2456" s="29">
        <v>134502311</v>
      </c>
      <c r="D2456" s="29"/>
      <c r="E2456" s="29"/>
      <c r="F2456" s="29" t="s">
        <v>87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744</v>
      </c>
      <c r="H2457" s="29" t="s">
        <v>38</v>
      </c>
      <c r="I2457" s="120">
        <v>45791</v>
      </c>
      <c r="J2457" s="120">
        <f>WORKDAY(I2457, 3)</f>
        <v>45796</v>
      </c>
      <c r="K2457" s="120">
        <v>45822</v>
      </c>
      <c r="L2457" s="120"/>
      <c r="M2457" s="120"/>
      <c r="N2457" s="120">
        <v>45797</v>
      </c>
      <c r="O2457" s="29" t="s">
        <v>884</v>
      </c>
      <c r="P2457" s="120"/>
      <c r="Q2457" s="156">
        <v>330</v>
      </c>
    </row>
    <row r="2458" spans="1:18">
      <c r="A2458" s="134" t="s">
        <v>1080</v>
      </c>
      <c r="C2458" s="29">
        <v>135500110</v>
      </c>
      <c r="D2458" s="29"/>
      <c r="E2458" s="29"/>
      <c r="F2458" s="29" t="s">
        <v>87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744</v>
      </c>
      <c r="H2466" s="29" t="s">
        <v>38</v>
      </c>
      <c r="I2466" s="120">
        <v>45792</v>
      </c>
      <c r="J2466" s="120">
        <f>WORKDAY(I2466, 3)</f>
        <v>45797</v>
      </c>
      <c r="K2466" s="120">
        <v>45823</v>
      </c>
      <c r="L2466" s="120"/>
      <c r="M2466" s="120"/>
      <c r="N2466" s="120">
        <v>45797</v>
      </c>
      <c r="O2466" s="29" t="s">
        <v>884</v>
      </c>
      <c r="P2466" s="120"/>
      <c r="Q2466" s="156">
        <v>230</v>
      </c>
    </row>
    <row r="2467" spans="1:18">
      <c r="A2467" s="134" t="s">
        <v>1056</v>
      </c>
      <c r="C2467" s="29">
        <v>135501040</v>
      </c>
      <c r="D2467" s="29"/>
      <c r="E2467" s="29"/>
      <c r="F2467" s="29" t="s">
        <v>87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c r="A2485" s="126" t="s">
        <v>1069</v>
      </c>
      <c r="B2485" s="126"/>
      <c r="C2485" s="29">
        <v>147501858</v>
      </c>
      <c r="D2485" s="29"/>
      <c r="E2485" s="29"/>
      <c r="F2485" s="29" t="s">
        <v>87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c r="A2486" s="126" t="s">
        <v>1069</v>
      </c>
      <c r="B2486" s="126"/>
      <c r="C2486" s="29">
        <v>147500136</v>
      </c>
      <c r="D2486" s="29"/>
      <c r="E2486" s="29"/>
      <c r="F2486" s="29" t="s">
        <v>87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744</v>
      </c>
      <c r="H2490" s="29" t="s">
        <v>1076</v>
      </c>
      <c r="I2490" s="120">
        <v>45804</v>
      </c>
      <c r="J2490" s="120">
        <f>WORKDAY(I2490, 3)</f>
        <v>45807</v>
      </c>
      <c r="K2490" s="120">
        <v>45835</v>
      </c>
      <c r="L2490" s="120"/>
      <c r="M2490" s="120"/>
      <c r="N2490" s="120">
        <v>45805</v>
      </c>
      <c r="O2490" s="29" t="s">
        <v>884</v>
      </c>
      <c r="P2490" s="120"/>
      <c r="Q2490" s="156">
        <v>1000</v>
      </c>
    </row>
    <row r="2491" spans="1:18">
      <c r="A2491" s="134" t="s">
        <v>1072</v>
      </c>
      <c r="C2491" s="29">
        <v>147502082</v>
      </c>
      <c r="D2491" s="29">
        <v>114500883</v>
      </c>
      <c r="E2491" s="29"/>
      <c r="F2491" s="29" t="s">
        <v>87</v>
      </c>
      <c r="G2491" s="29" t="s">
        <v>744</v>
      </c>
      <c r="H2491" s="29" t="s">
        <v>1076</v>
      </c>
      <c r="I2491" s="120">
        <v>45804</v>
      </c>
      <c r="J2491" s="120">
        <f>WORKDAY(I2491, 3)</f>
        <v>45807</v>
      </c>
      <c r="K2491" s="120">
        <v>45835</v>
      </c>
      <c r="L2491" s="120"/>
      <c r="M2491" s="120"/>
      <c r="N2491" s="120">
        <v>45805</v>
      </c>
      <c r="O2491" s="29" t="s">
        <v>884</v>
      </c>
      <c r="P2491" s="120"/>
      <c r="Q2491" s="156">
        <v>300</v>
      </c>
    </row>
    <row r="2492" spans="1:18">
      <c r="A2492" s="134" t="s">
        <v>1072</v>
      </c>
      <c r="C2492" s="29">
        <v>147502092</v>
      </c>
      <c r="D2492" s="29">
        <v>114500780</v>
      </c>
      <c r="E2492" s="29"/>
      <c r="F2492" s="29" t="s">
        <v>87</v>
      </c>
      <c r="G2492" s="29" t="s">
        <v>744</v>
      </c>
      <c r="H2492" s="29" t="s">
        <v>1076</v>
      </c>
      <c r="I2492" s="120">
        <v>45804</v>
      </c>
      <c r="J2492" s="120">
        <f>WORKDAY(I2492, 3)</f>
        <v>45807</v>
      </c>
      <c r="K2492" s="120">
        <v>45835</v>
      </c>
      <c r="L2492" s="120"/>
      <c r="M2492" s="120"/>
      <c r="N2492" s="120">
        <v>45805</v>
      </c>
      <c r="O2492" s="29" t="s">
        <v>884</v>
      </c>
      <c r="P2492" s="120"/>
      <c r="Q2492" s="156">
        <v>1200</v>
      </c>
    </row>
    <row r="2493" spans="1:18">
      <c r="A2493" s="134" t="s">
        <v>1077</v>
      </c>
      <c r="C2493" s="29">
        <v>147501882</v>
      </c>
      <c r="D2493" s="29"/>
      <c r="E2493" s="29"/>
      <c r="F2493" s="29" t="s">
        <v>87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744</v>
      </c>
      <c r="H2498" s="29" t="s">
        <v>38</v>
      </c>
      <c r="I2498" s="120">
        <v>45805</v>
      </c>
      <c r="J2498" s="120">
        <f>WORKDAY(I2498, 3)</f>
        <v>45810</v>
      </c>
      <c r="K2498" s="120">
        <v>45836</v>
      </c>
      <c r="L2498" s="120"/>
      <c r="M2498" s="120"/>
      <c r="N2498" s="120">
        <v>45805</v>
      </c>
      <c r="O2498" s="29" t="s">
        <v>884</v>
      </c>
      <c r="P2498" s="120"/>
      <c r="Q2498" s="156">
        <v>1200</v>
      </c>
    </row>
    <row r="2499" spans="1:18">
      <c r="A2499" s="134" t="s">
        <v>967</v>
      </c>
      <c r="C2499" s="29">
        <v>148504943</v>
      </c>
      <c r="D2499" s="29"/>
      <c r="E2499" s="29"/>
      <c r="F2499" s="29" t="s">
        <v>87</v>
      </c>
      <c r="G2499" s="29" t="s">
        <v>744</v>
      </c>
      <c r="H2499" s="29" t="s">
        <v>38</v>
      </c>
      <c r="I2499" s="120">
        <v>45805</v>
      </c>
      <c r="J2499" s="120">
        <f>WORKDAY(I2499, 3)</f>
        <v>45810</v>
      </c>
      <c r="K2499" s="120">
        <v>45836</v>
      </c>
      <c r="L2499" s="120"/>
      <c r="M2499" s="120"/>
      <c r="N2499" s="120">
        <v>45805</v>
      </c>
      <c r="O2499" s="29" t="s">
        <v>884</v>
      </c>
      <c r="P2499" s="120"/>
      <c r="Q2499" s="156">
        <v>1300</v>
      </c>
    </row>
    <row r="2500" spans="1:18">
      <c r="A2500" s="134" t="s">
        <v>967</v>
      </c>
      <c r="C2500" s="29">
        <v>148504966</v>
      </c>
      <c r="D2500" s="29"/>
      <c r="E2500" s="29"/>
      <c r="F2500" s="29" t="s">
        <v>87</v>
      </c>
      <c r="G2500" s="29" t="s">
        <v>744</v>
      </c>
      <c r="H2500" s="29" t="s">
        <v>38</v>
      </c>
      <c r="I2500" s="120">
        <v>45805</v>
      </c>
      <c r="J2500" s="120">
        <f>WORKDAY(I2500, 3)</f>
        <v>45810</v>
      </c>
      <c r="K2500" s="120">
        <v>45836</v>
      </c>
      <c r="L2500" s="120"/>
      <c r="M2500" s="120"/>
      <c r="N2500" s="120">
        <v>45805</v>
      </c>
      <c r="O2500" s="29" t="s">
        <v>884</v>
      </c>
      <c r="P2500" s="120"/>
      <c r="Q2500" s="156">
        <v>1000</v>
      </c>
    </row>
    <row r="2501" spans="1:18">
      <c r="A2501" s="134" t="s">
        <v>967</v>
      </c>
      <c r="C2501" s="29">
        <v>148504989</v>
      </c>
      <c r="D2501" s="29"/>
      <c r="E2501" s="29"/>
      <c r="F2501" s="29" t="s">
        <v>87</v>
      </c>
      <c r="G2501" s="29" t="s">
        <v>744</v>
      </c>
      <c r="H2501" s="29" t="s">
        <v>38</v>
      </c>
      <c r="I2501" s="120">
        <v>45805</v>
      </c>
      <c r="J2501" s="120">
        <f>WORKDAY(I2501, 3)</f>
        <v>45810</v>
      </c>
      <c r="K2501" s="120">
        <v>45836</v>
      </c>
      <c r="L2501" s="120"/>
      <c r="M2501" s="120"/>
      <c r="N2501" s="120">
        <v>45805</v>
      </c>
      <c r="O2501" s="29" t="s">
        <v>884</v>
      </c>
      <c r="P2501" s="120"/>
      <c r="Q2501" s="156">
        <v>1000</v>
      </c>
    </row>
    <row r="2502" spans="1:18">
      <c r="A2502" s="134" t="s">
        <v>967</v>
      </c>
      <c r="C2502" s="29">
        <v>148505006</v>
      </c>
      <c r="D2502" s="29"/>
      <c r="E2502" s="29"/>
      <c r="F2502" s="29" t="s">
        <v>87</v>
      </c>
      <c r="G2502" s="29" t="s">
        <v>744</v>
      </c>
      <c r="H2502" s="29" t="s">
        <v>38</v>
      </c>
      <c r="I2502" s="120">
        <v>45805</v>
      </c>
      <c r="J2502" s="120">
        <f>WORKDAY(I2502, 3)</f>
        <v>45810</v>
      </c>
      <c r="K2502" s="120">
        <v>45836</v>
      </c>
      <c r="L2502" s="120"/>
      <c r="M2502" s="120"/>
      <c r="N2502" s="120">
        <v>45805</v>
      </c>
      <c r="O2502" s="29" t="s">
        <v>884</v>
      </c>
      <c r="P2502" s="120"/>
      <c r="Q2502" s="156">
        <v>2000</v>
      </c>
    </row>
    <row r="2503" spans="1:18">
      <c r="A2503" s="134" t="s">
        <v>967</v>
      </c>
      <c r="C2503" s="29">
        <v>148505029</v>
      </c>
      <c r="D2503" s="29"/>
      <c r="E2503" s="29"/>
      <c r="F2503" s="29" t="s">
        <v>87</v>
      </c>
      <c r="G2503" s="29" t="s">
        <v>744</v>
      </c>
      <c r="H2503" s="29" t="s">
        <v>38</v>
      </c>
      <c r="I2503" s="120">
        <v>45805</v>
      </c>
      <c r="J2503" s="120">
        <f>WORKDAY(I2503, 3)</f>
        <v>45810</v>
      </c>
      <c r="K2503" s="120">
        <v>45836</v>
      </c>
      <c r="L2503" s="120"/>
      <c r="M2503" s="120"/>
      <c r="N2503" s="120">
        <v>45805</v>
      </c>
      <c r="O2503" s="29" t="s">
        <v>884</v>
      </c>
      <c r="P2503" s="120"/>
      <c r="Q2503" s="156">
        <v>90</v>
      </c>
    </row>
    <row r="2504" spans="1:18">
      <c r="A2504" s="134" t="s">
        <v>941</v>
      </c>
      <c r="C2504" s="29">
        <v>148502763</v>
      </c>
      <c r="D2504" s="29">
        <v>122501846</v>
      </c>
      <c r="E2504" s="29"/>
      <c r="F2504" s="29" t="s">
        <v>87</v>
      </c>
      <c r="G2504" s="29" t="s">
        <v>744</v>
      </c>
      <c r="H2504" s="29" t="s">
        <v>38</v>
      </c>
      <c r="I2504" s="120">
        <v>45805</v>
      </c>
      <c r="J2504" s="120">
        <f>WORKDAY(I2504, 3)</f>
        <v>45810</v>
      </c>
      <c r="K2504" s="120">
        <v>45836</v>
      </c>
      <c r="L2504" s="120"/>
      <c r="M2504" s="120"/>
      <c r="N2504" s="120">
        <v>45805</v>
      </c>
      <c r="O2504" s="29" t="s">
        <v>884</v>
      </c>
      <c r="P2504" s="120"/>
      <c r="Q2504" s="156">
        <v>110</v>
      </c>
    </row>
    <row r="2505" spans="1:18">
      <c r="A2505" s="134" t="s">
        <v>941</v>
      </c>
      <c r="C2505" s="29">
        <v>148502778</v>
      </c>
      <c r="D2505" s="29">
        <v>122501868</v>
      </c>
      <c r="E2505" s="29"/>
      <c r="F2505" s="29" t="s">
        <v>87</v>
      </c>
      <c r="G2505" s="29" t="s">
        <v>744</v>
      </c>
      <c r="H2505" s="29" t="s">
        <v>38</v>
      </c>
      <c r="I2505" s="120">
        <v>45805</v>
      </c>
      <c r="J2505" s="120">
        <f>WORKDAY(I2505, 3)</f>
        <v>45810</v>
      </c>
      <c r="K2505" s="120">
        <v>45836</v>
      </c>
      <c r="L2505" s="120"/>
      <c r="M2505" s="120"/>
      <c r="N2505" s="120">
        <v>45805</v>
      </c>
      <c r="O2505" s="29" t="s">
        <v>884</v>
      </c>
      <c r="P2505" s="120"/>
      <c r="Q2505" s="156">
        <v>500</v>
      </c>
    </row>
    <row r="2506" spans="1:18">
      <c r="A2506" s="134" t="s">
        <v>941</v>
      </c>
      <c r="C2506" s="29">
        <v>148502788</v>
      </c>
      <c r="D2506" s="29">
        <v>122501878</v>
      </c>
      <c r="E2506" s="29"/>
      <c r="F2506" s="29" t="s">
        <v>87</v>
      </c>
      <c r="G2506" s="29" t="s">
        <v>744</v>
      </c>
      <c r="H2506" s="29" t="s">
        <v>38</v>
      </c>
      <c r="I2506" s="120">
        <v>45805</v>
      </c>
      <c r="J2506" s="120">
        <f>WORKDAY(I2506, 3)</f>
        <v>45810</v>
      </c>
      <c r="K2506" s="120">
        <v>45836</v>
      </c>
      <c r="L2506" s="120"/>
      <c r="M2506" s="120"/>
      <c r="N2506" s="120">
        <v>45805</v>
      </c>
      <c r="O2506" s="29" t="s">
        <v>884</v>
      </c>
      <c r="P2506" s="120"/>
      <c r="Q2506" s="156">
        <v>130</v>
      </c>
    </row>
    <row r="2507" spans="1:18">
      <c r="A2507" s="134" t="s">
        <v>981</v>
      </c>
      <c r="C2507" s="29">
        <v>148501570</v>
      </c>
      <c r="D2507" s="29"/>
      <c r="E2507" s="29"/>
      <c r="F2507" s="29" t="s">
        <v>87</v>
      </c>
      <c r="G2507" s="29" t="s">
        <v>744</v>
      </c>
      <c r="H2507" s="29" t="s">
        <v>38</v>
      </c>
      <c r="I2507" s="120">
        <v>45805</v>
      </c>
      <c r="J2507" s="120">
        <f>WORKDAY(I2507, 3)</f>
        <v>45810</v>
      </c>
      <c r="K2507" s="120">
        <v>45836</v>
      </c>
      <c r="L2507" s="120"/>
      <c r="M2507" s="120"/>
      <c r="N2507" s="120">
        <v>45805</v>
      </c>
      <c r="O2507" s="29" t="s">
        <v>884</v>
      </c>
      <c r="P2507" s="120"/>
      <c r="Q2507" s="156">
        <v>300</v>
      </c>
    </row>
    <row r="2508" spans="1:18">
      <c r="A2508" s="134" t="s">
        <v>981</v>
      </c>
      <c r="C2508" s="29">
        <v>148501617</v>
      </c>
      <c r="D2508" s="29"/>
      <c r="E2508" s="29"/>
      <c r="F2508" s="29" t="s">
        <v>87</v>
      </c>
      <c r="G2508" s="29" t="s">
        <v>744</v>
      </c>
      <c r="H2508" s="29" t="s">
        <v>38</v>
      </c>
      <c r="I2508" s="120">
        <v>45805</v>
      </c>
      <c r="J2508" s="120">
        <f>WORKDAY(I2508, 3)</f>
        <v>45810</v>
      </c>
      <c r="K2508" s="120">
        <v>45836</v>
      </c>
      <c r="L2508" s="120"/>
      <c r="M2508" s="120"/>
      <c r="N2508" s="120">
        <v>45805</v>
      </c>
      <c r="O2508" s="29" t="s">
        <v>884</v>
      </c>
      <c r="P2508" s="120"/>
      <c r="Q2508" s="156">
        <v>900</v>
      </c>
    </row>
    <row r="2509" spans="1:18">
      <c r="A2509" s="134" t="s">
        <v>981</v>
      </c>
      <c r="C2509" s="29">
        <v>148501633</v>
      </c>
      <c r="D2509" s="29"/>
      <c r="E2509" s="29"/>
      <c r="F2509" s="29" t="s">
        <v>87</v>
      </c>
      <c r="G2509" s="29" t="s">
        <v>744</v>
      </c>
      <c r="H2509" s="29" t="s">
        <v>38</v>
      </c>
      <c r="I2509" s="120">
        <v>45805</v>
      </c>
      <c r="J2509" s="120">
        <f>WORKDAY(I2509, 3)</f>
        <v>45810</v>
      </c>
      <c r="K2509" s="120">
        <v>45836</v>
      </c>
      <c r="L2509" s="120"/>
      <c r="M2509" s="120"/>
      <c r="N2509" s="120">
        <v>45805</v>
      </c>
      <c r="O2509" s="29" t="s">
        <v>884</v>
      </c>
      <c r="P2509" s="120"/>
      <c r="Q2509" s="156">
        <v>400</v>
      </c>
    </row>
    <row r="2510" spans="1:18">
      <c r="A2510" s="134" t="s">
        <v>981</v>
      </c>
      <c r="C2510" s="29">
        <v>148501665</v>
      </c>
      <c r="D2510" s="29"/>
      <c r="E2510" s="29"/>
      <c r="F2510" s="29" t="s">
        <v>87</v>
      </c>
      <c r="G2510" s="29" t="s">
        <v>744</v>
      </c>
      <c r="H2510" s="29" t="s">
        <v>38</v>
      </c>
      <c r="I2510" s="120">
        <v>45805</v>
      </c>
      <c r="J2510" s="120">
        <f>WORKDAY(I2510, 3)</f>
        <v>45810</v>
      </c>
      <c r="K2510" s="120">
        <v>45836</v>
      </c>
      <c r="L2510" s="120"/>
      <c r="M2510" s="120"/>
      <c r="N2510" s="120">
        <v>45805</v>
      </c>
      <c r="O2510" s="29" t="s">
        <v>884</v>
      </c>
      <c r="P2510" s="120"/>
      <c r="Q2510" s="156">
        <v>320</v>
      </c>
    </row>
    <row r="2511" spans="1:18">
      <c r="A2511" s="134" t="s">
        <v>981</v>
      </c>
      <c r="C2511" s="29">
        <v>148501680</v>
      </c>
      <c r="D2511" s="29"/>
      <c r="E2511" s="29"/>
      <c r="F2511" s="29" t="s">
        <v>87</v>
      </c>
      <c r="G2511" s="29" t="s">
        <v>744</v>
      </c>
      <c r="H2511" s="29" t="s">
        <v>38</v>
      </c>
      <c r="I2511" s="120">
        <v>45805</v>
      </c>
      <c r="J2511" s="120">
        <f>WORKDAY(I2511, 3)</f>
        <v>45810</v>
      </c>
      <c r="K2511" s="120">
        <v>45836</v>
      </c>
      <c r="L2511" s="120"/>
      <c r="M2511" s="120"/>
      <c r="N2511" s="120">
        <v>45805</v>
      </c>
      <c r="O2511" s="29" t="s">
        <v>884</v>
      </c>
      <c r="P2511" s="120"/>
      <c r="Q2511" s="156">
        <v>700</v>
      </c>
    </row>
    <row r="2512" spans="1:18">
      <c r="A2512" s="134" t="s">
        <v>981</v>
      </c>
      <c r="C2512" s="29">
        <v>148501690</v>
      </c>
      <c r="D2512" s="29"/>
      <c r="E2512" s="29"/>
      <c r="F2512" s="29" t="s">
        <v>87</v>
      </c>
      <c r="G2512" s="29" t="s">
        <v>744</v>
      </c>
      <c r="H2512" s="29" t="s">
        <v>38</v>
      </c>
      <c r="I2512" s="120">
        <v>45805</v>
      </c>
      <c r="J2512" s="120">
        <f>WORKDAY(I2512, 3)</f>
        <v>45810</v>
      </c>
      <c r="K2512" s="120">
        <v>45836</v>
      </c>
      <c r="L2512" s="120"/>
      <c r="M2512" s="120"/>
      <c r="N2512" s="120">
        <v>45805</v>
      </c>
      <c r="O2512" s="29" t="s">
        <v>884</v>
      </c>
      <c r="P2512" s="120"/>
      <c r="Q2512" s="156">
        <v>350</v>
      </c>
    </row>
    <row r="2513" spans="1:17">
      <c r="A2513" s="134" t="s">
        <v>1077</v>
      </c>
      <c r="C2513" s="29">
        <v>148500220</v>
      </c>
      <c r="D2513" s="29"/>
      <c r="E2513" s="29"/>
      <c r="F2513" s="29" t="s">
        <v>87</v>
      </c>
      <c r="G2513" s="29" t="s">
        <v>744</v>
      </c>
      <c r="H2513" s="29" t="s">
        <v>38</v>
      </c>
      <c r="I2513" s="120">
        <v>45805</v>
      </c>
      <c r="J2513" s="120">
        <f>WORKDAY(I2513, 3)</f>
        <v>45810</v>
      </c>
      <c r="K2513" s="120">
        <v>45836</v>
      </c>
      <c r="L2513" s="120"/>
      <c r="M2513" s="120"/>
      <c r="N2513" s="120">
        <v>45805</v>
      </c>
      <c r="O2513" s="29" t="s">
        <v>884</v>
      </c>
      <c r="P2513" s="120"/>
      <c r="Q2513" s="81">
        <v>360</v>
      </c>
    </row>
    <row r="2514" spans="1:17">
      <c r="A2514" s="134" t="s">
        <v>981</v>
      </c>
      <c r="C2514" s="29">
        <v>150500061</v>
      </c>
      <c r="D2514" s="29">
        <v>128503239</v>
      </c>
      <c r="E2514" s="29"/>
      <c r="F2514" s="29" t="s">
        <v>87</v>
      </c>
      <c r="G2514" s="29" t="s">
        <v>744</v>
      </c>
      <c r="H2514" s="29" t="s">
        <v>38</v>
      </c>
      <c r="I2514" s="120">
        <v>45807</v>
      </c>
      <c r="J2514" s="120">
        <f>WORKDAY(I2514, 3)</f>
        <v>45812</v>
      </c>
      <c r="K2514" s="120">
        <v>45838</v>
      </c>
      <c r="L2514" s="120"/>
      <c r="M2514" s="120"/>
      <c r="N2514" s="120">
        <v>45805</v>
      </c>
      <c r="O2514" s="29" t="s">
        <v>884</v>
      </c>
      <c r="P2514" s="120"/>
      <c r="Q2514" s="156">
        <v>400</v>
      </c>
    </row>
    <row r="2515" spans="1:17">
      <c r="A2515" s="134" t="s">
        <v>981</v>
      </c>
      <c r="C2515" s="29">
        <v>150500063</v>
      </c>
      <c r="D2515" s="29">
        <v>128503276</v>
      </c>
      <c r="E2515" s="29"/>
      <c r="F2515" s="29" t="s">
        <v>87</v>
      </c>
      <c r="G2515" s="29" t="s">
        <v>744</v>
      </c>
      <c r="H2515" s="29" t="s">
        <v>38</v>
      </c>
      <c r="I2515" s="120">
        <v>45807</v>
      </c>
      <c r="J2515" s="120">
        <f>WORKDAY(I2515, 3)</f>
        <v>45812</v>
      </c>
      <c r="K2515" s="120">
        <v>45838</v>
      </c>
      <c r="L2515" s="120"/>
      <c r="M2515" s="120"/>
      <c r="N2515" s="120">
        <v>45810</v>
      </c>
      <c r="O2515" s="29" t="s">
        <v>884</v>
      </c>
      <c r="P2515" s="120"/>
      <c r="Q2515" s="156">
        <v>450</v>
      </c>
    </row>
    <row r="2516" spans="1:17">
      <c r="A2516" s="134" t="s">
        <v>981</v>
      </c>
      <c r="C2516" s="29">
        <v>150500064</v>
      </c>
      <c r="D2516" s="29">
        <v>129500085</v>
      </c>
      <c r="E2516" s="29"/>
      <c r="F2516" s="29" t="s">
        <v>87</v>
      </c>
      <c r="G2516" s="29" t="s">
        <v>744</v>
      </c>
      <c r="H2516" s="29" t="s">
        <v>38</v>
      </c>
      <c r="I2516" s="120">
        <v>45807</v>
      </c>
      <c r="J2516" s="120">
        <f>WORKDAY(I2516, 3)</f>
        <v>45812</v>
      </c>
      <c r="K2516" s="120">
        <v>45838</v>
      </c>
      <c r="L2516" s="120"/>
      <c r="M2516" s="120"/>
      <c r="N2516" s="120">
        <v>45810</v>
      </c>
      <c r="O2516" s="29" t="s">
        <v>884</v>
      </c>
      <c r="P2516" s="120"/>
      <c r="Q2516" s="156">
        <v>560</v>
      </c>
    </row>
    <row r="2517" spans="1:17">
      <c r="A2517" s="134" t="s">
        <v>981</v>
      </c>
      <c r="C2517" s="29">
        <v>150500066</v>
      </c>
      <c r="D2517" s="29">
        <v>129500096</v>
      </c>
      <c r="E2517" s="29"/>
      <c r="F2517" s="29" t="s">
        <v>87</v>
      </c>
      <c r="G2517" s="29" t="s">
        <v>744</v>
      </c>
      <c r="H2517" s="29" t="s">
        <v>38</v>
      </c>
      <c r="I2517" s="120">
        <v>45807</v>
      </c>
      <c r="J2517" s="120">
        <f>WORKDAY(I2517, 3)</f>
        <v>45812</v>
      </c>
      <c r="K2517" s="120">
        <v>45838</v>
      </c>
      <c r="L2517" s="120"/>
      <c r="M2517" s="120"/>
      <c r="N2517" s="120">
        <v>45810</v>
      </c>
      <c r="O2517" s="29" t="s">
        <v>884</v>
      </c>
      <c r="P2517" s="120"/>
      <c r="Q2517" s="156">
        <v>400</v>
      </c>
    </row>
    <row r="2518" spans="1:17">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c r="A2520" s="119" t="s">
        <v>905</v>
      </c>
      <c r="B2520" s="119"/>
      <c r="C2520" s="29">
        <v>154501496</v>
      </c>
      <c r="D2520" s="29">
        <v>122501912</v>
      </c>
      <c r="E2520" s="29"/>
      <c r="F2520" s="29" t="s">
        <v>87</v>
      </c>
      <c r="G2520" s="29" t="s">
        <v>744</v>
      </c>
      <c r="H2520" s="29" t="s">
        <v>38</v>
      </c>
      <c r="I2520" s="120">
        <v>45811</v>
      </c>
      <c r="J2520" s="120">
        <f>WORKDAY(I2520, 3)</f>
        <v>45814</v>
      </c>
      <c r="K2520" s="120">
        <v>45841</v>
      </c>
      <c r="L2520" s="120"/>
      <c r="M2520" s="120"/>
      <c r="N2520" s="120">
        <v>45810</v>
      </c>
      <c r="O2520" s="29" t="s">
        <v>884</v>
      </c>
      <c r="P2520" s="120"/>
      <c r="Q2520" s="156">
        <v>250</v>
      </c>
    </row>
    <row r="2521" spans="1:17">
      <c r="A2521" s="119" t="s">
        <v>905</v>
      </c>
      <c r="B2521" s="119"/>
      <c r="C2521" s="29">
        <v>154501500</v>
      </c>
      <c r="D2521" s="29">
        <v>122501917</v>
      </c>
      <c r="E2521" s="29"/>
      <c r="F2521" s="29" t="s">
        <v>87</v>
      </c>
      <c r="G2521" s="29" t="s">
        <v>744</v>
      </c>
      <c r="H2521" s="29" t="s">
        <v>38</v>
      </c>
      <c r="I2521" s="120">
        <v>45811</v>
      </c>
      <c r="J2521" s="120">
        <f>WORKDAY(I2521, 3)</f>
        <v>45814</v>
      </c>
      <c r="K2521" s="120">
        <v>45841</v>
      </c>
      <c r="L2521" s="120"/>
      <c r="M2521" s="120"/>
      <c r="N2521" s="120">
        <v>45810</v>
      </c>
      <c r="O2521" s="29" t="s">
        <v>884</v>
      </c>
      <c r="P2521" s="120"/>
      <c r="Q2521" s="156">
        <v>570</v>
      </c>
    </row>
    <row r="2522" spans="1:17">
      <c r="A2522" s="119" t="s">
        <v>905</v>
      </c>
      <c r="B2522" s="119"/>
      <c r="C2522" s="29">
        <v>154501505</v>
      </c>
      <c r="D2522" s="29">
        <v>122501923</v>
      </c>
      <c r="E2522" s="29"/>
      <c r="F2522" s="29" t="s">
        <v>87</v>
      </c>
      <c r="G2522" s="29" t="s">
        <v>744</v>
      </c>
      <c r="H2522" s="29" t="s">
        <v>38</v>
      </c>
      <c r="I2522" s="120">
        <v>45811</v>
      </c>
      <c r="J2522" s="120">
        <f>WORKDAY(I2522, 3)</f>
        <v>45814</v>
      </c>
      <c r="K2522" s="120">
        <v>45841</v>
      </c>
      <c r="L2522" s="120"/>
      <c r="M2522" s="120"/>
      <c r="N2522" s="120">
        <v>45810</v>
      </c>
      <c r="O2522" s="29" t="s">
        <v>884</v>
      </c>
      <c r="P2522" s="120"/>
      <c r="Q2522" s="156">
        <v>350</v>
      </c>
    </row>
    <row r="2523" spans="1:17">
      <c r="A2523" s="119" t="s">
        <v>905</v>
      </c>
      <c r="B2523" s="119"/>
      <c r="C2523" s="29">
        <v>154501514</v>
      </c>
      <c r="D2523" s="29">
        <v>122501932</v>
      </c>
      <c r="E2523" s="29"/>
      <c r="F2523" s="29" t="s">
        <v>87</v>
      </c>
      <c r="G2523" s="29" t="s">
        <v>744</v>
      </c>
      <c r="H2523" s="29" t="s">
        <v>38</v>
      </c>
      <c r="I2523" s="120">
        <v>45811</v>
      </c>
      <c r="J2523" s="120">
        <f>WORKDAY(I2523, 3)</f>
        <v>45814</v>
      </c>
      <c r="K2523" s="120">
        <v>45841</v>
      </c>
      <c r="L2523" s="120"/>
      <c r="M2523" s="120"/>
      <c r="N2523" s="120">
        <v>45810</v>
      </c>
      <c r="O2523" s="29" t="s">
        <v>884</v>
      </c>
      <c r="P2523" s="120"/>
      <c r="Q2523" s="156">
        <v>220</v>
      </c>
    </row>
    <row r="2524" spans="1:17">
      <c r="A2524" s="119" t="s">
        <v>905</v>
      </c>
      <c r="B2524" s="119"/>
      <c r="C2524" s="29">
        <v>154501525</v>
      </c>
      <c r="D2524" s="29">
        <v>122501943</v>
      </c>
      <c r="E2524" s="29"/>
      <c r="F2524" s="29" t="s">
        <v>87</v>
      </c>
      <c r="G2524" s="29" t="s">
        <v>744</v>
      </c>
      <c r="H2524" s="29" t="s">
        <v>38</v>
      </c>
      <c r="I2524" s="120">
        <v>45811</v>
      </c>
      <c r="J2524" s="120">
        <f>WORKDAY(I2524, 3)</f>
        <v>45814</v>
      </c>
      <c r="K2524" s="120">
        <v>45841</v>
      </c>
      <c r="L2524" s="120"/>
      <c r="M2524" s="120"/>
      <c r="N2524" s="120">
        <v>45810</v>
      </c>
      <c r="O2524" s="29" t="s">
        <v>884</v>
      </c>
      <c r="P2524" s="120"/>
      <c r="Q2524" s="156">
        <v>600</v>
      </c>
    </row>
    <row r="2525" spans="1:17">
      <c r="A2525" s="119" t="s">
        <v>905</v>
      </c>
      <c r="B2525" s="119"/>
      <c r="C2525" s="29">
        <v>154501532</v>
      </c>
      <c r="D2525" s="29">
        <v>122501951</v>
      </c>
      <c r="E2525" s="29"/>
      <c r="F2525" s="29" t="s">
        <v>87</v>
      </c>
      <c r="G2525" s="29" t="s">
        <v>744</v>
      </c>
      <c r="H2525" s="29" t="s">
        <v>38</v>
      </c>
      <c r="I2525" s="120">
        <v>45811</v>
      </c>
      <c r="J2525" s="120">
        <f>WORKDAY(I2525, 3)</f>
        <v>45814</v>
      </c>
      <c r="K2525" s="120">
        <v>45841</v>
      </c>
      <c r="L2525" s="120"/>
      <c r="M2525" s="120"/>
      <c r="N2525" s="120">
        <v>45810</v>
      </c>
      <c r="O2525" s="29" t="s">
        <v>884</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884</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884</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884</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884</v>
      </c>
      <c r="P2529" s="120"/>
      <c r="Q2529" s="156">
        <v>530</v>
      </c>
    </row>
    <row r="2530" spans="1:18">
      <c r="A2530" s="134" t="s">
        <v>967</v>
      </c>
      <c r="C2530" s="29">
        <v>162500139</v>
      </c>
      <c r="D2530" s="29"/>
      <c r="E2530" s="29"/>
      <c r="F2530" s="29" t="s">
        <v>87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744</v>
      </c>
      <c r="H2537" s="29" t="s">
        <v>38</v>
      </c>
      <c r="I2537" s="120">
        <v>45819</v>
      </c>
      <c r="J2537" s="120">
        <f>WORKDAY(I2537, 3)</f>
        <v>45824</v>
      </c>
      <c r="K2537" s="120">
        <v>45849</v>
      </c>
      <c r="L2537" s="120"/>
      <c r="M2537" s="120"/>
      <c r="N2537" s="29"/>
      <c r="O2537" s="29" t="s">
        <v>884</v>
      </c>
      <c r="P2537" s="120"/>
      <c r="Q2537" s="81">
        <v>200</v>
      </c>
    </row>
    <row r="2538" spans="1:18">
      <c r="A2538" s="134" t="s">
        <v>1317</v>
      </c>
      <c r="C2538" s="29">
        <v>162500157</v>
      </c>
      <c r="D2538" s="29"/>
      <c r="E2538" s="29"/>
      <c r="F2538" s="29" t="s">
        <v>87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744</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744</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744</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744</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744</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744</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744</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744</v>
      </c>
      <c r="H2602" s="29" t="s">
        <v>38</v>
      </c>
      <c r="I2602" s="120">
        <v>45828</v>
      </c>
      <c r="J2602" s="120">
        <f>WORKDAY(I2602, 3)</f>
        <v>45833</v>
      </c>
      <c r="K2602" s="120">
        <v>45858</v>
      </c>
      <c r="L2602" s="120"/>
      <c r="M2602" s="120"/>
      <c r="N2602" s="120">
        <v>45831</v>
      </c>
      <c r="O2602" s="29" t="s">
        <v>901</v>
      </c>
      <c r="P2602" s="29"/>
      <c r="Q2602" s="81">
        <v>670</v>
      </c>
    </row>
    <row r="2603" spans="1:17">
      <c r="A2603" s="134" t="s">
        <v>509</v>
      </c>
      <c r="C2603" s="29">
        <v>174500570</v>
      </c>
      <c r="D2603" s="29">
        <v>143506623</v>
      </c>
      <c r="E2603" s="29"/>
      <c r="F2603" s="29" t="s">
        <v>87</v>
      </c>
      <c r="G2603" s="29" t="s">
        <v>744</v>
      </c>
      <c r="H2603" s="29" t="s">
        <v>38</v>
      </c>
      <c r="I2603" s="120">
        <v>45831</v>
      </c>
      <c r="J2603" s="120">
        <f>WORKDAY(I2603, 3)</f>
        <v>45834</v>
      </c>
      <c r="K2603" s="120">
        <v>45861</v>
      </c>
      <c r="L2603" s="120"/>
      <c r="M2603" s="120"/>
      <c r="N2603" s="120">
        <v>45831</v>
      </c>
      <c r="O2603" s="29" t="s">
        <v>901</v>
      </c>
      <c r="P2603" s="29"/>
      <c r="Q2603" s="156">
        <v>270</v>
      </c>
    </row>
    <row r="2604" spans="1:17">
      <c r="A2604" s="134" t="s">
        <v>509</v>
      </c>
      <c r="C2604" s="29">
        <v>174500619</v>
      </c>
      <c r="D2604" s="29">
        <v>143506624</v>
      </c>
      <c r="E2604" s="29"/>
      <c r="F2604" s="29" t="s">
        <v>87</v>
      </c>
      <c r="G2604" s="29" t="s">
        <v>744</v>
      </c>
      <c r="H2604" s="29" t="s">
        <v>38</v>
      </c>
      <c r="I2604" s="120">
        <v>45831</v>
      </c>
      <c r="J2604" s="120">
        <f>WORKDAY(I2604, 3)</f>
        <v>45834</v>
      </c>
      <c r="K2604" s="120">
        <v>45861</v>
      </c>
      <c r="L2604" s="120"/>
      <c r="M2604" s="120"/>
      <c r="N2604" s="120">
        <v>45831</v>
      </c>
      <c r="O2604" s="29" t="s">
        <v>901</v>
      </c>
      <c r="P2604" s="29"/>
      <c r="Q2604" s="81">
        <v>800</v>
      </c>
    </row>
    <row r="2605" spans="1:17">
      <c r="A2605" s="134" t="s">
        <v>509</v>
      </c>
      <c r="C2605" s="29">
        <v>174500645</v>
      </c>
      <c r="D2605" s="29">
        <v>143506625</v>
      </c>
      <c r="E2605" s="29"/>
      <c r="F2605" s="29" t="s">
        <v>87</v>
      </c>
      <c r="G2605" s="29" t="s">
        <v>744</v>
      </c>
      <c r="H2605" s="29" t="s">
        <v>38</v>
      </c>
      <c r="I2605" s="120">
        <v>45831</v>
      </c>
      <c r="J2605" s="120">
        <f>WORKDAY(I2605, 3)</f>
        <v>45834</v>
      </c>
      <c r="K2605" s="120">
        <v>45861</v>
      </c>
      <c r="L2605" s="120"/>
      <c r="M2605" s="120"/>
      <c r="N2605" s="120">
        <v>45831</v>
      </c>
      <c r="O2605" s="29" t="s">
        <v>901</v>
      </c>
      <c r="P2605" s="29"/>
      <c r="Q2605" s="81">
        <v>710</v>
      </c>
    </row>
    <row r="2606" spans="1:17">
      <c r="A2606" s="134" t="s">
        <v>509</v>
      </c>
      <c r="C2606" s="29">
        <v>174500653</v>
      </c>
      <c r="D2606" s="29">
        <v>143506626</v>
      </c>
      <c r="E2606" s="29"/>
      <c r="F2606" s="29" t="s">
        <v>87</v>
      </c>
      <c r="G2606" s="29" t="s">
        <v>744</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744</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744</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744</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744</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744</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744</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744</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744</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744</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744</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744</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744</v>
      </c>
      <c r="H2618" s="29" t="s">
        <v>38</v>
      </c>
      <c r="I2618" s="120">
        <v>45831</v>
      </c>
      <c r="J2618" s="120">
        <f>WORKDAY(I2618, 3)</f>
        <v>45834</v>
      </c>
      <c r="K2618" s="120">
        <v>45861</v>
      </c>
      <c r="L2618" s="120"/>
      <c r="M2618" s="120"/>
      <c r="N2618" s="120">
        <v>45831</v>
      </c>
      <c r="O2618" s="29" t="s">
        <v>884</v>
      </c>
      <c r="P2618" s="120"/>
      <c r="Q2618" s="156">
        <v>110</v>
      </c>
    </row>
    <row r="2619" spans="1:17">
      <c r="A2619" s="134" t="s">
        <v>941</v>
      </c>
      <c r="C2619" s="29">
        <v>174500449</v>
      </c>
      <c r="D2619" s="29">
        <v>148502778</v>
      </c>
      <c r="E2619" s="29"/>
      <c r="F2619" s="29" t="s">
        <v>87</v>
      </c>
      <c r="G2619" s="29" t="s">
        <v>744</v>
      </c>
      <c r="H2619" s="29" t="s">
        <v>38</v>
      </c>
      <c r="I2619" s="120">
        <v>45831</v>
      </c>
      <c r="J2619" s="120">
        <f>WORKDAY(I2619, 3)</f>
        <v>45834</v>
      </c>
      <c r="K2619" s="120">
        <v>45861</v>
      </c>
      <c r="L2619" s="120"/>
      <c r="M2619" s="120"/>
      <c r="N2619" s="120">
        <v>45831</v>
      </c>
      <c r="O2619" s="29" t="s">
        <v>884</v>
      </c>
      <c r="P2619" s="120"/>
      <c r="Q2619" s="156">
        <v>500</v>
      </c>
    </row>
    <row r="2620" spans="1:17">
      <c r="A2620" s="134" t="s">
        <v>941</v>
      </c>
      <c r="C2620" s="29">
        <v>174500453</v>
      </c>
      <c r="D2620" s="29">
        <v>148502788</v>
      </c>
      <c r="E2620" s="29"/>
      <c r="F2620" s="29" t="s">
        <v>87</v>
      </c>
      <c r="G2620" s="29" t="s">
        <v>744</v>
      </c>
      <c r="H2620" s="29" t="s">
        <v>38</v>
      </c>
      <c r="I2620" s="120">
        <v>45831</v>
      </c>
      <c r="J2620" s="120">
        <f>WORKDAY(I2620, 3)</f>
        <v>45834</v>
      </c>
      <c r="K2620" s="120">
        <v>45861</v>
      </c>
      <c r="L2620" s="120"/>
      <c r="M2620" s="120"/>
      <c r="N2620" s="120">
        <v>45831</v>
      </c>
      <c r="O2620" s="29" t="s">
        <v>884</v>
      </c>
      <c r="P2620" s="120"/>
      <c r="Q2620" s="156">
        <v>130</v>
      </c>
    </row>
    <row r="2621" spans="1:17">
      <c r="A2621" s="119" t="s">
        <v>1064</v>
      </c>
      <c r="B2621" s="119"/>
      <c r="C2621" s="29">
        <v>175501083</v>
      </c>
      <c r="D2621" s="29">
        <v>135507443</v>
      </c>
      <c r="E2621" s="29"/>
      <c r="F2621" s="29" t="s">
        <v>87</v>
      </c>
      <c r="G2621" s="29" t="s">
        <v>744</v>
      </c>
      <c r="H2621" s="29" t="s">
        <v>38</v>
      </c>
      <c r="I2621" s="120">
        <v>45832</v>
      </c>
      <c r="J2621" s="120">
        <f>WORKDAY(I2621, 3)</f>
        <v>45835</v>
      </c>
      <c r="K2621" s="120">
        <v>45862</v>
      </c>
      <c r="L2621" s="120"/>
      <c r="M2621" s="120"/>
      <c r="N2621" s="29"/>
      <c r="O2621" s="29" t="s">
        <v>884</v>
      </c>
      <c r="P2621" s="120"/>
      <c r="Q2621" s="81">
        <v>230</v>
      </c>
    </row>
    <row r="2622" spans="1:17">
      <c r="A2622" s="119" t="s">
        <v>1064</v>
      </c>
      <c r="B2622" s="119"/>
      <c r="C2622" s="29">
        <v>175501090</v>
      </c>
      <c r="D2622" s="29">
        <v>129506652</v>
      </c>
      <c r="E2622" s="29"/>
      <c r="F2622" s="29" t="s">
        <v>87</v>
      </c>
      <c r="G2622" s="29" t="s">
        <v>744</v>
      </c>
      <c r="H2622" s="29" t="s">
        <v>38</v>
      </c>
      <c r="I2622" s="120">
        <v>45832</v>
      </c>
      <c r="J2622" s="120">
        <f>WORKDAY(I2622, 3)</f>
        <v>45835</v>
      </c>
      <c r="K2622" s="120">
        <v>45862</v>
      </c>
      <c r="L2622" s="120"/>
      <c r="M2622" s="120"/>
      <c r="N2622" s="29"/>
      <c r="O2622" s="29" t="s">
        <v>884</v>
      </c>
      <c r="P2622" s="120"/>
      <c r="Q2622" s="81">
        <v>530</v>
      </c>
    </row>
    <row r="2623" spans="1:17">
      <c r="A2623" s="119" t="s">
        <v>1064</v>
      </c>
      <c r="B2623" s="119"/>
      <c r="C2623" s="29">
        <v>175501102</v>
      </c>
      <c r="D2623" s="29">
        <v>135507444</v>
      </c>
      <c r="E2623" s="29"/>
      <c r="F2623" s="29" t="s">
        <v>87</v>
      </c>
      <c r="G2623" s="29" t="s">
        <v>744</v>
      </c>
      <c r="H2623" s="29" t="s">
        <v>38</v>
      </c>
      <c r="I2623" s="120">
        <v>45832</v>
      </c>
      <c r="J2623" s="120">
        <f>WORKDAY(I2623, 3)</f>
        <v>45835</v>
      </c>
      <c r="K2623" s="120">
        <v>45862</v>
      </c>
      <c r="L2623" s="120"/>
      <c r="M2623" s="120"/>
      <c r="N2623" s="29"/>
      <c r="O2623" s="29" t="s">
        <v>884</v>
      </c>
      <c r="P2623" s="120"/>
      <c r="Q2623" s="81">
        <v>140</v>
      </c>
    </row>
    <row r="2624" spans="1:17">
      <c r="A2624" s="119" t="s">
        <v>1064</v>
      </c>
      <c r="B2624" s="119"/>
      <c r="C2624" s="29">
        <v>175501107</v>
      </c>
      <c r="D2624" s="29">
        <v>135507446</v>
      </c>
      <c r="E2624" s="29"/>
      <c r="F2624" s="29" t="s">
        <v>87</v>
      </c>
      <c r="G2624" s="29" t="s">
        <v>744</v>
      </c>
      <c r="H2624" s="29" t="s">
        <v>38</v>
      </c>
      <c r="I2624" s="120">
        <v>45832</v>
      </c>
      <c r="J2624" s="120">
        <f>WORKDAY(I2624, 3)</f>
        <v>45835</v>
      </c>
      <c r="K2624" s="120">
        <v>45862</v>
      </c>
      <c r="L2624" s="120"/>
      <c r="M2624" s="120"/>
      <c r="N2624" s="29"/>
      <c r="O2624" s="29" t="s">
        <v>884</v>
      </c>
      <c r="P2624" s="120"/>
      <c r="Q2624" s="81">
        <v>100</v>
      </c>
    </row>
    <row r="2625" spans="1:17">
      <c r="A2625" s="119" t="s">
        <v>1064</v>
      </c>
      <c r="B2625" s="119"/>
      <c r="C2625" s="29">
        <v>175501115</v>
      </c>
      <c r="D2625" s="29">
        <v>129506655</v>
      </c>
      <c r="E2625" s="29"/>
      <c r="F2625" s="29" t="s">
        <v>87</v>
      </c>
      <c r="G2625" s="29" t="s">
        <v>744</v>
      </c>
      <c r="H2625" s="29" t="s">
        <v>38</v>
      </c>
      <c r="I2625" s="120">
        <v>45832</v>
      </c>
      <c r="J2625" s="120">
        <f>WORKDAY(I2625, 3)</f>
        <v>45835</v>
      </c>
      <c r="K2625" s="120">
        <v>45862</v>
      </c>
      <c r="L2625" s="120"/>
      <c r="M2625" s="120"/>
      <c r="N2625" s="29"/>
      <c r="O2625" s="29" t="s">
        <v>884</v>
      </c>
      <c r="P2625" s="120"/>
      <c r="Q2625" s="81">
        <v>680</v>
      </c>
    </row>
    <row r="2626" spans="1:17">
      <c r="A2626" s="119" t="s">
        <v>1064</v>
      </c>
      <c r="B2626" s="119"/>
      <c r="C2626" s="29">
        <v>175501119</v>
      </c>
      <c r="D2626" s="29">
        <v>135507447</v>
      </c>
      <c r="E2626" s="29"/>
      <c r="F2626" s="29" t="s">
        <v>87</v>
      </c>
      <c r="G2626" s="29" t="s">
        <v>744</v>
      </c>
      <c r="H2626" s="29" t="s">
        <v>38</v>
      </c>
      <c r="I2626" s="120">
        <v>45832</v>
      </c>
      <c r="J2626" s="120">
        <f>WORKDAY(I2626, 3)</f>
        <v>45835</v>
      </c>
      <c r="K2626" s="120">
        <v>45862</v>
      </c>
      <c r="L2626" s="120"/>
      <c r="M2626" s="120"/>
      <c r="N2626" s="29"/>
      <c r="O2626" s="29" t="s">
        <v>884</v>
      </c>
      <c r="P2626" s="120"/>
      <c r="Q2626" s="81">
        <v>350</v>
      </c>
    </row>
    <row r="2627" spans="1:17">
      <c r="A2627" s="119" t="s">
        <v>1064</v>
      </c>
      <c r="B2627" s="119"/>
      <c r="C2627" s="29">
        <v>175501122</v>
      </c>
      <c r="D2627" s="29">
        <v>135507449</v>
      </c>
      <c r="E2627" s="29"/>
      <c r="F2627" s="29" t="s">
        <v>87</v>
      </c>
      <c r="G2627" s="29" t="s">
        <v>744</v>
      </c>
      <c r="H2627" s="29" t="s">
        <v>38</v>
      </c>
      <c r="I2627" s="120">
        <v>45832</v>
      </c>
      <c r="J2627" s="120">
        <f>WORKDAY(I2627, 3)</f>
        <v>45835</v>
      </c>
      <c r="K2627" s="120">
        <v>45862</v>
      </c>
      <c r="L2627" s="120"/>
      <c r="M2627" s="120"/>
      <c r="N2627" s="29"/>
      <c r="O2627" s="29" t="s">
        <v>884</v>
      </c>
      <c r="P2627" s="120"/>
      <c r="Q2627" s="81">
        <v>340</v>
      </c>
    </row>
    <row r="2628" spans="1:17">
      <c r="A2628" s="119" t="s">
        <v>1064</v>
      </c>
      <c r="B2628" s="119"/>
      <c r="C2628" s="29">
        <v>175501136</v>
      </c>
      <c r="D2628" s="29">
        <v>135507448</v>
      </c>
      <c r="E2628" s="29"/>
      <c r="F2628" s="29" t="s">
        <v>87</v>
      </c>
      <c r="G2628" s="29" t="s">
        <v>744</v>
      </c>
      <c r="H2628" s="29" t="s">
        <v>38</v>
      </c>
      <c r="I2628" s="120">
        <v>45832</v>
      </c>
      <c r="J2628" s="120">
        <f>WORKDAY(I2628, 3)</f>
        <v>45835</v>
      </c>
      <c r="K2628" s="120">
        <v>45862</v>
      </c>
      <c r="L2628" s="120"/>
      <c r="M2628" s="120"/>
      <c r="N2628" s="29"/>
      <c r="O2628" s="29" t="s">
        <v>884</v>
      </c>
      <c r="P2628" s="120"/>
      <c r="Q2628" s="81">
        <v>160</v>
      </c>
    </row>
    <row r="2629" spans="1:17">
      <c r="A2629" s="119" t="s">
        <v>1064</v>
      </c>
      <c r="B2629" s="119"/>
      <c r="C2629" s="29">
        <v>175501159</v>
      </c>
      <c r="D2629" s="29">
        <v>135507451</v>
      </c>
      <c r="E2629" s="29"/>
      <c r="F2629" s="29" t="s">
        <v>87</v>
      </c>
      <c r="G2629" s="29" t="s">
        <v>744</v>
      </c>
      <c r="H2629" s="29" t="s">
        <v>38</v>
      </c>
      <c r="I2629" s="120">
        <v>45832</v>
      </c>
      <c r="J2629" s="120">
        <f>WORKDAY(I2629, 3)</f>
        <v>45835</v>
      </c>
      <c r="K2629" s="120">
        <v>45862</v>
      </c>
      <c r="L2629" s="120"/>
      <c r="M2629" s="120"/>
      <c r="N2629" s="29"/>
      <c r="O2629" s="29" t="s">
        <v>884</v>
      </c>
      <c r="P2629" s="120"/>
      <c r="Q2629" s="81">
        <v>130</v>
      </c>
    </row>
    <row r="2630" spans="1:17">
      <c r="A2630" s="119" t="s">
        <v>1064</v>
      </c>
      <c r="B2630" s="119"/>
      <c r="C2630" s="29">
        <v>175501166</v>
      </c>
      <c r="D2630" s="29">
        <v>129500811</v>
      </c>
      <c r="E2630" s="29"/>
      <c r="F2630" s="29" t="s">
        <v>87</v>
      </c>
      <c r="G2630" s="29" t="s">
        <v>744</v>
      </c>
      <c r="H2630" s="29" t="s">
        <v>38</v>
      </c>
      <c r="I2630" s="120">
        <v>45832</v>
      </c>
      <c r="J2630" s="120">
        <f>WORKDAY(I2630, 3)</f>
        <v>45835</v>
      </c>
      <c r="K2630" s="120">
        <v>45862</v>
      </c>
      <c r="L2630" s="120"/>
      <c r="M2630" s="120"/>
      <c r="N2630" s="29"/>
      <c r="O2630" s="29" t="s">
        <v>884</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884</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884</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884</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884</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884</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884</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884</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884</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884</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744</v>
      </c>
      <c r="H2642" s="29" t="s">
        <v>38</v>
      </c>
      <c r="I2642" s="120">
        <v>45852</v>
      </c>
      <c r="J2642" s="120">
        <f>WORKDAY(I2642, 3)</f>
        <v>45855</v>
      </c>
      <c r="K2642" s="120">
        <v>45883</v>
      </c>
      <c r="L2642" s="120"/>
      <c r="M2642" s="120"/>
      <c r="N2642" s="29"/>
      <c r="O2642" s="29" t="s">
        <v>884</v>
      </c>
      <c r="P2642" s="120"/>
      <c r="Q2642" s="156">
        <v>230</v>
      </c>
    </row>
    <row r="2643" spans="1:18">
      <c r="A2643" s="134" t="s">
        <v>1072</v>
      </c>
      <c r="C2643" s="29">
        <v>195504943</v>
      </c>
      <c r="D2643" s="29">
        <v>160500824</v>
      </c>
      <c r="E2643" s="29"/>
      <c r="F2643" s="29" t="s">
        <v>87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744</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744</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744</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744</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744</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744</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744</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744</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744</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744</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744</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744</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884</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884</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884</v>
      </c>
      <c r="P2658" s="120"/>
      <c r="Q2658" s="156">
        <v>1120</v>
      </c>
    </row>
    <row r="2659" spans="1:18">
      <c r="A2659" s="134" t="s">
        <v>1332</v>
      </c>
      <c r="C2659" s="29">
        <v>218501895</v>
      </c>
      <c r="D2659" s="29"/>
      <c r="E2659" s="29"/>
      <c r="F2659" s="29" t="s">
        <v>87</v>
      </c>
      <c r="G2659" s="29" t="s">
        <v>744</v>
      </c>
      <c r="H2659" s="29" t="s">
        <v>38</v>
      </c>
      <c r="I2659" s="120">
        <v>45875</v>
      </c>
      <c r="J2659" s="120">
        <f>WORKDAY(I2659, 3)</f>
        <v>45880</v>
      </c>
      <c r="K2659" s="120">
        <v>45906</v>
      </c>
      <c r="L2659" s="120"/>
      <c r="M2659" s="120"/>
      <c r="N2659" s="29"/>
      <c r="O2659" s="29" t="s">
        <v>884</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c r="A2662" s="134" t="s">
        <v>312</v>
      </c>
      <c r="C2662" s="29">
        <v>198501371</v>
      </c>
      <c r="D2662" s="29"/>
      <c r="E2662" s="29"/>
      <c r="F2662" s="29" t="s">
        <v>87</v>
      </c>
      <c r="G2662" s="29" t="s">
        <v>744</v>
      </c>
      <c r="H2662" s="29" t="s">
        <v>38</v>
      </c>
      <c r="I2662" s="120">
        <v>45855</v>
      </c>
      <c r="J2662" s="120">
        <f>WORKDAY(I2662, 3)</f>
        <v>45860</v>
      </c>
      <c r="K2662" s="120">
        <v>45886</v>
      </c>
      <c r="L2662" s="120"/>
      <c r="M2662" s="120"/>
      <c r="N2662" s="29"/>
      <c r="O2662" s="29" t="s">
        <v>884</v>
      </c>
      <c r="P2662" s="120"/>
      <c r="Q2662" s="156">
        <v>221</v>
      </c>
      <c r="R2662" s="161"/>
    </row>
    <row r="2663" spans="1:18">
      <c r="A2663" s="119" t="s">
        <v>905</v>
      </c>
      <c r="B2663" s="119"/>
      <c r="C2663" s="29">
        <v>203504455</v>
      </c>
      <c r="D2663" s="29">
        <v>154501500</v>
      </c>
      <c r="E2663" s="29"/>
      <c r="F2663" s="29" t="s">
        <v>87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744</v>
      </c>
      <c r="H2665" s="29" t="s">
        <v>38</v>
      </c>
      <c r="I2665" s="120">
        <v>45860</v>
      </c>
      <c r="J2665" s="120">
        <f>WORKDAY(I2665, 3)</f>
        <v>45863</v>
      </c>
      <c r="K2665" s="120">
        <v>45891</v>
      </c>
      <c r="L2665" s="120"/>
      <c r="M2665" s="120"/>
      <c r="N2665" s="29"/>
      <c r="O2665" s="29" t="s">
        <v>884</v>
      </c>
      <c r="P2665" s="120"/>
      <c r="Q2665" s="156">
        <v>300</v>
      </c>
    </row>
    <row r="2666" spans="1:18">
      <c r="A2666" s="134" t="s">
        <v>509</v>
      </c>
      <c r="C2666" s="29">
        <v>203501474</v>
      </c>
      <c r="D2666" s="29">
        <v>174500570</v>
      </c>
      <c r="E2666" s="29"/>
      <c r="F2666" s="29" t="s">
        <v>87</v>
      </c>
      <c r="G2666" s="29" t="s">
        <v>744</v>
      </c>
      <c r="H2666" s="29" t="s">
        <v>38</v>
      </c>
      <c r="I2666" s="120">
        <v>45860</v>
      </c>
      <c r="J2666" s="120">
        <f>WORKDAY(I2666, 3)</f>
        <v>45863</v>
      </c>
      <c r="K2666" s="120">
        <v>45891</v>
      </c>
      <c r="L2666" s="120"/>
      <c r="M2666" s="120"/>
      <c r="N2666" s="29"/>
      <c r="O2666" s="29" t="s">
        <v>884</v>
      </c>
      <c r="P2666" s="120"/>
      <c r="Q2666" s="156">
        <v>270</v>
      </c>
    </row>
    <row r="2667" spans="1:18">
      <c r="A2667" s="134" t="s">
        <v>509</v>
      </c>
      <c r="C2667" s="29">
        <v>203501482</v>
      </c>
      <c r="D2667" s="29">
        <v>174500619</v>
      </c>
      <c r="E2667" s="29"/>
      <c r="F2667" s="29" t="s">
        <v>87</v>
      </c>
      <c r="G2667" s="29" t="s">
        <v>744</v>
      </c>
      <c r="H2667" s="29" t="s">
        <v>38</v>
      </c>
      <c r="I2667" s="120">
        <v>45860</v>
      </c>
      <c r="J2667" s="120">
        <f>WORKDAY(I2667, 3)</f>
        <v>45863</v>
      </c>
      <c r="K2667" s="120">
        <v>45891</v>
      </c>
      <c r="L2667" s="120"/>
      <c r="M2667" s="120"/>
      <c r="N2667" s="29"/>
      <c r="O2667" s="29" t="s">
        <v>884</v>
      </c>
      <c r="P2667" s="120"/>
      <c r="Q2667" s="156">
        <v>800</v>
      </c>
    </row>
    <row r="2668" spans="1:18">
      <c r="A2668" s="134" t="s">
        <v>509</v>
      </c>
      <c r="C2668" s="29">
        <v>203501493</v>
      </c>
      <c r="D2668" s="29">
        <v>174500645</v>
      </c>
      <c r="E2668" s="29"/>
      <c r="F2668" s="29" t="s">
        <v>87</v>
      </c>
      <c r="G2668" s="29" t="s">
        <v>744</v>
      </c>
      <c r="H2668" s="29" t="s">
        <v>38</v>
      </c>
      <c r="I2668" s="120">
        <v>45860</v>
      </c>
      <c r="J2668" s="120">
        <f>WORKDAY(I2668, 3)</f>
        <v>45863</v>
      </c>
      <c r="K2668" s="120">
        <v>45891</v>
      </c>
      <c r="L2668" s="120"/>
      <c r="M2668" s="120"/>
      <c r="N2668" s="29"/>
      <c r="O2668" s="29" t="s">
        <v>884</v>
      </c>
      <c r="P2668" s="120"/>
      <c r="Q2668" s="156">
        <v>710</v>
      </c>
    </row>
    <row r="2669" spans="1:18">
      <c r="A2669" s="134" t="s">
        <v>1255</v>
      </c>
      <c r="C2669" s="29">
        <v>203501511</v>
      </c>
      <c r="D2669" s="29">
        <v>171503657</v>
      </c>
      <c r="E2669" s="29"/>
      <c r="F2669" s="29" t="s">
        <v>87</v>
      </c>
      <c r="G2669" s="29" t="s">
        <v>744</v>
      </c>
      <c r="H2669" s="29" t="s">
        <v>38</v>
      </c>
      <c r="I2669" s="120">
        <v>45860</v>
      </c>
      <c r="J2669" s="120">
        <f>WORKDAY(I2669, 3)</f>
        <v>45863</v>
      </c>
      <c r="K2669" s="120">
        <v>45891</v>
      </c>
      <c r="L2669" s="120"/>
      <c r="M2669" s="120"/>
      <c r="N2669" s="29"/>
      <c r="O2669" s="29" t="s">
        <v>884</v>
      </c>
      <c r="P2669" s="120"/>
      <c r="Q2669" s="156">
        <v>420</v>
      </c>
    </row>
    <row r="2670" spans="1:18">
      <c r="A2670" s="134" t="s">
        <v>509</v>
      </c>
      <c r="C2670" s="29">
        <v>203501518</v>
      </c>
      <c r="D2670" s="29">
        <v>174500653</v>
      </c>
      <c r="E2670" s="29"/>
      <c r="F2670" s="29" t="s">
        <v>87</v>
      </c>
      <c r="G2670" s="29" t="s">
        <v>744</v>
      </c>
      <c r="H2670" s="29" t="s">
        <v>38</v>
      </c>
      <c r="I2670" s="120">
        <v>45860</v>
      </c>
      <c r="J2670" s="120">
        <f>WORKDAY(I2670, 3)</f>
        <v>45863</v>
      </c>
      <c r="K2670" s="120">
        <v>45891</v>
      </c>
      <c r="L2670" s="120"/>
      <c r="M2670" s="120"/>
      <c r="N2670" s="29"/>
      <c r="O2670" s="29" t="s">
        <v>884</v>
      </c>
      <c r="P2670" s="120"/>
      <c r="Q2670" s="156">
        <v>980</v>
      </c>
    </row>
    <row r="2671" spans="1:18">
      <c r="A2671" s="134" t="s">
        <v>1255</v>
      </c>
      <c r="C2671" s="29">
        <v>203501533</v>
      </c>
      <c r="D2671" s="29">
        <v>171503712</v>
      </c>
      <c r="E2671" s="29"/>
      <c r="F2671" s="29" t="s">
        <v>87</v>
      </c>
      <c r="G2671" s="29" t="s">
        <v>744</v>
      </c>
      <c r="H2671" s="29" t="s">
        <v>38</v>
      </c>
      <c r="I2671" s="120">
        <v>45860</v>
      </c>
      <c r="J2671" s="120">
        <f>WORKDAY(I2671, 3)</f>
        <v>45863</v>
      </c>
      <c r="K2671" s="120">
        <v>45891</v>
      </c>
      <c r="L2671" s="120"/>
      <c r="M2671" s="120"/>
      <c r="N2671" s="29"/>
      <c r="O2671" s="29" t="s">
        <v>884</v>
      </c>
      <c r="P2671" s="120"/>
      <c r="Q2671" s="156">
        <v>370</v>
      </c>
    </row>
    <row r="2672" spans="1:18">
      <c r="A2672" s="134" t="s">
        <v>1255</v>
      </c>
      <c r="C2672" s="29">
        <v>203501547</v>
      </c>
      <c r="D2672" s="29">
        <v>171503742</v>
      </c>
      <c r="E2672" s="29"/>
      <c r="F2672" s="29" t="s">
        <v>87</v>
      </c>
      <c r="G2672" s="29" t="s">
        <v>744</v>
      </c>
      <c r="H2672" s="29" t="s">
        <v>38</v>
      </c>
      <c r="I2672" s="120">
        <v>45860</v>
      </c>
      <c r="J2672" s="120">
        <f>WORKDAY(I2672, 3)</f>
        <v>45863</v>
      </c>
      <c r="K2672" s="120">
        <v>45891</v>
      </c>
      <c r="L2672" s="120"/>
      <c r="M2672" s="120"/>
      <c r="N2672" s="29"/>
      <c r="O2672" s="29" t="s">
        <v>884</v>
      </c>
      <c r="P2672" s="120"/>
      <c r="Q2672" s="156">
        <v>350</v>
      </c>
    </row>
    <row r="2673" spans="1:18">
      <c r="A2673" s="134" t="s">
        <v>1255</v>
      </c>
      <c r="C2673" s="29">
        <v>203501567</v>
      </c>
      <c r="D2673" s="29">
        <v>171503746</v>
      </c>
      <c r="E2673" s="29"/>
      <c r="F2673" s="29" t="s">
        <v>87</v>
      </c>
      <c r="G2673" s="29" t="s">
        <v>744</v>
      </c>
      <c r="H2673" s="29" t="s">
        <v>38</v>
      </c>
      <c r="I2673" s="120">
        <v>45860</v>
      </c>
      <c r="J2673" s="120">
        <f>WORKDAY(I2673, 3)</f>
        <v>45863</v>
      </c>
      <c r="K2673" s="120">
        <v>45891</v>
      </c>
      <c r="L2673" s="120"/>
      <c r="M2673" s="120"/>
      <c r="N2673" s="29"/>
      <c r="O2673" s="29" t="s">
        <v>884</v>
      </c>
      <c r="P2673" s="120"/>
      <c r="Q2673" s="156">
        <v>670</v>
      </c>
    </row>
    <row r="2674" spans="1:18">
      <c r="A2674" s="134" t="s">
        <v>1255</v>
      </c>
      <c r="C2674" s="29">
        <v>203501580</v>
      </c>
      <c r="D2674" s="29">
        <v>171503668</v>
      </c>
      <c r="E2674" s="29"/>
      <c r="F2674" s="29" t="s">
        <v>87</v>
      </c>
      <c r="G2674" s="29" t="s">
        <v>744</v>
      </c>
      <c r="H2674" s="29" t="s">
        <v>38</v>
      </c>
      <c r="I2674" s="120">
        <v>45860</v>
      </c>
      <c r="J2674" s="120">
        <f>WORKDAY(I2674, 3)</f>
        <v>45863</v>
      </c>
      <c r="K2674" s="120">
        <v>45891</v>
      </c>
      <c r="L2674" s="120"/>
      <c r="M2674" s="120"/>
      <c r="N2674" s="29"/>
      <c r="O2674" s="29" t="s">
        <v>884</v>
      </c>
      <c r="P2674" s="120"/>
      <c r="Q2674" s="156">
        <v>920</v>
      </c>
    </row>
    <row r="2675" spans="1:18">
      <c r="A2675" s="134" t="s">
        <v>1255</v>
      </c>
      <c r="C2675" s="29">
        <v>203501594</v>
      </c>
      <c r="D2675" s="29">
        <v>171503705</v>
      </c>
      <c r="E2675" s="29"/>
      <c r="F2675" s="29" t="s">
        <v>87</v>
      </c>
      <c r="G2675" s="29" t="s">
        <v>744</v>
      </c>
      <c r="H2675" s="29" t="s">
        <v>38</v>
      </c>
      <c r="I2675" s="120">
        <v>45860</v>
      </c>
      <c r="J2675" s="120">
        <f>WORKDAY(I2675, 3)</f>
        <v>45863</v>
      </c>
      <c r="K2675" s="120">
        <v>45891</v>
      </c>
      <c r="L2675" s="120"/>
      <c r="M2675" s="120"/>
      <c r="N2675" s="29"/>
      <c r="O2675" s="29" t="s">
        <v>884</v>
      </c>
      <c r="P2675" s="120"/>
      <c r="Q2675" s="156">
        <v>840</v>
      </c>
    </row>
    <row r="2676" spans="1:18">
      <c r="A2676" s="134" t="s">
        <v>1255</v>
      </c>
      <c r="C2676" s="29">
        <v>203501605</v>
      </c>
      <c r="D2676" s="29">
        <v>171503722</v>
      </c>
      <c r="E2676" s="29"/>
      <c r="F2676" s="29" t="s">
        <v>87</v>
      </c>
      <c r="G2676" s="29" t="s">
        <v>744</v>
      </c>
      <c r="H2676" s="29" t="s">
        <v>38</v>
      </c>
      <c r="I2676" s="120">
        <v>45860</v>
      </c>
      <c r="J2676" s="120">
        <f>WORKDAY(I2676, 3)</f>
        <v>45863</v>
      </c>
      <c r="K2676" s="120">
        <v>45891</v>
      </c>
      <c r="L2676" s="120"/>
      <c r="M2676" s="120"/>
      <c r="N2676" s="29"/>
      <c r="O2676" s="29" t="s">
        <v>884</v>
      </c>
      <c r="P2676" s="120"/>
      <c r="Q2676" s="156">
        <v>780</v>
      </c>
    </row>
    <row r="2677" spans="1:18">
      <c r="A2677" s="134" t="s">
        <v>1255</v>
      </c>
      <c r="C2677" s="29">
        <v>203501611</v>
      </c>
      <c r="D2677" s="29">
        <v>171503732</v>
      </c>
      <c r="E2677" s="29"/>
      <c r="F2677" s="29" t="s">
        <v>87</v>
      </c>
      <c r="G2677" s="29" t="s">
        <v>744</v>
      </c>
      <c r="H2677" s="29" t="s">
        <v>38</v>
      </c>
      <c r="I2677" s="120">
        <v>45860</v>
      </c>
      <c r="J2677" s="120">
        <f>WORKDAY(I2677, 3)</f>
        <v>45863</v>
      </c>
      <c r="K2677" s="120">
        <v>45891</v>
      </c>
      <c r="L2677" s="120"/>
      <c r="M2677" s="120"/>
      <c r="N2677" s="29"/>
      <c r="O2677" s="29" t="s">
        <v>884</v>
      </c>
      <c r="P2677" s="120"/>
      <c r="Q2677" s="156">
        <v>620</v>
      </c>
    </row>
    <row r="2678" spans="1:18">
      <c r="A2678" s="134" t="s">
        <v>986</v>
      </c>
      <c r="C2678" s="29">
        <v>203501618</v>
      </c>
      <c r="D2678" s="29">
        <v>175501223</v>
      </c>
      <c r="E2678" s="29"/>
      <c r="F2678" s="29" t="s">
        <v>87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744</v>
      </c>
      <c r="H2680" s="29" t="s">
        <v>38</v>
      </c>
      <c r="I2680" s="120">
        <v>45860</v>
      </c>
      <c r="J2680" s="120">
        <f>WORKDAY(I2680, 3)</f>
        <v>45863</v>
      </c>
      <c r="K2680" s="120">
        <v>45891</v>
      </c>
      <c r="L2680" s="120"/>
      <c r="M2680" s="120"/>
      <c r="N2680" s="29"/>
      <c r="O2680" s="29" t="s">
        <v>884</v>
      </c>
      <c r="P2680" s="120"/>
      <c r="Q2680" s="156">
        <v>240</v>
      </c>
    </row>
    <row r="2681" spans="1:18">
      <c r="A2681" s="134" t="s">
        <v>986</v>
      </c>
      <c r="C2681" s="29">
        <v>203501647</v>
      </c>
      <c r="D2681" s="29">
        <v>175501205</v>
      </c>
      <c r="E2681" s="29"/>
      <c r="F2681" s="29" t="s">
        <v>87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744</v>
      </c>
      <c r="H2685" s="29" t="s">
        <v>38</v>
      </c>
      <c r="I2685" s="120">
        <v>45860</v>
      </c>
      <c r="J2685" s="120">
        <f>WORKDAY(I2685, 3)</f>
        <v>45863</v>
      </c>
      <c r="K2685" s="120">
        <v>45891</v>
      </c>
      <c r="L2685" s="120"/>
      <c r="M2685" s="120"/>
      <c r="N2685" s="29"/>
      <c r="O2685" s="29" t="s">
        <v>884</v>
      </c>
      <c r="P2685" s="120"/>
      <c r="Q2685" s="156">
        <v>660</v>
      </c>
    </row>
    <row r="2686" spans="1:18">
      <c r="A2686" s="119" t="s">
        <v>1064</v>
      </c>
      <c r="B2686" s="119"/>
      <c r="C2686" s="29">
        <v>203502086</v>
      </c>
      <c r="D2686" s="29">
        <v>175501102</v>
      </c>
      <c r="E2686" s="29"/>
      <c r="F2686" s="29" t="s">
        <v>87</v>
      </c>
      <c r="G2686" s="29" t="s">
        <v>744</v>
      </c>
      <c r="H2686" s="29" t="s">
        <v>38</v>
      </c>
      <c r="I2686" s="120">
        <v>45860</v>
      </c>
      <c r="J2686" s="120">
        <f>WORKDAY(I2686, 3)</f>
        <v>45863</v>
      </c>
      <c r="K2686" s="120">
        <v>45891</v>
      </c>
      <c r="L2686" s="120"/>
      <c r="M2686" s="120"/>
      <c r="N2686" s="29"/>
      <c r="O2686" s="29" t="s">
        <v>884</v>
      </c>
      <c r="P2686" s="120"/>
      <c r="Q2686" s="156">
        <v>140</v>
      </c>
    </row>
    <row r="2687" spans="1:18">
      <c r="A2687" s="119" t="s">
        <v>1064</v>
      </c>
      <c r="B2687" s="119"/>
      <c r="C2687" s="29">
        <v>203502100</v>
      </c>
      <c r="D2687" s="29">
        <v>175501107</v>
      </c>
      <c r="E2687" s="29"/>
      <c r="F2687" s="29" t="s">
        <v>87</v>
      </c>
      <c r="G2687" s="29" t="s">
        <v>744</v>
      </c>
      <c r="H2687" s="29" t="s">
        <v>38</v>
      </c>
      <c r="I2687" s="120">
        <v>45860</v>
      </c>
      <c r="J2687" s="120">
        <f>WORKDAY(I2687, 3)</f>
        <v>45863</v>
      </c>
      <c r="K2687" s="120">
        <v>45891</v>
      </c>
      <c r="L2687" s="120"/>
      <c r="M2687" s="120"/>
      <c r="N2687" s="29"/>
      <c r="O2687" s="29" t="s">
        <v>884</v>
      </c>
      <c r="P2687" s="120"/>
      <c r="Q2687" s="156">
        <v>100</v>
      </c>
    </row>
    <row r="2688" spans="1:18">
      <c r="A2688" s="119" t="s">
        <v>1064</v>
      </c>
      <c r="B2688" s="119"/>
      <c r="C2688" s="29">
        <v>203502164</v>
      </c>
      <c r="D2688" s="29">
        <v>175501115</v>
      </c>
      <c r="E2688" s="29"/>
      <c r="F2688" s="29" t="s">
        <v>87</v>
      </c>
      <c r="G2688" s="29" t="s">
        <v>744</v>
      </c>
      <c r="H2688" s="29" t="s">
        <v>38</v>
      </c>
      <c r="I2688" s="120">
        <v>45860</v>
      </c>
      <c r="J2688" s="120">
        <f>WORKDAY(I2688, 3)</f>
        <v>45863</v>
      </c>
      <c r="K2688" s="120">
        <v>45891</v>
      </c>
      <c r="L2688" s="120"/>
      <c r="M2688" s="120"/>
      <c r="N2688" s="29"/>
      <c r="O2688" s="29" t="s">
        <v>884</v>
      </c>
      <c r="P2688" s="120"/>
      <c r="Q2688" s="156">
        <v>680</v>
      </c>
    </row>
    <row r="2689" spans="1:17">
      <c r="A2689" s="119" t="s">
        <v>1064</v>
      </c>
      <c r="B2689" s="119"/>
      <c r="C2689" s="29">
        <v>203502213</v>
      </c>
      <c r="D2689" s="29">
        <v>175501119</v>
      </c>
      <c r="E2689" s="29"/>
      <c r="F2689" s="29" t="s">
        <v>87</v>
      </c>
      <c r="G2689" s="29" t="s">
        <v>744</v>
      </c>
      <c r="H2689" s="29" t="s">
        <v>38</v>
      </c>
      <c r="I2689" s="120">
        <v>45860</v>
      </c>
      <c r="J2689" s="120">
        <f>WORKDAY(I2689, 3)</f>
        <v>45863</v>
      </c>
      <c r="K2689" s="120">
        <v>45891</v>
      </c>
      <c r="L2689" s="120"/>
      <c r="M2689" s="120"/>
      <c r="N2689" s="29"/>
      <c r="O2689" s="29" t="s">
        <v>884</v>
      </c>
      <c r="P2689" s="120"/>
      <c r="Q2689" s="156">
        <v>350</v>
      </c>
    </row>
    <row r="2690" spans="1:17">
      <c r="A2690" s="119" t="s">
        <v>1064</v>
      </c>
      <c r="B2690" s="119"/>
      <c r="C2690" s="29">
        <v>203502222</v>
      </c>
      <c r="D2690" s="29">
        <v>175501159</v>
      </c>
      <c r="E2690" s="29"/>
      <c r="F2690" s="29" t="s">
        <v>87</v>
      </c>
      <c r="G2690" s="29" t="s">
        <v>744</v>
      </c>
      <c r="H2690" s="29" t="s">
        <v>38</v>
      </c>
      <c r="I2690" s="120">
        <v>45860</v>
      </c>
      <c r="J2690" s="120">
        <f>WORKDAY(I2690, 3)</f>
        <v>45863</v>
      </c>
      <c r="K2690" s="120">
        <v>45891</v>
      </c>
      <c r="L2690" s="120"/>
      <c r="M2690" s="120"/>
      <c r="N2690" s="29"/>
      <c r="O2690" s="29" t="s">
        <v>884</v>
      </c>
      <c r="P2690" s="120"/>
      <c r="Q2690" s="156">
        <v>130</v>
      </c>
    </row>
    <row r="2691" spans="1:17">
      <c r="A2691" s="119" t="s">
        <v>1064</v>
      </c>
      <c r="B2691" s="119"/>
      <c r="C2691" s="29">
        <v>203502224</v>
      </c>
      <c r="D2691" s="29">
        <v>175501166</v>
      </c>
      <c r="E2691" s="29"/>
      <c r="F2691" s="29" t="s">
        <v>87</v>
      </c>
      <c r="G2691" s="29" t="s">
        <v>744</v>
      </c>
      <c r="H2691" s="29" t="s">
        <v>38</v>
      </c>
      <c r="I2691" s="120">
        <v>45860</v>
      </c>
      <c r="J2691" s="120">
        <f>WORKDAY(I2691, 3)</f>
        <v>45863</v>
      </c>
      <c r="K2691" s="120">
        <v>45891</v>
      </c>
      <c r="L2691" s="120"/>
      <c r="M2691" s="120"/>
      <c r="N2691" s="29"/>
      <c r="O2691" s="29" t="s">
        <v>884</v>
      </c>
      <c r="P2691" s="120"/>
      <c r="Q2691" s="156">
        <v>280</v>
      </c>
    </row>
    <row r="2692" spans="1:17">
      <c r="A2692" s="119" t="s">
        <v>941</v>
      </c>
      <c r="B2692" s="119"/>
      <c r="C2692" s="29">
        <v>205504490</v>
      </c>
      <c r="D2692" s="29"/>
      <c r="E2692" s="29"/>
      <c r="F2692" s="29" t="s">
        <v>87</v>
      </c>
      <c r="G2692" s="29" t="s">
        <v>744</v>
      </c>
      <c r="H2692" s="29" t="s">
        <v>38</v>
      </c>
      <c r="I2692" s="120">
        <v>45862</v>
      </c>
      <c r="J2692" s="120">
        <f>WORKDAY(I2692, 3)</f>
        <v>45867</v>
      </c>
      <c r="K2692" s="120">
        <v>45893</v>
      </c>
      <c r="L2692" s="120"/>
      <c r="M2692" s="120"/>
      <c r="N2692" s="29"/>
      <c r="O2692" s="29" t="s">
        <v>884</v>
      </c>
      <c r="P2692" s="120"/>
      <c r="Q2692" s="156">
        <v>1300</v>
      </c>
    </row>
    <row r="2693" spans="1:17">
      <c r="A2693" s="119" t="s">
        <v>941</v>
      </c>
      <c r="B2693" s="119"/>
      <c r="C2693" s="29">
        <v>205504501</v>
      </c>
      <c r="D2693" s="29"/>
      <c r="E2693" s="29"/>
      <c r="F2693" s="29" t="s">
        <v>87</v>
      </c>
      <c r="G2693" s="29" t="s">
        <v>744</v>
      </c>
      <c r="H2693" s="29" t="s">
        <v>38</v>
      </c>
      <c r="I2693" s="120">
        <v>45862</v>
      </c>
      <c r="J2693" s="120">
        <f>WORKDAY(I2693, 3)</f>
        <v>45867</v>
      </c>
      <c r="K2693" s="120">
        <v>45893</v>
      </c>
      <c r="L2693" s="120"/>
      <c r="M2693" s="120"/>
      <c r="N2693" s="29"/>
      <c r="O2693" s="29" t="s">
        <v>884</v>
      </c>
      <c r="P2693" s="120"/>
      <c r="Q2693" s="156">
        <v>130</v>
      </c>
    </row>
    <row r="2694" spans="1:17">
      <c r="A2694" s="119" t="s">
        <v>941</v>
      </c>
      <c r="B2694" s="119"/>
      <c r="C2694" s="29">
        <v>205504506</v>
      </c>
      <c r="D2694" s="29"/>
      <c r="E2694" s="29"/>
      <c r="F2694" s="29" t="s">
        <v>87</v>
      </c>
      <c r="G2694" s="29" t="s">
        <v>744</v>
      </c>
      <c r="H2694" s="29" t="s">
        <v>38</v>
      </c>
      <c r="I2694" s="120">
        <v>45862</v>
      </c>
      <c r="J2694" s="120">
        <f>WORKDAY(I2694, 3)</f>
        <v>45867</v>
      </c>
      <c r="K2694" s="120">
        <v>45893</v>
      </c>
      <c r="L2694" s="120"/>
      <c r="M2694" s="120"/>
      <c r="N2694" s="29"/>
      <c r="O2694" s="29" t="s">
        <v>884</v>
      </c>
      <c r="P2694" s="120"/>
      <c r="Q2694" s="156">
        <v>500</v>
      </c>
    </row>
    <row r="2695" spans="1:17">
      <c r="A2695" s="134" t="s">
        <v>286</v>
      </c>
      <c r="C2695" s="29">
        <v>206503010</v>
      </c>
      <c r="D2695" s="29"/>
      <c r="E2695" s="29"/>
      <c r="F2695" s="29" t="s">
        <v>87</v>
      </c>
      <c r="G2695" s="29" t="s">
        <v>744</v>
      </c>
      <c r="H2695" s="29" t="s">
        <v>38</v>
      </c>
      <c r="I2695" s="120">
        <v>45862</v>
      </c>
      <c r="J2695" s="120">
        <f>WORKDAY(I2695, 3)</f>
        <v>45867</v>
      </c>
      <c r="K2695" s="120">
        <v>45893</v>
      </c>
      <c r="L2695" s="120"/>
      <c r="M2695" s="120"/>
      <c r="N2695" s="29"/>
      <c r="O2695" s="29" t="s">
        <v>884</v>
      </c>
      <c r="P2695" s="29"/>
      <c r="Q2695" s="156">
        <v>300</v>
      </c>
    </row>
    <row r="2696" spans="1:17">
      <c r="A2696" s="134" t="s">
        <v>1072</v>
      </c>
      <c r="C2696" s="29">
        <v>209506587</v>
      </c>
      <c r="D2696" s="29">
        <v>182501798</v>
      </c>
      <c r="E2696" s="29"/>
      <c r="F2696" s="29" t="s">
        <v>87</v>
      </c>
      <c r="G2696" s="29" t="s">
        <v>744</v>
      </c>
      <c r="H2696" s="29" t="s">
        <v>38</v>
      </c>
      <c r="I2696" s="120">
        <v>45866</v>
      </c>
      <c r="J2696" s="120">
        <f>WORKDAY(I2696, 3)</f>
        <v>45869</v>
      </c>
      <c r="K2696" s="120">
        <v>45897</v>
      </c>
      <c r="L2696" s="120"/>
      <c r="M2696" s="120"/>
      <c r="N2696" s="29"/>
      <c r="O2696" s="29" t="s">
        <v>884</v>
      </c>
      <c r="P2696" s="29"/>
      <c r="Q2696" s="156">
        <v>1000</v>
      </c>
    </row>
    <row r="2697" spans="1:17">
      <c r="A2697" s="134" t="s">
        <v>1072</v>
      </c>
      <c r="C2697" s="29">
        <v>209506596</v>
      </c>
      <c r="D2697" s="29">
        <v>182501814</v>
      </c>
      <c r="E2697" s="29"/>
      <c r="F2697" s="29" t="s">
        <v>87</v>
      </c>
      <c r="G2697" s="29" t="s">
        <v>744</v>
      </c>
      <c r="H2697" s="29" t="s">
        <v>38</v>
      </c>
      <c r="I2697" s="120">
        <v>45866</v>
      </c>
      <c r="J2697" s="120">
        <f>WORKDAY(I2697, 3)</f>
        <v>45869</v>
      </c>
      <c r="K2697" s="120">
        <v>45897</v>
      </c>
      <c r="L2697" s="120"/>
      <c r="M2697" s="120"/>
      <c r="N2697" s="29"/>
      <c r="O2697" s="29" t="s">
        <v>884</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884</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884</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884</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884</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884</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884</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884</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884</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884</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884</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884</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884</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884</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884</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884</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884</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884</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884</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884</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884</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884</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884</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884</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884</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884</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884</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884</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884</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884</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884</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884</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884</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884</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884</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884</v>
      </c>
      <c r="P2743" s="120"/>
      <c r="Q2743" s="156">
        <v>270</v>
      </c>
    </row>
    <row r="2744" spans="1:17">
      <c r="A2744" s="134" t="s">
        <v>358</v>
      </c>
      <c r="C2744" s="29">
        <v>220501746</v>
      </c>
      <c r="D2744" s="29"/>
      <c r="E2744" s="29"/>
      <c r="F2744" s="29" t="s">
        <v>87</v>
      </c>
      <c r="G2744" s="29" t="s">
        <v>744</v>
      </c>
      <c r="H2744" s="29" t="s">
        <v>38</v>
      </c>
      <c r="I2744" s="120">
        <v>45877</v>
      </c>
      <c r="J2744" s="120">
        <f>WORKDAY(I2744, 3)</f>
        <v>45882</v>
      </c>
      <c r="K2744" s="120">
        <v>45908</v>
      </c>
      <c r="L2744" s="120"/>
      <c r="M2744" s="120"/>
      <c r="N2744" s="120">
        <v>45877</v>
      </c>
      <c r="O2744" s="29" t="s">
        <v>884</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884</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884</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884</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884</v>
      </c>
      <c r="P2748" s="120"/>
      <c r="Q2748" s="156">
        <v>150</v>
      </c>
    </row>
    <row r="2749" spans="1:17">
      <c r="A2749" s="134" t="s">
        <v>1072</v>
      </c>
      <c r="C2749" s="29">
        <v>227501683</v>
      </c>
      <c r="D2749" s="29">
        <v>195504943</v>
      </c>
      <c r="E2749" s="29"/>
      <c r="F2749" s="29" t="s">
        <v>87</v>
      </c>
      <c r="G2749" s="29" t="s">
        <v>744</v>
      </c>
      <c r="H2749" s="29" t="s">
        <v>38</v>
      </c>
      <c r="I2749" s="120">
        <v>45884</v>
      </c>
      <c r="J2749" s="120">
        <f>WORKDAY(I2749, 3)</f>
        <v>45889</v>
      </c>
      <c r="K2749" s="120">
        <v>45915</v>
      </c>
      <c r="L2749" s="120"/>
      <c r="M2749" s="120"/>
      <c r="N2749" s="29"/>
      <c r="O2749" s="29" t="s">
        <v>884</v>
      </c>
      <c r="P2749" s="120"/>
      <c r="Q2749" s="156">
        <v>200</v>
      </c>
    </row>
    <row r="2750" spans="1:17">
      <c r="A2750" s="119" t="s">
        <v>1064</v>
      </c>
      <c r="B2750" s="119"/>
      <c r="C2750" s="29">
        <v>231500207</v>
      </c>
      <c r="D2750" s="29"/>
      <c r="E2750" s="29"/>
      <c r="F2750" s="29" t="s">
        <v>87</v>
      </c>
      <c r="G2750" s="29" t="s">
        <v>744</v>
      </c>
      <c r="H2750" s="29" t="s">
        <v>38</v>
      </c>
      <c r="I2750" s="120">
        <v>45888</v>
      </c>
      <c r="J2750" s="120">
        <f>WORKDAY(I2750, 3)</f>
        <v>45891</v>
      </c>
      <c r="K2750" s="120">
        <v>45919</v>
      </c>
      <c r="L2750" s="120"/>
      <c r="M2750" s="120"/>
      <c r="N2750" s="29"/>
      <c r="O2750" s="29" t="s">
        <v>884</v>
      </c>
      <c r="P2750" s="120"/>
      <c r="Q2750" s="156">
        <v>300</v>
      </c>
    </row>
    <row r="2751" spans="1:17">
      <c r="A2751" s="119" t="s">
        <v>1064</v>
      </c>
      <c r="B2751" s="119"/>
      <c r="C2751" s="29">
        <v>231500211</v>
      </c>
      <c r="D2751" s="29"/>
      <c r="E2751" s="29"/>
      <c r="F2751" s="29" t="s">
        <v>87</v>
      </c>
      <c r="G2751" s="29" t="s">
        <v>744</v>
      </c>
      <c r="H2751" s="29" t="s">
        <v>38</v>
      </c>
      <c r="I2751" s="120">
        <v>45888</v>
      </c>
      <c r="J2751" s="120">
        <f>WORKDAY(I2751, 3)</f>
        <v>45891</v>
      </c>
      <c r="K2751" s="120">
        <v>45919</v>
      </c>
      <c r="L2751" s="120"/>
      <c r="M2751" s="120"/>
      <c r="N2751" s="29"/>
      <c r="O2751" s="29" t="s">
        <v>884</v>
      </c>
      <c r="P2751" s="120"/>
      <c r="Q2751" s="156">
        <v>300</v>
      </c>
    </row>
    <row r="2752" spans="1:17">
      <c r="A2752" s="119" t="s">
        <v>1064</v>
      </c>
      <c r="B2752" s="119"/>
      <c r="C2752" s="29">
        <v>231500213</v>
      </c>
      <c r="D2752" s="29"/>
      <c r="E2752" s="29"/>
      <c r="F2752" s="29" t="s">
        <v>87</v>
      </c>
      <c r="G2752" s="29" t="s">
        <v>744</v>
      </c>
      <c r="H2752" s="29" t="s">
        <v>38</v>
      </c>
      <c r="I2752" s="120">
        <v>45888</v>
      </c>
      <c r="J2752" s="120">
        <f>WORKDAY(I2752, 3)</f>
        <v>45891</v>
      </c>
      <c r="K2752" s="120">
        <v>45919</v>
      </c>
      <c r="L2752" s="120"/>
      <c r="M2752" s="120"/>
      <c r="N2752" s="29"/>
      <c r="O2752" s="29" t="s">
        <v>884</v>
      </c>
      <c r="P2752" s="120"/>
      <c r="Q2752" s="156">
        <v>150</v>
      </c>
    </row>
    <row r="2753" spans="1:18">
      <c r="A2753" s="119" t="s">
        <v>981</v>
      </c>
      <c r="B2753" s="119"/>
      <c r="C2753" s="29">
        <v>231500216</v>
      </c>
      <c r="D2753" s="29"/>
      <c r="E2753" s="29"/>
      <c r="F2753" s="29" t="s">
        <v>87</v>
      </c>
      <c r="G2753" s="29" t="s">
        <v>744</v>
      </c>
      <c r="H2753" s="29" t="s">
        <v>38</v>
      </c>
      <c r="I2753" s="120">
        <v>45888</v>
      </c>
      <c r="J2753" s="120">
        <f>WORKDAY(I2753, 3)</f>
        <v>45891</v>
      </c>
      <c r="K2753" s="120">
        <v>45919</v>
      </c>
      <c r="L2753" s="120"/>
      <c r="M2753" s="120"/>
      <c r="N2753" s="29"/>
      <c r="O2753" s="29" t="s">
        <v>884</v>
      </c>
      <c r="P2753" s="120"/>
      <c r="Q2753" s="156">
        <v>150</v>
      </c>
    </row>
    <row r="2754" spans="1:18">
      <c r="A2754" s="119" t="s">
        <v>981</v>
      </c>
      <c r="B2754" s="119"/>
      <c r="C2754" s="29">
        <v>231500217</v>
      </c>
      <c r="D2754" s="29"/>
      <c r="E2754" s="29"/>
      <c r="F2754" s="29" t="s">
        <v>87</v>
      </c>
      <c r="G2754" s="29" t="s">
        <v>744</v>
      </c>
      <c r="H2754" s="29" t="s">
        <v>38</v>
      </c>
      <c r="I2754" s="120">
        <v>45888</v>
      </c>
      <c r="J2754" s="120">
        <f>WORKDAY(I2754, 3)</f>
        <v>45891</v>
      </c>
      <c r="K2754" s="120">
        <v>45919</v>
      </c>
      <c r="L2754" s="120"/>
      <c r="M2754" s="120"/>
      <c r="N2754" s="29"/>
      <c r="O2754" s="29" t="s">
        <v>884</v>
      </c>
      <c r="P2754" s="120"/>
      <c r="Q2754" s="156">
        <v>400</v>
      </c>
    </row>
    <row r="2755" spans="1:18">
      <c r="A2755" s="119" t="s">
        <v>981</v>
      </c>
      <c r="B2755" s="119"/>
      <c r="C2755" s="29">
        <v>233500103</v>
      </c>
      <c r="D2755" s="29"/>
      <c r="E2755" s="29"/>
      <c r="F2755" s="29" t="s">
        <v>87</v>
      </c>
      <c r="G2755" s="29" t="s">
        <v>744</v>
      </c>
      <c r="H2755" s="29" t="s">
        <v>38</v>
      </c>
      <c r="I2755" s="120">
        <v>45890</v>
      </c>
      <c r="J2755" s="120">
        <f>WORKDAY(I2755, 3)</f>
        <v>45895</v>
      </c>
      <c r="K2755" s="120">
        <v>45921</v>
      </c>
      <c r="L2755" s="120"/>
      <c r="M2755" s="120"/>
      <c r="N2755" s="29"/>
      <c r="O2755" s="29" t="s">
        <v>884</v>
      </c>
      <c r="P2755" s="120"/>
      <c r="Q2755" s="156">
        <v>360</v>
      </c>
    </row>
    <row r="2756" spans="1:18">
      <c r="A2756" s="119" t="s">
        <v>981</v>
      </c>
      <c r="B2756" s="119"/>
      <c r="C2756" s="29">
        <v>233500110</v>
      </c>
      <c r="D2756" s="29"/>
      <c r="E2756" s="29"/>
      <c r="F2756" s="29" t="s">
        <v>87</v>
      </c>
      <c r="G2756" s="29" t="s">
        <v>744</v>
      </c>
      <c r="H2756" s="29" t="s">
        <v>38</v>
      </c>
      <c r="I2756" s="120">
        <v>45890</v>
      </c>
      <c r="J2756" s="120">
        <f>WORKDAY(I2756, 3)</f>
        <v>45895</v>
      </c>
      <c r="K2756" s="120">
        <v>45921</v>
      </c>
      <c r="L2756" s="120"/>
      <c r="M2756" s="120"/>
      <c r="N2756" s="29"/>
      <c r="O2756" s="29" t="s">
        <v>884</v>
      </c>
      <c r="P2756" s="120"/>
      <c r="Q2756" s="156">
        <v>250</v>
      </c>
    </row>
    <row r="2757" spans="1:18">
      <c r="A2757" s="119" t="s">
        <v>981</v>
      </c>
      <c r="B2757" s="119"/>
      <c r="C2757" s="29">
        <v>233500115</v>
      </c>
      <c r="D2757" s="29"/>
      <c r="E2757" s="29"/>
      <c r="F2757" s="29" t="s">
        <v>87</v>
      </c>
      <c r="G2757" s="29" t="s">
        <v>744</v>
      </c>
      <c r="H2757" s="29" t="s">
        <v>38</v>
      </c>
      <c r="I2757" s="120">
        <v>45890</v>
      </c>
      <c r="J2757" s="120">
        <f>WORKDAY(I2757, 3)</f>
        <v>45895</v>
      </c>
      <c r="K2757" s="120">
        <v>45921</v>
      </c>
      <c r="L2757" s="120"/>
      <c r="M2757" s="120"/>
      <c r="N2757" s="29"/>
      <c r="O2757" s="29" t="s">
        <v>884</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c r="A2759" s="134" t="s">
        <v>1344</v>
      </c>
      <c r="C2759" s="29">
        <v>259500665</v>
      </c>
      <c r="D2759" s="29"/>
      <c r="E2759" s="29"/>
      <c r="F2759" s="29" t="s">
        <v>87</v>
      </c>
      <c r="G2759" s="29" t="s">
        <v>744</v>
      </c>
      <c r="H2759" s="29" t="s">
        <v>38</v>
      </c>
      <c r="I2759" s="120">
        <v>45916</v>
      </c>
      <c r="J2759" s="120">
        <f>WORKDAY(I2759, 3)</f>
        <v>45919</v>
      </c>
      <c r="K2759" s="120">
        <v>45946</v>
      </c>
      <c r="L2759" s="120"/>
      <c r="M2759" s="120"/>
      <c r="N2759" s="29"/>
      <c r="O2759" s="29" t="s">
        <v>884</v>
      </c>
      <c r="P2759" s="120"/>
      <c r="Q2759" s="156">
        <v>75</v>
      </c>
    </row>
    <row r="2760" spans="1:18">
      <c r="A2760" s="134" t="s">
        <v>1072</v>
      </c>
      <c r="C2760" s="29">
        <v>239500135</v>
      </c>
      <c r="D2760" s="29">
        <v>209506587</v>
      </c>
      <c r="E2760" s="29"/>
      <c r="F2760" s="29" t="s">
        <v>87</v>
      </c>
      <c r="G2760" s="29" t="s">
        <v>744</v>
      </c>
      <c r="H2760" s="29" t="s">
        <v>38</v>
      </c>
      <c r="I2760" s="120">
        <v>45896</v>
      </c>
      <c r="J2760" s="120">
        <f>WORKDAY(I2760, 3)</f>
        <v>45901</v>
      </c>
      <c r="K2760" s="120">
        <v>45927</v>
      </c>
      <c r="L2760" s="120"/>
      <c r="M2760" s="120"/>
      <c r="N2760" s="29"/>
      <c r="O2760" s="29" t="s">
        <v>884</v>
      </c>
      <c r="P2760" s="120"/>
      <c r="Q2760" s="156">
        <v>1000</v>
      </c>
    </row>
    <row r="2761" spans="1:18">
      <c r="A2761" s="134" t="s">
        <v>1072</v>
      </c>
      <c r="C2761" s="29">
        <v>239500141</v>
      </c>
      <c r="D2761" s="29">
        <v>209506596</v>
      </c>
      <c r="E2761" s="29"/>
      <c r="F2761" s="29" t="s">
        <v>87</v>
      </c>
      <c r="G2761" s="29" t="s">
        <v>744</v>
      </c>
      <c r="H2761" s="29" t="s">
        <v>38</v>
      </c>
      <c r="I2761" s="120">
        <v>45896</v>
      </c>
      <c r="J2761" s="120">
        <f>WORKDAY(I2761, 3)</f>
        <v>45901</v>
      </c>
      <c r="K2761" s="120">
        <v>45927</v>
      </c>
      <c r="L2761" s="120"/>
      <c r="M2761" s="120"/>
      <c r="N2761" s="29"/>
      <c r="O2761" s="29" t="s">
        <v>884</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884</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884</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884</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884</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884</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744</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744</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744</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744</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744</v>
      </c>
      <c r="H2799" s="29" t="s">
        <v>38</v>
      </c>
      <c r="I2799" s="120">
        <v>45917</v>
      </c>
      <c r="J2799" s="120">
        <f>WORKDAY(I2799, 3)</f>
        <v>45922</v>
      </c>
      <c r="K2799" s="120">
        <v>45947</v>
      </c>
      <c r="L2799" s="120"/>
      <c r="M2799" s="120"/>
      <c r="N2799" s="29"/>
      <c r="O2799" s="29" t="s">
        <v>884</v>
      </c>
      <c r="P2799" s="29"/>
      <c r="Q2799" s="156">
        <v>150</v>
      </c>
    </row>
    <row r="2800" spans="1:18">
      <c r="A2800" s="134" t="s">
        <v>1353</v>
      </c>
      <c r="C2800" s="29">
        <v>260505920</v>
      </c>
      <c r="D2800" s="29"/>
      <c r="E2800" s="29"/>
      <c r="F2800" s="29" t="s">
        <v>87</v>
      </c>
      <c r="G2800" s="29" t="s">
        <v>744</v>
      </c>
      <c r="H2800" s="29" t="s">
        <v>38</v>
      </c>
      <c r="I2800" s="120">
        <v>45917</v>
      </c>
      <c r="J2800" s="120">
        <f>WORKDAY(I2800, 3)</f>
        <v>45922</v>
      </c>
      <c r="K2800" s="120">
        <v>45947</v>
      </c>
      <c r="L2800" s="120"/>
      <c r="M2800" s="120"/>
      <c r="N2800" s="29"/>
      <c r="O2800" s="29" t="s">
        <v>884</v>
      </c>
      <c r="P2800" s="29"/>
      <c r="Q2800" s="156">
        <v>400</v>
      </c>
    </row>
    <row r="2801" spans="1:18">
      <c r="A2801" s="134" t="s">
        <v>1353</v>
      </c>
      <c r="C2801" s="29">
        <v>260505975</v>
      </c>
      <c r="D2801" s="29"/>
      <c r="E2801" s="29"/>
      <c r="F2801" s="29" t="s">
        <v>87</v>
      </c>
      <c r="G2801" s="29" t="s">
        <v>744</v>
      </c>
      <c r="H2801" s="29" t="s">
        <v>38</v>
      </c>
      <c r="I2801" s="120">
        <v>45917</v>
      </c>
      <c r="J2801" s="120">
        <f>WORKDAY(I2801, 3)</f>
        <v>45922</v>
      </c>
      <c r="K2801" s="120">
        <v>45947</v>
      </c>
      <c r="L2801" s="120"/>
      <c r="M2801" s="120"/>
      <c r="N2801" s="29"/>
      <c r="O2801" s="29" t="s">
        <v>884</v>
      </c>
      <c r="P2801" s="29"/>
      <c r="Q2801" s="156">
        <v>75</v>
      </c>
    </row>
    <row r="2802" spans="1:18">
      <c r="A2802" s="134" t="s">
        <v>1353</v>
      </c>
      <c r="C2802" s="29">
        <v>260506029</v>
      </c>
      <c r="D2802" s="29"/>
      <c r="E2802" s="29"/>
      <c r="F2802" s="29" t="s">
        <v>87</v>
      </c>
      <c r="G2802" s="29" t="s">
        <v>744</v>
      </c>
      <c r="H2802" s="29" t="s">
        <v>38</v>
      </c>
      <c r="I2802" s="120">
        <v>45917</v>
      </c>
      <c r="J2802" s="120">
        <f>WORKDAY(I2802, 3)</f>
        <v>45922</v>
      </c>
      <c r="K2802" s="120">
        <v>45947</v>
      </c>
      <c r="L2802" s="120"/>
      <c r="M2802" s="120"/>
      <c r="N2802" s="29"/>
      <c r="O2802" s="29" t="s">
        <v>884</v>
      </c>
      <c r="P2802" s="29"/>
      <c r="Q2802" s="156">
        <v>460</v>
      </c>
    </row>
    <row r="2803" spans="1:18">
      <c r="A2803" s="134" t="s">
        <v>1353</v>
      </c>
      <c r="C2803" s="29">
        <v>260506075</v>
      </c>
      <c r="D2803" s="29"/>
      <c r="E2803" s="29"/>
      <c r="F2803" s="29" t="s">
        <v>87</v>
      </c>
      <c r="G2803" s="29" t="s">
        <v>744</v>
      </c>
      <c r="H2803" s="29" t="s">
        <v>38</v>
      </c>
      <c r="I2803" s="120">
        <v>45917</v>
      </c>
      <c r="J2803" s="120">
        <f>WORKDAY(I2803, 3)</f>
        <v>45922</v>
      </c>
      <c r="K2803" s="120">
        <v>45947</v>
      </c>
      <c r="L2803" s="120"/>
      <c r="M2803" s="120"/>
      <c r="N2803" s="29"/>
      <c r="O2803" s="29" t="s">
        <v>884</v>
      </c>
      <c r="P2803" s="29"/>
      <c r="Q2803" s="156">
        <v>60</v>
      </c>
    </row>
    <row r="2804" spans="1:18">
      <c r="A2804" s="134" t="s">
        <v>1353</v>
      </c>
      <c r="C2804" s="29">
        <v>260506162</v>
      </c>
      <c r="D2804" s="29"/>
      <c r="E2804" s="29"/>
      <c r="F2804" s="29" t="s">
        <v>87</v>
      </c>
      <c r="G2804" s="29" t="s">
        <v>744</v>
      </c>
      <c r="H2804" s="29" t="s">
        <v>38</v>
      </c>
      <c r="I2804" s="120">
        <v>45917</v>
      </c>
      <c r="J2804" s="120">
        <f>WORKDAY(I2804, 3)</f>
        <v>45922</v>
      </c>
      <c r="K2804" s="120">
        <v>45947</v>
      </c>
      <c r="L2804" s="120"/>
      <c r="M2804" s="120"/>
      <c r="N2804" s="29"/>
      <c r="O2804" s="29" t="s">
        <v>884</v>
      </c>
      <c r="P2804" s="29"/>
      <c r="Q2804" s="156">
        <v>440</v>
      </c>
    </row>
    <row r="2805" spans="1:18">
      <c r="A2805" s="134" t="s">
        <v>1353</v>
      </c>
      <c r="C2805" s="29">
        <v>261500148</v>
      </c>
      <c r="D2805" s="29"/>
      <c r="E2805" s="29"/>
      <c r="F2805" s="29" t="s">
        <v>87</v>
      </c>
      <c r="G2805" s="29" t="s">
        <v>744</v>
      </c>
      <c r="H2805" s="29" t="s">
        <v>38</v>
      </c>
      <c r="I2805" s="120">
        <v>45918</v>
      </c>
      <c r="J2805" s="120">
        <f>WORKDAY(I2805, 3)</f>
        <v>45923</v>
      </c>
      <c r="K2805" s="120">
        <v>45948</v>
      </c>
      <c r="L2805" s="120"/>
      <c r="M2805" s="120"/>
      <c r="N2805" s="29"/>
      <c r="O2805" s="29" t="s">
        <v>884</v>
      </c>
      <c r="P2805" s="29"/>
      <c r="Q2805" s="156">
        <v>75</v>
      </c>
    </row>
    <row r="2806" spans="1:18">
      <c r="A2806" s="134" t="s">
        <v>1353</v>
      </c>
      <c r="C2806" s="29">
        <v>261500153</v>
      </c>
      <c r="D2806" s="29"/>
      <c r="E2806" s="29"/>
      <c r="F2806" s="29" t="s">
        <v>87</v>
      </c>
      <c r="G2806" s="29" t="s">
        <v>744</v>
      </c>
      <c r="H2806" s="29" t="s">
        <v>38</v>
      </c>
      <c r="I2806" s="120">
        <v>45918</v>
      </c>
      <c r="J2806" s="120">
        <f>WORKDAY(I2806, 3)</f>
        <v>45923</v>
      </c>
      <c r="K2806" s="120">
        <v>45948</v>
      </c>
      <c r="L2806" s="120"/>
      <c r="M2806" s="120"/>
      <c r="N2806" s="29"/>
      <c r="O2806" s="29" t="s">
        <v>884</v>
      </c>
      <c r="P2806" s="29"/>
      <c r="Q2806" s="156">
        <v>95</v>
      </c>
    </row>
    <row r="2807" spans="1:18">
      <c r="A2807" s="134" t="s">
        <v>1353</v>
      </c>
      <c r="C2807" s="29">
        <v>261500157</v>
      </c>
      <c r="D2807" s="29"/>
      <c r="E2807" s="29"/>
      <c r="F2807" s="29" t="s">
        <v>87</v>
      </c>
      <c r="G2807" s="29" t="s">
        <v>744</v>
      </c>
      <c r="H2807" s="29" t="s">
        <v>38</v>
      </c>
      <c r="I2807" s="120">
        <v>45918</v>
      </c>
      <c r="J2807" s="120">
        <f>WORKDAY(I2807, 3)</f>
        <v>45923</v>
      </c>
      <c r="K2807" s="120">
        <v>45948</v>
      </c>
      <c r="L2807" s="120"/>
      <c r="M2807" s="120"/>
      <c r="N2807" s="29"/>
      <c r="O2807" s="29" t="s">
        <v>884</v>
      </c>
      <c r="P2807" s="29"/>
      <c r="Q2807" s="156" t="s">
        <v>1354</v>
      </c>
    </row>
    <row r="2808" spans="1:18">
      <c r="A2808" s="134" t="s">
        <v>1353</v>
      </c>
      <c r="C2808" s="29">
        <v>261500166</v>
      </c>
      <c r="D2808" s="29"/>
      <c r="E2808" s="29"/>
      <c r="F2808" s="29" t="s">
        <v>87</v>
      </c>
      <c r="G2808" s="29" t="s">
        <v>744</v>
      </c>
      <c r="H2808" s="29" t="s">
        <v>38</v>
      </c>
      <c r="I2808" s="120">
        <v>45918</v>
      </c>
      <c r="J2808" s="120">
        <f>WORKDAY(I2808, 3)</f>
        <v>45923</v>
      </c>
      <c r="K2808" s="120">
        <v>45948</v>
      </c>
      <c r="L2808" s="120"/>
      <c r="M2808" s="120"/>
      <c r="N2808" s="29"/>
      <c r="O2808" s="29" t="s">
        <v>884</v>
      </c>
      <c r="P2808" s="29"/>
      <c r="Q2808" s="156">
        <v>100</v>
      </c>
    </row>
    <row r="2809" spans="1:18">
      <c r="A2809" s="134" t="s">
        <v>1353</v>
      </c>
      <c r="C2809" s="29">
        <v>264500172</v>
      </c>
      <c r="D2809" s="29"/>
      <c r="E2809" s="29"/>
      <c r="F2809" s="29" t="s">
        <v>87</v>
      </c>
      <c r="G2809" s="29" t="s">
        <v>744</v>
      </c>
      <c r="H2809" s="29" t="s">
        <v>38</v>
      </c>
      <c r="I2809" s="120">
        <v>45918</v>
      </c>
      <c r="J2809" s="120">
        <f>WORKDAY(I2809, 3)</f>
        <v>45923</v>
      </c>
      <c r="K2809" s="120">
        <v>45948</v>
      </c>
      <c r="L2809" s="120"/>
      <c r="M2809" s="120"/>
      <c r="N2809" s="29"/>
      <c r="O2809" s="29" t="s">
        <v>884</v>
      </c>
      <c r="P2809" s="29"/>
      <c r="Q2809" s="156">
        <v>200</v>
      </c>
    </row>
    <row r="2810" spans="1:18">
      <c r="A2810" s="134" t="s">
        <v>1353</v>
      </c>
      <c r="C2810" s="29">
        <v>261500181</v>
      </c>
      <c r="D2810" s="29"/>
      <c r="E2810" s="29"/>
      <c r="F2810" s="29" t="s">
        <v>87</v>
      </c>
      <c r="G2810" s="29" t="s">
        <v>744</v>
      </c>
      <c r="H2810" s="29" t="s">
        <v>38</v>
      </c>
      <c r="I2810" s="120">
        <v>45918</v>
      </c>
      <c r="J2810" s="120">
        <f>WORKDAY(I2810, 3)</f>
        <v>45923</v>
      </c>
      <c r="K2810" s="120">
        <v>45948</v>
      </c>
      <c r="L2810" s="120"/>
      <c r="M2810" s="120"/>
      <c r="N2810" s="29"/>
      <c r="O2810" s="29" t="s">
        <v>884</v>
      </c>
      <c r="P2810" s="29"/>
      <c r="Q2810" s="156">
        <v>350</v>
      </c>
    </row>
    <row r="2811" spans="1:18">
      <c r="A2811" s="134" t="s">
        <v>1353</v>
      </c>
      <c r="C2811" s="29">
        <v>261500186</v>
      </c>
      <c r="D2811" s="29"/>
      <c r="E2811" s="29"/>
      <c r="F2811" s="29" t="s">
        <v>87</v>
      </c>
      <c r="G2811" s="29" t="s">
        <v>744</v>
      </c>
      <c r="H2811" s="29" t="s">
        <v>38</v>
      </c>
      <c r="I2811" s="120">
        <v>45918</v>
      </c>
      <c r="J2811" s="120">
        <f>WORKDAY(I2811, 3)</f>
        <v>45923</v>
      </c>
      <c r="K2811" s="120">
        <v>45948</v>
      </c>
      <c r="L2811" s="120"/>
      <c r="M2811" s="120"/>
      <c r="N2811" s="29"/>
      <c r="O2811" s="29" t="s">
        <v>884</v>
      </c>
      <c r="P2811" s="29"/>
      <c r="Q2811" s="156">
        <v>165</v>
      </c>
    </row>
    <row r="2812" spans="1:18">
      <c r="A2812" s="134" t="s">
        <v>1353</v>
      </c>
      <c r="C2812" s="29">
        <v>261500195</v>
      </c>
      <c r="D2812" s="29"/>
      <c r="E2812" s="29"/>
      <c r="F2812" s="29" t="s">
        <v>87</v>
      </c>
      <c r="G2812" s="29" t="s">
        <v>744</v>
      </c>
      <c r="H2812" s="29" t="s">
        <v>38</v>
      </c>
      <c r="I2812" s="120">
        <v>45918</v>
      </c>
      <c r="J2812" s="120">
        <f>WORKDAY(I2812, 3)</f>
        <v>45923</v>
      </c>
      <c r="K2812" s="120">
        <v>45948</v>
      </c>
      <c r="L2812" s="120"/>
      <c r="M2812" s="120"/>
      <c r="N2812" s="29"/>
      <c r="O2812" s="29" t="s">
        <v>884</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744</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744</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744</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884</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884</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884</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884</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884</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884</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884</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884</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884</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884</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884</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884</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884</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884</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884</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884</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884</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884</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884</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884</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884</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884</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884</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884</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884</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884</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884</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884</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884</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884</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884</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884</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884</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884</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884</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884</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884</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884</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884</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884</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884</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884</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884</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884</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884</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884</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884</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884</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884</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884</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884</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884</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884</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884</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884</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884</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884</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884</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884</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884</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884</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884</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884</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884</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884</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884</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884</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884</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884</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884</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884</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884</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884</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884</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884</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884</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884</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884</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884</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884</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884</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884</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884</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884</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884</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884</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884</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884</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884</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884</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884</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884</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884</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884</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884</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884</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884</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884</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884</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884</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884</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884</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884</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884</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884</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884</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884</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884</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c r="A3009" s="160" t="s">
        <v>1380</v>
      </c>
      <c r="B3009" s="160"/>
      <c r="C3009" s="88">
        <v>303507285</v>
      </c>
      <c r="D3009" s="29"/>
      <c r="E3009" s="29"/>
      <c r="F3009" s="29" t="s">
        <v>134</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134</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134</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134</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134</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134</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134</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884</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884</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884</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106</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106</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106</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106</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106</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106</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106</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106</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106</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106</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106</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106</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106</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106</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106</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106</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106</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106</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106</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106</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106</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106</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106</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106</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106</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744</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744</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744</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744</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744</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744</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744</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744</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744</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744</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744</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744</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106</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106</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106</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106</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106</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106</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106</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106</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106</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106</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106</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106</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106</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106</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106</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106</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106</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106</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106</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106</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106</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106</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106</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106</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106</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106</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106</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106</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106</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744</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744</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744</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744</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744</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744</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744</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744</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744</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744</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744</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153</v>
      </c>
      <c r="H3500" s="29" t="s">
        <v>431</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153</v>
      </c>
      <c r="H3501" s="29" t="s">
        <v>431</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153</v>
      </c>
      <c r="H3502" s="29" t="s">
        <v>431</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153</v>
      </c>
      <c r="H3503" s="29" t="s">
        <v>431</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106</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106</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106</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106</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106</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106</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106</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106</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106</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106</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106</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106</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106</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106</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106</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106</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106</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106</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106</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106</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106</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106</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106</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106</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106</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744</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744</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744</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744</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744</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744</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744</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744</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744</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744</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744</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744</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744</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744</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106</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106</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106</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106</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106</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106</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106</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106</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106</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106</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106</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106</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106</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106</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106</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106</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106</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106</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106</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106</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106</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106</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106</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106</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147</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147</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147</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147</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147</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147</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147</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147</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153</v>
      </c>
      <c r="H3576" s="29" t="s">
        <v>431</v>
      </c>
      <c r="I3576" s="29"/>
      <c r="J3576" s="29"/>
      <c r="K3576" s="29"/>
      <c r="L3576" s="29"/>
      <c r="M3576" s="29"/>
      <c r="N3576" s="29"/>
      <c r="O3576" s="29"/>
      <c r="P3576" s="29"/>
      <c r="Q3576" s="156"/>
    </row>
    <row r="3577" spans="1:17">
      <c r="A3577" s="160" t="s">
        <v>1510</v>
      </c>
      <c r="B3577" s="160"/>
      <c r="C3577" s="88">
        <v>349501580</v>
      </c>
      <c r="D3577" s="29"/>
      <c r="E3577" s="29"/>
      <c r="F3577" s="29"/>
      <c r="G3577" s="29" t="s">
        <v>153</v>
      </c>
      <c r="H3577" s="29" t="s">
        <v>431</v>
      </c>
      <c r="I3577" s="29"/>
      <c r="J3577" s="29"/>
      <c r="K3577" s="29"/>
      <c r="L3577" s="29"/>
      <c r="M3577" s="29"/>
      <c r="N3577" s="29"/>
      <c r="O3577" s="29"/>
      <c r="P3577" s="29"/>
      <c r="Q3577" s="156"/>
    </row>
    <row r="3578" spans="1:17">
      <c r="A3578" s="160" t="s">
        <v>1510</v>
      </c>
      <c r="B3578" s="160"/>
      <c r="C3578" s="88">
        <v>349501603</v>
      </c>
      <c r="D3578" s="29"/>
      <c r="E3578" s="29"/>
      <c r="F3578" s="29"/>
      <c r="G3578" s="29" t="s">
        <v>153</v>
      </c>
      <c r="H3578" s="29" t="s">
        <v>431</v>
      </c>
      <c r="I3578" s="29"/>
      <c r="J3578" s="29"/>
      <c r="K3578" s="29"/>
      <c r="L3578" s="29"/>
      <c r="M3578" s="29"/>
      <c r="N3578" s="29"/>
      <c r="O3578" s="29"/>
      <c r="P3578" s="29"/>
      <c r="Q3578" s="156"/>
    </row>
    <row r="3579" spans="1:17">
      <c r="A3579" s="160" t="s">
        <v>1511</v>
      </c>
      <c r="B3579" s="160"/>
      <c r="C3579" s="164" t="s">
        <v>1512</v>
      </c>
      <c r="D3579" s="29"/>
      <c r="E3579" s="29"/>
      <c r="F3579" s="29"/>
      <c r="G3579" s="29" t="s">
        <v>153</v>
      </c>
      <c r="H3579" s="29" t="s">
        <v>431</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153</v>
      </c>
      <c r="H3580" s="29" t="s">
        <v>431</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153</v>
      </c>
      <c r="H3581" s="29" t="s">
        <v>431</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153</v>
      </c>
      <c r="H3582" s="29" t="s">
        <v>431</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153</v>
      </c>
      <c r="H3583" s="29" t="s">
        <v>431</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153</v>
      </c>
      <c r="H3584" s="29" t="s">
        <v>431</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153</v>
      </c>
      <c r="H3585" s="29" t="s">
        <v>431</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153</v>
      </c>
      <c r="H3586" s="29" t="s">
        <v>431</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153</v>
      </c>
      <c r="H3587" s="29" t="s">
        <v>431</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431</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431</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431</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431</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431</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744</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232</v>
      </c>
      <c r="B3625" s="160"/>
      <c r="C3625" s="88" t="s">
        <v>1564</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744</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1615</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1616</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1617</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1618</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1619</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1620</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1621</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1622</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1623</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1624</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744</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106</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106</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744</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744</v>
      </c>
      <c r="H3772" s="29" t="s">
        <v>22</v>
      </c>
      <c r="I3772" s="120">
        <v>46071</v>
      </c>
      <c r="J3772" s="120">
        <v>46073</v>
      </c>
      <c r="K3772" s="120">
        <v>46101</v>
      </c>
      <c r="L3772" s="120"/>
      <c r="M3772" s="120"/>
      <c r="N3772" s="29"/>
      <c r="O3772" s="29" t="s">
        <v>9</v>
      </c>
      <c r="P3772" s="120"/>
      <c r="Q3772" s="156" t="s">
        <v>1729</v>
      </c>
    </row>
    <row r="3773" spans="1:18">
      <c r="A3773" s="160" t="s">
        <v>509</v>
      </c>
      <c r="B3773" s="160"/>
      <c r="C3773" s="88" t="s">
        <v>1730</v>
      </c>
      <c r="D3773" s="29"/>
      <c r="E3773" s="29"/>
      <c r="F3773" s="29" t="s">
        <v>59</v>
      </c>
      <c r="G3773" s="29" t="s">
        <v>744</v>
      </c>
      <c r="H3773" s="29" t="s">
        <v>22</v>
      </c>
      <c r="I3773" s="120">
        <v>46072</v>
      </c>
      <c r="J3773" s="120">
        <v>46076</v>
      </c>
      <c r="K3773" s="120">
        <v>46104</v>
      </c>
      <c r="L3773" s="120"/>
      <c r="M3773" s="120"/>
      <c r="N3773" s="29"/>
      <c r="O3773" s="29" t="s">
        <v>9</v>
      </c>
      <c r="P3773" s="120"/>
      <c r="Q3773" s="156" t="s">
        <v>1731</v>
      </c>
      <c r="R3773" s="134" t="s">
        <v>1732</v>
      </c>
    </row>
    <row r="3774" spans="1:18">
      <c r="A3774" s="160" t="s">
        <v>509</v>
      </c>
      <c r="B3774" s="160"/>
      <c r="C3774" s="88" t="s">
        <v>1733</v>
      </c>
      <c r="D3774" s="29"/>
      <c r="E3774" s="29"/>
      <c r="F3774" s="29" t="s">
        <v>59</v>
      </c>
      <c r="G3774" s="29" t="s">
        <v>744</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744</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744</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744</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744</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134</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134</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134</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884</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c r="A3848" s="160" t="s">
        <v>1817</v>
      </c>
      <c r="B3848" s="160"/>
      <c r="C3848" s="88">
        <v>300502769</v>
      </c>
      <c r="D3848" s="29"/>
      <c r="E3848" s="29"/>
      <c r="F3848" s="29" t="s">
        <v>87</v>
      </c>
      <c r="G3848" s="29" t="s">
        <v>744</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1845</v>
      </c>
      <c r="B3873" s="160"/>
      <c r="C3873" s="88" t="s">
        <v>1846</v>
      </c>
      <c r="D3873" s="29"/>
      <c r="E3873" s="29"/>
      <c r="F3873" s="29" t="s">
        <v>164</v>
      </c>
      <c r="G3873" s="29" t="s">
        <v>19</v>
      </c>
      <c r="H3873" s="29" t="s">
        <v>30</v>
      </c>
      <c r="I3873" s="120">
        <v>46097</v>
      </c>
      <c r="J3873" s="120">
        <v>46100</v>
      </c>
      <c r="K3873" s="120">
        <v>46127</v>
      </c>
      <c r="L3873" s="120"/>
      <c r="M3873" s="120"/>
      <c r="N3873" s="29"/>
      <c r="O3873" s="29" t="s">
        <v>884</v>
      </c>
      <c r="P3873" s="120"/>
      <c r="Q3873" s="156"/>
    </row>
    <row r="3874" spans="1:121">
      <c r="A3874" s="160" t="s">
        <v>1847</v>
      </c>
      <c r="B3874" s="160"/>
      <c r="C3874" s="88" t="s">
        <v>1848</v>
      </c>
      <c r="D3874" s="29"/>
      <c r="E3874" s="29"/>
      <c r="F3874" s="29" t="s">
        <v>164</v>
      </c>
      <c r="G3874" s="29" t="s">
        <v>19</v>
      </c>
      <c r="H3874" s="29" t="s">
        <v>30</v>
      </c>
      <c r="I3874" s="120">
        <v>46097</v>
      </c>
      <c r="J3874" s="120">
        <v>46100</v>
      </c>
      <c r="K3874" s="120">
        <v>46127</v>
      </c>
      <c r="L3874" s="120"/>
      <c r="M3874" s="120"/>
      <c r="N3874" s="29"/>
      <c r="O3874" s="29" t="s">
        <v>884</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1868</v>
      </c>
      <c r="G3886" s="3" t="s">
        <v>106</v>
      </c>
      <c r="H3886" s="3" t="s">
        <v>135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1869</v>
      </c>
      <c r="G3887" s="3" t="s">
        <v>106</v>
      </c>
      <c r="H3887" s="3" t="s">
        <v>135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1870</v>
      </c>
      <c r="G3888" s="3" t="s">
        <v>106</v>
      </c>
      <c r="H3888" s="3" t="s">
        <v>135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1871</v>
      </c>
      <c r="G3889" s="3" t="s">
        <v>106</v>
      </c>
      <c r="H3889" s="3" t="s">
        <v>135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1901</v>
      </c>
      <c r="B3950" s="171"/>
      <c r="C3950" s="88">
        <v>121606970</v>
      </c>
      <c r="D3950" s="29"/>
      <c r="E3950" s="29"/>
      <c r="F3950" s="29" t="s">
        <v>164</v>
      </c>
      <c r="G3950" s="3" t="s">
        <v>1902</v>
      </c>
      <c r="H3950" s="3" t="s">
        <v>30</v>
      </c>
      <c r="I3950" s="55">
        <v>46143</v>
      </c>
      <c r="J3950" s="55">
        <v>46147</v>
      </c>
      <c r="K3950" s="55">
        <v>46174</v>
      </c>
      <c r="L3950" s="55"/>
      <c r="M3950" s="55"/>
      <c r="N3950" s="3"/>
      <c r="O3950" s="64" t="s">
        <v>10</v>
      </c>
      <c r="P3950" s="55"/>
      <c r="Q3950" s="167"/>
      <c r="R3950" s="1"/>
    </row>
    <row r="3951" spans="1:121">
      <c r="A3951" s="171" t="s">
        <v>1903</v>
      </c>
      <c r="B3951" s="171"/>
      <c r="C3951" s="88">
        <v>125602834</v>
      </c>
      <c r="D3951" s="29"/>
      <c r="E3951" s="29"/>
      <c r="F3951" s="29" t="s">
        <v>59</v>
      </c>
      <c r="G3951" s="3" t="s">
        <v>1902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1904</v>
      </c>
      <c r="B3952" s="171"/>
      <c r="C3952" s="88">
        <v>122600393</v>
      </c>
      <c r="D3952" s="29"/>
      <c r="E3952" s="29"/>
      <c r="F3952" s="29" t="s">
        <v>183</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1904</v>
      </c>
      <c r="B3953" s="171"/>
      <c r="C3953" s="88">
        <v>122600399</v>
      </c>
      <c r="D3953" s="29"/>
      <c r="E3953" s="29"/>
      <c r="F3953" s="29" t="s">
        <v>183</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1904</v>
      </c>
      <c r="B3954" s="171"/>
      <c r="C3954" s="88">
        <v>122600415</v>
      </c>
      <c r="D3954" s="29"/>
      <c r="E3954" s="29"/>
      <c r="F3954" s="29" t="s">
        <v>183</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1904</v>
      </c>
      <c r="B3955" s="171"/>
      <c r="C3955" s="88">
        <v>122600429</v>
      </c>
      <c r="D3955" s="29"/>
      <c r="E3955" s="29"/>
      <c r="F3955" s="29" t="s">
        <v>183</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1904</v>
      </c>
      <c r="B3956" s="171"/>
      <c r="C3956" s="88">
        <v>122600433</v>
      </c>
      <c r="D3956" s="29"/>
      <c r="E3956" s="29"/>
      <c r="F3956" s="29" t="s">
        <v>183</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1905</v>
      </c>
      <c r="B3957" s="171"/>
      <c r="C3957" s="88">
        <v>126606406</v>
      </c>
      <c r="D3957" s="29"/>
      <c r="E3957" s="29"/>
      <c r="F3957" s="29" t="s">
        <v>1906</v>
      </c>
      <c r="G3957" s="3" t="s">
        <v>106</v>
      </c>
      <c r="H3957" s="3" t="s">
        <v>1907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1905</v>
      </c>
      <c r="B3958" s="171"/>
      <c r="C3958" s="88">
        <v>126606421</v>
      </c>
      <c r="D3958" s="29"/>
      <c r="E3958" s="29"/>
      <c r="F3958" s="29" t="s">
        <v>1906</v>
      </c>
      <c r="G3958" s="3" t="s">
        <v>106</v>
      </c>
      <c r="H3958" s="3" t="s">
        <v>1907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1905</v>
      </c>
      <c r="B3959" s="171"/>
      <c r="C3959" s="88">
        <v>126606439</v>
      </c>
      <c r="D3959" s="29"/>
      <c r="E3959" s="29"/>
      <c r="F3959" s="29" t="s">
        <v>1906</v>
      </c>
      <c r="G3959" s="3" t="s">
        <v>106</v>
      </c>
      <c r="H3959" s="3" t="s">
        <v>1907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1905</v>
      </c>
      <c r="B3960" s="171"/>
      <c r="C3960" s="88">
        <v>126606457</v>
      </c>
      <c r="D3960" s="29"/>
      <c r="E3960" s="29"/>
      <c r="F3960" s="29" t="s">
        <v>1906</v>
      </c>
      <c r="G3960" s="3" t="s">
        <v>106</v>
      </c>
      <c r="H3960" s="3" t="s">
        <v>1907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1905</v>
      </c>
      <c r="B3961" s="171"/>
      <c r="C3961" s="88">
        <v>126606473</v>
      </c>
      <c r="D3961" s="29"/>
      <c r="E3961" s="29"/>
      <c r="F3961" s="29" t="s">
        <v>1906</v>
      </c>
      <c r="G3961" s="3" t="s">
        <v>106</v>
      </c>
      <c r="H3961" s="3" t="s">
        <v>1907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1908</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1908</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1908</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1909</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1909</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1909</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1909</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1909</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1909</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1909</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1909</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1909</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1909</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1909</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1910</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1910</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1910</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1910</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1910</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1910</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1910</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1910</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1910</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1910</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1911</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1911</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1911</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1911</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1911</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1911</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1911</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1912</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1915</v>
      </c>
      <c r="B3997" s="173"/>
      <c r="C3997" s="88">
        <v>122600510</v>
      </c>
      <c r="D3997" s="29"/>
      <c r="E3997" s="29"/>
      <c r="F3997" s="29" t="s">
        <v>183</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1915</v>
      </c>
      <c r="B3998" s="173"/>
      <c r="C3998" s="88">
        <v>122600512</v>
      </c>
      <c r="D3998" s="29"/>
      <c r="E3998" s="29"/>
      <c r="F3998" s="29" t="s">
        <v>183</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1915</v>
      </c>
      <c r="B3999" s="173"/>
      <c r="C3999" s="88">
        <v>122600514</v>
      </c>
      <c r="D3999" s="29"/>
      <c r="E3999" s="29"/>
      <c r="F3999" s="29" t="s">
        <v>183</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1915</v>
      </c>
      <c r="B4000" s="173"/>
      <c r="C4000" s="88">
        <v>122600515</v>
      </c>
      <c r="D4000" s="29"/>
      <c r="E4000" s="29"/>
      <c r="F4000" s="29" t="s">
        <v>183</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1915</v>
      </c>
      <c r="B4001" s="173"/>
      <c r="C4001" s="88">
        <v>122600518</v>
      </c>
      <c r="D4001" s="29"/>
      <c r="E4001" s="29"/>
      <c r="F4001" s="29" t="s">
        <v>183</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1915</v>
      </c>
      <c r="B4002" s="173"/>
      <c r="C4002" s="88">
        <v>122600529</v>
      </c>
      <c r="D4002" s="29"/>
      <c r="E4002" s="29"/>
      <c r="F4002" s="29" t="s">
        <v>183</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1915</v>
      </c>
      <c r="B4003" s="173"/>
      <c r="C4003" s="88">
        <v>122600530</v>
      </c>
      <c r="D4003" s="29"/>
      <c r="E4003" s="29"/>
      <c r="F4003" s="29" t="s">
        <v>183</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1917</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1917</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1917</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1918</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1918</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1918</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1919</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5">
        <v>124605013</v>
      </c>
      <c r="D4105" s="29"/>
      <c r="E4105" s="29"/>
      <c r="F4105" s="29" t="s">
        <v>59</v>
      </c>
      <c r="G4105" s="3" t="s">
        <v>64</v>
      </c>
      <c r="H4105" s="3" t="s">
        <v>30</v>
      </c>
      <c r="I4105" s="55">
        <v>46146</v>
      </c>
      <c r="J4105" s="55">
        <v>46149</v>
      </c>
      <c r="K4105" s="3" t="s">
        <v>1929</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5">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1401</v>
      </c>
      <c r="G4118" s="3" t="s">
        <v>106</v>
      </c>
      <c r="H4118" s="3" t="s">
        <v>29</v>
      </c>
      <c r="I4118" s="55">
        <v>46126</v>
      </c>
      <c r="J4118" s="55">
        <v>46129</v>
      </c>
      <c r="K4118" s="55">
        <v>46156</v>
      </c>
      <c r="L4118" s="55"/>
      <c r="M4118" s="55"/>
      <c r="N4118" s="3"/>
      <c r="O4118" s="3" t="s">
        <v>10</v>
      </c>
      <c r="P4118" s="55">
        <v>46185</v>
      </c>
      <c r="Q4118" s="167"/>
      <c r="R4118" s="1" t="s">
        <v>1935</v>
      </c>
    </row>
    <row r="4119" spans="1:121">
      <c r="A4119" s="166" t="s">
        <v>179</v>
      </c>
      <c r="B4119" s="173" t="s">
        <v>180</v>
      </c>
      <c r="C4119" s="195">
        <v>104610075</v>
      </c>
      <c r="D4119" s="168">
        <v>134609284</v>
      </c>
      <c r="E4119" s="29"/>
      <c r="F4119" s="29" t="s">
        <v>1401</v>
      </c>
      <c r="G4119" s="3" t="s">
        <v>106</v>
      </c>
      <c r="H4119" s="3" t="s">
        <v>29</v>
      </c>
      <c r="I4119" s="55">
        <v>46126</v>
      </c>
      <c r="J4119" s="55">
        <v>46129</v>
      </c>
      <c r="K4119" s="55">
        <v>46156</v>
      </c>
      <c r="L4119" s="55"/>
      <c r="M4119" s="55"/>
      <c r="N4119" s="3"/>
      <c r="O4119" s="3" t="s">
        <v>10</v>
      </c>
      <c r="P4119" s="55">
        <v>46185</v>
      </c>
      <c r="Q4119" s="167"/>
      <c r="R4119" s="1" t="s">
        <v>1935</v>
      </c>
    </row>
    <row r="4120" spans="1:121">
      <c r="A4120" s="166" t="s">
        <v>179</v>
      </c>
      <c r="B4120" s="173" t="s">
        <v>180</v>
      </c>
      <c r="C4120" s="195">
        <v>104610080</v>
      </c>
      <c r="D4120" s="168">
        <v>134609285</v>
      </c>
      <c r="E4120" s="29"/>
      <c r="F4120" s="29" t="s">
        <v>1401</v>
      </c>
      <c r="G4120" s="3" t="s">
        <v>106</v>
      </c>
      <c r="H4120" s="3" t="s">
        <v>29</v>
      </c>
      <c r="I4120" s="55">
        <v>46126</v>
      </c>
      <c r="J4120" s="55">
        <v>46129</v>
      </c>
      <c r="K4120" s="55">
        <v>46156</v>
      </c>
      <c r="L4120" s="55"/>
      <c r="M4120" s="55"/>
      <c r="N4120" s="3"/>
      <c r="O4120" s="3" t="s">
        <v>10</v>
      </c>
      <c r="P4120" s="55">
        <v>46185</v>
      </c>
      <c r="Q4120" s="167"/>
      <c r="R4120" s="1" t="s">
        <v>1935</v>
      </c>
    </row>
    <row r="4121" spans="1:121">
      <c r="A4121" s="166" t="s">
        <v>179</v>
      </c>
      <c r="B4121" s="173" t="s">
        <v>180</v>
      </c>
      <c r="C4121" s="195">
        <v>104610092</v>
      </c>
      <c r="D4121" s="168">
        <v>134609288</v>
      </c>
      <c r="E4121" s="29"/>
      <c r="F4121" s="29" t="s">
        <v>1401</v>
      </c>
      <c r="G4121" s="3" t="s">
        <v>106</v>
      </c>
      <c r="H4121" s="3" t="s">
        <v>29</v>
      </c>
      <c r="I4121" s="55">
        <v>46126</v>
      </c>
      <c r="J4121" s="55">
        <v>46129</v>
      </c>
      <c r="K4121" s="55">
        <v>46156</v>
      </c>
      <c r="L4121" s="55"/>
      <c r="M4121" s="55"/>
      <c r="N4121" s="3"/>
      <c r="O4121" s="3" t="s">
        <v>10</v>
      </c>
      <c r="P4121" s="55">
        <v>46185</v>
      </c>
      <c r="Q4121" s="167"/>
      <c r="R4121" s="1" t="s">
        <v>1935</v>
      </c>
    </row>
    <row r="4122" spans="1:121">
      <c r="A4122" s="166" t="s">
        <v>179</v>
      </c>
      <c r="B4122" s="173" t="s">
        <v>180</v>
      </c>
      <c r="C4122" s="195">
        <v>104610098</v>
      </c>
      <c r="D4122" s="168">
        <v>134609290</v>
      </c>
      <c r="E4122" s="29"/>
      <c r="F4122" s="29" t="s">
        <v>1401</v>
      </c>
      <c r="G4122" s="3" t="s">
        <v>106</v>
      </c>
      <c r="H4122" s="3" t="s">
        <v>29</v>
      </c>
      <c r="I4122" s="55">
        <v>46126</v>
      </c>
      <c r="J4122" s="55">
        <v>46129</v>
      </c>
      <c r="K4122" s="55">
        <v>46156</v>
      </c>
      <c r="L4122" s="55"/>
      <c r="M4122" s="55"/>
      <c r="N4122" s="3"/>
      <c r="O4122" s="3" t="s">
        <v>10</v>
      </c>
      <c r="P4122" s="55">
        <v>46185</v>
      </c>
      <c r="Q4122" s="167"/>
      <c r="R4122" s="1" t="s">
        <v>1935</v>
      </c>
    </row>
    <row r="4123" spans="1:121">
      <c r="A4123" s="166" t="s">
        <v>179</v>
      </c>
      <c r="B4123" s="173" t="s">
        <v>180</v>
      </c>
      <c r="C4123" s="195">
        <v>104610100</v>
      </c>
      <c r="D4123" s="168">
        <v>134609292</v>
      </c>
      <c r="E4123" s="29"/>
      <c r="F4123" s="29" t="s">
        <v>1401</v>
      </c>
      <c r="G4123" s="3" t="s">
        <v>106</v>
      </c>
      <c r="H4123" s="3" t="s">
        <v>29</v>
      </c>
      <c r="I4123" s="55">
        <v>46126</v>
      </c>
      <c r="J4123" s="55">
        <v>46129</v>
      </c>
      <c r="K4123" s="55">
        <v>46156</v>
      </c>
      <c r="L4123" s="55"/>
      <c r="M4123" s="55"/>
      <c r="N4123" s="3"/>
      <c r="O4123" s="3" t="s">
        <v>10</v>
      </c>
      <c r="P4123" s="55">
        <v>46185</v>
      </c>
      <c r="Q4123" s="167"/>
      <c r="R4123" s="1" t="s">
        <v>1935</v>
      </c>
    </row>
    <row r="4124" spans="1:121">
      <c r="A4124" s="166" t="s">
        <v>179</v>
      </c>
      <c r="B4124" s="173" t="s">
        <v>180</v>
      </c>
      <c r="C4124" s="195">
        <v>104610107</v>
      </c>
      <c r="D4124" s="168">
        <v>134609293</v>
      </c>
      <c r="E4124" s="29"/>
      <c r="F4124" s="29" t="s">
        <v>1401</v>
      </c>
      <c r="G4124" s="3" t="s">
        <v>106</v>
      </c>
      <c r="H4124" s="3" t="s">
        <v>29</v>
      </c>
      <c r="I4124" s="55">
        <v>46126</v>
      </c>
      <c r="J4124" s="55">
        <v>46129</v>
      </c>
      <c r="K4124" s="55">
        <v>46156</v>
      </c>
      <c r="L4124" s="55"/>
      <c r="M4124" s="55"/>
      <c r="N4124" s="3"/>
      <c r="O4124" s="3" t="s">
        <v>10</v>
      </c>
      <c r="P4124" s="55">
        <v>46174</v>
      </c>
      <c r="Q4124" s="167"/>
      <c r="R4124" s="1" t="s">
        <v>1935</v>
      </c>
    </row>
    <row r="4125" spans="1:121">
      <c r="A4125" s="166" t="s">
        <v>179</v>
      </c>
      <c r="B4125" s="173" t="s">
        <v>180</v>
      </c>
      <c r="C4125" s="195">
        <v>104610123</v>
      </c>
      <c r="D4125" s="168">
        <v>134609294</v>
      </c>
      <c r="E4125" s="29"/>
      <c r="F4125" s="29" t="s">
        <v>1401</v>
      </c>
      <c r="G4125" s="3" t="s">
        <v>106</v>
      </c>
      <c r="H4125" s="3" t="s">
        <v>29</v>
      </c>
      <c r="I4125" s="55">
        <v>46126</v>
      </c>
      <c r="J4125" s="55">
        <v>46129</v>
      </c>
      <c r="K4125" s="55">
        <v>46156</v>
      </c>
      <c r="L4125" s="55"/>
      <c r="M4125" s="55"/>
      <c r="N4125" s="3"/>
      <c r="O4125" s="3" t="s">
        <v>10</v>
      </c>
      <c r="P4125" s="55">
        <v>46174</v>
      </c>
      <c r="Q4125" s="167"/>
      <c r="R4125" s="1" t="s">
        <v>1935</v>
      </c>
    </row>
    <row r="4126" spans="1:121">
      <c r="A4126" s="166" t="s">
        <v>179</v>
      </c>
      <c r="B4126" s="173" t="s">
        <v>180</v>
      </c>
      <c r="C4126" s="195">
        <v>104610138</v>
      </c>
      <c r="D4126" s="168">
        <v>134609295</v>
      </c>
      <c r="E4126" s="29"/>
      <c r="F4126" s="29" t="s">
        <v>1401</v>
      </c>
      <c r="G4126" s="3" t="s">
        <v>106</v>
      </c>
      <c r="H4126" s="3" t="s">
        <v>29</v>
      </c>
      <c r="I4126" s="55">
        <v>46126</v>
      </c>
      <c r="J4126" s="55">
        <v>46129</v>
      </c>
      <c r="K4126" s="55">
        <v>46156</v>
      </c>
      <c r="L4126" s="55"/>
      <c r="M4126" s="55"/>
      <c r="N4126" s="3"/>
      <c r="O4126" s="3" t="s">
        <v>10</v>
      </c>
      <c r="P4126" s="55">
        <v>46174</v>
      </c>
      <c r="Q4126" s="167"/>
      <c r="R4126" s="1" t="s">
        <v>1935</v>
      </c>
    </row>
    <row r="4127" spans="1:121">
      <c r="A4127" s="166" t="s">
        <v>179</v>
      </c>
      <c r="B4127" s="173" t="s">
        <v>180</v>
      </c>
      <c r="C4127" s="195">
        <v>104610144</v>
      </c>
      <c r="D4127" s="168">
        <v>134609296</v>
      </c>
      <c r="E4127" s="29"/>
      <c r="F4127" s="29" t="s">
        <v>1401</v>
      </c>
      <c r="G4127" s="3" t="s">
        <v>106</v>
      </c>
      <c r="H4127" s="3" t="s">
        <v>29</v>
      </c>
      <c r="I4127" s="55">
        <v>46126</v>
      </c>
      <c r="J4127" s="55">
        <v>46129</v>
      </c>
      <c r="K4127" s="55">
        <v>46156</v>
      </c>
      <c r="L4127" s="55"/>
      <c r="M4127" s="55"/>
      <c r="N4127" s="3"/>
      <c r="O4127" s="3" t="s">
        <v>10</v>
      </c>
      <c r="P4127" s="55">
        <v>46174</v>
      </c>
      <c r="Q4127" s="167"/>
      <c r="R4127" s="1" t="s">
        <v>1935</v>
      </c>
    </row>
    <row r="4128" spans="1:121">
      <c r="A4128" s="166" t="s">
        <v>179</v>
      </c>
      <c r="B4128" s="173" t="s">
        <v>180</v>
      </c>
      <c r="C4128" s="195">
        <v>104610148</v>
      </c>
      <c r="D4128" s="168">
        <v>134609298</v>
      </c>
      <c r="E4128" s="29"/>
      <c r="F4128" s="29" t="s">
        <v>1401</v>
      </c>
      <c r="G4128" s="3" t="s">
        <v>106</v>
      </c>
      <c r="H4128" s="3" t="s">
        <v>29</v>
      </c>
      <c r="I4128" s="55">
        <v>46126</v>
      </c>
      <c r="J4128" s="55">
        <v>46129</v>
      </c>
      <c r="K4128" s="55">
        <v>46156</v>
      </c>
      <c r="L4128" s="55"/>
      <c r="M4128" s="55"/>
      <c r="N4128" s="3"/>
      <c r="O4128" s="3" t="s">
        <v>10</v>
      </c>
      <c r="P4128" s="55">
        <v>46174</v>
      </c>
      <c r="Q4128" s="167"/>
      <c r="R4128" s="1" t="s">
        <v>1935</v>
      </c>
    </row>
    <row r="4129" spans="1:18">
      <c r="A4129" s="166" t="s">
        <v>179</v>
      </c>
      <c r="B4129" s="173" t="s">
        <v>180</v>
      </c>
      <c r="C4129" s="195">
        <v>104610154</v>
      </c>
      <c r="D4129" s="168">
        <v>134609299</v>
      </c>
      <c r="E4129" s="29"/>
      <c r="F4129" s="29" t="s">
        <v>1401</v>
      </c>
      <c r="G4129" s="3" t="s">
        <v>106</v>
      </c>
      <c r="H4129" s="3" t="s">
        <v>29</v>
      </c>
      <c r="I4129" s="55">
        <v>46126</v>
      </c>
      <c r="J4129" s="55">
        <v>46129</v>
      </c>
      <c r="K4129" s="55">
        <v>46156</v>
      </c>
      <c r="L4129" s="55"/>
      <c r="M4129" s="55"/>
      <c r="N4129" s="3"/>
      <c r="O4129" s="3" t="s">
        <v>9</v>
      </c>
      <c r="P4129" s="3"/>
      <c r="Q4129" s="167"/>
      <c r="R4129" s="1" t="s">
        <v>1935</v>
      </c>
    </row>
    <row r="4130" spans="1:18">
      <c r="A4130" s="166" t="s">
        <v>179</v>
      </c>
      <c r="B4130" s="173" t="s">
        <v>180</v>
      </c>
      <c r="C4130" s="195">
        <v>104610160</v>
      </c>
      <c r="D4130" s="168">
        <v>134609300</v>
      </c>
      <c r="E4130" s="29"/>
      <c r="F4130" s="29" t="s">
        <v>1401</v>
      </c>
      <c r="G4130" s="3" t="s">
        <v>106</v>
      </c>
      <c r="H4130" s="3" t="s">
        <v>29</v>
      </c>
      <c r="I4130" s="55">
        <v>46126</v>
      </c>
      <c r="J4130" s="55">
        <v>46129</v>
      </c>
      <c r="K4130" s="55">
        <v>46156</v>
      </c>
      <c r="L4130" s="55"/>
      <c r="M4130" s="55"/>
      <c r="N4130" s="3"/>
      <c r="O4130" s="3" t="s">
        <v>9</v>
      </c>
      <c r="P4130" s="3"/>
      <c r="Q4130" s="167"/>
      <c r="R4130" s="1" t="s">
        <v>1935</v>
      </c>
    </row>
    <row r="4131" spans="1:18">
      <c r="A4131" s="166" t="s">
        <v>179</v>
      </c>
      <c r="B4131" s="173" t="s">
        <v>180</v>
      </c>
      <c r="C4131" s="195">
        <v>104610171</v>
      </c>
      <c r="D4131" s="168">
        <v>134609303</v>
      </c>
      <c r="E4131" s="29"/>
      <c r="F4131" s="29" t="s">
        <v>1401</v>
      </c>
      <c r="G4131" s="3" t="s">
        <v>106</v>
      </c>
      <c r="H4131" s="3" t="s">
        <v>29</v>
      </c>
      <c r="I4131" s="55">
        <v>46126</v>
      </c>
      <c r="J4131" s="55">
        <v>46129</v>
      </c>
      <c r="K4131" s="55">
        <v>46156</v>
      </c>
      <c r="L4131" s="55"/>
      <c r="M4131" s="55"/>
      <c r="N4131" s="3"/>
      <c r="O4131" s="3" t="s">
        <v>9</v>
      </c>
      <c r="P4131" s="3"/>
      <c r="Q4131" s="167"/>
      <c r="R4131" s="1" t="s">
        <v>1935</v>
      </c>
    </row>
    <row r="4132" spans="1:18">
      <c r="A4132" s="166" t="s">
        <v>179</v>
      </c>
      <c r="B4132" s="173" t="s">
        <v>180</v>
      </c>
      <c r="C4132" s="195">
        <v>104610177</v>
      </c>
      <c r="D4132" s="168">
        <v>134609306</v>
      </c>
      <c r="E4132" s="29"/>
      <c r="F4132" s="29" t="s">
        <v>1401</v>
      </c>
      <c r="G4132" s="3" t="s">
        <v>106</v>
      </c>
      <c r="H4132" s="3" t="s">
        <v>29</v>
      </c>
      <c r="I4132" s="55">
        <v>46126</v>
      </c>
      <c r="J4132" s="55">
        <v>46129</v>
      </c>
      <c r="K4132" s="55">
        <v>46156</v>
      </c>
      <c r="L4132" s="55"/>
      <c r="M4132" s="55"/>
      <c r="N4132" s="3"/>
      <c r="O4132" s="3" t="s">
        <v>10</v>
      </c>
      <c r="P4132" s="55">
        <v>46174</v>
      </c>
      <c r="Q4132" s="167"/>
      <c r="R4132" s="1" t="s">
        <v>1935</v>
      </c>
    </row>
    <row r="4133" spans="1:18">
      <c r="A4133" s="166" t="s">
        <v>179</v>
      </c>
      <c r="B4133" s="173" t="s">
        <v>180</v>
      </c>
      <c r="C4133" s="195">
        <v>104610186</v>
      </c>
      <c r="D4133" s="168">
        <v>134609307</v>
      </c>
      <c r="E4133" s="29"/>
      <c r="F4133" s="29" t="s">
        <v>1401</v>
      </c>
      <c r="G4133" s="3" t="s">
        <v>106</v>
      </c>
      <c r="H4133" s="3" t="s">
        <v>29</v>
      </c>
      <c r="I4133" s="55">
        <v>46126</v>
      </c>
      <c r="J4133" s="55">
        <v>46129</v>
      </c>
      <c r="K4133" s="55">
        <v>46156</v>
      </c>
      <c r="L4133" s="55"/>
      <c r="M4133" s="55"/>
      <c r="N4133" s="3"/>
      <c r="O4133" s="3" t="s">
        <v>9</v>
      </c>
      <c r="P4133" s="3"/>
      <c r="Q4133" s="167"/>
      <c r="R4133" s="1" t="s">
        <v>1935</v>
      </c>
    </row>
    <row r="4134" spans="1:18">
      <c r="A4134" s="166" t="s">
        <v>179</v>
      </c>
      <c r="B4134" s="173" t="s">
        <v>180</v>
      </c>
      <c r="C4134" s="195">
        <v>104610188</v>
      </c>
      <c r="D4134" s="168">
        <v>134609308</v>
      </c>
      <c r="E4134" s="29"/>
      <c r="F4134" s="29" t="s">
        <v>1401</v>
      </c>
      <c r="G4134" s="3" t="s">
        <v>106</v>
      </c>
      <c r="H4134" s="3" t="s">
        <v>29</v>
      </c>
      <c r="I4134" s="55">
        <v>46126</v>
      </c>
      <c r="J4134" s="55">
        <v>46129</v>
      </c>
      <c r="K4134" s="55">
        <v>46156</v>
      </c>
      <c r="L4134" s="55"/>
      <c r="M4134" s="55"/>
      <c r="N4134" s="3"/>
      <c r="O4134" s="3" t="s">
        <v>9</v>
      </c>
      <c r="P4134" s="3"/>
      <c r="Q4134" s="167"/>
      <c r="R4134" s="1" t="s">
        <v>1935</v>
      </c>
    </row>
    <row r="4135" spans="1:18">
      <c r="A4135" s="166" t="s">
        <v>179</v>
      </c>
      <c r="B4135" s="173" t="s">
        <v>180</v>
      </c>
      <c r="C4135" s="195">
        <v>104610195</v>
      </c>
      <c r="D4135" s="168">
        <v>134609310</v>
      </c>
      <c r="E4135" s="29"/>
      <c r="F4135" s="29" t="s">
        <v>1401</v>
      </c>
      <c r="G4135" s="3" t="s">
        <v>106</v>
      </c>
      <c r="H4135" s="3" t="s">
        <v>29</v>
      </c>
      <c r="I4135" s="55">
        <v>46126</v>
      </c>
      <c r="J4135" s="55">
        <v>46129</v>
      </c>
      <c r="K4135" s="55">
        <v>46156</v>
      </c>
      <c r="L4135" s="55"/>
      <c r="M4135" s="55"/>
      <c r="N4135" s="3"/>
      <c r="O4135" s="3" t="s">
        <v>9</v>
      </c>
      <c r="P4135" s="3"/>
      <c r="Q4135" s="167"/>
      <c r="R4135" s="1" t="s">
        <v>1935</v>
      </c>
    </row>
    <row r="4136" spans="1:18">
      <c r="A4136" s="166" t="s">
        <v>179</v>
      </c>
      <c r="B4136" s="173" t="s">
        <v>180</v>
      </c>
      <c r="C4136" s="195">
        <v>104610201</v>
      </c>
      <c r="D4136" s="168">
        <v>134609311</v>
      </c>
      <c r="E4136" s="29"/>
      <c r="F4136" s="29" t="s">
        <v>1401</v>
      </c>
      <c r="G4136" s="3" t="s">
        <v>106</v>
      </c>
      <c r="H4136" s="3" t="s">
        <v>29</v>
      </c>
      <c r="I4136" s="55">
        <v>46126</v>
      </c>
      <c r="J4136" s="55">
        <v>46129</v>
      </c>
      <c r="K4136" s="55">
        <v>46156</v>
      </c>
      <c r="L4136" s="55"/>
      <c r="M4136" s="55"/>
      <c r="N4136" s="3"/>
      <c r="O4136" s="3" t="s">
        <v>9</v>
      </c>
      <c r="P4136" s="3"/>
      <c r="Q4136" s="167"/>
      <c r="R4136" s="1" t="s">
        <v>1935</v>
      </c>
    </row>
    <row r="4137" spans="1:18">
      <c r="A4137" s="166" t="s">
        <v>179</v>
      </c>
      <c r="B4137" s="173" t="s">
        <v>180</v>
      </c>
      <c r="C4137" s="195">
        <v>104610204</v>
      </c>
      <c r="D4137" s="168">
        <v>134609312</v>
      </c>
      <c r="E4137" s="29"/>
      <c r="F4137" s="29" t="s">
        <v>1401</v>
      </c>
      <c r="G4137" s="3" t="s">
        <v>106</v>
      </c>
      <c r="H4137" s="3" t="s">
        <v>29</v>
      </c>
      <c r="I4137" s="55">
        <v>46126</v>
      </c>
      <c r="J4137" s="55">
        <v>46129</v>
      </c>
      <c r="K4137" s="55">
        <v>46156</v>
      </c>
      <c r="L4137" s="55"/>
      <c r="M4137" s="55"/>
      <c r="N4137" s="3"/>
      <c r="O4137" s="3" t="s">
        <v>9</v>
      </c>
      <c r="P4137" s="3"/>
      <c r="Q4137" s="167"/>
      <c r="R4137" s="1" t="s">
        <v>1935</v>
      </c>
    </row>
    <row r="4138" spans="1:18">
      <c r="A4138" s="166" t="s">
        <v>179</v>
      </c>
      <c r="B4138" s="173" t="s">
        <v>180</v>
      </c>
      <c r="C4138" s="195">
        <v>104610207</v>
      </c>
      <c r="D4138" s="168">
        <v>134609325</v>
      </c>
      <c r="E4138" s="29"/>
      <c r="F4138" s="29" t="s">
        <v>1401</v>
      </c>
      <c r="G4138" s="3" t="s">
        <v>106</v>
      </c>
      <c r="H4138" s="3" t="s">
        <v>29</v>
      </c>
      <c r="I4138" s="55">
        <v>46126</v>
      </c>
      <c r="J4138" s="55">
        <v>46129</v>
      </c>
      <c r="K4138" s="55">
        <v>46156</v>
      </c>
      <c r="L4138" s="55"/>
      <c r="M4138" s="55"/>
      <c r="N4138" s="3"/>
      <c r="O4138" s="3" t="s">
        <v>9</v>
      </c>
      <c r="P4138" s="3"/>
      <c r="Q4138" s="167"/>
      <c r="R4138" s="1" t="s">
        <v>1935</v>
      </c>
    </row>
    <row r="4139" spans="1:18">
      <c r="A4139" s="166" t="s">
        <v>179</v>
      </c>
      <c r="B4139" s="173" t="s">
        <v>180</v>
      </c>
      <c r="C4139" s="195">
        <v>104610210</v>
      </c>
      <c r="D4139" s="168">
        <v>134609330</v>
      </c>
      <c r="E4139" s="29"/>
      <c r="F4139" s="29" t="s">
        <v>1401</v>
      </c>
      <c r="G4139" s="3" t="s">
        <v>106</v>
      </c>
      <c r="H4139" s="3" t="s">
        <v>29</v>
      </c>
      <c r="I4139" s="55">
        <v>46126</v>
      </c>
      <c r="J4139" s="55">
        <v>46129</v>
      </c>
      <c r="K4139" s="55">
        <v>46156</v>
      </c>
      <c r="L4139" s="55"/>
      <c r="M4139" s="55"/>
      <c r="N4139" s="3"/>
      <c r="O4139" s="3" t="s">
        <v>9</v>
      </c>
      <c r="P4139" s="3"/>
      <c r="Q4139" s="167"/>
      <c r="R4139" s="1" t="s">
        <v>1935</v>
      </c>
    </row>
    <row r="4140" spans="1:18">
      <c r="A4140" s="166" t="s">
        <v>179</v>
      </c>
      <c r="B4140" s="173" t="s">
        <v>180</v>
      </c>
      <c r="C4140" s="195">
        <v>104610214</v>
      </c>
      <c r="D4140" s="168">
        <v>134609334</v>
      </c>
      <c r="E4140" s="29"/>
      <c r="F4140" s="29" t="s">
        <v>1401</v>
      </c>
      <c r="G4140" s="3" t="s">
        <v>106</v>
      </c>
      <c r="H4140" s="3" t="s">
        <v>29</v>
      </c>
      <c r="I4140" s="55">
        <v>46126</v>
      </c>
      <c r="J4140" s="55">
        <v>46129</v>
      </c>
      <c r="K4140" s="55">
        <v>46156</v>
      </c>
      <c r="L4140" s="55"/>
      <c r="M4140" s="55"/>
      <c r="N4140" s="3"/>
      <c r="O4140" s="3" t="s">
        <v>10</v>
      </c>
      <c r="P4140" s="55">
        <v>46174</v>
      </c>
      <c r="Q4140" s="167"/>
      <c r="R4140" s="1" t="s">
        <v>1935</v>
      </c>
    </row>
    <row r="4141" spans="1:18">
      <c r="A4141" s="166" t="s">
        <v>179</v>
      </c>
      <c r="B4141" s="173" t="s">
        <v>180</v>
      </c>
      <c r="C4141" s="195">
        <v>104610215</v>
      </c>
      <c r="D4141" s="168">
        <v>134609338</v>
      </c>
      <c r="E4141" s="29"/>
      <c r="F4141" s="29" t="s">
        <v>1401</v>
      </c>
      <c r="G4141" s="3" t="s">
        <v>106</v>
      </c>
      <c r="H4141" s="3" t="s">
        <v>29</v>
      </c>
      <c r="I4141" s="55">
        <v>46126</v>
      </c>
      <c r="J4141" s="55">
        <v>46129</v>
      </c>
      <c r="K4141" s="55">
        <v>46156</v>
      </c>
      <c r="L4141" s="55"/>
      <c r="M4141" s="55"/>
      <c r="N4141" s="3"/>
      <c r="O4141" s="3" t="s">
        <v>9</v>
      </c>
      <c r="P4141" s="3"/>
      <c r="Q4141" s="167"/>
      <c r="R4141" s="1" t="s">
        <v>1935</v>
      </c>
    </row>
    <row r="4142" spans="1:18">
      <c r="A4142" s="166" t="s">
        <v>179</v>
      </c>
      <c r="B4142" s="173" t="s">
        <v>180</v>
      </c>
      <c r="C4142" s="195">
        <v>104610220</v>
      </c>
      <c r="D4142" s="168">
        <v>134609342</v>
      </c>
      <c r="E4142" s="29"/>
      <c r="F4142" s="29" t="s">
        <v>1401</v>
      </c>
      <c r="G4142" s="3" t="s">
        <v>106</v>
      </c>
      <c r="H4142" s="3" t="s">
        <v>29</v>
      </c>
      <c r="I4142" s="55">
        <v>46126</v>
      </c>
      <c r="J4142" s="55">
        <v>46129</v>
      </c>
      <c r="K4142" s="55">
        <v>46156</v>
      </c>
      <c r="L4142" s="55"/>
      <c r="M4142" s="55"/>
      <c r="N4142" s="3"/>
      <c r="O4142" s="3" t="s">
        <v>9</v>
      </c>
      <c r="P4142" s="3"/>
      <c r="Q4142" s="167"/>
      <c r="R4142" s="1" t="s">
        <v>1935</v>
      </c>
    </row>
    <row r="4143" spans="1:18">
      <c r="A4143" s="166" t="s">
        <v>179</v>
      </c>
      <c r="B4143" s="173" t="s">
        <v>180</v>
      </c>
      <c r="C4143" s="195">
        <v>104610223</v>
      </c>
      <c r="D4143" s="168">
        <v>134609343</v>
      </c>
      <c r="E4143" s="29"/>
      <c r="F4143" s="29" t="s">
        <v>1401</v>
      </c>
      <c r="G4143" s="3" t="s">
        <v>106</v>
      </c>
      <c r="H4143" s="3" t="s">
        <v>29</v>
      </c>
      <c r="I4143" s="55">
        <v>46126</v>
      </c>
      <c r="J4143" s="55">
        <v>46129</v>
      </c>
      <c r="K4143" s="55">
        <v>46156</v>
      </c>
      <c r="L4143" s="55"/>
      <c r="M4143" s="55"/>
      <c r="N4143" s="3"/>
      <c r="O4143" s="3" t="s">
        <v>10</v>
      </c>
      <c r="P4143" s="55">
        <v>46174</v>
      </c>
      <c r="Q4143" s="167"/>
      <c r="R4143" s="1" t="s">
        <v>1935</v>
      </c>
    </row>
    <row r="4144" spans="1:18">
      <c r="A4144" s="166" t="s">
        <v>179</v>
      </c>
      <c r="B4144" s="173" t="s">
        <v>180</v>
      </c>
      <c r="C4144" s="195">
        <v>104610229</v>
      </c>
      <c r="D4144" s="168"/>
      <c r="E4144" s="29"/>
      <c r="F4144" s="29" t="s">
        <v>1401</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1401</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1401</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1401</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1401</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1401</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1401</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1401</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1401</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1401</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1401</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1401</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1401</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1401</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1401</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1401</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1401</v>
      </c>
      <c r="G4160" s="3" t="s">
        <v>106</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5">
        <v>121600011</v>
      </c>
      <c r="D4161" s="168"/>
      <c r="E4161" s="29"/>
      <c r="F4161" s="29" t="s">
        <v>1906</v>
      </c>
      <c r="G4161" s="3" t="s">
        <v>106</v>
      </c>
      <c r="H4161" s="3" t="s">
        <v>1907</v>
      </c>
      <c r="I4161" s="55">
        <v>46143</v>
      </c>
      <c r="J4161" s="55">
        <v>46146</v>
      </c>
      <c r="K4161" s="55">
        <v>46178</v>
      </c>
      <c r="L4161" s="55"/>
      <c r="M4161" s="55"/>
      <c r="N4161" s="3"/>
      <c r="O4161" s="3" t="s">
        <v>10</v>
      </c>
      <c r="P4161" s="55">
        <v>46163</v>
      </c>
      <c r="Q4161" s="167"/>
      <c r="R4161" s="1"/>
    </row>
    <row r="4162" spans="1:18">
      <c r="A4162" s="166" t="s">
        <v>1936</v>
      </c>
      <c r="B4162" s="173" t="s">
        <v>1937</v>
      </c>
      <c r="C4162" s="195">
        <v>121600014</v>
      </c>
      <c r="D4162" s="168"/>
      <c r="E4162" s="29"/>
      <c r="F4162" s="29" t="s">
        <v>1906</v>
      </c>
      <c r="G4162" s="3" t="s">
        <v>106</v>
      </c>
      <c r="H4162" s="3" t="s">
        <v>1907</v>
      </c>
      <c r="I4162" s="55">
        <v>46143</v>
      </c>
      <c r="J4162" s="55">
        <v>46146</v>
      </c>
      <c r="K4162" s="55">
        <v>46178</v>
      </c>
      <c r="L4162" s="55"/>
      <c r="M4162" s="55"/>
      <c r="N4162" s="3"/>
      <c r="O4162" s="3" t="s">
        <v>10</v>
      </c>
      <c r="P4162" s="55">
        <v>46163</v>
      </c>
      <c r="Q4162" s="167"/>
      <c r="R4162" s="1"/>
    </row>
    <row r="4163" spans="1:18">
      <c r="A4163" s="166" t="s">
        <v>1936</v>
      </c>
      <c r="B4163" s="173" t="s">
        <v>1937</v>
      </c>
      <c r="C4163" s="195">
        <v>121600018</v>
      </c>
      <c r="D4163" s="168"/>
      <c r="E4163" s="29"/>
      <c r="F4163" s="29" t="s">
        <v>1906</v>
      </c>
      <c r="G4163" s="3" t="s">
        <v>106</v>
      </c>
      <c r="H4163" s="3" t="s">
        <v>1907</v>
      </c>
      <c r="I4163" s="55">
        <v>46143</v>
      </c>
      <c r="J4163" s="55">
        <v>46146</v>
      </c>
      <c r="K4163" s="55">
        <v>46178</v>
      </c>
      <c r="L4163" s="55"/>
      <c r="M4163" s="55"/>
      <c r="N4163" s="3"/>
      <c r="O4163" s="3" t="s">
        <v>10</v>
      </c>
      <c r="P4163" s="55">
        <v>46163</v>
      </c>
      <c r="Q4163" s="167"/>
      <c r="R4163" s="1"/>
    </row>
    <row r="4164" spans="1:18">
      <c r="A4164" s="166" t="s">
        <v>1936</v>
      </c>
      <c r="B4164" s="173" t="s">
        <v>1937</v>
      </c>
      <c r="C4164" s="195">
        <v>121600019</v>
      </c>
      <c r="D4164" s="168"/>
      <c r="E4164" s="29"/>
      <c r="F4164" s="29" t="s">
        <v>1906</v>
      </c>
      <c r="G4164" s="3" t="s">
        <v>106</v>
      </c>
      <c r="H4164" s="3" t="s">
        <v>1907</v>
      </c>
      <c r="I4164" s="55">
        <v>46143</v>
      </c>
      <c r="J4164" s="55">
        <v>46146</v>
      </c>
      <c r="K4164" s="55">
        <v>46178</v>
      </c>
      <c r="L4164" s="55"/>
      <c r="M4164" s="55"/>
      <c r="N4164" s="3"/>
      <c r="O4164" s="3" t="s">
        <v>10</v>
      </c>
      <c r="P4164" s="55">
        <v>46163</v>
      </c>
      <c r="Q4164" s="167"/>
      <c r="R4164" s="1"/>
    </row>
    <row r="4165" spans="1:18">
      <c r="A4165" s="166" t="s">
        <v>1936</v>
      </c>
      <c r="B4165" s="173" t="s">
        <v>1937</v>
      </c>
      <c r="C4165" s="195">
        <v>121600023</v>
      </c>
      <c r="D4165" s="168"/>
      <c r="E4165" s="29"/>
      <c r="F4165" s="29" t="s">
        <v>1906</v>
      </c>
      <c r="G4165" s="3" t="s">
        <v>106</v>
      </c>
      <c r="H4165" s="3" t="s">
        <v>1907</v>
      </c>
      <c r="I4165" s="55">
        <v>46143</v>
      </c>
      <c r="J4165" s="55">
        <v>46146</v>
      </c>
      <c r="K4165" s="55">
        <v>46178</v>
      </c>
      <c r="L4165" s="55"/>
      <c r="M4165" s="55"/>
      <c r="N4165" s="3"/>
      <c r="O4165" s="3" t="s">
        <v>10</v>
      </c>
      <c r="P4165" s="55">
        <v>46163</v>
      </c>
      <c r="Q4165" s="167"/>
      <c r="R4165" s="1"/>
    </row>
    <row r="4166" spans="1:18">
      <c r="A4166" s="166" t="s">
        <v>1936</v>
      </c>
      <c r="B4166" s="173" t="s">
        <v>1937</v>
      </c>
      <c r="C4166" s="195">
        <v>121600024</v>
      </c>
      <c r="D4166" s="168"/>
      <c r="E4166" s="29"/>
      <c r="F4166" s="29" t="s">
        <v>1906</v>
      </c>
      <c r="G4166" s="3" t="s">
        <v>106</v>
      </c>
      <c r="H4166" s="3" t="s">
        <v>1907</v>
      </c>
      <c r="I4166" s="55">
        <v>46143</v>
      </c>
      <c r="J4166" s="55">
        <v>46146</v>
      </c>
      <c r="K4166" s="55">
        <v>46178</v>
      </c>
      <c r="L4166" s="55"/>
      <c r="M4166" s="55"/>
      <c r="N4166" s="3"/>
      <c r="O4166" s="3" t="s">
        <v>10</v>
      </c>
      <c r="P4166" s="55">
        <v>46163</v>
      </c>
      <c r="Q4166" s="167"/>
      <c r="R4166" s="1"/>
    </row>
    <row r="4167" spans="1:18">
      <c r="A4167" s="166" t="s">
        <v>1936</v>
      </c>
      <c r="B4167" s="173" t="s">
        <v>1937</v>
      </c>
      <c r="C4167" s="195">
        <v>121600026</v>
      </c>
      <c r="D4167" s="168"/>
      <c r="E4167" s="29"/>
      <c r="F4167" s="29" t="s">
        <v>1906</v>
      </c>
      <c r="G4167" s="3" t="s">
        <v>106</v>
      </c>
      <c r="H4167" s="3" t="s">
        <v>1907</v>
      </c>
      <c r="I4167" s="55">
        <v>46143</v>
      </c>
      <c r="J4167" s="55">
        <v>46146</v>
      </c>
      <c r="K4167" s="55">
        <v>46178</v>
      </c>
      <c r="L4167" s="55"/>
      <c r="M4167" s="55"/>
      <c r="N4167" s="3"/>
      <c r="O4167" s="3" t="s">
        <v>10</v>
      </c>
      <c r="P4167" s="55">
        <v>46163</v>
      </c>
      <c r="Q4167" s="167"/>
      <c r="R4167" s="1"/>
    </row>
    <row r="4168" spans="1:18">
      <c r="A4168" s="166" t="s">
        <v>1936</v>
      </c>
      <c r="B4168" s="173" t="s">
        <v>1937</v>
      </c>
      <c r="C4168" s="195">
        <v>121600029</v>
      </c>
      <c r="D4168" s="168"/>
      <c r="E4168" s="29"/>
      <c r="F4168" s="29" t="s">
        <v>1906</v>
      </c>
      <c r="G4168" s="3" t="s">
        <v>106</v>
      </c>
      <c r="H4168" s="3" t="s">
        <v>1907</v>
      </c>
      <c r="I4168" s="55">
        <v>46143</v>
      </c>
      <c r="J4168" s="55">
        <v>46146</v>
      </c>
      <c r="K4168" s="55">
        <v>46178</v>
      </c>
      <c r="L4168" s="55"/>
      <c r="M4168" s="55"/>
      <c r="N4168" s="3"/>
      <c r="O4168" s="3" t="s">
        <v>10</v>
      </c>
      <c r="P4168" s="55">
        <v>46163</v>
      </c>
      <c r="Q4168" s="167"/>
      <c r="R4168" s="1"/>
    </row>
    <row r="4169" spans="1:18">
      <c r="A4169" s="166" t="s">
        <v>1938</v>
      </c>
      <c r="B4169" s="173" t="s">
        <v>1939</v>
      </c>
      <c r="C4169" s="195">
        <v>134609116</v>
      </c>
      <c r="D4169" s="168"/>
      <c r="E4169" s="29"/>
      <c r="F4169" s="29" t="s">
        <v>1906</v>
      </c>
      <c r="G4169" s="3" t="s">
        <v>106</v>
      </c>
      <c r="H4169" s="3" t="s">
        <v>1907</v>
      </c>
      <c r="I4169" s="55">
        <v>46156</v>
      </c>
      <c r="J4169" s="55">
        <v>46160</v>
      </c>
      <c r="K4169" s="55">
        <v>46188</v>
      </c>
      <c r="L4169" s="55"/>
      <c r="M4169" s="55"/>
      <c r="N4169" s="3"/>
      <c r="O4169" s="3" t="s">
        <v>9</v>
      </c>
      <c r="P4169" s="3"/>
      <c r="Q4169" s="167"/>
      <c r="R4169" s="1"/>
    </row>
    <row r="4170" spans="1:18">
      <c r="A4170" s="166" t="s">
        <v>1938</v>
      </c>
      <c r="B4170" s="173" t="s">
        <v>1939</v>
      </c>
      <c r="C4170" s="195">
        <v>134609137</v>
      </c>
      <c r="D4170" s="168"/>
      <c r="E4170" s="29"/>
      <c r="F4170" s="29" t="s">
        <v>1906</v>
      </c>
      <c r="G4170" s="3" t="s">
        <v>106</v>
      </c>
      <c r="H4170" s="3" t="s">
        <v>1907</v>
      </c>
      <c r="I4170" s="55">
        <v>46156</v>
      </c>
      <c r="J4170" s="55">
        <v>46160</v>
      </c>
      <c r="K4170" s="55">
        <v>46188</v>
      </c>
      <c r="L4170" s="55"/>
      <c r="M4170" s="55"/>
      <c r="N4170" s="3"/>
      <c r="O4170" s="3" t="s">
        <v>10</v>
      </c>
      <c r="P4170" s="55">
        <v>46162</v>
      </c>
      <c r="Q4170" s="167"/>
      <c r="R4170" s="1"/>
    </row>
    <row r="4171" spans="1:18">
      <c r="A4171" s="166" t="s">
        <v>1938</v>
      </c>
      <c r="B4171" s="173" t="s">
        <v>1939</v>
      </c>
      <c r="C4171" s="195">
        <v>134609155</v>
      </c>
      <c r="D4171" s="168"/>
      <c r="E4171" s="29"/>
      <c r="F4171" s="29" t="s">
        <v>1906</v>
      </c>
      <c r="G4171" s="3" t="s">
        <v>106</v>
      </c>
      <c r="H4171" s="3" t="s">
        <v>1907</v>
      </c>
      <c r="I4171" s="55">
        <v>46156</v>
      </c>
      <c r="J4171" s="55">
        <v>46160</v>
      </c>
      <c r="K4171" s="55">
        <v>46188</v>
      </c>
      <c r="L4171" s="55"/>
      <c r="M4171" s="55"/>
      <c r="N4171" s="3"/>
      <c r="O4171" s="3" t="s">
        <v>10</v>
      </c>
      <c r="P4171" s="55">
        <v>46162</v>
      </c>
      <c r="Q4171" s="167"/>
      <c r="R4171" s="1"/>
    </row>
    <row r="4172" spans="1:18">
      <c r="A4172" s="166" t="s">
        <v>1938</v>
      </c>
      <c r="B4172" s="173" t="s">
        <v>1939</v>
      </c>
      <c r="C4172" s="195">
        <v>134609174</v>
      </c>
      <c r="D4172" s="168"/>
      <c r="E4172" s="29"/>
      <c r="F4172" s="29" t="s">
        <v>1906</v>
      </c>
      <c r="G4172" s="3" t="s">
        <v>106</v>
      </c>
      <c r="H4172" s="3" t="s">
        <v>1907</v>
      </c>
      <c r="I4172" s="55">
        <v>46156</v>
      </c>
      <c r="J4172" s="55">
        <v>46160</v>
      </c>
      <c r="K4172" s="55">
        <v>46188</v>
      </c>
      <c r="L4172" s="55"/>
      <c r="M4172" s="55"/>
      <c r="N4172" s="3"/>
      <c r="O4172" s="3" t="s">
        <v>10</v>
      </c>
      <c r="P4172" s="55">
        <v>46162</v>
      </c>
      <c r="Q4172" s="167"/>
      <c r="R4172" s="1"/>
    </row>
    <row r="4173" spans="1:18">
      <c r="A4173" s="166" t="s">
        <v>1938</v>
      </c>
      <c r="B4173" s="173" t="s">
        <v>1939</v>
      </c>
      <c r="C4173" s="195">
        <v>134609180</v>
      </c>
      <c r="D4173" s="168"/>
      <c r="E4173" s="29"/>
      <c r="F4173" s="29" t="s">
        <v>1906</v>
      </c>
      <c r="G4173" s="3" t="s">
        <v>106</v>
      </c>
      <c r="H4173" s="3" t="s">
        <v>1907</v>
      </c>
      <c r="I4173" s="55">
        <v>46156</v>
      </c>
      <c r="J4173" s="55">
        <v>46160</v>
      </c>
      <c r="K4173" s="55">
        <v>46188</v>
      </c>
      <c r="L4173" s="55"/>
      <c r="M4173" s="55"/>
      <c r="N4173" s="3"/>
      <c r="O4173" s="3" t="s">
        <v>10</v>
      </c>
      <c r="P4173" s="55">
        <v>46162</v>
      </c>
      <c r="Q4173" s="167"/>
      <c r="R4173" s="1"/>
    </row>
    <row r="4174" spans="1:18">
      <c r="A4174" s="166" t="s">
        <v>1938</v>
      </c>
      <c r="B4174" s="173" t="s">
        <v>1939</v>
      </c>
      <c r="C4174" s="195">
        <v>134609183</v>
      </c>
      <c r="D4174" s="168"/>
      <c r="E4174" s="29"/>
      <c r="F4174" s="29" t="s">
        <v>1906</v>
      </c>
      <c r="G4174" s="3" t="s">
        <v>106</v>
      </c>
      <c r="H4174" s="3" t="s">
        <v>1907</v>
      </c>
      <c r="I4174" s="55">
        <v>46156</v>
      </c>
      <c r="J4174" s="55">
        <v>46160</v>
      </c>
      <c r="K4174" s="55">
        <v>46188</v>
      </c>
      <c r="L4174" s="55"/>
      <c r="M4174" s="55"/>
      <c r="N4174" s="3"/>
      <c r="O4174" s="3" t="s">
        <v>10</v>
      </c>
      <c r="P4174" s="55">
        <v>46162</v>
      </c>
      <c r="Q4174" s="167"/>
      <c r="R4174" s="1"/>
    </row>
    <row r="4175" spans="1:18">
      <c r="A4175" s="166" t="s">
        <v>1938</v>
      </c>
      <c r="B4175" s="173" t="s">
        <v>1939</v>
      </c>
      <c r="C4175" s="195">
        <v>134609195</v>
      </c>
      <c r="D4175" s="168"/>
      <c r="E4175" s="29"/>
      <c r="F4175" s="29" t="s">
        <v>1906</v>
      </c>
      <c r="G4175" s="3" t="s">
        <v>106</v>
      </c>
      <c r="H4175" s="3" t="s">
        <v>1907</v>
      </c>
      <c r="I4175" s="55">
        <v>46156</v>
      </c>
      <c r="J4175" s="55">
        <v>46160</v>
      </c>
      <c r="K4175" s="55">
        <v>46188</v>
      </c>
      <c r="L4175" s="55"/>
      <c r="M4175" s="55"/>
      <c r="N4175" s="3"/>
      <c r="O4175" s="3" t="s">
        <v>10</v>
      </c>
      <c r="P4175" s="55">
        <v>46162</v>
      </c>
      <c r="Q4175" s="167"/>
      <c r="R4175" s="1"/>
    </row>
    <row r="4176" spans="1:18">
      <c r="A4176" s="166" t="s">
        <v>1938</v>
      </c>
      <c r="B4176" s="173" t="s">
        <v>1939</v>
      </c>
      <c r="C4176" s="195">
        <v>134609201</v>
      </c>
      <c r="D4176" s="168"/>
      <c r="E4176" s="29"/>
      <c r="F4176" s="29" t="s">
        <v>1906</v>
      </c>
      <c r="G4176" s="3" t="s">
        <v>106</v>
      </c>
      <c r="H4176" s="3" t="s">
        <v>1907</v>
      </c>
      <c r="I4176" s="55">
        <v>46156</v>
      </c>
      <c r="J4176" s="55">
        <v>46160</v>
      </c>
      <c r="K4176" s="55">
        <v>46188</v>
      </c>
      <c r="L4176" s="55"/>
      <c r="M4176" s="55"/>
      <c r="N4176" s="3"/>
      <c r="O4176" s="3" t="s">
        <v>10</v>
      </c>
      <c r="P4176" s="55">
        <v>46162</v>
      </c>
      <c r="Q4176" s="167"/>
      <c r="R4176" s="1"/>
    </row>
    <row r="4177" spans="1:121">
      <c r="A4177" s="166" t="s">
        <v>1938</v>
      </c>
      <c r="B4177" s="173" t="s">
        <v>1939</v>
      </c>
      <c r="C4177" s="195">
        <v>134609207</v>
      </c>
      <c r="D4177" s="168"/>
      <c r="E4177" s="29"/>
      <c r="F4177" s="29" t="s">
        <v>1906</v>
      </c>
      <c r="G4177" s="3" t="s">
        <v>106</v>
      </c>
      <c r="H4177" s="3" t="s">
        <v>1907</v>
      </c>
      <c r="I4177" s="55">
        <v>46156</v>
      </c>
      <c r="J4177" s="55">
        <v>46160</v>
      </c>
      <c r="K4177" s="55">
        <v>46188</v>
      </c>
      <c r="L4177" s="55"/>
      <c r="M4177" s="55"/>
      <c r="N4177" s="3"/>
      <c r="O4177" s="3" t="s">
        <v>10</v>
      </c>
      <c r="P4177" s="55">
        <v>46162</v>
      </c>
      <c r="Q4177" s="167"/>
      <c r="R4177" s="1"/>
    </row>
    <row r="4178" spans="1:121">
      <c r="A4178" s="166" t="s">
        <v>1938</v>
      </c>
      <c r="B4178" s="173" t="s">
        <v>1939</v>
      </c>
      <c r="C4178" s="195">
        <v>134609213</v>
      </c>
      <c r="D4178" s="168"/>
      <c r="E4178" s="29"/>
      <c r="F4178" s="29" t="s">
        <v>1906</v>
      </c>
      <c r="G4178" s="3" t="s">
        <v>106</v>
      </c>
      <c r="H4178" s="3" t="s">
        <v>1907</v>
      </c>
      <c r="I4178" s="55">
        <v>46156</v>
      </c>
      <c r="J4178" s="55">
        <v>46160</v>
      </c>
      <c r="K4178" s="55">
        <v>46188</v>
      </c>
      <c r="L4178" s="55"/>
      <c r="M4178" s="55"/>
      <c r="N4178" s="3"/>
      <c r="O4178" s="3" t="s">
        <v>10</v>
      </c>
      <c r="P4178" s="55">
        <v>46162</v>
      </c>
      <c r="Q4178" s="167"/>
      <c r="R4178" s="1"/>
    </row>
    <row r="4179" spans="1:121">
      <c r="A4179" s="166" t="s">
        <v>1940</v>
      </c>
      <c r="B4179" s="173" t="s">
        <v>1941</v>
      </c>
      <c r="C4179" s="195">
        <v>134609381</v>
      </c>
      <c r="D4179" s="168"/>
      <c r="E4179" s="29"/>
      <c r="F4179" s="29" t="s">
        <v>1906</v>
      </c>
      <c r="G4179" s="3" t="s">
        <v>106</v>
      </c>
      <c r="H4179" s="3" t="s">
        <v>1907</v>
      </c>
      <c r="I4179" s="55">
        <v>46156</v>
      </c>
      <c r="J4179" s="55">
        <v>46160</v>
      </c>
      <c r="K4179" s="55">
        <v>46188</v>
      </c>
      <c r="L4179" s="55"/>
      <c r="M4179" s="55"/>
      <c r="N4179" s="3"/>
      <c r="O4179" s="3" t="s">
        <v>10</v>
      </c>
      <c r="P4179" s="55">
        <v>46161</v>
      </c>
      <c r="Q4179" s="167"/>
      <c r="R4179" s="1"/>
    </row>
    <row r="4180" spans="1:121">
      <c r="A4180" s="166" t="s">
        <v>1940</v>
      </c>
      <c r="B4180" s="173" t="s">
        <v>1941</v>
      </c>
      <c r="C4180" s="195">
        <v>134609384</v>
      </c>
      <c r="D4180" s="168"/>
      <c r="E4180" s="29"/>
      <c r="F4180" s="29" t="s">
        <v>1906</v>
      </c>
      <c r="G4180" s="3" t="s">
        <v>106</v>
      </c>
      <c r="H4180" s="3" t="s">
        <v>1907</v>
      </c>
      <c r="I4180" s="55">
        <v>46156</v>
      </c>
      <c r="J4180" s="55">
        <v>46160</v>
      </c>
      <c r="K4180" s="55">
        <v>46188</v>
      </c>
      <c r="L4180" s="55"/>
      <c r="M4180" s="55"/>
      <c r="N4180" s="3"/>
      <c r="O4180" s="3" t="s">
        <v>10</v>
      </c>
      <c r="P4180" s="55">
        <v>46161</v>
      </c>
      <c r="Q4180" s="167"/>
      <c r="R4180" s="1"/>
    </row>
    <row r="4181" spans="1:121">
      <c r="A4181" s="166" t="s">
        <v>1940</v>
      </c>
      <c r="B4181" s="173" t="s">
        <v>1941</v>
      </c>
      <c r="C4181" s="195">
        <v>134609389</v>
      </c>
      <c r="D4181" s="168"/>
      <c r="E4181" s="29"/>
      <c r="F4181" s="29" t="s">
        <v>1906</v>
      </c>
      <c r="G4181" s="3" t="s">
        <v>106</v>
      </c>
      <c r="H4181" s="3" t="s">
        <v>1907</v>
      </c>
      <c r="I4181" s="55">
        <v>46156</v>
      </c>
      <c r="J4181" s="55">
        <v>46160</v>
      </c>
      <c r="K4181" s="55">
        <v>46188</v>
      </c>
      <c r="L4181" s="55"/>
      <c r="M4181" s="55"/>
      <c r="N4181" s="3"/>
      <c r="O4181" s="3" t="s">
        <v>10</v>
      </c>
      <c r="P4181" s="55">
        <v>46161</v>
      </c>
      <c r="Q4181" s="167"/>
      <c r="R4181" s="1"/>
    </row>
    <row r="4182" spans="1:121">
      <c r="A4182" s="166" t="s">
        <v>1940</v>
      </c>
      <c r="B4182" s="173" t="s">
        <v>1941</v>
      </c>
      <c r="C4182" s="195">
        <v>134609392</v>
      </c>
      <c r="D4182" s="168"/>
      <c r="E4182" s="29"/>
      <c r="F4182" s="29" t="s">
        <v>1906</v>
      </c>
      <c r="G4182" s="3" t="s">
        <v>106</v>
      </c>
      <c r="H4182" s="3" t="s">
        <v>1907</v>
      </c>
      <c r="I4182" s="55">
        <v>46156</v>
      </c>
      <c r="J4182" s="55">
        <v>46160</v>
      </c>
      <c r="K4182" s="55">
        <v>46188</v>
      </c>
      <c r="L4182" s="55"/>
      <c r="M4182" s="55"/>
      <c r="N4182" s="3"/>
      <c r="O4182" s="3" t="s">
        <v>10</v>
      </c>
      <c r="P4182" s="55">
        <v>46161</v>
      </c>
      <c r="Q4182" s="167"/>
      <c r="R4182" s="1"/>
    </row>
    <row r="4183" spans="1:121">
      <c r="A4183" s="166" t="s">
        <v>1940</v>
      </c>
      <c r="B4183" s="173" t="s">
        <v>1941</v>
      </c>
      <c r="C4183" s="195">
        <v>134609397</v>
      </c>
      <c r="D4183" s="168"/>
      <c r="E4183" s="29"/>
      <c r="F4183" s="29" t="s">
        <v>1906</v>
      </c>
      <c r="G4183" s="3" t="s">
        <v>106</v>
      </c>
      <c r="H4183" s="3" t="s">
        <v>1907</v>
      </c>
      <c r="I4183" s="55">
        <v>46156</v>
      </c>
      <c r="J4183" s="55">
        <v>46160</v>
      </c>
      <c r="K4183" s="55">
        <v>46188</v>
      </c>
      <c r="L4183" s="55"/>
      <c r="M4183" s="55"/>
      <c r="N4183" s="3"/>
      <c r="O4183" s="3" t="s">
        <v>10</v>
      </c>
      <c r="P4183" s="55">
        <v>46161</v>
      </c>
      <c r="Q4183" s="167"/>
      <c r="R4183" s="1"/>
    </row>
    <row r="4184" spans="1:121">
      <c r="A4184" s="166" t="s">
        <v>1940</v>
      </c>
      <c r="B4184" s="173" t="s">
        <v>1941</v>
      </c>
      <c r="C4184" s="195">
        <v>134609401</v>
      </c>
      <c r="D4184" s="168"/>
      <c r="E4184" s="29"/>
      <c r="F4184" s="29" t="s">
        <v>1906</v>
      </c>
      <c r="G4184" s="3" t="s">
        <v>106</v>
      </c>
      <c r="H4184" s="3" t="s">
        <v>1907</v>
      </c>
      <c r="I4184" s="55">
        <v>46156</v>
      </c>
      <c r="J4184" s="55">
        <v>46160</v>
      </c>
      <c r="K4184" s="55">
        <v>46188</v>
      </c>
      <c r="L4184" s="55"/>
      <c r="M4184" s="55"/>
      <c r="N4184" s="3"/>
      <c r="O4184" s="3" t="s">
        <v>10</v>
      </c>
      <c r="P4184" s="55">
        <v>46161</v>
      </c>
      <c r="Q4184" s="167"/>
      <c r="R4184" s="1"/>
    </row>
    <row r="4185" spans="1:121">
      <c r="A4185" s="166" t="s">
        <v>1940</v>
      </c>
      <c r="B4185" s="173" t="s">
        <v>1941</v>
      </c>
      <c r="C4185" s="195">
        <v>135600005</v>
      </c>
      <c r="D4185" s="168"/>
      <c r="E4185" s="29"/>
      <c r="F4185" s="29" t="s">
        <v>1906</v>
      </c>
      <c r="G4185" s="3" t="s">
        <v>106</v>
      </c>
      <c r="H4185" s="3" t="s">
        <v>1907</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1942</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1942</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5">
        <v>151600798</v>
      </c>
      <c r="D4188" s="168"/>
      <c r="E4188" s="29"/>
      <c r="F4188" s="29" t="s">
        <v>118</v>
      </c>
      <c r="G4188" s="3" t="s">
        <v>1942</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5">
        <v>151600788</v>
      </c>
      <c r="D4189" s="168"/>
      <c r="E4189" s="29"/>
      <c r="F4189" s="29" t="s">
        <v>118</v>
      </c>
      <c r="G4189" s="3" t="s">
        <v>1942</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5">
        <v>151600787</v>
      </c>
      <c r="D4190" s="168"/>
      <c r="E4190" s="29"/>
      <c r="F4190" s="29" t="s">
        <v>118</v>
      </c>
      <c r="G4190" s="3" t="s">
        <v>1942</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5">
        <v>151600781</v>
      </c>
      <c r="D4191" s="168"/>
      <c r="E4191" s="29"/>
      <c r="F4191" s="29" t="s">
        <v>118</v>
      </c>
      <c r="G4191" s="3" t="s">
        <v>1942</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5">
        <v>151600779</v>
      </c>
      <c r="D4192" s="168"/>
      <c r="E4192" s="29"/>
      <c r="F4192" s="29" t="s">
        <v>118</v>
      </c>
      <c r="G4192" s="3" t="s">
        <v>1942</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5">
        <v>135600005</v>
      </c>
      <c r="D4193" s="168"/>
      <c r="E4193" s="29"/>
      <c r="F4193" s="29" t="s">
        <v>118</v>
      </c>
      <c r="G4193" s="3" t="s">
        <v>1942</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5">
        <v>134609401</v>
      </c>
      <c r="D4194" s="168"/>
      <c r="E4194" s="29"/>
      <c r="F4194" s="29" t="s">
        <v>118</v>
      </c>
      <c r="G4194" s="3" t="s">
        <v>1942</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5">
        <v>134609397</v>
      </c>
      <c r="D4195" s="168"/>
      <c r="E4195" s="29"/>
      <c r="F4195" s="29" t="s">
        <v>118</v>
      </c>
      <c r="G4195" s="3" t="s">
        <v>1942</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5">
        <v>134609392</v>
      </c>
      <c r="D4196" s="168"/>
      <c r="E4196" s="29"/>
      <c r="F4196" s="29" t="s">
        <v>118</v>
      </c>
      <c r="G4196" s="3" t="s">
        <v>1942</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5">
        <v>134609389</v>
      </c>
      <c r="D4197" s="168"/>
      <c r="E4197" s="29"/>
      <c r="F4197" s="29" t="s">
        <v>118</v>
      </c>
      <c r="G4197" s="3" t="s">
        <v>1942</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5">
        <v>134609384</v>
      </c>
      <c r="D4198" s="168"/>
      <c r="E4198" s="29"/>
      <c r="F4198" s="29" t="s">
        <v>118</v>
      </c>
      <c r="G4198" s="3" t="s">
        <v>1942</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5">
        <v>134609381</v>
      </c>
      <c r="D4199" s="168"/>
      <c r="E4199" s="29"/>
      <c r="F4199" s="29" t="s">
        <v>118</v>
      </c>
      <c r="G4199" s="3" t="s">
        <v>1942</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5">
        <v>134609213</v>
      </c>
      <c r="D4200" s="168"/>
      <c r="E4200" s="29"/>
      <c r="F4200" s="29" t="s">
        <v>118</v>
      </c>
      <c r="G4200" s="3" t="s">
        <v>1942</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5">
        <v>134609207</v>
      </c>
      <c r="D4201" s="168"/>
      <c r="E4201" s="29"/>
      <c r="F4201" s="29" t="s">
        <v>118</v>
      </c>
      <c r="G4201" s="3" t="s">
        <v>1942</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5">
        <v>134609201</v>
      </c>
      <c r="D4202" s="168"/>
      <c r="E4202" s="29"/>
      <c r="F4202" s="29" t="s">
        <v>118</v>
      </c>
      <c r="G4202" s="3" t="s">
        <v>1942</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5">
        <v>134609195</v>
      </c>
      <c r="D4203" s="168"/>
      <c r="E4203" s="29"/>
      <c r="F4203" s="29" t="s">
        <v>118</v>
      </c>
      <c r="G4203" s="3" t="s">
        <v>1942</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5">
        <v>134609183</v>
      </c>
      <c r="D4204" s="168"/>
      <c r="E4204" s="29"/>
      <c r="F4204" s="29" t="s">
        <v>118</v>
      </c>
      <c r="G4204" s="3" t="s">
        <v>1942</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5">
        <v>134609180</v>
      </c>
      <c r="D4205" s="168"/>
      <c r="E4205" s="29"/>
      <c r="F4205" s="29" t="s">
        <v>118</v>
      </c>
      <c r="G4205" s="3" t="s">
        <v>1942</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5">
        <v>134609155</v>
      </c>
      <c r="D4206" s="168"/>
      <c r="E4206" s="29"/>
      <c r="F4206" s="29" t="s">
        <v>118</v>
      </c>
      <c r="G4206" s="3" t="s">
        <v>1942</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5">
        <v>134609137</v>
      </c>
      <c r="D4207" s="168"/>
      <c r="E4207" s="29"/>
      <c r="F4207" s="29" t="s">
        <v>118</v>
      </c>
      <c r="G4207" s="3" t="s">
        <v>1942</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1945</v>
      </c>
      <c r="B4236" s="173" t="s">
        <v>1946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1945</v>
      </c>
      <c r="B4237" s="173" t="s">
        <v>1946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1947</v>
      </c>
    </row>
    <row r="4238" spans="1:121">
      <c r="A4238" s="166" t="s">
        <v>1945</v>
      </c>
      <c r="B4238" s="173" t="s">
        <v>1946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1947</v>
      </c>
    </row>
    <row r="4239" spans="1:121">
      <c r="A4239" s="166" t="s">
        <v>1945</v>
      </c>
      <c r="B4239" s="173" t="s">
        <v>1946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1947</v>
      </c>
    </row>
    <row r="4240" spans="1:121">
      <c r="A4240" s="166" t="s">
        <v>1945</v>
      </c>
      <c r="B4240" s="173" t="s">
        <v>1946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1947</v>
      </c>
    </row>
    <row r="4241" spans="1:121">
      <c r="A4241" s="166" t="s">
        <v>1945</v>
      </c>
      <c r="B4241" s="173" t="s">
        <v>1946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1948</v>
      </c>
      <c r="B4242" s="176" t="s">
        <v>1949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1948</v>
      </c>
      <c r="B4243" s="173" t="s">
        <v>1949</v>
      </c>
      <c r="C4243" s="195">
        <v>152610523</v>
      </c>
      <c r="D4243" s="168"/>
      <c r="E4243" s="29"/>
      <c r="F4243" s="29" t="s">
        <v>76</v>
      </c>
      <c r="G4243" s="3" t="s">
        <v>64</v>
      </c>
      <c r="H4243" s="3" t="s">
        <v>77</v>
      </c>
      <c r="I4243" s="55">
        <v>46174</v>
      </c>
      <c r="J4243" s="55">
        <v>46177</v>
      </c>
      <c r="K4243" s="55">
        <v>46204</v>
      </c>
      <c r="L4243" s="55"/>
      <c r="M4243" s="55"/>
      <c r="N4243" s="3"/>
      <c r="O4243" s="3" t="s">
        <v>10</v>
      </c>
      <c r="P4243" s="55" t="s">
        <v>1950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1948</v>
      </c>
      <c r="B4244" s="173" t="s">
        <v>1949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1948</v>
      </c>
      <c r="B4245" s="173" t="s">
        <v>1949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1948</v>
      </c>
      <c r="B4246" s="173" t="s">
        <v>1949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1951</v>
      </c>
      <c r="B4247" s="173" t="s">
        <v>1952</v>
      </c>
      <c r="C4247" s="195">
        <v>155606002</v>
      </c>
      <c r="D4247" s="168"/>
      <c r="E4247" s="29"/>
      <c r="F4247" s="29" t="s">
        <v>183</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1951</v>
      </c>
      <c r="B4248" s="173" t="s">
        <v>1952</v>
      </c>
      <c r="C4248" s="195">
        <v>155606124</v>
      </c>
      <c r="D4248" s="168"/>
      <c r="E4248" s="29"/>
      <c r="F4248" s="29" t="s">
        <v>183</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1951</v>
      </c>
      <c r="B4249" s="176" t="s">
        <v>1952</v>
      </c>
      <c r="C4249" s="195">
        <v>155606226</v>
      </c>
      <c r="D4249" s="168"/>
      <c r="E4249" s="29"/>
      <c r="F4249" s="29" t="s">
        <v>183</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1951</v>
      </c>
      <c r="B4250" s="176" t="s">
        <v>1952</v>
      </c>
      <c r="C4250" s="195">
        <v>155606313</v>
      </c>
      <c r="D4250" s="168"/>
      <c r="E4250" s="29"/>
      <c r="F4250" s="29" t="s">
        <v>183</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1951</v>
      </c>
      <c r="B4251" s="176" t="s">
        <v>1952</v>
      </c>
      <c r="C4251" s="195">
        <v>155606473</v>
      </c>
      <c r="D4251" s="168"/>
      <c r="E4251" s="29"/>
      <c r="F4251" s="29" t="s">
        <v>183</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1951</v>
      </c>
      <c r="B4252" s="176" t="s">
        <v>1952</v>
      </c>
      <c r="C4252" s="195">
        <v>155606598</v>
      </c>
      <c r="D4252" s="168"/>
      <c r="E4252" s="29"/>
      <c r="F4252" s="29" t="s">
        <v>183</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1951</v>
      </c>
      <c r="B4253" s="176" t="s">
        <v>1952</v>
      </c>
      <c r="C4253" s="195">
        <v>155606693</v>
      </c>
      <c r="D4253" s="168"/>
      <c r="E4253" s="29"/>
      <c r="F4253" s="29" t="s">
        <v>183</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1953</v>
      </c>
      <c r="B4254" s="183" t="s">
        <v>1954</v>
      </c>
      <c r="C4254" s="195">
        <v>155607502</v>
      </c>
      <c r="D4254" s="168"/>
      <c r="E4254" s="184"/>
      <c r="F4254" s="184" t="s">
        <v>183</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1953</v>
      </c>
      <c r="B4255" s="183" t="s">
        <v>1954</v>
      </c>
      <c r="C4255" s="195">
        <v>155607725</v>
      </c>
      <c r="D4255" s="168"/>
      <c r="E4255" s="184"/>
      <c r="F4255" s="184" t="s">
        <v>183</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1955</v>
      </c>
      <c r="B4302" s="176" t="s">
        <v>1956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1955</v>
      </c>
      <c r="B4303" s="176" t="s">
        <v>1956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1955</v>
      </c>
      <c r="B4304" s="176" t="s">
        <v>1956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1955</v>
      </c>
      <c r="B4305" s="176" t="s">
        <v>1956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1955</v>
      </c>
      <c r="B4306" s="183" t="s">
        <v>1956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1955</v>
      </c>
      <c r="B4307" s="183" t="s">
        <v>1956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1955</v>
      </c>
      <c r="B4308" s="183" t="s">
        <v>1956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1957</v>
      </c>
      <c r="B4309" s="176" t="s">
        <v>1958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1957</v>
      </c>
      <c r="B4310" s="176" t="s">
        <v>1958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1957</v>
      </c>
      <c r="B4311" s="173" t="s">
        <v>1958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1957</v>
      </c>
      <c r="B4312" s="173" t="s">
        <v>1958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1957</v>
      </c>
      <c r="B4313" s="173" t="s">
        <v>1958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1957</v>
      </c>
      <c r="B4314" s="173" t="s">
        <v>1958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1959</v>
      </c>
      <c r="B4315" s="173" t="s">
        <v>1960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1961</v>
      </c>
      <c r="B4316" s="173" t="s">
        <v>1962</v>
      </c>
      <c r="C4316" s="195">
        <v>127606368</v>
      </c>
      <c r="D4316" s="168"/>
      <c r="E4316" s="29"/>
      <c r="F4316" s="29" t="s">
        <v>183</v>
      </c>
      <c r="G4316" s="3" t="s">
        <v>64</v>
      </c>
      <c r="H4316" s="3" t="s">
        <v>1062</v>
      </c>
      <c r="I4316" s="55">
        <v>46149</v>
      </c>
      <c r="J4316" s="55">
        <v>46153</v>
      </c>
      <c r="K4316" s="55">
        <v>46181</v>
      </c>
      <c r="L4316" s="55"/>
      <c r="M4316" s="55"/>
      <c r="N4316" s="3"/>
      <c r="O4316" s="3" t="s">
        <v>10</v>
      </c>
      <c r="P4316" s="55">
        <v>46174</v>
      </c>
      <c r="Q4316" s="167"/>
      <c r="R4316" s="1"/>
    </row>
    <row r="4317" spans="1:121">
      <c r="A4317" s="166" t="s">
        <v>1961</v>
      </c>
      <c r="B4317" s="173" t="s">
        <v>1962</v>
      </c>
      <c r="C4317" s="195">
        <v>127606356</v>
      </c>
      <c r="D4317" s="168"/>
      <c r="E4317" s="29"/>
      <c r="F4317" s="29" t="s">
        <v>183</v>
      </c>
      <c r="G4317" s="3" t="s">
        <v>64</v>
      </c>
      <c r="H4317" s="3" t="s">
        <v>1062</v>
      </c>
      <c r="I4317" s="55">
        <v>46149</v>
      </c>
      <c r="J4317" s="55">
        <v>46153</v>
      </c>
      <c r="K4317" s="55">
        <v>46181</v>
      </c>
      <c r="L4317" s="55"/>
      <c r="M4317" s="55"/>
      <c r="N4317" s="3"/>
      <c r="O4317" s="3" t="s">
        <v>10</v>
      </c>
      <c r="P4317" s="55">
        <v>46174</v>
      </c>
      <c r="Q4317" s="167"/>
      <c r="R4317" s="1"/>
    </row>
    <row r="4318" spans="1:121">
      <c r="A4318" s="166" t="s">
        <v>1961</v>
      </c>
      <c r="B4318" s="173" t="s">
        <v>1962</v>
      </c>
      <c r="C4318" s="195">
        <v>127606321</v>
      </c>
      <c r="D4318" s="168"/>
      <c r="E4318" s="29"/>
      <c r="F4318" s="29" t="s">
        <v>183</v>
      </c>
      <c r="G4318" s="3" t="s">
        <v>64</v>
      </c>
      <c r="H4318" s="3" t="s">
        <v>1062</v>
      </c>
      <c r="I4318" s="55">
        <v>46149</v>
      </c>
      <c r="J4318" s="55">
        <v>46153</v>
      </c>
      <c r="K4318" s="55">
        <v>46181</v>
      </c>
      <c r="L4318" s="55"/>
      <c r="M4318" s="55"/>
      <c r="N4318" s="3"/>
      <c r="O4318" s="3" t="s">
        <v>10</v>
      </c>
      <c r="P4318" s="55">
        <v>46174</v>
      </c>
      <c r="Q4318" s="167"/>
      <c r="R4318" s="1"/>
    </row>
    <row r="4319" spans="1:121">
      <c r="A4319" s="166" t="s">
        <v>1961</v>
      </c>
      <c r="B4319" s="173" t="s">
        <v>1962</v>
      </c>
      <c r="C4319" s="195">
        <v>127606291</v>
      </c>
      <c r="D4319" s="168"/>
      <c r="E4319" s="29"/>
      <c r="F4319" s="29" t="s">
        <v>183</v>
      </c>
      <c r="G4319" s="3" t="s">
        <v>64</v>
      </c>
      <c r="H4319" s="3" t="s">
        <v>1062</v>
      </c>
      <c r="I4319" s="55">
        <v>46149</v>
      </c>
      <c r="J4319" s="55">
        <v>46153</v>
      </c>
      <c r="K4319" s="55">
        <v>46181</v>
      </c>
      <c r="L4319" s="55"/>
      <c r="M4319" s="55"/>
      <c r="N4319" s="3"/>
      <c r="O4319" s="3" t="s">
        <v>10</v>
      </c>
      <c r="P4319" s="55">
        <v>46174</v>
      </c>
      <c r="Q4319" s="167"/>
      <c r="R4319" s="1"/>
    </row>
    <row r="4320" spans="1:121">
      <c r="A4320" s="166" t="s">
        <v>1961</v>
      </c>
      <c r="B4320" s="173" t="s">
        <v>1962</v>
      </c>
      <c r="C4320" s="195">
        <v>127606237</v>
      </c>
      <c r="D4320" s="168"/>
      <c r="E4320" s="29"/>
      <c r="F4320" s="29" t="s">
        <v>183</v>
      </c>
      <c r="G4320" s="3" t="s">
        <v>64</v>
      </c>
      <c r="H4320" s="3" t="s">
        <v>1062</v>
      </c>
      <c r="I4320" s="55">
        <v>46149</v>
      </c>
      <c r="J4320" s="55">
        <v>46153</v>
      </c>
      <c r="K4320" s="55">
        <v>46181</v>
      </c>
      <c r="L4320" s="55"/>
      <c r="M4320" s="55"/>
      <c r="N4320" s="3"/>
      <c r="O4320" s="3" t="s">
        <v>10</v>
      </c>
      <c r="P4320" s="55">
        <v>46174</v>
      </c>
      <c r="Q4320" s="167"/>
      <c r="R4320" s="1"/>
    </row>
    <row r="4321" spans="1:18">
      <c r="A4321" s="166" t="s">
        <v>1961</v>
      </c>
      <c r="B4321" s="173" t="s">
        <v>1962</v>
      </c>
      <c r="C4321" s="195">
        <v>127606183</v>
      </c>
      <c r="D4321" s="168"/>
      <c r="E4321" s="29"/>
      <c r="F4321" s="29" t="s">
        <v>183</v>
      </c>
      <c r="G4321" s="3" t="s">
        <v>64</v>
      </c>
      <c r="H4321" s="3" t="s">
        <v>1062</v>
      </c>
      <c r="I4321" s="55">
        <v>46149</v>
      </c>
      <c r="J4321" s="55">
        <v>46153</v>
      </c>
      <c r="K4321" s="55">
        <v>46181</v>
      </c>
      <c r="L4321" s="55"/>
      <c r="M4321" s="55"/>
      <c r="N4321" s="3"/>
      <c r="O4321" s="3" t="s">
        <v>10</v>
      </c>
      <c r="P4321" s="55">
        <v>46169</v>
      </c>
      <c r="Q4321" s="167"/>
      <c r="R4321" s="1"/>
    </row>
    <row r="4322" spans="1:18">
      <c r="A4322" s="166" t="s">
        <v>1961</v>
      </c>
      <c r="B4322" s="173" t="s">
        <v>1962</v>
      </c>
      <c r="C4322" s="195">
        <v>127606155</v>
      </c>
      <c r="D4322" s="168"/>
      <c r="E4322" s="29"/>
      <c r="F4322" s="29" t="s">
        <v>183</v>
      </c>
      <c r="G4322" s="3" t="s">
        <v>64</v>
      </c>
      <c r="H4322" s="3" t="s">
        <v>1062</v>
      </c>
      <c r="I4322" s="55">
        <v>46149</v>
      </c>
      <c r="J4322" s="55">
        <v>46153</v>
      </c>
      <c r="K4322" s="55">
        <v>46181</v>
      </c>
      <c r="L4322" s="55"/>
      <c r="M4322" s="55"/>
      <c r="N4322" s="3"/>
      <c r="O4322" s="3" t="s">
        <v>10</v>
      </c>
      <c r="P4322" s="55">
        <v>46179</v>
      </c>
      <c r="Q4322" s="167"/>
      <c r="R4322" s="1"/>
    </row>
    <row r="4323" spans="1:18">
      <c r="A4323" s="166" t="s">
        <v>1961</v>
      </c>
      <c r="B4323" s="173" t="s">
        <v>1962</v>
      </c>
      <c r="C4323" s="195">
        <v>127606136</v>
      </c>
      <c r="D4323" s="168"/>
      <c r="E4323" s="29"/>
      <c r="F4323" s="29" t="s">
        <v>183</v>
      </c>
      <c r="G4323" s="3" t="s">
        <v>64</v>
      </c>
      <c r="H4323" s="3" t="s">
        <v>1062</v>
      </c>
      <c r="I4323" s="55">
        <v>46149</v>
      </c>
      <c r="J4323" s="55">
        <v>46153</v>
      </c>
      <c r="K4323" s="55">
        <v>46181</v>
      </c>
      <c r="L4323" s="55"/>
      <c r="M4323" s="55"/>
      <c r="N4323" s="3"/>
      <c r="O4323" s="3" t="s">
        <v>10</v>
      </c>
      <c r="P4323" s="55">
        <v>46176</v>
      </c>
      <c r="Q4323" s="167"/>
      <c r="R4323" s="1"/>
    </row>
    <row r="4324" spans="1:18">
      <c r="A4324" s="166" t="s">
        <v>1961</v>
      </c>
      <c r="B4324" s="173" t="s">
        <v>1962</v>
      </c>
      <c r="C4324" s="195">
        <v>127606076</v>
      </c>
      <c r="D4324" s="168"/>
      <c r="E4324" s="29"/>
      <c r="F4324" s="29" t="s">
        <v>183</v>
      </c>
      <c r="G4324" s="3" t="s">
        <v>64</v>
      </c>
      <c r="H4324" s="3" t="s">
        <v>1062</v>
      </c>
      <c r="I4324" s="55">
        <v>46149</v>
      </c>
      <c r="J4324" s="55">
        <v>46153</v>
      </c>
      <c r="K4324" s="55">
        <v>46181</v>
      </c>
      <c r="L4324" s="55"/>
      <c r="M4324" s="55"/>
      <c r="N4324" s="3"/>
      <c r="O4324" s="3" t="s">
        <v>10</v>
      </c>
      <c r="P4324" s="55">
        <v>46174</v>
      </c>
      <c r="Q4324" s="167"/>
      <c r="R4324" s="1"/>
    </row>
    <row r="4325" spans="1:18">
      <c r="A4325" s="166" t="s">
        <v>1961</v>
      </c>
      <c r="B4325" s="173" t="s">
        <v>1962</v>
      </c>
      <c r="C4325" s="195">
        <v>127606028</v>
      </c>
      <c r="D4325" s="168"/>
      <c r="E4325" s="29"/>
      <c r="F4325" s="29" t="s">
        <v>183</v>
      </c>
      <c r="G4325" s="3" t="s">
        <v>64</v>
      </c>
      <c r="H4325" s="3" t="s">
        <v>1062</v>
      </c>
      <c r="I4325" s="55">
        <v>46149</v>
      </c>
      <c r="J4325" s="55">
        <v>46153</v>
      </c>
      <c r="K4325" s="55">
        <v>46181</v>
      </c>
      <c r="L4325" s="55"/>
      <c r="M4325" s="55"/>
      <c r="N4325" s="3"/>
      <c r="O4325" s="3" t="s">
        <v>10</v>
      </c>
      <c r="P4325" s="55">
        <v>46179</v>
      </c>
      <c r="Q4325" s="167"/>
      <c r="R4325" s="1"/>
    </row>
    <row r="4326" spans="1:18">
      <c r="A4326" s="166" t="s">
        <v>1961</v>
      </c>
      <c r="B4326" s="173" t="s">
        <v>1962</v>
      </c>
      <c r="C4326" s="195">
        <v>127606006</v>
      </c>
      <c r="D4326" s="168"/>
      <c r="E4326" s="29"/>
      <c r="F4326" s="29" t="s">
        <v>183</v>
      </c>
      <c r="G4326" s="3" t="s">
        <v>64</v>
      </c>
      <c r="H4326" s="3" t="s">
        <v>1062</v>
      </c>
      <c r="I4326" s="55">
        <v>46149</v>
      </c>
      <c r="J4326" s="55">
        <v>46153</v>
      </c>
      <c r="K4326" s="55">
        <v>46181</v>
      </c>
      <c r="L4326" s="55"/>
      <c r="M4326" s="55"/>
      <c r="N4326" s="3"/>
      <c r="O4326" s="3" t="s">
        <v>10</v>
      </c>
      <c r="P4326" s="55">
        <v>46179</v>
      </c>
      <c r="Q4326" s="167"/>
      <c r="R4326" s="1"/>
    </row>
    <row r="4327" spans="1:18">
      <c r="A4327" s="166" t="s">
        <v>1961</v>
      </c>
      <c r="B4327" s="173" t="s">
        <v>1962</v>
      </c>
      <c r="C4327" s="195">
        <v>127605976</v>
      </c>
      <c r="D4327" s="168"/>
      <c r="E4327" s="29"/>
      <c r="F4327" s="29" t="s">
        <v>183</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1963</v>
      </c>
      <c r="B4335" s="173" t="s">
        <v>1964</v>
      </c>
      <c r="C4335" s="195">
        <v>138607831</v>
      </c>
      <c r="D4335" s="168"/>
      <c r="E4335" s="29"/>
      <c r="F4335" s="29" t="s">
        <v>68</v>
      </c>
      <c r="G4335" s="3" t="s">
        <v>64</v>
      </c>
      <c r="H4335" s="3" t="s">
        <v>1965</v>
      </c>
      <c r="I4335" s="55">
        <v>46160</v>
      </c>
      <c r="J4335" s="55">
        <v>46162</v>
      </c>
      <c r="K4335" s="55">
        <v>46190</v>
      </c>
      <c r="L4335" s="55"/>
      <c r="M4335" s="55"/>
      <c r="N4335" s="3"/>
      <c r="O4335" s="3" t="s">
        <v>10</v>
      </c>
      <c r="P4335" s="55">
        <v>46177</v>
      </c>
      <c r="Q4335" s="167"/>
      <c r="R4335" s="1"/>
    </row>
    <row r="4336" spans="1:18">
      <c r="A4336" s="166" t="s">
        <v>1963</v>
      </c>
      <c r="B4336" s="173" t="s">
        <v>1964</v>
      </c>
      <c r="C4336" s="195">
        <v>138607813</v>
      </c>
      <c r="D4336" s="168"/>
      <c r="E4336" s="29"/>
      <c r="F4336" s="29" t="s">
        <v>68</v>
      </c>
      <c r="G4336" s="3" t="s">
        <v>64</v>
      </c>
      <c r="H4336" s="3" t="s">
        <v>1965</v>
      </c>
      <c r="I4336" s="55">
        <v>46160</v>
      </c>
      <c r="J4336" s="55">
        <v>46162</v>
      </c>
      <c r="K4336" s="55">
        <v>46190</v>
      </c>
      <c r="L4336" s="55"/>
      <c r="M4336" s="55"/>
      <c r="N4336" s="3"/>
      <c r="O4336" s="3" t="s">
        <v>10</v>
      </c>
      <c r="P4336" s="55">
        <v>46177</v>
      </c>
      <c r="Q4336" s="167"/>
      <c r="R4336" s="1"/>
    </row>
    <row r="4337" spans="1:18">
      <c r="A4337" s="166" t="s">
        <v>1963</v>
      </c>
      <c r="B4337" s="173" t="s">
        <v>1964</v>
      </c>
      <c r="C4337" s="195">
        <v>138607799</v>
      </c>
      <c r="D4337" s="168"/>
      <c r="E4337" s="29"/>
      <c r="F4337" s="29" t="s">
        <v>68</v>
      </c>
      <c r="G4337" s="3" t="s">
        <v>64</v>
      </c>
      <c r="H4337" s="3" t="s">
        <v>1965</v>
      </c>
      <c r="I4337" s="55">
        <v>46160</v>
      </c>
      <c r="J4337" s="55">
        <v>46162</v>
      </c>
      <c r="K4337" s="55">
        <v>46190</v>
      </c>
      <c r="L4337" s="55"/>
      <c r="M4337" s="55"/>
      <c r="N4337" s="3"/>
      <c r="O4337" s="3" t="s">
        <v>10</v>
      </c>
      <c r="P4337" s="55">
        <v>46177</v>
      </c>
      <c r="Q4337" s="167"/>
      <c r="R4337" s="1"/>
    </row>
    <row r="4338" spans="1:18">
      <c r="A4338" s="166" t="s">
        <v>1963</v>
      </c>
      <c r="B4338" s="173" t="s">
        <v>1964</v>
      </c>
      <c r="C4338" s="195">
        <v>138607782</v>
      </c>
      <c r="D4338" s="168"/>
      <c r="E4338" s="29"/>
      <c r="F4338" s="29" t="s">
        <v>68</v>
      </c>
      <c r="G4338" s="3" t="s">
        <v>64</v>
      </c>
      <c r="H4338" s="3" t="s">
        <v>1965</v>
      </c>
      <c r="I4338" s="55">
        <v>46160</v>
      </c>
      <c r="J4338" s="55">
        <v>46162</v>
      </c>
      <c r="K4338" s="55">
        <v>46190</v>
      </c>
      <c r="L4338" s="55"/>
      <c r="M4338" s="55"/>
      <c r="N4338" s="3"/>
      <c r="O4338" s="3" t="s">
        <v>10</v>
      </c>
      <c r="P4338" s="55">
        <v>46185</v>
      </c>
      <c r="Q4338" s="167"/>
      <c r="R4338" s="1"/>
    </row>
    <row r="4339" spans="1:18">
      <c r="A4339" s="166" t="s">
        <v>1963</v>
      </c>
      <c r="B4339" s="173" t="s">
        <v>1964</v>
      </c>
      <c r="C4339" s="195">
        <v>138607760</v>
      </c>
      <c r="D4339" s="168"/>
      <c r="E4339" s="29"/>
      <c r="F4339" s="29" t="s">
        <v>68</v>
      </c>
      <c r="G4339" s="3" t="s">
        <v>64</v>
      </c>
      <c r="H4339" s="3" t="s">
        <v>1965</v>
      </c>
      <c r="I4339" s="55">
        <v>46160</v>
      </c>
      <c r="J4339" s="55">
        <v>46162</v>
      </c>
      <c r="K4339" s="55">
        <v>46190</v>
      </c>
      <c r="L4339" s="55"/>
      <c r="M4339" s="55"/>
      <c r="N4339" s="3"/>
      <c r="O4339" s="3" t="s">
        <v>10</v>
      </c>
      <c r="P4339" s="55">
        <v>46178</v>
      </c>
      <c r="Q4339" s="167"/>
      <c r="R4339" s="1"/>
    </row>
    <row r="4340" spans="1:18">
      <c r="A4340" s="166" t="s">
        <v>1963</v>
      </c>
      <c r="B4340" s="173" t="s">
        <v>1964</v>
      </c>
      <c r="C4340" s="195">
        <v>138607742</v>
      </c>
      <c r="D4340" s="168"/>
      <c r="E4340" s="29"/>
      <c r="F4340" s="29" t="s">
        <v>68</v>
      </c>
      <c r="G4340" s="3" t="s">
        <v>64</v>
      </c>
      <c r="H4340" s="3" t="s">
        <v>1965</v>
      </c>
      <c r="I4340" s="55">
        <v>46160</v>
      </c>
      <c r="J4340" s="55">
        <v>46162</v>
      </c>
      <c r="K4340" s="55">
        <v>46190</v>
      </c>
      <c r="L4340" s="55"/>
      <c r="M4340" s="55"/>
      <c r="N4340" s="3"/>
      <c r="O4340" s="3" t="s">
        <v>10</v>
      </c>
      <c r="P4340" s="55">
        <v>46178</v>
      </c>
      <c r="Q4340" s="167"/>
      <c r="R4340" s="1"/>
    </row>
    <row r="4341" spans="1:18">
      <c r="A4341" s="166" t="s">
        <v>1963</v>
      </c>
      <c r="B4341" s="173" t="s">
        <v>1964</v>
      </c>
      <c r="C4341" s="195">
        <v>138607664</v>
      </c>
      <c r="D4341" s="168"/>
      <c r="E4341" s="29"/>
      <c r="F4341" s="29" t="s">
        <v>68</v>
      </c>
      <c r="G4341" s="3" t="s">
        <v>64</v>
      </c>
      <c r="H4341" s="3" t="s">
        <v>1965</v>
      </c>
      <c r="I4341" s="55">
        <v>46160</v>
      </c>
      <c r="J4341" s="55">
        <v>46162</v>
      </c>
      <c r="K4341" s="55">
        <v>46190</v>
      </c>
      <c r="L4341" s="55"/>
      <c r="M4341" s="55"/>
      <c r="N4341" s="3"/>
      <c r="O4341" s="3" t="s">
        <v>10</v>
      </c>
      <c r="P4341" s="55">
        <v>46175</v>
      </c>
      <c r="Q4341" s="167"/>
      <c r="R4341" s="1"/>
    </row>
    <row r="4342" spans="1:18">
      <c r="A4342" s="166" t="s">
        <v>1963</v>
      </c>
      <c r="B4342" s="173" t="s">
        <v>1964</v>
      </c>
      <c r="C4342" s="195">
        <v>138607656</v>
      </c>
      <c r="D4342" s="168"/>
      <c r="E4342" s="29"/>
      <c r="F4342" s="29" t="s">
        <v>68</v>
      </c>
      <c r="G4342" s="3" t="s">
        <v>64</v>
      </c>
      <c r="H4342" s="3" t="s">
        <v>1965</v>
      </c>
      <c r="I4342" s="55">
        <v>46160</v>
      </c>
      <c r="J4342" s="55">
        <v>46162</v>
      </c>
      <c r="K4342" s="55">
        <v>46190</v>
      </c>
      <c r="L4342" s="55"/>
      <c r="M4342" s="55"/>
      <c r="N4342" s="3"/>
      <c r="O4342" s="3" t="s">
        <v>10</v>
      </c>
      <c r="P4342" s="55">
        <v>46175</v>
      </c>
      <c r="Q4342" s="167"/>
      <c r="R4342" s="1"/>
    </row>
    <row r="4343" spans="1:18">
      <c r="A4343" s="166" t="s">
        <v>1966</v>
      </c>
      <c r="B4343" s="173" t="s">
        <v>1967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1966</v>
      </c>
      <c r="B4344" s="173" t="s">
        <v>1967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1966</v>
      </c>
      <c r="B4345" s="173" t="s">
        <v>1967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1966</v>
      </c>
      <c r="B4346" s="173" t="s">
        <v>1967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1966</v>
      </c>
      <c r="B4347" s="173" t="s">
        <v>1967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1966</v>
      </c>
      <c r="B4348" s="173" t="s">
        <v>1967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1966</v>
      </c>
      <c r="B4349" s="173" t="s">
        <v>1967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1968</v>
      </c>
      <c r="B4350" s="173" t="s">
        <v>1969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1968</v>
      </c>
      <c r="B4351" s="173" t="s">
        <v>1969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1968</v>
      </c>
      <c r="B4352" s="173" t="s">
        <v>1969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1968</v>
      </c>
      <c r="B4353" s="173" t="s">
        <v>1969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1968</v>
      </c>
      <c r="B4354" s="173" t="s">
        <v>1969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1968</v>
      </c>
      <c r="B4355" s="173" t="s">
        <v>1969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1968</v>
      </c>
      <c r="B4356" s="173" t="s">
        <v>1969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1968</v>
      </c>
      <c r="B4357" s="173" t="s">
        <v>1969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1970</v>
      </c>
      <c r="B4358" s="173" t="s">
        <v>1971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1970</v>
      </c>
      <c r="B4359" s="173" t="s">
        <v>1971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1970</v>
      </c>
      <c r="B4360" s="173" t="s">
        <v>1971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1970</v>
      </c>
      <c r="B4361" s="173" t="s">
        <v>1971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1970</v>
      </c>
      <c r="B4362" s="173" t="s">
        <v>1971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1970</v>
      </c>
      <c r="B4363" s="173" t="s">
        <v>1971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1970</v>
      </c>
      <c r="B4364" s="173" t="s">
        <v>1971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1970</v>
      </c>
      <c r="B4365" s="173" t="s">
        <v>1971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1923</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1923</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1923</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1923</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1923</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1936</v>
      </c>
      <c r="B4379" s="173" t="s">
        <v>1937</v>
      </c>
      <c r="C4379" s="195">
        <v>121600011</v>
      </c>
      <c r="D4379" s="168"/>
      <c r="E4379" s="29"/>
      <c r="F4379" s="29" t="s">
        <v>1906</v>
      </c>
      <c r="G4379" s="3" t="s">
        <v>106</v>
      </c>
      <c r="H4379" s="3" t="s">
        <v>1907</v>
      </c>
      <c r="I4379" s="55">
        <v>46143</v>
      </c>
      <c r="J4379" s="55">
        <v>46146</v>
      </c>
      <c r="K4379" s="55">
        <v>46178</v>
      </c>
      <c r="L4379" s="55"/>
      <c r="M4379" s="55"/>
      <c r="N4379" s="3"/>
      <c r="O4379" s="3" t="s">
        <v>10</v>
      </c>
      <c r="P4379" s="55">
        <v>46163</v>
      </c>
      <c r="Q4379" s="167"/>
      <c r="R4379" s="2"/>
    </row>
    <row r="4380" spans="1:121">
      <c r="A4380" s="166" t="s">
        <v>1936</v>
      </c>
      <c r="B4380" s="173" t="s">
        <v>1937</v>
      </c>
      <c r="C4380" s="195">
        <v>121600014</v>
      </c>
      <c r="D4380" s="168"/>
      <c r="E4380" s="29"/>
      <c r="F4380" s="29" t="s">
        <v>1906</v>
      </c>
      <c r="G4380" s="3" t="s">
        <v>106</v>
      </c>
      <c r="H4380" s="3" t="s">
        <v>1907</v>
      </c>
      <c r="I4380" s="55">
        <v>46143</v>
      </c>
      <c r="J4380" s="55">
        <v>46146</v>
      </c>
      <c r="K4380" s="55">
        <v>46178</v>
      </c>
      <c r="L4380" s="55"/>
      <c r="M4380" s="55"/>
      <c r="N4380" s="3"/>
      <c r="O4380" s="3" t="s">
        <v>10</v>
      </c>
      <c r="P4380" s="55">
        <v>46163</v>
      </c>
      <c r="Q4380" s="167"/>
      <c r="R4380" s="2"/>
    </row>
    <row r="4381" spans="1:121">
      <c r="A4381" s="166" t="s">
        <v>1936</v>
      </c>
      <c r="B4381" s="173" t="s">
        <v>1937</v>
      </c>
      <c r="C4381" s="195">
        <v>121600018</v>
      </c>
      <c r="D4381" s="168"/>
      <c r="E4381" s="29"/>
      <c r="F4381" s="29" t="s">
        <v>1906</v>
      </c>
      <c r="G4381" s="3" t="s">
        <v>106</v>
      </c>
      <c r="H4381" s="3" t="s">
        <v>1907</v>
      </c>
      <c r="I4381" s="55">
        <v>46143</v>
      </c>
      <c r="J4381" s="55">
        <v>46146</v>
      </c>
      <c r="K4381" s="55">
        <v>46178</v>
      </c>
      <c r="L4381" s="55"/>
      <c r="M4381" s="55"/>
      <c r="N4381" s="3"/>
      <c r="O4381" s="3" t="s">
        <v>10</v>
      </c>
      <c r="P4381" s="55">
        <v>46163</v>
      </c>
      <c r="Q4381" s="167"/>
      <c r="R4381" s="2"/>
    </row>
    <row r="4382" spans="1:121">
      <c r="A4382" s="166" t="s">
        <v>1936</v>
      </c>
      <c r="B4382" s="173" t="s">
        <v>1937</v>
      </c>
      <c r="C4382" s="195">
        <v>121600019</v>
      </c>
      <c r="D4382" s="168"/>
      <c r="E4382" s="29"/>
      <c r="F4382" s="29" t="s">
        <v>1906</v>
      </c>
      <c r="G4382" s="3" t="s">
        <v>106</v>
      </c>
      <c r="H4382" s="3" t="s">
        <v>1907</v>
      </c>
      <c r="I4382" s="55">
        <v>46143</v>
      </c>
      <c r="J4382" s="55">
        <v>46146</v>
      </c>
      <c r="K4382" s="55">
        <v>46178</v>
      </c>
      <c r="L4382" s="55"/>
      <c r="M4382" s="55"/>
      <c r="N4382" s="3"/>
      <c r="O4382" s="3" t="s">
        <v>10</v>
      </c>
      <c r="P4382" s="55">
        <v>46163</v>
      </c>
      <c r="Q4382" s="167"/>
      <c r="R4382" s="2"/>
    </row>
    <row r="4383" spans="1:121">
      <c r="A4383" s="166" t="s">
        <v>1936</v>
      </c>
      <c r="B4383" s="173" t="s">
        <v>1937</v>
      </c>
      <c r="C4383" s="195">
        <v>121600023</v>
      </c>
      <c r="D4383" s="168"/>
      <c r="E4383" s="29"/>
      <c r="F4383" s="29" t="s">
        <v>1906</v>
      </c>
      <c r="G4383" s="3" t="s">
        <v>106</v>
      </c>
      <c r="H4383" s="3" t="s">
        <v>1907</v>
      </c>
      <c r="I4383" s="55">
        <v>46143</v>
      </c>
      <c r="J4383" s="55">
        <v>46146</v>
      </c>
      <c r="K4383" s="55">
        <v>46178</v>
      </c>
      <c r="L4383" s="55"/>
      <c r="M4383" s="55"/>
      <c r="N4383" s="3"/>
      <c r="O4383" s="3" t="s">
        <v>10</v>
      </c>
      <c r="P4383" s="55">
        <v>46163</v>
      </c>
      <c r="Q4383" s="167"/>
      <c r="R4383" s="1"/>
    </row>
    <row r="4384" spans="1:121">
      <c r="A4384" s="166" t="s">
        <v>1936</v>
      </c>
      <c r="B4384" s="173" t="s">
        <v>1937</v>
      </c>
      <c r="C4384" s="195">
        <v>121600024</v>
      </c>
      <c r="D4384" s="168"/>
      <c r="E4384" s="29"/>
      <c r="F4384" s="29" t="s">
        <v>1906</v>
      </c>
      <c r="G4384" s="3" t="s">
        <v>106</v>
      </c>
      <c r="H4384" s="3" t="s">
        <v>1907</v>
      </c>
      <c r="I4384" s="55">
        <v>46143</v>
      </c>
      <c r="J4384" s="55">
        <v>46146</v>
      </c>
      <c r="K4384" s="55">
        <v>46178</v>
      </c>
      <c r="L4384" s="55"/>
      <c r="M4384" s="55"/>
      <c r="N4384" s="3"/>
      <c r="O4384" s="3" t="s">
        <v>10</v>
      </c>
      <c r="P4384" s="55">
        <v>46163</v>
      </c>
      <c r="Q4384" s="167"/>
      <c r="R4384" s="1"/>
    </row>
    <row r="4385" spans="1:18">
      <c r="A4385" s="166" t="s">
        <v>1936</v>
      </c>
      <c r="B4385" s="173" t="s">
        <v>1937</v>
      </c>
      <c r="C4385" s="195">
        <v>121600026</v>
      </c>
      <c r="D4385" s="168"/>
      <c r="E4385" s="29"/>
      <c r="F4385" s="29" t="s">
        <v>1906</v>
      </c>
      <c r="G4385" s="3" t="s">
        <v>106</v>
      </c>
      <c r="H4385" s="3" t="s">
        <v>1907</v>
      </c>
      <c r="I4385" s="55">
        <v>46143</v>
      </c>
      <c r="J4385" s="55">
        <v>46146</v>
      </c>
      <c r="K4385" s="55">
        <v>46178</v>
      </c>
      <c r="L4385" s="55"/>
      <c r="M4385" s="55"/>
      <c r="N4385" s="3"/>
      <c r="O4385" s="3" t="s">
        <v>10</v>
      </c>
      <c r="P4385" s="55">
        <v>46163</v>
      </c>
      <c r="Q4385" s="167"/>
      <c r="R4385" s="1"/>
    </row>
    <row r="4386" spans="1:18">
      <c r="A4386" s="166" t="s">
        <v>1936</v>
      </c>
      <c r="B4386" s="173" t="s">
        <v>1937</v>
      </c>
      <c r="C4386" s="195">
        <v>121600029</v>
      </c>
      <c r="D4386" s="168"/>
      <c r="E4386" s="29"/>
      <c r="F4386" s="29" t="s">
        <v>1906</v>
      </c>
      <c r="G4386" s="3" t="s">
        <v>106</v>
      </c>
      <c r="H4386" s="3" t="s">
        <v>1907</v>
      </c>
      <c r="I4386" s="55">
        <v>46143</v>
      </c>
      <c r="J4386" s="55">
        <v>46146</v>
      </c>
      <c r="K4386" s="55">
        <v>46178</v>
      </c>
      <c r="L4386" s="55"/>
      <c r="M4386" s="55"/>
      <c r="N4386" s="3"/>
      <c r="O4386" s="3" t="s">
        <v>10</v>
      </c>
      <c r="P4386" s="55">
        <v>46163</v>
      </c>
      <c r="Q4386" s="167"/>
      <c r="R4386" s="1"/>
    </row>
    <row r="4387" spans="1:18">
      <c r="A4387" s="166" t="s">
        <v>1940</v>
      </c>
      <c r="B4387" s="173" t="s">
        <v>1941</v>
      </c>
      <c r="C4387" s="195">
        <v>134609381</v>
      </c>
      <c r="D4387" s="168"/>
      <c r="E4387" s="29"/>
      <c r="F4387" s="29" t="s">
        <v>1906</v>
      </c>
      <c r="G4387" s="3" t="s">
        <v>106</v>
      </c>
      <c r="H4387" s="3" t="s">
        <v>1907</v>
      </c>
      <c r="I4387" s="55">
        <v>46156</v>
      </c>
      <c r="J4387" s="55">
        <v>46160</v>
      </c>
      <c r="K4387" s="55">
        <v>46188</v>
      </c>
      <c r="L4387" s="55"/>
      <c r="M4387" s="55"/>
      <c r="N4387" s="3"/>
      <c r="O4387" s="3" t="s">
        <v>10</v>
      </c>
      <c r="P4387" s="55">
        <v>46161</v>
      </c>
      <c r="Q4387" s="167"/>
      <c r="R4387" s="1"/>
    </row>
    <row r="4388" spans="1:18">
      <c r="A4388" s="166" t="s">
        <v>1940</v>
      </c>
      <c r="B4388" s="173" t="s">
        <v>1941</v>
      </c>
      <c r="C4388" s="195">
        <v>134609384</v>
      </c>
      <c r="D4388" s="168"/>
      <c r="E4388" s="29"/>
      <c r="F4388" s="29" t="s">
        <v>1906</v>
      </c>
      <c r="G4388" s="3" t="s">
        <v>106</v>
      </c>
      <c r="H4388" s="3" t="s">
        <v>1907</v>
      </c>
      <c r="I4388" s="55">
        <v>46156</v>
      </c>
      <c r="J4388" s="55">
        <v>46160</v>
      </c>
      <c r="K4388" s="55">
        <v>46188</v>
      </c>
      <c r="L4388" s="55"/>
      <c r="M4388" s="55"/>
      <c r="N4388" s="3"/>
      <c r="O4388" s="3" t="s">
        <v>10</v>
      </c>
      <c r="P4388" s="55">
        <v>46161</v>
      </c>
      <c r="Q4388" s="167"/>
      <c r="R4388" s="1"/>
    </row>
    <row r="4389" spans="1:18">
      <c r="A4389" s="166" t="s">
        <v>1940</v>
      </c>
      <c r="B4389" s="173" t="s">
        <v>1941</v>
      </c>
      <c r="C4389" s="195">
        <v>134609389</v>
      </c>
      <c r="D4389" s="168"/>
      <c r="E4389" s="29"/>
      <c r="F4389" s="29" t="s">
        <v>1906</v>
      </c>
      <c r="G4389" s="3" t="s">
        <v>106</v>
      </c>
      <c r="H4389" s="3" t="s">
        <v>1907</v>
      </c>
      <c r="I4389" s="55">
        <v>46156</v>
      </c>
      <c r="J4389" s="55">
        <v>46160</v>
      </c>
      <c r="K4389" s="55">
        <v>46188</v>
      </c>
      <c r="L4389" s="55"/>
      <c r="M4389" s="55"/>
      <c r="N4389" s="3"/>
      <c r="O4389" s="3" t="s">
        <v>10</v>
      </c>
      <c r="P4389" s="55">
        <v>46161</v>
      </c>
      <c r="Q4389" s="167"/>
      <c r="R4389" s="1"/>
    </row>
    <row r="4390" spans="1:18">
      <c r="A4390" s="166" t="s">
        <v>1940</v>
      </c>
      <c r="B4390" s="173" t="s">
        <v>1941</v>
      </c>
      <c r="C4390" s="195">
        <v>134609392</v>
      </c>
      <c r="D4390" s="168"/>
      <c r="E4390" s="29"/>
      <c r="F4390" s="29" t="s">
        <v>1906</v>
      </c>
      <c r="G4390" s="3" t="s">
        <v>106</v>
      </c>
      <c r="H4390" s="3" t="s">
        <v>1907</v>
      </c>
      <c r="I4390" s="55">
        <v>46156</v>
      </c>
      <c r="J4390" s="55">
        <v>46160</v>
      </c>
      <c r="K4390" s="55">
        <v>46188</v>
      </c>
      <c r="L4390" s="55"/>
      <c r="M4390" s="55"/>
      <c r="N4390" s="3"/>
      <c r="O4390" s="3" t="s">
        <v>10</v>
      </c>
      <c r="P4390" s="55">
        <v>46161</v>
      </c>
      <c r="Q4390" s="167"/>
      <c r="R4390" s="1"/>
    </row>
    <row r="4391" spans="1:18">
      <c r="A4391" s="166" t="s">
        <v>1940</v>
      </c>
      <c r="B4391" s="173" t="s">
        <v>1941</v>
      </c>
      <c r="C4391" s="195">
        <v>134609397</v>
      </c>
      <c r="D4391" s="168"/>
      <c r="E4391" s="29"/>
      <c r="F4391" s="29" t="s">
        <v>1906</v>
      </c>
      <c r="G4391" s="3" t="s">
        <v>106</v>
      </c>
      <c r="H4391" s="3" t="s">
        <v>1907</v>
      </c>
      <c r="I4391" s="55">
        <v>46156</v>
      </c>
      <c r="J4391" s="55">
        <v>46160</v>
      </c>
      <c r="K4391" s="55">
        <v>46188</v>
      </c>
      <c r="L4391" s="55"/>
      <c r="M4391" s="55"/>
      <c r="N4391" s="3"/>
      <c r="O4391" s="3" t="s">
        <v>10</v>
      </c>
      <c r="P4391" s="55">
        <v>46161</v>
      </c>
      <c r="Q4391" s="167"/>
      <c r="R4391" s="1"/>
    </row>
    <row r="4392" spans="1:18">
      <c r="A4392" s="166" t="s">
        <v>1940</v>
      </c>
      <c r="B4392" s="173" t="s">
        <v>1941</v>
      </c>
      <c r="C4392" s="195">
        <v>134609401</v>
      </c>
      <c r="D4392" s="168"/>
      <c r="E4392" s="29"/>
      <c r="F4392" s="29" t="s">
        <v>1906</v>
      </c>
      <c r="G4392" s="3" t="s">
        <v>106</v>
      </c>
      <c r="H4392" s="3" t="s">
        <v>1907</v>
      </c>
      <c r="I4392" s="55">
        <v>46156</v>
      </c>
      <c r="J4392" s="55">
        <v>46160</v>
      </c>
      <c r="K4392" s="55">
        <v>46188</v>
      </c>
      <c r="L4392" s="55"/>
      <c r="M4392" s="55"/>
      <c r="N4392" s="3"/>
      <c r="O4392" s="3" t="s">
        <v>10</v>
      </c>
      <c r="P4392" s="55">
        <v>46161</v>
      </c>
      <c r="Q4392" s="167"/>
      <c r="R4392" s="1"/>
    </row>
    <row r="4393" spans="1:18">
      <c r="A4393" s="166" t="s">
        <v>1940</v>
      </c>
      <c r="B4393" s="173" t="s">
        <v>1941</v>
      </c>
      <c r="C4393" s="195">
        <v>135600005</v>
      </c>
      <c r="D4393" s="168"/>
      <c r="E4393" s="29"/>
      <c r="F4393" s="29" t="s">
        <v>1906</v>
      </c>
      <c r="G4393" s="3" t="s">
        <v>106</v>
      </c>
      <c r="H4393" s="3" t="s">
        <v>1907</v>
      </c>
      <c r="I4393" s="55">
        <v>46156</v>
      </c>
      <c r="J4393" s="55">
        <v>46160</v>
      </c>
      <c r="K4393" s="55">
        <v>46188</v>
      </c>
      <c r="L4393" s="55"/>
      <c r="M4393" s="55"/>
      <c r="N4393" s="3"/>
      <c r="O4393" s="3" t="s">
        <v>10</v>
      </c>
      <c r="P4393" s="55">
        <v>46161</v>
      </c>
      <c r="Q4393" s="167"/>
      <c r="R4393" s="1"/>
    </row>
    <row r="4394" spans="1:18">
      <c r="A4394" s="166" t="s">
        <v>1943</v>
      </c>
      <c r="B4394" s="200" t="s">
        <v>1944</v>
      </c>
      <c r="C4394" s="195">
        <v>151600798</v>
      </c>
      <c r="D4394" s="168"/>
      <c r="E4394" s="29"/>
      <c r="F4394" s="29" t="s">
        <v>118</v>
      </c>
      <c r="G4394" s="3" t="s">
        <v>1942</v>
      </c>
      <c r="H4394" s="3" t="s">
        <v>119</v>
      </c>
      <c r="I4394" s="55">
        <v>46175</v>
      </c>
      <c r="J4394" s="55">
        <v>46178</v>
      </c>
      <c r="K4394" s="55">
        <v>46205</v>
      </c>
      <c r="L4394" s="3"/>
      <c r="M4394" s="3"/>
      <c r="N4394" s="3"/>
      <c r="O4394" s="3" t="s">
        <v>10</v>
      </c>
      <c r="P4394" s="55">
        <v>46181</v>
      </c>
      <c r="Q4394" s="167"/>
      <c r="R4394" s="1"/>
    </row>
    <row r="4395" spans="1:18">
      <c r="A4395" s="166" t="s">
        <v>1943</v>
      </c>
      <c r="B4395" s="200" t="s">
        <v>1944</v>
      </c>
      <c r="C4395" s="195">
        <v>151600788</v>
      </c>
      <c r="D4395" s="168"/>
      <c r="E4395" s="29"/>
      <c r="F4395" s="29" t="s">
        <v>118</v>
      </c>
      <c r="G4395" s="3" t="s">
        <v>1942</v>
      </c>
      <c r="H4395" s="3" t="s">
        <v>119</v>
      </c>
      <c r="I4395" s="55">
        <v>46175</v>
      </c>
      <c r="J4395" s="55">
        <v>46178</v>
      </c>
      <c r="K4395" s="55">
        <v>46205</v>
      </c>
      <c r="L4395" s="3"/>
      <c r="M4395" s="3"/>
      <c r="N4395" s="3"/>
      <c r="O4395" s="3" t="s">
        <v>10</v>
      </c>
      <c r="P4395" s="55">
        <v>46181</v>
      </c>
      <c r="Q4395" s="167"/>
      <c r="R4395" s="1"/>
    </row>
    <row r="4396" spans="1:18">
      <c r="A4396" s="166" t="s">
        <v>1943</v>
      </c>
      <c r="B4396" s="200" t="s">
        <v>1944</v>
      </c>
      <c r="C4396" s="195">
        <v>151600787</v>
      </c>
      <c r="D4396" s="168"/>
      <c r="E4396" s="29"/>
      <c r="F4396" s="29" t="s">
        <v>118</v>
      </c>
      <c r="G4396" s="3" t="s">
        <v>1942</v>
      </c>
      <c r="H4396" s="3" t="s">
        <v>119</v>
      </c>
      <c r="I4396" s="55">
        <v>46175</v>
      </c>
      <c r="J4396" s="55">
        <v>46178</v>
      </c>
      <c r="K4396" s="55">
        <v>46205</v>
      </c>
      <c r="L4396" s="3"/>
      <c r="M4396" s="3"/>
      <c r="N4396" s="3"/>
      <c r="O4396" s="3" t="s">
        <v>10</v>
      </c>
      <c r="P4396" s="55">
        <v>46181</v>
      </c>
      <c r="Q4396" s="167"/>
      <c r="R4396" s="1"/>
    </row>
    <row r="4397" spans="1:18">
      <c r="A4397" s="166" t="s">
        <v>1943</v>
      </c>
      <c r="B4397" s="200" t="s">
        <v>1944</v>
      </c>
      <c r="C4397" s="195">
        <v>151600781</v>
      </c>
      <c r="D4397" s="168"/>
      <c r="E4397" s="29"/>
      <c r="F4397" s="29" t="s">
        <v>118</v>
      </c>
      <c r="G4397" s="3" t="s">
        <v>1942</v>
      </c>
      <c r="H4397" s="3" t="s">
        <v>119</v>
      </c>
      <c r="I4397" s="55">
        <v>46175</v>
      </c>
      <c r="J4397" s="55">
        <v>46178</v>
      </c>
      <c r="K4397" s="55">
        <v>46205</v>
      </c>
      <c r="L4397" s="3"/>
      <c r="M4397" s="3"/>
      <c r="N4397" s="3"/>
      <c r="O4397" s="3" t="s">
        <v>10</v>
      </c>
      <c r="P4397" s="55">
        <v>46181</v>
      </c>
      <c r="Q4397" s="167"/>
      <c r="R4397" s="1"/>
    </row>
    <row r="4398" spans="1:18">
      <c r="A4398" s="166" t="s">
        <v>1943</v>
      </c>
      <c r="B4398" s="200" t="s">
        <v>1944</v>
      </c>
      <c r="C4398" s="195">
        <v>151600779</v>
      </c>
      <c r="D4398" s="168"/>
      <c r="E4398" s="29"/>
      <c r="F4398" s="29" t="s">
        <v>118</v>
      </c>
      <c r="G4398" s="3" t="s">
        <v>1942</v>
      </c>
      <c r="H4398" s="3" t="s">
        <v>119</v>
      </c>
      <c r="I4398" s="55">
        <v>46175</v>
      </c>
      <c r="J4398" s="55">
        <v>46178</v>
      </c>
      <c r="K4398" s="55">
        <v>46205</v>
      </c>
      <c r="L4398" s="3"/>
      <c r="M4398" s="3"/>
      <c r="N4398" s="3"/>
      <c r="O4398" s="3" t="s">
        <v>10</v>
      </c>
      <c r="P4398" s="55">
        <v>46181</v>
      </c>
      <c r="Q4398" s="167"/>
      <c r="R4398" s="1"/>
    </row>
    <row r="4399" spans="1:18">
      <c r="A4399" s="166" t="s">
        <v>1940</v>
      </c>
      <c r="B4399" s="200" t="s">
        <v>1941</v>
      </c>
      <c r="C4399" s="195">
        <v>135600005</v>
      </c>
      <c r="D4399" s="168"/>
      <c r="E4399" s="29"/>
      <c r="F4399" s="29" t="s">
        <v>118</v>
      </c>
      <c r="G4399" s="3" t="s">
        <v>1942</v>
      </c>
      <c r="H4399" s="3" t="s">
        <v>119</v>
      </c>
      <c r="I4399" s="55">
        <v>46175</v>
      </c>
      <c r="J4399" s="55">
        <v>46178</v>
      </c>
      <c r="K4399" s="55">
        <v>46205</v>
      </c>
      <c r="L4399" s="3"/>
      <c r="M4399" s="3"/>
      <c r="N4399" s="3"/>
      <c r="O4399" s="3" t="s">
        <v>10</v>
      </c>
      <c r="P4399" s="55">
        <v>46181</v>
      </c>
      <c r="Q4399" s="167"/>
      <c r="R4399" s="1"/>
    </row>
    <row r="4400" spans="1:18">
      <c r="A4400" s="166" t="s">
        <v>1938</v>
      </c>
      <c r="B4400" s="200" t="s">
        <v>1939</v>
      </c>
      <c r="C4400" s="195">
        <v>134609213</v>
      </c>
      <c r="D4400" s="168"/>
      <c r="E4400" s="29"/>
      <c r="F4400" s="29" t="s">
        <v>118</v>
      </c>
      <c r="G4400" s="3" t="s">
        <v>1942</v>
      </c>
      <c r="H4400" s="3" t="s">
        <v>119</v>
      </c>
      <c r="I4400" s="55">
        <v>46175</v>
      </c>
      <c r="J4400" s="55">
        <v>46178</v>
      </c>
      <c r="K4400" s="55">
        <v>46205</v>
      </c>
      <c r="L4400" s="3"/>
      <c r="M4400" s="3"/>
      <c r="N4400" s="3"/>
      <c r="O4400" s="3" t="s">
        <v>10</v>
      </c>
      <c r="P4400" s="55">
        <v>46175</v>
      </c>
      <c r="Q4400" s="167"/>
      <c r="R4400" s="1"/>
    </row>
    <row r="4401" spans="1:18">
      <c r="A4401" s="166" t="s">
        <v>1938</v>
      </c>
      <c r="B4401" s="200" t="s">
        <v>1939</v>
      </c>
      <c r="C4401" s="195">
        <v>134609207</v>
      </c>
      <c r="D4401" s="168"/>
      <c r="E4401" s="29"/>
      <c r="F4401" s="29" t="s">
        <v>118</v>
      </c>
      <c r="G4401" s="3" t="s">
        <v>1942</v>
      </c>
      <c r="H4401" s="3" t="s">
        <v>119</v>
      </c>
      <c r="I4401" s="55">
        <v>46175</v>
      </c>
      <c r="J4401" s="55">
        <v>46178</v>
      </c>
      <c r="K4401" s="55">
        <v>46205</v>
      </c>
      <c r="L4401" s="3"/>
      <c r="M4401" s="3"/>
      <c r="N4401" s="3"/>
      <c r="O4401" s="3" t="s">
        <v>10</v>
      </c>
      <c r="P4401" s="55">
        <v>46175</v>
      </c>
      <c r="Q4401" s="167"/>
      <c r="R4401" s="1"/>
    </row>
    <row r="4402" spans="1:18">
      <c r="A4402" s="166" t="s">
        <v>1938</v>
      </c>
      <c r="B4402" s="200" t="s">
        <v>1939</v>
      </c>
      <c r="C4402" s="195">
        <v>134609201</v>
      </c>
      <c r="D4402" s="168"/>
      <c r="E4402" s="29"/>
      <c r="F4402" s="29" t="s">
        <v>118</v>
      </c>
      <c r="G4402" s="3" t="s">
        <v>1942</v>
      </c>
      <c r="H4402" s="3" t="s">
        <v>119</v>
      </c>
      <c r="I4402" s="55">
        <v>46175</v>
      </c>
      <c r="J4402" s="55">
        <v>46178</v>
      </c>
      <c r="K4402" s="55">
        <v>46205</v>
      </c>
      <c r="L4402" s="3"/>
      <c r="M4402" s="3"/>
      <c r="N4402" s="3"/>
      <c r="O4402" s="3" t="s">
        <v>10</v>
      </c>
      <c r="P4402" s="55">
        <v>46175</v>
      </c>
      <c r="Q4402" s="167"/>
      <c r="R4402" s="1"/>
    </row>
    <row r="4403" spans="1:18">
      <c r="A4403" s="166" t="s">
        <v>1938</v>
      </c>
      <c r="B4403" s="200" t="s">
        <v>1939</v>
      </c>
      <c r="C4403" s="195">
        <v>134609195</v>
      </c>
      <c r="D4403" s="168"/>
      <c r="E4403" s="29"/>
      <c r="F4403" s="29" t="s">
        <v>118</v>
      </c>
      <c r="G4403" s="3" t="s">
        <v>1942</v>
      </c>
      <c r="H4403" s="3" t="s">
        <v>119</v>
      </c>
      <c r="I4403" s="55">
        <v>46175</v>
      </c>
      <c r="J4403" s="55">
        <v>46178</v>
      </c>
      <c r="K4403" s="55">
        <v>46205</v>
      </c>
      <c r="L4403" s="3"/>
      <c r="M4403" s="3"/>
      <c r="N4403" s="3"/>
      <c r="O4403" s="3" t="s">
        <v>10</v>
      </c>
      <c r="P4403" s="55">
        <v>46175</v>
      </c>
      <c r="Q4403" s="167"/>
      <c r="R4403" s="1"/>
    </row>
    <row r="4404" spans="1:18">
      <c r="A4404" s="166" t="s">
        <v>1938</v>
      </c>
      <c r="B4404" s="200" t="s">
        <v>1939</v>
      </c>
      <c r="C4404" s="195">
        <v>134609183</v>
      </c>
      <c r="D4404" s="168"/>
      <c r="E4404" s="29"/>
      <c r="F4404" s="29" t="s">
        <v>118</v>
      </c>
      <c r="G4404" s="3" t="s">
        <v>1942</v>
      </c>
      <c r="H4404" s="3" t="s">
        <v>119</v>
      </c>
      <c r="I4404" s="55">
        <v>46175</v>
      </c>
      <c r="J4404" s="55">
        <v>46178</v>
      </c>
      <c r="K4404" s="55">
        <v>46205</v>
      </c>
      <c r="L4404" s="3"/>
      <c r="M4404" s="3"/>
      <c r="N4404" s="3"/>
      <c r="O4404" s="3" t="s">
        <v>10</v>
      </c>
      <c r="P4404" s="55">
        <v>46175</v>
      </c>
      <c r="Q4404" s="167"/>
      <c r="R4404" s="1"/>
    </row>
    <row r="4405" spans="1:18">
      <c r="A4405" s="166" t="s">
        <v>1938</v>
      </c>
      <c r="B4405" s="200" t="s">
        <v>1939</v>
      </c>
      <c r="C4405" s="195">
        <v>134609180</v>
      </c>
      <c r="D4405" s="168"/>
      <c r="E4405" s="29"/>
      <c r="F4405" s="29" t="s">
        <v>118</v>
      </c>
      <c r="G4405" s="3" t="s">
        <v>1942</v>
      </c>
      <c r="H4405" s="3" t="s">
        <v>119</v>
      </c>
      <c r="I4405" s="55">
        <v>46175</v>
      </c>
      <c r="J4405" s="55">
        <v>46178</v>
      </c>
      <c r="K4405" s="55">
        <v>46205</v>
      </c>
      <c r="L4405" s="3"/>
      <c r="M4405" s="3"/>
      <c r="N4405" s="3"/>
      <c r="O4405" s="3" t="s">
        <v>10</v>
      </c>
      <c r="P4405" s="55">
        <v>46175</v>
      </c>
      <c r="Q4405" s="167"/>
      <c r="R4405" s="1"/>
    </row>
    <row r="4406" spans="1:18">
      <c r="A4406" s="166" t="s">
        <v>1938</v>
      </c>
      <c r="B4406" s="200" t="s">
        <v>1939</v>
      </c>
      <c r="C4406" s="195">
        <v>134609155</v>
      </c>
      <c r="D4406" s="168"/>
      <c r="E4406" s="29"/>
      <c r="F4406" s="29" t="s">
        <v>118</v>
      </c>
      <c r="G4406" s="3" t="s">
        <v>1942</v>
      </c>
      <c r="H4406" s="3" t="s">
        <v>119</v>
      </c>
      <c r="I4406" s="55">
        <v>46175</v>
      </c>
      <c r="J4406" s="55">
        <v>46178</v>
      </c>
      <c r="K4406" s="55">
        <v>46205</v>
      </c>
      <c r="L4406" s="3"/>
      <c r="M4406" s="3"/>
      <c r="N4406" s="3"/>
      <c r="O4406" s="3" t="s">
        <v>10</v>
      </c>
      <c r="P4406" s="55">
        <v>46175</v>
      </c>
      <c r="Q4406" s="167"/>
      <c r="R4406" s="1"/>
    </row>
    <row r="4407" spans="1:18">
      <c r="A4407" s="166" t="s">
        <v>1938</v>
      </c>
      <c r="B4407" s="200" t="s">
        <v>1939</v>
      </c>
      <c r="C4407" s="195">
        <v>134609137</v>
      </c>
      <c r="D4407" s="168"/>
      <c r="E4407" s="29"/>
      <c r="F4407" s="29" t="s">
        <v>118</v>
      </c>
      <c r="G4407" s="3" t="s">
        <v>1942</v>
      </c>
      <c r="H4407" s="3" t="s">
        <v>119</v>
      </c>
      <c r="I4407" s="55">
        <v>46175</v>
      </c>
      <c r="J4407" s="55">
        <v>46178</v>
      </c>
      <c r="K4407" s="55">
        <v>46205</v>
      </c>
      <c r="L4407" s="3"/>
      <c r="M4407" s="3"/>
      <c r="N4407" s="3"/>
      <c r="O4407" s="3" t="s">
        <v>10</v>
      </c>
      <c r="P4407" s="55">
        <v>46175</v>
      </c>
      <c r="Q4407" s="167"/>
      <c r="R4407" s="1"/>
    </row>
    <row r="4408" spans="1:18">
      <c r="A4408" s="201" t="s">
        <v>1923</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1923</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1923</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1923</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1923</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1936</v>
      </c>
      <c r="B4413" s="173" t="s">
        <v>1937</v>
      </c>
      <c r="C4413" s="195">
        <v>121600011</v>
      </c>
      <c r="D4413" s="168"/>
      <c r="E4413" s="29"/>
      <c r="F4413" s="29" t="s">
        <v>1906</v>
      </c>
      <c r="G4413" s="3" t="s">
        <v>106</v>
      </c>
      <c r="H4413" s="3" t="s">
        <v>1907</v>
      </c>
      <c r="I4413" s="55">
        <v>46143</v>
      </c>
      <c r="J4413" s="55">
        <v>46146</v>
      </c>
      <c r="K4413" s="55">
        <v>46178</v>
      </c>
      <c r="L4413" s="55"/>
      <c r="M4413" s="55"/>
      <c r="N4413" s="3"/>
      <c r="O4413" s="3" t="s">
        <v>10</v>
      </c>
      <c r="P4413" s="55">
        <v>46163</v>
      </c>
      <c r="Q4413" s="167"/>
      <c r="R4413" s="2"/>
    </row>
    <row r="4414" spans="1:18">
      <c r="A4414" s="202" t="s">
        <v>1936</v>
      </c>
      <c r="B4414" s="173" t="s">
        <v>1937</v>
      </c>
      <c r="C4414" s="195">
        <v>121600014</v>
      </c>
      <c r="D4414" s="168"/>
      <c r="E4414" s="29"/>
      <c r="F4414" s="29" t="s">
        <v>1906</v>
      </c>
      <c r="G4414" s="3" t="s">
        <v>106</v>
      </c>
      <c r="H4414" s="3" t="s">
        <v>1907</v>
      </c>
      <c r="I4414" s="55">
        <v>46143</v>
      </c>
      <c r="J4414" s="55">
        <v>46146</v>
      </c>
      <c r="K4414" s="55">
        <v>46178</v>
      </c>
      <c r="L4414" s="55"/>
      <c r="M4414" s="55"/>
      <c r="N4414" s="3"/>
      <c r="O4414" s="3" t="s">
        <v>10</v>
      </c>
      <c r="P4414" s="55">
        <v>46163</v>
      </c>
      <c r="Q4414" s="167"/>
      <c r="R4414" s="2"/>
    </row>
    <row r="4415" spans="1:18">
      <c r="A4415" s="202" t="s">
        <v>1936</v>
      </c>
      <c r="B4415" s="173" t="s">
        <v>1937</v>
      </c>
      <c r="C4415" s="195">
        <v>121600018</v>
      </c>
      <c r="D4415" s="168"/>
      <c r="E4415" s="29"/>
      <c r="F4415" s="29" t="s">
        <v>1906</v>
      </c>
      <c r="G4415" s="3" t="s">
        <v>106</v>
      </c>
      <c r="H4415" s="3" t="s">
        <v>1907</v>
      </c>
      <c r="I4415" s="55">
        <v>46143</v>
      </c>
      <c r="J4415" s="55">
        <v>46146</v>
      </c>
      <c r="K4415" s="55">
        <v>46178</v>
      </c>
      <c r="L4415" s="55"/>
      <c r="M4415" s="55"/>
      <c r="N4415" s="3"/>
      <c r="O4415" s="3" t="s">
        <v>10</v>
      </c>
      <c r="P4415" s="55">
        <v>46163</v>
      </c>
      <c r="Q4415" s="167"/>
      <c r="R4415" s="2"/>
    </row>
    <row r="4416" spans="1:18">
      <c r="A4416" s="202" t="s">
        <v>1936</v>
      </c>
      <c r="B4416" s="173" t="s">
        <v>1937</v>
      </c>
      <c r="C4416" s="195">
        <v>121600019</v>
      </c>
      <c r="D4416" s="168"/>
      <c r="E4416" s="29"/>
      <c r="F4416" s="29" t="s">
        <v>1906</v>
      </c>
      <c r="G4416" s="3" t="s">
        <v>106</v>
      </c>
      <c r="H4416" s="3" t="s">
        <v>1907</v>
      </c>
      <c r="I4416" s="55">
        <v>46143</v>
      </c>
      <c r="J4416" s="55">
        <v>46146</v>
      </c>
      <c r="K4416" s="55">
        <v>46178</v>
      </c>
      <c r="L4416" s="55"/>
      <c r="M4416" s="55"/>
      <c r="N4416" s="3"/>
      <c r="O4416" s="3" t="s">
        <v>10</v>
      </c>
      <c r="P4416" s="55">
        <v>46163</v>
      </c>
      <c r="Q4416" s="167"/>
      <c r="R4416" s="2"/>
    </row>
    <row r="4417" spans="1:18">
      <c r="A4417" s="202" t="s">
        <v>1936</v>
      </c>
      <c r="B4417" s="173" t="s">
        <v>1937</v>
      </c>
      <c r="C4417" s="195">
        <v>121600023</v>
      </c>
      <c r="D4417" s="168"/>
      <c r="E4417" s="29"/>
      <c r="F4417" s="29" t="s">
        <v>1906</v>
      </c>
      <c r="G4417" s="3" t="s">
        <v>106</v>
      </c>
      <c r="H4417" s="3" t="s">
        <v>1907</v>
      </c>
      <c r="I4417" s="55">
        <v>46143</v>
      </c>
      <c r="J4417" s="55">
        <v>46146</v>
      </c>
      <c r="K4417" s="55">
        <v>46178</v>
      </c>
      <c r="L4417" s="55"/>
      <c r="M4417" s="55"/>
      <c r="N4417" s="3"/>
      <c r="O4417" s="3" t="s">
        <v>10</v>
      </c>
      <c r="P4417" s="55">
        <v>46163</v>
      </c>
      <c r="Q4417" s="167"/>
      <c r="R4417" s="1"/>
    </row>
    <row r="4418" spans="1:18">
      <c r="A4418" s="202" t="s">
        <v>1936</v>
      </c>
      <c r="B4418" s="173" t="s">
        <v>1937</v>
      </c>
      <c r="C4418" s="195">
        <v>121600024</v>
      </c>
      <c r="D4418" s="168"/>
      <c r="E4418" s="29"/>
      <c r="F4418" s="29" t="s">
        <v>1906</v>
      </c>
      <c r="G4418" s="3" t="s">
        <v>106</v>
      </c>
      <c r="H4418" s="3" t="s">
        <v>1907</v>
      </c>
      <c r="I4418" s="55">
        <v>46143</v>
      </c>
      <c r="J4418" s="55">
        <v>46146</v>
      </c>
      <c r="K4418" s="55">
        <v>46178</v>
      </c>
      <c r="L4418" s="55"/>
      <c r="M4418" s="55"/>
      <c r="N4418" s="3"/>
      <c r="O4418" s="3" t="s">
        <v>10</v>
      </c>
      <c r="P4418" s="55">
        <v>46163</v>
      </c>
      <c r="Q4418" s="167"/>
      <c r="R4418" s="1"/>
    </row>
    <row r="4419" spans="1:18">
      <c r="A4419" s="202" t="s">
        <v>1936</v>
      </c>
      <c r="B4419" s="173" t="s">
        <v>1937</v>
      </c>
      <c r="C4419" s="195">
        <v>121600026</v>
      </c>
      <c r="D4419" s="168"/>
      <c r="E4419" s="29"/>
      <c r="F4419" s="29" t="s">
        <v>1906</v>
      </c>
      <c r="G4419" s="3" t="s">
        <v>106</v>
      </c>
      <c r="H4419" s="3" t="s">
        <v>1907</v>
      </c>
      <c r="I4419" s="55">
        <v>46143</v>
      </c>
      <c r="J4419" s="55">
        <v>46146</v>
      </c>
      <c r="K4419" s="55">
        <v>46178</v>
      </c>
      <c r="L4419" s="55"/>
      <c r="M4419" s="55"/>
      <c r="N4419" s="3"/>
      <c r="O4419" s="3" t="s">
        <v>10</v>
      </c>
      <c r="P4419" s="55">
        <v>46163</v>
      </c>
      <c r="Q4419" s="167"/>
      <c r="R4419" s="1"/>
    </row>
    <row r="4420" spans="1:18">
      <c r="A4420" s="202" t="s">
        <v>1936</v>
      </c>
      <c r="B4420" s="173" t="s">
        <v>1937</v>
      </c>
      <c r="C4420" s="195">
        <v>121600029</v>
      </c>
      <c r="D4420" s="168"/>
      <c r="E4420" s="29"/>
      <c r="F4420" s="29" t="s">
        <v>1906</v>
      </c>
      <c r="G4420" s="3" t="s">
        <v>106</v>
      </c>
      <c r="H4420" s="3" t="s">
        <v>1907</v>
      </c>
      <c r="I4420" s="55">
        <v>46143</v>
      </c>
      <c r="J4420" s="55">
        <v>46146</v>
      </c>
      <c r="K4420" s="55">
        <v>46178</v>
      </c>
      <c r="L4420" s="55"/>
      <c r="M4420" s="55"/>
      <c r="N4420" s="3"/>
      <c r="O4420" s="3" t="s">
        <v>10</v>
      </c>
      <c r="P4420" s="55">
        <v>46163</v>
      </c>
      <c r="Q4420" s="167"/>
      <c r="R4420" s="1"/>
    </row>
    <row r="4421" spans="1:18">
      <c r="A4421" s="202" t="s">
        <v>1940</v>
      </c>
      <c r="B4421" s="173" t="s">
        <v>1941</v>
      </c>
      <c r="C4421" s="195">
        <v>134609381</v>
      </c>
      <c r="D4421" s="168"/>
      <c r="E4421" s="29"/>
      <c r="F4421" s="29" t="s">
        <v>1906</v>
      </c>
      <c r="G4421" s="3" t="s">
        <v>106</v>
      </c>
      <c r="H4421" s="3" t="s">
        <v>1907</v>
      </c>
      <c r="I4421" s="55">
        <v>46156</v>
      </c>
      <c r="J4421" s="55">
        <v>46160</v>
      </c>
      <c r="K4421" s="55">
        <v>46188</v>
      </c>
      <c r="L4421" s="55"/>
      <c r="M4421" s="55"/>
      <c r="N4421" s="3"/>
      <c r="O4421" s="3" t="s">
        <v>10</v>
      </c>
      <c r="P4421" s="55">
        <v>46161</v>
      </c>
      <c r="Q4421" s="167"/>
      <c r="R4421" s="1"/>
    </row>
    <row r="4422" spans="1:18">
      <c r="A4422" s="202" t="s">
        <v>1940</v>
      </c>
      <c r="B4422" s="173" t="s">
        <v>1941</v>
      </c>
      <c r="C4422" s="195">
        <v>134609384</v>
      </c>
      <c r="D4422" s="168"/>
      <c r="E4422" s="29"/>
      <c r="F4422" s="29" t="s">
        <v>1906</v>
      </c>
      <c r="G4422" s="3" t="s">
        <v>106</v>
      </c>
      <c r="H4422" s="3" t="s">
        <v>1907</v>
      </c>
      <c r="I4422" s="55">
        <v>46156</v>
      </c>
      <c r="J4422" s="55">
        <v>46160</v>
      </c>
      <c r="K4422" s="55">
        <v>46188</v>
      </c>
      <c r="L4422" s="55"/>
      <c r="M4422" s="55"/>
      <c r="N4422" s="3"/>
      <c r="O4422" s="3" t="s">
        <v>10</v>
      </c>
      <c r="P4422" s="55">
        <v>46161</v>
      </c>
      <c r="Q4422" s="167"/>
      <c r="R4422" s="1"/>
    </row>
    <row r="4423" spans="1:18">
      <c r="A4423" s="202" t="s">
        <v>1940</v>
      </c>
      <c r="B4423" s="173" t="s">
        <v>1941</v>
      </c>
      <c r="C4423" s="195">
        <v>134609389</v>
      </c>
      <c r="D4423" s="168"/>
      <c r="E4423" s="29"/>
      <c r="F4423" s="29" t="s">
        <v>1906</v>
      </c>
      <c r="G4423" s="3" t="s">
        <v>106</v>
      </c>
      <c r="H4423" s="3" t="s">
        <v>1907</v>
      </c>
      <c r="I4423" s="55">
        <v>46156</v>
      </c>
      <c r="J4423" s="55">
        <v>46160</v>
      </c>
      <c r="K4423" s="55">
        <v>46188</v>
      </c>
      <c r="L4423" s="55"/>
      <c r="M4423" s="55"/>
      <c r="N4423" s="3"/>
      <c r="O4423" s="3" t="s">
        <v>10</v>
      </c>
      <c r="P4423" s="55">
        <v>46161</v>
      </c>
      <c r="Q4423" s="167"/>
      <c r="R4423" s="1"/>
    </row>
    <row r="4424" spans="1:18">
      <c r="A4424" s="202" t="s">
        <v>1940</v>
      </c>
      <c r="B4424" s="173" t="s">
        <v>1941</v>
      </c>
      <c r="C4424" s="195">
        <v>134609392</v>
      </c>
      <c r="D4424" s="168"/>
      <c r="E4424" s="29"/>
      <c r="F4424" s="29" t="s">
        <v>1906</v>
      </c>
      <c r="G4424" s="3" t="s">
        <v>106</v>
      </c>
      <c r="H4424" s="3" t="s">
        <v>1907</v>
      </c>
      <c r="I4424" s="55">
        <v>46156</v>
      </c>
      <c r="J4424" s="55">
        <v>46160</v>
      </c>
      <c r="K4424" s="55">
        <v>46188</v>
      </c>
      <c r="L4424" s="55"/>
      <c r="M4424" s="55"/>
      <c r="N4424" s="3"/>
      <c r="O4424" s="3" t="s">
        <v>10</v>
      </c>
      <c r="P4424" s="55">
        <v>46161</v>
      </c>
      <c r="Q4424" s="167"/>
      <c r="R4424" s="1"/>
    </row>
    <row r="4425" spans="1:18">
      <c r="A4425" s="202" t="s">
        <v>1940</v>
      </c>
      <c r="B4425" s="173" t="s">
        <v>1941</v>
      </c>
      <c r="C4425" s="195">
        <v>134609397</v>
      </c>
      <c r="D4425" s="168"/>
      <c r="E4425" s="29"/>
      <c r="F4425" s="29" t="s">
        <v>1906</v>
      </c>
      <c r="G4425" s="3" t="s">
        <v>106</v>
      </c>
      <c r="H4425" s="3" t="s">
        <v>1907</v>
      </c>
      <c r="I4425" s="55">
        <v>46156</v>
      </c>
      <c r="J4425" s="55">
        <v>46160</v>
      </c>
      <c r="K4425" s="55">
        <v>46188</v>
      </c>
      <c r="L4425" s="55"/>
      <c r="M4425" s="55"/>
      <c r="N4425" s="3"/>
      <c r="O4425" s="3" t="s">
        <v>10</v>
      </c>
      <c r="P4425" s="55">
        <v>46161</v>
      </c>
      <c r="Q4425" s="167"/>
      <c r="R4425" s="1"/>
    </row>
    <row r="4426" spans="1:18">
      <c r="A4426" s="202" t="s">
        <v>1940</v>
      </c>
      <c r="B4426" s="173" t="s">
        <v>1941</v>
      </c>
      <c r="C4426" s="195">
        <v>134609401</v>
      </c>
      <c r="D4426" s="168"/>
      <c r="E4426" s="29"/>
      <c r="F4426" s="29" t="s">
        <v>1906</v>
      </c>
      <c r="G4426" s="3" t="s">
        <v>106</v>
      </c>
      <c r="H4426" s="3" t="s">
        <v>1907</v>
      </c>
      <c r="I4426" s="55">
        <v>46156</v>
      </c>
      <c r="J4426" s="55">
        <v>46160</v>
      </c>
      <c r="K4426" s="55">
        <v>46188</v>
      </c>
      <c r="L4426" s="55"/>
      <c r="M4426" s="55"/>
      <c r="N4426" s="3"/>
      <c r="O4426" s="3" t="s">
        <v>10</v>
      </c>
      <c r="P4426" s="55">
        <v>46161</v>
      </c>
      <c r="Q4426" s="167"/>
      <c r="R4426" s="1"/>
    </row>
    <row r="4427" spans="1:18">
      <c r="A4427" s="202" t="s">
        <v>1940</v>
      </c>
      <c r="B4427" s="173" t="s">
        <v>1941</v>
      </c>
      <c r="C4427" s="195">
        <v>135600005</v>
      </c>
      <c r="D4427" s="168"/>
      <c r="E4427" s="29"/>
      <c r="F4427" s="29" t="s">
        <v>1906</v>
      </c>
      <c r="G4427" s="3" t="s">
        <v>106</v>
      </c>
      <c r="H4427" s="3" t="s">
        <v>1907</v>
      </c>
      <c r="I4427" s="55">
        <v>46156</v>
      </c>
      <c r="J4427" s="55">
        <v>46160</v>
      </c>
      <c r="K4427" s="55">
        <v>46188</v>
      </c>
      <c r="L4427" s="55"/>
      <c r="M4427" s="55"/>
      <c r="N4427" s="3"/>
      <c r="O4427" s="3" t="s">
        <v>10</v>
      </c>
      <c r="P4427" s="55">
        <v>46161</v>
      </c>
      <c r="Q4427" s="167"/>
      <c r="R4427" s="1"/>
    </row>
    <row r="4428" spans="1:18">
      <c r="A4428" s="202" t="s">
        <v>1943</v>
      </c>
      <c r="B4428" s="200" t="s">
        <v>1944</v>
      </c>
      <c r="C4428" s="195">
        <v>151600798</v>
      </c>
      <c r="D4428" s="168"/>
      <c r="E4428" s="29"/>
      <c r="F4428" s="29" t="s">
        <v>118</v>
      </c>
      <c r="G4428" s="3" t="s">
        <v>1942</v>
      </c>
      <c r="H4428" s="3" t="s">
        <v>119</v>
      </c>
      <c r="I4428" s="55">
        <v>46175</v>
      </c>
      <c r="J4428" s="55">
        <v>46178</v>
      </c>
      <c r="K4428" s="55">
        <v>46205</v>
      </c>
      <c r="L4428" s="3"/>
      <c r="M4428" s="3"/>
      <c r="N4428" s="3"/>
      <c r="O4428" s="3" t="s">
        <v>10</v>
      </c>
      <c r="P4428" s="55">
        <v>46181</v>
      </c>
      <c r="Q4428" s="167"/>
      <c r="R4428" s="1"/>
    </row>
    <row r="4429" spans="1:18">
      <c r="A4429" s="202" t="s">
        <v>1943</v>
      </c>
      <c r="B4429" s="200" t="s">
        <v>1944</v>
      </c>
      <c r="C4429" s="195">
        <v>151600788</v>
      </c>
      <c r="D4429" s="168"/>
      <c r="E4429" s="29"/>
      <c r="F4429" s="29" t="s">
        <v>118</v>
      </c>
      <c r="G4429" s="3" t="s">
        <v>1942</v>
      </c>
      <c r="H4429" s="3" t="s">
        <v>119</v>
      </c>
      <c r="I4429" s="55">
        <v>46175</v>
      </c>
      <c r="J4429" s="55">
        <v>46178</v>
      </c>
      <c r="K4429" s="55">
        <v>46205</v>
      </c>
      <c r="L4429" s="3"/>
      <c r="M4429" s="3"/>
      <c r="N4429" s="3"/>
      <c r="O4429" s="3" t="s">
        <v>10</v>
      </c>
      <c r="P4429" s="55">
        <v>46181</v>
      </c>
      <c r="Q4429" s="167"/>
      <c r="R4429" s="1"/>
    </row>
    <row r="4430" spans="1:18">
      <c r="A4430" s="202" t="s">
        <v>1943</v>
      </c>
      <c r="B4430" s="200" t="s">
        <v>1944</v>
      </c>
      <c r="C4430" s="195">
        <v>151600787</v>
      </c>
      <c r="D4430" s="168"/>
      <c r="E4430" s="29"/>
      <c r="F4430" s="29" t="s">
        <v>118</v>
      </c>
      <c r="G4430" s="3" t="s">
        <v>1942</v>
      </c>
      <c r="H4430" s="3" t="s">
        <v>119</v>
      </c>
      <c r="I4430" s="55">
        <v>46175</v>
      </c>
      <c r="J4430" s="55">
        <v>46178</v>
      </c>
      <c r="K4430" s="55">
        <v>46205</v>
      </c>
      <c r="L4430" s="3"/>
      <c r="M4430" s="3"/>
      <c r="N4430" s="3"/>
      <c r="O4430" s="3" t="s">
        <v>10</v>
      </c>
      <c r="P4430" s="55">
        <v>46181</v>
      </c>
      <c r="Q4430" s="167"/>
      <c r="R4430" s="1"/>
    </row>
    <row r="4431" spans="1:18">
      <c r="A4431" s="202" t="s">
        <v>1943</v>
      </c>
      <c r="B4431" s="200" t="s">
        <v>1944</v>
      </c>
      <c r="C4431" s="195">
        <v>151600781</v>
      </c>
      <c r="D4431" s="168"/>
      <c r="E4431" s="29"/>
      <c r="F4431" s="29" t="s">
        <v>118</v>
      </c>
      <c r="G4431" s="3" t="s">
        <v>1942</v>
      </c>
      <c r="H4431" s="3" t="s">
        <v>119</v>
      </c>
      <c r="I4431" s="55">
        <v>46175</v>
      </c>
      <c r="J4431" s="55">
        <v>46178</v>
      </c>
      <c r="K4431" s="55">
        <v>46205</v>
      </c>
      <c r="L4431" s="3"/>
      <c r="M4431" s="3"/>
      <c r="N4431" s="3"/>
      <c r="O4431" s="3" t="s">
        <v>10</v>
      </c>
      <c r="P4431" s="55">
        <v>46181</v>
      </c>
      <c r="Q4431" s="167"/>
      <c r="R4431" s="1"/>
    </row>
    <row r="4432" spans="1:18">
      <c r="A4432" s="202" t="s">
        <v>1943</v>
      </c>
      <c r="B4432" s="200" t="s">
        <v>1944</v>
      </c>
      <c r="C4432" s="195">
        <v>151600779</v>
      </c>
      <c r="D4432" s="168"/>
      <c r="E4432" s="29"/>
      <c r="F4432" s="29" t="s">
        <v>118</v>
      </c>
      <c r="G4432" s="3" t="s">
        <v>1942</v>
      </c>
      <c r="H4432" s="3" t="s">
        <v>119</v>
      </c>
      <c r="I4432" s="55">
        <v>46175</v>
      </c>
      <c r="J4432" s="55">
        <v>46178</v>
      </c>
      <c r="K4432" s="55">
        <v>46205</v>
      </c>
      <c r="L4432" s="3"/>
      <c r="M4432" s="3"/>
      <c r="N4432" s="3"/>
      <c r="O4432" s="3" t="s">
        <v>10</v>
      </c>
      <c r="P4432" s="55">
        <v>46181</v>
      </c>
      <c r="Q4432" s="167"/>
      <c r="R4432" s="1"/>
    </row>
    <row r="4433" spans="1:18">
      <c r="A4433" s="202" t="s">
        <v>1940</v>
      </c>
      <c r="B4433" s="200" t="s">
        <v>1941</v>
      </c>
      <c r="C4433" s="195">
        <v>135600005</v>
      </c>
      <c r="D4433" s="168"/>
      <c r="E4433" s="29"/>
      <c r="F4433" s="29" t="s">
        <v>118</v>
      </c>
      <c r="G4433" s="3" t="s">
        <v>1942</v>
      </c>
      <c r="H4433" s="3" t="s">
        <v>119</v>
      </c>
      <c r="I4433" s="55">
        <v>46175</v>
      </c>
      <c r="J4433" s="55">
        <v>46178</v>
      </c>
      <c r="K4433" s="55">
        <v>46205</v>
      </c>
      <c r="L4433" s="3"/>
      <c r="M4433" s="3"/>
      <c r="N4433" s="3"/>
      <c r="O4433" s="3" t="s">
        <v>10</v>
      </c>
      <c r="P4433" s="55">
        <v>46181</v>
      </c>
      <c r="Q4433" s="167"/>
      <c r="R4433" s="1"/>
    </row>
    <row r="4434" spans="1:18">
      <c r="A4434" s="202" t="s">
        <v>1938</v>
      </c>
      <c r="B4434" s="200" t="s">
        <v>1939</v>
      </c>
      <c r="C4434" s="195">
        <v>134609213</v>
      </c>
      <c r="D4434" s="168"/>
      <c r="E4434" s="29"/>
      <c r="F4434" s="29" t="s">
        <v>118</v>
      </c>
      <c r="G4434" s="3" t="s">
        <v>1942</v>
      </c>
      <c r="H4434" s="3" t="s">
        <v>119</v>
      </c>
      <c r="I4434" s="55">
        <v>46175</v>
      </c>
      <c r="J4434" s="55">
        <v>46178</v>
      </c>
      <c r="K4434" s="55">
        <v>46205</v>
      </c>
      <c r="L4434" s="3"/>
      <c r="M4434" s="3"/>
      <c r="N4434" s="3"/>
      <c r="O4434" s="3" t="s">
        <v>10</v>
      </c>
      <c r="P4434" s="55">
        <v>46175</v>
      </c>
      <c r="Q4434" s="167"/>
      <c r="R4434" s="1"/>
    </row>
    <row r="4435" spans="1:18">
      <c r="A4435" s="202" t="s">
        <v>1938</v>
      </c>
      <c r="B4435" s="200" t="s">
        <v>1939</v>
      </c>
      <c r="C4435" s="195">
        <v>134609207</v>
      </c>
      <c r="D4435" s="168"/>
      <c r="E4435" s="29"/>
      <c r="F4435" s="29" t="s">
        <v>118</v>
      </c>
      <c r="G4435" s="3" t="s">
        <v>1942</v>
      </c>
      <c r="H4435" s="3" t="s">
        <v>119</v>
      </c>
      <c r="I4435" s="55">
        <v>46175</v>
      </c>
      <c r="J4435" s="55">
        <v>46178</v>
      </c>
      <c r="K4435" s="55">
        <v>46205</v>
      </c>
      <c r="L4435" s="3"/>
      <c r="M4435" s="3"/>
      <c r="N4435" s="3"/>
      <c r="O4435" s="3" t="s">
        <v>10</v>
      </c>
      <c r="P4435" s="55">
        <v>46175</v>
      </c>
      <c r="Q4435" s="167"/>
      <c r="R4435" s="1"/>
    </row>
    <row r="4436" spans="1:18">
      <c r="A4436" s="202" t="s">
        <v>1938</v>
      </c>
      <c r="B4436" s="200" t="s">
        <v>1939</v>
      </c>
      <c r="C4436" s="195">
        <v>134609201</v>
      </c>
      <c r="D4436" s="168"/>
      <c r="E4436" s="29"/>
      <c r="F4436" s="29" t="s">
        <v>118</v>
      </c>
      <c r="G4436" s="3" t="s">
        <v>1942</v>
      </c>
      <c r="H4436" s="3" t="s">
        <v>119</v>
      </c>
      <c r="I4436" s="55">
        <v>46175</v>
      </c>
      <c r="J4436" s="55">
        <v>46178</v>
      </c>
      <c r="K4436" s="55">
        <v>46205</v>
      </c>
      <c r="L4436" s="3"/>
      <c r="M4436" s="3"/>
      <c r="N4436" s="3"/>
      <c r="O4436" s="3" t="s">
        <v>10</v>
      </c>
      <c r="P4436" s="55">
        <v>46175</v>
      </c>
      <c r="Q4436" s="167"/>
      <c r="R4436" s="1"/>
    </row>
    <row r="4437" spans="1:18">
      <c r="A4437" s="202" t="s">
        <v>1938</v>
      </c>
      <c r="B4437" s="200" t="s">
        <v>1939</v>
      </c>
      <c r="C4437" s="195">
        <v>134609195</v>
      </c>
      <c r="D4437" s="168"/>
      <c r="E4437" s="29"/>
      <c r="F4437" s="29" t="s">
        <v>118</v>
      </c>
      <c r="G4437" s="3" t="s">
        <v>1942</v>
      </c>
      <c r="H4437" s="3" t="s">
        <v>119</v>
      </c>
      <c r="I4437" s="55">
        <v>46175</v>
      </c>
      <c r="J4437" s="55">
        <v>46178</v>
      </c>
      <c r="K4437" s="55">
        <v>46205</v>
      </c>
      <c r="L4437" s="3"/>
      <c r="M4437" s="3"/>
      <c r="N4437" s="3"/>
      <c r="O4437" s="3" t="s">
        <v>10</v>
      </c>
      <c r="P4437" s="55">
        <v>46175</v>
      </c>
      <c r="Q4437" s="167"/>
      <c r="R4437" s="1"/>
    </row>
    <row r="4438" spans="1:18">
      <c r="A4438" s="202" t="s">
        <v>1938</v>
      </c>
      <c r="B4438" s="200" t="s">
        <v>1939</v>
      </c>
      <c r="C4438" s="195">
        <v>134609183</v>
      </c>
      <c r="D4438" s="168"/>
      <c r="E4438" s="29"/>
      <c r="F4438" s="29" t="s">
        <v>118</v>
      </c>
      <c r="G4438" s="3" t="s">
        <v>1942</v>
      </c>
      <c r="H4438" s="3" t="s">
        <v>119</v>
      </c>
      <c r="I4438" s="55">
        <v>46175</v>
      </c>
      <c r="J4438" s="55">
        <v>46178</v>
      </c>
      <c r="K4438" s="55">
        <v>46205</v>
      </c>
      <c r="L4438" s="3"/>
      <c r="M4438" s="3"/>
      <c r="N4438" s="3"/>
      <c r="O4438" s="3" t="s">
        <v>10</v>
      </c>
      <c r="P4438" s="55">
        <v>46175</v>
      </c>
      <c r="Q4438" s="167"/>
      <c r="R4438" s="1"/>
    </row>
    <row r="4439" spans="1:18">
      <c r="A4439" s="202" t="s">
        <v>1938</v>
      </c>
      <c r="B4439" s="200" t="s">
        <v>1939</v>
      </c>
      <c r="C4439" s="195">
        <v>134609180</v>
      </c>
      <c r="D4439" s="168"/>
      <c r="E4439" s="29"/>
      <c r="F4439" s="29" t="s">
        <v>118</v>
      </c>
      <c r="G4439" s="3" t="s">
        <v>1942</v>
      </c>
      <c r="H4439" s="3" t="s">
        <v>119</v>
      </c>
      <c r="I4439" s="55">
        <v>46175</v>
      </c>
      <c r="J4439" s="55">
        <v>46178</v>
      </c>
      <c r="K4439" s="55">
        <v>46205</v>
      </c>
      <c r="L4439" s="3"/>
      <c r="M4439" s="3"/>
      <c r="N4439" s="3"/>
      <c r="O4439" s="3" t="s">
        <v>10</v>
      </c>
      <c r="P4439" s="55">
        <v>46175</v>
      </c>
      <c r="Q4439" s="167"/>
      <c r="R4439" s="1"/>
    </row>
    <row r="4440" spans="1:18">
      <c r="A4440" s="202" t="s">
        <v>1938</v>
      </c>
      <c r="B4440" s="200" t="s">
        <v>1939</v>
      </c>
      <c r="C4440" s="195">
        <v>134609155</v>
      </c>
      <c r="D4440" s="168"/>
      <c r="E4440" s="29"/>
      <c r="F4440" s="29" t="s">
        <v>118</v>
      </c>
      <c r="G4440" s="3" t="s">
        <v>1942</v>
      </c>
      <c r="H4440" s="3" t="s">
        <v>119</v>
      </c>
      <c r="I4440" s="55">
        <v>46175</v>
      </c>
      <c r="J4440" s="55">
        <v>46178</v>
      </c>
      <c r="K4440" s="55">
        <v>46205</v>
      </c>
      <c r="L4440" s="3"/>
      <c r="M4440" s="3"/>
      <c r="N4440" s="3"/>
      <c r="O4440" s="3" t="s">
        <v>10</v>
      </c>
      <c r="P4440" s="55">
        <v>46175</v>
      </c>
      <c r="Q4440" s="167"/>
      <c r="R4440" s="1"/>
    </row>
    <row r="4441" spans="1:18">
      <c r="A4441" s="202" t="s">
        <v>1938</v>
      </c>
      <c r="B4441" s="200" t="s">
        <v>1939</v>
      </c>
      <c r="C4441" s="195">
        <v>134609137</v>
      </c>
      <c r="D4441" s="168"/>
      <c r="E4441" s="29"/>
      <c r="F4441" s="29" t="s">
        <v>118</v>
      </c>
      <c r="G4441" s="3" t="s">
        <v>1942</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1972</v>
      </c>
      <c r="G4442" s="3" t="s">
        <v>106</v>
      </c>
      <c r="H4442" s="3" t="s">
        <v>1907</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1972</v>
      </c>
      <c r="G4443" s="3" t="s">
        <v>106</v>
      </c>
      <c r="H4443" s="3" t="s">
        <v>1907</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1972</v>
      </c>
      <c r="G4444" s="3" t="s">
        <v>106</v>
      </c>
      <c r="H4444" s="3" t="s">
        <v>1907</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1972</v>
      </c>
      <c r="G4445" s="3" t="s">
        <v>106</v>
      </c>
      <c r="H4445" s="3" t="s">
        <v>1907</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1972</v>
      </c>
      <c r="G4446" s="3" t="s">
        <v>106</v>
      </c>
      <c r="H4446" s="3" t="s">
        <v>1907</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1972</v>
      </c>
      <c r="G4447" s="3" t="s">
        <v>106</v>
      </c>
      <c r="H4447" s="3" t="s">
        <v>1907</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1972</v>
      </c>
      <c r="G4448" s="3" t="s">
        <v>106</v>
      </c>
      <c r="H4448" s="3" t="s">
        <v>1907</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1972</v>
      </c>
      <c r="G4449" s="3" t="s">
        <v>106</v>
      </c>
      <c r="H4449" s="3" t="s">
        <v>1907</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1972</v>
      </c>
      <c r="G4450" s="3" t="s">
        <v>106</v>
      </c>
      <c r="H4450" s="3" t="s">
        <v>1907</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1972</v>
      </c>
      <c r="G4451" s="3" t="s">
        <v>106</v>
      </c>
      <c r="H4451" s="3" t="s">
        <v>1907</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1972</v>
      </c>
      <c r="G4452" s="3" t="s">
        <v>106</v>
      </c>
      <c r="H4452" s="3" t="s">
        <v>1907</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1972</v>
      </c>
      <c r="G4453" s="3" t="s">
        <v>106</v>
      </c>
      <c r="H4453" s="3" t="s">
        <v>1907</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1972</v>
      </c>
      <c r="G4454" s="3" t="s">
        <v>106</v>
      </c>
      <c r="H4454" s="3" t="s">
        <v>1907</v>
      </c>
      <c r="I4454" s="55">
        <v>46198</v>
      </c>
      <c r="J4454" s="55">
        <v>46202</v>
      </c>
      <c r="K4454" s="55">
        <v>46227</v>
      </c>
      <c r="L4454" s="55"/>
      <c r="M4454" s="55"/>
      <c r="N4454" s="3"/>
      <c r="O4454" s="3" t="s">
        <v>10</v>
      </c>
      <c r="P4454" s="3"/>
      <c r="Q4454" s="167"/>
      <c r="R4454" s="1"/>
    </row>
    <row r="4455" spans="1:121">
      <c r="A4455" s="173" t="s">
        <v>1973</v>
      </c>
      <c r="B4455" s="173" t="s">
        <v>1974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1973</v>
      </c>
      <c r="B4456" s="173" t="s">
        <v>1974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1973</v>
      </c>
      <c r="B4457" s="173" t="s">
        <v>1974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1973</v>
      </c>
      <c r="B4458" s="173" t="s">
        <v>1974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1973</v>
      </c>
      <c r="B4459" s="173" t="s">
        <v>1974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1973</v>
      </c>
      <c r="B4460" s="173" t="s">
        <v>1974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1973</v>
      </c>
      <c r="B4461" s="173" t="s">
        <v>1974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1973</v>
      </c>
      <c r="B4462" s="173" t="s">
        <v>1974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1973</v>
      </c>
      <c r="B4463" s="173" t="s">
        <v>1974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1973</v>
      </c>
      <c r="B4464" s="173" t="s">
        <v>1974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1973</v>
      </c>
      <c r="B4465" s="173" t="s">
        <v>1974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1975</v>
      </c>
      <c r="B4466" s="173" t="s">
        <v>1976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1975</v>
      </c>
      <c r="B4467" s="173" t="s">
        <v>1976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1975</v>
      </c>
      <c r="B4468" s="173" t="s">
        <v>1976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1975</v>
      </c>
      <c r="B4469" s="173" t="s">
        <v>1976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1975</v>
      </c>
      <c r="B4470" s="173" t="s">
        <v>1976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1975</v>
      </c>
      <c r="B4471" s="173" t="s">
        <v>1976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1975</v>
      </c>
      <c r="B4472" s="173" t="s">
        <v>1976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1975</v>
      </c>
      <c r="B4473" s="173" t="s">
        <v>1976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1975</v>
      </c>
      <c r="B4474" s="173" t="s">
        <v>1976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1975</v>
      </c>
      <c r="B4475" s="173" t="s">
        <v>1976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1975</v>
      </c>
      <c r="B4476" s="173" t="s">
        <v>1976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1978</v>
      </c>
      <c r="B4490" s="173" t="s">
        <v>1979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1978</v>
      </c>
      <c r="B4491" s="173" t="s">
        <v>1979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1978</v>
      </c>
      <c r="B4492" s="173" t="s">
        <v>1979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1978</v>
      </c>
      <c r="B4493" s="173" t="s">
        <v>1979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1978</v>
      </c>
      <c r="B4494" s="173" t="s">
        <v>1979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1978</v>
      </c>
      <c r="B4495" s="173" t="s">
        <v>1979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1978</v>
      </c>
      <c r="B4496" s="173" t="s">
        <v>1979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1980</v>
      </c>
      <c r="B4497" s="173" t="s">
        <v>1981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1980</v>
      </c>
      <c r="B4498" s="173" t="s">
        <v>1981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1980</v>
      </c>
      <c r="B4499" s="173" t="s">
        <v>1981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1980</v>
      </c>
      <c r="B4500" s="173" t="s">
        <v>1981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1980</v>
      </c>
      <c r="B4501" s="173" t="s">
        <v>1981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1980</v>
      </c>
      <c r="B4502" s="173" t="s">
        <v>1981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1980</v>
      </c>
      <c r="B4503" s="173" t="s">
        <v>1981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1980</v>
      </c>
      <c r="B4504" s="173" t="s">
        <v>1981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1982</v>
      </c>
      <c r="B4505" s="173" t="s">
        <v>1983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1982</v>
      </c>
      <c r="B4506" s="173" t="s">
        <v>1983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1982</v>
      </c>
      <c r="B4507" s="173" t="s">
        <v>1983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1982</v>
      </c>
      <c r="B4508" s="173" t="s">
        <v>1983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1982</v>
      </c>
      <c r="B4509" s="173" t="s">
        <v>1983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1982</v>
      </c>
      <c r="B4510" s="173" t="s">
        <v>1983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1982</v>
      </c>
      <c r="B4511" s="173" t="s">
        <v>1983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1982</v>
      </c>
      <c r="B4512" s="173" t="s">
        <v>1983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1961</v>
      </c>
      <c r="B4513" s="173" t="s">
        <v>1962</v>
      </c>
      <c r="C4513" s="195">
        <v>127606213</v>
      </c>
      <c r="D4513" s="168"/>
      <c r="E4513" s="29"/>
      <c r="F4513" s="29" t="s">
        <v>183</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1961</v>
      </c>
      <c r="B4514" s="173" t="s">
        <v>1962</v>
      </c>
      <c r="C4514" s="195">
        <v>127606103</v>
      </c>
      <c r="D4514" s="168"/>
      <c r="E4514" s="29"/>
      <c r="F4514" s="29" t="s">
        <v>183</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1963</v>
      </c>
      <c r="B4515" s="173" t="s">
        <v>1964</v>
      </c>
      <c r="C4515" s="195">
        <v>138607791</v>
      </c>
      <c r="D4515" s="168"/>
      <c r="E4515" s="29"/>
      <c r="F4515" s="29" t="s">
        <v>68</v>
      </c>
      <c r="G4515" s="3" t="s">
        <v>64</v>
      </c>
      <c r="H4515" s="3" t="s">
        <v>1965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1963</v>
      </c>
      <c r="B4516" s="173" t="s">
        <v>1964</v>
      </c>
      <c r="C4516" s="195">
        <v>138607618</v>
      </c>
      <c r="D4516" s="168"/>
      <c r="E4516" s="29"/>
      <c r="F4516" s="29" t="s">
        <v>68</v>
      </c>
      <c r="G4516" s="3" t="s">
        <v>64</v>
      </c>
      <c r="H4516" s="3" t="s">
        <v>1965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1984</v>
      </c>
      <c r="B4517" s="183" t="s">
        <v>1985</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1984</v>
      </c>
      <c r="B4518" s="183" t="s">
        <v>1985</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1984</v>
      </c>
      <c r="B4519" s="183" t="s">
        <v>1985</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1984</v>
      </c>
      <c r="B4520" s="183" t="s">
        <v>1985</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1984</v>
      </c>
      <c r="B4521" s="183" t="s">
        <v>1985</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1984</v>
      </c>
      <c r="B4522" s="183" t="s">
        <v>1985</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1984</v>
      </c>
      <c r="B4523" s="183" t="s">
        <v>1985</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1984</v>
      </c>
      <c r="B4524" s="183" t="s">
        <v>1985</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1986</v>
      </c>
      <c r="B4531" s="183" t="s">
        <v>151</v>
      </c>
      <c r="C4531" s="195">
        <v>147604963</v>
      </c>
      <c r="D4531" s="168"/>
      <c r="E4531" s="29"/>
      <c r="F4531" s="29" t="s">
        <v>1987</v>
      </c>
      <c r="G4531" s="3" t="s">
        <v>153</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1986</v>
      </c>
      <c r="B4532" s="183" t="s">
        <v>151</v>
      </c>
      <c r="C4532" s="195">
        <v>147604803</v>
      </c>
      <c r="D4532" s="168"/>
      <c r="E4532" s="29"/>
      <c r="F4532" s="29" t="s">
        <v>1987</v>
      </c>
      <c r="G4532" s="3" t="s">
        <v>153</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1986</v>
      </c>
      <c r="B4533" s="183" t="s">
        <v>151</v>
      </c>
      <c r="C4533" s="195">
        <v>147605087</v>
      </c>
      <c r="D4533" s="168"/>
      <c r="E4533" s="29"/>
      <c r="F4533" s="29" t="s">
        <v>1987</v>
      </c>
      <c r="G4533" s="3" t="s">
        <v>153</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1986</v>
      </c>
      <c r="B4534" s="183" t="s">
        <v>151</v>
      </c>
      <c r="C4534" s="195">
        <v>147605275</v>
      </c>
      <c r="D4534" s="168"/>
      <c r="E4534" s="29"/>
      <c r="F4534" s="29" t="s">
        <v>1987</v>
      </c>
      <c r="G4534" s="3" t="s">
        <v>153</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1986</v>
      </c>
      <c r="B4535" s="183" t="s">
        <v>151</v>
      </c>
      <c r="C4535" s="195">
        <v>147605379</v>
      </c>
      <c r="D4535" s="168"/>
      <c r="E4535" s="29"/>
      <c r="F4535" s="29" t="s">
        <v>1987</v>
      </c>
      <c r="G4535" s="3" t="s">
        <v>153</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1988</v>
      </c>
      <c r="B4536" s="183" t="s">
        <v>1989</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1988</v>
      </c>
      <c r="B4537" s="183" t="s">
        <v>1989</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1988</v>
      </c>
      <c r="B4538" s="183" t="s">
        <v>1989</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1988</v>
      </c>
      <c r="B4539" s="183" t="s">
        <v>1989</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1988</v>
      </c>
      <c r="B4540" s="183" t="s">
        <v>1989</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1988</v>
      </c>
      <c r="B4541" s="183" t="s">
        <v>1989</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1988</v>
      </c>
      <c r="B4542" s="183" t="s">
        <v>1989</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1988</v>
      </c>
      <c r="B4543" s="183" t="s">
        <v>1989</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1988</v>
      </c>
      <c r="B4544" s="183" t="s">
        <v>1989</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1990</v>
      </c>
      <c r="B4545" s="173" t="s">
        <v>1991</v>
      </c>
      <c r="C4545" s="195">
        <v>189601853</v>
      </c>
      <c r="D4545" s="168"/>
      <c r="E4545" s="29"/>
      <c r="F4545" s="29" t="s">
        <v>87</v>
      </c>
      <c r="G4545" s="3" t="s">
        <v>64</v>
      </c>
      <c r="H4545" s="3" t="s">
        <v>30</v>
      </c>
      <c r="I4545" s="59">
        <v>46211</v>
      </c>
      <c r="J4545" s="59">
        <v>46214</v>
      </c>
      <c r="K4545" s="59">
        <v>46242</v>
      </c>
      <c r="L4545" s="45"/>
      <c r="M4545" s="45"/>
      <c r="N4545" s="45"/>
      <c r="O4545" s="3" t="s">
        <v>1992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1990</v>
      </c>
      <c r="B4546" s="173" t="s">
        <v>1991</v>
      </c>
      <c r="C4546" s="195">
        <v>189601897</v>
      </c>
      <c r="D4546" s="168"/>
      <c r="E4546" s="29"/>
      <c r="F4546" s="29" t="s">
        <v>87</v>
      </c>
      <c r="G4546" s="3" t="s">
        <v>64</v>
      </c>
      <c r="H4546" s="3" t="s">
        <v>30</v>
      </c>
      <c r="I4546" s="59">
        <v>46211</v>
      </c>
      <c r="J4546" s="59">
        <v>46214</v>
      </c>
      <c r="K4546" s="59">
        <v>46242</v>
      </c>
      <c r="L4546" s="45"/>
      <c r="M4546" s="45"/>
      <c r="N4546" s="45"/>
      <c r="O4546" s="3" t="s">
        <v>1992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1990</v>
      </c>
      <c r="B4547" s="173" t="s">
        <v>1991</v>
      </c>
      <c r="C4547" s="195">
        <v>189601924</v>
      </c>
      <c r="D4547" s="168"/>
      <c r="E4547" s="29"/>
      <c r="F4547" s="29" t="s">
        <v>87</v>
      </c>
      <c r="G4547" s="3" t="s">
        <v>64</v>
      </c>
      <c r="H4547" s="3" t="s">
        <v>30</v>
      </c>
      <c r="I4547" s="59">
        <v>46211</v>
      </c>
      <c r="J4547" s="59">
        <v>46214</v>
      </c>
      <c r="K4547" s="59">
        <v>46242</v>
      </c>
      <c r="L4547" s="45"/>
      <c r="M4547" s="45"/>
      <c r="N4547" s="45"/>
      <c r="O4547" s="3" t="s">
        <v>1992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1990</v>
      </c>
      <c r="B4548" s="173" t="s">
        <v>1991</v>
      </c>
      <c r="C4548" s="195">
        <v>189601925</v>
      </c>
      <c r="D4548" s="168"/>
      <c r="E4548" s="29"/>
      <c r="F4548" s="29" t="s">
        <v>87</v>
      </c>
      <c r="G4548" s="3" t="s">
        <v>64</v>
      </c>
      <c r="H4548" s="3" t="s">
        <v>30</v>
      </c>
      <c r="I4548" s="59">
        <v>46211</v>
      </c>
      <c r="J4548" s="59">
        <v>46214</v>
      </c>
      <c r="K4548" s="59">
        <v>46242</v>
      </c>
      <c r="L4548" s="45"/>
      <c r="M4548" s="45"/>
      <c r="N4548" s="45"/>
      <c r="O4548" s="3" t="s">
        <v>1992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1990</v>
      </c>
      <c r="B4549" s="173" t="s">
        <v>1991</v>
      </c>
      <c r="C4549" s="195">
        <v>189601955</v>
      </c>
      <c r="D4549" s="168"/>
      <c r="E4549" s="29"/>
      <c r="F4549" s="29" t="s">
        <v>87</v>
      </c>
      <c r="G4549" s="3" t="s">
        <v>64</v>
      </c>
      <c r="H4549" s="3" t="s">
        <v>30</v>
      </c>
      <c r="I4549" s="59">
        <v>46211</v>
      </c>
      <c r="J4549" s="59">
        <v>46214</v>
      </c>
      <c r="K4549" s="59">
        <v>46242</v>
      </c>
      <c r="L4549" s="45"/>
      <c r="M4549" s="45"/>
      <c r="N4549" s="45"/>
      <c r="O4549" s="3" t="s">
        <v>1992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1990</v>
      </c>
      <c r="B4550" s="173" t="s">
        <v>1991</v>
      </c>
      <c r="C4550" s="195">
        <v>189602071</v>
      </c>
      <c r="D4550" s="168"/>
      <c r="E4550" s="29"/>
      <c r="F4550" s="29" t="s">
        <v>87</v>
      </c>
      <c r="G4550" s="3" t="s">
        <v>64</v>
      </c>
      <c r="H4550" s="3" t="s">
        <v>30</v>
      </c>
      <c r="I4550" s="59">
        <v>46211</v>
      </c>
      <c r="J4550" s="59">
        <v>46214</v>
      </c>
      <c r="K4550" s="59">
        <v>46242</v>
      </c>
      <c r="L4550" s="45"/>
      <c r="M4550" s="45"/>
      <c r="N4550" s="45"/>
      <c r="O4550" s="3" t="s">
        <v>1992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1990</v>
      </c>
      <c r="B4551" s="173" t="s">
        <v>1991</v>
      </c>
      <c r="C4551" s="195">
        <v>189602139</v>
      </c>
      <c r="D4551" s="168"/>
      <c r="E4551" s="29"/>
      <c r="F4551" s="29" t="s">
        <v>87</v>
      </c>
      <c r="G4551" s="3" t="s">
        <v>64</v>
      </c>
      <c r="H4551" s="3" t="s">
        <v>30</v>
      </c>
      <c r="I4551" s="59">
        <v>46211</v>
      </c>
      <c r="J4551" s="59">
        <v>46214</v>
      </c>
      <c r="K4551" s="59">
        <v>46242</v>
      </c>
      <c r="L4551" s="45"/>
      <c r="M4551" s="45"/>
      <c r="N4551" s="45"/>
      <c r="O4551" s="3" t="s">
        <v>1992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1990</v>
      </c>
      <c r="B4552" s="173" t="s">
        <v>1991</v>
      </c>
      <c r="C4552" s="195">
        <v>189602158</v>
      </c>
      <c r="D4552" s="168"/>
      <c r="E4552" s="29"/>
      <c r="F4552" s="29" t="s">
        <v>87</v>
      </c>
      <c r="G4552" s="3" t="s">
        <v>64</v>
      </c>
      <c r="H4552" s="3" t="s">
        <v>30</v>
      </c>
      <c r="I4552" s="59">
        <v>46211</v>
      </c>
      <c r="J4552" s="59">
        <v>46214</v>
      </c>
      <c r="K4552" s="59">
        <v>46242</v>
      </c>
      <c r="L4552" s="45"/>
      <c r="M4552" s="45"/>
      <c r="N4552" s="45"/>
      <c r="O4552" s="3" t="s">
        <v>1992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1990</v>
      </c>
      <c r="B4553" s="173" t="s">
        <v>1991</v>
      </c>
      <c r="C4553" s="195">
        <v>189602263</v>
      </c>
      <c r="D4553" s="168"/>
      <c r="E4553" s="29"/>
      <c r="F4553" s="29" t="s">
        <v>87</v>
      </c>
      <c r="G4553" s="3" t="s">
        <v>64</v>
      </c>
      <c r="H4553" s="3" t="s">
        <v>30</v>
      </c>
      <c r="I4553" s="59">
        <v>46211</v>
      </c>
      <c r="J4553" s="59">
        <v>46214</v>
      </c>
      <c r="K4553" s="59">
        <v>46242</v>
      </c>
      <c r="L4553" s="45"/>
      <c r="M4553" s="45"/>
      <c r="N4553" s="45"/>
      <c r="O4553" s="3" t="s">
        <v>1992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1990</v>
      </c>
      <c r="B4554" s="173" t="s">
        <v>1991</v>
      </c>
      <c r="C4554" s="195">
        <v>189602303</v>
      </c>
      <c r="D4554" s="168"/>
      <c r="E4554" s="29"/>
      <c r="F4554" s="29" t="s">
        <v>87</v>
      </c>
      <c r="G4554" s="3" t="s">
        <v>64</v>
      </c>
      <c r="H4554" s="3" t="s">
        <v>30</v>
      </c>
      <c r="I4554" s="59">
        <v>46211</v>
      </c>
      <c r="J4554" s="59">
        <v>46214</v>
      </c>
      <c r="K4554" s="59">
        <v>46242</v>
      </c>
      <c r="L4554" s="45"/>
      <c r="M4554" s="45"/>
      <c r="N4554" s="45"/>
      <c r="O4554" s="3" t="s">
        <v>1992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1990</v>
      </c>
      <c r="B4555" s="173" t="s">
        <v>1991</v>
      </c>
      <c r="C4555" s="195">
        <v>189602349</v>
      </c>
      <c r="D4555" s="168"/>
      <c r="E4555" s="29"/>
      <c r="F4555" s="29" t="s">
        <v>87</v>
      </c>
      <c r="G4555" s="3" t="s">
        <v>64</v>
      </c>
      <c r="H4555" s="3" t="s">
        <v>30</v>
      </c>
      <c r="I4555" s="59">
        <v>46211</v>
      </c>
      <c r="J4555" s="59">
        <v>46214</v>
      </c>
      <c r="K4555" s="59">
        <v>46242</v>
      </c>
      <c r="L4555" s="45"/>
      <c r="M4555" s="45"/>
      <c r="N4555" s="45"/>
      <c r="O4555" s="3" t="s">
        <v>1992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1990</v>
      </c>
      <c r="B4556" s="173" t="s">
        <v>1991</v>
      </c>
      <c r="C4556" s="195">
        <v>189602376</v>
      </c>
      <c r="D4556" s="168"/>
      <c r="E4556" s="29"/>
      <c r="F4556" s="29" t="s">
        <v>87</v>
      </c>
      <c r="G4556" s="3" t="s">
        <v>64</v>
      </c>
      <c r="H4556" s="3" t="s">
        <v>30</v>
      </c>
      <c r="I4556" s="59">
        <v>46211</v>
      </c>
      <c r="J4556" s="59">
        <v>46214</v>
      </c>
      <c r="K4556" s="59">
        <v>46242</v>
      </c>
      <c r="L4556" s="45"/>
      <c r="M4556" s="45"/>
      <c r="N4556" s="45"/>
      <c r="O4556" s="3" t="s">
        <v>1992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1990</v>
      </c>
      <c r="B4557" s="173" t="s">
        <v>1991</v>
      </c>
      <c r="C4557" s="195">
        <v>189602388</v>
      </c>
      <c r="D4557" s="168"/>
      <c r="E4557" s="29"/>
      <c r="F4557" s="29" t="s">
        <v>87</v>
      </c>
      <c r="G4557" s="3" t="s">
        <v>64</v>
      </c>
      <c r="H4557" s="3" t="s">
        <v>30</v>
      </c>
      <c r="I4557" s="59">
        <v>46211</v>
      </c>
      <c r="J4557" s="59">
        <v>46214</v>
      </c>
      <c r="K4557" s="59">
        <v>46242</v>
      </c>
      <c r="L4557" s="45"/>
      <c r="M4557" s="45"/>
      <c r="N4557" s="45"/>
      <c r="O4557" s="3" t="s">
        <v>1992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1990</v>
      </c>
      <c r="B4558" s="173" t="s">
        <v>1991</v>
      </c>
      <c r="C4558" s="195">
        <v>189602428</v>
      </c>
      <c r="D4558" s="168"/>
      <c r="E4558" s="29"/>
      <c r="F4558" s="29" t="s">
        <v>87</v>
      </c>
      <c r="G4558" s="3" t="s">
        <v>64</v>
      </c>
      <c r="H4558" s="3" t="s">
        <v>30</v>
      </c>
      <c r="I4558" s="59">
        <v>46211</v>
      </c>
      <c r="J4558" s="59">
        <v>46214</v>
      </c>
      <c r="K4558" s="59">
        <v>46242</v>
      </c>
      <c r="L4558" s="45"/>
      <c r="M4558" s="45"/>
      <c r="N4558" s="45"/>
      <c r="O4558" s="3" t="s">
        <v>1992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1990</v>
      </c>
      <c r="B4559" s="173" t="s">
        <v>1991</v>
      </c>
      <c r="C4559" s="195">
        <v>189602448</v>
      </c>
      <c r="D4559" s="168"/>
      <c r="E4559" s="29"/>
      <c r="F4559" s="29" t="s">
        <v>87</v>
      </c>
      <c r="G4559" s="3" t="s">
        <v>64</v>
      </c>
      <c r="H4559" s="3" t="s">
        <v>30</v>
      </c>
      <c r="I4559" s="59">
        <v>46211</v>
      </c>
      <c r="J4559" s="59">
        <v>46214</v>
      </c>
      <c r="K4559" s="59">
        <v>46242</v>
      </c>
      <c r="L4559" s="45"/>
      <c r="M4559" s="45"/>
      <c r="N4559" s="45"/>
      <c r="O4559" s="3" t="s">
        <v>1992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1990</v>
      </c>
      <c r="B4560" s="173" t="s">
        <v>1991</v>
      </c>
      <c r="C4560" s="195">
        <v>189602523</v>
      </c>
      <c r="D4560" s="168"/>
      <c r="E4560" s="29"/>
      <c r="F4560" s="29" t="s">
        <v>87</v>
      </c>
      <c r="G4560" s="3" t="s">
        <v>64</v>
      </c>
      <c r="H4560" s="3" t="s">
        <v>30</v>
      </c>
      <c r="I4560" s="59">
        <v>46211</v>
      </c>
      <c r="J4560" s="59">
        <v>46214</v>
      </c>
      <c r="K4560" s="59">
        <v>46242</v>
      </c>
      <c r="L4560" s="45"/>
      <c r="M4560" s="45"/>
      <c r="N4560" s="45"/>
      <c r="O4560" s="3" t="s">
        <v>1992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1990</v>
      </c>
      <c r="B4561" s="173" t="s">
        <v>1991</v>
      </c>
      <c r="C4561" s="195">
        <v>189602585</v>
      </c>
      <c r="D4561" s="168"/>
      <c r="E4561" s="29"/>
      <c r="F4561" s="29" t="s">
        <v>87</v>
      </c>
      <c r="G4561" s="3" t="s">
        <v>64</v>
      </c>
      <c r="H4561" s="3" t="s">
        <v>30</v>
      </c>
      <c r="I4561" s="59">
        <v>46211</v>
      </c>
      <c r="J4561" s="59">
        <v>46214</v>
      </c>
      <c r="K4561" s="59">
        <v>46242</v>
      </c>
      <c r="L4561" s="45"/>
      <c r="M4561" s="45"/>
      <c r="N4561" s="45"/>
      <c r="O4561" s="3" t="s">
        <v>1992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1990</v>
      </c>
      <c r="B4562" s="173" t="s">
        <v>1991</v>
      </c>
      <c r="C4562" s="195">
        <v>189602602</v>
      </c>
      <c r="D4562" s="168"/>
      <c r="E4562" s="29"/>
      <c r="F4562" s="29" t="s">
        <v>87</v>
      </c>
      <c r="G4562" s="3" t="s">
        <v>64</v>
      </c>
      <c r="H4562" s="3" t="s">
        <v>30</v>
      </c>
      <c r="I4562" s="59">
        <v>46211</v>
      </c>
      <c r="J4562" s="59">
        <v>46214</v>
      </c>
      <c r="K4562" s="59">
        <v>46242</v>
      </c>
      <c r="L4562" s="45"/>
      <c r="M4562" s="45"/>
      <c r="N4562" s="45"/>
      <c r="O4562" s="3" t="s">
        <v>1992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1990</v>
      </c>
      <c r="B4563" s="173" t="s">
        <v>1991</v>
      </c>
      <c r="C4563" s="195">
        <v>189602617</v>
      </c>
      <c r="D4563" s="168"/>
      <c r="E4563" s="29"/>
      <c r="F4563" s="29" t="s">
        <v>87</v>
      </c>
      <c r="G4563" s="3" t="s">
        <v>64</v>
      </c>
      <c r="H4563" s="3" t="s">
        <v>30</v>
      </c>
      <c r="I4563" s="59">
        <v>46211</v>
      </c>
      <c r="J4563" s="59">
        <v>46214</v>
      </c>
      <c r="K4563" s="59">
        <v>46242</v>
      </c>
      <c r="L4563" s="45"/>
      <c r="M4563" s="45"/>
      <c r="N4563" s="45"/>
      <c r="O4563" s="3" t="s">
        <v>1992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1990</v>
      </c>
      <c r="B4564" s="173" t="s">
        <v>1991</v>
      </c>
      <c r="C4564" s="195">
        <v>189602642</v>
      </c>
      <c r="D4564" s="168"/>
      <c r="E4564" s="29"/>
      <c r="F4564" s="29" t="s">
        <v>87</v>
      </c>
      <c r="G4564" s="3" t="s">
        <v>64</v>
      </c>
      <c r="H4564" s="3" t="s">
        <v>30</v>
      </c>
      <c r="I4564" s="59">
        <v>46211</v>
      </c>
      <c r="J4564" s="59">
        <v>46214</v>
      </c>
      <c r="K4564" s="59">
        <v>46242</v>
      </c>
      <c r="L4564" s="45"/>
      <c r="M4564" s="45"/>
      <c r="N4564" s="45"/>
      <c r="O4564" s="3" t="s">
        <v>1992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1990</v>
      </c>
      <c r="B4565" s="173" t="s">
        <v>1991</v>
      </c>
      <c r="C4565" s="195">
        <v>189602655</v>
      </c>
      <c r="D4565" s="168"/>
      <c r="E4565" s="29"/>
      <c r="F4565" s="29" t="s">
        <v>87</v>
      </c>
      <c r="G4565" s="3" t="s">
        <v>64</v>
      </c>
      <c r="H4565" s="3" t="s">
        <v>30</v>
      </c>
      <c r="I4565" s="59">
        <v>46211</v>
      </c>
      <c r="J4565" s="59">
        <v>46214</v>
      </c>
      <c r="K4565" s="59">
        <v>46242</v>
      </c>
      <c r="L4565" s="45"/>
      <c r="M4565" s="45"/>
      <c r="N4565" s="45"/>
      <c r="O4565" s="3" t="s">
        <v>1992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1990</v>
      </c>
      <c r="B4566" s="173" t="s">
        <v>1991</v>
      </c>
      <c r="C4566" s="195">
        <v>189602688</v>
      </c>
      <c r="D4566" s="168"/>
      <c r="E4566" s="29"/>
      <c r="F4566" s="29" t="s">
        <v>87</v>
      </c>
      <c r="G4566" s="3" t="s">
        <v>64</v>
      </c>
      <c r="H4566" s="3" t="s">
        <v>30</v>
      </c>
      <c r="I4566" s="59">
        <v>46211</v>
      </c>
      <c r="J4566" s="59">
        <v>46214</v>
      </c>
      <c r="K4566" s="59">
        <v>46242</v>
      </c>
      <c r="L4566" s="45"/>
      <c r="M4566" s="45"/>
      <c r="N4566" s="45"/>
      <c r="O4566" s="3" t="s">
        <v>1992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1990</v>
      </c>
      <c r="B4567" s="173" t="s">
        <v>1991</v>
      </c>
      <c r="C4567" s="195">
        <v>189602711</v>
      </c>
      <c r="D4567" s="168"/>
      <c r="E4567" s="29"/>
      <c r="F4567" s="29" t="s">
        <v>87</v>
      </c>
      <c r="G4567" s="3" t="s">
        <v>64</v>
      </c>
      <c r="H4567" s="3" t="s">
        <v>30</v>
      </c>
      <c r="I4567" s="59">
        <v>46211</v>
      </c>
      <c r="J4567" s="59">
        <v>46214</v>
      </c>
      <c r="K4567" s="59">
        <v>46242</v>
      </c>
      <c r="L4567" s="45"/>
      <c r="M4567" s="45"/>
      <c r="N4567" s="45"/>
      <c r="O4567" s="3" t="s">
        <v>1992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1993</v>
      </c>
      <c r="B4568" s="173" t="s">
        <v>1992</v>
      </c>
      <c r="C4568" s="195">
        <v>189607940</v>
      </c>
      <c r="D4568" s="168"/>
      <c r="E4568" s="29"/>
      <c r="F4568" s="29" t="s">
        <v>87</v>
      </c>
      <c r="G4568" s="3" t="s">
        <v>64</v>
      </c>
      <c r="H4568" s="3" t="s">
        <v>30</v>
      </c>
      <c r="I4568" s="59">
        <v>46211</v>
      </c>
      <c r="J4568" s="59">
        <v>46214</v>
      </c>
      <c r="K4568" s="59">
        <v>46242</v>
      </c>
      <c r="L4568" s="45"/>
      <c r="M4568" s="45"/>
      <c r="N4568" s="45"/>
      <c r="O4568" s="3" t="s">
        <v>1992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1993</v>
      </c>
      <c r="B4569" s="173" t="s">
        <v>1992</v>
      </c>
      <c r="C4569" s="195">
        <v>189607855</v>
      </c>
      <c r="D4569" s="168"/>
      <c r="E4569" s="29"/>
      <c r="F4569" s="29" t="s">
        <v>87</v>
      </c>
      <c r="G4569" s="3" t="s">
        <v>64</v>
      </c>
      <c r="H4569" s="3" t="s">
        <v>30</v>
      </c>
      <c r="I4569" s="59">
        <v>46211</v>
      </c>
      <c r="J4569" s="59">
        <v>46214</v>
      </c>
      <c r="K4569" s="59">
        <v>46242</v>
      </c>
      <c r="L4569" s="45"/>
      <c r="M4569" s="45"/>
      <c r="N4569" s="45"/>
      <c r="O4569" s="3" t="s">
        <v>1992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1993</v>
      </c>
      <c r="B4570" s="173" t="s">
        <v>1992</v>
      </c>
      <c r="C4570" s="195">
        <v>189607798</v>
      </c>
      <c r="D4570" s="168"/>
      <c r="E4570" s="29"/>
      <c r="F4570" s="29" t="s">
        <v>87</v>
      </c>
      <c r="G4570" s="3" t="s">
        <v>64</v>
      </c>
      <c r="H4570" s="3" t="s">
        <v>30</v>
      </c>
      <c r="I4570" s="59">
        <v>46211</v>
      </c>
      <c r="J4570" s="59">
        <v>46214</v>
      </c>
      <c r="K4570" s="59">
        <v>46242</v>
      </c>
      <c r="L4570" s="45"/>
      <c r="M4570" s="45"/>
      <c r="N4570" s="45"/>
      <c r="O4570" s="3" t="s">
        <v>1992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1993</v>
      </c>
      <c r="B4571" s="173" t="s">
        <v>1992</v>
      </c>
      <c r="C4571" s="195">
        <v>189607719</v>
      </c>
      <c r="D4571" s="168"/>
      <c r="E4571" s="29"/>
      <c r="F4571" s="184" t="s">
        <v>87</v>
      </c>
      <c r="G4571" s="3" t="s">
        <v>64</v>
      </c>
      <c r="H4571" s="3" t="s">
        <v>30</v>
      </c>
      <c r="I4571" s="59">
        <v>46211</v>
      </c>
      <c r="J4571" s="59">
        <v>46214</v>
      </c>
      <c r="K4571" s="59">
        <v>46242</v>
      </c>
      <c r="L4571" s="45"/>
      <c r="M4571" s="45"/>
      <c r="N4571" s="45"/>
      <c r="O4571" s="3" t="s">
        <v>1992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1993</v>
      </c>
      <c r="B4572" s="173" t="s">
        <v>1992</v>
      </c>
      <c r="C4572" s="195">
        <v>189607640</v>
      </c>
      <c r="D4572" s="168"/>
      <c r="E4572" s="29"/>
      <c r="F4572" s="184" t="s">
        <v>87</v>
      </c>
      <c r="G4572" s="3" t="s">
        <v>64</v>
      </c>
      <c r="H4572" s="3" t="s">
        <v>30</v>
      </c>
      <c r="I4572" s="59">
        <v>46211</v>
      </c>
      <c r="J4572" s="59">
        <v>46214</v>
      </c>
      <c r="K4572" s="59">
        <v>46242</v>
      </c>
      <c r="L4572" s="45"/>
      <c r="M4572" s="45"/>
      <c r="N4572" s="45"/>
      <c r="O4572" s="3" t="s">
        <v>1992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1993</v>
      </c>
      <c r="B4573" s="173" t="s">
        <v>1992</v>
      </c>
      <c r="C4573" s="195">
        <v>189607546</v>
      </c>
      <c r="D4573" s="168"/>
      <c r="E4573" s="29"/>
      <c r="F4573" s="29" t="s">
        <v>87</v>
      </c>
      <c r="G4573" s="3" t="s">
        <v>64</v>
      </c>
      <c r="H4573" s="3" t="s">
        <v>30</v>
      </c>
      <c r="I4573" s="59">
        <v>46211</v>
      </c>
      <c r="J4573" s="59">
        <v>46214</v>
      </c>
      <c r="K4573" s="59">
        <v>46242</v>
      </c>
      <c r="L4573" s="45"/>
      <c r="M4573" s="45"/>
      <c r="N4573" s="45"/>
      <c r="O4573" s="3" t="s">
        <v>1992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1993</v>
      </c>
      <c r="B4574" s="173" t="s">
        <v>1992</v>
      </c>
      <c r="C4574" s="195">
        <v>189607472</v>
      </c>
      <c r="D4574" s="168"/>
      <c r="E4574" s="29"/>
      <c r="F4574" s="29" t="s">
        <v>87</v>
      </c>
      <c r="G4574" s="3" t="s">
        <v>64</v>
      </c>
      <c r="H4574" s="3" t="s">
        <v>30</v>
      </c>
      <c r="I4574" s="59">
        <v>46211</v>
      </c>
      <c r="J4574" s="59">
        <v>46214</v>
      </c>
      <c r="K4574" s="59">
        <v>46242</v>
      </c>
      <c r="L4574" s="45"/>
      <c r="M4574" s="45"/>
      <c r="N4574" s="45"/>
      <c r="O4574" s="3" t="s">
        <v>1992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1953</v>
      </c>
      <c r="B4575" s="173" t="s">
        <v>1954</v>
      </c>
      <c r="C4575" s="195">
        <v>155606980</v>
      </c>
      <c r="D4575" s="168"/>
      <c r="E4575" s="29"/>
      <c r="F4575" s="29" t="s">
        <v>183</v>
      </c>
      <c r="G4575" s="3" t="s">
        <v>64</v>
      </c>
      <c r="H4575" s="3" t="s">
        <v>1062</v>
      </c>
      <c r="I4575" s="55">
        <v>46177</v>
      </c>
      <c r="J4575" s="55">
        <v>46181</v>
      </c>
      <c r="K4575" s="55">
        <v>46207</v>
      </c>
      <c r="L4575" s="3"/>
      <c r="M4575" s="3"/>
      <c r="N4575" s="3"/>
      <c r="O4575" s="3" t="s">
        <v>1094</v>
      </c>
      <c r="P4575" s="3"/>
      <c r="Q4575" s="167"/>
      <c r="R4575" s="1"/>
    </row>
    <row r="4576" spans="1:121">
      <c r="A4576" s="166" t="s">
        <v>1953</v>
      </c>
      <c r="B4576" s="173" t="s">
        <v>1954</v>
      </c>
      <c r="C4576" s="195">
        <v>155607049</v>
      </c>
      <c r="D4576" s="168"/>
      <c r="E4576" s="29"/>
      <c r="F4576" s="29" t="s">
        <v>183</v>
      </c>
      <c r="G4576" s="3" t="s">
        <v>64</v>
      </c>
      <c r="H4576" s="3" t="s">
        <v>1062</v>
      </c>
      <c r="I4576" s="55">
        <v>46177</v>
      </c>
      <c r="J4576" s="55">
        <v>46181</v>
      </c>
      <c r="K4576" s="55">
        <v>46207</v>
      </c>
      <c r="L4576" s="3"/>
      <c r="M4576" s="3"/>
      <c r="N4576" s="3"/>
      <c r="O4576" s="3" t="s">
        <v>1094</v>
      </c>
      <c r="P4576" s="3"/>
      <c r="Q4576" s="167"/>
      <c r="R4576" s="1"/>
    </row>
    <row r="4577" spans="1:121">
      <c r="A4577" s="166" t="s">
        <v>1953</v>
      </c>
      <c r="B4577" s="173" t="s">
        <v>1954</v>
      </c>
      <c r="C4577" s="195">
        <v>155607167</v>
      </c>
      <c r="D4577" s="168"/>
      <c r="E4577" s="29"/>
      <c r="F4577" s="29" t="s">
        <v>183</v>
      </c>
      <c r="G4577" s="3" t="s">
        <v>64</v>
      </c>
      <c r="H4577" s="3" t="s">
        <v>1062</v>
      </c>
      <c r="I4577" s="55">
        <v>46177</v>
      </c>
      <c r="J4577" s="55">
        <v>46181</v>
      </c>
      <c r="K4577" s="55">
        <v>46207</v>
      </c>
      <c r="L4577" s="3"/>
      <c r="M4577" s="3"/>
      <c r="N4577" s="3"/>
      <c r="O4577" s="3" t="s">
        <v>1094</v>
      </c>
      <c r="P4577" s="3"/>
      <c r="Q4577" s="167"/>
      <c r="R4577" s="1"/>
    </row>
    <row r="4578" spans="1:121">
      <c r="A4578" s="166" t="s">
        <v>1953</v>
      </c>
      <c r="B4578" s="173" t="s">
        <v>1954</v>
      </c>
      <c r="C4578" s="195">
        <v>155607257</v>
      </c>
      <c r="D4578" s="168"/>
      <c r="E4578" s="29"/>
      <c r="F4578" s="29" t="s">
        <v>183</v>
      </c>
      <c r="G4578" s="3" t="s">
        <v>64</v>
      </c>
      <c r="H4578" s="3" t="s">
        <v>1062</v>
      </c>
      <c r="I4578" s="55">
        <v>46177</v>
      </c>
      <c r="J4578" s="55">
        <v>46181</v>
      </c>
      <c r="K4578" s="55">
        <v>46207</v>
      </c>
      <c r="L4578" s="3"/>
      <c r="M4578" s="3"/>
      <c r="N4578" s="3"/>
      <c r="O4578" s="3" t="s">
        <v>1094</v>
      </c>
      <c r="P4578" s="3"/>
      <c r="Q4578" s="167"/>
      <c r="R4578" s="1"/>
    </row>
    <row r="4579" spans="1:121">
      <c r="A4579" s="166" t="s">
        <v>1953</v>
      </c>
      <c r="B4579" s="204" t="s">
        <v>1954</v>
      </c>
      <c r="C4579" s="195">
        <v>155607368</v>
      </c>
      <c r="D4579" s="168"/>
      <c r="E4579" s="29"/>
      <c r="F4579" s="29" t="s">
        <v>183</v>
      </c>
      <c r="G4579" s="3" t="s">
        <v>64</v>
      </c>
      <c r="H4579" s="3" t="s">
        <v>1062</v>
      </c>
      <c r="I4579" s="55">
        <v>46177</v>
      </c>
      <c r="J4579" s="55">
        <v>46181</v>
      </c>
      <c r="K4579" s="55">
        <v>46207</v>
      </c>
      <c r="L4579" s="3"/>
      <c r="M4579" s="3"/>
      <c r="N4579" s="3"/>
      <c r="O4579" s="3" t="s">
        <v>1094</v>
      </c>
      <c r="P4579" s="3"/>
      <c r="Q4579" s="167"/>
      <c r="R4579" s="1"/>
    </row>
    <row r="4580" spans="1:121">
      <c r="A4580" s="205" t="s">
        <v>1953</v>
      </c>
      <c r="B4580" s="200" t="s">
        <v>1954</v>
      </c>
      <c r="C4580" s="195">
        <v>155607436</v>
      </c>
      <c r="D4580" s="168"/>
      <c r="E4580" s="206"/>
      <c r="F4580" s="206" t="s">
        <v>183</v>
      </c>
      <c r="G4580" s="3" t="s">
        <v>64</v>
      </c>
      <c r="H4580" s="207" t="s">
        <v>1062</v>
      </c>
      <c r="I4580" s="55">
        <v>46177</v>
      </c>
      <c r="J4580" s="208">
        <v>46181</v>
      </c>
      <c r="K4580" s="55">
        <v>46207</v>
      </c>
      <c r="L4580" s="3"/>
      <c r="M4580" s="3"/>
      <c r="N4580" s="3"/>
      <c r="O4580" s="3" t="s">
        <v>1094</v>
      </c>
      <c r="P4580" s="3"/>
      <c r="Q4580" s="167"/>
      <c r="R4580" s="1"/>
    </row>
    <row r="4581" spans="1:121">
      <c r="A4581" s="205" t="s">
        <v>1953</v>
      </c>
      <c r="B4581" s="200" t="s">
        <v>1954</v>
      </c>
      <c r="C4581" s="195">
        <v>155607599</v>
      </c>
      <c r="D4581" s="168"/>
      <c r="E4581" s="206"/>
      <c r="F4581" s="206" t="s">
        <v>183</v>
      </c>
      <c r="G4581" s="3" t="s">
        <v>64</v>
      </c>
      <c r="H4581" s="207" t="s">
        <v>1062</v>
      </c>
      <c r="I4581" s="55">
        <v>46177</v>
      </c>
      <c r="J4581" s="208">
        <v>46181</v>
      </c>
      <c r="K4581" s="55">
        <v>46207</v>
      </c>
      <c r="L4581" s="3"/>
      <c r="M4581" s="3"/>
      <c r="N4581" s="3"/>
      <c r="O4581" s="3" t="s">
        <v>1094</v>
      </c>
      <c r="P4581" s="3"/>
      <c r="Q4581" s="167"/>
      <c r="R4581" s="1"/>
    </row>
    <row r="4582" spans="1:121">
      <c r="A4582" s="205" t="s">
        <v>1953</v>
      </c>
      <c r="B4582" s="200" t="s">
        <v>1954</v>
      </c>
      <c r="C4582" s="195">
        <v>155607633</v>
      </c>
      <c r="D4582" s="168"/>
      <c r="E4582" s="206"/>
      <c r="F4582" s="206" t="s">
        <v>183</v>
      </c>
      <c r="G4582" s="3" t="s">
        <v>64</v>
      </c>
      <c r="H4582" s="207" t="s">
        <v>1062</v>
      </c>
      <c r="I4582" s="55">
        <v>46177</v>
      </c>
      <c r="J4582" s="208">
        <v>46181</v>
      </c>
      <c r="K4582" s="55">
        <v>46207</v>
      </c>
      <c r="L4582" s="3"/>
      <c r="M4582" s="3"/>
      <c r="N4582" s="3"/>
      <c r="O4582" s="3" t="s">
        <v>1094</v>
      </c>
      <c r="P4582" s="3"/>
      <c r="Q4582" s="167"/>
      <c r="R4582" s="1"/>
    </row>
    <row r="4583" spans="1:121">
      <c r="A4583" s="183" t="s">
        <v>1994</v>
      </c>
      <c r="B4583" s="183" t="s">
        <v>1995</v>
      </c>
      <c r="C4583" s="195">
        <v>160609160</v>
      </c>
      <c r="D4583" s="168"/>
      <c r="E4583" s="29"/>
      <c r="F4583" s="29" t="s">
        <v>110</v>
      </c>
      <c r="G4583" s="3" t="s">
        <v>64</v>
      </c>
      <c r="H4583" s="3" t="s">
        <v>111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1994</v>
      </c>
      <c r="B4584" s="183" t="s">
        <v>1995</v>
      </c>
      <c r="C4584" s="195">
        <v>160609167</v>
      </c>
      <c r="D4584" s="168"/>
      <c r="E4584" s="29"/>
      <c r="F4584" s="29" t="s">
        <v>110</v>
      </c>
      <c r="G4584" s="3" t="s">
        <v>64</v>
      </c>
      <c r="H4584" s="3" t="s">
        <v>111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1994</v>
      </c>
      <c r="B4585" s="183" t="s">
        <v>1995</v>
      </c>
      <c r="C4585" s="195">
        <v>160609168</v>
      </c>
      <c r="D4585" s="168"/>
      <c r="E4585" s="29"/>
      <c r="F4585" s="29" t="s">
        <v>110</v>
      </c>
      <c r="G4585" s="3" t="s">
        <v>64</v>
      </c>
      <c r="H4585" s="3" t="s">
        <v>111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1994</v>
      </c>
      <c r="B4586" s="183" t="s">
        <v>1995</v>
      </c>
      <c r="C4586" s="195">
        <v>160609170</v>
      </c>
      <c r="D4586" s="168"/>
      <c r="E4586" s="29"/>
      <c r="F4586" s="29" t="s">
        <v>110</v>
      </c>
      <c r="G4586" s="3" t="s">
        <v>64</v>
      </c>
      <c r="H4586" s="3" t="s">
        <v>111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1994</v>
      </c>
      <c r="B4587" s="183" t="s">
        <v>1995</v>
      </c>
      <c r="C4587" s="195">
        <v>160609179</v>
      </c>
      <c r="D4587" s="168"/>
      <c r="E4587" s="29"/>
      <c r="F4587" s="29" t="s">
        <v>110</v>
      </c>
      <c r="G4587" s="3" t="s">
        <v>64</v>
      </c>
      <c r="H4587" s="3" t="s">
        <v>111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1994</v>
      </c>
      <c r="B4588" s="183" t="s">
        <v>1995</v>
      </c>
      <c r="C4588" s="195">
        <v>160609181</v>
      </c>
      <c r="D4588" s="168"/>
      <c r="E4588" s="29"/>
      <c r="F4588" s="29" t="s">
        <v>110</v>
      </c>
      <c r="G4588" s="3" t="s">
        <v>64</v>
      </c>
      <c r="H4588" s="45" t="s">
        <v>111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1994</v>
      </c>
      <c r="B4589" s="183" t="s">
        <v>1995</v>
      </c>
      <c r="C4589" s="195">
        <v>160609182</v>
      </c>
      <c r="D4589" s="168"/>
      <c r="E4589" s="29"/>
      <c r="F4589" s="29" t="s">
        <v>110</v>
      </c>
      <c r="G4589" s="3" t="s">
        <v>64</v>
      </c>
      <c r="H4589" s="45" t="s">
        <v>111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1994</v>
      </c>
      <c r="B4590" s="183" t="s">
        <v>1995</v>
      </c>
      <c r="C4590" s="195">
        <v>160609185</v>
      </c>
      <c r="D4590" s="168"/>
      <c r="E4590" s="29"/>
      <c r="F4590" s="29" t="s">
        <v>110</v>
      </c>
      <c r="G4590" s="3" t="s">
        <v>64</v>
      </c>
      <c r="H4590" s="3" t="s">
        <v>111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1994</v>
      </c>
      <c r="B4591" s="183" t="s">
        <v>1995</v>
      </c>
      <c r="C4591" s="195">
        <v>160609189</v>
      </c>
      <c r="D4591" s="168"/>
      <c r="E4591" s="29"/>
      <c r="F4591" s="29" t="s">
        <v>110</v>
      </c>
      <c r="G4591" s="3" t="s">
        <v>64</v>
      </c>
      <c r="H4591" s="3" t="s">
        <v>111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1994</v>
      </c>
      <c r="B4592" s="183" t="s">
        <v>1995</v>
      </c>
      <c r="C4592" s="195">
        <v>160609192</v>
      </c>
      <c r="D4592" s="168"/>
      <c r="E4592" s="29"/>
      <c r="F4592" s="29" t="s">
        <v>110</v>
      </c>
      <c r="G4592" s="3" t="s">
        <v>64</v>
      </c>
      <c r="H4592" s="3" t="s">
        <v>111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1994</v>
      </c>
      <c r="B4593" s="183" t="s">
        <v>1995</v>
      </c>
      <c r="C4593" s="195">
        <v>160609196</v>
      </c>
      <c r="D4593" s="168"/>
      <c r="E4593" s="29"/>
      <c r="F4593" s="29" t="s">
        <v>110</v>
      </c>
      <c r="G4593" s="3" t="s">
        <v>64</v>
      </c>
      <c r="H4593" s="3" t="s">
        <v>111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1994</v>
      </c>
      <c r="B4594" s="183" t="s">
        <v>1995</v>
      </c>
      <c r="C4594" s="195">
        <v>160609199</v>
      </c>
      <c r="D4594" s="168"/>
      <c r="E4594" s="29"/>
      <c r="F4594" s="29" t="s">
        <v>110</v>
      </c>
      <c r="G4594" s="3" t="s">
        <v>64</v>
      </c>
      <c r="H4594" s="3" t="s">
        <v>111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1945</v>
      </c>
      <c r="B4616" s="200" t="s">
        <v>1946</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1996</v>
      </c>
    </row>
    <row r="4617" spans="1:121">
      <c r="A4617" s="166" t="s">
        <v>1945</v>
      </c>
      <c r="B4617" s="200" t="s">
        <v>1946</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1997</v>
      </c>
    </row>
    <row r="4618" spans="1:121">
      <c r="A4618" s="166" t="s">
        <v>1945</v>
      </c>
      <c r="B4618" s="200" t="s">
        <v>1946</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1997</v>
      </c>
    </row>
    <row r="4619" spans="1:121">
      <c r="A4619" s="166" t="s">
        <v>1945</v>
      </c>
      <c r="B4619" s="200" t="s">
        <v>1946</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1996</v>
      </c>
    </row>
    <row r="4620" spans="1:121">
      <c r="A4620" s="166" t="s">
        <v>1945</v>
      </c>
      <c r="B4620" s="200" t="s">
        <v>1946</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1996</v>
      </c>
    </row>
    <row r="4621" spans="1:121">
      <c r="A4621" s="166" t="s">
        <v>1945</v>
      </c>
      <c r="B4621" s="200" t="s">
        <v>1946</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1996</v>
      </c>
    </row>
    <row r="4622" spans="1:121">
      <c r="A4622" s="166" t="s">
        <v>1945</v>
      </c>
      <c r="B4622" s="200" t="s">
        <v>1946</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1996</v>
      </c>
    </row>
    <row r="4623" spans="1:121">
      <c r="A4623" s="166" t="s">
        <v>1945</v>
      </c>
      <c r="B4623" s="200" t="s">
        <v>1946</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1996</v>
      </c>
    </row>
    <row r="4624" spans="1:121">
      <c r="A4624" s="166" t="s">
        <v>1945</v>
      </c>
      <c r="B4624" s="166" t="s">
        <v>1946</v>
      </c>
      <c r="C4624" s="195">
        <v>125604870</v>
      </c>
      <c r="D4624" s="168">
        <v>154600853</v>
      </c>
      <c r="E4624" s="29"/>
      <c r="F4624" s="29" t="s">
        <v>59</v>
      </c>
      <c r="G4624" s="3" t="s">
        <v>64</v>
      </c>
      <c r="H4624" s="3" t="s">
        <v>30</v>
      </c>
      <c r="I4624" s="55">
        <v>46176</v>
      </c>
      <c r="J4624" s="3" t="s">
        <v>1998</v>
      </c>
      <c r="K4624" s="55">
        <v>46177</v>
      </c>
      <c r="L4624" s="55"/>
      <c r="M4624" s="55"/>
      <c r="N4624" s="3"/>
      <c r="O4624" s="3" t="s">
        <v>1094</v>
      </c>
      <c r="P4624" s="3"/>
      <c r="Q4624" s="167">
        <v>350</v>
      </c>
      <c r="R4624" s="2" t="s">
        <v>1996</v>
      </c>
    </row>
    <row r="4625" spans="1:121">
      <c r="A4625" s="166" t="s">
        <v>1945</v>
      </c>
      <c r="B4625" s="200" t="s">
        <v>1946</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1996</v>
      </c>
    </row>
    <row r="4626" spans="1:121">
      <c r="A4626" s="166" t="s">
        <v>1945</v>
      </c>
      <c r="B4626" s="200" t="s">
        <v>1946</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1996</v>
      </c>
    </row>
    <row r="4627" spans="1:121">
      <c r="A4627" s="225" t="s">
        <v>82</v>
      </c>
      <c r="B4627" s="226" t="s">
        <v>83</v>
      </c>
      <c r="C4627" s="195">
        <v>135602208</v>
      </c>
      <c r="D4627" s="168">
        <v>173601046</v>
      </c>
      <c r="E4627" s="29"/>
      <c r="F4627" s="29" t="s">
        <v>59</v>
      </c>
      <c r="G4627" s="227" t="s">
        <v>64</v>
      </c>
      <c r="H4627" s="227" t="s">
        <v>30</v>
      </c>
      <c r="I4627" s="228">
        <v>46157</v>
      </c>
      <c r="J4627" s="228">
        <v>46160</v>
      </c>
      <c r="K4627" s="228">
        <v>46188</v>
      </c>
      <c r="L4627" s="228"/>
      <c r="M4627" s="228"/>
      <c r="N4627" s="227"/>
      <c r="O4627" s="227" t="s">
        <v>15</v>
      </c>
      <c r="P4627" s="227"/>
      <c r="Q4627" s="229">
        <v>640</v>
      </c>
      <c r="R4627" s="230" t="s">
        <v>84</v>
      </c>
    </row>
    <row r="4628" spans="1:121">
      <c r="A4628" s="173" t="s">
        <v>1999</v>
      </c>
      <c r="B4628" s="173" t="s">
        <v>2000</v>
      </c>
      <c r="C4628" s="195">
        <v>140601444</v>
      </c>
      <c r="D4628" s="168">
        <v>167600215</v>
      </c>
      <c r="E4628" s="29">
        <v>203600174</v>
      </c>
      <c r="F4628" s="29" t="s">
        <v>152</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1999</v>
      </c>
      <c r="B4629" s="173" t="s">
        <v>2000</v>
      </c>
      <c r="C4629" s="195">
        <v>140601573</v>
      </c>
      <c r="D4629" s="168">
        <v>167600220</v>
      </c>
      <c r="E4629" s="29">
        <v>203600168</v>
      </c>
      <c r="F4629" s="29" t="s">
        <v>152</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1999</v>
      </c>
      <c r="B4630" s="173" t="s">
        <v>2000</v>
      </c>
      <c r="C4630" s="195">
        <v>140601821</v>
      </c>
      <c r="D4630" s="168">
        <v>167600224</v>
      </c>
      <c r="E4630" s="29">
        <v>203600162</v>
      </c>
      <c r="F4630" s="29" t="s">
        <v>152</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1999</v>
      </c>
      <c r="B4631" s="173" t="s">
        <v>2000</v>
      </c>
      <c r="C4631" s="195">
        <v>140601934</v>
      </c>
      <c r="D4631" s="168">
        <v>167600227</v>
      </c>
      <c r="E4631" s="29">
        <v>203600157</v>
      </c>
      <c r="F4631" s="29" t="s">
        <v>152</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1999</v>
      </c>
      <c r="B4632" s="173" t="s">
        <v>2000</v>
      </c>
      <c r="C4632" s="195">
        <v>140602057</v>
      </c>
      <c r="D4632" s="168">
        <v>167600229</v>
      </c>
      <c r="E4632" s="29">
        <v>203600153</v>
      </c>
      <c r="F4632" s="29" t="s">
        <v>152</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1999</v>
      </c>
      <c r="B4633" s="173" t="s">
        <v>2000</v>
      </c>
      <c r="C4633" s="195">
        <v>140602116</v>
      </c>
      <c r="D4633" s="168">
        <v>167600205</v>
      </c>
      <c r="E4633" s="29">
        <v>203600178</v>
      </c>
      <c r="F4633" s="29" t="s">
        <v>152</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1999</v>
      </c>
      <c r="B4634" s="173" t="s">
        <v>2000</v>
      </c>
      <c r="C4634" s="195">
        <v>140602202</v>
      </c>
      <c r="D4634" s="168">
        <v>167600231</v>
      </c>
      <c r="E4634" s="29">
        <v>2003600145</v>
      </c>
      <c r="F4634" s="29" t="s">
        <v>152</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35B268-7ED2-41C0-A910-03EFBFEED53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2026-07-22T12:34:39Z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