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0" documentId="8_{7F841BAC-E3D2-4E4B-A3CA-97B4D46101DD}" xr6:coauthVersionLast="47" xr6:coauthVersionMax="47" xr10:uidLastSave="{8911AB0D-849D-4C61-8308-929E616BDBF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<sst xmlns="http://schemas.openxmlformats.org/spreadsheetml/2006/main" count="27609" uniqueCount="1906">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</sst>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2"/>
      <c r="P1" s="171" t="s">
        <v>1</v>
      </c>
      <c r="Q1" s="171" t="s">
        <v>2</v>
      </c>
      <c r="R1" s="172" t="s">
        <v>3</v>
      </c>
      <c r="S1" s="172" t="s">
        <v>4</v>
      </c>
      <c r="T1" s="172"/>
    </row>
    <row r="2" spans="1:20" ht="18" customHeight="1">
      <c r="A2" s="211" t="s">
        <v>5</v>
      </c>
      <c r="B2" s="211"/>
      <c r="C2" s="211"/>
      <c r="D2" s="220" t="s">
        <v>6</v>
      </c>
      <c r="E2" s="220"/>
      <c r="F2" s="220"/>
      <c r="G2" s="212" t="s">
        <v>7</v>
      </c>
      <c r="H2" s="212"/>
      <c r="I2" s="212"/>
      <c r="J2" s="215" t="s">
        <v>8</v>
      </c>
      <c r="K2" s="215"/>
      <c r="L2" s="215"/>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8">
        <f>COUNTA(Master!B2:B4996)</f>
        <v>719</v>
      </c>
      <c r="B3" s="218"/>
      <c r="C3" s="218"/>
      <c r="D3" s="221" cm="1">
        <f t="array" ref="D3">SUMPRODUCT((UPPER(Master!N2:N4996)="PENDING")*1)</f>
        <v>340</v>
      </c>
      <c r="E3" s="221"/>
      <c r="F3" s="221"/>
      <c r="G3" s="213" cm="1">
        <f t="array" ref="G3">SUMPRODUCT((UPPER(Master!N2:N4996)="CLEAR")*1)</f>
        <v>379</v>
      </c>
      <c r="H3" s="213"/>
      <c r="I3" s="213"/>
      <c r="J3" s="216" cm="1">
        <f t="array" ref="J3">SUMPRODUCT((UPPER(Master!N2:N4996)="EXPIRED")*1)</f>
        <v>0</v>
      </c>
      <c r="K3" s="216"/>
      <c r="L3" s="216"/>
      <c r="O3" s="172"/>
      <c r="P3" s="171" t="s">
        <v>10</v>
      </c>
      <c r="Q3" s="171" cm="1">
        <f t="array" ref="Q3">SUMPRODUCT((UPPER(Master!N2:N4996)="CLEAR")*1)</f>
        <v>379</v>
      </c>
      <c r="R3" s="172" t="str">
        <v>CLEARWATER</v>
      </c>
      <c r="S3" s="172" t="str">
        <v>APT</v>
      </c>
      <c r="T3" s="172"/>
    </row>
    <row r="4" spans="1:20" ht="15.75" customHeight="1">
      <c r="A4" s="219" t="s">
        <v>11</v>
      </c>
      <c r="B4" s="219"/>
      <c r="C4" s="219"/>
      <c r="D4" s="222" t="s">
        <v>12</v>
      </c>
      <c r="E4" s="222"/>
      <c r="F4" s="222"/>
      <c r="G4" s="214" t="s">
        <v>13</v>
      </c>
      <c r="H4" s="214"/>
      <c r="I4" s="214"/>
      <c r="J4" s="217" t="s">
        <v>14</v>
      </c>
      <c r="K4" s="217"/>
      <c r="L4" s="217"/>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88" activePane="topRight" state="frozen"/>
      <selection pane="topRight" activeCell="E710" sqref="E710:N720"/>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23" t="s">
        <v>204</v>
      </c>
      <c r="B709" s="223">
        <v>168605429</v>
      </c>
      <c r="E709" s="29" t="s">
        <v>199</v>
      </c>
      <c r="F709" s="3" t="s">
        <v>200</v>
      </c>
      <c r="G709" s="3" t="s">
        <v>30</v>
      </c>
      <c r="H709" s="55">
        <v>46190</v>
      </c>
      <c r="I709" s="55">
        <v>46193</v>
      </c>
      <c r="J709" s="55">
        <v>46220</v>
      </c>
      <c r="N709" s="3" t="s">
        <v>9</v>
      </c>
      <c r="Q709" s="186"/>
    </row>
    <row r="710" spans="1:17" ht="15" customHeight="1">
      <c r="A710" s="223" t="s">
        <v>204</v>
      </c>
      <c r="B710" s="223">
        <v>168605387</v>
      </c>
      <c r="E710" s="29" t="s">
        <v>199</v>
      </c>
      <c r="F710" s="3" t="s">
        <v>200</v>
      </c>
      <c r="G710" s="3" t="s">
        <v>30</v>
      </c>
      <c r="H710" s="55">
        <v>46190</v>
      </c>
      <c r="I710" s="55">
        <v>46193</v>
      </c>
      <c r="J710" s="55">
        <v>46220</v>
      </c>
      <c r="N710" s="3" t="s">
        <v>9</v>
      </c>
      <c r="Q710" s="186"/>
    </row>
    <row r="711" spans="1:17" ht="15" customHeight="1">
      <c r="A711" s="223" t="s">
        <v>204</v>
      </c>
      <c r="B711" s="223">
        <v>168605373</v>
      </c>
      <c r="E711" s="29" t="s">
        <v>199</v>
      </c>
      <c r="F711" s="3" t="s">
        <v>200</v>
      </c>
      <c r="G711" s="3" t="s">
        <v>30</v>
      </c>
      <c r="H711" s="55">
        <v>46190</v>
      </c>
      <c r="I711" s="55">
        <v>46193</v>
      </c>
      <c r="J711" s="55">
        <v>46220</v>
      </c>
      <c r="N711" s="3" t="s">
        <v>9</v>
      </c>
      <c r="Q711" s="186"/>
    </row>
    <row r="712" spans="1:17" ht="15" customHeight="1">
      <c r="A712" s="223" t="s">
        <v>204</v>
      </c>
      <c r="B712" s="223">
        <v>168605339</v>
      </c>
      <c r="E712" s="29" t="s">
        <v>199</v>
      </c>
      <c r="F712" s="3" t="s">
        <v>200</v>
      </c>
      <c r="G712" s="3" t="s">
        <v>30</v>
      </c>
      <c r="H712" s="55">
        <v>46190</v>
      </c>
      <c r="I712" s="55">
        <v>46193</v>
      </c>
      <c r="J712" s="55">
        <v>46220</v>
      </c>
      <c r="N712" s="3" t="s">
        <v>9</v>
      </c>
      <c r="Q712" s="186"/>
    </row>
    <row r="713" spans="1:17" ht="15" customHeight="1">
      <c r="A713" s="223" t="s">
        <v>204</v>
      </c>
      <c r="B713" s="223">
        <v>168605318</v>
      </c>
      <c r="E713" s="29" t="s">
        <v>199</v>
      </c>
      <c r="F713" s="3" t="s">
        <v>200</v>
      </c>
      <c r="G713" s="3" t="s">
        <v>30</v>
      </c>
      <c r="H713" s="55">
        <v>46190</v>
      </c>
      <c r="I713" s="55">
        <v>46193</v>
      </c>
      <c r="J713" s="55">
        <v>46220</v>
      </c>
      <c r="N713" s="3" t="s">
        <v>9</v>
      </c>
      <c r="Q713" s="186"/>
    </row>
    <row r="714" spans="1:17" ht="15" customHeight="1">
      <c r="A714" s="223" t="s">
        <v>204</v>
      </c>
      <c r="B714" s="223">
        <v>168605266</v>
      </c>
      <c r="E714" s="29" t="s">
        <v>199</v>
      </c>
      <c r="F714" s="3" t="s">
        <v>200</v>
      </c>
      <c r="G714" s="3" t="s">
        <v>30</v>
      </c>
      <c r="H714" s="55">
        <v>46190</v>
      </c>
      <c r="I714" s="55">
        <v>46193</v>
      </c>
      <c r="J714" s="55">
        <v>46220</v>
      </c>
      <c r="N714" s="3" t="s">
        <v>9</v>
      </c>
      <c r="Q714" s="186"/>
    </row>
    <row r="715" spans="1:17" ht="15" customHeight="1">
      <c r="A715" s="223" t="s">
        <v>204</v>
      </c>
      <c r="B715" s="223">
        <v>168605224</v>
      </c>
      <c r="E715" s="29" t="s">
        <v>199</v>
      </c>
      <c r="F715" s="3" t="s">
        <v>200</v>
      </c>
      <c r="G715" s="3" t="s">
        <v>30</v>
      </c>
      <c r="H715" s="55">
        <v>46190</v>
      </c>
      <c r="I715" s="55">
        <v>46193</v>
      </c>
      <c r="J715" s="55">
        <v>46220</v>
      </c>
      <c r="N715" s="3" t="s">
        <v>9</v>
      </c>
      <c r="Q715" s="186"/>
    </row>
    <row r="716" spans="1:17" ht="15" customHeight="1">
      <c r="A716" s="223" t="s">
        <v>204</v>
      </c>
      <c r="B716" s="223">
        <v>168605167</v>
      </c>
      <c r="E716" s="29" t="s">
        <v>199</v>
      </c>
      <c r="F716" s="3" t="s">
        <v>200</v>
      </c>
      <c r="G716" s="3" t="s">
        <v>30</v>
      </c>
      <c r="H716" s="55">
        <v>46190</v>
      </c>
      <c r="I716" s="55">
        <v>46193</v>
      </c>
      <c r="J716" s="55">
        <v>46220</v>
      </c>
      <c r="N716" s="3" t="s">
        <v>9</v>
      </c>
      <c r="Q716" s="186"/>
    </row>
    <row r="717" spans="1:17" ht="15" customHeight="1">
      <c r="A717" s="223" t="s">
        <v>204</v>
      </c>
      <c r="B717" s="223">
        <v>168605090</v>
      </c>
      <c r="E717" s="29" t="s">
        <v>199</v>
      </c>
      <c r="F717" s="3" t="s">
        <v>200</v>
      </c>
      <c r="G717" s="3" t="s">
        <v>30</v>
      </c>
      <c r="H717" s="55">
        <v>46190</v>
      </c>
      <c r="I717" s="55">
        <v>46193</v>
      </c>
      <c r="J717" s="55">
        <v>46220</v>
      </c>
      <c r="N717" s="3" t="s">
        <v>9</v>
      </c>
      <c r="Q717" s="186"/>
    </row>
    <row r="718" spans="1:17" ht="15" customHeight="1">
      <c r="A718" s="223" t="s">
        <v>204</v>
      </c>
      <c r="B718" s="223">
        <v>168605878</v>
      </c>
      <c r="E718" s="29" t="s">
        <v>199</v>
      </c>
      <c r="F718" s="3" t="s">
        <v>200</v>
      </c>
      <c r="G718" s="3" t="s">
        <v>30</v>
      </c>
      <c r="H718" s="55">
        <v>46190</v>
      </c>
      <c r="I718" s="55">
        <v>46193</v>
      </c>
      <c r="J718" s="55">
        <v>46220</v>
      </c>
      <c r="N718" s="3" t="s">
        <v>9</v>
      </c>
      <c r="Q718" s="186"/>
    </row>
    <row r="719" spans="1:17" ht="15" customHeight="1">
      <c r="A719" s="223" t="s">
        <v>204</v>
      </c>
      <c r="B719" s="223">
        <v>168605847</v>
      </c>
      <c r="E719" s="29" t="s">
        <v>199</v>
      </c>
      <c r="F719" s="3" t="s">
        <v>200</v>
      </c>
      <c r="G719" s="3" t="s">
        <v>30</v>
      </c>
      <c r="H719" s="55">
        <v>46190</v>
      </c>
      <c r="I719" s="55">
        <v>46193</v>
      </c>
      <c r="J719" s="55">
        <v>46220</v>
      </c>
      <c r="N719" s="3" t="s">
        <v>9</v>
      </c>
      <c r="Q719" s="186"/>
    </row>
    <row r="720" spans="1:17" ht="15" customHeight="1">
      <c r="A720" s="223" t="s">
        <v>204</v>
      </c>
      <c r="B720" s="223">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B27D9E9-B523-47FA-9B8E-79666E5FC2F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2026-06-17T17:27:45Z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