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09" documentId="8_{7F841BAC-E3D2-4E4B-A3CA-97B4D46101DD}" xr6:coauthVersionLast="47" xr6:coauthVersionMax="47" xr10:uidLastSave="{D64A5B76-E4D7-45FC-BD3C-12862778363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<sst xmlns="http://schemas.openxmlformats.org/spreadsheetml/2006/main" count="23007" uniqueCount="1769">
  <si>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</si>
  <si>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</si>
  <si>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</si>
  <si>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</si>
  <si>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</si>
  <si>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</si>
  <si>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</si>
  <si>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</si>
  <si>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</si>
  <si>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</si>
  <si>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</si>
  <si>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</si>
  <si>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</si>
  <si>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</si>
  <si>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</si>
  <si>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</si>
  <si>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</si>
  <si>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</si>
  <si>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</si>
  <si>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</si>
  <si>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</si>
  <si>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</si>
  <si>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</si>
  <si>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</si>
  <si>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</si>
  <si>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</si>
  <si>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</si>
  <si>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</si>
  <si>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</si>
  <si>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</si>
  <si>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</si>
  <si>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</si>
  <si>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</si>
  <si>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</si>
  <si>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</si>
  <si>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</si>
  <si>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</si>
  <si>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</si>
  <si>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</si>
  <si>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</si>
  <si>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</si>
  <si>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</si>
  <si>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</si>
  <si>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</si>
  <si>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</si>
  <si>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</si>
  <si>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</si>
  <si>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</si>
  <si>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</si>
  <si>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</si>
  <si>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</si>
  <si>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</si>
  <si>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</si>
  <si>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</si>
  <si>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</si>
  <si>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</si>
  <si>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</si>
  <si>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</si>
  <si>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</si>
  <si>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</si>
  <si>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</si>
  <si>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</si>
  <si>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</si>
  <si>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</si>
  <si>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</si>
  <si>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</si>
  <si>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</si>
  <si>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</si>
  <si>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</si>
  <si>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</si>
  <si>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</si>
  <si>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</si>
  <si>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</si>
  <si>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</si>
  <si>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</si>
  <si>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</si>
  <si>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</si>
  <si>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</si>
  <si>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</si>
  <si>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</si>
  <si>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</si>
  <si>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</si>
  <si>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</si>
  <si>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</si>
  <si>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</si>
  <si>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</si>
  <si>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</si>
  <si>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</si>
  <si>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</si>
  <si>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</si>
  <si>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</si>
  <si>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</si>
  <si>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</si>
  <si>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</si>
  <si>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</si>
  <si>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</si>
  <si>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</si>
  <si>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</si>
  <si>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</si>
  <si>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</si>
  <si>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</si>
  <si>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</si>
  <si>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</si>
  <si>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</si>
  <si>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</si>
  <si>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</si>
  <si>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</si>
  <si>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</si>
  <si>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</si>
  <si>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</si>
  <si>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</si>
  <si>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</si>
  <si>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</si>
  <si>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Canceled</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</si>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</sst>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3" borderId="0" xfId="0" applyFill="1" applyAlignment="1">
      <alignment horizontal="lef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9</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15</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4" activePane="bottomLeft" state="frozen"/>
      <selection pane="bottomLeft" activeCell="B102" sqref="B10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111</v>
      </c>
      <c r="B3" s="183"/>
      <c r="C3" s="183"/>
      <c r="D3" s="186" cm="1">
        <f t="array" ref="D3">SUMPRODUCT((UPPER(Master!L2:L468)="PENDING")*1)</f>
        <v>15</v>
      </c>
      <c r="E3" s="186"/>
      <c r="F3" s="186"/>
      <c r="G3" s="178" cm="1">
        <f t="array" ref="G3">SUMPRODUCT((UPPER(Master!L2:L468)="CLEAR")*1)</f>
        <v>91</v>
      </c>
      <c r="H3" s="178"/>
      <c r="I3" s="178"/>
      <c r="J3" s="181" cm="1">
        <f t="array" ref="J3">SUMPRODUCT((UPPER(Master!L2:L468)="EXPIRED")*1)</f>
        <v>0</v>
      </c>
      <c r="K3" s="181"/>
      <c r="L3" s="181"/>
      <c r="P3" s="96" t="s">
        <v>10</v>
      </c>
      <c r="Q3" s="96" cm="1">
        <f t="array" ref="Q3">SUMPRODUCT((UPPER(Master!L2:L468)="CLEAR")*1)</f>
        <v>91</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9</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15</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15</v>
      </c>
    </row>
    <row r="26" spans="1:17" ht="15.75" customHeight="1">
      <c r="A26" s="117" t="str">
        <f>IFERROR(INDEX(_xlfn.ANCHORARRAY(R2),3),"")</f>
        <v>PUNTA GORDA</v>
      </c>
      <c r="B26" s="118" cm="1">
        <f t="array" ref="B26">IF(A26="","",SUMPRODUCT((UPPER(Master!F2:F468)=A26)*(UPPER(Master!L2:L468)="PENDING")))</f>
        <v>6</v>
      </c>
      <c r="C26" s="118" cm="1">
        <f t="array" ref="C26">IF(A26="","",SUMPRODUCT((UPPER(Master!F2:F468)=A26)*(UPPER(Master!L2:L468)="CLEAR")))</f>
        <v>3</v>
      </c>
      <c r="D26" s="118" cm="1">
        <f t="array" ref="D26">IF(A26="","",SUMPRODUCT((UPPER(Master!F2:F468)=A26)*(UPPER(Master!L2:L468)="EXPIRED")))</f>
        <v>0</v>
      </c>
      <c r="E26" s="119">
        <f>IF(A26="","",B26+C26+D26)</f>
        <v>9</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2</v>
      </c>
      <c r="C27" s="121" cm="1">
        <f t="array" ref="C27">IF(A27="","",SUMPRODUCT((UPPER(Master!F2:F468)=A27)*(UPPER(Master!L2:L468)="CLEAR")))</f>
        <v>3</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111</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91</v>
      </c>
      <c r="D39" s="91">
        <f>SUMIF(A24:A38,"&lt;&gt;",D24:D38)</f>
        <v>0</v>
      </c>
      <c r="E39" s="92">
        <f>SUMIF(A24:A38,"&lt;&gt;",E24:E38)</f>
        <v>106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91</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111</v>
      </c>
      <c r="B52">
        <f>B58+B59</f>
        <v>303</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273</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9</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15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2"/>
  <sheetViews>
    <sheetView tabSelected="1" zoomScale="90" zoomScaleNormal="90" workbookViewId="0">
      <pane xSplit="1" topLeftCell="K90" activePane="topRight" state="frozen"/>
      <selection pane="topRight" activeCell="L98" sqref="L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10</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188" t="s">
        <v>112</v>
      </c>
      <c r="B102" s="88">
        <v>112607528</v>
      </c>
      <c r="E102" s="29" t="s">
        <v>99</v>
      </c>
      <c r="F102" s="3" t="s">
        <v>97</v>
      </c>
      <c r="G102" s="3" t="s">
        <v>100</v>
      </c>
      <c r="H102" s="55">
        <v>46133</v>
      </c>
      <c r="I102" s="75">
        <v>46136</v>
      </c>
      <c r="J102" s="75">
        <v>46164</v>
      </c>
      <c r="L102" s="4" t="s">
        <v>113</v>
      </c>
    </row>
    <row r="103" spans="1:15" ht="15" customHeight="1">
      <c r="A103" s="188" t="s">
        <v>112</v>
      </c>
      <c r="B103" s="88">
        <v>112607580</v>
      </c>
      <c r="E103" s="29" t="s">
        <v>114</v>
      </c>
      <c r="F103" s="3" t="s">
        <v>97</v>
      </c>
      <c r="G103" s="3" t="s">
        <v>100</v>
      </c>
      <c r="H103" s="55">
        <v>46133</v>
      </c>
      <c r="I103" s="75">
        <v>46136</v>
      </c>
      <c r="J103" s="75">
        <v>46164</v>
      </c>
      <c r="L103" s="4" t="s">
        <v>113</v>
      </c>
    </row>
    <row r="104" spans="1:15" ht="15" customHeight="1">
      <c r="A104" s="188" t="s">
        <v>112</v>
      </c>
      <c r="B104" s="88">
        <v>112607639</v>
      </c>
      <c r="E104" s="29" t="s">
        <v>115</v>
      </c>
      <c r="F104" s="3" t="s">
        <v>97</v>
      </c>
      <c r="G104" s="3" t="s">
        <v>100</v>
      </c>
      <c r="H104" s="55">
        <v>46133</v>
      </c>
      <c r="I104" s="75">
        <v>46136</v>
      </c>
      <c r="J104" s="75">
        <v>46164</v>
      </c>
      <c r="L104" s="4" t="s">
        <v>113</v>
      </c>
    </row>
    <row r="105" spans="1:15" ht="15" customHeight="1">
      <c r="A105" s="188" t="s">
        <v>112</v>
      </c>
      <c r="B105" s="88">
        <v>112607697</v>
      </c>
      <c r="E105" s="29" t="s">
        <v>116</v>
      </c>
      <c r="F105" s="3" t="s">
        <v>97</v>
      </c>
      <c r="G105" s="3" t="s">
        <v>100</v>
      </c>
      <c r="H105" s="55">
        <v>46133</v>
      </c>
      <c r="I105" s="75">
        <v>46136</v>
      </c>
      <c r="J105" s="75">
        <v>46164</v>
      </c>
      <c r="L105" s="4" t="s">
        <v>113</v>
      </c>
    </row>
    <row r="106" spans="1:15" ht="15" customHeight="1">
      <c r="A106" s="188" t="s">
        <v>112</v>
      </c>
      <c r="B106" s="88">
        <v>112607808</v>
      </c>
      <c r="E106" s="29" t="s">
        <v>117</v>
      </c>
      <c r="F106" s="3" t="s">
        <v>97</v>
      </c>
      <c r="G106" s="3" t="s">
        <v>100</v>
      </c>
      <c r="H106" s="55">
        <v>46133</v>
      </c>
      <c r="I106" s="75">
        <v>46136</v>
      </c>
      <c r="J106" s="75">
        <v>46164</v>
      </c>
      <c r="L106" s="4" t="s">
        <v>113</v>
      </c>
    </row>
    <row r="107" spans="1:15" ht="15" customHeight="1">
      <c r="A107" s="89" t="s">
        <v>112</v>
      </c>
      <c r="B107" s="88">
        <v>118606531</v>
      </c>
      <c r="E107" s="29" t="s">
        <v>77</v>
      </c>
      <c r="F107" s="3" t="s">
        <v>19</v>
      </c>
      <c r="G107" s="3" t="s">
        <v>30</v>
      </c>
      <c r="H107" s="55">
        <v>46140</v>
      </c>
      <c r="I107" s="75">
        <v>46142</v>
      </c>
      <c r="J107" s="75">
        <v>46170</v>
      </c>
      <c r="L107" s="4" t="s">
        <v>9</v>
      </c>
    </row>
    <row r="108" spans="1:15" ht="15" customHeight="1">
      <c r="A108" s="89" t="s">
        <v>112</v>
      </c>
      <c r="B108" s="88">
        <v>118606665</v>
      </c>
      <c r="E108" s="29" t="s">
        <v>77</v>
      </c>
      <c r="F108" s="3" t="s">
        <v>19</v>
      </c>
      <c r="G108" s="3" t="s">
        <v>30</v>
      </c>
      <c r="H108" s="55">
        <v>46140</v>
      </c>
      <c r="I108" s="75">
        <v>46142</v>
      </c>
      <c r="J108" s="75">
        <v>46170</v>
      </c>
      <c r="L108" s="4" t="s">
        <v>9</v>
      </c>
    </row>
    <row r="109" spans="1:15" ht="15" customHeight="1">
      <c r="A109" s="89" t="s">
        <v>112</v>
      </c>
      <c r="B109" s="88">
        <v>118606742</v>
      </c>
      <c r="E109" s="29" t="s">
        <v>77</v>
      </c>
      <c r="F109" s="3" t="s">
        <v>19</v>
      </c>
      <c r="G109" s="3" t="s">
        <v>30</v>
      </c>
      <c r="H109" s="55">
        <v>46140</v>
      </c>
      <c r="I109" s="75">
        <v>46142</v>
      </c>
      <c r="J109" s="75">
        <v>46170</v>
      </c>
      <c r="L109" s="4" t="s">
        <v>9</v>
      </c>
    </row>
    <row r="110" spans="1:15" ht="15" customHeight="1">
      <c r="A110" s="89" t="s">
        <v>112</v>
      </c>
      <c r="B110" s="88">
        <v>118606767</v>
      </c>
      <c r="E110" s="29" t="s">
        <v>77</v>
      </c>
      <c r="F110" s="3" t="s">
        <v>19</v>
      </c>
      <c r="G110" s="3" t="s">
        <v>30</v>
      </c>
      <c r="H110" s="55">
        <v>46140</v>
      </c>
      <c r="I110" s="75">
        <v>46142</v>
      </c>
      <c r="J110" s="75">
        <v>46170</v>
      </c>
      <c r="L110" s="4" t="s">
        <v>9</v>
      </c>
    </row>
    <row r="111" spans="1:15" ht="15" customHeight="1">
      <c r="A111" s="89" t="s">
        <v>112</v>
      </c>
      <c r="B111" s="88">
        <v>118606787</v>
      </c>
      <c r="E111" s="29" t="s">
        <v>77</v>
      </c>
      <c r="F111" s="3" t="s">
        <v>19</v>
      </c>
      <c r="G111" s="3" t="s">
        <v>30</v>
      </c>
      <c r="H111" s="55">
        <v>46140</v>
      </c>
      <c r="I111" s="75">
        <v>46142</v>
      </c>
      <c r="J111" s="75">
        <v>46170</v>
      </c>
      <c r="L111" s="4" t="s">
        <v>9</v>
      </c>
    </row>
    <row r="112" spans="1:15" ht="15" customHeight="1">
      <c r="A112" s="89" t="s">
        <v>112</v>
      </c>
      <c r="B112" s="88">
        <v>118606804</v>
      </c>
      <c r="E112" s="29" t="s">
        <v>77</v>
      </c>
      <c r="F112" s="3" t="s">
        <v>19</v>
      </c>
      <c r="G112" s="3" t="s">
        <v>30</v>
      </c>
      <c r="H112" s="55">
        <v>46140</v>
      </c>
      <c r="I112" s="75">
        <v>46142</v>
      </c>
      <c r="J112" s="75">
        <v>46170</v>
      </c>
      <c r="L112"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113</v>
      </c>
      <c r="M805" s="130"/>
      <c r="N805" s="145"/>
      <c r="O805" s="29" t="s">
        <v>523</v>
      </c>
      <c r="P805" s="133"/>
    </row>
    <row r="806" spans="1:16" hidden="1">
      <c r="A806" s="29" t="s">
        <v>522</v>
      </c>
      <c r="B806" s="29">
        <v>38503161</v>
      </c>
      <c r="C806" s="29"/>
      <c r="E806" s="29"/>
      <c r="F806" s="29" t="s">
        <v>130</v>
      </c>
      <c r="G806" s="29" t="s">
        <v>507</v>
      </c>
      <c r="H806" s="130">
        <v>45694</v>
      </c>
      <c r="I806" s="130">
        <f t="shared" si="4"/>
        <v>45699</v>
      </c>
      <c r="J806" s="130">
        <v>45723</v>
      </c>
      <c r="K806" s="130"/>
      <c r="L806" s="129" t="s">
        <v>113</v>
      </c>
      <c r="M806" s="130"/>
      <c r="N806" s="145"/>
      <c r="O806" s="29" t="s">
        <v>524</v>
      </c>
      <c r="P806" s="133"/>
    </row>
    <row r="807" spans="1:16" hidden="1">
      <c r="A807" s="29" t="s">
        <v>522</v>
      </c>
      <c r="B807" s="29">
        <v>38503146</v>
      </c>
      <c r="C807" s="29"/>
      <c r="E807" s="29"/>
      <c r="F807" s="29" t="s">
        <v>130</v>
      </c>
      <c r="G807" s="29" t="s">
        <v>507</v>
      </c>
      <c r="H807" s="130">
        <v>45694</v>
      </c>
      <c r="I807" s="130">
        <f t="shared" si="4"/>
        <v>45699</v>
      </c>
      <c r="J807" s="130">
        <v>45723</v>
      </c>
      <c r="K807" s="130"/>
      <c r="L807" s="129" t="s">
        <v>113</v>
      </c>
      <c r="M807" s="130"/>
      <c r="N807" s="145"/>
      <c r="O807" s="29" t="s">
        <v>525</v>
      </c>
      <c r="P807" s="133"/>
    </row>
    <row r="808" spans="1:16" hidden="1">
      <c r="A808" s="29" t="s">
        <v>522</v>
      </c>
      <c r="B808" s="165">
        <v>57508208</v>
      </c>
      <c r="C808" s="165"/>
      <c r="E808" s="165"/>
      <c r="F808" s="29" t="s">
        <v>130</v>
      </c>
      <c r="G808" s="29" t="s">
        <v>526</v>
      </c>
      <c r="H808" s="130">
        <v>45694</v>
      </c>
      <c r="I808" s="130">
        <f t="shared" si="4"/>
        <v>45699</v>
      </c>
      <c r="J808" s="130">
        <v>45723</v>
      </c>
      <c r="K808" s="130"/>
      <c r="L808" s="129" t="s">
        <v>113</v>
      </c>
      <c r="M808" s="130"/>
      <c r="N808" s="145"/>
      <c r="O808" s="29" t="s">
        <v>525</v>
      </c>
      <c r="P808" s="133"/>
    </row>
    <row r="809" spans="1:16" hidden="1">
      <c r="A809" s="29" t="s">
        <v>522</v>
      </c>
      <c r="B809" s="165">
        <v>57508119</v>
      </c>
      <c r="C809" s="165"/>
      <c r="E809" s="165"/>
      <c r="F809" s="29" t="s">
        <v>130</v>
      </c>
      <c r="G809" s="29" t="s">
        <v>526</v>
      </c>
      <c r="H809" s="130">
        <v>45694</v>
      </c>
      <c r="I809" s="130">
        <f t="shared" si="4"/>
        <v>45699</v>
      </c>
      <c r="J809" s="130">
        <v>45723</v>
      </c>
      <c r="K809" s="130"/>
      <c r="L809" s="129" t="s">
        <v>113</v>
      </c>
      <c r="M809" s="130"/>
      <c r="N809" s="145"/>
      <c r="O809" s="29" t="s">
        <v>527</v>
      </c>
      <c r="P809" s="133"/>
    </row>
    <row r="810" spans="1:16" hidden="1">
      <c r="A810" s="29" t="s">
        <v>522</v>
      </c>
      <c r="B810" s="165">
        <v>57508133</v>
      </c>
      <c r="C810" s="165"/>
      <c r="E810" s="165"/>
      <c r="F810" s="29" t="s">
        <v>130</v>
      </c>
      <c r="G810" s="29" t="s">
        <v>526</v>
      </c>
      <c r="H810" s="130">
        <v>45694</v>
      </c>
      <c r="I810" s="130">
        <f t="shared" si="4"/>
        <v>45699</v>
      </c>
      <c r="J810" s="130">
        <v>45723</v>
      </c>
      <c r="K810" s="130"/>
      <c r="L810" s="129" t="s">
        <v>113</v>
      </c>
      <c r="M810" s="130"/>
      <c r="N810" s="145"/>
      <c r="O810" s="29" t="s">
        <v>528</v>
      </c>
      <c r="P810" s="133"/>
    </row>
    <row r="811" spans="1:16" hidden="1">
      <c r="A811" s="29" t="s">
        <v>522</v>
      </c>
      <c r="B811" s="165">
        <v>57508152</v>
      </c>
      <c r="C811" s="165"/>
      <c r="E811" s="165"/>
      <c r="F811" s="29" t="s">
        <v>130</v>
      </c>
      <c r="G811" s="29" t="s">
        <v>526</v>
      </c>
      <c r="H811" s="130">
        <v>45694</v>
      </c>
      <c r="I811" s="130">
        <f t="shared" si="4"/>
        <v>45699</v>
      </c>
      <c r="J811" s="130">
        <v>45723</v>
      </c>
      <c r="K811" s="130"/>
      <c r="L811" s="129" t="s">
        <v>113</v>
      </c>
      <c r="M811" s="130"/>
      <c r="N811" s="145"/>
      <c r="O811" s="29" t="s">
        <v>529</v>
      </c>
      <c r="P811" s="133"/>
    </row>
    <row r="812" spans="1:16" hidden="1">
      <c r="A812" s="29" t="s">
        <v>522</v>
      </c>
      <c r="B812" s="165">
        <v>57508179</v>
      </c>
      <c r="C812" s="165"/>
      <c r="E812" s="165"/>
      <c r="F812" s="29" t="s">
        <v>130</v>
      </c>
      <c r="G812" s="29" t="s">
        <v>526</v>
      </c>
      <c r="H812" s="130">
        <v>45694</v>
      </c>
      <c r="I812" s="130">
        <f t="shared" si="4"/>
        <v>45699</v>
      </c>
      <c r="J812" s="130">
        <v>45723</v>
      </c>
      <c r="K812" s="130"/>
      <c r="L812" s="129" t="s">
        <v>113</v>
      </c>
      <c r="M812" s="130"/>
      <c r="N812" s="145"/>
      <c r="O812" s="29" t="s">
        <v>529</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530</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530</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531</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532</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533</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533</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534</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535</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536</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537</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538</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539</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540</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541</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542</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543</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544</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545</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546</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547</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548</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549</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550</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549</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532</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533</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533</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534</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535</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537</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538</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539</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540</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541</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542</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543</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544</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545</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546</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547</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548</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549</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550</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549</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551</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552</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552</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553</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554</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554</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555</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555</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556</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553</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555</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557</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557</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558</v>
      </c>
      <c r="P909" s="133"/>
    </row>
    <row r="910" spans="1:16" hidden="1">
      <c r="A910" s="41" t="s">
        <v>559</v>
      </c>
      <c r="B910" s="41">
        <v>49508930</v>
      </c>
      <c r="C910" s="41"/>
      <c r="E910" s="41"/>
      <c r="F910" s="29" t="s">
        <v>130</v>
      </c>
      <c r="G910" s="29" t="s">
        <v>146</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130</v>
      </c>
      <c r="G911" s="29" t="s">
        <v>146</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130</v>
      </c>
      <c r="G912" s="29" t="s">
        <v>146</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130</v>
      </c>
      <c r="G913" s="29" t="s">
        <v>146</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130</v>
      </c>
      <c r="G914" s="29" t="s">
        <v>146</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130</v>
      </c>
      <c r="G915" s="29" t="s">
        <v>146</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130</v>
      </c>
      <c r="G916" s="29" t="s">
        <v>146</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130</v>
      </c>
      <c r="G917" s="29" t="s">
        <v>146</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130</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130</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130</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130</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130</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130</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130</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130</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130</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130</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130</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130</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130</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130</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130</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130</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130</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130</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130</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130</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130</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130</v>
      </c>
      <c r="G939" s="29" t="s">
        <v>582</v>
      </c>
      <c r="H939" s="42">
        <v>45699</v>
      </c>
      <c r="I939" s="130">
        <f t="shared" si="6"/>
        <v>45702</v>
      </c>
      <c r="J939" s="42"/>
      <c r="K939" s="42">
        <v>45715</v>
      </c>
      <c r="L939" s="129" t="s">
        <v>10</v>
      </c>
      <c r="M939" s="162"/>
      <c r="N939" s="163"/>
      <c r="O939" s="41" t="s">
        <v>589</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559</v>
      </c>
      <c r="B942" s="41">
        <v>50508888</v>
      </c>
      <c r="C942" s="41"/>
      <c r="E942" s="41"/>
      <c r="F942" s="29" t="s">
        <v>130</v>
      </c>
      <c r="G942" s="29" t="s">
        <v>146</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130</v>
      </c>
      <c r="G943" s="29" t="s">
        <v>146</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130</v>
      </c>
      <c r="G944" s="29" t="s">
        <v>146</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130</v>
      </c>
      <c r="G945" s="29" t="s">
        <v>146</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130</v>
      </c>
      <c r="G946" s="29" t="s">
        <v>146</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130</v>
      </c>
      <c r="G947" s="29" t="s">
        <v>146</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130</v>
      </c>
      <c r="G948" s="29" t="s">
        <v>146</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130</v>
      </c>
      <c r="G949" s="29" t="s">
        <v>146</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130</v>
      </c>
      <c r="G950" s="29" t="s">
        <v>146</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130</v>
      </c>
      <c r="G951" s="29" t="s">
        <v>146</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130</v>
      </c>
      <c r="G952" s="29" t="s">
        <v>146</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130</v>
      </c>
      <c r="G953" s="29" t="s">
        <v>146</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130</v>
      </c>
      <c r="G954" s="29" t="s">
        <v>146</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130</v>
      </c>
      <c r="G955" s="29" t="s">
        <v>146</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130</v>
      </c>
      <c r="G956" s="29" t="s">
        <v>146</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130</v>
      </c>
      <c r="G957" s="29" t="s">
        <v>146</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130</v>
      </c>
      <c r="G958" s="29" t="s">
        <v>146</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130</v>
      </c>
      <c r="G959" s="29" t="s">
        <v>146</v>
      </c>
      <c r="H959" s="42">
        <v>45707</v>
      </c>
      <c r="I959" s="130">
        <f t="shared" si="6"/>
        <v>45712</v>
      </c>
      <c r="J959" s="42"/>
      <c r="K959" s="42">
        <v>45713</v>
      </c>
      <c r="L959" s="129" t="s">
        <v>10</v>
      </c>
      <c r="M959" s="162"/>
      <c r="N959" s="163"/>
      <c r="O959" s="41" t="s">
        <v>607</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608</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609</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610</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611</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612</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613</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614</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615</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616</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617</v>
      </c>
    </row>
    <row r="970" spans="1:15" hidden="1">
      <c r="A970" s="41" t="s">
        <v>511</v>
      </c>
      <c r="B970" s="41">
        <v>51501043</v>
      </c>
      <c r="C970" s="41"/>
      <c r="E970" s="41"/>
      <c r="F970" s="41" t="s">
        <v>130</v>
      </c>
      <c r="G970" s="41" t="s">
        <v>128</v>
      </c>
      <c r="H970" s="42">
        <v>45707</v>
      </c>
      <c r="I970" s="130">
        <f t="shared" si="6"/>
        <v>45712</v>
      </c>
      <c r="J970" s="42">
        <v>45729</v>
      </c>
      <c r="K970" s="42">
        <v>45714</v>
      </c>
      <c r="L970" s="129" t="s">
        <v>572</v>
      </c>
      <c r="M970" s="162"/>
      <c r="N970" s="163"/>
      <c r="O970" s="41" t="s">
        <v>618</v>
      </c>
    </row>
    <row r="971" spans="1:15" hidden="1">
      <c r="A971" s="41" t="s">
        <v>511</v>
      </c>
      <c r="B971" s="41">
        <v>51500986</v>
      </c>
      <c r="C971" s="41"/>
      <c r="E971" s="41"/>
      <c r="F971" s="41" t="s">
        <v>130</v>
      </c>
      <c r="G971" s="41" t="s">
        <v>128</v>
      </c>
      <c r="H971" s="42">
        <v>45707</v>
      </c>
      <c r="I971" s="130">
        <f t="shared" si="6"/>
        <v>45712</v>
      </c>
      <c r="J971" s="42"/>
      <c r="K971" s="42">
        <v>45714</v>
      </c>
      <c r="L971" s="129" t="s">
        <v>572</v>
      </c>
      <c r="M971" s="162"/>
      <c r="N971" s="163"/>
      <c r="O971" s="41" t="s">
        <v>619</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620</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621</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622</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623</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624</v>
      </c>
    </row>
    <row r="977" spans="1:15" hidden="1">
      <c r="A977" s="157" t="s">
        <v>345</v>
      </c>
      <c r="B977" s="41">
        <v>51504029</v>
      </c>
      <c r="C977" s="41"/>
      <c r="E977" s="41"/>
      <c r="F977" s="41" t="s">
        <v>130</v>
      </c>
      <c r="G977" s="29" t="s">
        <v>214</v>
      </c>
      <c r="H977" s="42">
        <v>45708</v>
      </c>
      <c r="I977" s="130">
        <f t="shared" si="7"/>
        <v>45713</v>
      </c>
      <c r="J977" s="42"/>
      <c r="K977" s="42">
        <v>45714</v>
      </c>
      <c r="L977" s="129" t="s">
        <v>572</v>
      </c>
      <c r="M977" s="162"/>
      <c r="N977" s="163"/>
      <c r="O977" s="41" t="s">
        <v>625</v>
      </c>
    </row>
    <row r="978" spans="1:15" hidden="1">
      <c r="A978" s="157" t="s">
        <v>345</v>
      </c>
      <c r="B978" s="41">
        <v>51504084</v>
      </c>
      <c r="C978" s="41"/>
      <c r="E978" s="41"/>
      <c r="F978" s="41" t="s">
        <v>130</v>
      </c>
      <c r="G978" s="29" t="s">
        <v>214</v>
      </c>
      <c r="H978" s="42">
        <v>45708</v>
      </c>
      <c r="I978" s="130">
        <f t="shared" si="7"/>
        <v>45713</v>
      </c>
      <c r="J978" s="42"/>
      <c r="K978" s="42">
        <v>45714</v>
      </c>
      <c r="L978" s="129" t="s">
        <v>572</v>
      </c>
      <c r="M978" s="162"/>
      <c r="N978" s="163"/>
      <c r="O978" s="41" t="s">
        <v>626</v>
      </c>
    </row>
    <row r="979" spans="1:15" hidden="1">
      <c r="A979" s="157" t="s">
        <v>345</v>
      </c>
      <c r="B979" s="41">
        <v>51504102</v>
      </c>
      <c r="C979" s="41"/>
      <c r="E979" s="41"/>
      <c r="F979" s="41" t="s">
        <v>130</v>
      </c>
      <c r="G979" s="29" t="s">
        <v>214</v>
      </c>
      <c r="H979" s="42">
        <v>45708</v>
      </c>
      <c r="I979" s="130">
        <f t="shared" si="7"/>
        <v>45713</v>
      </c>
      <c r="J979" s="42"/>
      <c r="K979" s="42">
        <v>45720</v>
      </c>
      <c r="L979" s="129" t="s">
        <v>572</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572</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572</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572</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572</v>
      </c>
      <c r="M985" s="162"/>
      <c r="N985" s="163"/>
      <c r="O985" s="41" t="s">
        <v>627</v>
      </c>
    </row>
    <row r="986" spans="1:15" hidden="1">
      <c r="A986" s="41" t="s">
        <v>440</v>
      </c>
      <c r="B986" s="41">
        <v>51504936</v>
      </c>
      <c r="C986" s="41"/>
      <c r="E986" s="41"/>
      <c r="F986" s="41" t="s">
        <v>130</v>
      </c>
      <c r="G986" s="29" t="s">
        <v>214</v>
      </c>
      <c r="H986" s="42">
        <v>45708</v>
      </c>
      <c r="I986" s="130">
        <f t="shared" si="7"/>
        <v>45713</v>
      </c>
      <c r="J986" s="42"/>
      <c r="K986" s="42">
        <v>45719</v>
      </c>
      <c r="L986" s="129" t="s">
        <v>572</v>
      </c>
      <c r="M986" s="162"/>
      <c r="N986" s="163"/>
      <c r="O986" s="41" t="s">
        <v>628</v>
      </c>
    </row>
    <row r="987" spans="1:15" hidden="1">
      <c r="A987" s="41" t="s">
        <v>440</v>
      </c>
      <c r="B987" s="41">
        <v>51504989</v>
      </c>
      <c r="C987" s="41"/>
      <c r="E987" s="41"/>
      <c r="F987" s="41" t="s">
        <v>130</v>
      </c>
      <c r="G987" s="29" t="s">
        <v>214</v>
      </c>
      <c r="H987" s="42">
        <v>45708</v>
      </c>
      <c r="I987" s="130">
        <f t="shared" si="7"/>
        <v>45713</v>
      </c>
      <c r="J987" s="42"/>
      <c r="K987" s="42">
        <v>45719</v>
      </c>
      <c r="L987" s="129" t="s">
        <v>572</v>
      </c>
      <c r="M987" s="162"/>
      <c r="N987" s="163"/>
      <c r="O987" s="41" t="s">
        <v>629</v>
      </c>
    </row>
    <row r="988" spans="1:15" hidden="1">
      <c r="A988" s="41" t="s">
        <v>440</v>
      </c>
      <c r="B988" s="41">
        <v>51505022</v>
      </c>
      <c r="C988" s="41"/>
      <c r="E988" s="41"/>
      <c r="F988" s="41" t="s">
        <v>130</v>
      </c>
      <c r="G988" s="29" t="s">
        <v>214</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130</v>
      </c>
      <c r="G989" s="29" t="s">
        <v>214</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130</v>
      </c>
      <c r="G990" s="29" t="s">
        <v>214</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130</v>
      </c>
      <c r="G991" s="29" t="s">
        <v>214</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130</v>
      </c>
      <c r="G992" s="29" t="s">
        <v>214</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130</v>
      </c>
      <c r="G993" s="29" t="s">
        <v>214</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130</v>
      </c>
      <c r="G994" s="29" t="s">
        <v>214</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130</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130</v>
      </c>
      <c r="G996" s="29" t="s">
        <v>639</v>
      </c>
      <c r="H996" s="130">
        <v>45709</v>
      </c>
      <c r="I996" s="130">
        <f t="shared" si="7"/>
        <v>45714</v>
      </c>
      <c r="J996" s="130">
        <v>45729</v>
      </c>
      <c r="K996" s="130"/>
      <c r="L996" s="129" t="s">
        <v>415</v>
      </c>
      <c r="M996" s="130"/>
      <c r="N996" s="145"/>
      <c r="O996" s="41" t="s">
        <v>641</v>
      </c>
    </row>
    <row r="997" spans="1:15" hidden="1">
      <c r="A997" s="29" t="s">
        <v>638</v>
      </c>
      <c r="B997" s="41">
        <v>52502107</v>
      </c>
      <c r="C997" s="41"/>
      <c r="E997" s="41"/>
      <c r="F997" s="41" t="s">
        <v>130</v>
      </c>
      <c r="G997" s="29" t="s">
        <v>639</v>
      </c>
      <c r="H997" s="130">
        <v>45709</v>
      </c>
      <c r="I997" s="130">
        <f t="shared" si="7"/>
        <v>45714</v>
      </c>
      <c r="J997" s="130">
        <v>45729</v>
      </c>
      <c r="K997" s="130"/>
      <c r="L997" s="129" t="s">
        <v>415</v>
      </c>
      <c r="M997" s="130"/>
      <c r="N997" s="145"/>
      <c r="O997" s="41" t="s">
        <v>642</v>
      </c>
    </row>
    <row r="998" spans="1:15" hidden="1">
      <c r="A998" s="29" t="s">
        <v>638</v>
      </c>
      <c r="B998" s="41">
        <v>52501962</v>
      </c>
      <c r="C998" s="41"/>
      <c r="E998" s="41"/>
      <c r="F998" s="41" t="s">
        <v>130</v>
      </c>
      <c r="G998" s="29" t="s">
        <v>639</v>
      </c>
      <c r="H998" s="130">
        <v>45709</v>
      </c>
      <c r="I998" s="130">
        <f t="shared" si="7"/>
        <v>45714</v>
      </c>
      <c r="J998" s="130">
        <v>45729</v>
      </c>
      <c r="K998" s="130"/>
      <c r="L998" s="129" t="s">
        <v>415</v>
      </c>
      <c r="M998" s="130"/>
      <c r="N998" s="145"/>
      <c r="O998" s="41" t="s">
        <v>643</v>
      </c>
    </row>
    <row r="999" spans="1:15" hidden="1">
      <c r="A999" s="29" t="s">
        <v>638</v>
      </c>
      <c r="B999" s="41">
        <v>52501823</v>
      </c>
      <c r="C999" s="41"/>
      <c r="E999" s="41"/>
      <c r="F999" s="41" t="s">
        <v>130</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130</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130</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130</v>
      </c>
      <c r="G1002" s="29" t="s">
        <v>639</v>
      </c>
      <c r="H1002" s="130">
        <v>45709</v>
      </c>
      <c r="I1002" s="130">
        <f t="shared" si="7"/>
        <v>45714</v>
      </c>
      <c r="J1002" s="130">
        <v>45729</v>
      </c>
      <c r="K1002" s="130"/>
      <c r="L1002" s="129" t="s">
        <v>415</v>
      </c>
      <c r="M1002" s="130"/>
      <c r="N1002" s="145"/>
      <c r="O1002" s="41" t="s">
        <v>647</v>
      </c>
    </row>
    <row r="1003" spans="1:15" hidden="1">
      <c r="A1003" s="29" t="s">
        <v>638</v>
      </c>
      <c r="B1003" s="41">
        <v>52501559</v>
      </c>
      <c r="C1003" s="41"/>
      <c r="E1003" s="41"/>
      <c r="F1003" s="41" t="s">
        <v>130</v>
      </c>
      <c r="G1003" s="29" t="s">
        <v>639</v>
      </c>
      <c r="H1003" s="130">
        <v>45709</v>
      </c>
      <c r="I1003" s="130">
        <f t="shared" si="7"/>
        <v>45714</v>
      </c>
      <c r="J1003" s="130">
        <v>45729</v>
      </c>
      <c r="K1003" s="130"/>
      <c r="L1003" s="129" t="s">
        <v>415</v>
      </c>
      <c r="M1003" s="130"/>
      <c r="N1003" s="145"/>
      <c r="O1003" s="41" t="s">
        <v>648</v>
      </c>
    </row>
    <row r="1004" spans="1:15" hidden="1">
      <c r="A1004" s="29" t="s">
        <v>638</v>
      </c>
      <c r="B1004" s="41">
        <v>52501517</v>
      </c>
      <c r="C1004" s="41"/>
      <c r="E1004" s="41"/>
      <c r="F1004" s="41" t="s">
        <v>130</v>
      </c>
      <c r="G1004" s="29" t="s">
        <v>639</v>
      </c>
      <c r="H1004" s="130">
        <v>45709</v>
      </c>
      <c r="I1004" s="130">
        <f t="shared" si="7"/>
        <v>45714</v>
      </c>
      <c r="J1004" s="130">
        <v>45729</v>
      </c>
      <c r="K1004" s="130"/>
      <c r="L1004" s="129" t="s">
        <v>415</v>
      </c>
      <c r="M1004" s="130"/>
      <c r="N1004" s="145"/>
      <c r="O1004" s="41" t="s">
        <v>649</v>
      </c>
    </row>
    <row r="1005" spans="1:15" hidden="1">
      <c r="A1005" s="29" t="s">
        <v>638</v>
      </c>
      <c r="B1005" s="41">
        <v>52501492</v>
      </c>
      <c r="C1005" s="41"/>
      <c r="E1005" s="41"/>
      <c r="F1005" s="41" t="s">
        <v>130</v>
      </c>
      <c r="G1005" s="29" t="s">
        <v>639</v>
      </c>
      <c r="H1005" s="130">
        <v>45709</v>
      </c>
      <c r="I1005" s="130">
        <f t="shared" si="7"/>
        <v>45714</v>
      </c>
      <c r="J1005" s="130">
        <v>45729</v>
      </c>
      <c r="K1005" s="130"/>
      <c r="L1005" s="129" t="s">
        <v>415</v>
      </c>
      <c r="M1005" s="130"/>
      <c r="N1005" s="145"/>
      <c r="O1005" s="41" t="s">
        <v>650</v>
      </c>
    </row>
    <row r="1006" spans="1:15" hidden="1">
      <c r="A1006" s="29" t="s">
        <v>638</v>
      </c>
      <c r="B1006" s="41">
        <v>52501449</v>
      </c>
      <c r="C1006" s="41"/>
      <c r="E1006" s="41"/>
      <c r="F1006" s="41" t="s">
        <v>130</v>
      </c>
      <c r="G1006" s="29" t="s">
        <v>639</v>
      </c>
      <c r="H1006" s="130">
        <v>45709</v>
      </c>
      <c r="I1006" s="130">
        <f t="shared" si="7"/>
        <v>45714</v>
      </c>
      <c r="J1006" s="130">
        <v>45729</v>
      </c>
      <c r="K1006" s="130"/>
      <c r="L1006" s="129" t="s">
        <v>415</v>
      </c>
      <c r="M1006" s="130"/>
      <c r="N1006" s="145"/>
      <c r="O1006" s="41" t="s">
        <v>651</v>
      </c>
    </row>
    <row r="1007" spans="1:15" hidden="1">
      <c r="A1007" s="29" t="s">
        <v>638</v>
      </c>
      <c r="B1007" s="41">
        <v>52501324</v>
      </c>
      <c r="C1007" s="41"/>
      <c r="E1007" s="41"/>
      <c r="F1007" s="41" t="s">
        <v>130</v>
      </c>
      <c r="G1007" s="29" t="s">
        <v>639</v>
      </c>
      <c r="H1007" s="130">
        <v>45709</v>
      </c>
      <c r="I1007" s="130">
        <f t="shared" si="7"/>
        <v>45714</v>
      </c>
      <c r="J1007" s="130">
        <v>45729</v>
      </c>
      <c r="K1007" s="130"/>
      <c r="L1007" s="129" t="s">
        <v>415</v>
      </c>
      <c r="M1007" s="130"/>
      <c r="N1007" s="145"/>
      <c r="O1007" s="41" t="s">
        <v>652</v>
      </c>
    </row>
    <row r="1008" spans="1:15" hidden="1">
      <c r="A1008" s="29" t="s">
        <v>638</v>
      </c>
      <c r="B1008" s="41">
        <v>52501290</v>
      </c>
      <c r="C1008" s="41"/>
      <c r="E1008" s="41"/>
      <c r="F1008" s="41" t="s">
        <v>130</v>
      </c>
      <c r="G1008" s="29" t="s">
        <v>639</v>
      </c>
      <c r="H1008" s="130">
        <v>45709</v>
      </c>
      <c r="I1008" s="130">
        <f t="shared" si="7"/>
        <v>45714</v>
      </c>
      <c r="J1008" s="130">
        <v>45729</v>
      </c>
      <c r="K1008" s="130"/>
      <c r="L1008" s="129" t="s">
        <v>415</v>
      </c>
      <c r="M1008" s="130"/>
      <c r="N1008" s="145"/>
      <c r="O1008" s="41" t="s">
        <v>653</v>
      </c>
    </row>
    <row r="1009" spans="1:16" hidden="1">
      <c r="A1009" s="29" t="s">
        <v>638</v>
      </c>
      <c r="B1009" s="41">
        <v>52501199</v>
      </c>
      <c r="C1009" s="41"/>
      <c r="E1009" s="41"/>
      <c r="F1009" s="41" t="s">
        <v>130</v>
      </c>
      <c r="G1009" s="29" t="s">
        <v>639</v>
      </c>
      <c r="H1009" s="130">
        <v>45709</v>
      </c>
      <c r="I1009" s="130">
        <f t="shared" si="7"/>
        <v>45714</v>
      </c>
      <c r="J1009" s="130">
        <v>45729</v>
      </c>
      <c r="K1009" s="130"/>
      <c r="L1009" s="129" t="s">
        <v>415</v>
      </c>
      <c r="M1009" s="130"/>
      <c r="N1009" s="145"/>
      <c r="O1009" s="41" t="s">
        <v>654</v>
      </c>
    </row>
    <row r="1010" spans="1:16" hidden="1">
      <c r="A1010" s="29" t="s">
        <v>638</v>
      </c>
      <c r="B1010" s="41">
        <v>52501134</v>
      </c>
      <c r="C1010" s="41"/>
      <c r="E1010" s="41"/>
      <c r="F1010" s="41" t="s">
        <v>130</v>
      </c>
      <c r="G1010" s="29" t="s">
        <v>639</v>
      </c>
      <c r="H1010" s="130">
        <v>45709</v>
      </c>
      <c r="I1010" s="130">
        <f t="shared" si="7"/>
        <v>45714</v>
      </c>
      <c r="J1010" s="130">
        <v>45729</v>
      </c>
      <c r="K1010" s="130"/>
      <c r="L1010" s="129" t="s">
        <v>415</v>
      </c>
      <c r="M1010" s="130"/>
      <c r="N1010" s="145"/>
      <c r="O1010" s="41" t="s">
        <v>655</v>
      </c>
    </row>
    <row r="1011" spans="1:16" hidden="1">
      <c r="A1011" s="29" t="s">
        <v>638</v>
      </c>
      <c r="B1011" s="41">
        <v>52501076</v>
      </c>
      <c r="C1011" s="41"/>
      <c r="E1011" s="41"/>
      <c r="F1011" s="41" t="s">
        <v>130</v>
      </c>
      <c r="G1011" s="29" t="s">
        <v>639</v>
      </c>
      <c r="H1011" s="130">
        <v>45709</v>
      </c>
      <c r="I1011" s="130">
        <f t="shared" si="7"/>
        <v>45714</v>
      </c>
      <c r="J1011" s="130">
        <v>45729</v>
      </c>
      <c r="K1011" s="130"/>
      <c r="L1011" s="129" t="s">
        <v>415</v>
      </c>
      <c r="M1011" s="130"/>
      <c r="N1011" s="145"/>
      <c r="O1011" s="41" t="s">
        <v>656</v>
      </c>
    </row>
    <row r="1012" spans="1:16" hidden="1">
      <c r="A1012" s="29" t="s">
        <v>638</v>
      </c>
      <c r="B1012" s="41">
        <v>52500965</v>
      </c>
      <c r="C1012" s="41"/>
      <c r="E1012" s="41"/>
      <c r="F1012" s="41" t="s">
        <v>130</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130</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130</v>
      </c>
      <c r="G1014" s="88" t="s">
        <v>367</v>
      </c>
      <c r="H1014" s="85">
        <v>45712</v>
      </c>
      <c r="I1014" s="130">
        <f t="shared" si="7"/>
        <v>45715</v>
      </c>
      <c r="J1014" s="85"/>
      <c r="K1014" s="85"/>
      <c r="L1014" s="129" t="s">
        <v>415</v>
      </c>
      <c r="M1014" s="85"/>
      <c r="N1014" s="147"/>
      <c r="O1014" s="84" t="s">
        <v>659</v>
      </c>
    </row>
    <row r="1015" spans="1:16" hidden="1">
      <c r="A1015" s="84" t="s">
        <v>638</v>
      </c>
      <c r="B1015" s="84">
        <v>55502825</v>
      </c>
      <c r="C1015" s="84"/>
      <c r="E1015" s="84"/>
      <c r="F1015" s="84" t="s">
        <v>130</v>
      </c>
      <c r="G1015" s="88" t="s">
        <v>367</v>
      </c>
      <c r="H1015" s="85">
        <v>45712</v>
      </c>
      <c r="I1015" s="130">
        <f t="shared" si="7"/>
        <v>45715</v>
      </c>
      <c r="J1015" s="85"/>
      <c r="K1015" s="85"/>
      <c r="L1015" s="129" t="s">
        <v>415</v>
      </c>
      <c r="M1015" s="85"/>
      <c r="N1015" s="147"/>
      <c r="O1015" s="84" t="s">
        <v>660</v>
      </c>
    </row>
    <row r="1016" spans="1:16" hidden="1">
      <c r="A1016" s="84" t="s">
        <v>638</v>
      </c>
      <c r="B1016" s="84">
        <v>55502079</v>
      </c>
      <c r="C1016" s="84"/>
      <c r="E1016" s="84"/>
      <c r="F1016" s="84" t="s">
        <v>130</v>
      </c>
      <c r="G1016" s="88" t="s">
        <v>367</v>
      </c>
      <c r="H1016" s="85">
        <v>45712</v>
      </c>
      <c r="I1016" s="130">
        <f t="shared" si="7"/>
        <v>45715</v>
      </c>
      <c r="J1016" s="85"/>
      <c r="K1016" s="85"/>
      <c r="L1016" s="129" t="s">
        <v>415</v>
      </c>
      <c r="M1016" s="85"/>
      <c r="N1016" s="147"/>
      <c r="O1016" s="84" t="s">
        <v>661</v>
      </c>
    </row>
    <row r="1017" spans="1:16" hidden="1">
      <c r="A1017" s="84" t="s">
        <v>638</v>
      </c>
      <c r="B1017" s="84">
        <v>55502478</v>
      </c>
      <c r="C1017" s="84"/>
      <c r="E1017" s="84"/>
      <c r="F1017" s="84" t="s">
        <v>130</v>
      </c>
      <c r="G1017" s="88" t="s">
        <v>367</v>
      </c>
      <c r="H1017" s="85">
        <v>45712</v>
      </c>
      <c r="I1017" s="130">
        <f t="shared" si="7"/>
        <v>45715</v>
      </c>
      <c r="J1017" s="85"/>
      <c r="K1017" s="85"/>
      <c r="L1017" s="129" t="s">
        <v>415</v>
      </c>
      <c r="M1017" s="85"/>
      <c r="N1017" s="147"/>
      <c r="O1017" s="84" t="s">
        <v>662</v>
      </c>
    </row>
    <row r="1018" spans="1:16" hidden="1">
      <c r="A1018" s="41" t="s">
        <v>559</v>
      </c>
      <c r="B1018" s="41">
        <v>49508930</v>
      </c>
      <c r="C1018" s="41"/>
      <c r="E1018" s="41"/>
      <c r="F1018" s="84" t="s">
        <v>130</v>
      </c>
      <c r="G1018" s="29" t="s">
        <v>146</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130</v>
      </c>
      <c r="G1019" s="29" t="s">
        <v>146</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130</v>
      </c>
      <c r="G1020" s="29" t="s">
        <v>146</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130</v>
      </c>
      <c r="G1021" s="29" t="s">
        <v>146</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130</v>
      </c>
      <c r="G1022" s="29" t="s">
        <v>146</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130</v>
      </c>
      <c r="G1023" s="29" t="s">
        <v>146</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130</v>
      </c>
      <c r="G1024" s="29" t="s">
        <v>146</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130</v>
      </c>
      <c r="G1025" s="29" t="s">
        <v>146</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130</v>
      </c>
      <c r="G1026" s="29" t="s">
        <v>146</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130</v>
      </c>
      <c r="G1027" s="29" t="s">
        <v>146</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130</v>
      </c>
      <c r="G1028" s="29" t="s">
        <v>146</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130</v>
      </c>
      <c r="G1029" s="29" t="s">
        <v>146</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130</v>
      </c>
      <c r="G1030" s="29" t="s">
        <v>146</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130</v>
      </c>
      <c r="G1031" s="29" t="s">
        <v>146</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130</v>
      </c>
      <c r="G1032" s="29" t="s">
        <v>146</v>
      </c>
      <c r="H1032" s="42">
        <v>45707</v>
      </c>
      <c r="I1032" s="130">
        <f t="shared" si="7"/>
        <v>45712</v>
      </c>
      <c r="J1032" s="42"/>
      <c r="K1032" s="42"/>
      <c r="L1032" s="129" t="s">
        <v>415</v>
      </c>
      <c r="M1032" s="42"/>
      <c r="N1032" s="146"/>
      <c r="O1032" s="41" t="s">
        <v>596</v>
      </c>
      <c r="P1032" s="133"/>
    </row>
    <row r="1033" spans="1:16" hidden="1">
      <c r="A1033" s="41" t="s">
        <v>559</v>
      </c>
      <c r="B1033" s="41">
        <v>50508953</v>
      </c>
      <c r="C1033" s="41"/>
      <c r="E1033" s="41"/>
      <c r="F1033" s="84" t="s">
        <v>130</v>
      </c>
      <c r="G1033" s="29" t="s">
        <v>146</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130</v>
      </c>
      <c r="G1034" s="29" t="s">
        <v>146</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130</v>
      </c>
      <c r="G1035" s="29" t="s">
        <v>146</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130</v>
      </c>
      <c r="G1037" s="29" t="s">
        <v>146</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130</v>
      </c>
      <c r="G1038" s="29" t="s">
        <v>146</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130</v>
      </c>
      <c r="G1039" s="29" t="s">
        <v>146</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130</v>
      </c>
      <c r="G1040" s="29" t="s">
        <v>146</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130</v>
      </c>
      <c r="G1041" s="29" t="s">
        <v>146</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130</v>
      </c>
      <c r="G1042" s="29" t="s">
        <v>146</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130</v>
      </c>
      <c r="G1043" s="29" t="s">
        <v>146</v>
      </c>
      <c r="H1043" s="42">
        <v>45707</v>
      </c>
      <c r="I1043" s="130">
        <f t="shared" si="8"/>
        <v>45712</v>
      </c>
      <c r="J1043" s="42"/>
      <c r="K1043" s="42">
        <v>45713</v>
      </c>
      <c r="L1043" s="129" t="s">
        <v>10</v>
      </c>
      <c r="M1043" s="162"/>
      <c r="N1043" s="163"/>
      <c r="O1043" s="41" t="s">
        <v>607</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663</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664</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665</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532</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666</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667</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668</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669</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670</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671</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672</v>
      </c>
    </row>
    <row r="1057" spans="1:15" hidden="1">
      <c r="A1057" s="29" t="s">
        <v>673</v>
      </c>
      <c r="B1057" s="29">
        <v>55503706</v>
      </c>
      <c r="C1057" s="29"/>
      <c r="E1057" s="29"/>
      <c r="F1057" s="29" t="s">
        <v>674</v>
      </c>
      <c r="G1057" s="29" t="s">
        <v>211</v>
      </c>
      <c r="H1057" s="130">
        <v>45709</v>
      </c>
      <c r="I1057" s="130">
        <f t="shared" si="8"/>
        <v>45714</v>
      </c>
      <c r="J1057" s="130"/>
      <c r="K1057" s="130"/>
      <c r="L1057" s="129" t="s">
        <v>415</v>
      </c>
      <c r="M1057" s="130"/>
      <c r="N1057" s="145"/>
      <c r="O1057" s="29" t="s">
        <v>675</v>
      </c>
    </row>
    <row r="1058" spans="1:15" hidden="1">
      <c r="A1058" s="29" t="s">
        <v>673</v>
      </c>
      <c r="B1058" s="29">
        <v>55503801</v>
      </c>
      <c r="C1058" s="29"/>
      <c r="E1058" s="29"/>
      <c r="F1058" s="29" t="s">
        <v>674</v>
      </c>
      <c r="G1058" s="29" t="s">
        <v>211</v>
      </c>
      <c r="H1058" s="130">
        <v>45709</v>
      </c>
      <c r="I1058" s="130">
        <f t="shared" si="8"/>
        <v>45714</v>
      </c>
      <c r="J1058" s="130"/>
      <c r="K1058" s="130"/>
      <c r="L1058" s="129" t="s">
        <v>415</v>
      </c>
      <c r="M1058" s="130"/>
      <c r="N1058" s="145"/>
      <c r="O1058" s="29" t="s">
        <v>676</v>
      </c>
    </row>
    <row r="1059" spans="1:15" hidden="1">
      <c r="A1059" s="29" t="s">
        <v>673</v>
      </c>
      <c r="B1059" s="29">
        <v>55503862</v>
      </c>
      <c r="C1059" s="29"/>
      <c r="E1059" s="29"/>
      <c r="F1059" s="29" t="s">
        <v>674</v>
      </c>
      <c r="G1059" s="29" t="s">
        <v>211</v>
      </c>
      <c r="H1059" s="130">
        <v>45709</v>
      </c>
      <c r="I1059" s="130">
        <f t="shared" si="8"/>
        <v>45714</v>
      </c>
      <c r="J1059" s="130"/>
      <c r="K1059" s="130"/>
      <c r="L1059" s="129" t="s">
        <v>415</v>
      </c>
      <c r="M1059" s="130"/>
      <c r="N1059" s="145"/>
      <c r="O1059" s="29" t="s">
        <v>677</v>
      </c>
    </row>
    <row r="1060" spans="1:15" hidden="1">
      <c r="A1060" s="29" t="s">
        <v>673</v>
      </c>
      <c r="B1060" s="29">
        <v>55503935</v>
      </c>
      <c r="C1060" s="29"/>
      <c r="E1060" s="29"/>
      <c r="F1060" s="29" t="s">
        <v>674</v>
      </c>
      <c r="G1060" s="29" t="s">
        <v>211</v>
      </c>
      <c r="H1060" s="130">
        <v>45709</v>
      </c>
      <c r="I1060" s="130">
        <f t="shared" si="8"/>
        <v>45714</v>
      </c>
      <c r="J1060" s="130"/>
      <c r="K1060" s="130"/>
      <c r="L1060" s="129" t="s">
        <v>415</v>
      </c>
      <c r="M1060" s="130"/>
      <c r="N1060" s="145"/>
      <c r="O1060" s="29" t="s">
        <v>678</v>
      </c>
    </row>
    <row r="1061" spans="1:15" hidden="1">
      <c r="A1061" s="29" t="s">
        <v>673</v>
      </c>
      <c r="B1061" s="29">
        <v>55503969</v>
      </c>
      <c r="C1061" s="29"/>
      <c r="E1061" s="29"/>
      <c r="F1061" s="29" t="s">
        <v>674</v>
      </c>
      <c r="G1061" s="29" t="s">
        <v>211</v>
      </c>
      <c r="H1061" s="130">
        <v>45709</v>
      </c>
      <c r="I1061" s="130">
        <f t="shared" si="8"/>
        <v>45714</v>
      </c>
      <c r="J1061" s="130"/>
      <c r="K1061" s="130"/>
      <c r="L1061" s="129" t="s">
        <v>415</v>
      </c>
      <c r="M1061" s="130"/>
      <c r="N1061" s="145"/>
      <c r="O1061" s="29" t="s">
        <v>679</v>
      </c>
    </row>
    <row r="1062" spans="1:15" hidden="1">
      <c r="A1062" s="29" t="s">
        <v>680</v>
      </c>
      <c r="B1062" s="29">
        <v>55504206</v>
      </c>
      <c r="C1062" s="29"/>
      <c r="E1062" s="29"/>
      <c r="F1062" s="29" t="s">
        <v>674</v>
      </c>
      <c r="G1062" s="29" t="s">
        <v>211</v>
      </c>
      <c r="H1062" s="130">
        <v>45709</v>
      </c>
      <c r="I1062" s="130">
        <f t="shared" si="8"/>
        <v>45714</v>
      </c>
      <c r="J1062" s="130"/>
      <c r="K1062" s="130"/>
      <c r="L1062" s="129" t="s">
        <v>415</v>
      </c>
      <c r="M1062" s="130"/>
      <c r="N1062" s="145"/>
      <c r="O1062" s="29" t="s">
        <v>681</v>
      </c>
    </row>
    <row r="1063" spans="1:15" hidden="1">
      <c r="A1063" s="29" t="s">
        <v>680</v>
      </c>
      <c r="B1063" s="29">
        <v>55504188</v>
      </c>
      <c r="C1063" s="29"/>
      <c r="E1063" s="29"/>
      <c r="F1063" s="29" t="s">
        <v>674</v>
      </c>
      <c r="G1063" s="29" t="s">
        <v>211</v>
      </c>
      <c r="H1063" s="130">
        <v>45709</v>
      </c>
      <c r="I1063" s="130">
        <f t="shared" si="8"/>
        <v>45714</v>
      </c>
      <c r="J1063" s="130"/>
      <c r="K1063" s="130"/>
      <c r="L1063" s="129" t="s">
        <v>415</v>
      </c>
      <c r="M1063" s="130"/>
      <c r="N1063" s="145"/>
      <c r="O1063" s="29" t="s">
        <v>682</v>
      </c>
    </row>
    <row r="1064" spans="1:15" hidden="1">
      <c r="A1064" s="29" t="s">
        <v>680</v>
      </c>
      <c r="B1064" s="29">
        <v>55504303</v>
      </c>
      <c r="C1064" s="29"/>
      <c r="E1064" s="29"/>
      <c r="F1064" s="29" t="s">
        <v>674</v>
      </c>
      <c r="G1064" s="29" t="s">
        <v>211</v>
      </c>
      <c r="H1064" s="130">
        <v>45709</v>
      </c>
      <c r="I1064" s="130">
        <f t="shared" si="8"/>
        <v>45714</v>
      </c>
      <c r="J1064" s="130"/>
      <c r="K1064" s="130"/>
      <c r="L1064" s="129" t="s">
        <v>415</v>
      </c>
      <c r="M1064" s="130"/>
      <c r="N1064" s="145"/>
      <c r="O1064" s="29" t="s">
        <v>683</v>
      </c>
    </row>
    <row r="1065" spans="1:15" hidden="1">
      <c r="A1065" s="29" t="s">
        <v>680</v>
      </c>
      <c r="B1065" s="29">
        <v>55504345</v>
      </c>
      <c r="C1065" s="29"/>
      <c r="E1065" s="29"/>
      <c r="F1065" s="29" t="s">
        <v>674</v>
      </c>
      <c r="G1065" s="29" t="s">
        <v>211</v>
      </c>
      <c r="H1065" s="130">
        <v>45709</v>
      </c>
      <c r="I1065" s="130">
        <f t="shared" si="8"/>
        <v>45714</v>
      </c>
      <c r="J1065" s="130"/>
      <c r="K1065" s="130"/>
      <c r="L1065" s="129" t="s">
        <v>415</v>
      </c>
      <c r="M1065" s="130"/>
      <c r="N1065" s="145"/>
      <c r="O1065" s="29" t="s">
        <v>684</v>
      </c>
    </row>
    <row r="1066" spans="1:15" hidden="1">
      <c r="A1066" s="29" t="s">
        <v>680</v>
      </c>
      <c r="B1066" s="29">
        <v>55504388</v>
      </c>
      <c r="C1066" s="29"/>
      <c r="E1066" s="29"/>
      <c r="F1066" s="29" t="s">
        <v>674</v>
      </c>
      <c r="G1066" s="29" t="s">
        <v>211</v>
      </c>
      <c r="H1066" s="130">
        <v>45709</v>
      </c>
      <c r="I1066" s="130">
        <f t="shared" si="8"/>
        <v>45714</v>
      </c>
      <c r="J1066" s="130"/>
      <c r="K1066" s="130"/>
      <c r="L1066" s="129" t="s">
        <v>415</v>
      </c>
      <c r="M1066" s="130"/>
      <c r="N1066" s="145"/>
      <c r="O1066" s="29" t="s">
        <v>685</v>
      </c>
    </row>
    <row r="1067" spans="1:15" hidden="1">
      <c r="A1067" s="29" t="s">
        <v>680</v>
      </c>
      <c r="B1067" s="29">
        <v>55504421</v>
      </c>
      <c r="C1067" s="29"/>
      <c r="E1067" s="29"/>
      <c r="F1067" s="29" t="s">
        <v>674</v>
      </c>
      <c r="G1067" s="29" t="s">
        <v>211</v>
      </c>
      <c r="H1067" s="130">
        <v>45709</v>
      </c>
      <c r="I1067" s="130">
        <f t="shared" si="8"/>
        <v>45714</v>
      </c>
      <c r="J1067" s="130"/>
      <c r="K1067" s="130"/>
      <c r="L1067" s="129" t="s">
        <v>415</v>
      </c>
      <c r="M1067" s="130"/>
      <c r="N1067" s="145"/>
      <c r="O1067" s="29" t="s">
        <v>686</v>
      </c>
    </row>
    <row r="1068" spans="1:15" hidden="1">
      <c r="A1068" s="29" t="s">
        <v>680</v>
      </c>
      <c r="B1068" s="29">
        <v>55504460</v>
      </c>
      <c r="C1068" s="29"/>
      <c r="E1068" s="29"/>
      <c r="F1068" s="29" t="s">
        <v>674</v>
      </c>
      <c r="G1068" s="29" t="s">
        <v>211</v>
      </c>
      <c r="H1068" s="130">
        <v>45709</v>
      </c>
      <c r="I1068" s="130">
        <f t="shared" si="8"/>
        <v>45714</v>
      </c>
      <c r="J1068" s="130"/>
      <c r="K1068" s="130"/>
      <c r="L1068" s="129" t="s">
        <v>415</v>
      </c>
      <c r="M1068" s="130"/>
      <c r="N1068" s="145"/>
      <c r="O1068" s="29" t="s">
        <v>675</v>
      </c>
    </row>
    <row r="1069" spans="1:15" hidden="1">
      <c r="A1069" s="157" t="s">
        <v>687</v>
      </c>
      <c r="B1069" s="67">
        <v>51507839</v>
      </c>
      <c r="C1069" s="67"/>
      <c r="E1069" s="67"/>
      <c r="F1069" s="29" t="s">
        <v>130</v>
      </c>
      <c r="G1069" s="29" t="s">
        <v>211</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130</v>
      </c>
      <c r="G1070" s="29" t="s">
        <v>211</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130</v>
      </c>
      <c r="G1071" s="29" t="s">
        <v>211</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130</v>
      </c>
      <c r="G1072" s="29" t="s">
        <v>211</v>
      </c>
      <c r="H1072" s="130">
        <v>45713</v>
      </c>
      <c r="I1072" s="130">
        <f t="shared" si="8"/>
        <v>45716</v>
      </c>
      <c r="J1072" s="130">
        <v>45729</v>
      </c>
      <c r="K1072" s="130"/>
      <c r="L1072" s="129" t="s">
        <v>415</v>
      </c>
      <c r="M1072" s="130"/>
      <c r="N1072" s="145"/>
      <c r="O1072" s="67" t="s">
        <v>690</v>
      </c>
    </row>
    <row r="1073" spans="1:15" hidden="1">
      <c r="A1073" s="157" t="s">
        <v>687</v>
      </c>
      <c r="B1073" s="67">
        <v>52505674</v>
      </c>
      <c r="C1073" s="67"/>
      <c r="E1073" s="67"/>
      <c r="F1073" s="29" t="s">
        <v>130</v>
      </c>
      <c r="G1073" s="29" t="s">
        <v>211</v>
      </c>
      <c r="H1073" s="130">
        <v>45713</v>
      </c>
      <c r="I1073" s="130">
        <f t="shared" si="8"/>
        <v>45716</v>
      </c>
      <c r="J1073" s="130">
        <v>45729</v>
      </c>
      <c r="K1073" s="130"/>
      <c r="L1073" s="129" t="s">
        <v>415</v>
      </c>
      <c r="M1073" s="130"/>
      <c r="N1073" s="145"/>
      <c r="O1073" s="67" t="s">
        <v>691</v>
      </c>
    </row>
    <row r="1074" spans="1:15" hidden="1">
      <c r="A1074" s="157" t="s">
        <v>687</v>
      </c>
      <c r="B1074" s="67">
        <v>51507828</v>
      </c>
      <c r="C1074" s="67"/>
      <c r="E1074" s="67"/>
      <c r="F1074" s="29" t="s">
        <v>130</v>
      </c>
      <c r="G1074" s="29" t="s">
        <v>211</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693</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693</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693</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694</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695</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696</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697</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698</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699</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700</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701</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699</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702</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702</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703</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699</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664</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666</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532</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665</v>
      </c>
      <c r="P1105" s="133"/>
    </row>
    <row r="1106" spans="1:16" hidden="1">
      <c r="A1106" s="41" t="s">
        <v>704</v>
      </c>
      <c r="B1106" s="41">
        <v>58504145</v>
      </c>
      <c r="C1106" s="41"/>
      <c r="E1106" s="41"/>
      <c r="F1106" s="29" t="s">
        <v>119</v>
      </c>
      <c r="G1106" s="29" t="s">
        <v>124</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119</v>
      </c>
      <c r="G1107" s="29" t="s">
        <v>124</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119</v>
      </c>
      <c r="G1108" s="29" t="s">
        <v>124</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119</v>
      </c>
      <c r="G1109" s="29" t="s">
        <v>124</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415</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415</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130</v>
      </c>
      <c r="G1115" s="29" t="s">
        <v>146</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130</v>
      </c>
      <c r="G1116" s="29" t="s">
        <v>146</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130</v>
      </c>
      <c r="G1117" s="29" t="s">
        <v>146</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130</v>
      </c>
      <c r="G1118" s="29" t="s">
        <v>146</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130</v>
      </c>
      <c r="G1119" s="29" t="s">
        <v>146</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130</v>
      </c>
      <c r="G1120" s="29" t="s">
        <v>146</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130</v>
      </c>
      <c r="G1121" s="29" t="s">
        <v>146</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130</v>
      </c>
      <c r="G1122" s="29" t="s">
        <v>146</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130</v>
      </c>
      <c r="G1123" s="29" t="s">
        <v>146</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130</v>
      </c>
      <c r="G1124" s="29" t="s">
        <v>146</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130</v>
      </c>
      <c r="G1125" s="29" t="s">
        <v>146</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130</v>
      </c>
      <c r="G1126" s="29" t="s">
        <v>146</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130</v>
      </c>
      <c r="G1127" s="29" t="s">
        <v>146</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130</v>
      </c>
      <c r="G1128" s="29" t="s">
        <v>146</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130</v>
      </c>
      <c r="G1129" s="29" t="s">
        <v>146</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130</v>
      </c>
      <c r="G1130" s="29" t="s">
        <v>146</v>
      </c>
      <c r="H1130" s="42">
        <v>45720</v>
      </c>
      <c r="I1130" s="130">
        <f t="shared" si="9"/>
        <v>45723</v>
      </c>
      <c r="J1130" s="42"/>
      <c r="K1130" s="42">
        <v>45723</v>
      </c>
      <c r="L1130" s="129" t="s">
        <v>10</v>
      </c>
      <c r="M1130" s="162"/>
      <c r="N1130" s="163"/>
      <c r="O1130" s="41" t="s">
        <v>729</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730</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130</v>
      </c>
      <c r="G1133" s="29" t="s">
        <v>214</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130</v>
      </c>
      <c r="G1134" s="29" t="s">
        <v>214</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130</v>
      </c>
      <c r="G1135" s="29" t="s">
        <v>214</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130</v>
      </c>
      <c r="G1136" s="29" t="s">
        <v>214</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130</v>
      </c>
      <c r="G1137" s="29" t="s">
        <v>214</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130</v>
      </c>
      <c r="G1138" s="29" t="s">
        <v>214</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130</v>
      </c>
      <c r="G1139" s="29" t="s">
        <v>214</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130</v>
      </c>
      <c r="G1140" s="29" t="s">
        <v>214</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130</v>
      </c>
      <c r="G1141" s="29" t="s">
        <v>214</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130</v>
      </c>
      <c r="G1143" s="29" t="s">
        <v>214</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130</v>
      </c>
      <c r="G1144" s="29" t="s">
        <v>214</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130</v>
      </c>
      <c r="G1146" s="29" t="s">
        <v>214</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130</v>
      </c>
      <c r="G1152" s="29" t="s">
        <v>214</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130</v>
      </c>
      <c r="G1153" s="29" t="s">
        <v>214</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130</v>
      </c>
      <c r="G1155" s="29" t="s">
        <v>214</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130</v>
      </c>
      <c r="G1157" s="29" t="s">
        <v>214</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130</v>
      </c>
      <c r="G1160" s="29" t="s">
        <v>214</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130</v>
      </c>
      <c r="G1161" s="29" t="s">
        <v>214</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130</v>
      </c>
      <c r="G1162" s="29" t="s">
        <v>214</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130</v>
      </c>
      <c r="G1167" s="29" t="s">
        <v>214</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130</v>
      </c>
      <c r="G1180" s="29" t="s">
        <v>214</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130</v>
      </c>
      <c r="G1181" s="29" t="s">
        <v>214</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130</v>
      </c>
      <c r="G1182" s="29" t="s">
        <v>214</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130</v>
      </c>
      <c r="G1183" s="29" t="s">
        <v>214</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130</v>
      </c>
      <c r="G1184" s="29" t="s">
        <v>214</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130</v>
      </c>
      <c r="G1185" s="29" t="s">
        <v>214</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130</v>
      </c>
      <c r="G1186" s="29" t="s">
        <v>214</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130</v>
      </c>
      <c r="G1187" s="29" t="s">
        <v>214</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130</v>
      </c>
      <c r="G1188" s="29" t="s">
        <v>214</v>
      </c>
      <c r="H1188" s="42">
        <v>45722</v>
      </c>
      <c r="I1188" s="130">
        <f t="shared" si="10"/>
        <v>45727</v>
      </c>
      <c r="J1188" s="29"/>
      <c r="K1188" s="29"/>
      <c r="L1188" s="129" t="s">
        <v>484</v>
      </c>
      <c r="M1188" s="29"/>
      <c r="N1188" s="81"/>
      <c r="O1188" s="41" t="s">
        <v>792</v>
      </c>
    </row>
    <row r="1189" spans="1:15" hidden="1">
      <c r="A1189" s="41" t="s">
        <v>782</v>
      </c>
      <c r="B1189" s="41">
        <v>65505591</v>
      </c>
      <c r="C1189" s="41"/>
      <c r="E1189" s="41"/>
      <c r="F1189" s="84" t="s">
        <v>130</v>
      </c>
      <c r="G1189" s="29" t="s">
        <v>214</v>
      </c>
      <c r="H1189" s="42">
        <v>45722</v>
      </c>
      <c r="I1189" s="130">
        <f t="shared" si="10"/>
        <v>45727</v>
      </c>
      <c r="J1189" s="29"/>
      <c r="K1189" s="29"/>
      <c r="L1189" s="129" t="s">
        <v>484</v>
      </c>
      <c r="M1189" s="29"/>
      <c r="N1189" s="81"/>
      <c r="O1189" s="41" t="s">
        <v>793</v>
      </c>
    </row>
    <row r="1190" spans="1:15" hidden="1">
      <c r="A1190" s="41" t="s">
        <v>782</v>
      </c>
      <c r="B1190" s="41">
        <v>65505650</v>
      </c>
      <c r="C1190" s="41"/>
      <c r="E1190" s="41"/>
      <c r="F1190" s="84" t="s">
        <v>130</v>
      </c>
      <c r="G1190" s="29" t="s">
        <v>214</v>
      </c>
      <c r="H1190" s="42">
        <v>45722</v>
      </c>
      <c r="I1190" s="130">
        <f t="shared" si="10"/>
        <v>45727</v>
      </c>
      <c r="J1190" s="29"/>
      <c r="K1190" s="29"/>
      <c r="L1190" s="129" t="s">
        <v>484</v>
      </c>
      <c r="M1190" s="29"/>
      <c r="N1190" s="81"/>
      <c r="O1190" s="41" t="s">
        <v>794</v>
      </c>
    </row>
    <row r="1191" spans="1:15" hidden="1">
      <c r="A1191" s="41" t="s">
        <v>782</v>
      </c>
      <c r="B1191" s="41">
        <v>65505682</v>
      </c>
      <c r="C1191" s="41"/>
      <c r="E1191" s="41"/>
      <c r="F1191" s="84" t="s">
        <v>130</v>
      </c>
      <c r="G1191" s="29" t="s">
        <v>214</v>
      </c>
      <c r="H1191" s="42">
        <v>45722</v>
      </c>
      <c r="I1191" s="130">
        <f t="shared" si="10"/>
        <v>45727</v>
      </c>
      <c r="J1191" s="29"/>
      <c r="K1191" s="29"/>
      <c r="L1191" s="129" t="s">
        <v>484</v>
      </c>
      <c r="M1191" s="29"/>
      <c r="N1191" s="81"/>
      <c r="O1191" s="41" t="s">
        <v>795</v>
      </c>
    </row>
    <row r="1192" spans="1:15" hidden="1">
      <c r="A1192" s="41" t="s">
        <v>782</v>
      </c>
      <c r="B1192" s="41">
        <v>65505696</v>
      </c>
      <c r="C1192" s="41"/>
      <c r="E1192" s="41"/>
      <c r="F1192" s="84" t="s">
        <v>130</v>
      </c>
      <c r="G1192" s="29" t="s">
        <v>214</v>
      </c>
      <c r="H1192" s="42">
        <v>45722</v>
      </c>
      <c r="I1192" s="130">
        <f t="shared" si="10"/>
        <v>45727</v>
      </c>
      <c r="J1192" s="29"/>
      <c r="K1192" s="29"/>
      <c r="L1192" s="129" t="s">
        <v>484</v>
      </c>
      <c r="M1192" s="29"/>
      <c r="N1192" s="81"/>
      <c r="O1192" s="41" t="s">
        <v>796</v>
      </c>
    </row>
    <row r="1193" spans="1:15" hidden="1">
      <c r="A1193" s="41" t="s">
        <v>782</v>
      </c>
      <c r="B1193" s="41">
        <v>65505728</v>
      </c>
      <c r="C1193" s="41"/>
      <c r="E1193" s="41"/>
      <c r="F1193" s="84" t="s">
        <v>130</v>
      </c>
      <c r="G1193" s="29" t="s">
        <v>214</v>
      </c>
      <c r="H1193" s="42">
        <v>45722</v>
      </c>
      <c r="I1193" s="130">
        <f t="shared" si="10"/>
        <v>45727</v>
      </c>
      <c r="J1193" s="29"/>
      <c r="K1193" s="29"/>
      <c r="L1193" s="129" t="s">
        <v>484</v>
      </c>
      <c r="M1193" s="29"/>
      <c r="N1193" s="81"/>
      <c r="O1193" s="41" t="s">
        <v>797</v>
      </c>
    </row>
    <row r="1194" spans="1:15" hidden="1">
      <c r="A1194" s="41" t="s">
        <v>782</v>
      </c>
      <c r="B1194" s="41">
        <v>65505750</v>
      </c>
      <c r="C1194" s="41"/>
      <c r="E1194" s="41"/>
      <c r="F1194" s="84" t="s">
        <v>130</v>
      </c>
      <c r="G1194" s="29" t="s">
        <v>214</v>
      </c>
      <c r="H1194" s="42">
        <v>45722</v>
      </c>
      <c r="I1194" s="130">
        <f t="shared" si="10"/>
        <v>45727</v>
      </c>
      <c r="J1194" s="29"/>
      <c r="K1194" s="29"/>
      <c r="L1194" s="129" t="s">
        <v>484</v>
      </c>
      <c r="M1194" s="29"/>
      <c r="N1194" s="81"/>
      <c r="O1194" s="41" t="s">
        <v>798</v>
      </c>
    </row>
    <row r="1195" spans="1:15" hidden="1">
      <c r="A1195" s="41" t="s">
        <v>782</v>
      </c>
      <c r="B1195" s="41">
        <v>65505814</v>
      </c>
      <c r="C1195" s="41"/>
      <c r="E1195" s="41"/>
      <c r="F1195" s="84" t="s">
        <v>130</v>
      </c>
      <c r="G1195" s="29" t="s">
        <v>214</v>
      </c>
      <c r="H1195" s="42">
        <v>45722</v>
      </c>
      <c r="I1195" s="130">
        <f t="shared" si="10"/>
        <v>45727</v>
      </c>
      <c r="J1195" s="29"/>
      <c r="K1195" s="29"/>
      <c r="L1195" s="129" t="s">
        <v>484</v>
      </c>
      <c r="M1195" s="29"/>
      <c r="N1195" s="81"/>
      <c r="O1195" s="41" t="s">
        <v>799</v>
      </c>
    </row>
    <row r="1196" spans="1:15" hidden="1">
      <c r="A1196" s="41" t="s">
        <v>782</v>
      </c>
      <c r="B1196" s="41">
        <v>65505831</v>
      </c>
      <c r="C1196" s="41"/>
      <c r="E1196" s="41"/>
      <c r="F1196" s="84" t="s">
        <v>130</v>
      </c>
      <c r="G1196" s="29" t="s">
        <v>214</v>
      </c>
      <c r="H1196" s="42">
        <v>45722</v>
      </c>
      <c r="I1196" s="130">
        <f t="shared" si="10"/>
        <v>45727</v>
      </c>
      <c r="J1196" s="29"/>
      <c r="K1196" s="29"/>
      <c r="L1196" s="129" t="s">
        <v>484</v>
      </c>
      <c r="M1196" s="29"/>
      <c r="N1196" s="81"/>
      <c r="O1196" s="41" t="s">
        <v>800</v>
      </c>
    </row>
    <row r="1197" spans="1:15" hidden="1">
      <c r="A1197" s="41" t="s">
        <v>782</v>
      </c>
      <c r="B1197" s="41">
        <v>65505876</v>
      </c>
      <c r="C1197" s="41"/>
      <c r="E1197" s="41"/>
      <c r="F1197" s="84" t="s">
        <v>130</v>
      </c>
      <c r="G1197" s="29" t="s">
        <v>214</v>
      </c>
      <c r="H1197" s="42">
        <v>45722</v>
      </c>
      <c r="I1197" s="130">
        <f t="shared" si="10"/>
        <v>45727</v>
      </c>
      <c r="J1197" s="29"/>
      <c r="K1197" s="29"/>
      <c r="L1197" s="129" t="s">
        <v>484</v>
      </c>
      <c r="M1197" s="29"/>
      <c r="N1197" s="81"/>
      <c r="O1197" s="41" t="s">
        <v>801</v>
      </c>
    </row>
    <row r="1198" spans="1:15" hidden="1">
      <c r="A1198" s="41" t="s">
        <v>782</v>
      </c>
      <c r="B1198" s="41">
        <v>65505913</v>
      </c>
      <c r="C1198" s="41"/>
      <c r="E1198" s="41"/>
      <c r="F1198" s="84" t="s">
        <v>130</v>
      </c>
      <c r="G1198" s="29" t="s">
        <v>214</v>
      </c>
      <c r="H1198" s="42">
        <v>45722</v>
      </c>
      <c r="I1198" s="130">
        <f t="shared" si="10"/>
        <v>45727</v>
      </c>
      <c r="J1198" s="29"/>
      <c r="K1198" s="29"/>
      <c r="L1198" s="129" t="s">
        <v>484</v>
      </c>
      <c r="M1198" s="29"/>
      <c r="N1198" s="81"/>
      <c r="O1198" s="41" t="s">
        <v>802</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803</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804</v>
      </c>
      <c r="C1213" s="29"/>
      <c r="E1213" s="29"/>
      <c r="F1213" s="84" t="s">
        <v>130</v>
      </c>
      <c r="G1213" s="29" t="s">
        <v>128</v>
      </c>
      <c r="H1213" s="130">
        <v>45726</v>
      </c>
      <c r="I1213" s="130">
        <f t="shared" si="10"/>
        <v>45729</v>
      </c>
      <c r="J1213" s="42">
        <v>45727</v>
      </c>
      <c r="K1213" s="130">
        <v>45740</v>
      </c>
      <c r="L1213" s="129" t="s">
        <v>803</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130</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130</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130</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130</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130</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130</v>
      </c>
      <c r="G1223" s="29" t="s">
        <v>146</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130</v>
      </c>
      <c r="G1224" s="29" t="s">
        <v>146</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130</v>
      </c>
      <c r="G1225" s="29" t="s">
        <v>146</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130</v>
      </c>
      <c r="G1226" s="29" t="s">
        <v>146</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130</v>
      </c>
      <c r="G1227" s="29" t="s">
        <v>146</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130</v>
      </c>
      <c r="G1229" s="29" t="s">
        <v>146</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130</v>
      </c>
      <c r="G1231" s="29" t="s">
        <v>146</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130</v>
      </c>
      <c r="G1232" s="29" t="s">
        <v>146</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130</v>
      </c>
      <c r="G1233" s="29" t="s">
        <v>146</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130</v>
      </c>
      <c r="G1234" s="29" t="s">
        <v>146</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130</v>
      </c>
      <c r="G1235" s="29" t="s">
        <v>146</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130</v>
      </c>
      <c r="G1236" s="29" t="s">
        <v>146</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130</v>
      </c>
      <c r="G1237" s="29" t="s">
        <v>146</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130</v>
      </c>
      <c r="G1238" s="29" t="s">
        <v>146</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130</v>
      </c>
      <c r="G1239" s="29" t="s">
        <v>146</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130</v>
      </c>
      <c r="G1240" s="29" t="s">
        <v>146</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130</v>
      </c>
      <c r="G1241" s="29" t="s">
        <v>146</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130</v>
      </c>
      <c r="G1242" s="29" t="s">
        <v>146</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130</v>
      </c>
      <c r="G1243" s="29" t="s">
        <v>146</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130</v>
      </c>
      <c r="G1244" s="29" t="s">
        <v>146</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130</v>
      </c>
      <c r="G1245" s="29" t="s">
        <v>146</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130</v>
      </c>
      <c r="G1246" s="29" t="s">
        <v>146</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130</v>
      </c>
      <c r="G1247" s="29" t="s">
        <v>146</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130</v>
      </c>
      <c r="G1248" s="29" t="s">
        <v>146</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130</v>
      </c>
      <c r="G1249" s="29" t="s">
        <v>146</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130</v>
      </c>
      <c r="G1250" s="29" t="s">
        <v>146</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130</v>
      </c>
      <c r="G1251" s="29" t="s">
        <v>146</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130</v>
      </c>
      <c r="G1255" s="29" t="s">
        <v>146</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130</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842</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842</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842</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842</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842</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842</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842</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842</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842</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842</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842</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842</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842</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842</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842</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842</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842</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842</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842</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842</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842</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842</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484</v>
      </c>
      <c r="M1284" s="29"/>
      <c r="N1284" s="81"/>
      <c r="O1284" s="41"/>
    </row>
    <row r="1285" spans="1:15" hidden="1">
      <c r="A1285" s="157" t="s">
        <v>631</v>
      </c>
      <c r="B1285" s="29">
        <v>71506823</v>
      </c>
      <c r="C1285" s="29"/>
      <c r="E1285" s="29"/>
      <c r="F1285" s="29" t="s">
        <v>130</v>
      </c>
      <c r="G1285" s="29" t="s">
        <v>844</v>
      </c>
      <c r="H1285" s="42">
        <v>45728</v>
      </c>
      <c r="I1285" s="130">
        <f t="shared" si="11"/>
        <v>45733</v>
      </c>
      <c r="J1285" s="130">
        <v>45730</v>
      </c>
      <c r="K1285" s="29"/>
      <c r="L1285" s="129" t="s">
        <v>484</v>
      </c>
      <c r="M1285" s="29"/>
      <c r="N1285" s="81"/>
      <c r="O1285" s="41"/>
    </row>
    <row r="1286" spans="1:15" hidden="1">
      <c r="A1286" s="157" t="s">
        <v>782</v>
      </c>
      <c r="B1286" s="29">
        <v>70508491</v>
      </c>
      <c r="C1286" s="29"/>
      <c r="E1286" s="29"/>
      <c r="F1286" s="29" t="s">
        <v>130</v>
      </c>
      <c r="G1286" s="29" t="s">
        <v>124</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130</v>
      </c>
      <c r="G1287" s="29" t="s">
        <v>124</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130</v>
      </c>
      <c r="G1288" s="29" t="s">
        <v>124</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130</v>
      </c>
      <c r="G1289" s="29" t="s">
        <v>124</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130</v>
      </c>
      <c r="G1290" s="29" t="s">
        <v>124</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130</v>
      </c>
      <c r="G1291" s="29" t="s">
        <v>124</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130</v>
      </c>
      <c r="G1292" s="29" t="s">
        <v>124</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130</v>
      </c>
      <c r="G1293" s="29" t="s">
        <v>124</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130</v>
      </c>
      <c r="G1294" s="29" t="s">
        <v>124</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130</v>
      </c>
      <c r="G1295" s="29" t="s">
        <v>124</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130</v>
      </c>
      <c r="G1296" s="29" t="s">
        <v>124</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130</v>
      </c>
      <c r="G1297" s="29" t="s">
        <v>124</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130</v>
      </c>
      <c r="G1298" s="29" t="s">
        <v>124</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130</v>
      </c>
      <c r="G1299" s="29" t="s">
        <v>124</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130</v>
      </c>
      <c r="G1300" s="29" t="s">
        <v>124</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130</v>
      </c>
      <c r="G1301" s="29" t="s">
        <v>124</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130</v>
      </c>
      <c r="G1302" s="29" t="s">
        <v>124</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130</v>
      </c>
      <c r="G1303" s="29" t="s">
        <v>124</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130</v>
      </c>
      <c r="G1304" s="29" t="s">
        <v>124</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130</v>
      </c>
      <c r="G1305" s="29" t="s">
        <v>124</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130</v>
      </c>
      <c r="G1306" s="29" t="s">
        <v>124</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130</v>
      </c>
      <c r="G1307" s="29" t="s">
        <v>124</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130</v>
      </c>
      <c r="G1308" s="29" t="s">
        <v>124</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484</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484</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484</v>
      </c>
      <c r="M1336" s="29"/>
      <c r="N1336" s="81"/>
    </row>
    <row r="1337" spans="1:15" hidden="1">
      <c r="A1337" s="144" t="s">
        <v>873</v>
      </c>
      <c r="B1337" s="29">
        <v>72502083</v>
      </c>
      <c r="C1337" s="29"/>
      <c r="E1337" s="29" t="s">
        <v>874</v>
      </c>
      <c r="F1337" s="29" t="s">
        <v>119</v>
      </c>
      <c r="G1337" s="29" t="s">
        <v>124</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119</v>
      </c>
      <c r="G1338" s="29" t="s">
        <v>124</v>
      </c>
      <c r="H1338" s="42">
        <v>45729</v>
      </c>
      <c r="I1338" s="130">
        <f t="shared" si="12"/>
        <v>45734</v>
      </c>
      <c r="J1338" s="130">
        <v>45730</v>
      </c>
      <c r="K1338" s="29"/>
      <c r="L1338" s="129" t="s">
        <v>484</v>
      </c>
      <c r="M1338" s="29"/>
      <c r="N1338" s="81">
        <v>1100</v>
      </c>
      <c r="O1338" s="129" t="s">
        <v>876</v>
      </c>
    </row>
    <row r="1339" spans="1:15" hidden="1">
      <c r="A1339" s="144" t="s">
        <v>873</v>
      </c>
      <c r="B1339" s="29">
        <v>72502007</v>
      </c>
      <c r="C1339" s="29"/>
      <c r="E1339" s="29" t="s">
        <v>874</v>
      </c>
      <c r="F1339" s="29" t="s">
        <v>119</v>
      </c>
      <c r="G1339" s="29" t="s">
        <v>124</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484</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484</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484</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484</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484</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484</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484</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484</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484</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484</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484</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484</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484</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484</v>
      </c>
      <c r="M1357" s="29"/>
      <c r="N1357" s="81"/>
    </row>
    <row r="1358" spans="1:14" hidden="1">
      <c r="A1358" s="144" t="s">
        <v>687</v>
      </c>
      <c r="B1358" s="29">
        <v>73500775</v>
      </c>
      <c r="C1358" s="29"/>
      <c r="E1358" s="29" t="s">
        <v>871</v>
      </c>
      <c r="F1358" s="29" t="s">
        <v>130</v>
      </c>
      <c r="G1358" s="29" t="s">
        <v>38</v>
      </c>
      <c r="H1358" s="42">
        <v>45730</v>
      </c>
      <c r="I1358" s="130">
        <f t="shared" si="13"/>
        <v>45735</v>
      </c>
      <c r="J1358" s="130">
        <v>45730</v>
      </c>
      <c r="K1358" s="130">
        <v>45734</v>
      </c>
      <c r="L1358" s="129" t="s">
        <v>663</v>
      </c>
    </row>
    <row r="1359" spans="1:14" hidden="1">
      <c r="A1359" s="144" t="s">
        <v>522</v>
      </c>
      <c r="B1359" s="29">
        <v>73502529</v>
      </c>
      <c r="C1359" s="29"/>
      <c r="E1359" s="29" t="s">
        <v>871</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871</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871</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871</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871</v>
      </c>
      <c r="F1363" s="29" t="s">
        <v>130</v>
      </c>
      <c r="G1363" s="29" t="s">
        <v>38</v>
      </c>
      <c r="H1363" s="42">
        <v>45730</v>
      </c>
      <c r="I1363" s="130">
        <f t="shared" si="13"/>
        <v>45735</v>
      </c>
      <c r="J1363" s="130">
        <v>45730</v>
      </c>
      <c r="K1363" s="130"/>
      <c r="L1363" s="129" t="s">
        <v>484</v>
      </c>
    </row>
    <row r="1364" spans="1:14" hidden="1">
      <c r="A1364" s="144" t="s">
        <v>878</v>
      </c>
      <c r="B1364" s="29">
        <v>71509589</v>
      </c>
      <c r="C1364" s="29"/>
      <c r="E1364" s="29" t="s">
        <v>879</v>
      </c>
      <c r="F1364" s="29" t="s">
        <v>130</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130</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130</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130</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130</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130</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130</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130</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130</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130</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130</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130</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130</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130</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130</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130</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130</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130</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130</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130</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130</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130</v>
      </c>
      <c r="G1385" s="29" t="s">
        <v>146</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130</v>
      </c>
      <c r="G1386" s="29" t="s">
        <v>146</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130</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130</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130</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130</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130</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130</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130</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130</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130</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130</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130</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130</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130</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130</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130</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130</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130</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130</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130</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130</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130</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130</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130</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130</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130</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130</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130</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130</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130</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130</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130</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130</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130</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130</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130</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130</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130</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130</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130</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130</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130</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130</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130</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130</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130</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130</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130</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130</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130</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130</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130</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130</v>
      </c>
      <c r="G1438" s="29" t="s">
        <v>891</v>
      </c>
      <c r="H1438" s="130">
        <v>45737</v>
      </c>
      <c r="I1438" s="130">
        <f t="shared" si="14"/>
        <v>45742</v>
      </c>
      <c r="J1438" s="130">
        <v>45741</v>
      </c>
      <c r="K1438" s="29"/>
      <c r="L1438" s="129" t="s">
        <v>484</v>
      </c>
      <c r="M1438" s="29"/>
      <c r="N1438" s="81">
        <v>820</v>
      </c>
    </row>
    <row r="1439" spans="1:14" hidden="1">
      <c r="A1439" s="144" t="s">
        <v>889</v>
      </c>
      <c r="B1439" s="29">
        <v>80503689</v>
      </c>
      <c r="C1439" s="29"/>
      <c r="E1439" s="29" t="s">
        <v>890</v>
      </c>
      <c r="F1439" s="29" t="s">
        <v>130</v>
      </c>
      <c r="G1439" s="29" t="s">
        <v>891</v>
      </c>
      <c r="H1439" s="130">
        <v>45737</v>
      </c>
      <c r="I1439" s="130">
        <f t="shared" si="14"/>
        <v>45742</v>
      </c>
      <c r="J1439" s="130">
        <v>45741</v>
      </c>
      <c r="K1439" s="29"/>
      <c r="L1439" s="129" t="s">
        <v>484</v>
      </c>
      <c r="M1439" s="29"/>
      <c r="N1439" s="81">
        <v>620</v>
      </c>
    </row>
    <row r="1440" spans="1:14" hidden="1">
      <c r="A1440" s="144" t="s">
        <v>889</v>
      </c>
      <c r="B1440" s="29">
        <v>80503775</v>
      </c>
      <c r="C1440" s="29"/>
      <c r="E1440" s="29" t="s">
        <v>890</v>
      </c>
      <c r="F1440" s="29" t="s">
        <v>130</v>
      </c>
      <c r="G1440" s="29" t="s">
        <v>891</v>
      </c>
      <c r="H1440" s="130">
        <v>45737</v>
      </c>
      <c r="I1440" s="130">
        <f t="shared" si="14"/>
        <v>45742</v>
      </c>
      <c r="J1440" s="130">
        <v>45741</v>
      </c>
      <c r="K1440" s="29"/>
      <c r="L1440" s="129" t="s">
        <v>484</v>
      </c>
      <c r="M1440" s="29"/>
      <c r="N1440" s="81">
        <v>160</v>
      </c>
    </row>
    <row r="1441" spans="1:15" hidden="1">
      <c r="A1441" s="144" t="s">
        <v>889</v>
      </c>
      <c r="B1441" s="29">
        <v>80503775</v>
      </c>
      <c r="C1441" s="29"/>
      <c r="E1441" s="29" t="s">
        <v>890</v>
      </c>
      <c r="F1441" s="29" t="s">
        <v>130</v>
      </c>
      <c r="G1441" s="29" t="s">
        <v>891</v>
      </c>
      <c r="H1441" s="130">
        <v>45737</v>
      </c>
      <c r="I1441" s="130">
        <f t="shared" si="14"/>
        <v>45742</v>
      </c>
      <c r="J1441" s="130">
        <v>45741</v>
      </c>
      <c r="K1441" s="29"/>
      <c r="L1441" s="129" t="s">
        <v>484</v>
      </c>
      <c r="M1441" s="29"/>
      <c r="N1441" s="81">
        <v>160</v>
      </c>
    </row>
    <row r="1442" spans="1:15" hidden="1">
      <c r="A1442" s="144" t="s">
        <v>889</v>
      </c>
      <c r="B1442" s="29">
        <v>80503935</v>
      </c>
      <c r="C1442" s="29"/>
      <c r="E1442" s="29" t="s">
        <v>890</v>
      </c>
      <c r="F1442" s="29" t="s">
        <v>130</v>
      </c>
      <c r="G1442" s="29" t="s">
        <v>891</v>
      </c>
      <c r="H1442" s="130">
        <v>45737</v>
      </c>
      <c r="I1442" s="130">
        <f t="shared" si="14"/>
        <v>45742</v>
      </c>
      <c r="J1442" s="130">
        <v>45741</v>
      </c>
      <c r="K1442" s="29"/>
      <c r="L1442" s="129" t="s">
        <v>484</v>
      </c>
      <c r="M1442" s="29"/>
      <c r="N1442" s="81">
        <v>90</v>
      </c>
    </row>
    <row r="1443" spans="1:15" hidden="1">
      <c r="A1443" s="144" t="s">
        <v>889</v>
      </c>
      <c r="B1443" s="29">
        <v>80503980</v>
      </c>
      <c r="C1443" s="29"/>
      <c r="E1443" s="29" t="s">
        <v>890</v>
      </c>
      <c r="F1443" s="29" t="s">
        <v>130</v>
      </c>
      <c r="G1443" s="29" t="s">
        <v>891</v>
      </c>
      <c r="H1443" s="130">
        <v>45737</v>
      </c>
      <c r="I1443" s="130">
        <f t="shared" si="14"/>
        <v>45742</v>
      </c>
      <c r="J1443" s="130">
        <v>45741</v>
      </c>
      <c r="K1443" s="29"/>
      <c r="L1443" s="129" t="s">
        <v>484</v>
      </c>
      <c r="M1443" s="29"/>
      <c r="N1443" s="81">
        <v>240</v>
      </c>
    </row>
    <row r="1444" spans="1:15" hidden="1">
      <c r="A1444" s="144" t="s">
        <v>889</v>
      </c>
      <c r="B1444" s="29">
        <v>80504143</v>
      </c>
      <c r="C1444" s="29"/>
      <c r="E1444" s="29" t="s">
        <v>890</v>
      </c>
      <c r="F1444" s="29" t="s">
        <v>130</v>
      </c>
      <c r="G1444" s="29" t="s">
        <v>891</v>
      </c>
      <c r="H1444" s="130">
        <v>45737</v>
      </c>
      <c r="I1444" s="130">
        <f t="shared" si="14"/>
        <v>45742</v>
      </c>
      <c r="J1444" s="130">
        <v>45741</v>
      </c>
      <c r="K1444" s="29"/>
      <c r="L1444" s="129" t="s">
        <v>484</v>
      </c>
      <c r="M1444" s="29"/>
      <c r="N1444" s="81">
        <v>220</v>
      </c>
    </row>
    <row r="1445" spans="1:15" hidden="1">
      <c r="A1445" s="144" t="s">
        <v>889</v>
      </c>
      <c r="B1445" s="29">
        <v>80504238</v>
      </c>
      <c r="C1445" s="29"/>
      <c r="E1445" s="29" t="s">
        <v>890</v>
      </c>
      <c r="F1445" s="29" t="s">
        <v>130</v>
      </c>
      <c r="G1445" s="29" t="s">
        <v>891</v>
      </c>
      <c r="H1445" s="130">
        <v>45737</v>
      </c>
      <c r="I1445" s="130">
        <f t="shared" si="14"/>
        <v>45742</v>
      </c>
      <c r="J1445" s="130">
        <v>45741</v>
      </c>
      <c r="K1445" s="29"/>
      <c r="L1445" s="129" t="s">
        <v>484</v>
      </c>
      <c r="M1445" s="29"/>
      <c r="N1445" s="81">
        <v>180</v>
      </c>
    </row>
    <row r="1446" spans="1:15" hidden="1">
      <c r="A1446" s="144" t="s">
        <v>889</v>
      </c>
      <c r="B1446" s="29">
        <v>80504318</v>
      </c>
      <c r="C1446" s="29"/>
      <c r="E1446" s="29" t="s">
        <v>890</v>
      </c>
      <c r="F1446" s="29" t="s">
        <v>130</v>
      </c>
      <c r="G1446" s="29" t="s">
        <v>891</v>
      </c>
      <c r="H1446" s="130">
        <v>45737</v>
      </c>
      <c r="I1446" s="130">
        <f t="shared" si="14"/>
        <v>45742</v>
      </c>
      <c r="J1446" s="130">
        <v>45741</v>
      </c>
      <c r="K1446" s="29"/>
      <c r="L1446" s="129" t="s">
        <v>484</v>
      </c>
      <c r="M1446" s="29"/>
      <c r="N1446" s="81">
        <v>630</v>
      </c>
    </row>
    <row r="1447" spans="1:15" hidden="1">
      <c r="A1447" s="144" t="s">
        <v>889</v>
      </c>
      <c r="B1447" s="29">
        <v>80504405</v>
      </c>
      <c r="C1447" s="29"/>
      <c r="E1447" s="29" t="s">
        <v>890</v>
      </c>
      <c r="F1447" s="29" t="s">
        <v>130</v>
      </c>
      <c r="G1447" s="29" t="s">
        <v>891</v>
      </c>
      <c r="H1447" s="130">
        <v>45737</v>
      </c>
      <c r="I1447" s="130">
        <f t="shared" si="14"/>
        <v>45742</v>
      </c>
      <c r="J1447" s="130">
        <v>45741</v>
      </c>
      <c r="K1447" s="29"/>
      <c r="L1447" s="129" t="s">
        <v>484</v>
      </c>
      <c r="M1447" s="29"/>
      <c r="N1447" s="81">
        <v>220</v>
      </c>
    </row>
    <row r="1448" spans="1:15" hidden="1">
      <c r="A1448" s="144" t="s">
        <v>889</v>
      </c>
      <c r="B1448" s="29">
        <v>80504463</v>
      </c>
      <c r="C1448" s="29"/>
      <c r="E1448" s="29" t="s">
        <v>890</v>
      </c>
      <c r="F1448" s="29" t="s">
        <v>130</v>
      </c>
      <c r="G1448" s="29" t="s">
        <v>891</v>
      </c>
      <c r="H1448" s="130">
        <v>45737</v>
      </c>
      <c r="I1448" s="130">
        <f t="shared" si="14"/>
        <v>45742</v>
      </c>
      <c r="J1448" s="130">
        <v>45741</v>
      </c>
      <c r="K1448" s="29"/>
      <c r="L1448" s="129" t="s">
        <v>484</v>
      </c>
      <c r="M1448" s="29"/>
      <c r="N1448" s="81">
        <v>660</v>
      </c>
    </row>
    <row r="1449" spans="1:15" hidden="1">
      <c r="A1449" s="144" t="s">
        <v>889</v>
      </c>
      <c r="B1449" s="29">
        <v>80504369</v>
      </c>
      <c r="C1449" s="29"/>
      <c r="E1449" s="29" t="s">
        <v>890</v>
      </c>
      <c r="F1449" s="29" t="s">
        <v>130</v>
      </c>
      <c r="G1449" s="29" t="s">
        <v>891</v>
      </c>
      <c r="H1449" s="130">
        <v>45737</v>
      </c>
      <c r="I1449" s="130">
        <f t="shared" si="14"/>
        <v>45742</v>
      </c>
      <c r="J1449" s="130">
        <v>45741</v>
      </c>
      <c r="K1449" s="29"/>
      <c r="L1449" s="129" t="s">
        <v>484</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484</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484</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484</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484</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484</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484</v>
      </c>
      <c r="M1457" s="29"/>
      <c r="N1457" s="81"/>
    </row>
    <row r="1458" spans="1:15">
      <c r="A1458" s="144" t="s">
        <v>107</v>
      </c>
      <c r="B1458" s="29">
        <v>91510182</v>
      </c>
      <c r="C1458" s="29"/>
      <c r="E1458" s="29" t="s">
        <v>881</v>
      </c>
      <c r="F1458" s="29" t="s">
        <v>130</v>
      </c>
      <c r="G1458" s="130" t="s">
        <v>893</v>
      </c>
      <c r="H1458" s="130">
        <v>45748</v>
      </c>
      <c r="I1458" s="130">
        <f t="shared" si="14"/>
        <v>45751</v>
      </c>
      <c r="J1458" s="130"/>
      <c r="K1458" s="29"/>
      <c r="L1458" s="129" t="s">
        <v>484</v>
      </c>
      <c r="M1458" s="29"/>
      <c r="N1458" s="81">
        <v>270</v>
      </c>
      <c r="O1458" s="129" t="s">
        <v>894</v>
      </c>
    </row>
    <row r="1459" spans="1:15">
      <c r="A1459" s="144" t="s">
        <v>107</v>
      </c>
      <c r="B1459" s="29">
        <v>91510193</v>
      </c>
      <c r="C1459" s="29"/>
      <c r="E1459" s="29" t="s">
        <v>881</v>
      </c>
      <c r="F1459" s="29" t="s">
        <v>130</v>
      </c>
      <c r="G1459" s="130" t="s">
        <v>893</v>
      </c>
      <c r="H1459" s="130">
        <v>45748</v>
      </c>
      <c r="I1459" s="130">
        <f t="shared" si="14"/>
        <v>45751</v>
      </c>
      <c r="J1459" s="130"/>
      <c r="K1459" s="29"/>
      <c r="L1459" s="129" t="s">
        <v>484</v>
      </c>
      <c r="M1459" s="29"/>
      <c r="N1459" s="81">
        <v>48</v>
      </c>
      <c r="O1459" s="129" t="s">
        <v>895</v>
      </c>
    </row>
    <row r="1460" spans="1:15">
      <c r="A1460" s="144" t="s">
        <v>107</v>
      </c>
      <c r="B1460" s="29">
        <v>91510213</v>
      </c>
      <c r="C1460" s="29"/>
      <c r="E1460" s="29" t="s">
        <v>881</v>
      </c>
      <c r="F1460" s="29" t="s">
        <v>130</v>
      </c>
      <c r="G1460" s="130" t="s">
        <v>893</v>
      </c>
      <c r="H1460" s="130">
        <v>45748</v>
      </c>
      <c r="I1460" s="130">
        <f t="shared" si="14"/>
        <v>45751</v>
      </c>
      <c r="J1460" s="130"/>
      <c r="K1460" s="29"/>
      <c r="L1460" s="129" t="s">
        <v>484</v>
      </c>
      <c r="M1460" s="29"/>
      <c r="N1460" s="81">
        <v>48</v>
      </c>
      <c r="O1460" s="129" t="s">
        <v>896</v>
      </c>
    </row>
    <row r="1461" spans="1:15">
      <c r="A1461" s="144" t="s">
        <v>107</v>
      </c>
      <c r="B1461" s="29">
        <v>91510227</v>
      </c>
      <c r="C1461" s="29"/>
      <c r="E1461" s="29" t="s">
        <v>881</v>
      </c>
      <c r="F1461" s="29" t="s">
        <v>130</v>
      </c>
      <c r="G1461" s="130" t="s">
        <v>893</v>
      </c>
      <c r="H1461" s="130">
        <v>45748</v>
      </c>
      <c r="I1461" s="130">
        <f t="shared" si="14"/>
        <v>45751</v>
      </c>
      <c r="J1461" s="130"/>
      <c r="K1461" s="29"/>
      <c r="L1461" s="129" t="s">
        <v>484</v>
      </c>
      <c r="M1461" s="29"/>
      <c r="N1461" s="81">
        <v>580</v>
      </c>
      <c r="O1461" s="129" t="s">
        <v>897</v>
      </c>
    </row>
    <row r="1462" spans="1:15">
      <c r="A1462" s="144" t="s">
        <v>107</v>
      </c>
      <c r="B1462" s="29">
        <v>91510239</v>
      </c>
      <c r="C1462" s="29"/>
      <c r="E1462" s="29" t="s">
        <v>881</v>
      </c>
      <c r="F1462" s="29" t="s">
        <v>130</v>
      </c>
      <c r="G1462" s="130" t="s">
        <v>893</v>
      </c>
      <c r="H1462" s="130">
        <v>45748</v>
      </c>
      <c r="I1462" s="130">
        <f t="shared" si="14"/>
        <v>45751</v>
      </c>
      <c r="J1462" s="130"/>
      <c r="K1462" s="29"/>
      <c r="L1462" s="129" t="s">
        <v>484</v>
      </c>
      <c r="M1462" s="29"/>
      <c r="N1462" s="81">
        <v>45</v>
      </c>
      <c r="O1462" s="129" t="s">
        <v>898</v>
      </c>
    </row>
    <row r="1463" spans="1:15">
      <c r="A1463" s="144" t="s">
        <v>107</v>
      </c>
      <c r="B1463" s="29">
        <v>91510252</v>
      </c>
      <c r="C1463" s="29"/>
      <c r="E1463" s="29" t="s">
        <v>881</v>
      </c>
      <c r="F1463" s="29" t="s">
        <v>130</v>
      </c>
      <c r="G1463" s="130" t="s">
        <v>893</v>
      </c>
      <c r="H1463" s="130">
        <v>45748</v>
      </c>
      <c r="I1463" s="130">
        <f t="shared" si="14"/>
        <v>45751</v>
      </c>
      <c r="J1463" s="29"/>
      <c r="K1463" s="29"/>
      <c r="L1463" s="129" t="s">
        <v>484</v>
      </c>
      <c r="M1463" s="29"/>
      <c r="N1463" s="81">
        <v>270</v>
      </c>
      <c r="O1463" s="129" t="s">
        <v>899</v>
      </c>
    </row>
    <row r="1464" spans="1:15">
      <c r="A1464" s="144" t="s">
        <v>107</v>
      </c>
      <c r="B1464" s="29">
        <v>91510264</v>
      </c>
      <c r="C1464" s="29"/>
      <c r="E1464" s="29" t="s">
        <v>881</v>
      </c>
      <c r="F1464" s="29" t="s">
        <v>130</v>
      </c>
      <c r="G1464" s="130" t="s">
        <v>893</v>
      </c>
      <c r="H1464" s="130">
        <v>45748</v>
      </c>
      <c r="I1464" s="130">
        <f t="shared" si="14"/>
        <v>45751</v>
      </c>
      <c r="J1464" s="29"/>
      <c r="K1464" s="29"/>
      <c r="L1464" s="129" t="s">
        <v>484</v>
      </c>
      <c r="M1464" s="29"/>
      <c r="N1464" s="81">
        <v>300</v>
      </c>
      <c r="O1464" s="129" t="s">
        <v>900</v>
      </c>
    </row>
    <row r="1465" spans="1:15">
      <c r="A1465" s="144" t="s">
        <v>107</v>
      </c>
      <c r="B1465" s="29">
        <v>91510271</v>
      </c>
      <c r="C1465" s="29"/>
      <c r="E1465" s="29" t="s">
        <v>881</v>
      </c>
      <c r="F1465" s="29" t="s">
        <v>130</v>
      </c>
      <c r="G1465" s="130" t="s">
        <v>893</v>
      </c>
      <c r="H1465" s="130">
        <v>45748</v>
      </c>
      <c r="I1465" s="130">
        <f t="shared" si="14"/>
        <v>45751</v>
      </c>
      <c r="J1465" s="29"/>
      <c r="K1465" s="29"/>
      <c r="L1465" s="129" t="s">
        <v>484</v>
      </c>
      <c r="M1465" s="29"/>
      <c r="N1465" s="81">
        <v>45</v>
      </c>
      <c r="O1465" s="129" t="s">
        <v>901</v>
      </c>
    </row>
    <row r="1466" spans="1:15">
      <c r="A1466" s="144" t="s">
        <v>107</v>
      </c>
      <c r="B1466" s="29">
        <v>91510276</v>
      </c>
      <c r="C1466" s="29"/>
      <c r="E1466" s="29" t="s">
        <v>881</v>
      </c>
      <c r="F1466" s="29" t="s">
        <v>130</v>
      </c>
      <c r="G1466" s="130" t="s">
        <v>893</v>
      </c>
      <c r="H1466" s="130">
        <v>45748</v>
      </c>
      <c r="I1466" s="130">
        <f t="shared" si="14"/>
        <v>45751</v>
      </c>
      <c r="J1466" s="29"/>
      <c r="K1466" s="29"/>
      <c r="L1466" s="129" t="s">
        <v>484</v>
      </c>
      <c r="M1466" s="29"/>
      <c r="N1466" s="81">
        <v>150</v>
      </c>
      <c r="O1466" s="129" t="s">
        <v>902</v>
      </c>
    </row>
    <row r="1467" spans="1:15">
      <c r="A1467" s="144" t="s">
        <v>107</v>
      </c>
      <c r="B1467" s="29">
        <v>91510280</v>
      </c>
      <c r="C1467" s="29"/>
      <c r="E1467" s="29" t="s">
        <v>881</v>
      </c>
      <c r="F1467" s="29" t="s">
        <v>130</v>
      </c>
      <c r="G1467" s="130" t="s">
        <v>893</v>
      </c>
      <c r="H1467" s="130">
        <v>45748</v>
      </c>
      <c r="I1467" s="130">
        <f t="shared" si="14"/>
        <v>45751</v>
      </c>
      <c r="J1467" s="29"/>
      <c r="K1467" s="29"/>
      <c r="L1467" s="129" t="s">
        <v>484</v>
      </c>
      <c r="M1467" s="29"/>
      <c r="N1467" s="81">
        <v>44</v>
      </c>
      <c r="O1467" s="129" t="s">
        <v>903</v>
      </c>
    </row>
    <row r="1468" spans="1:15">
      <c r="A1468" s="144" t="s">
        <v>107</v>
      </c>
      <c r="B1468" s="29">
        <v>91510286</v>
      </c>
      <c r="C1468" s="29"/>
      <c r="E1468" s="29" t="s">
        <v>881</v>
      </c>
      <c r="F1468" s="29" t="s">
        <v>130</v>
      </c>
      <c r="G1468" s="130" t="s">
        <v>893</v>
      </c>
      <c r="H1468" s="130">
        <v>45748</v>
      </c>
      <c r="I1468" s="130">
        <f t="shared" si="14"/>
        <v>45751</v>
      </c>
      <c r="J1468" s="29"/>
      <c r="K1468" s="29"/>
      <c r="L1468" s="129" t="s">
        <v>484</v>
      </c>
      <c r="M1468" s="29"/>
      <c r="N1468" s="81">
        <v>125</v>
      </c>
      <c r="O1468" s="129" t="s">
        <v>904</v>
      </c>
    </row>
    <row r="1469" spans="1:15">
      <c r="A1469" s="144" t="s">
        <v>107</v>
      </c>
      <c r="B1469" s="29">
        <v>91510291</v>
      </c>
      <c r="C1469" s="29"/>
      <c r="E1469" s="29" t="s">
        <v>881</v>
      </c>
      <c r="F1469" s="29" t="s">
        <v>130</v>
      </c>
      <c r="G1469" s="130" t="s">
        <v>893</v>
      </c>
      <c r="H1469" s="130">
        <v>45748</v>
      </c>
      <c r="I1469" s="130">
        <f t="shared" si="14"/>
        <v>45751</v>
      </c>
      <c r="J1469" s="29"/>
      <c r="K1469" s="29"/>
      <c r="L1469" s="129" t="s">
        <v>484</v>
      </c>
      <c r="M1469" s="29"/>
      <c r="N1469" s="81">
        <v>375</v>
      </c>
      <c r="O1469" s="129" t="s">
        <v>905</v>
      </c>
    </row>
    <row r="1470" spans="1:15">
      <c r="A1470" s="144" t="s">
        <v>107</v>
      </c>
      <c r="B1470" s="29">
        <v>91510296</v>
      </c>
      <c r="C1470" s="29"/>
      <c r="E1470" s="29" t="s">
        <v>881</v>
      </c>
      <c r="F1470" s="29" t="s">
        <v>130</v>
      </c>
      <c r="G1470" s="130" t="s">
        <v>893</v>
      </c>
      <c r="H1470" s="130">
        <v>45748</v>
      </c>
      <c r="I1470" s="130">
        <f t="shared" si="14"/>
        <v>45751</v>
      </c>
      <c r="J1470" s="29"/>
      <c r="K1470" s="29"/>
      <c r="L1470" s="129" t="s">
        <v>484</v>
      </c>
      <c r="M1470" s="29"/>
      <c r="N1470" s="81">
        <v>150</v>
      </c>
      <c r="O1470" s="129" t="s">
        <v>906</v>
      </c>
    </row>
    <row r="1471" spans="1:15">
      <c r="A1471" s="144" t="s">
        <v>107</v>
      </c>
      <c r="B1471" s="29">
        <v>91510303</v>
      </c>
      <c r="C1471" s="29"/>
      <c r="E1471" s="29" t="s">
        <v>881</v>
      </c>
      <c r="F1471" s="29" t="s">
        <v>130</v>
      </c>
      <c r="G1471" s="130" t="s">
        <v>893</v>
      </c>
      <c r="H1471" s="130">
        <v>45748</v>
      </c>
      <c r="I1471" s="130">
        <f t="shared" si="14"/>
        <v>45751</v>
      </c>
      <c r="J1471" s="29"/>
      <c r="K1471" s="29"/>
      <c r="L1471" s="129" t="s">
        <v>484</v>
      </c>
      <c r="M1471" s="29"/>
      <c r="N1471" s="81">
        <v>45</v>
      </c>
      <c r="O1471" s="129" t="s">
        <v>907</v>
      </c>
    </row>
    <row r="1472" spans="1:15">
      <c r="A1472" s="144" t="s">
        <v>107</v>
      </c>
      <c r="B1472" s="29">
        <v>91510312</v>
      </c>
      <c r="C1472" s="29"/>
      <c r="E1472" s="29" t="s">
        <v>881</v>
      </c>
      <c r="F1472" s="29" t="s">
        <v>130</v>
      </c>
      <c r="G1472" s="130" t="s">
        <v>893</v>
      </c>
      <c r="H1472" s="130">
        <v>45748</v>
      </c>
      <c r="I1472" s="130">
        <f t="shared" si="14"/>
        <v>45751</v>
      </c>
      <c r="J1472" s="29"/>
      <c r="K1472" s="29"/>
      <c r="L1472" s="129" t="s">
        <v>484</v>
      </c>
      <c r="M1472" s="29"/>
      <c r="N1472" s="81">
        <v>245</v>
      </c>
      <c r="O1472" s="129" t="s">
        <v>908</v>
      </c>
    </row>
    <row r="1473" spans="1:15">
      <c r="A1473" s="144" t="s">
        <v>107</v>
      </c>
      <c r="B1473" s="29">
        <v>91510317</v>
      </c>
      <c r="C1473" s="29"/>
      <c r="E1473" s="29" t="s">
        <v>881</v>
      </c>
      <c r="F1473" s="29" t="s">
        <v>130</v>
      </c>
      <c r="G1473" s="130" t="s">
        <v>893</v>
      </c>
      <c r="H1473" s="130">
        <v>45748</v>
      </c>
      <c r="I1473" s="130">
        <f t="shared" si="14"/>
        <v>45751</v>
      </c>
      <c r="J1473" s="29"/>
      <c r="K1473" s="29"/>
      <c r="L1473" s="129" t="s">
        <v>484</v>
      </c>
      <c r="M1473" s="29"/>
      <c r="N1473" s="81">
        <v>48</v>
      </c>
      <c r="O1473" s="129" t="s">
        <v>909</v>
      </c>
    </row>
    <row r="1474" spans="1:15">
      <c r="A1474" s="144" t="s">
        <v>107</v>
      </c>
      <c r="B1474" s="29">
        <v>91510319</v>
      </c>
      <c r="C1474" s="29"/>
      <c r="E1474" s="29" t="s">
        <v>881</v>
      </c>
      <c r="F1474" s="29" t="s">
        <v>130</v>
      </c>
      <c r="G1474" s="130" t="s">
        <v>893</v>
      </c>
      <c r="H1474" s="130">
        <v>45748</v>
      </c>
      <c r="I1474" s="130">
        <f t="shared" si="14"/>
        <v>45751</v>
      </c>
      <c r="J1474" s="29"/>
      <c r="K1474" s="29"/>
      <c r="L1474" s="129" t="s">
        <v>484</v>
      </c>
      <c r="M1474" s="29"/>
      <c r="N1474" s="81">
        <v>48</v>
      </c>
      <c r="O1474" s="129" t="s">
        <v>910</v>
      </c>
    </row>
    <row r="1475" spans="1:15">
      <c r="A1475" s="144" t="s">
        <v>107</v>
      </c>
      <c r="B1475" s="29">
        <v>91510326</v>
      </c>
      <c r="C1475" s="29"/>
      <c r="E1475" s="29" t="s">
        <v>881</v>
      </c>
      <c r="F1475" s="29" t="s">
        <v>130</v>
      </c>
      <c r="G1475" s="130" t="s">
        <v>893</v>
      </c>
      <c r="H1475" s="130">
        <v>45748</v>
      </c>
      <c r="I1475" s="130">
        <f t="shared" si="14"/>
        <v>45751</v>
      </c>
      <c r="J1475" s="29"/>
      <c r="K1475" s="29"/>
      <c r="L1475" s="129" t="s">
        <v>484</v>
      </c>
      <c r="M1475" s="29"/>
      <c r="N1475" s="81">
        <v>90</v>
      </c>
      <c r="O1475" s="129" t="s">
        <v>911</v>
      </c>
    </row>
    <row r="1476" spans="1:15">
      <c r="A1476" s="144" t="s">
        <v>107</v>
      </c>
      <c r="B1476" s="29">
        <v>91510335</v>
      </c>
      <c r="C1476" s="29"/>
      <c r="E1476" s="29" t="s">
        <v>881</v>
      </c>
      <c r="F1476" s="29" t="s">
        <v>130</v>
      </c>
      <c r="G1476" s="130" t="s">
        <v>893</v>
      </c>
      <c r="H1476" s="130">
        <v>45748</v>
      </c>
      <c r="I1476" s="130">
        <f t="shared" si="14"/>
        <v>45751</v>
      </c>
      <c r="J1476" s="29"/>
      <c r="K1476" s="29"/>
      <c r="L1476" s="129" t="s">
        <v>484</v>
      </c>
      <c r="M1476" s="29"/>
      <c r="N1476" s="81">
        <v>225</v>
      </c>
      <c r="O1476" s="129" t="s">
        <v>912</v>
      </c>
    </row>
    <row r="1477" spans="1:15">
      <c r="A1477" s="144" t="s">
        <v>107</v>
      </c>
      <c r="B1477" s="29">
        <v>91510364</v>
      </c>
      <c r="C1477" s="29"/>
      <c r="E1477" s="29" t="s">
        <v>881</v>
      </c>
      <c r="F1477" s="29" t="s">
        <v>130</v>
      </c>
      <c r="G1477" s="130" t="s">
        <v>893</v>
      </c>
      <c r="H1477" s="130">
        <v>45748</v>
      </c>
      <c r="I1477" s="130">
        <f t="shared" si="14"/>
        <v>45751</v>
      </c>
      <c r="J1477" s="29"/>
      <c r="K1477" s="29"/>
      <c r="L1477" s="129" t="s">
        <v>484</v>
      </c>
      <c r="M1477" s="29"/>
      <c r="N1477" s="81">
        <v>195</v>
      </c>
      <c r="O1477" s="129" t="s">
        <v>913</v>
      </c>
    </row>
    <row r="1478" spans="1:15">
      <c r="A1478" s="144" t="s">
        <v>107</v>
      </c>
      <c r="B1478" s="29">
        <v>91510386</v>
      </c>
      <c r="C1478" s="29"/>
      <c r="E1478" s="29" t="s">
        <v>881</v>
      </c>
      <c r="F1478" s="29" t="s">
        <v>130</v>
      </c>
      <c r="G1478" s="130" t="s">
        <v>893</v>
      </c>
      <c r="H1478" s="130">
        <v>45748</v>
      </c>
      <c r="I1478" s="130">
        <f t="shared" si="14"/>
        <v>45751</v>
      </c>
      <c r="J1478" s="29"/>
      <c r="K1478" s="29"/>
      <c r="L1478" s="129" t="s">
        <v>484</v>
      </c>
      <c r="M1478" s="29"/>
      <c r="N1478" s="81">
        <v>55</v>
      </c>
      <c r="O1478" s="129" t="s">
        <v>914</v>
      </c>
    </row>
    <row r="1479" spans="1:15">
      <c r="A1479" s="144" t="s">
        <v>107</v>
      </c>
      <c r="B1479" s="29">
        <v>91510397</v>
      </c>
      <c r="C1479" s="29"/>
      <c r="E1479" s="29" t="s">
        <v>881</v>
      </c>
      <c r="F1479" s="29" t="s">
        <v>130</v>
      </c>
      <c r="G1479" s="130" t="s">
        <v>893</v>
      </c>
      <c r="H1479" s="130">
        <v>45748</v>
      </c>
      <c r="I1479" s="130">
        <f t="shared" si="14"/>
        <v>45751</v>
      </c>
      <c r="J1479" s="29"/>
      <c r="K1479" s="29"/>
      <c r="L1479" s="129" t="s">
        <v>484</v>
      </c>
      <c r="M1479" s="29"/>
      <c r="N1479" s="81">
        <v>365</v>
      </c>
      <c r="O1479" s="129" t="s">
        <v>915</v>
      </c>
    </row>
    <row r="1480" spans="1:15">
      <c r="A1480" s="144" t="s">
        <v>107</v>
      </c>
      <c r="B1480" s="29">
        <v>91510400</v>
      </c>
      <c r="C1480" s="29"/>
      <c r="E1480" s="29" t="s">
        <v>881</v>
      </c>
      <c r="F1480" s="29" t="s">
        <v>130</v>
      </c>
      <c r="G1480" s="130" t="s">
        <v>893</v>
      </c>
      <c r="H1480" s="130">
        <v>45748</v>
      </c>
      <c r="I1480" s="130">
        <f t="shared" si="14"/>
        <v>45751</v>
      </c>
      <c r="J1480" s="29"/>
      <c r="K1480" s="29"/>
      <c r="L1480" s="129" t="s">
        <v>484</v>
      </c>
      <c r="M1480" s="29"/>
      <c r="N1480" s="81">
        <v>51</v>
      </c>
      <c r="O1480" s="129" t="s">
        <v>916</v>
      </c>
    </row>
    <row r="1481" spans="1:15">
      <c r="A1481" s="144" t="s">
        <v>107</v>
      </c>
      <c r="B1481" s="29">
        <v>91510406</v>
      </c>
      <c r="C1481" s="29"/>
      <c r="E1481" s="29" t="s">
        <v>881</v>
      </c>
      <c r="F1481" s="29" t="s">
        <v>130</v>
      </c>
      <c r="G1481" s="130" t="s">
        <v>893</v>
      </c>
      <c r="H1481" s="130">
        <v>45748</v>
      </c>
      <c r="I1481" s="130">
        <f t="shared" si="14"/>
        <v>45751</v>
      </c>
      <c r="J1481" s="29"/>
      <c r="K1481" s="29"/>
      <c r="L1481" s="129" t="s">
        <v>484</v>
      </c>
      <c r="M1481" s="29"/>
      <c r="N1481" s="81">
        <v>350</v>
      </c>
      <c r="O1481" s="129" t="s">
        <v>917</v>
      </c>
    </row>
    <row r="1482" spans="1:15">
      <c r="A1482" s="144" t="s">
        <v>107</v>
      </c>
      <c r="B1482" s="29">
        <v>91510408</v>
      </c>
      <c r="C1482" s="29"/>
      <c r="E1482" s="29" t="s">
        <v>881</v>
      </c>
      <c r="F1482" s="29" t="s">
        <v>130</v>
      </c>
      <c r="G1482" s="130" t="s">
        <v>893</v>
      </c>
      <c r="H1482" s="130">
        <v>45748</v>
      </c>
      <c r="I1482" s="130">
        <f t="shared" si="14"/>
        <v>45751</v>
      </c>
      <c r="J1482" s="29"/>
      <c r="K1482" s="29"/>
      <c r="L1482" s="129" t="s">
        <v>484</v>
      </c>
      <c r="M1482" s="29"/>
      <c r="N1482" s="81">
        <v>275</v>
      </c>
      <c r="O1482" s="129" t="s">
        <v>918</v>
      </c>
    </row>
    <row r="1483" spans="1:15">
      <c r="A1483" s="144" t="s">
        <v>107</v>
      </c>
      <c r="B1483" s="29">
        <v>91510416</v>
      </c>
      <c r="C1483" s="29"/>
      <c r="E1483" s="29" t="s">
        <v>881</v>
      </c>
      <c r="F1483" s="29" t="s">
        <v>130</v>
      </c>
      <c r="G1483" s="130" t="s">
        <v>893</v>
      </c>
      <c r="H1483" s="130">
        <v>45748</v>
      </c>
      <c r="I1483" s="130">
        <f t="shared" si="14"/>
        <v>45751</v>
      </c>
      <c r="J1483" s="29"/>
      <c r="K1483" s="29"/>
      <c r="L1483" s="129" t="s">
        <v>484</v>
      </c>
      <c r="M1483" s="29"/>
      <c r="N1483" s="81">
        <v>57</v>
      </c>
      <c r="O1483" s="129" t="s">
        <v>919</v>
      </c>
    </row>
    <row r="1484" spans="1:15">
      <c r="A1484" s="144" t="s">
        <v>107</v>
      </c>
      <c r="B1484" s="29">
        <v>91510430</v>
      </c>
      <c r="C1484" s="29"/>
      <c r="E1484" s="29" t="s">
        <v>881</v>
      </c>
      <c r="F1484" s="29" t="s">
        <v>130</v>
      </c>
      <c r="G1484" s="130" t="s">
        <v>893</v>
      </c>
      <c r="H1484" s="130">
        <v>45748</v>
      </c>
      <c r="I1484" s="130">
        <f t="shared" ref="I1484:I1547" si="15">WORKDAY(H1484, 3)</f>
        <v>45751</v>
      </c>
      <c r="J1484" s="29"/>
      <c r="K1484" s="29"/>
      <c r="L1484" s="129" t="s">
        <v>484</v>
      </c>
      <c r="M1484" s="29"/>
      <c r="N1484" s="81">
        <v>90</v>
      </c>
      <c r="O1484" s="129" t="s">
        <v>920</v>
      </c>
    </row>
    <row r="1485" spans="1:15">
      <c r="A1485" s="144" t="s">
        <v>107</v>
      </c>
      <c r="B1485" s="29">
        <v>91510428</v>
      </c>
      <c r="C1485" s="29"/>
      <c r="E1485" s="29" t="s">
        <v>881</v>
      </c>
      <c r="F1485" s="29" t="s">
        <v>130</v>
      </c>
      <c r="G1485" s="130" t="s">
        <v>893</v>
      </c>
      <c r="H1485" s="130">
        <v>45748</v>
      </c>
      <c r="I1485" s="130">
        <f t="shared" si="15"/>
        <v>45751</v>
      </c>
      <c r="J1485" s="29"/>
      <c r="K1485" s="29"/>
      <c r="L1485" s="129" t="s">
        <v>484</v>
      </c>
      <c r="M1485" s="29"/>
      <c r="N1485" s="81">
        <v>80</v>
      </c>
      <c r="O1485" s="129" t="s">
        <v>921</v>
      </c>
    </row>
    <row r="1486" spans="1:15">
      <c r="A1486" s="144" t="s">
        <v>107</v>
      </c>
      <c r="B1486" s="29">
        <v>91510432</v>
      </c>
      <c r="C1486" s="29"/>
      <c r="E1486" s="29" t="s">
        <v>881</v>
      </c>
      <c r="F1486" s="29" t="s">
        <v>130</v>
      </c>
      <c r="G1486" s="130" t="s">
        <v>893</v>
      </c>
      <c r="H1486" s="130">
        <v>45748</v>
      </c>
      <c r="I1486" s="130">
        <f t="shared" si="15"/>
        <v>45751</v>
      </c>
      <c r="J1486" s="29"/>
      <c r="K1486" s="29"/>
      <c r="L1486" s="129" t="s">
        <v>484</v>
      </c>
      <c r="M1486" s="29"/>
      <c r="N1486" s="81">
        <v>300</v>
      </c>
      <c r="O1486" s="129" t="s">
        <v>922</v>
      </c>
    </row>
    <row r="1487" spans="1:15">
      <c r="A1487" s="144" t="s">
        <v>107</v>
      </c>
      <c r="B1487" s="29">
        <v>91510437</v>
      </c>
      <c r="C1487" s="29"/>
      <c r="E1487" s="29" t="s">
        <v>881</v>
      </c>
      <c r="F1487" s="29" t="s">
        <v>130</v>
      </c>
      <c r="G1487" s="130" t="s">
        <v>893</v>
      </c>
      <c r="H1487" s="130">
        <v>45748</v>
      </c>
      <c r="I1487" s="130">
        <f t="shared" si="15"/>
        <v>45751</v>
      </c>
      <c r="J1487" s="29"/>
      <c r="K1487" s="29"/>
      <c r="L1487" s="129" t="s">
        <v>484</v>
      </c>
      <c r="M1487" s="29"/>
      <c r="N1487" s="81">
        <v>55</v>
      </c>
      <c r="O1487" s="129" t="s">
        <v>923</v>
      </c>
    </row>
    <row r="1488" spans="1:15">
      <c r="A1488" s="144" t="s">
        <v>107</v>
      </c>
      <c r="B1488" s="29">
        <v>91510440</v>
      </c>
      <c r="C1488" s="29"/>
      <c r="E1488" s="29" t="s">
        <v>881</v>
      </c>
      <c r="F1488" s="29" t="s">
        <v>130</v>
      </c>
      <c r="G1488" s="130" t="s">
        <v>893</v>
      </c>
      <c r="H1488" s="130">
        <v>45748</v>
      </c>
      <c r="I1488" s="130">
        <f t="shared" si="15"/>
        <v>45751</v>
      </c>
      <c r="J1488" s="29"/>
      <c r="K1488" s="29"/>
      <c r="L1488" s="129" t="s">
        <v>484</v>
      </c>
      <c r="M1488" s="29"/>
      <c r="N1488" s="81">
        <v>375</v>
      </c>
      <c r="O1488" s="129" t="s">
        <v>924</v>
      </c>
    </row>
    <row r="1489" spans="1:15">
      <c r="A1489" s="144" t="s">
        <v>107</v>
      </c>
      <c r="B1489" s="29">
        <v>91510444</v>
      </c>
      <c r="C1489" s="29"/>
      <c r="E1489" s="29" t="s">
        <v>881</v>
      </c>
      <c r="F1489" s="29" t="s">
        <v>130</v>
      </c>
      <c r="G1489" s="130" t="s">
        <v>893</v>
      </c>
      <c r="H1489" s="130">
        <v>45748</v>
      </c>
      <c r="I1489" s="130">
        <f t="shared" si="15"/>
        <v>45751</v>
      </c>
      <c r="J1489" s="29"/>
      <c r="K1489" s="29"/>
      <c r="L1489" s="129" t="s">
        <v>484</v>
      </c>
      <c r="M1489" s="29"/>
      <c r="N1489" s="81">
        <v>53</v>
      </c>
      <c r="O1489" s="129" t="s">
        <v>925</v>
      </c>
    </row>
    <row r="1490" spans="1:15">
      <c r="A1490" s="144" t="s">
        <v>107</v>
      </c>
      <c r="B1490" s="29">
        <v>91510448</v>
      </c>
      <c r="C1490" s="29"/>
      <c r="E1490" s="29" t="s">
        <v>881</v>
      </c>
      <c r="F1490" s="29" t="s">
        <v>130</v>
      </c>
      <c r="G1490" s="130" t="s">
        <v>893</v>
      </c>
      <c r="H1490" s="130">
        <v>45748</v>
      </c>
      <c r="I1490" s="130">
        <f t="shared" si="15"/>
        <v>45751</v>
      </c>
      <c r="J1490" s="29"/>
      <c r="K1490" s="29"/>
      <c r="L1490" s="129" t="s">
        <v>484</v>
      </c>
      <c r="M1490" s="29"/>
      <c r="N1490" s="81">
        <v>450</v>
      </c>
      <c r="O1490" s="129" t="s">
        <v>926</v>
      </c>
    </row>
    <row r="1491" spans="1:15">
      <c r="A1491" s="144" t="s">
        <v>107</v>
      </c>
      <c r="B1491" s="29">
        <v>91510449</v>
      </c>
      <c r="C1491" s="29"/>
      <c r="E1491" s="29" t="s">
        <v>881</v>
      </c>
      <c r="F1491" s="29" t="s">
        <v>130</v>
      </c>
      <c r="G1491" s="130" t="s">
        <v>893</v>
      </c>
      <c r="H1491" s="130">
        <v>45748</v>
      </c>
      <c r="I1491" s="130">
        <f t="shared" si="15"/>
        <v>45751</v>
      </c>
      <c r="J1491" s="29"/>
      <c r="K1491" s="29"/>
      <c r="L1491" s="129" t="s">
        <v>484</v>
      </c>
      <c r="M1491" s="29"/>
      <c r="N1491" s="81">
        <v>51</v>
      </c>
      <c r="O1491" s="129" t="s">
        <v>927</v>
      </c>
    </row>
    <row r="1492" spans="1:15">
      <c r="A1492" s="144" t="s">
        <v>107</v>
      </c>
      <c r="B1492" s="29">
        <v>91510454</v>
      </c>
      <c r="C1492" s="29"/>
      <c r="E1492" s="29" t="s">
        <v>881</v>
      </c>
      <c r="F1492" s="29" t="s">
        <v>130</v>
      </c>
      <c r="G1492" s="130" t="s">
        <v>893</v>
      </c>
      <c r="H1492" s="130">
        <v>45748</v>
      </c>
      <c r="I1492" s="130">
        <f t="shared" si="15"/>
        <v>45751</v>
      </c>
      <c r="J1492" s="29"/>
      <c r="K1492" s="29"/>
      <c r="L1492" s="129" t="s">
        <v>484</v>
      </c>
      <c r="M1492" s="29"/>
      <c r="N1492" s="81">
        <v>300</v>
      </c>
      <c r="O1492" s="129" t="s">
        <v>928</v>
      </c>
    </row>
    <row r="1493" spans="1:15" hidden="1">
      <c r="A1493" s="144" t="s">
        <v>929</v>
      </c>
      <c r="B1493" s="29">
        <v>92509562</v>
      </c>
      <c r="C1493" s="29"/>
      <c r="E1493" s="29" t="s">
        <v>881</v>
      </c>
      <c r="F1493" s="29" t="s">
        <v>130</v>
      </c>
      <c r="G1493" s="130" t="s">
        <v>893</v>
      </c>
      <c r="H1493" s="130">
        <v>45748</v>
      </c>
      <c r="I1493" s="130">
        <f t="shared" si="15"/>
        <v>45751</v>
      </c>
      <c r="J1493" s="29"/>
      <c r="K1493" s="29"/>
      <c r="L1493" s="129" t="s">
        <v>484</v>
      </c>
      <c r="M1493" s="29"/>
      <c r="N1493" s="81">
        <v>500</v>
      </c>
      <c r="O1493" s="129" t="s">
        <v>930</v>
      </c>
    </row>
    <row r="1494" spans="1:15" hidden="1">
      <c r="A1494" s="144" t="s">
        <v>929</v>
      </c>
      <c r="B1494" s="29">
        <v>92509564</v>
      </c>
      <c r="C1494" s="29"/>
      <c r="E1494" s="29" t="s">
        <v>881</v>
      </c>
      <c r="F1494" s="29" t="s">
        <v>130</v>
      </c>
      <c r="G1494" s="130" t="s">
        <v>893</v>
      </c>
      <c r="H1494" s="130">
        <v>45748</v>
      </c>
      <c r="I1494" s="130">
        <f t="shared" si="15"/>
        <v>45751</v>
      </c>
      <c r="J1494" s="29"/>
      <c r="K1494" s="29"/>
      <c r="L1494" s="129" t="s">
        <v>484</v>
      </c>
      <c r="M1494" s="29"/>
      <c r="N1494" s="81">
        <v>500</v>
      </c>
      <c r="O1494" s="129" t="s">
        <v>931</v>
      </c>
    </row>
    <row r="1495" spans="1:15" hidden="1">
      <c r="A1495" s="144" t="s">
        <v>929</v>
      </c>
      <c r="B1495" s="29">
        <v>92509681</v>
      </c>
      <c r="C1495" s="29"/>
      <c r="E1495" s="29" t="s">
        <v>881</v>
      </c>
      <c r="F1495" s="29" t="s">
        <v>130</v>
      </c>
      <c r="G1495" s="130" t="s">
        <v>893</v>
      </c>
      <c r="H1495" s="130">
        <v>45748</v>
      </c>
      <c r="I1495" s="130">
        <f t="shared" si="15"/>
        <v>45751</v>
      </c>
      <c r="J1495" s="29"/>
      <c r="K1495" s="29"/>
      <c r="L1495" s="129" t="s">
        <v>484</v>
      </c>
      <c r="M1495" s="29"/>
      <c r="N1495" s="81">
        <v>48</v>
      </c>
      <c r="O1495" s="129" t="s">
        <v>932</v>
      </c>
    </row>
    <row r="1496" spans="1:15" hidden="1">
      <c r="A1496" s="144" t="s">
        <v>929</v>
      </c>
      <c r="B1496" s="29">
        <v>92509598</v>
      </c>
      <c r="C1496" s="29"/>
      <c r="E1496" s="29" t="s">
        <v>881</v>
      </c>
      <c r="F1496" s="29" t="s">
        <v>130</v>
      </c>
      <c r="G1496" s="130" t="s">
        <v>893</v>
      </c>
      <c r="H1496" s="130">
        <v>45748</v>
      </c>
      <c r="I1496" s="130">
        <f t="shared" si="15"/>
        <v>45751</v>
      </c>
      <c r="J1496" s="29"/>
      <c r="K1496" s="29"/>
      <c r="L1496" s="129" t="s">
        <v>484</v>
      </c>
      <c r="M1496" s="29"/>
      <c r="N1496" s="81">
        <v>450</v>
      </c>
      <c r="O1496" s="129" t="s">
        <v>933</v>
      </c>
    </row>
    <row r="1497" spans="1:15" hidden="1">
      <c r="A1497" s="144" t="s">
        <v>929</v>
      </c>
      <c r="B1497" s="29">
        <v>92509606</v>
      </c>
      <c r="C1497" s="29"/>
      <c r="E1497" s="29" t="s">
        <v>881</v>
      </c>
      <c r="F1497" s="29" t="s">
        <v>130</v>
      </c>
      <c r="G1497" s="130" t="s">
        <v>893</v>
      </c>
      <c r="H1497" s="130">
        <v>45748</v>
      </c>
      <c r="I1497" s="130">
        <f t="shared" si="15"/>
        <v>45751</v>
      </c>
      <c r="J1497" s="29"/>
      <c r="K1497" s="29"/>
      <c r="L1497" s="129" t="s">
        <v>484</v>
      </c>
      <c r="M1497" s="29"/>
      <c r="N1497" s="81">
        <v>425</v>
      </c>
      <c r="O1497" s="129" t="s">
        <v>934</v>
      </c>
    </row>
    <row r="1498" spans="1:15" hidden="1">
      <c r="A1498" s="144" t="s">
        <v>929</v>
      </c>
      <c r="B1498" s="29">
        <v>92509685</v>
      </c>
      <c r="C1498" s="29"/>
      <c r="E1498" s="29" t="s">
        <v>881</v>
      </c>
      <c r="F1498" s="29" t="s">
        <v>130</v>
      </c>
      <c r="G1498" s="130" t="s">
        <v>893</v>
      </c>
      <c r="H1498" s="130">
        <v>45748</v>
      </c>
      <c r="I1498" s="130">
        <f t="shared" si="15"/>
        <v>45751</v>
      </c>
      <c r="J1498" s="29"/>
      <c r="K1498" s="29"/>
      <c r="L1498" s="129" t="s">
        <v>484</v>
      </c>
      <c r="M1498" s="29"/>
      <c r="N1498" s="81">
        <v>95</v>
      </c>
      <c r="O1498" s="129" t="s">
        <v>935</v>
      </c>
    </row>
    <row r="1499" spans="1:15" hidden="1">
      <c r="A1499" s="144" t="s">
        <v>929</v>
      </c>
      <c r="B1499" s="29">
        <v>92509628</v>
      </c>
      <c r="C1499" s="29"/>
      <c r="E1499" s="29" t="s">
        <v>881</v>
      </c>
      <c r="F1499" s="29" t="s">
        <v>130</v>
      </c>
      <c r="G1499" s="130" t="s">
        <v>893</v>
      </c>
      <c r="H1499" s="130">
        <v>45748</v>
      </c>
      <c r="I1499" s="130">
        <f t="shared" si="15"/>
        <v>45751</v>
      </c>
      <c r="J1499" s="29"/>
      <c r="K1499" s="29"/>
      <c r="L1499" s="129" t="s">
        <v>484</v>
      </c>
      <c r="M1499" s="29"/>
      <c r="N1499" s="81">
        <v>1150</v>
      </c>
      <c r="O1499" s="129" t="s">
        <v>936</v>
      </c>
    </row>
    <row r="1500" spans="1:15" hidden="1">
      <c r="A1500" s="144" t="s">
        <v>929</v>
      </c>
      <c r="B1500" s="29">
        <v>92509690</v>
      </c>
      <c r="C1500" s="29"/>
      <c r="E1500" s="29" t="s">
        <v>881</v>
      </c>
      <c r="F1500" s="29" t="s">
        <v>130</v>
      </c>
      <c r="G1500" s="130" t="s">
        <v>893</v>
      </c>
      <c r="H1500" s="130">
        <v>45748</v>
      </c>
      <c r="I1500" s="130">
        <f t="shared" si="15"/>
        <v>45751</v>
      </c>
      <c r="J1500" s="29"/>
      <c r="K1500" s="29"/>
      <c r="L1500" s="129" t="s">
        <v>484</v>
      </c>
      <c r="M1500" s="29"/>
      <c r="N1500" s="81">
        <v>47</v>
      </c>
      <c r="O1500" s="129" t="s">
        <v>937</v>
      </c>
    </row>
    <row r="1501" spans="1:15" hidden="1">
      <c r="A1501" s="144" t="s">
        <v>929</v>
      </c>
      <c r="B1501" s="29">
        <v>92509708</v>
      </c>
      <c r="C1501" s="29"/>
      <c r="E1501" s="29" t="s">
        <v>881</v>
      </c>
      <c r="F1501" s="29" t="s">
        <v>130</v>
      </c>
      <c r="G1501" s="130" t="s">
        <v>893</v>
      </c>
      <c r="H1501" s="130">
        <v>45748</v>
      </c>
      <c r="I1501" s="130">
        <f t="shared" si="15"/>
        <v>45751</v>
      </c>
      <c r="J1501" s="29"/>
      <c r="K1501" s="29"/>
      <c r="L1501" s="129" t="s">
        <v>484</v>
      </c>
      <c r="M1501" s="29"/>
      <c r="N1501" s="81">
        <v>53</v>
      </c>
      <c r="O1501" s="129" t="s">
        <v>938</v>
      </c>
    </row>
    <row r="1502" spans="1:15" hidden="1">
      <c r="A1502" s="144" t="s">
        <v>929</v>
      </c>
      <c r="B1502" s="29">
        <v>92509705</v>
      </c>
      <c r="C1502" s="29"/>
      <c r="E1502" s="29" t="s">
        <v>881</v>
      </c>
      <c r="F1502" s="29" t="s">
        <v>130</v>
      </c>
      <c r="G1502" s="130" t="s">
        <v>893</v>
      </c>
      <c r="H1502" s="130">
        <v>45748</v>
      </c>
      <c r="I1502" s="130">
        <f t="shared" si="15"/>
        <v>45751</v>
      </c>
      <c r="J1502" s="29"/>
      <c r="K1502" s="29"/>
      <c r="L1502" s="129" t="s">
        <v>484</v>
      </c>
      <c r="M1502" s="29"/>
      <c r="N1502" s="81">
        <v>57</v>
      </c>
      <c r="O1502" s="129" t="s">
        <v>938</v>
      </c>
    </row>
    <row r="1503" spans="1:15" hidden="1">
      <c r="A1503" s="144" t="s">
        <v>929</v>
      </c>
      <c r="B1503" s="29">
        <v>92509722</v>
      </c>
      <c r="C1503" s="29"/>
      <c r="E1503" s="29" t="s">
        <v>881</v>
      </c>
      <c r="F1503" s="29" t="s">
        <v>130</v>
      </c>
      <c r="G1503" s="130" t="s">
        <v>893</v>
      </c>
      <c r="H1503" s="130">
        <v>45748</v>
      </c>
      <c r="I1503" s="130">
        <f t="shared" si="15"/>
        <v>45751</v>
      </c>
      <c r="J1503" s="29"/>
      <c r="K1503" s="29"/>
      <c r="L1503" s="129" t="s">
        <v>484</v>
      </c>
      <c r="M1503" s="29"/>
      <c r="N1503" s="81">
        <v>250</v>
      </c>
      <c r="O1503" s="129" t="s">
        <v>939</v>
      </c>
    </row>
    <row r="1504" spans="1:15" hidden="1">
      <c r="A1504" s="144" t="s">
        <v>929</v>
      </c>
      <c r="B1504" s="29">
        <v>92509726</v>
      </c>
      <c r="C1504" s="29"/>
      <c r="E1504" s="29" t="s">
        <v>881</v>
      </c>
      <c r="F1504" s="29" t="s">
        <v>130</v>
      </c>
      <c r="G1504" s="130" t="s">
        <v>893</v>
      </c>
      <c r="H1504" s="130">
        <v>45748</v>
      </c>
      <c r="I1504" s="130">
        <f t="shared" si="15"/>
        <v>45751</v>
      </c>
      <c r="J1504" s="29"/>
      <c r="K1504" s="29"/>
      <c r="L1504" s="129" t="s">
        <v>484</v>
      </c>
      <c r="M1504" s="29"/>
      <c r="N1504" s="81">
        <v>57</v>
      </c>
      <c r="O1504" s="129" t="s">
        <v>940</v>
      </c>
    </row>
    <row r="1505" spans="1:15" hidden="1">
      <c r="A1505" s="144" t="s">
        <v>929</v>
      </c>
      <c r="B1505" s="29">
        <v>92509734</v>
      </c>
      <c r="C1505" s="29"/>
      <c r="E1505" s="29" t="s">
        <v>881</v>
      </c>
      <c r="F1505" s="29" t="s">
        <v>130</v>
      </c>
      <c r="G1505" s="130" t="s">
        <v>893</v>
      </c>
      <c r="H1505" s="130">
        <v>45748</v>
      </c>
      <c r="I1505" s="130">
        <f t="shared" si="15"/>
        <v>45751</v>
      </c>
      <c r="J1505" s="29"/>
      <c r="K1505" s="29"/>
      <c r="L1505" s="129" t="s">
        <v>484</v>
      </c>
      <c r="M1505" s="29"/>
      <c r="N1505" s="81">
        <v>51</v>
      </c>
      <c r="O1505" s="129" t="s">
        <v>941</v>
      </c>
    </row>
    <row r="1506" spans="1:15" hidden="1">
      <c r="A1506" s="144" t="s">
        <v>929</v>
      </c>
      <c r="B1506" s="29">
        <v>92509747</v>
      </c>
      <c r="C1506" s="29"/>
      <c r="E1506" s="29" t="s">
        <v>881</v>
      </c>
      <c r="F1506" s="29" t="s">
        <v>130</v>
      </c>
      <c r="G1506" s="130" t="s">
        <v>893</v>
      </c>
      <c r="H1506" s="130">
        <v>45748</v>
      </c>
      <c r="I1506" s="130">
        <f t="shared" si="15"/>
        <v>45751</v>
      </c>
      <c r="J1506" s="29"/>
      <c r="K1506" s="29"/>
      <c r="L1506" s="129" t="s">
        <v>484</v>
      </c>
      <c r="M1506" s="29"/>
      <c r="N1506" s="81">
        <v>100</v>
      </c>
      <c r="O1506" s="129" t="s">
        <v>942</v>
      </c>
    </row>
    <row r="1507" spans="1:15" hidden="1">
      <c r="A1507" s="144" t="s">
        <v>929</v>
      </c>
      <c r="B1507" s="29">
        <v>92509755</v>
      </c>
      <c r="C1507" s="29"/>
      <c r="E1507" s="29" t="s">
        <v>881</v>
      </c>
      <c r="F1507" s="29" t="s">
        <v>130</v>
      </c>
      <c r="G1507" s="130" t="s">
        <v>893</v>
      </c>
      <c r="H1507" s="130">
        <v>45748</v>
      </c>
      <c r="I1507" s="130">
        <f t="shared" si="15"/>
        <v>45751</v>
      </c>
      <c r="J1507" s="29"/>
      <c r="K1507" s="29"/>
      <c r="L1507" s="129" t="s">
        <v>484</v>
      </c>
      <c r="M1507" s="29"/>
      <c r="N1507" s="81">
        <v>250</v>
      </c>
      <c r="O1507" s="129" t="s">
        <v>943</v>
      </c>
    </row>
    <row r="1508" spans="1:15" hidden="1">
      <c r="A1508" s="144" t="s">
        <v>929</v>
      </c>
      <c r="B1508" s="29">
        <v>92509764</v>
      </c>
      <c r="C1508" s="29"/>
      <c r="E1508" s="29" t="s">
        <v>881</v>
      </c>
      <c r="F1508" s="29" t="s">
        <v>130</v>
      </c>
      <c r="G1508" s="130" t="s">
        <v>893</v>
      </c>
      <c r="H1508" s="130">
        <v>45748</v>
      </c>
      <c r="I1508" s="130">
        <f t="shared" si="15"/>
        <v>45751</v>
      </c>
      <c r="J1508" s="29"/>
      <c r="K1508" s="29"/>
      <c r="L1508" s="129" t="s">
        <v>484</v>
      </c>
      <c r="M1508" s="29"/>
      <c r="N1508" s="81">
        <v>57</v>
      </c>
      <c r="O1508" s="129" t="s">
        <v>944</v>
      </c>
    </row>
    <row r="1509" spans="1:15" hidden="1">
      <c r="A1509" s="144" t="s">
        <v>929</v>
      </c>
      <c r="B1509" s="29">
        <v>92509778</v>
      </c>
      <c r="C1509" s="29"/>
      <c r="E1509" s="29" t="s">
        <v>881</v>
      </c>
      <c r="F1509" s="29" t="s">
        <v>130</v>
      </c>
      <c r="G1509" s="130" t="s">
        <v>893</v>
      </c>
      <c r="H1509" s="130">
        <v>45748</v>
      </c>
      <c r="I1509" s="130">
        <f t="shared" si="15"/>
        <v>45751</v>
      </c>
      <c r="J1509" s="29"/>
      <c r="K1509" s="29"/>
      <c r="L1509" s="129" t="s">
        <v>484</v>
      </c>
      <c r="M1509" s="29"/>
      <c r="N1509" s="81">
        <v>250</v>
      </c>
      <c r="O1509" s="129" t="s">
        <v>945</v>
      </c>
    </row>
    <row r="1510" spans="1:15" hidden="1">
      <c r="A1510" s="144" t="s">
        <v>929</v>
      </c>
      <c r="B1510" s="29">
        <v>92509805</v>
      </c>
      <c r="C1510" s="29"/>
      <c r="E1510" s="29" t="s">
        <v>881</v>
      </c>
      <c r="F1510" s="29" t="s">
        <v>130</v>
      </c>
      <c r="G1510" s="130" t="s">
        <v>893</v>
      </c>
      <c r="H1510" s="130">
        <v>45748</v>
      </c>
      <c r="I1510" s="130">
        <f t="shared" si="15"/>
        <v>45751</v>
      </c>
      <c r="J1510" s="29"/>
      <c r="K1510" s="29"/>
      <c r="L1510" s="129" t="s">
        <v>484</v>
      </c>
      <c r="M1510" s="29"/>
      <c r="N1510" s="81">
        <v>250</v>
      </c>
      <c r="O1510" s="129" t="s">
        <v>946</v>
      </c>
    </row>
    <row r="1511" spans="1:15" hidden="1">
      <c r="A1511" s="144" t="s">
        <v>929</v>
      </c>
      <c r="B1511" s="29">
        <v>92509814</v>
      </c>
      <c r="C1511" s="29"/>
      <c r="E1511" s="29" t="s">
        <v>881</v>
      </c>
      <c r="F1511" s="29" t="s">
        <v>130</v>
      </c>
      <c r="G1511" s="130" t="s">
        <v>893</v>
      </c>
      <c r="H1511" s="130">
        <v>45748</v>
      </c>
      <c r="I1511" s="130">
        <f t="shared" si="15"/>
        <v>45751</v>
      </c>
      <c r="J1511" s="29"/>
      <c r="K1511" s="29"/>
      <c r="L1511" s="129" t="s">
        <v>484</v>
      </c>
      <c r="M1511" s="29"/>
      <c r="N1511" s="81">
        <v>300</v>
      </c>
      <c r="O1511" s="129" t="s">
        <v>947</v>
      </c>
    </row>
    <row r="1512" spans="1:15" hidden="1">
      <c r="A1512" s="144" t="s">
        <v>929</v>
      </c>
      <c r="B1512" s="29">
        <v>92509823</v>
      </c>
      <c r="C1512" s="29"/>
      <c r="E1512" s="29" t="s">
        <v>881</v>
      </c>
      <c r="F1512" s="29" t="s">
        <v>130</v>
      </c>
      <c r="G1512" s="130" t="s">
        <v>893</v>
      </c>
      <c r="H1512" s="130">
        <v>45748</v>
      </c>
      <c r="I1512" s="130">
        <f t="shared" si="15"/>
        <v>45751</v>
      </c>
      <c r="J1512" s="29"/>
      <c r="K1512" s="29"/>
      <c r="L1512" s="129" t="s">
        <v>484</v>
      </c>
      <c r="M1512" s="29"/>
      <c r="N1512" s="81">
        <v>375</v>
      </c>
      <c r="O1512" s="129" t="s">
        <v>948</v>
      </c>
    </row>
    <row r="1513" spans="1:15" hidden="1">
      <c r="A1513" s="144" t="s">
        <v>929</v>
      </c>
      <c r="B1513" s="29">
        <v>92509833</v>
      </c>
      <c r="C1513" s="29"/>
      <c r="E1513" s="29" t="s">
        <v>881</v>
      </c>
      <c r="F1513" s="29" t="s">
        <v>130</v>
      </c>
      <c r="G1513" s="130" t="s">
        <v>893</v>
      </c>
      <c r="H1513" s="130">
        <v>45748</v>
      </c>
      <c r="I1513" s="130">
        <f t="shared" si="15"/>
        <v>45751</v>
      </c>
      <c r="J1513" s="29"/>
      <c r="K1513" s="29"/>
      <c r="L1513" s="129" t="s">
        <v>484</v>
      </c>
      <c r="M1513" s="29"/>
      <c r="N1513" s="81">
        <v>46</v>
      </c>
      <c r="O1513" s="129" t="s">
        <v>949</v>
      </c>
    </row>
    <row r="1514" spans="1:15" hidden="1">
      <c r="A1514" s="144" t="s">
        <v>950</v>
      </c>
      <c r="B1514" s="29">
        <v>92509841</v>
      </c>
      <c r="C1514" s="29"/>
      <c r="E1514" s="29" t="s">
        <v>881</v>
      </c>
      <c r="F1514" s="29" t="s">
        <v>130</v>
      </c>
      <c r="G1514" s="130" t="s">
        <v>893</v>
      </c>
      <c r="H1514" s="130">
        <v>45748</v>
      </c>
      <c r="I1514" s="130">
        <f t="shared" si="15"/>
        <v>45751</v>
      </c>
      <c r="J1514" s="29"/>
      <c r="K1514" s="29"/>
      <c r="L1514" s="129" t="s">
        <v>484</v>
      </c>
      <c r="M1514" s="29"/>
      <c r="N1514" s="81">
        <v>250</v>
      </c>
      <c r="O1514" s="129" t="s">
        <v>951</v>
      </c>
    </row>
    <row r="1515" spans="1:15" hidden="1">
      <c r="A1515" s="144" t="s">
        <v>950</v>
      </c>
      <c r="B1515" s="29">
        <v>92509849</v>
      </c>
      <c r="C1515" s="29"/>
      <c r="E1515" s="29" t="s">
        <v>881</v>
      </c>
      <c r="F1515" s="29" t="s">
        <v>130</v>
      </c>
      <c r="G1515" s="130" t="s">
        <v>893</v>
      </c>
      <c r="H1515" s="130">
        <v>45748</v>
      </c>
      <c r="I1515" s="130">
        <f t="shared" si="15"/>
        <v>45751</v>
      </c>
      <c r="J1515" s="29"/>
      <c r="K1515" s="29"/>
      <c r="L1515" s="129" t="s">
        <v>484</v>
      </c>
      <c r="M1515" s="29"/>
      <c r="N1515" s="81">
        <v>48</v>
      </c>
      <c r="O1515" s="129" t="s">
        <v>952</v>
      </c>
    </row>
    <row r="1516" spans="1:15" hidden="1">
      <c r="A1516" s="144" t="s">
        <v>950</v>
      </c>
      <c r="B1516" s="29">
        <v>92509855</v>
      </c>
      <c r="C1516" s="29"/>
      <c r="E1516" s="29" t="s">
        <v>881</v>
      </c>
      <c r="F1516" s="29" t="s">
        <v>130</v>
      </c>
      <c r="G1516" s="130" t="s">
        <v>893</v>
      </c>
      <c r="H1516" s="130">
        <v>45748</v>
      </c>
      <c r="I1516" s="130">
        <f t="shared" si="15"/>
        <v>45751</v>
      </c>
      <c r="J1516" s="29"/>
      <c r="K1516" s="29"/>
      <c r="L1516" s="129" t="s">
        <v>484</v>
      </c>
      <c r="M1516" s="29"/>
      <c r="N1516" s="81">
        <v>365</v>
      </c>
      <c r="O1516" s="129" t="s">
        <v>953</v>
      </c>
    </row>
    <row r="1517" spans="1:15" hidden="1">
      <c r="A1517" s="144" t="s">
        <v>950</v>
      </c>
      <c r="B1517" s="29">
        <v>92509860</v>
      </c>
      <c r="C1517" s="29"/>
      <c r="E1517" s="29" t="s">
        <v>881</v>
      </c>
      <c r="F1517" s="29" t="s">
        <v>130</v>
      </c>
      <c r="G1517" s="130" t="s">
        <v>893</v>
      </c>
      <c r="H1517" s="130">
        <v>45748</v>
      </c>
      <c r="I1517" s="130">
        <f t="shared" si="15"/>
        <v>45751</v>
      </c>
      <c r="J1517" s="29"/>
      <c r="K1517" s="29"/>
      <c r="L1517" s="129" t="s">
        <v>484</v>
      </c>
      <c r="M1517" s="29"/>
      <c r="N1517" s="81">
        <v>48</v>
      </c>
      <c r="O1517" s="129" t="s">
        <v>954</v>
      </c>
    </row>
    <row r="1518" spans="1:15" hidden="1">
      <c r="A1518" s="144" t="s">
        <v>950</v>
      </c>
      <c r="B1518" s="29">
        <v>93500003</v>
      </c>
      <c r="C1518" s="29"/>
      <c r="E1518" s="29" t="s">
        <v>881</v>
      </c>
      <c r="F1518" s="29" t="s">
        <v>130</v>
      </c>
      <c r="G1518" s="130" t="s">
        <v>893</v>
      </c>
      <c r="H1518" s="130">
        <v>45748</v>
      </c>
      <c r="I1518" s="130">
        <f t="shared" si="15"/>
        <v>45751</v>
      </c>
      <c r="J1518" s="29"/>
      <c r="K1518" s="29"/>
      <c r="L1518" s="129" t="s">
        <v>484</v>
      </c>
      <c r="M1518" s="29"/>
      <c r="N1518" s="81">
        <v>250</v>
      </c>
      <c r="O1518" s="129" t="s">
        <v>955</v>
      </c>
    </row>
    <row r="1519" spans="1:15" hidden="1">
      <c r="A1519" s="144" t="s">
        <v>950</v>
      </c>
      <c r="B1519" s="29">
        <v>93500013</v>
      </c>
      <c r="C1519" s="29"/>
      <c r="E1519" s="29" t="s">
        <v>881</v>
      </c>
      <c r="F1519" s="29" t="s">
        <v>130</v>
      </c>
      <c r="G1519" s="130" t="s">
        <v>893</v>
      </c>
      <c r="H1519" s="130">
        <v>45748</v>
      </c>
      <c r="I1519" s="130">
        <f t="shared" si="15"/>
        <v>45751</v>
      </c>
      <c r="J1519" s="29"/>
      <c r="K1519" s="29"/>
      <c r="L1519" s="129" t="s">
        <v>484</v>
      </c>
      <c r="M1519" s="29"/>
      <c r="N1519" s="81">
        <v>67</v>
      </c>
      <c r="O1519" s="129" t="s">
        <v>956</v>
      </c>
    </row>
    <row r="1520" spans="1:15" hidden="1">
      <c r="A1520" s="144" t="s">
        <v>950</v>
      </c>
      <c r="B1520" s="29">
        <v>93500028</v>
      </c>
      <c r="C1520" s="29"/>
      <c r="E1520" s="29" t="s">
        <v>881</v>
      </c>
      <c r="F1520" s="29" t="s">
        <v>130</v>
      </c>
      <c r="G1520" s="130" t="s">
        <v>893</v>
      </c>
      <c r="H1520" s="130">
        <v>45748</v>
      </c>
      <c r="I1520" s="130">
        <f t="shared" si="15"/>
        <v>45751</v>
      </c>
      <c r="J1520" s="29"/>
      <c r="K1520" s="29"/>
      <c r="L1520" s="129" t="s">
        <v>484</v>
      </c>
      <c r="M1520" s="29"/>
      <c r="N1520" s="81">
        <v>40</v>
      </c>
      <c r="O1520" s="129" t="s">
        <v>957</v>
      </c>
    </row>
    <row r="1521" spans="1:15" hidden="1">
      <c r="A1521" s="144" t="s">
        <v>950</v>
      </c>
      <c r="B1521" s="29">
        <v>93500036</v>
      </c>
      <c r="C1521" s="29"/>
      <c r="E1521" s="29" t="s">
        <v>881</v>
      </c>
      <c r="F1521" s="29" t="s">
        <v>130</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130</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130</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130</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130</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130</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130</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130</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130</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130</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130</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130</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130</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130</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130</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130</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130</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130</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130</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130</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130</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130</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130</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130</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130</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130</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130</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130</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130</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130</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130</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130</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130</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130</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130</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130</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130</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130</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130</v>
      </c>
      <c r="G1559" s="29" t="s">
        <v>569</v>
      </c>
      <c r="H1559" s="130">
        <v>45744</v>
      </c>
      <c r="I1559" s="130">
        <f t="shared" si="16"/>
        <v>45749</v>
      </c>
      <c r="J1559" s="130">
        <v>45748</v>
      </c>
      <c r="K1559" s="29"/>
      <c r="L1559" s="129" t="s">
        <v>484</v>
      </c>
      <c r="M1559" s="29"/>
      <c r="N1559" s="81">
        <v>230</v>
      </c>
    </row>
    <row r="1560" spans="1:14" hidden="1">
      <c r="A1560" s="144" t="s">
        <v>968</v>
      </c>
      <c r="B1560" s="29">
        <v>87503872</v>
      </c>
      <c r="C1560" s="29"/>
      <c r="E1560" s="29" t="s">
        <v>890</v>
      </c>
      <c r="F1560" s="29" t="s">
        <v>130</v>
      </c>
      <c r="G1560" s="29" t="s">
        <v>569</v>
      </c>
      <c r="H1560" s="130">
        <v>45744</v>
      </c>
      <c r="I1560" s="130">
        <f t="shared" si="16"/>
        <v>45749</v>
      </c>
      <c r="J1560" s="130">
        <v>45748</v>
      </c>
      <c r="K1560" s="29"/>
      <c r="L1560" s="129" t="s">
        <v>484</v>
      </c>
      <c r="M1560" s="29"/>
      <c r="N1560" s="81">
        <v>530</v>
      </c>
    </row>
    <row r="1561" spans="1:14" hidden="1">
      <c r="A1561" s="144" t="s">
        <v>968</v>
      </c>
      <c r="B1561" s="29">
        <v>87503874</v>
      </c>
      <c r="C1561" s="29"/>
      <c r="E1561" s="29" t="s">
        <v>890</v>
      </c>
      <c r="F1561" s="29" t="s">
        <v>130</v>
      </c>
      <c r="G1561" s="29" t="s">
        <v>569</v>
      </c>
      <c r="H1561" s="130">
        <v>45744</v>
      </c>
      <c r="I1561" s="130">
        <f t="shared" si="16"/>
        <v>45749</v>
      </c>
      <c r="J1561" s="130">
        <v>45748</v>
      </c>
      <c r="K1561" s="29"/>
      <c r="L1561" s="129" t="s">
        <v>484</v>
      </c>
      <c r="M1561" s="29"/>
      <c r="N1561" s="81">
        <v>140</v>
      </c>
    </row>
    <row r="1562" spans="1:14" hidden="1">
      <c r="A1562" s="144" t="s">
        <v>968</v>
      </c>
      <c r="B1562" s="29">
        <v>87503884</v>
      </c>
      <c r="C1562" s="29"/>
      <c r="E1562" s="29" t="s">
        <v>890</v>
      </c>
      <c r="F1562" s="29" t="s">
        <v>130</v>
      </c>
      <c r="G1562" s="29" t="s">
        <v>569</v>
      </c>
      <c r="H1562" s="130">
        <v>45744</v>
      </c>
      <c r="I1562" s="130">
        <f t="shared" si="16"/>
        <v>45749</v>
      </c>
      <c r="J1562" s="130">
        <v>45748</v>
      </c>
      <c r="K1562" s="29"/>
      <c r="L1562" s="129" t="s">
        <v>484</v>
      </c>
      <c r="M1562" s="29"/>
      <c r="N1562" s="81">
        <v>100</v>
      </c>
    </row>
    <row r="1563" spans="1:14" hidden="1">
      <c r="A1563" s="144" t="s">
        <v>968</v>
      </c>
      <c r="B1563" s="29">
        <v>87503924</v>
      </c>
      <c r="C1563" s="29"/>
      <c r="E1563" s="29" t="s">
        <v>890</v>
      </c>
      <c r="F1563" s="29" t="s">
        <v>130</v>
      </c>
      <c r="G1563" s="29" t="s">
        <v>569</v>
      </c>
      <c r="H1563" s="130">
        <v>45744</v>
      </c>
      <c r="I1563" s="130">
        <f t="shared" si="16"/>
        <v>45749</v>
      </c>
      <c r="J1563" s="130">
        <v>45748</v>
      </c>
      <c r="K1563" s="29"/>
      <c r="L1563" s="129" t="s">
        <v>484</v>
      </c>
      <c r="M1563" s="29"/>
      <c r="N1563" s="81">
        <v>680</v>
      </c>
    </row>
    <row r="1564" spans="1:14" hidden="1">
      <c r="A1564" s="144" t="s">
        <v>968</v>
      </c>
      <c r="B1564" s="29">
        <v>87503932</v>
      </c>
      <c r="C1564" s="29"/>
      <c r="E1564" s="29" t="s">
        <v>890</v>
      </c>
      <c r="F1564" s="29" t="s">
        <v>130</v>
      </c>
      <c r="G1564" s="29" t="s">
        <v>569</v>
      </c>
      <c r="H1564" s="130">
        <v>45744</v>
      </c>
      <c r="I1564" s="130">
        <f t="shared" si="16"/>
        <v>45749</v>
      </c>
      <c r="J1564" s="130">
        <v>45748</v>
      </c>
      <c r="K1564" s="29"/>
      <c r="L1564" s="129" t="s">
        <v>484</v>
      </c>
      <c r="M1564" s="29"/>
      <c r="N1564" s="81">
        <v>350</v>
      </c>
    </row>
    <row r="1565" spans="1:14" hidden="1">
      <c r="A1565" s="144" t="s">
        <v>968</v>
      </c>
      <c r="B1565" s="29">
        <v>87503943</v>
      </c>
      <c r="C1565" s="29"/>
      <c r="E1565" s="29" t="s">
        <v>890</v>
      </c>
      <c r="F1565" s="29" t="s">
        <v>130</v>
      </c>
      <c r="G1565" s="29" t="s">
        <v>569</v>
      </c>
      <c r="H1565" s="130">
        <v>45744</v>
      </c>
      <c r="I1565" s="130">
        <f t="shared" si="16"/>
        <v>45749</v>
      </c>
      <c r="J1565" s="130">
        <v>45748</v>
      </c>
      <c r="K1565" s="29"/>
      <c r="L1565" s="129" t="s">
        <v>484</v>
      </c>
      <c r="M1565" s="29"/>
      <c r="N1565" s="81">
        <v>340</v>
      </c>
    </row>
    <row r="1566" spans="1:14" hidden="1">
      <c r="A1566" s="144" t="s">
        <v>968</v>
      </c>
      <c r="B1566" s="29">
        <v>87503951</v>
      </c>
      <c r="C1566" s="29"/>
      <c r="E1566" s="29" t="s">
        <v>890</v>
      </c>
      <c r="F1566" s="29" t="s">
        <v>130</v>
      </c>
      <c r="G1566" s="29" t="s">
        <v>569</v>
      </c>
      <c r="H1566" s="130">
        <v>45744</v>
      </c>
      <c r="I1566" s="130">
        <f t="shared" si="16"/>
        <v>45749</v>
      </c>
      <c r="J1566" s="130">
        <v>45748</v>
      </c>
      <c r="K1566" s="29"/>
      <c r="L1566" s="129" t="s">
        <v>484</v>
      </c>
      <c r="M1566" s="29"/>
      <c r="N1566" s="81">
        <v>160</v>
      </c>
    </row>
    <row r="1567" spans="1:14" hidden="1">
      <c r="A1567" s="144" t="s">
        <v>968</v>
      </c>
      <c r="B1567" s="29">
        <v>87503962</v>
      </c>
      <c r="C1567" s="29"/>
      <c r="E1567" s="29" t="s">
        <v>890</v>
      </c>
      <c r="F1567" s="29" t="s">
        <v>130</v>
      </c>
      <c r="G1567" s="29" t="s">
        <v>569</v>
      </c>
      <c r="H1567" s="130">
        <v>45744</v>
      </c>
      <c r="I1567" s="130">
        <f t="shared" si="16"/>
        <v>45749</v>
      </c>
      <c r="J1567" s="130">
        <v>45748</v>
      </c>
      <c r="K1567" s="29"/>
      <c r="L1567" s="129" t="s">
        <v>484</v>
      </c>
      <c r="M1567" s="29"/>
      <c r="N1567" s="81">
        <v>540</v>
      </c>
    </row>
    <row r="1568" spans="1:14" hidden="1">
      <c r="A1568" s="144" t="s">
        <v>968</v>
      </c>
      <c r="B1568" s="29">
        <v>87503962</v>
      </c>
      <c r="C1568" s="29"/>
      <c r="E1568" s="29" t="s">
        <v>890</v>
      </c>
      <c r="F1568" s="29" t="s">
        <v>130</v>
      </c>
      <c r="G1568" s="29" t="s">
        <v>569</v>
      </c>
      <c r="H1568" s="130">
        <v>45744</v>
      </c>
      <c r="I1568" s="130">
        <f t="shared" si="16"/>
        <v>45749</v>
      </c>
      <c r="J1568" s="130">
        <v>45748</v>
      </c>
      <c r="K1568" s="29"/>
      <c r="L1568" s="129" t="s">
        <v>484</v>
      </c>
      <c r="M1568" s="29"/>
      <c r="N1568" s="81">
        <v>130</v>
      </c>
    </row>
    <row r="1569" spans="1:15" hidden="1">
      <c r="A1569" s="144" t="s">
        <v>968</v>
      </c>
      <c r="B1569" s="29">
        <v>87503976</v>
      </c>
      <c r="C1569" s="29"/>
      <c r="E1569" s="29" t="s">
        <v>890</v>
      </c>
      <c r="F1569" s="29" t="s">
        <v>130</v>
      </c>
      <c r="G1569" s="29" t="s">
        <v>569</v>
      </c>
      <c r="H1569" s="130">
        <v>45744</v>
      </c>
      <c r="I1569" s="130">
        <f t="shared" si="16"/>
        <v>45749</v>
      </c>
      <c r="J1569" s="130">
        <v>45748</v>
      </c>
      <c r="K1569" s="29"/>
      <c r="L1569" s="129" t="s">
        <v>484</v>
      </c>
      <c r="M1569" s="29"/>
      <c r="N1569" s="81">
        <v>140</v>
      </c>
    </row>
    <row r="1570" spans="1:15" hidden="1">
      <c r="A1570" s="144" t="s">
        <v>968</v>
      </c>
      <c r="B1570" s="29">
        <v>87503989</v>
      </c>
      <c r="C1570" s="29"/>
      <c r="E1570" s="29" t="s">
        <v>890</v>
      </c>
      <c r="F1570" s="29" t="s">
        <v>130</v>
      </c>
      <c r="G1570" s="29" t="s">
        <v>569</v>
      </c>
      <c r="H1570" s="130">
        <v>45744</v>
      </c>
      <c r="I1570" s="130">
        <f t="shared" si="16"/>
        <v>45749</v>
      </c>
      <c r="J1570" s="130">
        <v>45748</v>
      </c>
      <c r="K1570" s="29"/>
      <c r="L1570" s="129" t="s">
        <v>484</v>
      </c>
      <c r="M1570" s="29"/>
      <c r="N1570" s="81">
        <v>140</v>
      </c>
    </row>
    <row r="1571" spans="1:15" hidden="1">
      <c r="A1571" s="144" t="s">
        <v>969</v>
      </c>
      <c r="B1571" s="29">
        <v>91503998</v>
      </c>
      <c r="C1571" s="29"/>
      <c r="E1571" s="29" t="s">
        <v>960</v>
      </c>
      <c r="F1571" s="29" t="s">
        <v>130</v>
      </c>
      <c r="G1571" s="29" t="s">
        <v>38</v>
      </c>
      <c r="H1571" s="130">
        <v>45748</v>
      </c>
      <c r="I1571" s="130">
        <f t="shared" si="16"/>
        <v>45751</v>
      </c>
      <c r="J1571" s="29"/>
      <c r="K1571" s="29"/>
      <c r="L1571" s="129" t="s">
        <v>484</v>
      </c>
      <c r="M1571" s="29"/>
      <c r="N1571" s="81"/>
      <c r="O1571" s="144" t="s">
        <v>961</v>
      </c>
    </row>
    <row r="1572" spans="1:15" hidden="1">
      <c r="A1572" s="144" t="s">
        <v>969</v>
      </c>
      <c r="B1572" s="29">
        <v>91504092</v>
      </c>
      <c r="C1572" s="29"/>
      <c r="E1572" s="29" t="s">
        <v>960</v>
      </c>
      <c r="F1572" s="29" t="s">
        <v>130</v>
      </c>
      <c r="G1572" s="29" t="s">
        <v>38</v>
      </c>
      <c r="H1572" s="130">
        <v>45748</v>
      </c>
      <c r="I1572" s="130">
        <f t="shared" si="16"/>
        <v>45751</v>
      </c>
      <c r="J1572" s="29"/>
      <c r="K1572" s="29"/>
      <c r="L1572" s="129" t="s">
        <v>484</v>
      </c>
      <c r="M1572" s="29"/>
      <c r="N1572" s="81"/>
      <c r="O1572" s="144" t="s">
        <v>961</v>
      </c>
    </row>
    <row r="1573" spans="1:15" hidden="1">
      <c r="A1573" s="144" t="s">
        <v>969</v>
      </c>
      <c r="B1573" s="29">
        <v>91504312</v>
      </c>
      <c r="C1573" s="29"/>
      <c r="E1573" s="29" t="s">
        <v>960</v>
      </c>
      <c r="F1573" s="29" t="s">
        <v>130</v>
      </c>
      <c r="G1573" s="29" t="s">
        <v>38</v>
      </c>
      <c r="H1573" s="130">
        <v>45748</v>
      </c>
      <c r="I1573" s="130">
        <f t="shared" si="16"/>
        <v>45751</v>
      </c>
      <c r="J1573" s="29"/>
      <c r="K1573" s="29"/>
      <c r="L1573" s="129" t="s">
        <v>484</v>
      </c>
      <c r="M1573" s="29"/>
      <c r="N1573" s="81"/>
      <c r="O1573" s="144" t="s">
        <v>961</v>
      </c>
    </row>
    <row r="1574" spans="1:15" hidden="1">
      <c r="A1574" s="144" t="s">
        <v>969</v>
      </c>
      <c r="B1574" s="29">
        <v>91504430</v>
      </c>
      <c r="C1574" s="29"/>
      <c r="E1574" s="29" t="s">
        <v>960</v>
      </c>
      <c r="F1574" s="29" t="s">
        <v>130</v>
      </c>
      <c r="G1574" s="29" t="s">
        <v>38</v>
      </c>
      <c r="H1574" s="130">
        <v>45748</v>
      </c>
      <c r="I1574" s="130">
        <f t="shared" si="16"/>
        <v>45751</v>
      </c>
      <c r="J1574" s="29"/>
      <c r="K1574" s="29"/>
      <c r="L1574" s="129" t="s">
        <v>484</v>
      </c>
      <c r="M1574" s="29"/>
      <c r="N1574" s="81"/>
      <c r="O1574" s="144" t="s">
        <v>961</v>
      </c>
    </row>
    <row r="1575" spans="1:15" hidden="1">
      <c r="A1575" s="144" t="s">
        <v>969</v>
      </c>
      <c r="B1575" s="29">
        <v>91504828</v>
      </c>
      <c r="C1575" s="29"/>
      <c r="E1575" s="29" t="s">
        <v>960</v>
      </c>
      <c r="F1575" s="29" t="s">
        <v>130</v>
      </c>
      <c r="G1575" s="29" t="s">
        <v>38</v>
      </c>
      <c r="H1575" s="130">
        <v>45748</v>
      </c>
      <c r="I1575" s="130">
        <f t="shared" si="16"/>
        <v>45751</v>
      </c>
      <c r="J1575" s="29"/>
      <c r="K1575" s="29"/>
      <c r="L1575" s="129" t="s">
        <v>484</v>
      </c>
      <c r="M1575" s="29"/>
      <c r="N1575" s="81"/>
      <c r="O1575" s="144" t="s">
        <v>961</v>
      </c>
    </row>
    <row r="1576" spans="1:15" hidden="1">
      <c r="A1576" s="144" t="s">
        <v>969</v>
      </c>
      <c r="B1576" s="29">
        <v>91505107</v>
      </c>
      <c r="C1576" s="29"/>
      <c r="E1576" s="29" t="s">
        <v>960</v>
      </c>
      <c r="F1576" s="29" t="s">
        <v>130</v>
      </c>
      <c r="G1576" s="29" t="s">
        <v>38</v>
      </c>
      <c r="H1576" s="130">
        <v>45748</v>
      </c>
      <c r="I1576" s="130">
        <f t="shared" si="16"/>
        <v>45751</v>
      </c>
      <c r="J1576" s="29"/>
      <c r="K1576" s="29"/>
      <c r="L1576" s="129" t="s">
        <v>484</v>
      </c>
      <c r="M1576" s="29"/>
      <c r="N1576" s="81"/>
      <c r="O1576" s="144" t="s">
        <v>961</v>
      </c>
    </row>
    <row r="1577" spans="1:15" hidden="1">
      <c r="A1577" s="144" t="s">
        <v>969</v>
      </c>
      <c r="B1577" s="29">
        <v>91505163</v>
      </c>
      <c r="C1577" s="29"/>
      <c r="E1577" s="29" t="s">
        <v>960</v>
      </c>
      <c r="F1577" s="29" t="s">
        <v>130</v>
      </c>
      <c r="G1577" s="29" t="s">
        <v>38</v>
      </c>
      <c r="H1577" s="130">
        <v>45748</v>
      </c>
      <c r="I1577" s="130">
        <f t="shared" si="16"/>
        <v>45751</v>
      </c>
      <c r="J1577" s="29"/>
      <c r="K1577" s="29"/>
      <c r="L1577" s="129" t="s">
        <v>484</v>
      </c>
      <c r="M1577" s="29"/>
      <c r="N1577" s="81"/>
      <c r="O1577" s="144" t="s">
        <v>961</v>
      </c>
    </row>
    <row r="1578" spans="1:15" hidden="1">
      <c r="A1578" s="144" t="s">
        <v>969</v>
      </c>
      <c r="B1578" s="29">
        <v>91505221</v>
      </c>
      <c r="C1578" s="29"/>
      <c r="E1578" s="29" t="s">
        <v>960</v>
      </c>
      <c r="F1578" s="29" t="s">
        <v>130</v>
      </c>
      <c r="G1578" s="29" t="s">
        <v>38</v>
      </c>
      <c r="H1578" s="130">
        <v>45748</v>
      </c>
      <c r="I1578" s="130">
        <f t="shared" si="16"/>
        <v>45751</v>
      </c>
      <c r="J1578" s="29"/>
      <c r="K1578" s="29"/>
      <c r="L1578" s="129" t="s">
        <v>484</v>
      </c>
      <c r="M1578" s="29"/>
      <c r="N1578" s="81"/>
      <c r="O1578" s="144" t="s">
        <v>961</v>
      </c>
    </row>
    <row r="1579" spans="1:15" hidden="1">
      <c r="A1579" s="144" t="s">
        <v>969</v>
      </c>
      <c r="B1579" s="29">
        <v>91505372</v>
      </c>
      <c r="C1579" s="29"/>
      <c r="E1579" s="29" t="s">
        <v>960</v>
      </c>
      <c r="F1579" s="29" t="s">
        <v>130</v>
      </c>
      <c r="G1579" s="29" t="s">
        <v>38</v>
      </c>
      <c r="H1579" s="130">
        <v>45748</v>
      </c>
      <c r="I1579" s="130">
        <f t="shared" si="16"/>
        <v>45751</v>
      </c>
      <c r="J1579" s="29"/>
      <c r="K1579" s="29"/>
      <c r="L1579" s="129" t="s">
        <v>484</v>
      </c>
      <c r="M1579" s="29"/>
      <c r="N1579" s="81"/>
      <c r="O1579" s="144" t="s">
        <v>961</v>
      </c>
    </row>
    <row r="1580" spans="1:15" hidden="1">
      <c r="A1580" s="144" t="s">
        <v>969</v>
      </c>
      <c r="B1580" s="29">
        <v>91505527</v>
      </c>
      <c r="C1580" s="29"/>
      <c r="E1580" s="29" t="s">
        <v>960</v>
      </c>
      <c r="F1580" s="29" t="s">
        <v>130</v>
      </c>
      <c r="G1580" s="29" t="s">
        <v>38</v>
      </c>
      <c r="H1580" s="130">
        <v>45748</v>
      </c>
      <c r="I1580" s="130">
        <f t="shared" si="16"/>
        <v>45751</v>
      </c>
      <c r="J1580" s="29"/>
      <c r="K1580" s="29"/>
      <c r="L1580" s="129" t="s">
        <v>484</v>
      </c>
      <c r="M1580" s="29"/>
      <c r="N1580" s="81"/>
      <c r="O1580" s="144" t="s">
        <v>961</v>
      </c>
    </row>
    <row r="1581" spans="1:15" hidden="1">
      <c r="A1581" s="144" t="s">
        <v>970</v>
      </c>
      <c r="B1581" s="29">
        <v>91504911</v>
      </c>
      <c r="C1581" s="29"/>
      <c r="E1581" s="29" t="s">
        <v>971</v>
      </c>
      <c r="F1581" s="29" t="s">
        <v>130</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130</v>
      </c>
      <c r="G1582" s="29" t="s">
        <v>888</v>
      </c>
      <c r="H1582" s="130">
        <v>45748</v>
      </c>
      <c r="I1582" s="130">
        <f t="shared" si="16"/>
        <v>45751</v>
      </c>
      <c r="J1582" s="130">
        <v>45754</v>
      </c>
      <c r="K1582" s="29"/>
      <c r="L1582" s="129" t="s">
        <v>484</v>
      </c>
      <c r="M1582" s="29"/>
      <c r="N1582" s="81">
        <v>175</v>
      </c>
    </row>
    <row r="1583" spans="1:15" hidden="1">
      <c r="A1583" s="144" t="s">
        <v>973</v>
      </c>
      <c r="B1583" s="29">
        <v>91510180</v>
      </c>
      <c r="C1583" s="29"/>
      <c r="E1583" s="29" t="s">
        <v>887</v>
      </c>
      <c r="F1583" s="29" t="s">
        <v>130</v>
      </c>
      <c r="G1583" s="29" t="s">
        <v>888</v>
      </c>
      <c r="H1583" s="130">
        <v>45748</v>
      </c>
      <c r="I1583" s="130">
        <f t="shared" si="16"/>
        <v>45751</v>
      </c>
      <c r="J1583" s="130">
        <v>45754</v>
      </c>
      <c r="K1583" s="29"/>
      <c r="L1583" s="129" t="s">
        <v>484</v>
      </c>
      <c r="M1583" s="29"/>
      <c r="N1583" s="81">
        <v>135</v>
      </c>
    </row>
    <row r="1584" spans="1:15" hidden="1">
      <c r="A1584" s="144" t="s">
        <v>973</v>
      </c>
      <c r="B1584" s="29">
        <v>91510185</v>
      </c>
      <c r="C1584" s="29"/>
      <c r="E1584" s="29" t="s">
        <v>887</v>
      </c>
      <c r="F1584" s="29" t="s">
        <v>130</v>
      </c>
      <c r="G1584" s="29" t="s">
        <v>888</v>
      </c>
      <c r="H1584" s="130">
        <v>45748</v>
      </c>
      <c r="I1584" s="130">
        <f t="shared" si="16"/>
        <v>45751</v>
      </c>
      <c r="J1584" s="130">
        <v>45754</v>
      </c>
      <c r="K1584" s="29"/>
      <c r="L1584" s="129" t="s">
        <v>484</v>
      </c>
      <c r="M1584" s="29"/>
      <c r="N1584" s="81">
        <v>75</v>
      </c>
    </row>
    <row r="1585" spans="1:15" hidden="1">
      <c r="A1585" s="144" t="s">
        <v>973</v>
      </c>
      <c r="B1585" s="29">
        <v>91510191</v>
      </c>
      <c r="C1585" s="29"/>
      <c r="E1585" s="29" t="s">
        <v>887</v>
      </c>
      <c r="F1585" s="29" t="s">
        <v>130</v>
      </c>
      <c r="G1585" s="29" t="s">
        <v>888</v>
      </c>
      <c r="H1585" s="130">
        <v>45748</v>
      </c>
      <c r="I1585" s="130">
        <f t="shared" si="16"/>
        <v>45751</v>
      </c>
      <c r="J1585" s="130">
        <v>45754</v>
      </c>
      <c r="K1585" s="29"/>
      <c r="L1585" s="129" t="s">
        <v>484</v>
      </c>
      <c r="M1585" s="29"/>
      <c r="N1585" s="81">
        <v>300</v>
      </c>
    </row>
    <row r="1586" spans="1:15" hidden="1">
      <c r="A1586" s="144" t="s">
        <v>973</v>
      </c>
      <c r="B1586" s="29">
        <v>91510198</v>
      </c>
      <c r="C1586" s="29"/>
      <c r="E1586" s="29" t="s">
        <v>887</v>
      </c>
      <c r="F1586" s="29" t="s">
        <v>130</v>
      </c>
      <c r="G1586" s="29" t="s">
        <v>888</v>
      </c>
      <c r="H1586" s="130">
        <v>45748</v>
      </c>
      <c r="I1586" s="130">
        <f t="shared" si="16"/>
        <v>45751</v>
      </c>
      <c r="J1586" s="130">
        <v>45754</v>
      </c>
      <c r="K1586" s="29"/>
      <c r="L1586" s="129" t="s">
        <v>484</v>
      </c>
      <c r="M1586" s="29"/>
      <c r="N1586" s="81">
        <v>700</v>
      </c>
    </row>
    <row r="1587" spans="1:15" hidden="1">
      <c r="A1587" s="144" t="s">
        <v>973</v>
      </c>
      <c r="B1587" s="29">
        <v>91510201</v>
      </c>
      <c r="C1587" s="29"/>
      <c r="E1587" s="29" t="s">
        <v>887</v>
      </c>
      <c r="F1587" s="29" t="s">
        <v>130</v>
      </c>
      <c r="G1587" s="29" t="s">
        <v>888</v>
      </c>
      <c r="H1587" s="130">
        <v>45748</v>
      </c>
      <c r="I1587" s="130">
        <f t="shared" si="16"/>
        <v>45751</v>
      </c>
      <c r="J1587" s="130">
        <v>45754</v>
      </c>
      <c r="K1587" s="29"/>
      <c r="L1587" s="129" t="s">
        <v>484</v>
      </c>
      <c r="M1587" s="29"/>
      <c r="N1587" s="81">
        <v>50</v>
      </c>
    </row>
    <row r="1588" spans="1:15" hidden="1">
      <c r="A1588" s="144" t="s">
        <v>973</v>
      </c>
      <c r="B1588" s="29">
        <v>91510205</v>
      </c>
      <c r="C1588" s="29"/>
      <c r="E1588" s="29" t="s">
        <v>887</v>
      </c>
      <c r="F1588" s="29" t="s">
        <v>130</v>
      </c>
      <c r="G1588" s="29" t="s">
        <v>888</v>
      </c>
      <c r="H1588" s="130">
        <v>45748</v>
      </c>
      <c r="I1588" s="130">
        <f t="shared" si="16"/>
        <v>45751</v>
      </c>
      <c r="J1588" s="130">
        <v>45754</v>
      </c>
      <c r="K1588" s="29"/>
      <c r="L1588" s="129" t="s">
        <v>484</v>
      </c>
      <c r="M1588" s="29"/>
      <c r="N1588" s="81">
        <v>625</v>
      </c>
    </row>
    <row r="1589" spans="1:15" hidden="1">
      <c r="A1589" s="144" t="s">
        <v>973</v>
      </c>
      <c r="B1589" s="29">
        <v>91510212</v>
      </c>
      <c r="C1589" s="29"/>
      <c r="E1589" s="29" t="s">
        <v>887</v>
      </c>
      <c r="F1589" s="29" t="s">
        <v>130</v>
      </c>
      <c r="G1589" s="29" t="s">
        <v>888</v>
      </c>
      <c r="H1589" s="130">
        <v>45748</v>
      </c>
      <c r="I1589" s="130">
        <f t="shared" si="16"/>
        <v>45751</v>
      </c>
      <c r="J1589" s="130">
        <v>45754</v>
      </c>
      <c r="K1589" s="29"/>
      <c r="L1589" s="129" t="s">
        <v>484</v>
      </c>
      <c r="M1589" s="29"/>
      <c r="N1589" s="81">
        <v>325</v>
      </c>
    </row>
    <row r="1590" spans="1:15" hidden="1">
      <c r="A1590" s="144" t="s">
        <v>973</v>
      </c>
      <c r="B1590" s="29">
        <v>91510219</v>
      </c>
      <c r="C1590" s="29"/>
      <c r="E1590" s="29" t="s">
        <v>887</v>
      </c>
      <c r="F1590" s="29" t="s">
        <v>130</v>
      </c>
      <c r="G1590" s="29" t="s">
        <v>888</v>
      </c>
      <c r="H1590" s="130">
        <v>45748</v>
      </c>
      <c r="I1590" s="130">
        <f t="shared" si="16"/>
        <v>45751</v>
      </c>
      <c r="J1590" s="130">
        <v>45754</v>
      </c>
      <c r="K1590" s="29"/>
      <c r="L1590" s="129" t="s">
        <v>484</v>
      </c>
      <c r="M1590" s="29"/>
      <c r="N1590" s="81">
        <v>50</v>
      </c>
    </row>
    <row r="1591" spans="1:15" hidden="1">
      <c r="A1591" s="144" t="s">
        <v>973</v>
      </c>
      <c r="B1591" s="29">
        <v>91510220</v>
      </c>
      <c r="C1591" s="29"/>
      <c r="E1591" s="29" t="s">
        <v>887</v>
      </c>
      <c r="F1591" s="29" t="s">
        <v>130</v>
      </c>
      <c r="G1591" s="29" t="s">
        <v>888</v>
      </c>
      <c r="H1591" s="130">
        <v>45748</v>
      </c>
      <c r="I1591" s="130">
        <f t="shared" si="16"/>
        <v>45751</v>
      </c>
      <c r="J1591" s="130">
        <v>45754</v>
      </c>
      <c r="K1591" s="29"/>
      <c r="L1591" s="129" t="s">
        <v>484</v>
      </c>
      <c r="M1591" s="29"/>
      <c r="N1591" s="81">
        <v>775</v>
      </c>
    </row>
    <row r="1592" spans="1:15" hidden="1">
      <c r="A1592" s="144" t="s">
        <v>973</v>
      </c>
      <c r="B1592" s="29">
        <v>91510228</v>
      </c>
      <c r="C1592" s="29"/>
      <c r="E1592" s="29" t="s">
        <v>887</v>
      </c>
      <c r="F1592" s="29" t="s">
        <v>130</v>
      </c>
      <c r="G1592" s="29" t="s">
        <v>888</v>
      </c>
      <c r="H1592" s="130">
        <v>45748</v>
      </c>
      <c r="I1592" s="130">
        <f t="shared" si="16"/>
        <v>45751</v>
      </c>
      <c r="J1592" s="130">
        <v>45754</v>
      </c>
      <c r="K1592" s="29"/>
      <c r="L1592" s="129" t="s">
        <v>484</v>
      </c>
      <c r="M1592" s="29"/>
      <c r="N1592" s="81">
        <v>50</v>
      </c>
    </row>
    <row r="1593" spans="1:15" hidden="1">
      <c r="A1593" s="144" t="s">
        <v>973</v>
      </c>
      <c r="B1593" s="29">
        <v>91510222</v>
      </c>
      <c r="C1593" s="29"/>
      <c r="E1593" s="29" t="s">
        <v>887</v>
      </c>
      <c r="F1593" s="29" t="s">
        <v>130</v>
      </c>
      <c r="G1593" s="29" t="s">
        <v>888</v>
      </c>
      <c r="H1593" s="130">
        <v>45748</v>
      </c>
      <c r="I1593" s="130">
        <f t="shared" si="16"/>
        <v>45751</v>
      </c>
      <c r="J1593" s="130">
        <v>45754</v>
      </c>
      <c r="K1593" s="29"/>
      <c r="L1593" s="129" t="s">
        <v>484</v>
      </c>
      <c r="M1593" s="29"/>
      <c r="N1593" s="81">
        <v>375</v>
      </c>
    </row>
    <row r="1594" spans="1:15" hidden="1">
      <c r="A1594" s="144" t="s">
        <v>973</v>
      </c>
      <c r="B1594" s="29">
        <v>91510230</v>
      </c>
      <c r="C1594" s="29"/>
      <c r="E1594" s="29" t="s">
        <v>887</v>
      </c>
      <c r="F1594" s="29" t="s">
        <v>130</v>
      </c>
      <c r="G1594" s="29" t="s">
        <v>888</v>
      </c>
      <c r="H1594" s="130">
        <v>45748</v>
      </c>
      <c r="I1594" s="130">
        <f t="shared" si="16"/>
        <v>45751</v>
      </c>
      <c r="J1594" s="130">
        <v>45754</v>
      </c>
      <c r="K1594" s="29"/>
      <c r="L1594" s="129" t="s">
        <v>484</v>
      </c>
      <c r="M1594" s="29"/>
      <c r="N1594" s="81">
        <v>575</v>
      </c>
    </row>
    <row r="1595" spans="1:15" hidden="1">
      <c r="A1595" s="144" t="s">
        <v>973</v>
      </c>
      <c r="B1595" s="29">
        <v>91510232</v>
      </c>
      <c r="C1595" s="29"/>
      <c r="E1595" s="29" t="s">
        <v>887</v>
      </c>
      <c r="F1595" s="29" t="s">
        <v>130</v>
      </c>
      <c r="G1595" s="29" t="s">
        <v>888</v>
      </c>
      <c r="H1595" s="130">
        <v>45748</v>
      </c>
      <c r="I1595" s="130">
        <f t="shared" si="16"/>
        <v>45751</v>
      </c>
      <c r="J1595" s="130">
        <v>45754</v>
      </c>
      <c r="K1595" s="29"/>
      <c r="L1595" s="129" t="s">
        <v>484</v>
      </c>
      <c r="M1595" s="29"/>
      <c r="N1595" s="81">
        <v>50</v>
      </c>
    </row>
    <row r="1596" spans="1:15" hidden="1">
      <c r="A1596" s="144" t="s">
        <v>973</v>
      </c>
      <c r="B1596" s="29">
        <v>91510236</v>
      </c>
      <c r="C1596" s="29"/>
      <c r="E1596" s="29" t="s">
        <v>887</v>
      </c>
      <c r="F1596" s="29" t="s">
        <v>130</v>
      </c>
      <c r="G1596" s="29" t="s">
        <v>888</v>
      </c>
      <c r="H1596" s="130">
        <v>45748</v>
      </c>
      <c r="I1596" s="130">
        <f t="shared" si="16"/>
        <v>45751</v>
      </c>
      <c r="J1596" s="130">
        <v>45754</v>
      </c>
      <c r="K1596" s="29"/>
      <c r="L1596" s="129" t="s">
        <v>484</v>
      </c>
      <c r="M1596" s="29"/>
      <c r="N1596" s="81">
        <v>165</v>
      </c>
    </row>
    <row r="1597" spans="1:15" hidden="1">
      <c r="A1597" s="144" t="s">
        <v>973</v>
      </c>
      <c r="B1597" s="29">
        <v>91510237</v>
      </c>
      <c r="C1597" s="29"/>
      <c r="E1597" s="29" t="s">
        <v>887</v>
      </c>
      <c r="F1597" s="29" t="s">
        <v>130</v>
      </c>
      <c r="G1597" s="29" t="s">
        <v>888</v>
      </c>
      <c r="H1597" s="130">
        <v>45748</v>
      </c>
      <c r="I1597" s="130">
        <f t="shared" si="16"/>
        <v>45751</v>
      </c>
      <c r="J1597" s="130">
        <v>45754</v>
      </c>
      <c r="K1597" s="29"/>
      <c r="L1597" s="129" t="s">
        <v>484</v>
      </c>
      <c r="M1597" s="29"/>
      <c r="N1597" s="81">
        <v>700</v>
      </c>
    </row>
    <row r="1598" spans="1:15" hidden="1">
      <c r="A1598" s="144" t="s">
        <v>973</v>
      </c>
      <c r="B1598" s="29">
        <v>91510241</v>
      </c>
      <c r="C1598" s="29"/>
      <c r="E1598" s="29" t="s">
        <v>887</v>
      </c>
      <c r="F1598" s="29" t="s">
        <v>130</v>
      </c>
      <c r="G1598" s="29" t="s">
        <v>888</v>
      </c>
      <c r="H1598" s="130">
        <v>45748</v>
      </c>
      <c r="I1598" s="130">
        <f t="shared" si="16"/>
        <v>45751</v>
      </c>
      <c r="J1598" s="130">
        <v>45754</v>
      </c>
      <c r="K1598" s="29"/>
      <c r="L1598" s="129" t="s">
        <v>484</v>
      </c>
      <c r="M1598" s="29"/>
      <c r="N1598" s="81">
        <v>50</v>
      </c>
    </row>
    <row r="1599" spans="1:15" hidden="1">
      <c r="A1599" s="144" t="s">
        <v>973</v>
      </c>
      <c r="B1599" s="29">
        <v>91510244</v>
      </c>
      <c r="C1599" s="29"/>
      <c r="E1599" s="29" t="s">
        <v>887</v>
      </c>
      <c r="F1599" s="29" t="s">
        <v>130</v>
      </c>
      <c r="G1599" s="29" t="s">
        <v>888</v>
      </c>
      <c r="H1599" s="130">
        <v>45748</v>
      </c>
      <c r="I1599" s="130">
        <f t="shared" si="16"/>
        <v>45751</v>
      </c>
      <c r="J1599" s="130">
        <v>45754</v>
      </c>
      <c r="K1599" s="29"/>
      <c r="L1599" s="129" t="s">
        <v>484</v>
      </c>
      <c r="M1599" s="29"/>
      <c r="N1599" s="81">
        <v>725</v>
      </c>
    </row>
    <row r="1600" spans="1:15" hidden="1">
      <c r="A1600" s="144" t="s">
        <v>963</v>
      </c>
      <c r="B1600" s="29">
        <v>92500131</v>
      </c>
      <c r="C1600" s="29"/>
      <c r="E1600" s="29" t="s">
        <v>960</v>
      </c>
      <c r="F1600" s="29" t="s">
        <v>130</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130</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130</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130</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130</v>
      </c>
      <c r="G1604" s="29" t="s">
        <v>38</v>
      </c>
      <c r="H1604" s="130">
        <v>45749</v>
      </c>
      <c r="I1604" s="130">
        <f t="shared" si="16"/>
        <v>45754</v>
      </c>
      <c r="J1604" s="130"/>
      <c r="K1604" s="29"/>
      <c r="L1604" s="129" t="s">
        <v>783</v>
      </c>
      <c r="M1604" s="29"/>
      <c r="N1604" s="81">
        <v>700</v>
      </c>
      <c r="O1604" s="144" t="s">
        <v>961</v>
      </c>
    </row>
    <row r="1605" spans="1:15" hidden="1">
      <c r="A1605" s="144" t="s">
        <v>345</v>
      </c>
      <c r="B1605" s="29">
        <v>105505465</v>
      </c>
      <c r="C1605" s="29"/>
      <c r="E1605" s="29" t="s">
        <v>960</v>
      </c>
      <c r="F1605" s="29" t="s">
        <v>130</v>
      </c>
      <c r="G1605" s="29" t="s">
        <v>38</v>
      </c>
      <c r="H1605" s="130">
        <v>45763</v>
      </c>
      <c r="I1605" s="130">
        <f t="shared" si="16"/>
        <v>45768</v>
      </c>
      <c r="J1605" s="29"/>
      <c r="K1605" s="29"/>
      <c r="L1605" s="129" t="s">
        <v>885</v>
      </c>
      <c r="M1605" s="29"/>
      <c r="N1605" s="81">
        <v>80</v>
      </c>
      <c r="O1605" s="144" t="s">
        <v>974</v>
      </c>
    </row>
    <row r="1606" spans="1:15" hidden="1">
      <c r="A1606" s="144" t="s">
        <v>345</v>
      </c>
      <c r="B1606" s="29">
        <v>106500966</v>
      </c>
      <c r="C1606" s="29"/>
      <c r="E1606" s="29" t="s">
        <v>960</v>
      </c>
      <c r="F1606" s="29" t="s">
        <v>130</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130</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130</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130</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130</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130</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130</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130</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130</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130</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130</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130</v>
      </c>
      <c r="G1617" s="29" t="s">
        <v>888</v>
      </c>
      <c r="H1617" s="130">
        <v>45744</v>
      </c>
      <c r="I1617" s="130">
        <f t="shared" si="17"/>
        <v>45749</v>
      </c>
      <c r="J1617" s="130">
        <v>45748</v>
      </c>
      <c r="K1617" s="29"/>
      <c r="L1617" s="129" t="s">
        <v>484</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484</v>
      </c>
      <c r="M1618" s="29"/>
      <c r="N1618" s="81">
        <v>280</v>
      </c>
      <c r="T1618" s="134" t="s">
        <v>978</v>
      </c>
    </row>
    <row r="1619" spans="1:20" hidden="1">
      <c r="A1619" s="144" t="s">
        <v>976</v>
      </c>
      <c r="B1619" s="29">
        <v>87500017</v>
      </c>
      <c r="C1619" s="29"/>
      <c r="E1619" s="29" t="s">
        <v>887</v>
      </c>
      <c r="F1619" s="29" t="s">
        <v>130</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130</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130</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130</v>
      </c>
      <c r="G1622" s="29" t="s">
        <v>980</v>
      </c>
      <c r="H1622" s="130">
        <v>45744</v>
      </c>
      <c r="I1622" s="130">
        <f t="shared" si="17"/>
        <v>45749</v>
      </c>
      <c r="J1622" s="130">
        <v>45748</v>
      </c>
      <c r="K1622" s="29"/>
      <c r="L1622" s="129" t="s">
        <v>484</v>
      </c>
      <c r="M1622" s="29"/>
      <c r="N1622" s="81"/>
    </row>
    <row r="1623" spans="1:20" hidden="1">
      <c r="A1623" s="144" t="s">
        <v>969</v>
      </c>
      <c r="B1623" s="29">
        <v>87504218</v>
      </c>
      <c r="C1623" s="29"/>
      <c r="E1623" s="29" t="s">
        <v>871</v>
      </c>
      <c r="F1623" s="29" t="s">
        <v>130</v>
      </c>
      <c r="G1623" s="29" t="s">
        <v>980</v>
      </c>
      <c r="H1623" s="130">
        <v>45744</v>
      </c>
      <c r="I1623" s="130">
        <f t="shared" si="17"/>
        <v>45749</v>
      </c>
      <c r="J1623" s="130">
        <v>45748</v>
      </c>
      <c r="K1623" s="29"/>
      <c r="L1623" s="129" t="s">
        <v>484</v>
      </c>
      <c r="M1623" s="29"/>
      <c r="N1623" s="81"/>
    </row>
    <row r="1624" spans="1:20" hidden="1">
      <c r="A1624" s="144" t="s">
        <v>981</v>
      </c>
      <c r="B1624" s="29">
        <v>86505581</v>
      </c>
      <c r="C1624" s="29"/>
      <c r="E1624" s="29" t="s">
        <v>879</v>
      </c>
      <c r="F1624" s="29" t="s">
        <v>130</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130</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130</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130</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130</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130</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130</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130</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130</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130</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130</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130</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130</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130</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130</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130</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130</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130</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130</v>
      </c>
      <c r="G1642" s="29" t="s">
        <v>980</v>
      </c>
      <c r="H1642" s="130">
        <v>45744</v>
      </c>
      <c r="I1642" s="130">
        <f t="shared" si="17"/>
        <v>45749</v>
      </c>
      <c r="J1642" s="130">
        <v>45748</v>
      </c>
      <c r="K1642" s="29"/>
      <c r="L1642" s="129" t="s">
        <v>484</v>
      </c>
      <c r="M1642" s="29"/>
      <c r="N1642" s="81"/>
    </row>
    <row r="1643" spans="1:15" hidden="1">
      <c r="A1643" s="144" t="s">
        <v>969</v>
      </c>
      <c r="B1643" s="29">
        <v>87503956</v>
      </c>
      <c r="C1643" s="29"/>
      <c r="E1643" s="29" t="s">
        <v>871</v>
      </c>
      <c r="F1643" s="29" t="s">
        <v>130</v>
      </c>
      <c r="G1643" s="29" t="s">
        <v>980</v>
      </c>
      <c r="H1643" s="130">
        <v>45744</v>
      </c>
      <c r="I1643" s="130">
        <f t="shared" si="17"/>
        <v>45749</v>
      </c>
      <c r="J1643" s="130">
        <v>45748</v>
      </c>
      <c r="K1643" s="29"/>
      <c r="L1643" s="129" t="s">
        <v>484</v>
      </c>
      <c r="M1643" s="29"/>
      <c r="N1643" s="81"/>
    </row>
    <row r="1644" spans="1:15" hidden="1">
      <c r="A1644" s="144" t="s">
        <v>969</v>
      </c>
      <c r="B1644" s="29">
        <v>87503988</v>
      </c>
      <c r="C1644" s="29"/>
      <c r="E1644" s="29" t="s">
        <v>871</v>
      </c>
      <c r="F1644" s="29" t="s">
        <v>130</v>
      </c>
      <c r="G1644" s="29" t="s">
        <v>980</v>
      </c>
      <c r="H1644" s="130">
        <v>45744</v>
      </c>
      <c r="I1644" s="130">
        <f t="shared" si="17"/>
        <v>45749</v>
      </c>
      <c r="J1644" s="130">
        <v>45748</v>
      </c>
      <c r="K1644" s="29"/>
      <c r="L1644" s="129" t="s">
        <v>484</v>
      </c>
      <c r="M1644" s="29"/>
      <c r="N1644" s="81"/>
    </row>
    <row r="1645" spans="1:15" hidden="1">
      <c r="A1645" s="144" t="s">
        <v>969</v>
      </c>
      <c r="B1645" s="29">
        <v>87504020</v>
      </c>
      <c r="C1645" s="29"/>
      <c r="E1645" s="29" t="s">
        <v>871</v>
      </c>
      <c r="F1645" s="29" t="s">
        <v>130</v>
      </c>
      <c r="G1645" s="29" t="s">
        <v>980</v>
      </c>
      <c r="H1645" s="130">
        <v>45744</v>
      </c>
      <c r="I1645" s="130">
        <f t="shared" si="17"/>
        <v>45749</v>
      </c>
      <c r="J1645" s="130">
        <v>45748</v>
      </c>
      <c r="K1645" s="29"/>
      <c r="L1645" s="129" t="s">
        <v>484</v>
      </c>
      <c r="M1645" s="29"/>
      <c r="N1645" s="81"/>
    </row>
    <row r="1646" spans="1:15" hidden="1">
      <c r="A1646" s="144" t="s">
        <v>969</v>
      </c>
      <c r="B1646" s="29">
        <v>87504036</v>
      </c>
      <c r="C1646" s="29"/>
      <c r="E1646" s="29" t="s">
        <v>871</v>
      </c>
      <c r="F1646" s="29" t="s">
        <v>130</v>
      </c>
      <c r="G1646" s="29" t="s">
        <v>980</v>
      </c>
      <c r="H1646" s="130">
        <v>45744</v>
      </c>
      <c r="I1646" s="130">
        <f t="shared" si="17"/>
        <v>45749</v>
      </c>
      <c r="J1646" s="130">
        <v>45748</v>
      </c>
      <c r="K1646" s="29"/>
      <c r="L1646" s="129" t="s">
        <v>484</v>
      </c>
      <c r="M1646" s="29"/>
      <c r="N1646" s="81"/>
    </row>
    <row r="1647" spans="1:15" hidden="1">
      <c r="A1647" s="144" t="s">
        <v>969</v>
      </c>
      <c r="B1647" s="29">
        <v>87503877</v>
      </c>
      <c r="C1647" s="29"/>
      <c r="E1647" s="29" t="s">
        <v>871</v>
      </c>
      <c r="F1647" s="29" t="s">
        <v>130</v>
      </c>
      <c r="G1647" s="29" t="s">
        <v>980</v>
      </c>
      <c r="H1647" s="130">
        <v>45744</v>
      </c>
      <c r="I1647" s="130">
        <f t="shared" si="17"/>
        <v>45749</v>
      </c>
      <c r="J1647" s="130">
        <v>45748</v>
      </c>
      <c r="K1647" s="29"/>
      <c r="L1647" s="129" t="s">
        <v>484</v>
      </c>
      <c r="M1647" s="29"/>
      <c r="N1647" s="81"/>
      <c r="O1647" s="144" t="s">
        <v>985</v>
      </c>
    </row>
    <row r="1648" spans="1:15" hidden="1">
      <c r="A1648" s="144" t="s">
        <v>986</v>
      </c>
      <c r="B1648" s="29">
        <v>63509931</v>
      </c>
      <c r="C1648" s="29"/>
      <c r="E1648" s="29" t="s">
        <v>887</v>
      </c>
      <c r="F1648" s="29" t="s">
        <v>130</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130</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130</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130</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130</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130</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130</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130</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130</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130</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130</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130</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130</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130</v>
      </c>
      <c r="G1661" s="29" t="s">
        <v>569</v>
      </c>
      <c r="H1661" s="130">
        <v>45762</v>
      </c>
      <c r="I1661" s="130">
        <f t="shared" si="17"/>
        <v>45765</v>
      </c>
      <c r="J1661" s="29"/>
      <c r="K1661" s="29"/>
      <c r="L1661" s="129" t="s">
        <v>484</v>
      </c>
      <c r="M1661" s="29"/>
      <c r="N1661" s="81">
        <v>650</v>
      </c>
      <c r="O1661" s="144" t="s">
        <v>989</v>
      </c>
    </row>
    <row r="1662" spans="1:15" hidden="1">
      <c r="A1662" s="144" t="s">
        <v>988</v>
      </c>
      <c r="B1662" s="29">
        <v>106501037</v>
      </c>
      <c r="C1662" s="29"/>
      <c r="E1662" s="29" t="s">
        <v>890</v>
      </c>
      <c r="F1662" s="29" t="s">
        <v>130</v>
      </c>
      <c r="G1662" s="29" t="s">
        <v>569</v>
      </c>
      <c r="H1662" s="130">
        <v>45762</v>
      </c>
      <c r="I1662" s="130">
        <f t="shared" si="17"/>
        <v>45765</v>
      </c>
      <c r="J1662" s="29"/>
      <c r="K1662" s="29"/>
      <c r="L1662" s="129" t="s">
        <v>484</v>
      </c>
      <c r="M1662" s="29"/>
      <c r="N1662" s="81">
        <v>320</v>
      </c>
      <c r="O1662" s="144" t="s">
        <v>989</v>
      </c>
    </row>
    <row r="1663" spans="1:15" hidden="1">
      <c r="A1663" s="144" t="s">
        <v>988</v>
      </c>
      <c r="B1663" s="29">
        <v>106501173</v>
      </c>
      <c r="C1663" s="29"/>
      <c r="E1663" s="29" t="s">
        <v>890</v>
      </c>
      <c r="F1663" s="29" t="s">
        <v>130</v>
      </c>
      <c r="G1663" s="29" t="s">
        <v>569</v>
      </c>
      <c r="H1663" s="130">
        <v>45762</v>
      </c>
      <c r="I1663" s="130">
        <f t="shared" si="17"/>
        <v>45765</v>
      </c>
      <c r="J1663" s="29"/>
      <c r="K1663" s="29"/>
      <c r="L1663" s="129" t="s">
        <v>484</v>
      </c>
      <c r="M1663" s="29"/>
      <c r="N1663" s="81">
        <v>630</v>
      </c>
      <c r="O1663" s="144" t="s">
        <v>989</v>
      </c>
    </row>
    <row r="1664" spans="1:15" hidden="1">
      <c r="A1664" s="144" t="s">
        <v>988</v>
      </c>
      <c r="B1664" s="29">
        <v>106501213</v>
      </c>
      <c r="C1664" s="29"/>
      <c r="E1664" s="29" t="s">
        <v>890</v>
      </c>
      <c r="F1664" s="29" t="s">
        <v>130</v>
      </c>
      <c r="G1664" s="29" t="s">
        <v>569</v>
      </c>
      <c r="H1664" s="130">
        <v>45762</v>
      </c>
      <c r="I1664" s="130">
        <f t="shared" si="17"/>
        <v>45765</v>
      </c>
      <c r="J1664" s="29"/>
      <c r="K1664" s="29"/>
      <c r="L1664" s="129" t="s">
        <v>484</v>
      </c>
      <c r="M1664" s="29"/>
      <c r="N1664" s="81">
        <v>280</v>
      </c>
      <c r="O1664" s="144" t="s">
        <v>990</v>
      </c>
    </row>
    <row r="1665" spans="1:15" hidden="1">
      <c r="A1665" s="144" t="s">
        <v>988</v>
      </c>
      <c r="B1665" s="29">
        <v>106501268</v>
      </c>
      <c r="C1665" s="29"/>
      <c r="E1665" s="29" t="s">
        <v>890</v>
      </c>
      <c r="F1665" s="29" t="s">
        <v>130</v>
      </c>
      <c r="G1665" s="29" t="s">
        <v>569</v>
      </c>
      <c r="H1665" s="130">
        <v>45762</v>
      </c>
      <c r="I1665" s="130">
        <f t="shared" si="17"/>
        <v>45765</v>
      </c>
      <c r="J1665" s="29"/>
      <c r="K1665" s="29"/>
      <c r="L1665" s="129" t="s">
        <v>484</v>
      </c>
      <c r="M1665" s="29"/>
      <c r="N1665" s="81">
        <v>360</v>
      </c>
      <c r="O1665" s="144" t="s">
        <v>990</v>
      </c>
    </row>
    <row r="1666" spans="1:15" hidden="1">
      <c r="A1666" s="144" t="s">
        <v>988</v>
      </c>
      <c r="B1666" s="29">
        <v>106501323</v>
      </c>
      <c r="C1666" s="29"/>
      <c r="E1666" s="29" t="s">
        <v>890</v>
      </c>
      <c r="F1666" s="29" t="s">
        <v>130</v>
      </c>
      <c r="G1666" s="29" t="s">
        <v>569</v>
      </c>
      <c r="H1666" s="130">
        <v>45762</v>
      </c>
      <c r="I1666" s="130">
        <f t="shared" si="17"/>
        <v>45765</v>
      </c>
      <c r="J1666" s="29"/>
      <c r="K1666" s="29"/>
      <c r="L1666" s="129" t="s">
        <v>484</v>
      </c>
      <c r="M1666" s="29"/>
      <c r="N1666" s="81">
        <v>760</v>
      </c>
      <c r="O1666" s="144" t="s">
        <v>989</v>
      </c>
    </row>
    <row r="1667" spans="1:15" hidden="1">
      <c r="A1667" s="144" t="s">
        <v>988</v>
      </c>
      <c r="B1667" s="29">
        <v>106501037</v>
      </c>
      <c r="C1667" s="29"/>
      <c r="E1667" s="29" t="s">
        <v>890</v>
      </c>
      <c r="F1667" s="29" t="s">
        <v>130</v>
      </c>
      <c r="G1667" s="29" t="s">
        <v>569</v>
      </c>
      <c r="H1667" s="130">
        <v>45762</v>
      </c>
      <c r="I1667" s="130">
        <f t="shared" si="17"/>
        <v>45765</v>
      </c>
      <c r="J1667" s="29"/>
      <c r="K1667" s="29"/>
      <c r="L1667" s="129" t="s">
        <v>484</v>
      </c>
      <c r="M1667" s="29"/>
      <c r="N1667" s="81">
        <v>310</v>
      </c>
      <c r="O1667" s="144" t="s">
        <v>989</v>
      </c>
    </row>
    <row r="1668" spans="1:15" hidden="1">
      <c r="A1668" s="144" t="s">
        <v>988</v>
      </c>
      <c r="B1668" s="29">
        <v>106501437</v>
      </c>
      <c r="C1668" s="29"/>
      <c r="E1668" s="29" t="s">
        <v>890</v>
      </c>
      <c r="F1668" s="29" t="s">
        <v>130</v>
      </c>
      <c r="G1668" s="29" t="s">
        <v>569</v>
      </c>
      <c r="H1668" s="130">
        <v>45762</v>
      </c>
      <c r="I1668" s="130">
        <f t="shared" si="17"/>
        <v>45765</v>
      </c>
      <c r="J1668" s="29"/>
      <c r="K1668" s="29"/>
      <c r="L1668" s="129" t="s">
        <v>484</v>
      </c>
      <c r="M1668" s="29"/>
      <c r="N1668" s="81">
        <v>540</v>
      </c>
      <c r="O1668" s="144" t="s">
        <v>989</v>
      </c>
    </row>
    <row r="1669" spans="1:15" hidden="1">
      <c r="A1669" s="144" t="s">
        <v>988</v>
      </c>
      <c r="B1669" s="29">
        <v>106501554</v>
      </c>
      <c r="C1669" s="29"/>
      <c r="E1669" s="29" t="s">
        <v>890</v>
      </c>
      <c r="F1669" s="29" t="s">
        <v>130</v>
      </c>
      <c r="G1669" s="29" t="s">
        <v>569</v>
      </c>
      <c r="H1669" s="130">
        <v>45762</v>
      </c>
      <c r="I1669" s="130">
        <f t="shared" si="17"/>
        <v>45765</v>
      </c>
      <c r="J1669" s="29"/>
      <c r="K1669" s="29"/>
      <c r="L1669" s="129" t="s">
        <v>484</v>
      </c>
      <c r="M1669" s="29"/>
      <c r="N1669" s="81">
        <v>320</v>
      </c>
      <c r="O1669" s="144" t="s">
        <v>991</v>
      </c>
    </row>
    <row r="1670" spans="1:15" hidden="1">
      <c r="A1670" s="144" t="s">
        <v>988</v>
      </c>
      <c r="B1670" s="29">
        <v>106501687</v>
      </c>
      <c r="C1670" s="29"/>
      <c r="E1670" s="29" t="s">
        <v>890</v>
      </c>
      <c r="F1670" s="29" t="s">
        <v>130</v>
      </c>
      <c r="G1670" s="29" t="s">
        <v>569</v>
      </c>
      <c r="H1670" s="130">
        <v>45762</v>
      </c>
      <c r="I1670" s="130">
        <f t="shared" si="17"/>
        <v>45765</v>
      </c>
      <c r="J1670" s="29"/>
      <c r="K1670" s="29"/>
      <c r="L1670" s="129" t="s">
        <v>484</v>
      </c>
      <c r="M1670" s="29"/>
      <c r="N1670" s="81">
        <v>110</v>
      </c>
      <c r="O1670" s="144" t="s">
        <v>990</v>
      </c>
    </row>
    <row r="1671" spans="1:15" hidden="1">
      <c r="A1671" s="144" t="s">
        <v>988</v>
      </c>
      <c r="B1671" s="29">
        <v>106501769</v>
      </c>
      <c r="C1671" s="29"/>
      <c r="E1671" s="29" t="s">
        <v>890</v>
      </c>
      <c r="F1671" s="29" t="s">
        <v>130</v>
      </c>
      <c r="G1671" s="29" t="s">
        <v>569</v>
      </c>
      <c r="H1671" s="130">
        <v>45762</v>
      </c>
      <c r="I1671" s="130">
        <f t="shared" si="17"/>
        <v>45765</v>
      </c>
      <c r="J1671" s="29"/>
      <c r="K1671" s="29"/>
      <c r="L1671" s="129" t="s">
        <v>484</v>
      </c>
      <c r="M1671" s="29"/>
      <c r="N1671" s="81">
        <v>410</v>
      </c>
    </row>
    <row r="1672" spans="1:15" hidden="1">
      <c r="A1672" s="144" t="s">
        <v>988</v>
      </c>
      <c r="B1672" s="29">
        <v>106501916</v>
      </c>
      <c r="C1672" s="29"/>
      <c r="E1672" s="29" t="s">
        <v>890</v>
      </c>
      <c r="F1672" s="29" t="s">
        <v>130</v>
      </c>
      <c r="G1672" s="29" t="s">
        <v>569</v>
      </c>
      <c r="H1672" s="130">
        <v>45762</v>
      </c>
      <c r="I1672" s="130">
        <f t="shared" si="17"/>
        <v>45765</v>
      </c>
      <c r="J1672" s="29"/>
      <c r="K1672" s="29"/>
      <c r="L1672" s="129" t="s">
        <v>484</v>
      </c>
      <c r="M1672" s="29"/>
      <c r="N1672" s="81">
        <v>270</v>
      </c>
    </row>
    <row r="1673" spans="1:15" hidden="1">
      <c r="A1673" s="144" t="s">
        <v>988</v>
      </c>
      <c r="B1673" s="29">
        <v>106501285</v>
      </c>
      <c r="C1673" s="29"/>
      <c r="E1673" s="29" t="s">
        <v>960</v>
      </c>
      <c r="F1673" s="29" t="s">
        <v>130</v>
      </c>
      <c r="G1673" s="29" t="s">
        <v>38</v>
      </c>
      <c r="H1673" s="130">
        <v>45763</v>
      </c>
      <c r="I1673" s="130">
        <f t="shared" si="17"/>
        <v>45768</v>
      </c>
      <c r="J1673" s="130">
        <v>45763</v>
      </c>
      <c r="K1673" s="29"/>
      <c r="L1673" s="129" t="s">
        <v>484</v>
      </c>
      <c r="M1673" s="29"/>
      <c r="N1673" s="81">
        <v>650</v>
      </c>
      <c r="O1673" s="144" t="s">
        <v>991</v>
      </c>
    </row>
    <row r="1674" spans="1:15" hidden="1">
      <c r="A1674" s="144" t="s">
        <v>976</v>
      </c>
      <c r="B1674" s="29">
        <v>87500009</v>
      </c>
      <c r="C1674" s="29"/>
      <c r="E1674" s="29" t="s">
        <v>887</v>
      </c>
      <c r="F1674" s="29" t="s">
        <v>130</v>
      </c>
      <c r="G1674" s="29" t="s">
        <v>888</v>
      </c>
      <c r="H1674" s="130">
        <v>45744</v>
      </c>
      <c r="I1674" s="130">
        <f t="shared" si="17"/>
        <v>45749</v>
      </c>
      <c r="J1674" s="130">
        <v>45748</v>
      </c>
      <c r="K1674" s="29"/>
      <c r="L1674" s="129" t="s">
        <v>484</v>
      </c>
      <c r="M1674" s="29"/>
      <c r="N1674" s="81">
        <v>250</v>
      </c>
    </row>
    <row r="1675" spans="1:15" hidden="1">
      <c r="A1675" s="144" t="s">
        <v>976</v>
      </c>
      <c r="B1675" s="29">
        <v>87500007</v>
      </c>
      <c r="C1675" s="29"/>
      <c r="E1675" s="29" t="s">
        <v>887</v>
      </c>
      <c r="F1675" s="29" t="s">
        <v>130</v>
      </c>
      <c r="G1675" s="29" t="s">
        <v>888</v>
      </c>
      <c r="H1675" s="130">
        <v>45744</v>
      </c>
      <c r="I1675" s="130">
        <f t="shared" si="17"/>
        <v>45749</v>
      </c>
      <c r="J1675" s="130">
        <v>45748</v>
      </c>
      <c r="K1675" s="29"/>
      <c r="L1675" s="129" t="s">
        <v>484</v>
      </c>
      <c r="M1675" s="29"/>
      <c r="N1675" s="81">
        <v>165</v>
      </c>
    </row>
    <row r="1676" spans="1:15" hidden="1">
      <c r="A1676" s="144" t="s">
        <v>976</v>
      </c>
      <c r="B1676" s="29">
        <v>87500002</v>
      </c>
      <c r="C1676" s="29"/>
      <c r="E1676" s="29" t="s">
        <v>887</v>
      </c>
      <c r="F1676" s="29" t="s">
        <v>130</v>
      </c>
      <c r="G1676" s="29" t="s">
        <v>888</v>
      </c>
      <c r="H1676" s="130">
        <v>45744</v>
      </c>
      <c r="I1676" s="130">
        <f t="shared" ref="I1676:I1739" si="18">WORKDAY(H1676, 3)</f>
        <v>45749</v>
      </c>
      <c r="J1676" s="130">
        <v>45748</v>
      </c>
      <c r="K1676" s="29"/>
      <c r="L1676" s="129" t="s">
        <v>484</v>
      </c>
      <c r="M1676" s="29"/>
      <c r="N1676" s="81">
        <v>350</v>
      </c>
    </row>
    <row r="1677" spans="1:15" hidden="1">
      <c r="A1677" s="144" t="s">
        <v>976</v>
      </c>
      <c r="B1677" s="29">
        <v>86509244</v>
      </c>
      <c r="C1677" s="29"/>
      <c r="E1677" s="29" t="s">
        <v>887</v>
      </c>
      <c r="F1677" s="29" t="s">
        <v>130</v>
      </c>
      <c r="G1677" s="29" t="s">
        <v>888</v>
      </c>
      <c r="H1677" s="130">
        <v>45743</v>
      </c>
      <c r="I1677" s="130">
        <f t="shared" si="18"/>
        <v>45748</v>
      </c>
      <c r="J1677" s="130">
        <v>45748</v>
      </c>
      <c r="K1677" s="130">
        <v>45752</v>
      </c>
      <c r="L1677" s="129" t="s">
        <v>484</v>
      </c>
      <c r="M1677" s="29"/>
      <c r="N1677" s="81">
        <v>50</v>
      </c>
    </row>
    <row r="1678" spans="1:15" hidden="1">
      <c r="A1678" s="144" t="s">
        <v>976</v>
      </c>
      <c r="B1678" s="29">
        <v>86509241</v>
      </c>
      <c r="C1678" s="29"/>
      <c r="E1678" s="29" t="s">
        <v>887</v>
      </c>
      <c r="F1678" s="29" t="s">
        <v>130</v>
      </c>
      <c r="G1678" s="29" t="s">
        <v>888</v>
      </c>
      <c r="H1678" s="130">
        <v>45743</v>
      </c>
      <c r="I1678" s="130">
        <f t="shared" si="18"/>
        <v>45748</v>
      </c>
      <c r="J1678" s="130">
        <v>45748</v>
      </c>
      <c r="K1678" s="29"/>
      <c r="L1678" s="129" t="s">
        <v>484</v>
      </c>
      <c r="M1678" s="29"/>
      <c r="N1678" s="81">
        <v>200</v>
      </c>
    </row>
    <row r="1679" spans="1:15" hidden="1">
      <c r="A1679" s="144" t="s">
        <v>976</v>
      </c>
      <c r="B1679" s="29">
        <v>86509238</v>
      </c>
      <c r="C1679" s="29"/>
      <c r="E1679" s="29" t="s">
        <v>887</v>
      </c>
      <c r="F1679" s="29" t="s">
        <v>130</v>
      </c>
      <c r="G1679" s="29" t="s">
        <v>888</v>
      </c>
      <c r="H1679" s="130">
        <v>45743</v>
      </c>
      <c r="I1679" s="130">
        <f t="shared" si="18"/>
        <v>45748</v>
      </c>
      <c r="J1679" s="130">
        <v>45748</v>
      </c>
      <c r="K1679" s="130">
        <v>45748</v>
      </c>
      <c r="L1679" s="129" t="s">
        <v>484</v>
      </c>
      <c r="M1679" s="29"/>
      <c r="N1679" s="81">
        <v>250</v>
      </c>
    </row>
    <row r="1680" spans="1:15" hidden="1">
      <c r="A1680" s="144" t="s">
        <v>976</v>
      </c>
      <c r="B1680" s="29">
        <v>86509236</v>
      </c>
      <c r="C1680" s="29"/>
      <c r="E1680" s="29" t="s">
        <v>887</v>
      </c>
      <c r="F1680" s="29" t="s">
        <v>130</v>
      </c>
      <c r="G1680" s="29" t="s">
        <v>888</v>
      </c>
      <c r="H1680" s="130">
        <v>45743</v>
      </c>
      <c r="I1680" s="130">
        <f t="shared" si="18"/>
        <v>45748</v>
      </c>
      <c r="J1680" s="130">
        <v>45748</v>
      </c>
      <c r="K1680" s="130">
        <v>45748</v>
      </c>
      <c r="L1680" s="129" t="s">
        <v>484</v>
      </c>
      <c r="M1680" s="29"/>
      <c r="N1680" s="81">
        <v>60</v>
      </c>
    </row>
    <row r="1681" spans="1:15" hidden="1">
      <c r="A1681" s="144" t="s">
        <v>976</v>
      </c>
      <c r="B1681" s="29">
        <v>86509235</v>
      </c>
      <c r="C1681" s="29"/>
      <c r="E1681" s="29" t="s">
        <v>887</v>
      </c>
      <c r="F1681" s="29" t="s">
        <v>130</v>
      </c>
      <c r="G1681" s="29" t="s">
        <v>888</v>
      </c>
      <c r="H1681" s="130">
        <v>45743</v>
      </c>
      <c r="I1681" s="130">
        <f t="shared" si="18"/>
        <v>45748</v>
      </c>
      <c r="J1681" s="130">
        <v>45748</v>
      </c>
      <c r="K1681" s="29"/>
      <c r="L1681" s="129" t="s">
        <v>484</v>
      </c>
      <c r="M1681" s="29"/>
      <c r="N1681" s="81">
        <v>500</v>
      </c>
    </row>
    <row r="1682" spans="1:15" hidden="1">
      <c r="A1682" s="144" t="s">
        <v>976</v>
      </c>
      <c r="B1682" s="29">
        <v>86509233</v>
      </c>
      <c r="C1682" s="29"/>
      <c r="E1682" s="29" t="s">
        <v>887</v>
      </c>
      <c r="F1682" s="29" t="s">
        <v>130</v>
      </c>
      <c r="G1682" s="29" t="s">
        <v>888</v>
      </c>
      <c r="H1682" s="130">
        <v>45743</v>
      </c>
      <c r="I1682" s="130">
        <f t="shared" si="18"/>
        <v>45748</v>
      </c>
      <c r="J1682" s="130">
        <v>45748</v>
      </c>
      <c r="K1682" s="130">
        <v>45751</v>
      </c>
      <c r="L1682" s="129" t="s">
        <v>484</v>
      </c>
      <c r="M1682" s="29"/>
      <c r="N1682" s="81">
        <v>250</v>
      </c>
    </row>
    <row r="1683" spans="1:15" hidden="1">
      <c r="A1683" s="144" t="s">
        <v>976</v>
      </c>
      <c r="B1683" s="29">
        <v>86509230</v>
      </c>
      <c r="C1683" s="29"/>
      <c r="E1683" s="29" t="s">
        <v>887</v>
      </c>
      <c r="F1683" s="29" t="s">
        <v>130</v>
      </c>
      <c r="G1683" s="29" t="s">
        <v>888</v>
      </c>
      <c r="H1683" s="130">
        <v>45743</v>
      </c>
      <c r="I1683" s="130">
        <f t="shared" si="18"/>
        <v>45748</v>
      </c>
      <c r="J1683" s="130">
        <v>45748</v>
      </c>
      <c r="K1683" s="130">
        <v>45751</v>
      </c>
      <c r="L1683" s="129" t="s">
        <v>484</v>
      </c>
      <c r="M1683" s="29"/>
      <c r="N1683" s="81">
        <v>85</v>
      </c>
    </row>
    <row r="1684" spans="1:15" hidden="1">
      <c r="A1684" s="144" t="s">
        <v>976</v>
      </c>
      <c r="B1684" s="29">
        <v>86509227</v>
      </c>
      <c r="C1684" s="29"/>
      <c r="E1684" s="29" t="s">
        <v>887</v>
      </c>
      <c r="F1684" s="29" t="s">
        <v>130</v>
      </c>
      <c r="G1684" s="29" t="s">
        <v>888</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960</v>
      </c>
      <c r="F1685" s="29" t="s">
        <v>130</v>
      </c>
      <c r="G1685" s="29" t="s">
        <v>38</v>
      </c>
      <c r="H1685" s="130">
        <v>45763</v>
      </c>
      <c r="I1685" s="130">
        <f t="shared" si="18"/>
        <v>45768</v>
      </c>
      <c r="J1685" s="29"/>
      <c r="K1685" s="130">
        <v>45771</v>
      </c>
      <c r="L1685" s="129" t="s">
        <v>484</v>
      </c>
      <c r="M1685" s="29"/>
      <c r="N1685" s="81">
        <v>121</v>
      </c>
      <c r="O1685" s="144" t="s">
        <v>992</v>
      </c>
    </row>
    <row r="1686" spans="1:15" ht="15.75" hidden="1">
      <c r="A1686" s="136" t="s">
        <v>973</v>
      </c>
      <c r="B1686" s="29">
        <v>107508651</v>
      </c>
      <c r="C1686" s="29"/>
      <c r="E1686" s="29" t="s">
        <v>993</v>
      </c>
      <c r="F1686" s="29" t="s">
        <v>130</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130</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130</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130</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130</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130</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130</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130</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130</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130</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130</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130</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130</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130</v>
      </c>
      <c r="G1699" s="29" t="s">
        <v>966</v>
      </c>
      <c r="H1699" s="130">
        <v>45743</v>
      </c>
      <c r="I1699" s="130">
        <f t="shared" si="18"/>
        <v>45748</v>
      </c>
      <c r="J1699" s="130">
        <v>45748</v>
      </c>
      <c r="K1699" s="130">
        <v>45754</v>
      </c>
      <c r="L1699" s="129" t="s">
        <v>783</v>
      </c>
      <c r="M1699" s="29"/>
      <c r="N1699" s="81"/>
    </row>
    <row r="1700" spans="1:16" hidden="1">
      <c r="A1700" s="144" t="s">
        <v>345</v>
      </c>
      <c r="B1700" s="29">
        <v>113506868</v>
      </c>
      <c r="C1700" s="29"/>
      <c r="E1700" s="29" t="s">
        <v>960</v>
      </c>
      <c r="F1700" s="29" t="s">
        <v>130</v>
      </c>
      <c r="G1700" s="29" t="s">
        <v>38</v>
      </c>
      <c r="H1700" s="130">
        <v>45770</v>
      </c>
      <c r="I1700" s="130">
        <f t="shared" si="18"/>
        <v>45775</v>
      </c>
      <c r="J1700" s="29"/>
      <c r="K1700" s="29"/>
      <c r="L1700" s="129" t="s">
        <v>885</v>
      </c>
      <c r="M1700" s="29"/>
      <c r="N1700" s="81">
        <v>50</v>
      </c>
      <c r="O1700" s="144" t="s">
        <v>996</v>
      </c>
    </row>
    <row r="1701" spans="1:16" hidden="1">
      <c r="A1701" s="144" t="s">
        <v>345</v>
      </c>
      <c r="B1701" s="29">
        <v>113506906</v>
      </c>
      <c r="C1701" s="29"/>
      <c r="E1701" s="29" t="s">
        <v>960</v>
      </c>
      <c r="F1701" s="29" t="s">
        <v>130</v>
      </c>
      <c r="G1701" s="29" t="s">
        <v>38</v>
      </c>
      <c r="H1701" s="130">
        <v>45770</v>
      </c>
      <c r="I1701" s="130">
        <f t="shared" si="18"/>
        <v>45775</v>
      </c>
      <c r="J1701" s="29"/>
      <c r="K1701" s="29"/>
      <c r="L1701" s="129" t="s">
        <v>885</v>
      </c>
      <c r="M1701" s="29"/>
      <c r="N1701" s="81">
        <v>50</v>
      </c>
      <c r="O1701" s="144" t="s">
        <v>997</v>
      </c>
    </row>
    <row r="1702" spans="1:16" hidden="1">
      <c r="A1702" s="144" t="s">
        <v>345</v>
      </c>
      <c r="B1702" s="29">
        <v>78502828</v>
      </c>
      <c r="C1702" s="29"/>
      <c r="E1702" s="29" t="s">
        <v>871</v>
      </c>
      <c r="F1702" s="29" t="s">
        <v>130</v>
      </c>
      <c r="G1702" s="29" t="s">
        <v>38</v>
      </c>
      <c r="H1702" s="42">
        <v>45735</v>
      </c>
      <c r="I1702" s="130">
        <f t="shared" si="18"/>
        <v>45740</v>
      </c>
      <c r="J1702" s="130">
        <v>45737</v>
      </c>
      <c r="K1702" s="29"/>
      <c r="L1702" s="129" t="s">
        <v>998</v>
      </c>
      <c r="M1702" s="29"/>
      <c r="N1702" s="81"/>
      <c r="O1702" s="144" t="s">
        <v>999</v>
      </c>
    </row>
    <row r="1703" spans="1:16" hidden="1">
      <c r="A1703" s="144" t="s">
        <v>345</v>
      </c>
      <c r="B1703" s="29">
        <v>78504257</v>
      </c>
      <c r="C1703" s="29"/>
      <c r="E1703" s="29" t="s">
        <v>871</v>
      </c>
      <c r="F1703" s="29" t="s">
        <v>130</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130</v>
      </c>
      <c r="G1704" s="29" t="s">
        <v>38</v>
      </c>
      <c r="H1704" s="130">
        <v>45740</v>
      </c>
      <c r="I1704" s="130">
        <f t="shared" si="18"/>
        <v>45743</v>
      </c>
      <c r="J1704" s="130">
        <v>45743</v>
      </c>
      <c r="K1704" s="29"/>
      <c r="L1704" s="129" t="s">
        <v>998</v>
      </c>
      <c r="M1704" s="29"/>
      <c r="N1704" s="81">
        <v>135</v>
      </c>
      <c r="O1704" s="29" t="s">
        <v>1001</v>
      </c>
    </row>
    <row r="1705" spans="1:16" hidden="1">
      <c r="A1705" s="144" t="s">
        <v>337</v>
      </c>
      <c r="B1705" s="29">
        <v>86501288</v>
      </c>
      <c r="C1705" s="29"/>
      <c r="E1705" s="29" t="s">
        <v>871</v>
      </c>
      <c r="F1705" s="29" t="s">
        <v>130</v>
      </c>
      <c r="G1705" s="29" t="s">
        <v>38</v>
      </c>
      <c r="H1705" s="130">
        <v>45743</v>
      </c>
      <c r="I1705" s="130">
        <f t="shared" si="18"/>
        <v>45748</v>
      </c>
      <c r="J1705" s="29"/>
      <c r="K1705" s="29"/>
      <c r="L1705" s="129" t="s">
        <v>998</v>
      </c>
      <c r="M1705" s="29"/>
      <c r="N1705" s="81">
        <v>600</v>
      </c>
      <c r="O1705" s="144" t="s">
        <v>1002</v>
      </c>
    </row>
    <row r="1706" spans="1:16" hidden="1">
      <c r="A1706" s="144" t="s">
        <v>337</v>
      </c>
      <c r="B1706" s="29">
        <v>86501334</v>
      </c>
      <c r="C1706" s="29"/>
      <c r="E1706" s="29" t="s">
        <v>871</v>
      </c>
      <c r="F1706" s="29" t="s">
        <v>130</v>
      </c>
      <c r="G1706" s="29" t="s">
        <v>38</v>
      </c>
      <c r="H1706" s="130">
        <v>45743</v>
      </c>
      <c r="I1706" s="130">
        <f t="shared" si="18"/>
        <v>45748</v>
      </c>
      <c r="J1706" s="29"/>
      <c r="K1706" s="29"/>
      <c r="L1706" s="129" t="s">
        <v>998</v>
      </c>
      <c r="M1706" s="29"/>
      <c r="N1706" s="81">
        <v>45</v>
      </c>
      <c r="O1706" s="144" t="s">
        <v>1003</v>
      </c>
    </row>
    <row r="1707" spans="1:16" hidden="1">
      <c r="A1707" s="144" t="s">
        <v>337</v>
      </c>
      <c r="B1707" s="29">
        <v>86501357</v>
      </c>
      <c r="C1707" s="29"/>
      <c r="E1707" s="29" t="s">
        <v>871</v>
      </c>
      <c r="F1707" s="29" t="s">
        <v>130</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130</v>
      </c>
      <c r="G1708" s="29" t="s">
        <v>124</v>
      </c>
      <c r="H1708" s="130">
        <v>45747</v>
      </c>
      <c r="I1708" s="130">
        <f t="shared" si="18"/>
        <v>45750</v>
      </c>
      <c r="J1708" s="130">
        <v>45748</v>
      </c>
      <c r="K1708" s="29"/>
      <c r="L1708" s="129" t="s">
        <v>998</v>
      </c>
      <c r="M1708" s="29"/>
      <c r="N1708" s="81">
        <v>700</v>
      </c>
      <c r="O1708" s="144" t="s">
        <v>1005</v>
      </c>
      <c r="P1708" s="134" t="s">
        <v>130</v>
      </c>
    </row>
    <row r="1709" spans="1:16" hidden="1">
      <c r="A1709" s="144" t="s">
        <v>1004</v>
      </c>
      <c r="B1709" s="29">
        <v>90501601</v>
      </c>
      <c r="C1709" s="29"/>
      <c r="E1709" s="29" t="s">
        <v>874</v>
      </c>
      <c r="F1709" s="29" t="s">
        <v>130</v>
      </c>
      <c r="G1709" s="29" t="s">
        <v>124</v>
      </c>
      <c r="H1709" s="130">
        <v>45747</v>
      </c>
      <c r="I1709" s="130">
        <f t="shared" si="18"/>
        <v>45750</v>
      </c>
      <c r="J1709" s="130">
        <v>45748</v>
      </c>
      <c r="K1709" s="29"/>
      <c r="L1709" s="129" t="s">
        <v>998</v>
      </c>
      <c r="M1709" s="29"/>
      <c r="N1709" s="81">
        <v>700</v>
      </c>
      <c r="O1709" s="144" t="s">
        <v>1005</v>
      </c>
      <c r="P1709" s="134" t="s">
        <v>130</v>
      </c>
    </row>
    <row r="1710" spans="1:16" hidden="1">
      <c r="A1710" s="144" t="s">
        <v>1004</v>
      </c>
      <c r="B1710" s="29">
        <v>90501633</v>
      </c>
      <c r="C1710" s="29"/>
      <c r="E1710" s="29" t="s">
        <v>874</v>
      </c>
      <c r="F1710" s="29" t="s">
        <v>130</v>
      </c>
      <c r="G1710" s="29" t="s">
        <v>124</v>
      </c>
      <c r="H1710" s="130">
        <v>45747</v>
      </c>
      <c r="I1710" s="130">
        <f t="shared" si="18"/>
        <v>45750</v>
      </c>
      <c r="J1710" s="130">
        <v>45748</v>
      </c>
      <c r="K1710" s="29"/>
      <c r="L1710" s="129" t="s">
        <v>998</v>
      </c>
      <c r="M1710" s="29"/>
      <c r="N1710" s="81">
        <v>1300</v>
      </c>
      <c r="O1710" s="144" t="s">
        <v>1005</v>
      </c>
      <c r="P1710" s="134" t="s">
        <v>130</v>
      </c>
    </row>
    <row r="1711" spans="1:16" hidden="1">
      <c r="A1711" s="144" t="s">
        <v>1004</v>
      </c>
      <c r="B1711" s="29">
        <v>90501581</v>
      </c>
      <c r="C1711" s="29"/>
      <c r="E1711" s="29" t="s">
        <v>874</v>
      </c>
      <c r="F1711" s="29" t="s">
        <v>130</v>
      </c>
      <c r="G1711" s="29" t="s">
        <v>124</v>
      </c>
      <c r="H1711" s="130">
        <v>45747</v>
      </c>
      <c r="I1711" s="130">
        <f t="shared" si="18"/>
        <v>45750</v>
      </c>
      <c r="J1711" s="130">
        <v>45748</v>
      </c>
      <c r="K1711" s="29"/>
      <c r="L1711" s="129" t="s">
        <v>998</v>
      </c>
      <c r="M1711" s="29"/>
      <c r="N1711" s="81">
        <v>700</v>
      </c>
      <c r="O1711" s="144" t="s">
        <v>1005</v>
      </c>
      <c r="P1711" s="134" t="s">
        <v>130</v>
      </c>
    </row>
    <row r="1712" spans="1:16" hidden="1">
      <c r="A1712" s="144" t="s">
        <v>1004</v>
      </c>
      <c r="B1712" s="29">
        <v>90501656</v>
      </c>
      <c r="C1712" s="29"/>
      <c r="E1712" s="29" t="s">
        <v>874</v>
      </c>
      <c r="F1712" s="29" t="s">
        <v>130</v>
      </c>
      <c r="G1712" s="29" t="s">
        <v>124</v>
      </c>
      <c r="H1712" s="130">
        <v>45747</v>
      </c>
      <c r="I1712" s="130">
        <f t="shared" si="18"/>
        <v>45750</v>
      </c>
      <c r="J1712" s="130">
        <v>45748</v>
      </c>
      <c r="K1712" s="29"/>
      <c r="L1712" s="129" t="s">
        <v>998</v>
      </c>
      <c r="M1712" s="29"/>
      <c r="N1712" s="81">
        <v>600</v>
      </c>
      <c r="O1712" s="144" t="s">
        <v>1006</v>
      </c>
      <c r="P1712" s="134" t="s">
        <v>130</v>
      </c>
    </row>
    <row r="1713" spans="1:16" hidden="1">
      <c r="A1713" s="144" t="s">
        <v>1004</v>
      </c>
      <c r="B1713" s="29">
        <v>90501710</v>
      </c>
      <c r="C1713" s="29"/>
      <c r="E1713" s="29" t="s">
        <v>874</v>
      </c>
      <c r="F1713" s="29" t="s">
        <v>130</v>
      </c>
      <c r="G1713" s="29" t="s">
        <v>124</v>
      </c>
      <c r="H1713" s="130">
        <v>45747</v>
      </c>
      <c r="I1713" s="130">
        <f t="shared" si="18"/>
        <v>45750</v>
      </c>
      <c r="J1713" s="130">
        <v>45748</v>
      </c>
      <c r="K1713" s="29"/>
      <c r="L1713" s="129" t="s">
        <v>998</v>
      </c>
      <c r="M1713" s="29"/>
      <c r="N1713" s="81">
        <v>350</v>
      </c>
      <c r="O1713" s="144" t="s">
        <v>1005</v>
      </c>
      <c r="P1713" s="134" t="s">
        <v>130</v>
      </c>
    </row>
    <row r="1714" spans="1:16" hidden="1">
      <c r="A1714" s="144" t="s">
        <v>1004</v>
      </c>
      <c r="B1714" s="29">
        <v>90501750</v>
      </c>
      <c r="C1714" s="29"/>
      <c r="E1714" s="29" t="s">
        <v>874</v>
      </c>
      <c r="F1714" s="29" t="s">
        <v>130</v>
      </c>
      <c r="G1714" s="29" t="s">
        <v>124</v>
      </c>
      <c r="H1714" s="130">
        <v>45747</v>
      </c>
      <c r="I1714" s="130">
        <f t="shared" si="18"/>
        <v>45750</v>
      </c>
      <c r="J1714" s="130">
        <v>45748</v>
      </c>
      <c r="K1714" s="29"/>
      <c r="L1714" s="129" t="s">
        <v>998</v>
      </c>
      <c r="M1714" s="29"/>
      <c r="N1714" s="81">
        <v>700</v>
      </c>
      <c r="O1714" s="144" t="s">
        <v>1006</v>
      </c>
      <c r="P1714" s="134" t="s">
        <v>130</v>
      </c>
    </row>
    <row r="1715" spans="1:16" hidden="1">
      <c r="A1715" s="144" t="s">
        <v>970</v>
      </c>
      <c r="B1715" s="29">
        <v>91504897</v>
      </c>
      <c r="C1715" s="29"/>
      <c r="E1715" s="29" t="s">
        <v>971</v>
      </c>
      <c r="F1715" s="29" t="s">
        <v>130</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130</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130</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130</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130</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130</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130</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130</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130</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130</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130</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130</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130</v>
      </c>
      <c r="G1727" s="29" t="s">
        <v>891</v>
      </c>
      <c r="H1727" s="130">
        <v>45749</v>
      </c>
      <c r="I1727" s="130">
        <f t="shared" si="18"/>
        <v>45754</v>
      </c>
      <c r="J1727" s="130"/>
      <c r="K1727" s="29"/>
      <c r="L1727" s="129" t="s">
        <v>998</v>
      </c>
      <c r="M1727" s="29"/>
      <c r="N1727" s="81">
        <v>670</v>
      </c>
    </row>
    <row r="1728" spans="1:16" hidden="1">
      <c r="A1728" s="144" t="s">
        <v>345</v>
      </c>
      <c r="B1728" s="29">
        <v>78501166</v>
      </c>
      <c r="C1728" s="29"/>
      <c r="E1728" s="29" t="s">
        <v>960</v>
      </c>
      <c r="F1728" s="29" t="s">
        <v>130</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130</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130</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130</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130</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130</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130</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130</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130</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130</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130</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130</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130</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130</v>
      </c>
      <c r="G1741" s="29" t="s">
        <v>38</v>
      </c>
      <c r="H1741" s="130">
        <v>45779</v>
      </c>
      <c r="I1741" s="130">
        <f t="shared" si="19"/>
        <v>45784</v>
      </c>
      <c r="J1741" s="29"/>
      <c r="K1741" s="29"/>
      <c r="L1741" s="129" t="s">
        <v>484</v>
      </c>
      <c r="M1741" s="29"/>
      <c r="N1741" s="166">
        <v>1300</v>
      </c>
    </row>
    <row r="1742" spans="1:15" hidden="1">
      <c r="A1742" s="144" t="s">
        <v>1015</v>
      </c>
      <c r="B1742" s="29">
        <v>122501985</v>
      </c>
      <c r="C1742" s="29"/>
      <c r="E1742" s="29" t="s">
        <v>960</v>
      </c>
      <c r="F1742" s="29" t="s">
        <v>130</v>
      </c>
      <c r="G1742" s="29" t="s">
        <v>38</v>
      </c>
      <c r="H1742" s="130">
        <v>45779</v>
      </c>
      <c r="I1742" s="130">
        <f t="shared" si="19"/>
        <v>45784</v>
      </c>
      <c r="J1742" s="29"/>
      <c r="K1742" s="29"/>
      <c r="L1742" s="129" t="s">
        <v>484</v>
      </c>
      <c r="M1742" s="29"/>
      <c r="N1742" s="166">
        <v>1300</v>
      </c>
    </row>
    <row r="1743" spans="1:15" hidden="1">
      <c r="A1743" s="144" t="s">
        <v>673</v>
      </c>
      <c r="B1743" s="29">
        <v>122501749</v>
      </c>
      <c r="C1743" s="29"/>
      <c r="E1743" s="29" t="s">
        <v>960</v>
      </c>
      <c r="F1743" s="29" t="s">
        <v>130</v>
      </c>
      <c r="G1743" s="29" t="s">
        <v>38</v>
      </c>
      <c r="H1743" s="130">
        <v>45779</v>
      </c>
      <c r="I1743" s="130">
        <f t="shared" si="19"/>
        <v>45784</v>
      </c>
      <c r="J1743" s="29"/>
      <c r="K1743" s="29"/>
      <c r="L1743" s="129" t="s">
        <v>484</v>
      </c>
      <c r="M1743" s="29"/>
      <c r="N1743" s="166">
        <v>550</v>
      </c>
    </row>
    <row r="1744" spans="1:15" hidden="1">
      <c r="A1744" s="144" t="s">
        <v>673</v>
      </c>
      <c r="B1744" s="29">
        <v>122501783</v>
      </c>
      <c r="C1744" s="29"/>
      <c r="E1744" s="29" t="s">
        <v>960</v>
      </c>
      <c r="F1744" s="29" t="s">
        <v>130</v>
      </c>
      <c r="G1744" s="29" t="s">
        <v>38</v>
      </c>
      <c r="H1744" s="130">
        <v>45779</v>
      </c>
      <c r="I1744" s="130">
        <f t="shared" si="19"/>
        <v>45784</v>
      </c>
      <c r="J1744" s="29"/>
      <c r="K1744" s="29"/>
      <c r="L1744" s="129" t="s">
        <v>484</v>
      </c>
      <c r="M1744" s="29"/>
      <c r="N1744" s="166">
        <v>550</v>
      </c>
    </row>
    <row r="1745" spans="1:15" hidden="1">
      <c r="A1745" s="144" t="s">
        <v>673</v>
      </c>
      <c r="B1745" s="29">
        <v>122501790</v>
      </c>
      <c r="C1745" s="29"/>
      <c r="E1745" s="29" t="s">
        <v>960</v>
      </c>
      <c r="F1745" s="29" t="s">
        <v>130</v>
      </c>
      <c r="G1745" s="29" t="s">
        <v>38</v>
      </c>
      <c r="H1745" s="130">
        <v>45779</v>
      </c>
      <c r="I1745" s="130">
        <f t="shared" si="19"/>
        <v>45784</v>
      </c>
      <c r="J1745" s="29"/>
      <c r="K1745" s="29"/>
      <c r="L1745" s="129" t="s">
        <v>484</v>
      </c>
      <c r="M1745" s="29"/>
      <c r="N1745" s="166">
        <v>700</v>
      </c>
    </row>
    <row r="1746" spans="1:15" hidden="1">
      <c r="A1746" s="144" t="s">
        <v>673</v>
      </c>
      <c r="B1746" s="29">
        <v>122501808</v>
      </c>
      <c r="C1746" s="29"/>
      <c r="E1746" s="29" t="s">
        <v>960</v>
      </c>
      <c r="F1746" s="29" t="s">
        <v>130</v>
      </c>
      <c r="G1746" s="29" t="s">
        <v>38</v>
      </c>
      <c r="H1746" s="130">
        <v>45779</v>
      </c>
      <c r="I1746" s="130">
        <f t="shared" si="19"/>
        <v>45784</v>
      </c>
      <c r="J1746" s="29"/>
      <c r="K1746" s="29"/>
      <c r="L1746" s="129" t="s">
        <v>484</v>
      </c>
      <c r="M1746" s="29"/>
      <c r="N1746" s="166">
        <v>320</v>
      </c>
    </row>
    <row r="1747" spans="1:15" hidden="1">
      <c r="A1747" s="144" t="s">
        <v>969</v>
      </c>
      <c r="B1747" s="29">
        <v>87503873</v>
      </c>
      <c r="C1747" s="29"/>
      <c r="E1747" s="29" t="s">
        <v>871</v>
      </c>
      <c r="F1747" s="29" t="s">
        <v>130</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130</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130</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130</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130</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130</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130</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130</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130</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130</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130</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130</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130</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130</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130</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130</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130</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130</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130</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130</v>
      </c>
      <c r="G1768" s="29" t="s">
        <v>980</v>
      </c>
      <c r="H1768" s="130">
        <v>45744</v>
      </c>
      <c r="I1768" s="130">
        <f t="shared" si="19"/>
        <v>45749</v>
      </c>
      <c r="J1768" s="130">
        <v>45748</v>
      </c>
      <c r="K1768" s="130">
        <v>45754</v>
      </c>
      <c r="L1768" s="129" t="s">
        <v>783</v>
      </c>
      <c r="M1768" s="29"/>
      <c r="N1768" s="81">
        <v>230</v>
      </c>
      <c r="O1768" s="144" t="s">
        <v>961</v>
      </c>
    </row>
    <row r="1769" spans="1:15" hidden="1">
      <c r="A1769" s="144" t="s">
        <v>480</v>
      </c>
      <c r="B1769" s="29">
        <v>86501817</v>
      </c>
      <c r="C1769" s="29"/>
      <c r="E1769" s="29" t="s">
        <v>871</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871</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871</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871</v>
      </c>
      <c r="F1772" s="29" t="s">
        <v>130</v>
      </c>
      <c r="G1772" s="29" t="s">
        <v>38</v>
      </c>
      <c r="H1772" s="130">
        <v>45743</v>
      </c>
      <c r="I1772" s="130">
        <f t="shared" si="19"/>
        <v>45748</v>
      </c>
      <c r="J1772" s="29"/>
      <c r="K1772" s="130">
        <v>45749</v>
      </c>
      <c r="L1772" s="129" t="s">
        <v>663</v>
      </c>
      <c r="M1772" s="29"/>
      <c r="N1772" s="81">
        <v>415</v>
      </c>
    </row>
    <row r="1773" spans="1:15" hidden="1">
      <c r="A1773" s="144" t="s">
        <v>480</v>
      </c>
      <c r="B1773" s="29">
        <v>86502013</v>
      </c>
      <c r="C1773" s="29"/>
      <c r="E1773" s="29" t="s">
        <v>871</v>
      </c>
      <c r="F1773" s="29" t="s">
        <v>130</v>
      </c>
      <c r="G1773" s="29" t="s">
        <v>38</v>
      </c>
      <c r="H1773" s="130">
        <v>45743</v>
      </c>
      <c r="I1773" s="130">
        <f t="shared" si="19"/>
        <v>45748</v>
      </c>
      <c r="J1773" s="29"/>
      <c r="K1773" s="130">
        <v>45748</v>
      </c>
      <c r="L1773" s="129" t="s">
        <v>663</v>
      </c>
      <c r="M1773" s="29"/>
      <c r="N1773" s="81">
        <v>280</v>
      </c>
    </row>
    <row r="1774" spans="1:15" hidden="1">
      <c r="A1774" s="144" t="s">
        <v>480</v>
      </c>
      <c r="B1774" s="29">
        <v>86502143</v>
      </c>
      <c r="C1774" s="29"/>
      <c r="E1774" s="29" t="s">
        <v>871</v>
      </c>
      <c r="F1774" s="29" t="s">
        <v>130</v>
      </c>
      <c r="G1774" s="29" t="s">
        <v>38</v>
      </c>
      <c r="H1774" s="130">
        <v>45743</v>
      </c>
      <c r="I1774" s="130">
        <f t="shared" si="19"/>
        <v>45748</v>
      </c>
      <c r="J1774" s="29"/>
      <c r="K1774" s="130">
        <v>45748</v>
      </c>
      <c r="L1774" s="129" t="s">
        <v>663</v>
      </c>
      <c r="M1774" s="29"/>
      <c r="N1774" s="81">
        <v>290</v>
      </c>
    </row>
    <row r="1775" spans="1:15" hidden="1">
      <c r="A1775" s="144" t="s">
        <v>480</v>
      </c>
      <c r="B1775" s="29">
        <v>86502143</v>
      </c>
      <c r="C1775" s="29"/>
      <c r="E1775" s="29" t="s">
        <v>871</v>
      </c>
      <c r="F1775" s="29" t="s">
        <v>130</v>
      </c>
      <c r="G1775" s="29" t="s">
        <v>38</v>
      </c>
      <c r="H1775" s="130">
        <v>45743</v>
      </c>
      <c r="I1775" s="130">
        <f t="shared" si="19"/>
        <v>45748</v>
      </c>
      <c r="J1775" s="29"/>
      <c r="K1775" s="130">
        <v>45748</v>
      </c>
      <c r="L1775" s="129" t="s">
        <v>663</v>
      </c>
      <c r="M1775" s="29"/>
      <c r="N1775" s="81">
        <v>290</v>
      </c>
    </row>
    <row r="1776" spans="1:15" hidden="1">
      <c r="A1776" s="144" t="s">
        <v>480</v>
      </c>
      <c r="B1776" s="29">
        <v>86502329</v>
      </c>
      <c r="C1776" s="29"/>
      <c r="E1776" s="29" t="s">
        <v>871</v>
      </c>
      <c r="F1776" s="29" t="s">
        <v>130</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130</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130</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130</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130</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130</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130</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130</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130</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130</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130</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130</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130</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130</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130</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130</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130</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130</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130</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130</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130</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130</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130</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130</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130</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130</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130</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130</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130</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130</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130</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130</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130</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130</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130</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130</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130</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130</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130</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130</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130</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130</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130</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130</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130</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130</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130</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130</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130</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130</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130</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130</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130</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130</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130</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130</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130</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130</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130</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130</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130</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130</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130</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130</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130</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130</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130</v>
      </c>
      <c r="G1842" s="29" t="s">
        <v>1025</v>
      </c>
      <c r="H1842" s="130">
        <v>45744</v>
      </c>
      <c r="I1842" s="130">
        <f t="shared" si="20"/>
        <v>45749</v>
      </c>
      <c r="J1842" s="130">
        <v>45749</v>
      </c>
      <c r="K1842" s="130">
        <v>45754</v>
      </c>
      <c r="L1842" s="129" t="s">
        <v>663</v>
      </c>
      <c r="M1842" s="29"/>
      <c r="N1842" s="81">
        <v>249</v>
      </c>
      <c r="O1842" s="29" t="s">
        <v>1043</v>
      </c>
    </row>
    <row r="1843" spans="1:16" hidden="1">
      <c r="A1843" s="144" t="s">
        <v>522</v>
      </c>
      <c r="B1843" s="29">
        <v>92501215</v>
      </c>
      <c r="C1843" s="29"/>
      <c r="E1843" s="29" t="s">
        <v>960</v>
      </c>
      <c r="F1843" s="29" t="s">
        <v>130</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130</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130</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130</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130</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130</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130</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130</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130</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130</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130</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130</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130</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130</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130</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130</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130</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130</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130</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130</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130</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130</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130</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130</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130</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130</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130</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130</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130</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130</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130</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130</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130</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130</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130</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130</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130</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130</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130</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130</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130</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130</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130</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130</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130</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130</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130</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130</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130</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130</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130</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130</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130</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130</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130</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130</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130</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130</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130</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345</v>
      </c>
      <c r="B1905" s="29">
        <v>78500418</v>
      </c>
      <c r="C1905" s="29"/>
      <c r="E1905" s="29" t="s">
        <v>871</v>
      </c>
      <c r="F1905" s="29" t="s">
        <v>130</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345</v>
      </c>
      <c r="B1906" s="29">
        <v>78500507</v>
      </c>
      <c r="C1906" s="29"/>
      <c r="E1906" s="29" t="s">
        <v>871</v>
      </c>
      <c r="F1906" s="29" t="s">
        <v>130</v>
      </c>
      <c r="G1906" s="29" t="s">
        <v>38</v>
      </c>
      <c r="H1906" s="42">
        <v>45735</v>
      </c>
      <c r="I1906" s="130">
        <f t="shared" si="21"/>
        <v>45740</v>
      </c>
      <c r="J1906" s="130"/>
      <c r="K1906" s="130">
        <v>45737</v>
      </c>
      <c r="L1906" s="29" t="s">
        <v>663</v>
      </c>
      <c r="M1906" s="130"/>
      <c r="N1906" s="81"/>
      <c r="O1906" s="29"/>
      <c r="P1906" s="134" t="s">
        <v>1080</v>
      </c>
    </row>
    <row r="1907" spans="1:16" hidden="1">
      <c r="A1907" s="144" t="s">
        <v>345</v>
      </c>
      <c r="B1907" s="29">
        <v>78500816</v>
      </c>
      <c r="C1907" s="29"/>
      <c r="E1907" s="29" t="s">
        <v>871</v>
      </c>
      <c r="F1907" s="29" t="s">
        <v>130</v>
      </c>
      <c r="G1907" s="29" t="s">
        <v>38</v>
      </c>
      <c r="H1907" s="42">
        <v>45735</v>
      </c>
      <c r="I1907" s="130">
        <f t="shared" si="21"/>
        <v>45740</v>
      </c>
      <c r="J1907" s="130"/>
      <c r="K1907" s="130">
        <v>45737</v>
      </c>
      <c r="L1907" s="29" t="s">
        <v>663</v>
      </c>
      <c r="M1907" s="130"/>
      <c r="N1907" s="148"/>
      <c r="O1907" s="29"/>
      <c r="P1907" s="134" t="s">
        <v>1081</v>
      </c>
    </row>
    <row r="1908" spans="1:16" ht="43.5" hidden="1">
      <c r="A1908" s="144" t="s">
        <v>345</v>
      </c>
      <c r="B1908" s="29">
        <v>78500950</v>
      </c>
      <c r="C1908" s="29"/>
      <c r="E1908" s="29" t="s">
        <v>871</v>
      </c>
      <c r="F1908" s="29" t="s">
        <v>130</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345</v>
      </c>
      <c r="B1909" s="29">
        <v>78501022</v>
      </c>
      <c r="C1909" s="29"/>
      <c r="E1909" s="29" t="s">
        <v>871</v>
      </c>
      <c r="F1909" s="29" t="s">
        <v>130</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345</v>
      </c>
      <c r="B1910" s="29">
        <v>78501065</v>
      </c>
      <c r="C1910" s="29"/>
      <c r="E1910" s="29" t="s">
        <v>871</v>
      </c>
      <c r="F1910" s="29" t="s">
        <v>130</v>
      </c>
      <c r="G1910" s="29" t="s">
        <v>38</v>
      </c>
      <c r="H1910" s="42">
        <v>45735</v>
      </c>
      <c r="I1910" s="130">
        <f t="shared" si="21"/>
        <v>45740</v>
      </c>
      <c r="J1910" s="130"/>
      <c r="K1910" s="130">
        <v>45737</v>
      </c>
      <c r="L1910" s="29" t="s">
        <v>663</v>
      </c>
      <c r="M1910" s="130"/>
      <c r="N1910" s="81"/>
      <c r="O1910" s="29"/>
      <c r="P1910" s="134" t="s">
        <v>1085</v>
      </c>
    </row>
    <row r="1911" spans="1:16" hidden="1">
      <c r="A1911" s="144" t="s">
        <v>345</v>
      </c>
      <c r="B1911" s="29">
        <v>78501121</v>
      </c>
      <c r="C1911" s="29"/>
      <c r="E1911" s="29" t="s">
        <v>871</v>
      </c>
      <c r="F1911" s="29" t="s">
        <v>130</v>
      </c>
      <c r="G1911" s="29" t="s">
        <v>38</v>
      </c>
      <c r="H1911" s="42">
        <v>45735</v>
      </c>
      <c r="I1911" s="130">
        <f t="shared" si="21"/>
        <v>45740</v>
      </c>
      <c r="J1911" s="130"/>
      <c r="K1911" s="130">
        <v>45737</v>
      </c>
      <c r="L1911" s="29" t="s">
        <v>663</v>
      </c>
      <c r="M1911" s="130"/>
      <c r="N1911" s="81"/>
      <c r="O1911" s="29"/>
      <c r="P1911" s="134" t="s">
        <v>1086</v>
      </c>
    </row>
    <row r="1912" spans="1:16" hidden="1">
      <c r="A1912" s="144" t="s">
        <v>345</v>
      </c>
      <c r="B1912" s="29">
        <v>78501287</v>
      </c>
      <c r="C1912" s="29"/>
      <c r="E1912" s="29" t="s">
        <v>871</v>
      </c>
      <c r="F1912" s="29" t="s">
        <v>130</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345</v>
      </c>
      <c r="B1913" s="29">
        <v>78501322</v>
      </c>
      <c r="C1913" s="29"/>
      <c r="E1913" s="29" t="s">
        <v>871</v>
      </c>
      <c r="F1913" s="29" t="s">
        <v>130</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345</v>
      </c>
      <c r="B1914" s="29">
        <v>78501367</v>
      </c>
      <c r="C1914" s="29"/>
      <c r="E1914" s="29" t="s">
        <v>871</v>
      </c>
      <c r="F1914" s="29" t="s">
        <v>130</v>
      </c>
      <c r="G1914" s="29" t="s">
        <v>38</v>
      </c>
      <c r="H1914" s="42">
        <v>45735</v>
      </c>
      <c r="I1914" s="130">
        <f t="shared" si="21"/>
        <v>45740</v>
      </c>
      <c r="J1914" s="130"/>
      <c r="K1914" s="130">
        <v>45737</v>
      </c>
      <c r="L1914" s="29" t="s">
        <v>663</v>
      </c>
      <c r="M1914" s="130"/>
      <c r="N1914" s="81"/>
      <c r="O1914" s="29"/>
      <c r="P1914" s="134" t="s">
        <v>1091</v>
      </c>
    </row>
    <row r="1915" spans="1:16" hidden="1">
      <c r="A1915" s="144" t="s">
        <v>345</v>
      </c>
      <c r="B1915" s="29">
        <v>78501538</v>
      </c>
      <c r="C1915" s="29"/>
      <c r="E1915" s="29" t="s">
        <v>871</v>
      </c>
      <c r="F1915" s="29" t="s">
        <v>130</v>
      </c>
      <c r="G1915" s="29" t="s">
        <v>38</v>
      </c>
      <c r="H1915" s="42">
        <v>45735</v>
      </c>
      <c r="I1915" s="130">
        <f t="shared" si="21"/>
        <v>45740</v>
      </c>
      <c r="J1915" s="130"/>
      <c r="K1915" s="130">
        <v>45737</v>
      </c>
      <c r="L1915" s="29" t="s">
        <v>663</v>
      </c>
      <c r="M1915" s="130"/>
      <c r="N1915" s="81"/>
      <c r="O1915" s="29"/>
      <c r="P1915" s="134" t="s">
        <v>1092</v>
      </c>
    </row>
    <row r="1916" spans="1:16" hidden="1">
      <c r="A1916" s="144" t="s">
        <v>345</v>
      </c>
      <c r="B1916" s="29">
        <v>78501671</v>
      </c>
      <c r="C1916" s="29"/>
      <c r="E1916" s="29" t="s">
        <v>871</v>
      </c>
      <c r="F1916" s="29" t="s">
        <v>130</v>
      </c>
      <c r="G1916" s="29" t="s">
        <v>38</v>
      </c>
      <c r="H1916" s="42">
        <v>45735</v>
      </c>
      <c r="I1916" s="130">
        <f t="shared" si="21"/>
        <v>45740</v>
      </c>
      <c r="J1916" s="130"/>
      <c r="K1916" s="130">
        <v>45737</v>
      </c>
      <c r="L1916" s="29" t="s">
        <v>663</v>
      </c>
      <c r="M1916" s="130"/>
      <c r="N1916" s="81"/>
      <c r="O1916" s="29"/>
      <c r="P1916" s="134" t="s">
        <v>1093</v>
      </c>
    </row>
    <row r="1917" spans="1:16" hidden="1">
      <c r="A1917" s="144" t="s">
        <v>345</v>
      </c>
      <c r="B1917" s="29">
        <v>78501705</v>
      </c>
      <c r="C1917" s="29"/>
      <c r="E1917" s="29" t="s">
        <v>871</v>
      </c>
      <c r="F1917" s="29" t="s">
        <v>130</v>
      </c>
      <c r="G1917" s="29" t="s">
        <v>38</v>
      </c>
      <c r="H1917" s="42">
        <v>45735</v>
      </c>
      <c r="I1917" s="130">
        <f t="shared" si="21"/>
        <v>45740</v>
      </c>
      <c r="J1917" s="130"/>
      <c r="K1917" s="130">
        <v>45737</v>
      </c>
      <c r="L1917" s="29" t="s">
        <v>663</v>
      </c>
      <c r="M1917" s="130"/>
      <c r="N1917" s="81"/>
      <c r="O1917" s="29"/>
      <c r="P1917" s="134" t="s">
        <v>1094</v>
      </c>
    </row>
    <row r="1918" spans="1:16" hidden="1">
      <c r="A1918" s="144" t="s">
        <v>345</v>
      </c>
      <c r="B1918" s="29">
        <v>78501760</v>
      </c>
      <c r="C1918" s="29"/>
      <c r="E1918" s="29" t="s">
        <v>871</v>
      </c>
      <c r="F1918" s="29" t="s">
        <v>130</v>
      </c>
      <c r="G1918" s="29" t="s">
        <v>38</v>
      </c>
      <c r="H1918" s="42">
        <v>45735</v>
      </c>
      <c r="I1918" s="130">
        <f t="shared" si="21"/>
        <v>45740</v>
      </c>
      <c r="J1918" s="130"/>
      <c r="K1918" s="130">
        <v>45737</v>
      </c>
      <c r="L1918" s="29" t="s">
        <v>663</v>
      </c>
      <c r="M1918" s="130"/>
      <c r="N1918" s="81"/>
      <c r="O1918" s="29"/>
      <c r="P1918" s="134" t="s">
        <v>1095</v>
      </c>
    </row>
    <row r="1919" spans="1:16" hidden="1">
      <c r="A1919" s="144" t="s">
        <v>345</v>
      </c>
      <c r="B1919" s="29">
        <v>78501855</v>
      </c>
      <c r="C1919" s="29"/>
      <c r="E1919" s="29" t="s">
        <v>871</v>
      </c>
      <c r="F1919" s="29" t="s">
        <v>130</v>
      </c>
      <c r="G1919" s="29" t="s">
        <v>38</v>
      </c>
      <c r="H1919" s="42">
        <v>45735</v>
      </c>
      <c r="I1919" s="130">
        <f t="shared" si="21"/>
        <v>45740</v>
      </c>
      <c r="J1919" s="130"/>
      <c r="K1919" s="130">
        <v>45737</v>
      </c>
      <c r="L1919" s="29" t="s">
        <v>663</v>
      </c>
      <c r="M1919" s="130"/>
      <c r="N1919" s="81"/>
      <c r="O1919" s="29"/>
      <c r="P1919" s="134" t="s">
        <v>1096</v>
      </c>
    </row>
    <row r="1920" spans="1:16" hidden="1">
      <c r="A1920" s="144" t="s">
        <v>345</v>
      </c>
      <c r="B1920" s="29">
        <v>78502268</v>
      </c>
      <c r="C1920" s="29"/>
      <c r="E1920" s="29" t="s">
        <v>871</v>
      </c>
      <c r="F1920" s="29" t="s">
        <v>130</v>
      </c>
      <c r="G1920" s="29" t="s">
        <v>38</v>
      </c>
      <c r="H1920" s="42">
        <v>45735</v>
      </c>
      <c r="I1920" s="130">
        <f t="shared" si="21"/>
        <v>45740</v>
      </c>
      <c r="J1920" s="130"/>
      <c r="K1920" s="130">
        <v>45737</v>
      </c>
      <c r="L1920" s="29" t="s">
        <v>663</v>
      </c>
      <c r="M1920" s="130"/>
      <c r="N1920" s="81"/>
      <c r="O1920" s="29"/>
      <c r="P1920" s="134" t="s">
        <v>1097</v>
      </c>
    </row>
    <row r="1921" spans="1:16" hidden="1">
      <c r="A1921" s="144" t="s">
        <v>345</v>
      </c>
      <c r="B1921" s="29">
        <v>78502370</v>
      </c>
      <c r="C1921" s="29"/>
      <c r="E1921" s="29" t="s">
        <v>871</v>
      </c>
      <c r="F1921" s="29" t="s">
        <v>130</v>
      </c>
      <c r="G1921" s="29" t="s">
        <v>38</v>
      </c>
      <c r="H1921" s="42">
        <v>45735</v>
      </c>
      <c r="I1921" s="130">
        <f t="shared" si="21"/>
        <v>45740</v>
      </c>
      <c r="J1921" s="130"/>
      <c r="K1921" s="130">
        <v>45737</v>
      </c>
      <c r="L1921" s="29" t="s">
        <v>663</v>
      </c>
      <c r="M1921" s="130"/>
      <c r="N1921" s="81"/>
      <c r="O1921" s="29"/>
      <c r="P1921" s="134" t="s">
        <v>1098</v>
      </c>
    </row>
    <row r="1922" spans="1:16" hidden="1">
      <c r="A1922" s="144" t="s">
        <v>345</v>
      </c>
      <c r="B1922" s="29">
        <v>78502463</v>
      </c>
      <c r="C1922" s="29"/>
      <c r="E1922" s="29" t="s">
        <v>871</v>
      </c>
      <c r="F1922" s="29" t="s">
        <v>130</v>
      </c>
      <c r="G1922" s="29" t="s">
        <v>38</v>
      </c>
      <c r="H1922" s="42">
        <v>45735</v>
      </c>
      <c r="I1922" s="130">
        <f t="shared" si="21"/>
        <v>45740</v>
      </c>
      <c r="J1922" s="130"/>
      <c r="K1922" s="130">
        <v>45737</v>
      </c>
      <c r="L1922" s="29" t="s">
        <v>663</v>
      </c>
      <c r="M1922" s="130"/>
      <c r="N1922" s="81"/>
      <c r="O1922" s="29"/>
      <c r="P1922" s="134" t="s">
        <v>1099</v>
      </c>
    </row>
    <row r="1923" spans="1:16" hidden="1">
      <c r="A1923" s="144" t="s">
        <v>345</v>
      </c>
      <c r="B1923" s="29">
        <v>78502520</v>
      </c>
      <c r="C1923" s="29"/>
      <c r="E1923" s="29" t="s">
        <v>871</v>
      </c>
      <c r="F1923" s="29" t="s">
        <v>130</v>
      </c>
      <c r="G1923" s="29" t="s">
        <v>38</v>
      </c>
      <c r="H1923" s="42">
        <v>45735</v>
      </c>
      <c r="I1923" s="130">
        <f t="shared" si="21"/>
        <v>45740</v>
      </c>
      <c r="J1923" s="130"/>
      <c r="K1923" s="130">
        <v>45737</v>
      </c>
      <c r="L1923" s="29" t="s">
        <v>663</v>
      </c>
      <c r="M1923" s="130"/>
      <c r="N1923" s="81"/>
      <c r="O1923" s="29"/>
      <c r="P1923" s="134" t="s">
        <v>1100</v>
      </c>
    </row>
    <row r="1924" spans="1:16" hidden="1">
      <c r="A1924" s="144" t="s">
        <v>345</v>
      </c>
      <c r="B1924" s="29">
        <v>78502617</v>
      </c>
      <c r="C1924" s="29"/>
      <c r="E1924" s="29" t="s">
        <v>871</v>
      </c>
      <c r="F1924" s="29" t="s">
        <v>130</v>
      </c>
      <c r="G1924" s="29" t="s">
        <v>38</v>
      </c>
      <c r="H1924" s="42">
        <v>45735</v>
      </c>
      <c r="I1924" s="130">
        <f t="shared" si="21"/>
        <v>45740</v>
      </c>
      <c r="J1924" s="130"/>
      <c r="K1924" s="130">
        <v>45737</v>
      </c>
      <c r="L1924" s="29" t="s">
        <v>663</v>
      </c>
      <c r="M1924" s="130"/>
      <c r="N1924" s="81"/>
      <c r="O1924" s="29"/>
      <c r="P1924" s="134" t="s">
        <v>1101</v>
      </c>
    </row>
    <row r="1925" spans="1:16" ht="72.75" hidden="1">
      <c r="A1925" s="144" t="s">
        <v>345</v>
      </c>
      <c r="B1925" s="29">
        <v>78502827</v>
      </c>
      <c r="C1925" s="29"/>
      <c r="E1925" s="29" t="s">
        <v>871</v>
      </c>
      <c r="F1925" s="29" t="s">
        <v>130</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345</v>
      </c>
      <c r="B1926" s="29">
        <v>78503095</v>
      </c>
      <c r="C1926" s="29"/>
      <c r="E1926" s="29" t="s">
        <v>871</v>
      </c>
      <c r="F1926" s="29" t="s">
        <v>130</v>
      </c>
      <c r="G1926" s="29" t="s">
        <v>38</v>
      </c>
      <c r="H1926" s="42">
        <v>45735</v>
      </c>
      <c r="I1926" s="130">
        <f t="shared" si="21"/>
        <v>45740</v>
      </c>
      <c r="J1926" s="130"/>
      <c r="K1926" s="130">
        <v>45737</v>
      </c>
      <c r="L1926" s="29" t="s">
        <v>663</v>
      </c>
      <c r="M1926" s="130"/>
      <c r="N1926" s="81"/>
      <c r="O1926" s="29"/>
      <c r="P1926" s="134" t="s">
        <v>1104</v>
      </c>
    </row>
    <row r="1927" spans="1:16" hidden="1">
      <c r="A1927" s="144" t="s">
        <v>345</v>
      </c>
      <c r="B1927" s="29">
        <v>78503165</v>
      </c>
      <c r="C1927" s="29"/>
      <c r="E1927" s="29" t="s">
        <v>871</v>
      </c>
      <c r="F1927" s="29" t="s">
        <v>130</v>
      </c>
      <c r="G1927" s="29" t="s">
        <v>38</v>
      </c>
      <c r="H1927" s="42">
        <v>45735</v>
      </c>
      <c r="I1927" s="130">
        <f t="shared" si="21"/>
        <v>45740</v>
      </c>
      <c r="J1927" s="130"/>
      <c r="K1927" s="130">
        <v>45737</v>
      </c>
      <c r="L1927" s="29" t="s">
        <v>663</v>
      </c>
      <c r="M1927" s="130"/>
      <c r="N1927" s="81"/>
      <c r="O1927" s="29"/>
      <c r="P1927" s="134" t="s">
        <v>1105</v>
      </c>
    </row>
    <row r="1928" spans="1:16" hidden="1">
      <c r="A1928" s="144" t="s">
        <v>345</v>
      </c>
      <c r="B1928" s="29">
        <v>78503372</v>
      </c>
      <c r="C1928" s="29"/>
      <c r="E1928" s="29" t="s">
        <v>871</v>
      </c>
      <c r="F1928" s="29" t="s">
        <v>130</v>
      </c>
      <c r="G1928" s="29" t="s">
        <v>38</v>
      </c>
      <c r="H1928" s="42">
        <v>45735</v>
      </c>
      <c r="I1928" s="130">
        <f t="shared" si="21"/>
        <v>45740</v>
      </c>
      <c r="J1928" s="130"/>
      <c r="K1928" s="130">
        <v>45737</v>
      </c>
      <c r="L1928" s="29" t="s">
        <v>663</v>
      </c>
      <c r="M1928" s="130"/>
      <c r="N1928" s="81"/>
      <c r="O1928" s="29"/>
      <c r="P1928" s="134" t="s">
        <v>1106</v>
      </c>
    </row>
    <row r="1929" spans="1:16" hidden="1">
      <c r="A1929" s="144" t="s">
        <v>345</v>
      </c>
      <c r="B1929" s="29">
        <v>78503404</v>
      </c>
      <c r="C1929" s="29"/>
      <c r="E1929" s="29" t="s">
        <v>871</v>
      </c>
      <c r="F1929" s="29" t="s">
        <v>130</v>
      </c>
      <c r="G1929" s="29" t="s">
        <v>38</v>
      </c>
      <c r="H1929" s="42">
        <v>45735</v>
      </c>
      <c r="I1929" s="130">
        <f t="shared" si="21"/>
        <v>45740</v>
      </c>
      <c r="J1929" s="130"/>
      <c r="K1929" s="130">
        <v>45737</v>
      </c>
      <c r="L1929" s="29" t="s">
        <v>663</v>
      </c>
      <c r="M1929" s="130"/>
      <c r="N1929" s="81"/>
      <c r="O1929" s="29"/>
      <c r="P1929" s="134" t="s">
        <v>1107</v>
      </c>
    </row>
    <row r="1930" spans="1:16" hidden="1">
      <c r="A1930" s="144" t="s">
        <v>345</v>
      </c>
      <c r="B1930" s="29">
        <v>78503895</v>
      </c>
      <c r="C1930" s="29"/>
      <c r="E1930" s="29" t="s">
        <v>871</v>
      </c>
      <c r="F1930" s="29" t="s">
        <v>130</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345</v>
      </c>
      <c r="B1931" s="29">
        <v>78503944</v>
      </c>
      <c r="C1931" s="29"/>
      <c r="E1931" s="29" t="s">
        <v>871</v>
      </c>
      <c r="F1931" s="29" t="s">
        <v>130</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345</v>
      </c>
      <c r="B1932" s="29">
        <v>78504005</v>
      </c>
      <c r="C1932" s="29"/>
      <c r="E1932" s="29" t="s">
        <v>871</v>
      </c>
      <c r="F1932" s="29" t="s">
        <v>130</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345</v>
      </c>
      <c r="B1933" s="29">
        <v>78504026</v>
      </c>
      <c r="C1933" s="29"/>
      <c r="E1933" s="29" t="s">
        <v>871</v>
      </c>
      <c r="F1933" s="29" t="s">
        <v>130</v>
      </c>
      <c r="G1933" s="29" t="s">
        <v>38</v>
      </c>
      <c r="H1933" s="42">
        <v>45735</v>
      </c>
      <c r="I1933" s="130">
        <f t="shared" si="22"/>
        <v>45740</v>
      </c>
      <c r="J1933" s="130"/>
      <c r="K1933" s="130">
        <v>45737</v>
      </c>
      <c r="L1933" s="29" t="s">
        <v>663</v>
      </c>
      <c r="M1933" s="130"/>
      <c r="N1933" s="81"/>
      <c r="O1933" s="29"/>
      <c r="P1933" s="134" t="s">
        <v>1114</v>
      </c>
    </row>
    <row r="1934" spans="1:16" hidden="1">
      <c r="A1934" s="144" t="s">
        <v>345</v>
      </c>
      <c r="B1934" s="29">
        <v>78504105</v>
      </c>
      <c r="C1934" s="29"/>
      <c r="E1934" s="29" t="s">
        <v>871</v>
      </c>
      <c r="F1934" s="29" t="s">
        <v>130</v>
      </c>
      <c r="G1934" s="29" t="s">
        <v>38</v>
      </c>
      <c r="H1934" s="42">
        <v>45735</v>
      </c>
      <c r="I1934" s="130">
        <f t="shared" si="22"/>
        <v>45740</v>
      </c>
      <c r="J1934" s="130"/>
      <c r="K1934" s="130">
        <v>45737</v>
      </c>
      <c r="L1934" s="29" t="s">
        <v>663</v>
      </c>
      <c r="M1934" s="130"/>
      <c r="N1934" s="81"/>
      <c r="O1934" s="29"/>
      <c r="P1934" s="134" t="s">
        <v>1000</v>
      </c>
    </row>
    <row r="1935" spans="1:16" hidden="1">
      <c r="A1935" s="144" t="s">
        <v>345</v>
      </c>
      <c r="B1935" s="29">
        <v>78504276</v>
      </c>
      <c r="C1935" s="29"/>
      <c r="E1935" s="29" t="s">
        <v>871</v>
      </c>
      <c r="F1935" s="29" t="s">
        <v>130</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119</v>
      </c>
      <c r="G1936" s="29" t="s">
        <v>124</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119</v>
      </c>
      <c r="G1937" s="29" t="s">
        <v>124</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119</v>
      </c>
      <c r="G1938" s="29" t="s">
        <v>124</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119</v>
      </c>
      <c r="G1939" s="29" t="s">
        <v>124</v>
      </c>
      <c r="H1939" s="42">
        <v>45735</v>
      </c>
      <c r="I1939" s="130">
        <f t="shared" si="22"/>
        <v>45740</v>
      </c>
      <c r="J1939" s="130"/>
      <c r="K1939" s="130">
        <v>45742</v>
      </c>
      <c r="L1939" s="29" t="s">
        <v>663</v>
      </c>
      <c r="M1939" s="130"/>
      <c r="N1939" s="81"/>
      <c r="O1939" s="29"/>
    </row>
    <row r="1940" spans="1:16" hidden="1">
      <c r="A1940" s="144" t="s">
        <v>345</v>
      </c>
      <c r="B1940" s="29">
        <v>79505047</v>
      </c>
      <c r="C1940" s="29"/>
      <c r="E1940" s="29" t="s">
        <v>871</v>
      </c>
      <c r="F1940" s="29" t="s">
        <v>130</v>
      </c>
      <c r="G1940" s="29" t="s">
        <v>38</v>
      </c>
      <c r="H1940" s="130">
        <v>45736</v>
      </c>
      <c r="I1940" s="130">
        <f t="shared" si="22"/>
        <v>45741</v>
      </c>
      <c r="J1940" s="130"/>
      <c r="K1940" s="130">
        <v>45741</v>
      </c>
      <c r="L1940" s="29" t="s">
        <v>663</v>
      </c>
      <c r="M1940" s="130"/>
      <c r="N1940" s="81"/>
      <c r="O1940" s="29"/>
      <c r="P1940" s="134" t="s">
        <v>1117</v>
      </c>
    </row>
    <row r="1941" spans="1:16" hidden="1">
      <c r="A1941" s="144" t="s">
        <v>345</v>
      </c>
      <c r="B1941" s="29">
        <v>79505209</v>
      </c>
      <c r="C1941" s="29"/>
      <c r="E1941" s="29" t="s">
        <v>871</v>
      </c>
      <c r="F1941" s="29" t="s">
        <v>130</v>
      </c>
      <c r="G1941" s="29" t="s">
        <v>38</v>
      </c>
      <c r="H1941" s="130">
        <v>45736</v>
      </c>
      <c r="I1941" s="130">
        <f t="shared" si="22"/>
        <v>45741</v>
      </c>
      <c r="J1941" s="130"/>
      <c r="K1941" s="130">
        <v>45741</v>
      </c>
      <c r="L1941" s="29" t="s">
        <v>663</v>
      </c>
      <c r="M1941" s="130"/>
      <c r="N1941" s="81"/>
      <c r="O1941" s="29"/>
      <c r="P1941" s="134" t="s">
        <v>1118</v>
      </c>
    </row>
    <row r="1942" spans="1:16" hidden="1">
      <c r="A1942" s="144" t="s">
        <v>440</v>
      </c>
      <c r="B1942" s="29">
        <v>79505636</v>
      </c>
      <c r="C1942" s="29"/>
      <c r="E1942" s="29" t="s">
        <v>871</v>
      </c>
      <c r="F1942" s="29" t="s">
        <v>130</v>
      </c>
      <c r="G1942" s="29" t="s">
        <v>38</v>
      </c>
      <c r="H1942" s="130">
        <v>45736</v>
      </c>
      <c r="I1942" s="130">
        <f t="shared" si="22"/>
        <v>45741</v>
      </c>
      <c r="J1942" s="130"/>
      <c r="K1942" s="29"/>
      <c r="L1942" s="29" t="s">
        <v>663</v>
      </c>
      <c r="M1942" s="130"/>
      <c r="N1942" s="81"/>
      <c r="O1942" s="29"/>
    </row>
    <row r="1943" spans="1:16" hidden="1">
      <c r="A1943" s="144" t="s">
        <v>440</v>
      </c>
      <c r="B1943" s="29">
        <v>79505661</v>
      </c>
      <c r="C1943" s="29"/>
      <c r="E1943" s="29" t="s">
        <v>871</v>
      </c>
      <c r="F1943" s="29" t="s">
        <v>130</v>
      </c>
      <c r="G1943" s="29" t="s">
        <v>38</v>
      </c>
      <c r="H1943" s="130">
        <v>45736</v>
      </c>
      <c r="I1943" s="130">
        <f t="shared" si="22"/>
        <v>45741</v>
      </c>
      <c r="J1943" s="130"/>
      <c r="K1943" s="29"/>
      <c r="L1943" s="29" t="s">
        <v>663</v>
      </c>
      <c r="M1943" s="130"/>
      <c r="N1943" s="81"/>
      <c r="O1943" s="29"/>
    </row>
    <row r="1944" spans="1:16" hidden="1">
      <c r="A1944" s="144" t="s">
        <v>440</v>
      </c>
      <c r="B1944" s="29">
        <v>79505691</v>
      </c>
      <c r="C1944" s="29"/>
      <c r="E1944" s="29" t="s">
        <v>871</v>
      </c>
      <c r="F1944" s="29" t="s">
        <v>130</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130</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130</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130</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130</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130</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130</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130</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130</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130</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130</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130</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130</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130</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130</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130</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130</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130</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130</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130</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130</v>
      </c>
      <c r="G1964" s="29" t="s">
        <v>38</v>
      </c>
      <c r="H1964" s="130">
        <v>45740</v>
      </c>
      <c r="I1964" s="130">
        <f t="shared" si="23"/>
        <v>45743</v>
      </c>
      <c r="J1964" s="130"/>
      <c r="K1964" s="130">
        <v>45743</v>
      </c>
      <c r="L1964" s="29" t="s">
        <v>663</v>
      </c>
      <c r="M1964" s="130"/>
      <c r="N1964" s="81"/>
      <c r="O1964" s="29">
        <v>237</v>
      </c>
      <c r="P1964" s="133" t="s">
        <v>1122</v>
      </c>
    </row>
    <row r="1965" spans="1:16" hidden="1">
      <c r="A1965" s="144" t="s">
        <v>129</v>
      </c>
      <c r="B1965" s="29">
        <v>84501054</v>
      </c>
      <c r="C1965" s="29"/>
      <c r="E1965" s="29" t="s">
        <v>871</v>
      </c>
      <c r="F1965" s="29" t="s">
        <v>130</v>
      </c>
      <c r="G1965" s="29" t="s">
        <v>38</v>
      </c>
      <c r="H1965" s="130">
        <v>45741</v>
      </c>
      <c r="I1965" s="130">
        <f t="shared" si="23"/>
        <v>45744</v>
      </c>
      <c r="J1965" s="130"/>
      <c r="K1965" s="130">
        <v>45743</v>
      </c>
      <c r="L1965" s="29" t="s">
        <v>663</v>
      </c>
      <c r="M1965" s="130"/>
      <c r="N1965" s="81"/>
      <c r="O1965" s="29">
        <v>450</v>
      </c>
      <c r="P1965" s="133" t="s">
        <v>1123</v>
      </c>
    </row>
    <row r="1966" spans="1:16" hidden="1">
      <c r="A1966" s="144" t="s">
        <v>129</v>
      </c>
      <c r="B1966" s="29">
        <v>84501078</v>
      </c>
      <c r="C1966" s="29"/>
      <c r="E1966" s="29" t="s">
        <v>871</v>
      </c>
      <c r="F1966" s="29" t="s">
        <v>130</v>
      </c>
      <c r="G1966" s="29" t="s">
        <v>38</v>
      </c>
      <c r="H1966" s="130">
        <v>45741</v>
      </c>
      <c r="I1966" s="130">
        <f t="shared" si="23"/>
        <v>45744</v>
      </c>
      <c r="J1966" s="130"/>
      <c r="K1966" s="130">
        <v>45743</v>
      </c>
      <c r="L1966" s="29" t="s">
        <v>663</v>
      </c>
      <c r="M1966" s="130"/>
      <c r="N1966" s="81"/>
      <c r="O1966" s="29">
        <v>400</v>
      </c>
      <c r="P1966" s="133" t="s">
        <v>1123</v>
      </c>
    </row>
    <row r="1967" spans="1:16" hidden="1">
      <c r="A1967" s="144" t="s">
        <v>337</v>
      </c>
      <c r="B1967" s="29">
        <v>86501243</v>
      </c>
      <c r="C1967" s="29"/>
      <c r="E1967" s="29" t="s">
        <v>871</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871</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871</v>
      </c>
      <c r="F1969" s="29" t="s">
        <v>130</v>
      </c>
      <c r="G1969" s="29" t="s">
        <v>38</v>
      </c>
      <c r="H1969" s="130">
        <v>45743</v>
      </c>
      <c r="I1969" s="130">
        <f t="shared" si="23"/>
        <v>45748</v>
      </c>
      <c r="J1969" s="130"/>
      <c r="K1969" s="29"/>
      <c r="L1969" s="29" t="s">
        <v>663</v>
      </c>
      <c r="M1969" s="130"/>
      <c r="N1969" s="81"/>
      <c r="O1969" s="29">
        <v>300</v>
      </c>
    </row>
    <row r="1970" spans="1:15" hidden="1">
      <c r="A1970" s="144" t="s">
        <v>337</v>
      </c>
      <c r="B1970" s="29">
        <v>86501367</v>
      </c>
      <c r="C1970" s="29"/>
      <c r="E1970" s="29" t="s">
        <v>871</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871</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871</v>
      </c>
      <c r="F1972" s="29" t="s">
        <v>130</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130</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130</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130</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130</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130</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130</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130</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130</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130</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130</v>
      </c>
      <c r="G1982" s="29" t="s">
        <v>124</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130</v>
      </c>
      <c r="G1983" s="29" t="s">
        <v>124</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130</v>
      </c>
      <c r="G1984" s="29" t="s">
        <v>124</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130</v>
      </c>
      <c r="G1985" s="29" t="s">
        <v>124</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130</v>
      </c>
      <c r="G1986" s="29" t="s">
        <v>124</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130</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130</v>
      </c>
      <c r="G1988" s="29" t="s">
        <v>124</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130</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130</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130</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130</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130</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130</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130</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130</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130</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130</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130</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130</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130</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130</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130</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130</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130</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130</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130</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130</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130</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130</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130</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130</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130</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130</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130</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130</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130</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130</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130</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130</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130</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130</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130</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130</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130</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130</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130</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130</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130</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130</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130</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130</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130</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130</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130</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130</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130</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130</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130</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130</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130</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130</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130</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130</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130</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130</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130</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130</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130</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130</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130</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130</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130</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130</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130</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130</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130</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130</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130</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130</v>
      </c>
      <c r="G2060" s="29" t="s">
        <v>569</v>
      </c>
      <c r="H2060" s="130">
        <v>45764</v>
      </c>
      <c r="I2060" s="130">
        <f t="shared" si="24"/>
        <v>45769</v>
      </c>
      <c r="J2060" s="130"/>
      <c r="K2060" s="29"/>
      <c r="L2060" s="29" t="s">
        <v>1163</v>
      </c>
      <c r="M2060" s="29"/>
      <c r="N2060" s="81"/>
      <c r="O2060" s="160">
        <v>670</v>
      </c>
      <c r="P2060" s="134" t="s">
        <v>1162</v>
      </c>
    </row>
    <row r="2061" spans="1:16" hidden="1">
      <c r="A2061" s="144" t="s">
        <v>345</v>
      </c>
      <c r="B2061" s="29">
        <v>106500474</v>
      </c>
      <c r="C2061" s="29"/>
      <c r="E2061" s="29" t="s">
        <v>960</v>
      </c>
      <c r="F2061" s="29" t="s">
        <v>130</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345</v>
      </c>
      <c r="B2062" s="29">
        <v>93500953</v>
      </c>
      <c r="C2062" s="29"/>
      <c r="E2062" s="29" t="s">
        <v>960</v>
      </c>
      <c r="F2062" s="29" t="s">
        <v>130</v>
      </c>
      <c r="G2062" s="29" t="s">
        <v>38</v>
      </c>
      <c r="H2062" s="130">
        <v>45750</v>
      </c>
      <c r="I2062" s="130">
        <f t="shared" si="24"/>
        <v>45755</v>
      </c>
      <c r="J2062" s="130"/>
      <c r="K2062" s="29"/>
      <c r="L2062" s="29" t="s">
        <v>663</v>
      </c>
      <c r="M2062" s="130"/>
      <c r="N2062" s="148" t="s">
        <v>1167</v>
      </c>
      <c r="O2062" s="29">
        <v>210</v>
      </c>
      <c r="P2062" s="134" t="s">
        <v>1168</v>
      </c>
    </row>
    <row r="2063" spans="1:16" hidden="1">
      <c r="A2063" s="144" t="s">
        <v>345</v>
      </c>
      <c r="B2063" s="29">
        <v>98505401</v>
      </c>
      <c r="C2063" s="29"/>
      <c r="E2063" s="29" t="s">
        <v>960</v>
      </c>
      <c r="F2063" s="29" t="s">
        <v>130</v>
      </c>
      <c r="G2063" s="29" t="s">
        <v>38</v>
      </c>
      <c r="H2063" s="130">
        <v>45755</v>
      </c>
      <c r="I2063" s="130">
        <f t="shared" si="24"/>
        <v>45758</v>
      </c>
      <c r="J2063" s="130"/>
      <c r="K2063" s="29"/>
      <c r="L2063" s="29" t="s">
        <v>663</v>
      </c>
      <c r="M2063" s="130"/>
      <c r="N2063" s="81"/>
      <c r="O2063" s="29">
        <v>70</v>
      </c>
      <c r="P2063" s="134" t="s">
        <v>1169</v>
      </c>
    </row>
    <row r="2064" spans="1:16" hidden="1">
      <c r="A2064" s="144" t="s">
        <v>345</v>
      </c>
      <c r="B2064" s="29">
        <v>98505823</v>
      </c>
      <c r="C2064" s="29"/>
      <c r="E2064" s="29" t="s">
        <v>960</v>
      </c>
      <c r="F2064" s="29" t="s">
        <v>130</v>
      </c>
      <c r="G2064" s="29" t="s">
        <v>38</v>
      </c>
      <c r="H2064" s="130">
        <v>45755</v>
      </c>
      <c r="I2064" s="130">
        <f t="shared" si="24"/>
        <v>45758</v>
      </c>
      <c r="J2064" s="130"/>
      <c r="K2064" s="29"/>
      <c r="L2064" s="29" t="s">
        <v>663</v>
      </c>
      <c r="M2064" s="130"/>
      <c r="N2064" s="81"/>
      <c r="O2064" s="29">
        <v>165</v>
      </c>
    </row>
    <row r="2065" spans="1:16" hidden="1">
      <c r="A2065" s="144" t="s">
        <v>345</v>
      </c>
      <c r="B2065" s="29">
        <v>99501174</v>
      </c>
      <c r="C2065" s="29"/>
      <c r="E2065" s="29" t="s">
        <v>960</v>
      </c>
      <c r="F2065" s="29" t="s">
        <v>130</v>
      </c>
      <c r="G2065" s="29" t="s">
        <v>38</v>
      </c>
      <c r="H2065" s="130">
        <v>45756</v>
      </c>
      <c r="I2065" s="130">
        <f t="shared" si="24"/>
        <v>45761</v>
      </c>
      <c r="J2065" s="130"/>
      <c r="K2065" s="29"/>
      <c r="L2065" s="29" t="s">
        <v>663</v>
      </c>
      <c r="M2065" s="130"/>
      <c r="N2065" s="81" t="s">
        <v>1170</v>
      </c>
      <c r="O2065" s="29">
        <v>320</v>
      </c>
      <c r="P2065" s="169" t="s">
        <v>1171</v>
      </c>
    </row>
    <row r="2066" spans="1:16" hidden="1">
      <c r="A2066" s="144" t="s">
        <v>345</v>
      </c>
      <c r="B2066" s="29">
        <v>101502482</v>
      </c>
      <c r="C2066" s="29"/>
      <c r="E2066" s="29" t="s">
        <v>960</v>
      </c>
      <c r="F2066" s="29" t="s">
        <v>130</v>
      </c>
      <c r="G2066" s="29" t="s">
        <v>38</v>
      </c>
      <c r="H2066" s="130">
        <v>45758</v>
      </c>
      <c r="I2066" s="130">
        <f t="shared" si="24"/>
        <v>45763</v>
      </c>
      <c r="J2066" s="130"/>
      <c r="K2066" s="29"/>
      <c r="L2066" s="29" t="s">
        <v>663</v>
      </c>
      <c r="M2066" s="130"/>
      <c r="N2066" s="81" t="s">
        <v>1172</v>
      </c>
      <c r="O2066" s="29">
        <v>200</v>
      </c>
      <c r="P2066" s="134" t="s">
        <v>1173</v>
      </c>
    </row>
    <row r="2067" spans="1:16" hidden="1">
      <c r="A2067" s="144" t="s">
        <v>345</v>
      </c>
      <c r="B2067" s="29">
        <v>101503453</v>
      </c>
      <c r="C2067" s="29"/>
      <c r="E2067" s="29" t="s">
        <v>960</v>
      </c>
      <c r="F2067" s="29" t="s">
        <v>130</v>
      </c>
      <c r="G2067" s="29" t="s">
        <v>38</v>
      </c>
      <c r="H2067" s="130">
        <v>45758</v>
      </c>
      <c r="I2067" s="130">
        <f t="shared" si="24"/>
        <v>45763</v>
      </c>
      <c r="J2067" s="130"/>
      <c r="K2067" s="29"/>
      <c r="L2067" s="29" t="s">
        <v>663</v>
      </c>
      <c r="M2067" s="130"/>
      <c r="N2067" s="81" t="s">
        <v>1174</v>
      </c>
      <c r="O2067" s="29">
        <v>330</v>
      </c>
      <c r="P2067" s="134" t="s">
        <v>1175</v>
      </c>
    </row>
    <row r="2068" spans="1:16" hidden="1">
      <c r="A2068" s="144" t="s">
        <v>345</v>
      </c>
      <c r="B2068" s="29">
        <v>101503999</v>
      </c>
      <c r="C2068" s="29"/>
      <c r="E2068" s="29" t="s">
        <v>960</v>
      </c>
      <c r="F2068" s="29" t="s">
        <v>130</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345</v>
      </c>
      <c r="B2069" s="29">
        <v>106500950</v>
      </c>
      <c r="C2069" s="29"/>
      <c r="E2069" s="29"/>
      <c r="F2069" s="29" t="s">
        <v>130</v>
      </c>
      <c r="G2069" s="29" t="s">
        <v>38</v>
      </c>
      <c r="H2069" s="130">
        <v>45763</v>
      </c>
      <c r="I2069" s="130">
        <f t="shared" si="24"/>
        <v>45768</v>
      </c>
      <c r="J2069" s="130"/>
      <c r="K2069" s="29"/>
      <c r="L2069" s="29" t="s">
        <v>663</v>
      </c>
      <c r="M2069" s="130"/>
      <c r="N2069" s="81" t="s">
        <v>1178</v>
      </c>
      <c r="O2069" s="29">
        <v>345</v>
      </c>
      <c r="P2069" s="134" t="s">
        <v>1179</v>
      </c>
    </row>
    <row r="2070" spans="1:16" hidden="1">
      <c r="A2070" s="144" t="s">
        <v>345</v>
      </c>
      <c r="B2070" s="29">
        <v>107501877</v>
      </c>
      <c r="C2070" s="29"/>
      <c r="E2070" s="29" t="s">
        <v>960</v>
      </c>
      <c r="F2070" s="29" t="s">
        <v>130</v>
      </c>
      <c r="G2070" s="29" t="s">
        <v>38</v>
      </c>
      <c r="H2070" s="130">
        <v>45764</v>
      </c>
      <c r="I2070" s="130">
        <f t="shared" si="24"/>
        <v>45769</v>
      </c>
      <c r="J2070" s="130"/>
      <c r="K2070" s="29"/>
      <c r="L2070" s="29" t="s">
        <v>663</v>
      </c>
      <c r="M2070" s="130"/>
      <c r="N2070" s="81"/>
      <c r="O2070" s="29">
        <v>250</v>
      </c>
      <c r="P2070" s="134" t="s">
        <v>1180</v>
      </c>
    </row>
    <row r="2071" spans="1:16" hidden="1">
      <c r="A2071" s="144" t="s">
        <v>345</v>
      </c>
      <c r="B2071" s="29">
        <v>107502240</v>
      </c>
      <c r="C2071" s="29"/>
      <c r="E2071" s="29" t="s">
        <v>960</v>
      </c>
      <c r="F2071" s="29" t="s">
        <v>130</v>
      </c>
      <c r="G2071" s="29" t="s">
        <v>38</v>
      </c>
      <c r="H2071" s="130">
        <v>45764</v>
      </c>
      <c r="I2071" s="130">
        <f t="shared" si="24"/>
        <v>45769</v>
      </c>
      <c r="J2071" s="130"/>
      <c r="K2071" s="29"/>
      <c r="L2071" s="29" t="s">
        <v>663</v>
      </c>
      <c r="M2071" s="130"/>
      <c r="N2071" s="81"/>
      <c r="O2071" s="29">
        <v>100</v>
      </c>
      <c r="P2071" s="134" t="s">
        <v>1103</v>
      </c>
    </row>
    <row r="2072" spans="1:16" hidden="1">
      <c r="A2072" s="144" t="s">
        <v>345</v>
      </c>
      <c r="B2072" s="29">
        <v>111500938</v>
      </c>
      <c r="C2072" s="29"/>
      <c r="E2072" s="29" t="s">
        <v>960</v>
      </c>
      <c r="F2072" s="29" t="s">
        <v>130</v>
      </c>
      <c r="G2072" s="29" t="s">
        <v>38</v>
      </c>
      <c r="H2072" s="130">
        <v>45768</v>
      </c>
      <c r="I2072" s="130">
        <f t="shared" si="24"/>
        <v>45771</v>
      </c>
      <c r="J2072" s="130"/>
      <c r="K2072" s="29"/>
      <c r="L2072" s="29" t="s">
        <v>663</v>
      </c>
      <c r="M2072" s="130"/>
      <c r="N2072" s="81" t="s">
        <v>1181</v>
      </c>
      <c r="O2072" s="29">
        <v>160</v>
      </c>
      <c r="P2072" s="134" t="s">
        <v>1182</v>
      </c>
    </row>
    <row r="2073" spans="1:16" hidden="1">
      <c r="A2073" s="144" t="s">
        <v>345</v>
      </c>
      <c r="B2073" s="29">
        <v>111506803</v>
      </c>
      <c r="C2073" s="29"/>
      <c r="E2073" s="29" t="s">
        <v>960</v>
      </c>
      <c r="F2073" s="29" t="s">
        <v>130</v>
      </c>
      <c r="G2073" s="29" t="s">
        <v>38</v>
      </c>
      <c r="H2073" s="130">
        <v>45768</v>
      </c>
      <c r="I2073" s="130">
        <f t="shared" si="24"/>
        <v>45771</v>
      </c>
      <c r="J2073" s="130"/>
      <c r="K2073" s="29"/>
      <c r="L2073" s="29" t="s">
        <v>663</v>
      </c>
      <c r="M2073" s="130"/>
      <c r="N2073" s="81" t="s">
        <v>1176</v>
      </c>
      <c r="O2073" s="29">
        <v>200</v>
      </c>
      <c r="P2073" s="134" t="s">
        <v>1183</v>
      </c>
    </row>
    <row r="2074" spans="1:16" hidden="1">
      <c r="A2074" s="144" t="s">
        <v>345</v>
      </c>
      <c r="B2074" s="29">
        <v>111506867</v>
      </c>
      <c r="C2074" s="29"/>
      <c r="E2074" s="29" t="s">
        <v>960</v>
      </c>
      <c r="F2074" s="29" t="s">
        <v>130</v>
      </c>
      <c r="G2074" s="29" t="s">
        <v>38</v>
      </c>
      <c r="H2074" s="130">
        <v>45768</v>
      </c>
      <c r="I2074" s="130">
        <f t="shared" si="24"/>
        <v>45771</v>
      </c>
      <c r="J2074" s="130"/>
      <c r="K2074" s="29"/>
      <c r="L2074" s="29" t="s">
        <v>663</v>
      </c>
      <c r="M2074" s="130"/>
      <c r="N2074" s="81"/>
      <c r="O2074" s="29">
        <v>120</v>
      </c>
      <c r="P2074" s="134" t="s">
        <v>1184</v>
      </c>
    </row>
    <row r="2075" spans="1:16" hidden="1">
      <c r="A2075" s="144" t="s">
        <v>345</v>
      </c>
      <c r="B2075" s="29">
        <v>111506944</v>
      </c>
      <c r="C2075" s="29"/>
      <c r="E2075" s="29" t="s">
        <v>960</v>
      </c>
      <c r="F2075" s="29" t="s">
        <v>130</v>
      </c>
      <c r="G2075" s="29" t="s">
        <v>38</v>
      </c>
      <c r="H2075" s="130">
        <v>45768</v>
      </c>
      <c r="I2075" s="130">
        <f t="shared" si="24"/>
        <v>45771</v>
      </c>
      <c r="J2075" s="130"/>
      <c r="K2075" s="29"/>
      <c r="L2075" s="29" t="s">
        <v>663</v>
      </c>
      <c r="M2075" s="130"/>
      <c r="N2075" s="81"/>
      <c r="O2075" s="29">
        <v>260</v>
      </c>
      <c r="P2075" s="134" t="s">
        <v>1184</v>
      </c>
    </row>
    <row r="2076" spans="1:16" hidden="1">
      <c r="A2076" s="144" t="s">
        <v>345</v>
      </c>
      <c r="B2076" s="29">
        <v>118500711</v>
      </c>
      <c r="C2076" s="29"/>
      <c r="E2076" s="29" t="s">
        <v>960</v>
      </c>
      <c r="F2076" s="29" t="s">
        <v>130</v>
      </c>
      <c r="G2076" s="29" t="s">
        <v>38</v>
      </c>
      <c r="H2076" s="130">
        <v>45772</v>
      </c>
      <c r="I2076" s="130">
        <f t="shared" si="24"/>
        <v>45777</v>
      </c>
      <c r="J2076" s="130"/>
      <c r="K2076" s="29"/>
      <c r="L2076" s="29" t="s">
        <v>663</v>
      </c>
      <c r="M2076" s="130"/>
      <c r="N2076" s="81"/>
      <c r="O2076" s="160">
        <v>90</v>
      </c>
    </row>
    <row r="2077" spans="1:16" hidden="1">
      <c r="A2077" s="144" t="s">
        <v>345</v>
      </c>
      <c r="B2077" s="29">
        <v>118500746</v>
      </c>
      <c r="C2077" s="29"/>
      <c r="E2077" s="29" t="s">
        <v>960</v>
      </c>
      <c r="F2077" s="29" t="s">
        <v>130</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130</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130</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130</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130</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130</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130</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130</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130</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130</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130</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130</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130</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130</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130</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130</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130</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130</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130</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130</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130</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130</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130</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130</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130</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130</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130</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130</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130</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130</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130</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130</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130</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130</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130</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130</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130</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130</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130</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130</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130</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130</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130</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130</v>
      </c>
      <c r="G2120" s="29" t="s">
        <v>38</v>
      </c>
      <c r="H2120" s="130">
        <v>45757</v>
      </c>
      <c r="I2120" s="130">
        <f t="shared" si="25"/>
        <v>45762</v>
      </c>
      <c r="J2120" s="130"/>
      <c r="K2120" s="130">
        <v>45762</v>
      </c>
      <c r="L2120" s="29" t="s">
        <v>663</v>
      </c>
      <c r="M2120" s="130"/>
      <c r="N2120" s="81"/>
      <c r="O2120" s="29">
        <v>950</v>
      </c>
      <c r="P2120" s="134" t="s">
        <v>414</v>
      </c>
    </row>
    <row r="2121" spans="1:16" hidden="1">
      <c r="A2121" s="144" t="s">
        <v>1185</v>
      </c>
      <c r="B2121" s="29">
        <v>100502739</v>
      </c>
      <c r="C2121" s="29"/>
      <c r="E2121" s="29" t="s">
        <v>960</v>
      </c>
      <c r="F2121" s="29" t="s">
        <v>130</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130</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130</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130</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130</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130</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130</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130</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130</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130</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130</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130</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130</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130</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130</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130</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130</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130</v>
      </c>
      <c r="G2138" s="29" t="s">
        <v>38</v>
      </c>
      <c r="H2138" s="130">
        <v>45763</v>
      </c>
      <c r="I2138" s="130">
        <f t="shared" si="25"/>
        <v>45768</v>
      </c>
      <c r="J2138" s="130"/>
      <c r="K2138" s="29"/>
      <c r="L2138" s="29" t="s">
        <v>1159</v>
      </c>
      <c r="M2138" s="29"/>
      <c r="N2138" s="81"/>
      <c r="O2138" s="29">
        <v>575</v>
      </c>
      <c r="P2138" s="134" t="s">
        <v>1188</v>
      </c>
    </row>
    <row r="2139" spans="1:16" hidden="1">
      <c r="A2139" s="144" t="s">
        <v>345</v>
      </c>
      <c r="B2139" s="29">
        <v>111500902</v>
      </c>
      <c r="C2139" s="29"/>
      <c r="E2139" s="29" t="s">
        <v>960</v>
      </c>
      <c r="F2139" s="29" t="s">
        <v>130</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130</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130</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130</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130</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130</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130</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130</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130</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130</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130</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130</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130</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130</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130</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130</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130</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130</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130</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130</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130</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130</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130</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130</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130</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130</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130</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130</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130</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130</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130</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130</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130</v>
      </c>
      <c r="G2171" s="29" t="s">
        <v>38</v>
      </c>
      <c r="H2171" s="130">
        <v>45768</v>
      </c>
      <c r="I2171" s="130">
        <f t="shared" si="26"/>
        <v>45771</v>
      </c>
      <c r="J2171" s="130"/>
      <c r="K2171" s="29"/>
      <c r="L2171" s="29" t="s">
        <v>1159</v>
      </c>
      <c r="M2171" s="29"/>
      <c r="N2171" s="81"/>
      <c r="O2171" s="29">
        <v>140</v>
      </c>
      <c r="P2171" s="134" t="s">
        <v>1189</v>
      </c>
    </row>
    <row r="2172" spans="1:16" hidden="1">
      <c r="A2172" s="144" t="s">
        <v>345</v>
      </c>
      <c r="B2172" s="29">
        <v>107502870</v>
      </c>
      <c r="C2172" s="29"/>
      <c r="E2172" s="29" t="s">
        <v>960</v>
      </c>
      <c r="F2172" s="29" t="s">
        <v>130</v>
      </c>
      <c r="G2172" s="29" t="s">
        <v>38</v>
      </c>
      <c r="H2172" s="130">
        <v>45764</v>
      </c>
      <c r="I2172" s="130">
        <f t="shared" si="26"/>
        <v>45769</v>
      </c>
      <c r="J2172" s="130"/>
      <c r="K2172" s="29"/>
      <c r="L2172" s="29" t="s">
        <v>1159</v>
      </c>
      <c r="M2172" s="29"/>
      <c r="N2172" s="81" t="s">
        <v>1201</v>
      </c>
      <c r="O2172" s="29">
        <v>150</v>
      </c>
      <c r="P2172" s="134" t="s">
        <v>1202</v>
      </c>
    </row>
    <row r="2173" spans="1:16" hidden="1">
      <c r="A2173" s="144" t="s">
        <v>440</v>
      </c>
      <c r="B2173" s="29">
        <v>135502167</v>
      </c>
      <c r="C2173" s="29"/>
      <c r="E2173" s="29" t="s">
        <v>1203</v>
      </c>
      <c r="F2173" s="29" t="s">
        <v>130</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130</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130</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130</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130</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130</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130</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130</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130</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130</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130</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130</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130</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130</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130</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130</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130</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130</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130</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130</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130</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130</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130</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130</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130</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130</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130</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130</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130</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130</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130</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130</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130</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130</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130</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130</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130</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130</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130</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130</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130</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130</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130</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130</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130</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130</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130</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130</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130</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130</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130</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130</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130</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130</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130</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130</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130</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130</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130</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130</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130</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130</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130</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130</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130</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130</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130</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130</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130</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130</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130</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130</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130</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130</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130</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130</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130</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130</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130</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130</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130</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130</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130</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130</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130</v>
      </c>
      <c r="G2257" s="29" t="s">
        <v>38</v>
      </c>
      <c r="H2257" s="130">
        <v>45761</v>
      </c>
      <c r="I2257" s="130">
        <f t="shared" si="27"/>
        <v>45764</v>
      </c>
      <c r="J2257" s="130">
        <v>45791</v>
      </c>
      <c r="K2257" s="130">
        <v>45763</v>
      </c>
      <c r="L2257" s="29" t="s">
        <v>663</v>
      </c>
      <c r="M2257" s="130"/>
      <c r="N2257" s="81"/>
      <c r="O2257" s="29">
        <v>230</v>
      </c>
    </row>
    <row r="2258" spans="1:15" hidden="1">
      <c r="A2258" s="144" t="s">
        <v>483</v>
      </c>
      <c r="B2258" s="29">
        <v>104502093</v>
      </c>
      <c r="C2258" s="29"/>
      <c r="E2258" s="29" t="s">
        <v>960</v>
      </c>
      <c r="F2258" s="29" t="s">
        <v>130</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130</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130</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130</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130</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130</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130</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130</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130</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130</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130</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130</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130</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130</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130</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130</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130</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130</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130</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130</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130</v>
      </c>
      <c r="G2294" s="29" t="s">
        <v>38</v>
      </c>
      <c r="H2294" s="130">
        <v>45768</v>
      </c>
      <c r="I2294" s="130">
        <f t="shared" si="28"/>
        <v>45771</v>
      </c>
      <c r="J2294" s="130">
        <v>45798</v>
      </c>
      <c r="K2294" s="29"/>
      <c r="L2294" s="29" t="s">
        <v>1204</v>
      </c>
      <c r="M2294" s="130"/>
      <c r="N2294" s="81">
        <v>300</v>
      </c>
      <c r="O2294" s="144" t="s">
        <v>1204</v>
      </c>
    </row>
    <row r="2295" spans="1:15" hidden="1">
      <c r="A2295" s="144" t="s">
        <v>337</v>
      </c>
      <c r="B2295" s="29">
        <v>111506703</v>
      </c>
      <c r="C2295" s="29">
        <v>141500347</v>
      </c>
      <c r="D2295" s="29"/>
      <c r="E2295" s="29" t="s">
        <v>960</v>
      </c>
      <c r="F2295" s="29" t="s">
        <v>130</v>
      </c>
      <c r="G2295" s="29" t="s">
        <v>38</v>
      </c>
      <c r="H2295" s="130">
        <v>45768</v>
      </c>
      <c r="I2295" s="130">
        <f t="shared" si="28"/>
        <v>45771</v>
      </c>
      <c r="J2295" s="130">
        <v>45798</v>
      </c>
      <c r="K2295" s="29"/>
      <c r="L2295" s="29" t="s">
        <v>803</v>
      </c>
      <c r="M2295" s="130"/>
      <c r="N2295" s="81">
        <v>500</v>
      </c>
      <c r="O2295" s="144" t="s">
        <v>1204</v>
      </c>
    </row>
    <row r="2296" spans="1:15" hidden="1">
      <c r="A2296" s="144" t="s">
        <v>337</v>
      </c>
      <c r="B2296" s="29">
        <v>113500840</v>
      </c>
      <c r="C2296" s="29"/>
      <c r="D2296" s="29"/>
      <c r="E2296" s="29" t="s">
        <v>960</v>
      </c>
      <c r="F2296" s="29" t="s">
        <v>130</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130</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130</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130</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130</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130</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130</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130</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130</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130</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130</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130</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130</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130</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130</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130</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130</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130</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130</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130</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130</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130</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130</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130</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130</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130</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130</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130</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130</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130</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130</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130</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130</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130</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130</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130</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130</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130</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130</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130</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130</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130</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130</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130</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130</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130</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130</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130</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130</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130</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130</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130</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130</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130</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130</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130</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130</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130</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130</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130</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130</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130</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130</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130</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130</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130</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130</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130</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130</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130</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130</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130</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130</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130</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130</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130</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130</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130</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130</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130</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130</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130</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130</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130</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130</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130</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130</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130</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130</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130</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130</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130</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130</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130</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130</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130</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130</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130</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130</v>
      </c>
      <c r="G2412" s="29" t="s">
        <v>38</v>
      </c>
      <c r="H2412" s="130">
        <v>45791</v>
      </c>
      <c r="I2412" s="130">
        <f t="shared" si="30"/>
        <v>45796</v>
      </c>
      <c r="J2412" s="130">
        <v>45822</v>
      </c>
      <c r="K2412" s="130">
        <v>45797</v>
      </c>
      <c r="L2412" s="29" t="s">
        <v>663</v>
      </c>
      <c r="M2412" s="130"/>
      <c r="N2412" s="166">
        <v>315</v>
      </c>
      <c r="O2412" s="144" t="s">
        <v>414</v>
      </c>
    </row>
    <row r="2413" spans="1:15" hidden="1">
      <c r="A2413" s="144" t="s">
        <v>976</v>
      </c>
      <c r="B2413" s="29">
        <v>134502005</v>
      </c>
      <c r="C2413" s="29"/>
      <c r="D2413" s="29"/>
      <c r="E2413" s="29" t="s">
        <v>960</v>
      </c>
      <c r="F2413" s="29" t="s">
        <v>130</v>
      </c>
      <c r="G2413" s="29" t="s">
        <v>38</v>
      </c>
      <c r="H2413" s="130">
        <v>45791</v>
      </c>
      <c r="I2413" s="130">
        <f t="shared" si="30"/>
        <v>45796</v>
      </c>
      <c r="J2413" s="130">
        <v>45822</v>
      </c>
      <c r="K2413" s="130">
        <v>45797</v>
      </c>
      <c r="L2413" s="29" t="s">
        <v>663</v>
      </c>
      <c r="M2413" s="130"/>
      <c r="N2413" s="166">
        <v>50</v>
      </c>
      <c r="O2413" s="144" t="s">
        <v>414</v>
      </c>
    </row>
    <row r="2414" spans="1:15" hidden="1">
      <c r="A2414" s="144" t="s">
        <v>976</v>
      </c>
      <c r="B2414" s="29">
        <v>134502258</v>
      </c>
      <c r="C2414" s="29"/>
      <c r="D2414" s="29"/>
      <c r="E2414" s="29" t="s">
        <v>960</v>
      </c>
      <c r="F2414" s="29" t="s">
        <v>130</v>
      </c>
      <c r="G2414" s="29" t="s">
        <v>38</v>
      </c>
      <c r="H2414" s="130">
        <v>45791</v>
      </c>
      <c r="I2414" s="130">
        <f t="shared" si="30"/>
        <v>45796</v>
      </c>
      <c r="J2414" s="130">
        <v>45822</v>
      </c>
      <c r="K2414" s="130">
        <v>45797</v>
      </c>
      <c r="L2414" s="29" t="s">
        <v>663</v>
      </c>
      <c r="M2414" s="130"/>
      <c r="N2414" s="166">
        <v>375</v>
      </c>
      <c r="O2414" s="144" t="s">
        <v>414</v>
      </c>
    </row>
    <row r="2415" spans="1:15" hidden="1">
      <c r="A2415" s="129" t="s">
        <v>968</v>
      </c>
      <c r="B2415" s="29">
        <v>135507443</v>
      </c>
      <c r="C2415" s="29"/>
      <c r="D2415" s="29"/>
      <c r="E2415" s="29" t="s">
        <v>1215</v>
      </c>
      <c r="F2415" s="29" t="s">
        <v>130</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130</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130</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130</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130</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130</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130</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130</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130</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130</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130</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130</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130</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130</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130</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130</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130</v>
      </c>
      <c r="G2431" s="29" t="s">
        <v>38</v>
      </c>
      <c r="H2431" s="130">
        <v>45793</v>
      </c>
      <c r="I2431" s="130">
        <f t="shared" si="30"/>
        <v>45798</v>
      </c>
      <c r="J2431" s="130">
        <v>45824</v>
      </c>
      <c r="K2431" s="130">
        <v>45797</v>
      </c>
      <c r="L2431" s="29" t="s">
        <v>1204</v>
      </c>
      <c r="M2431" s="29"/>
      <c r="N2431" s="166">
        <v>580</v>
      </c>
      <c r="O2431" s="144" t="s">
        <v>1188</v>
      </c>
    </row>
    <row r="2432" spans="1:15" hidden="1">
      <c r="A2432" s="144" t="s">
        <v>345</v>
      </c>
      <c r="B2432" s="29">
        <v>139507590</v>
      </c>
      <c r="C2432" s="29"/>
      <c r="D2432" s="29"/>
      <c r="E2432" s="29" t="s">
        <v>1203</v>
      </c>
      <c r="F2432" s="29" t="s">
        <v>130</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130</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130</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130</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130</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130</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130</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130</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130</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130</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130</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130</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130</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130</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130</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130</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130</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130</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130</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130</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130</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130</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130</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130</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130</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130</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130</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130</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130</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130</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130</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130</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130</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130</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130</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130</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130</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130</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130</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130</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130</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130</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130</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130</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130</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130</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130</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130</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130</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130</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130</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130</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130</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130</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130</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130</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130</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130</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130</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130</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130</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130</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130</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130</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130</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130</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130</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130</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130</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130</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130</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130</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130</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130</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130</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130</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130</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130</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130</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130</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130</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130</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130</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130</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130</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130</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130</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130</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130</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130</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130</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130</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130</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130</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130</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130</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130</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130</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130</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130</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130</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130</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130</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130</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130</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130</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130</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130</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130</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130</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130</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130</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130</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130</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130</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130</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130</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130</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130</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130</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130</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130</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130</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130</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130</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130</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130</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130</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130</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130</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130</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130</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130</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130</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130</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130</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130</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130</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130</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130</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130</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130</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130</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130</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130</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130</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130</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130</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130</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130</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130</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130</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130</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130</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130</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130</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130</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130</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130</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130</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130</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130</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130</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130</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130</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130</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130</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130</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130</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130</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130</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130</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130</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130</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130</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130</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130</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130</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130</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130</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130</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130</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130</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130</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130</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130</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130</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130</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130</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130</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130</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130</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130</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130</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130</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130</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130</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130</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130</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130</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130</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130</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130</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130</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130</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130</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130</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130</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130</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130</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130</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130</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130</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213</v>
      </c>
      <c r="B2662" s="29">
        <v>198501371</v>
      </c>
      <c r="C2662" s="29"/>
      <c r="D2662" s="29"/>
      <c r="E2662" s="29" t="s">
        <v>960</v>
      </c>
      <c r="F2662" s="29" t="s">
        <v>130</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130</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130</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130</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130</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130</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130</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130</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130</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130</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130</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130</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130</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130</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130</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130</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130</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130</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130</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130</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130</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130</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130</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130</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130</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130</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130</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130</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130</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130</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130</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130</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130</v>
      </c>
      <c r="G2694" s="29" t="s">
        <v>38</v>
      </c>
      <c r="H2694" s="130">
        <v>45862</v>
      </c>
      <c r="I2694" s="130">
        <f t="shared" si="34"/>
        <v>45867</v>
      </c>
      <c r="J2694" s="130">
        <v>45893</v>
      </c>
      <c r="K2694" s="29"/>
      <c r="L2694" s="29" t="s">
        <v>663</v>
      </c>
      <c r="M2694" s="130"/>
      <c r="N2694" s="166">
        <v>500</v>
      </c>
    </row>
    <row r="2695" spans="1:14" hidden="1">
      <c r="A2695" s="144" t="s">
        <v>145</v>
      </c>
      <c r="B2695" s="29">
        <v>206503010</v>
      </c>
      <c r="C2695" s="29"/>
      <c r="D2695" s="29"/>
      <c r="E2695" s="29" t="s">
        <v>960</v>
      </c>
      <c r="F2695" s="29" t="s">
        <v>130</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130</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130</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337</v>
      </c>
      <c r="B2744" s="29">
        <v>220501746</v>
      </c>
      <c r="C2744" s="29"/>
      <c r="D2744" s="29"/>
      <c r="E2744" s="29" t="s">
        <v>960</v>
      </c>
      <c r="F2744" s="29" t="s">
        <v>130</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130</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130</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130</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130</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130</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130</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130</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130</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130</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130</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130</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130</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130</v>
      </c>
      <c r="G2786" s="29" t="s">
        <v>38</v>
      </c>
      <c r="H2786" s="130">
        <v>45910</v>
      </c>
      <c r="I2786" s="130">
        <f t="shared" si="36"/>
        <v>45915</v>
      </c>
      <c r="J2786" s="130">
        <v>45940</v>
      </c>
      <c r="K2786" s="29"/>
      <c r="L2786" s="29" t="s">
        <v>484</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130</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130</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130</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130</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130</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130</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130</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130</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130</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130</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130</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130</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130</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130</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130</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130</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130</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130</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130</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130</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130</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130</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130</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130</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130</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130</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130</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484</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484</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484</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484</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484</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130</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130</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130</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130</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130</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130</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130</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130</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130</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130</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130</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130</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130</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130</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130</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130</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130</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130</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130</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130</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130</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130</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130</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130</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130</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130</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130</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130</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130</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130</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130</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130</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130</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130</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130</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130</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130</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130</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130</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130</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130</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130</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130</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130</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130</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130</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130</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130</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130</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130</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130</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130</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130</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130</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130</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130</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130</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130</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130</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130</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130</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130</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130</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130</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130</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130</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130</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130</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130</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130</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130</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130</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130</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130</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130</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130</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130</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130</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130</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130</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130</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130</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130</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130</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130</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130</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130</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130</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130</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119</v>
      </c>
      <c r="G3576" s="29" t="s">
        <v>120</v>
      </c>
      <c r="H3576" s="29"/>
      <c r="I3576" s="29"/>
      <c r="J3576" s="29"/>
      <c r="K3576" s="29"/>
      <c r="L3576" s="29"/>
      <c r="M3576" s="29"/>
      <c r="N3576" s="166"/>
    </row>
    <row r="3577" spans="1:14" hidden="1">
      <c r="A3577" s="170" t="s">
        <v>1413</v>
      </c>
      <c r="B3577" s="88">
        <v>349501580</v>
      </c>
      <c r="C3577" s="29"/>
      <c r="D3577" s="29"/>
      <c r="E3577" s="29"/>
      <c r="F3577" s="29" t="s">
        <v>119</v>
      </c>
      <c r="G3577" s="29" t="s">
        <v>120</v>
      </c>
      <c r="H3577" s="29"/>
      <c r="I3577" s="29"/>
      <c r="J3577" s="29"/>
      <c r="K3577" s="29"/>
      <c r="L3577" s="29"/>
      <c r="M3577" s="29"/>
      <c r="N3577" s="166"/>
    </row>
    <row r="3578" spans="1:14" hidden="1">
      <c r="A3578" s="170" t="s">
        <v>1413</v>
      </c>
      <c r="B3578" s="88">
        <v>349501603</v>
      </c>
      <c r="C3578" s="29"/>
      <c r="D3578" s="29"/>
      <c r="E3578" s="29"/>
      <c r="F3578" s="29" t="s">
        <v>119</v>
      </c>
      <c r="G3578" s="29" t="s">
        <v>120</v>
      </c>
      <c r="H3578" s="29"/>
      <c r="I3578" s="29"/>
      <c r="J3578" s="29"/>
      <c r="K3578" s="29"/>
      <c r="L3578" s="29"/>
      <c r="M3578" s="29"/>
      <c r="N3578" s="166"/>
    </row>
    <row r="3579" spans="1:14" hidden="1">
      <c r="A3579" s="170" t="s">
        <v>1414</v>
      </c>
      <c r="B3579" s="174" t="s">
        <v>1415</v>
      </c>
      <c r="C3579" s="29"/>
      <c r="D3579" s="29"/>
      <c r="E3579" s="29"/>
      <c r="F3579" s="29" t="s">
        <v>119</v>
      </c>
      <c r="G3579" s="29" t="s">
        <v>120</v>
      </c>
      <c r="H3579" s="130">
        <v>46027</v>
      </c>
      <c r="I3579" s="130">
        <v>46031</v>
      </c>
      <c r="J3579" s="130">
        <v>46057</v>
      </c>
      <c r="K3579" s="29"/>
      <c r="L3579" s="29" t="s">
        <v>9</v>
      </c>
      <c r="M3579" s="130"/>
      <c r="N3579" s="166"/>
    </row>
    <row r="3580" spans="1:14" hidden="1">
      <c r="A3580" s="170" t="s">
        <v>1414</v>
      </c>
      <c r="B3580" s="88" t="s">
        <v>1416</v>
      </c>
      <c r="C3580" s="29"/>
      <c r="D3580" s="29"/>
      <c r="E3580" s="29"/>
      <c r="F3580" s="29" t="s">
        <v>119</v>
      </c>
      <c r="G3580" s="29" t="s">
        <v>120</v>
      </c>
      <c r="H3580" s="130">
        <v>46027</v>
      </c>
      <c r="I3580" s="130">
        <v>46031</v>
      </c>
      <c r="J3580" s="130">
        <v>46057</v>
      </c>
      <c r="K3580" s="29"/>
      <c r="L3580" s="29" t="s">
        <v>9</v>
      </c>
      <c r="M3580" s="130"/>
      <c r="N3580" s="166"/>
    </row>
    <row r="3581" spans="1:14" hidden="1">
      <c r="A3581" s="170" t="s">
        <v>1414</v>
      </c>
      <c r="B3581" s="88" t="s">
        <v>1417</v>
      </c>
      <c r="C3581" s="29"/>
      <c r="D3581" s="29"/>
      <c r="E3581" s="29"/>
      <c r="F3581" s="29" t="s">
        <v>119</v>
      </c>
      <c r="G3581" s="29" t="s">
        <v>120</v>
      </c>
      <c r="H3581" s="130">
        <v>46027</v>
      </c>
      <c r="I3581" s="130">
        <v>46031</v>
      </c>
      <c r="J3581" s="130">
        <v>46057</v>
      </c>
      <c r="K3581" s="29"/>
      <c r="L3581" s="29" t="s">
        <v>9</v>
      </c>
      <c r="M3581" s="130"/>
      <c r="N3581" s="166"/>
    </row>
    <row r="3582" spans="1:14" hidden="1">
      <c r="A3582" s="170" t="s">
        <v>1418</v>
      </c>
      <c r="B3582" s="88" t="s">
        <v>1419</v>
      </c>
      <c r="C3582" s="29"/>
      <c r="D3582" s="29"/>
      <c r="E3582" s="29"/>
      <c r="F3582" s="29" t="s">
        <v>119</v>
      </c>
      <c r="G3582" s="29" t="s">
        <v>120</v>
      </c>
      <c r="H3582" s="130">
        <v>46027</v>
      </c>
      <c r="I3582" s="130">
        <v>46031</v>
      </c>
      <c r="J3582" s="130">
        <v>46057</v>
      </c>
      <c r="K3582" s="29"/>
      <c r="L3582" s="29" t="s">
        <v>9</v>
      </c>
      <c r="M3582" s="130"/>
      <c r="N3582" s="166"/>
    </row>
    <row r="3583" spans="1:14" hidden="1">
      <c r="A3583" s="170" t="s">
        <v>1418</v>
      </c>
      <c r="B3583" s="88" t="s">
        <v>1420</v>
      </c>
      <c r="C3583" s="29"/>
      <c r="D3583" s="29"/>
      <c r="E3583" s="29"/>
      <c r="F3583" s="29" t="s">
        <v>119</v>
      </c>
      <c r="G3583" s="29" t="s">
        <v>120</v>
      </c>
      <c r="H3583" s="130">
        <v>46027</v>
      </c>
      <c r="I3583" s="130">
        <v>46031</v>
      </c>
      <c r="J3583" s="130">
        <v>46057</v>
      </c>
      <c r="K3583" s="29"/>
      <c r="L3583" s="29" t="s">
        <v>9</v>
      </c>
      <c r="M3583" s="130"/>
      <c r="N3583" s="166"/>
    </row>
    <row r="3584" spans="1:14" hidden="1">
      <c r="A3584" s="170" t="s">
        <v>1418</v>
      </c>
      <c r="B3584" s="88" t="s">
        <v>1421</v>
      </c>
      <c r="C3584" s="29"/>
      <c r="D3584" s="29"/>
      <c r="E3584" s="29"/>
      <c r="F3584" s="29" t="s">
        <v>119</v>
      </c>
      <c r="G3584" s="29" t="s">
        <v>120</v>
      </c>
      <c r="H3584" s="130">
        <v>46027</v>
      </c>
      <c r="I3584" s="130">
        <v>46031</v>
      </c>
      <c r="J3584" s="130">
        <v>46057</v>
      </c>
      <c r="K3584" s="29"/>
      <c r="L3584" s="29" t="s">
        <v>9</v>
      </c>
      <c r="M3584" s="130"/>
      <c r="N3584" s="166"/>
    </row>
    <row r="3585" spans="1:14" hidden="1">
      <c r="A3585" s="170" t="s">
        <v>1418</v>
      </c>
      <c r="B3585" s="88" t="s">
        <v>1422</v>
      </c>
      <c r="C3585" s="29"/>
      <c r="D3585" s="29"/>
      <c r="E3585" s="29"/>
      <c r="F3585" s="29" t="s">
        <v>119</v>
      </c>
      <c r="G3585" s="29" t="s">
        <v>120</v>
      </c>
      <c r="H3585" s="130">
        <v>46027</v>
      </c>
      <c r="I3585" s="130">
        <v>46031</v>
      </c>
      <c r="J3585" s="130">
        <v>46057</v>
      </c>
      <c r="K3585" s="29"/>
      <c r="L3585" s="29" t="s">
        <v>9</v>
      </c>
      <c r="M3585" s="130"/>
      <c r="N3585" s="166"/>
    </row>
    <row r="3586" spans="1:14" hidden="1">
      <c r="A3586" s="170" t="s">
        <v>1418</v>
      </c>
      <c r="B3586" s="88" t="s">
        <v>1423</v>
      </c>
      <c r="C3586" s="29"/>
      <c r="D3586" s="29"/>
      <c r="E3586" s="29"/>
      <c r="F3586" s="29" t="s">
        <v>119</v>
      </c>
      <c r="G3586" s="29" t="s">
        <v>120</v>
      </c>
      <c r="H3586" s="130">
        <v>46027</v>
      </c>
      <c r="I3586" s="130">
        <v>46031</v>
      </c>
      <c r="J3586" s="130">
        <v>46057</v>
      </c>
      <c r="K3586" s="29"/>
      <c r="L3586" s="29" t="s">
        <v>9</v>
      </c>
      <c r="M3586" s="130"/>
      <c r="N3586" s="166"/>
    </row>
    <row r="3587" spans="1:14" hidden="1">
      <c r="A3587" s="170" t="s">
        <v>1418</v>
      </c>
      <c r="B3587" s="88" t="s">
        <v>1424</v>
      </c>
      <c r="C3587" s="29"/>
      <c r="D3587" s="29"/>
      <c r="E3587" s="29"/>
      <c r="F3587" s="29" t="s">
        <v>119</v>
      </c>
      <c r="G3587" s="29" t="s">
        <v>120</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120</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120</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120</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120</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120</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130</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441</v>
      </c>
      <c r="B3625" s="88" t="s">
        <v>1468</v>
      </c>
      <c r="C3625" s="29"/>
      <c r="D3625" s="29"/>
      <c r="E3625" s="29" t="s">
        <v>59</v>
      </c>
      <c r="F3625" s="29" t="s">
        <v>130</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130</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130</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130</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130</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130</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130</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130</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130</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130</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130</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130</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130</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130</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130</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130</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130</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130</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130</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130</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130</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130</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130</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130</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130</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130</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130</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130</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130</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130</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130</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130</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130</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130</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130</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130</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130</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130</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130</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130</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130</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130</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130</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130</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130</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130</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130</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130</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130</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130</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130</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130</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130</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130</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130</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130</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130</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130</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130</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130</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130</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130</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130</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130</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130</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130</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130</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130</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130</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1757</v>
      </c>
      <c r="D27" s="9">
        <v>45674</v>
      </c>
      <c r="E27" s="10" t="s">
        <v>438</v>
      </c>
      <c r="F27" s="10"/>
    </row>
    <row r="28" spans="1:6" ht="39.75" customHeight="1">
      <c r="A28" s="10" t="s">
        <v>345</v>
      </c>
      <c r="B28" s="10">
        <v>17507045</v>
      </c>
      <c r="C28" s="10" t="s">
        <v>1757</v>
      </c>
      <c r="D28" s="9">
        <v>45674</v>
      </c>
      <c r="E28" s="10" t="s">
        <v>438</v>
      </c>
      <c r="F28" s="10"/>
    </row>
    <row r="29" spans="1:6" ht="39.75" customHeight="1">
      <c r="A29" s="10" t="s">
        <v>345</v>
      </c>
      <c r="B29" s="10">
        <v>17507052</v>
      </c>
      <c r="C29" s="10" t="s">
        <v>1757</v>
      </c>
      <c r="D29" s="9">
        <v>45674</v>
      </c>
      <c r="E29" s="10" t="s">
        <v>438</v>
      </c>
      <c r="F29" s="10"/>
    </row>
    <row r="30" spans="1:6" ht="39.75" customHeight="1">
      <c r="A30" s="10" t="s">
        <v>345</v>
      </c>
      <c r="B30" s="10">
        <v>17507041</v>
      </c>
      <c r="C30" s="10" t="s">
        <v>1757</v>
      </c>
      <c r="D30" s="9">
        <v>45674</v>
      </c>
      <c r="E30" s="10" t="s">
        <v>438</v>
      </c>
      <c r="F30" s="10"/>
    </row>
    <row r="31" spans="1:6" ht="39.75" customHeight="1">
      <c r="A31" s="10" t="s">
        <v>345</v>
      </c>
      <c r="B31" s="10">
        <v>17507047</v>
      </c>
      <c r="C31" s="10" t="s">
        <v>1757</v>
      </c>
      <c r="D31" s="9">
        <v>45674</v>
      </c>
      <c r="E31" s="10" t="s">
        <v>438</v>
      </c>
      <c r="F31" s="10"/>
    </row>
    <row r="32" spans="1:6" ht="39.75" customHeight="1">
      <c r="A32" s="10" t="s">
        <v>345</v>
      </c>
      <c r="B32" s="10">
        <v>17507044</v>
      </c>
      <c r="C32" s="10" t="s">
        <v>1757</v>
      </c>
      <c r="D32" s="9">
        <v>45674</v>
      </c>
      <c r="E32" s="10" t="s">
        <v>438</v>
      </c>
      <c r="F32" s="10"/>
    </row>
    <row r="33" spans="1:6" ht="39.75" customHeight="1">
      <c r="A33" s="10" t="s">
        <v>345</v>
      </c>
      <c r="B33" s="10">
        <v>18500390</v>
      </c>
      <c r="C33" s="10" t="s">
        <v>1757</v>
      </c>
      <c r="D33" s="9">
        <v>45674</v>
      </c>
      <c r="E33" s="10" t="s">
        <v>438</v>
      </c>
      <c r="F33" s="10"/>
    </row>
    <row r="34" spans="1:6" ht="39.75" customHeight="1">
      <c r="A34" s="10" t="s">
        <v>345</v>
      </c>
      <c r="B34" s="10">
        <v>18500398</v>
      </c>
      <c r="C34" s="10" t="s">
        <v>1757</v>
      </c>
      <c r="D34" s="9">
        <v>45674</v>
      </c>
      <c r="E34" s="10" t="s">
        <v>438</v>
      </c>
      <c r="F34" s="10"/>
    </row>
    <row r="35" spans="1:6" ht="39.75" customHeight="1">
      <c r="A35" s="10" t="s">
        <v>345</v>
      </c>
      <c r="B35" s="10">
        <v>18500403</v>
      </c>
      <c r="C35" s="10" t="s">
        <v>1757</v>
      </c>
      <c r="D35" s="9">
        <v>45674</v>
      </c>
      <c r="E35" s="10" t="s">
        <v>438</v>
      </c>
      <c r="F35" s="10"/>
    </row>
    <row r="36" spans="1:6" ht="39.75" customHeight="1">
      <c r="A36" s="10" t="s">
        <v>255</v>
      </c>
      <c r="B36" s="10">
        <v>18500300</v>
      </c>
      <c r="C36" s="10" t="s">
        <v>1757</v>
      </c>
      <c r="D36" s="9">
        <v>45675</v>
      </c>
      <c r="E36" s="10" t="s">
        <v>256</v>
      </c>
      <c r="F36" s="10"/>
    </row>
    <row r="37" spans="1:6" ht="39.75" customHeight="1">
      <c r="A37" s="10" t="s">
        <v>255</v>
      </c>
      <c r="B37" s="10">
        <v>18500282</v>
      </c>
      <c r="C37" s="10" t="s">
        <v>1757</v>
      </c>
      <c r="D37" s="9">
        <v>45675</v>
      </c>
      <c r="E37" s="10" t="s">
        <v>256</v>
      </c>
      <c r="F37" s="10"/>
    </row>
    <row r="38" spans="1:6" ht="39.75" customHeight="1">
      <c r="A38" s="10" t="s">
        <v>255</v>
      </c>
      <c r="B38" s="10">
        <v>18500294</v>
      </c>
      <c r="C38" s="10" t="s">
        <v>1757</v>
      </c>
      <c r="D38" s="9">
        <v>45675</v>
      </c>
      <c r="E38" s="10" t="s">
        <v>256</v>
      </c>
      <c r="F38" s="10"/>
    </row>
    <row r="39" spans="1:6" ht="39.75" customHeight="1">
      <c r="A39" s="10" t="s">
        <v>255</v>
      </c>
      <c r="B39" s="10">
        <v>18500272</v>
      </c>
      <c r="C39" s="10" t="s">
        <v>1757</v>
      </c>
      <c r="D39" s="9">
        <v>45675</v>
      </c>
      <c r="E39" s="10" t="s">
        <v>256</v>
      </c>
      <c r="F39" s="10"/>
    </row>
    <row r="40" spans="1:6" ht="39.75" customHeight="1">
      <c r="A40" s="10" t="s">
        <v>255</v>
      </c>
      <c r="B40" s="10">
        <v>18500276</v>
      </c>
      <c r="C40" s="10" t="s">
        <v>1757</v>
      </c>
      <c r="D40" s="9">
        <v>45675</v>
      </c>
      <c r="E40" s="10" t="s">
        <v>256</v>
      </c>
      <c r="F40" s="10"/>
    </row>
    <row r="41" spans="1:6" ht="39.75" customHeight="1">
      <c r="A41" s="10" t="s">
        <v>439</v>
      </c>
      <c r="B41" s="10">
        <v>18500450</v>
      </c>
      <c r="C41" s="10" t="s">
        <v>1757</v>
      </c>
      <c r="D41" s="9">
        <v>45675</v>
      </c>
      <c r="E41" s="10" t="s">
        <v>256</v>
      </c>
      <c r="F41" s="10"/>
    </row>
    <row r="42" spans="1:6" ht="39.75" customHeight="1">
      <c r="A42" s="10" t="s">
        <v>439</v>
      </c>
      <c r="B42" s="10">
        <v>18500435</v>
      </c>
      <c r="C42" s="10" t="s">
        <v>1757</v>
      </c>
      <c r="D42" s="9">
        <v>45675</v>
      </c>
      <c r="E42" s="10" t="s">
        <v>256</v>
      </c>
      <c r="F42" s="10"/>
    </row>
    <row r="43" spans="1:6" ht="39.75" customHeight="1">
      <c r="A43" s="10" t="s">
        <v>439</v>
      </c>
      <c r="B43" s="10">
        <v>18500418</v>
      </c>
      <c r="C43" s="10" t="s">
        <v>1757</v>
      </c>
      <c r="D43" s="9">
        <v>45675</v>
      </c>
      <c r="E43" s="10" t="s">
        <v>256</v>
      </c>
      <c r="F43" s="10"/>
    </row>
    <row r="44" spans="1:6" ht="39.75" customHeight="1">
      <c r="A44" s="10" t="s">
        <v>439</v>
      </c>
      <c r="B44" s="10">
        <v>18500457</v>
      </c>
      <c r="C44" s="10" t="s">
        <v>1757</v>
      </c>
      <c r="D44" s="9">
        <v>45675</v>
      </c>
      <c r="E44" s="10" t="s">
        <v>256</v>
      </c>
      <c r="F44" s="10"/>
    </row>
    <row r="45" spans="1:6" ht="39.75" customHeight="1">
      <c r="A45" s="10" t="s">
        <v>345</v>
      </c>
      <c r="B45" s="10">
        <v>18500404</v>
      </c>
      <c r="C45" s="10" t="s">
        <v>1757</v>
      </c>
      <c r="D45" s="9">
        <v>45675</v>
      </c>
      <c r="E45" s="10" t="s">
        <v>438</v>
      </c>
      <c r="F45" s="10"/>
    </row>
    <row r="46" spans="1:6" ht="39.75" customHeight="1">
      <c r="A46" s="10" t="s">
        <v>345</v>
      </c>
      <c r="B46" s="10">
        <v>18500420</v>
      </c>
      <c r="C46" s="10" t="s">
        <v>1757</v>
      </c>
      <c r="D46" s="9">
        <v>45675</v>
      </c>
      <c r="E46" s="10" t="s">
        <v>438</v>
      </c>
      <c r="F46" s="10"/>
    </row>
    <row r="47" spans="1:6" ht="39.75" customHeight="1">
      <c r="A47" s="10" t="s">
        <v>345</v>
      </c>
      <c r="B47" s="10">
        <v>18500460</v>
      </c>
      <c r="C47" s="10" t="s">
        <v>1757</v>
      </c>
      <c r="D47" s="9">
        <v>45675</v>
      </c>
      <c r="E47" s="10" t="s">
        <v>438</v>
      </c>
      <c r="F47" s="10"/>
    </row>
    <row r="48" spans="1:6" ht="39.75" customHeight="1">
      <c r="A48" s="10" t="s">
        <v>345</v>
      </c>
      <c r="B48" s="10">
        <v>18500464</v>
      </c>
      <c r="C48" s="10" t="s">
        <v>1757</v>
      </c>
      <c r="D48" s="9">
        <v>45675</v>
      </c>
      <c r="E48" s="10" t="s">
        <v>438</v>
      </c>
      <c r="F48" s="10"/>
    </row>
    <row r="49" spans="1:6" ht="39.75" customHeight="1">
      <c r="A49" s="10" t="s">
        <v>345</v>
      </c>
      <c r="B49" s="10">
        <v>18500456</v>
      </c>
      <c r="C49" s="10" t="s">
        <v>1757</v>
      </c>
      <c r="D49" s="9">
        <v>45675</v>
      </c>
      <c r="E49" s="10" t="s">
        <v>438</v>
      </c>
      <c r="F49" s="10"/>
    </row>
    <row r="50" spans="1:6" ht="39.75" customHeight="1">
      <c r="A50" s="10" t="s">
        <v>440</v>
      </c>
      <c r="B50" s="10">
        <v>18500500</v>
      </c>
      <c r="C50" s="10" t="s">
        <v>1757</v>
      </c>
      <c r="D50" s="9">
        <v>45675</v>
      </c>
      <c r="E50" s="10" t="s">
        <v>438</v>
      </c>
      <c r="F50" s="10"/>
    </row>
    <row r="51" spans="1:6" ht="39.75" customHeight="1">
      <c r="A51" s="10" t="s">
        <v>440</v>
      </c>
      <c r="B51" s="10">
        <v>18500497</v>
      </c>
      <c r="C51" s="10" t="s">
        <v>1757</v>
      </c>
      <c r="D51" s="9">
        <v>45675</v>
      </c>
      <c r="E51" s="10" t="s">
        <v>438</v>
      </c>
      <c r="F51" s="10"/>
    </row>
    <row r="52" spans="1:6" ht="39.75" customHeight="1">
      <c r="A52" s="10" t="s">
        <v>440</v>
      </c>
      <c r="B52" s="10">
        <v>18500494</v>
      </c>
      <c r="C52" s="10" t="s">
        <v>1757</v>
      </c>
      <c r="D52" s="9">
        <v>45675</v>
      </c>
      <c r="E52" s="10" t="s">
        <v>438</v>
      </c>
      <c r="F52" s="10"/>
    </row>
    <row r="53" spans="1:6" ht="39.75" customHeight="1">
      <c r="A53" s="10" t="s">
        <v>440</v>
      </c>
      <c r="B53" s="10">
        <v>18500492</v>
      </c>
      <c r="C53" s="10" t="s">
        <v>1757</v>
      </c>
      <c r="D53" s="9">
        <v>45675</v>
      </c>
      <c r="E53" s="10" t="s">
        <v>438</v>
      </c>
      <c r="F53" s="10"/>
    </row>
    <row r="54" spans="1:6" ht="39.75" customHeight="1">
      <c r="A54" s="10" t="s">
        <v>440</v>
      </c>
      <c r="B54" s="10">
        <v>18500484</v>
      </c>
      <c r="C54" s="10" t="s">
        <v>1757</v>
      </c>
      <c r="D54" s="9">
        <v>45675</v>
      </c>
      <c r="E54" s="10" t="s">
        <v>438</v>
      </c>
      <c r="F54" s="10"/>
    </row>
    <row r="55" spans="1:6" ht="39.75" customHeight="1">
      <c r="A55" s="10" t="s">
        <v>440</v>
      </c>
      <c r="B55" s="10">
        <v>18500512</v>
      </c>
      <c r="C55" s="10" t="s">
        <v>1757</v>
      </c>
      <c r="D55" s="9">
        <v>45675</v>
      </c>
      <c r="E55" s="10" t="s">
        <v>438</v>
      </c>
      <c r="F55" s="10"/>
    </row>
    <row r="56" spans="1:6" ht="39.75" customHeight="1">
      <c r="A56" s="10" t="s">
        <v>440</v>
      </c>
      <c r="B56" s="10">
        <v>18500511</v>
      </c>
      <c r="C56" s="10" t="s">
        <v>1757</v>
      </c>
      <c r="D56" s="9">
        <v>45675</v>
      </c>
      <c r="E56" s="10" t="s">
        <v>438</v>
      </c>
      <c r="F56" s="10"/>
    </row>
    <row r="57" spans="1:6" ht="39.75" customHeight="1">
      <c r="A57" s="10" t="s">
        <v>440</v>
      </c>
      <c r="B57" s="10">
        <v>18500510</v>
      </c>
      <c r="C57" s="10" t="s">
        <v>1757</v>
      </c>
      <c r="D57" s="9">
        <v>45675</v>
      </c>
      <c r="E57" s="10" t="s">
        <v>438</v>
      </c>
      <c r="F57" s="10"/>
    </row>
    <row r="58" spans="1:6" ht="39.75" customHeight="1">
      <c r="A58" s="10" t="s">
        <v>440</v>
      </c>
      <c r="B58" s="10">
        <v>18500507</v>
      </c>
      <c r="C58" s="10" t="s">
        <v>1757</v>
      </c>
      <c r="D58" s="9">
        <v>45675</v>
      </c>
      <c r="E58" s="10" t="s">
        <v>438</v>
      </c>
      <c r="F58" s="10"/>
    </row>
    <row r="59" spans="1:6" ht="39.75" customHeight="1">
      <c r="A59" s="12" t="s">
        <v>441</v>
      </c>
      <c r="B59" s="10">
        <v>21507573</v>
      </c>
      <c r="C59" s="10" t="s">
        <v>1758</v>
      </c>
      <c r="D59" s="9">
        <v>45679</v>
      </c>
      <c r="E59" s="10" t="s">
        <v>256</v>
      </c>
      <c r="F59" s="10"/>
    </row>
    <row r="60" spans="1:6" ht="39.75" customHeight="1">
      <c r="A60" s="12" t="s">
        <v>441</v>
      </c>
      <c r="B60" s="10">
        <v>21507579</v>
      </c>
      <c r="C60" s="10" t="s">
        <v>1758</v>
      </c>
      <c r="D60" s="9">
        <v>45679</v>
      </c>
      <c r="E60" s="10" t="s">
        <v>256</v>
      </c>
      <c r="F60" s="10"/>
    </row>
    <row r="61" spans="1:6" ht="39.75" customHeight="1">
      <c r="A61" s="12" t="s">
        <v>441</v>
      </c>
      <c r="B61" s="10">
        <v>21507599</v>
      </c>
      <c r="C61" s="10" t="s">
        <v>1758</v>
      </c>
      <c r="D61" s="9">
        <v>45679</v>
      </c>
      <c r="E61" s="10" t="s">
        <v>256</v>
      </c>
      <c r="F61" s="10"/>
    </row>
    <row r="62" spans="1:6" ht="39.75" customHeight="1">
      <c r="A62" s="12" t="s">
        <v>441</v>
      </c>
      <c r="B62" s="10">
        <v>22500644</v>
      </c>
      <c r="C62" s="10" t="s">
        <v>1758</v>
      </c>
      <c r="D62" s="9">
        <v>45679</v>
      </c>
      <c r="E62" s="10" t="s">
        <v>256</v>
      </c>
      <c r="F62" s="10"/>
    </row>
    <row r="63" spans="1:6" ht="39.75" customHeight="1">
      <c r="A63" s="12" t="s">
        <v>255</v>
      </c>
      <c r="B63" s="10">
        <v>21507602</v>
      </c>
      <c r="C63" s="10" t="s">
        <v>1758</v>
      </c>
      <c r="D63" s="9">
        <v>45679</v>
      </c>
      <c r="E63" s="10" t="s">
        <v>1759</v>
      </c>
      <c r="F63" s="10"/>
    </row>
    <row r="64" spans="1:6" ht="39.75" customHeight="1">
      <c r="A64" s="12" t="s">
        <v>255</v>
      </c>
      <c r="B64" s="10">
        <v>22500600</v>
      </c>
      <c r="C64" s="10" t="s">
        <v>1758</v>
      </c>
      <c r="D64" s="9">
        <v>45679</v>
      </c>
      <c r="E64" s="10" t="s">
        <v>1759</v>
      </c>
      <c r="F64" s="10"/>
    </row>
    <row r="65" spans="1:6" ht="39.75" customHeight="1">
      <c r="A65" s="12" t="s">
        <v>255</v>
      </c>
      <c r="B65" s="10">
        <v>22500667</v>
      </c>
      <c r="C65" s="10" t="s">
        <v>1758</v>
      </c>
      <c r="D65" s="9">
        <v>45679</v>
      </c>
      <c r="E65" s="10" t="s">
        <v>1759</v>
      </c>
      <c r="F65" s="10"/>
    </row>
    <row r="66" spans="1:6" ht="39.75" customHeight="1">
      <c r="A66" s="12" t="s">
        <v>255</v>
      </c>
      <c r="B66" s="10">
        <v>22500718</v>
      </c>
      <c r="C66" s="10" t="s">
        <v>1758</v>
      </c>
      <c r="D66" s="9">
        <v>45679</v>
      </c>
      <c r="E66" s="10" t="s">
        <v>1759</v>
      </c>
      <c r="F66" s="10"/>
    </row>
    <row r="67" spans="1:6" ht="39.75" customHeight="1">
      <c r="A67" s="12" t="s">
        <v>345</v>
      </c>
      <c r="B67" s="14">
        <v>23507043</v>
      </c>
      <c r="C67" s="10" t="s">
        <v>1758</v>
      </c>
      <c r="D67" s="9">
        <v>45680</v>
      </c>
      <c r="E67" s="10" t="s">
        <v>1759</v>
      </c>
      <c r="F67" s="10"/>
    </row>
    <row r="68" spans="1:6" ht="39.75" customHeight="1">
      <c r="A68" s="12" t="s">
        <v>345</v>
      </c>
      <c r="B68" s="14">
        <v>23507048</v>
      </c>
      <c r="C68" s="10" t="s">
        <v>1758</v>
      </c>
      <c r="D68" s="9">
        <v>45680</v>
      </c>
      <c r="E68" s="10" t="s">
        <v>1759</v>
      </c>
      <c r="F68" s="10"/>
    </row>
    <row r="69" spans="1:6" ht="39.75" customHeight="1">
      <c r="A69" s="12" t="s">
        <v>345</v>
      </c>
      <c r="B69" s="14">
        <v>23507056</v>
      </c>
      <c r="C69" s="10" t="s">
        <v>1758</v>
      </c>
      <c r="D69" s="9">
        <v>45680</v>
      </c>
      <c r="E69" s="10" t="s">
        <v>1759</v>
      </c>
      <c r="F69" s="10"/>
    </row>
    <row r="70" spans="1:6" ht="39.75" customHeight="1">
      <c r="A70" s="12" t="s">
        <v>345</v>
      </c>
      <c r="B70" s="14">
        <v>23507059</v>
      </c>
      <c r="C70" s="10" t="s">
        <v>1758</v>
      </c>
      <c r="D70" s="9">
        <v>45680</v>
      </c>
      <c r="E70" s="10" t="s">
        <v>1759</v>
      </c>
      <c r="F70" s="10"/>
    </row>
    <row r="71" spans="1:6" ht="39.75" customHeight="1">
      <c r="A71" s="12" t="s">
        <v>345</v>
      </c>
      <c r="B71" s="14">
        <v>23507062</v>
      </c>
      <c r="C71" s="10" t="s">
        <v>1758</v>
      </c>
      <c r="D71" s="9">
        <v>45680</v>
      </c>
      <c r="E71" s="10" t="s">
        <v>1759</v>
      </c>
      <c r="F71" s="10"/>
    </row>
    <row r="72" spans="1:6" ht="39.75" customHeight="1">
      <c r="A72" s="12" t="s">
        <v>345</v>
      </c>
      <c r="B72" s="14">
        <v>23507159</v>
      </c>
      <c r="C72" s="10" t="s">
        <v>1758</v>
      </c>
      <c r="D72" s="9">
        <v>45680</v>
      </c>
      <c r="E72" s="10" t="s">
        <v>1759</v>
      </c>
      <c r="F72" s="10"/>
    </row>
    <row r="73" spans="1:6" ht="39.75" customHeight="1">
      <c r="A73" s="12" t="s">
        <v>345</v>
      </c>
      <c r="B73" s="14">
        <v>23507163</v>
      </c>
      <c r="C73" s="10" t="s">
        <v>1758</v>
      </c>
      <c r="D73" s="9">
        <v>45680</v>
      </c>
      <c r="E73" s="10" t="s">
        <v>1759</v>
      </c>
      <c r="F73" s="10"/>
    </row>
    <row r="74" spans="1:6" ht="39.75" customHeight="1">
      <c r="A74" s="12" t="s">
        <v>345</v>
      </c>
      <c r="B74" s="14">
        <v>23507171</v>
      </c>
      <c r="C74" s="10" t="s">
        <v>1758</v>
      </c>
      <c r="D74" s="9">
        <v>45680</v>
      </c>
      <c r="E74" s="10" t="s">
        <v>1759</v>
      </c>
      <c r="F74" s="10"/>
    </row>
    <row r="75" spans="1:6" ht="39.75" customHeight="1">
      <c r="A75" s="12" t="s">
        <v>345</v>
      </c>
      <c r="B75" s="14">
        <v>23507179</v>
      </c>
      <c r="C75" s="10" t="s">
        <v>1758</v>
      </c>
      <c r="D75" s="9">
        <v>45680</v>
      </c>
      <c r="E75" s="10" t="s">
        <v>1759</v>
      </c>
      <c r="F75" s="10"/>
    </row>
    <row r="76" spans="1:6" ht="39.75" customHeight="1">
      <c r="A76" s="12" t="s">
        <v>345</v>
      </c>
      <c r="B76" s="14">
        <v>23507191</v>
      </c>
      <c r="C76" s="10" t="s">
        <v>1758</v>
      </c>
      <c r="D76" s="9">
        <v>45680</v>
      </c>
      <c r="E76" s="10" t="s">
        <v>1759</v>
      </c>
      <c r="F76" s="10"/>
    </row>
    <row r="77" spans="1:6" ht="39.75" customHeight="1">
      <c r="A77" s="12" t="s">
        <v>345</v>
      </c>
      <c r="B77" s="14">
        <v>23507136</v>
      </c>
      <c r="C77" s="10" t="s">
        <v>1758</v>
      </c>
      <c r="D77" s="9">
        <v>45680</v>
      </c>
      <c r="E77" s="10" t="s">
        <v>1759</v>
      </c>
      <c r="F77" s="10"/>
    </row>
    <row r="78" spans="1:6" ht="39.75" customHeight="1">
      <c r="A78" s="12" t="s">
        <v>345</v>
      </c>
      <c r="B78" s="14">
        <v>23507151</v>
      </c>
      <c r="C78" s="10" t="s">
        <v>1758</v>
      </c>
      <c r="D78" s="9">
        <v>45680</v>
      </c>
      <c r="E78" s="10" t="s">
        <v>1759</v>
      </c>
      <c r="F78" s="10"/>
    </row>
    <row r="79" spans="1:6" ht="39.75" customHeight="1">
      <c r="A79" s="12" t="s">
        <v>345</v>
      </c>
      <c r="B79" s="14">
        <v>23507194</v>
      </c>
      <c r="C79" s="10" t="s">
        <v>1758</v>
      </c>
      <c r="D79" s="9">
        <v>45680</v>
      </c>
      <c r="E79" s="10" t="s">
        <v>1759</v>
      </c>
      <c r="F79" s="10"/>
    </row>
    <row r="80" spans="1:6" ht="39.75" customHeight="1">
      <c r="A80" s="12" t="s">
        <v>345</v>
      </c>
      <c r="B80" s="14">
        <v>23506914</v>
      </c>
      <c r="C80" s="10" t="s">
        <v>1758</v>
      </c>
      <c r="D80" s="9">
        <v>45680</v>
      </c>
      <c r="E80" s="10" t="s">
        <v>1759</v>
      </c>
      <c r="F80" s="10"/>
    </row>
    <row r="81" spans="1:6" ht="39.75" customHeight="1">
      <c r="A81" s="12" t="s">
        <v>345</v>
      </c>
      <c r="B81" s="14">
        <v>23506922</v>
      </c>
      <c r="C81" s="10" t="s">
        <v>1758</v>
      </c>
      <c r="D81" s="9">
        <v>45680</v>
      </c>
      <c r="E81" s="10" t="s">
        <v>1759</v>
      </c>
      <c r="F81" s="10"/>
    </row>
    <row r="82" spans="1:6" ht="39.75" customHeight="1">
      <c r="A82" s="12" t="s">
        <v>345</v>
      </c>
      <c r="B82" s="14">
        <v>23507031</v>
      </c>
      <c r="C82" s="10" t="s">
        <v>1758</v>
      </c>
      <c r="D82" s="9">
        <v>45680</v>
      </c>
      <c r="E82" s="10" t="s">
        <v>1759</v>
      </c>
      <c r="F82" s="10"/>
    </row>
    <row r="83" spans="1:6" ht="39.75" customHeight="1">
      <c r="A83" s="12" t="s">
        <v>345</v>
      </c>
      <c r="B83" s="14">
        <v>23506945</v>
      </c>
      <c r="C83" s="10" t="s">
        <v>1758</v>
      </c>
      <c r="D83" s="9">
        <v>45680</v>
      </c>
      <c r="E83" s="10" t="s">
        <v>1759</v>
      </c>
      <c r="F83" s="10"/>
    </row>
    <row r="84" spans="1:6" ht="39.75" customHeight="1">
      <c r="A84" s="12" t="s">
        <v>345</v>
      </c>
      <c r="B84" s="14">
        <v>23507034</v>
      </c>
      <c r="C84" s="10" t="s">
        <v>1758</v>
      </c>
      <c r="D84" s="9">
        <v>45680</v>
      </c>
      <c r="E84" s="10" t="s">
        <v>1759</v>
      </c>
      <c r="F84" s="10"/>
    </row>
    <row r="85" spans="1:6" ht="39.75" customHeight="1">
      <c r="A85" s="12" t="s">
        <v>345</v>
      </c>
      <c r="B85" s="14">
        <v>23507035</v>
      </c>
      <c r="C85" s="10" t="s">
        <v>1758</v>
      </c>
      <c r="D85" s="9">
        <v>45680</v>
      </c>
      <c r="E85" s="10" t="s">
        <v>1759</v>
      </c>
      <c r="F85" s="10"/>
    </row>
    <row r="86" spans="1:6" ht="39.75" customHeight="1">
      <c r="A86" s="12" t="s">
        <v>345</v>
      </c>
      <c r="B86" s="14">
        <v>23507066</v>
      </c>
      <c r="C86" s="10" t="s">
        <v>1758</v>
      </c>
      <c r="D86" s="9">
        <v>45680</v>
      </c>
      <c r="E86" s="10" t="s">
        <v>1759</v>
      </c>
      <c r="F86" s="10"/>
    </row>
    <row r="87" spans="1:6" ht="39.75" customHeight="1">
      <c r="A87" s="12" t="s">
        <v>345</v>
      </c>
      <c r="B87" s="14">
        <v>23507071</v>
      </c>
      <c r="C87" s="10" t="s">
        <v>1758</v>
      </c>
      <c r="D87" s="9">
        <v>45680</v>
      </c>
      <c r="E87" s="10" t="s">
        <v>1759</v>
      </c>
      <c r="F87" s="10"/>
    </row>
    <row r="88" spans="1:6" ht="39.75" customHeight="1">
      <c r="A88" s="12" t="s">
        <v>345</v>
      </c>
      <c r="B88" s="14">
        <v>23507082</v>
      </c>
      <c r="C88" s="10" t="s">
        <v>1758</v>
      </c>
      <c r="D88" s="9">
        <v>45680</v>
      </c>
      <c r="E88" s="10" t="s">
        <v>1759</v>
      </c>
      <c r="F88" s="10"/>
    </row>
    <row r="89" spans="1:6" ht="39.75" customHeight="1">
      <c r="A89" s="12" t="s">
        <v>345</v>
      </c>
      <c r="B89" s="14">
        <v>23507111</v>
      </c>
      <c r="C89" s="10" t="s">
        <v>1758</v>
      </c>
      <c r="D89" s="9">
        <v>45680</v>
      </c>
      <c r="E89" s="10" t="s">
        <v>1759</v>
      </c>
      <c r="F89" s="10"/>
    </row>
    <row r="90" spans="1:6" ht="39.75" customHeight="1">
      <c r="A90" s="12" t="s">
        <v>345</v>
      </c>
      <c r="B90" s="14">
        <v>23507030</v>
      </c>
      <c r="C90" s="10" t="s">
        <v>1758</v>
      </c>
      <c r="D90" s="9">
        <v>45680</v>
      </c>
      <c r="E90" s="10" t="s">
        <v>1759</v>
      </c>
      <c r="F90" s="10"/>
    </row>
    <row r="91" spans="1:6" ht="39.75" customHeight="1">
      <c r="A91" s="12" t="s">
        <v>345</v>
      </c>
      <c r="B91" s="14">
        <v>23507088</v>
      </c>
      <c r="C91" s="10" t="s">
        <v>1758</v>
      </c>
      <c r="D91" s="9">
        <v>45680</v>
      </c>
      <c r="E91" s="10" t="s">
        <v>1759</v>
      </c>
      <c r="F91" s="10"/>
    </row>
    <row r="92" spans="1:6" ht="39.75" customHeight="1">
      <c r="A92" s="12" t="s">
        <v>345</v>
      </c>
      <c r="B92" s="14">
        <v>23507092</v>
      </c>
      <c r="C92" s="10" t="s">
        <v>1758</v>
      </c>
      <c r="D92" s="9">
        <v>45680</v>
      </c>
      <c r="E92" s="10" t="s">
        <v>1759</v>
      </c>
      <c r="F92" s="10"/>
    </row>
    <row r="93" spans="1:6" ht="39.75" customHeight="1">
      <c r="A93" s="12" t="s">
        <v>345</v>
      </c>
      <c r="B93" s="14">
        <v>23507096</v>
      </c>
      <c r="C93" s="10" t="s">
        <v>1758</v>
      </c>
      <c r="D93" s="9">
        <v>45680</v>
      </c>
      <c r="E93" s="10" t="s">
        <v>1759</v>
      </c>
      <c r="F93" s="10"/>
    </row>
    <row r="94" spans="1:6" ht="39.75" customHeight="1">
      <c r="A94" s="12" t="s">
        <v>345</v>
      </c>
      <c r="B94" s="14">
        <v>23507104</v>
      </c>
      <c r="C94" s="10" t="s">
        <v>1758</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1758</v>
      </c>
      <c r="D147" s="9">
        <v>45688</v>
      </c>
      <c r="E147" s="10" t="s">
        <v>214</v>
      </c>
      <c r="F147" s="10"/>
    </row>
    <row r="148" spans="1:6" ht="39.75" customHeight="1">
      <c r="A148" s="12" t="s">
        <v>453</v>
      </c>
      <c r="B148" s="10">
        <v>31500022</v>
      </c>
      <c r="C148" s="10" t="s">
        <v>1758</v>
      </c>
      <c r="D148" s="9">
        <v>45688</v>
      </c>
      <c r="E148" s="10" t="s">
        <v>214</v>
      </c>
      <c r="F148" s="10"/>
    </row>
    <row r="149" spans="1:6" ht="39.75" customHeight="1">
      <c r="A149" s="12" t="s">
        <v>453</v>
      </c>
      <c r="B149" s="10">
        <v>31500023</v>
      </c>
      <c r="C149" s="10" t="s">
        <v>1758</v>
      </c>
      <c r="D149" s="9">
        <v>45688</v>
      </c>
      <c r="E149" s="10" t="s">
        <v>214</v>
      </c>
      <c r="F149" s="10"/>
    </row>
    <row r="150" spans="1:6" ht="39.75" customHeight="1">
      <c r="A150" s="12" t="s">
        <v>453</v>
      </c>
      <c r="B150" s="10">
        <v>31500025</v>
      </c>
      <c r="C150" s="10" t="s">
        <v>1758</v>
      </c>
      <c r="D150" s="9">
        <v>45688</v>
      </c>
      <c r="E150" s="10" t="s">
        <v>214</v>
      </c>
      <c r="F150" s="10"/>
    </row>
    <row r="151" spans="1:6" ht="39.75" customHeight="1">
      <c r="A151" s="12" t="s">
        <v>453</v>
      </c>
      <c r="B151" s="10">
        <v>31500028</v>
      </c>
      <c r="C151" s="10" t="s">
        <v>1758</v>
      </c>
      <c r="D151" s="9">
        <v>45688</v>
      </c>
      <c r="E151" s="10" t="s">
        <v>214</v>
      </c>
      <c r="F151" s="10"/>
    </row>
    <row r="152" spans="1:6" ht="39.75" customHeight="1">
      <c r="A152" s="12" t="s">
        <v>453</v>
      </c>
      <c r="B152" s="10">
        <v>31500031</v>
      </c>
      <c r="C152" s="10" t="s">
        <v>1758</v>
      </c>
      <c r="D152" s="9">
        <v>45688</v>
      </c>
      <c r="E152" s="10" t="s">
        <v>214</v>
      </c>
      <c r="F152" s="10"/>
    </row>
    <row r="153" spans="1:6" ht="39.75" customHeight="1">
      <c r="A153" s="12" t="s">
        <v>453</v>
      </c>
      <c r="B153" s="10">
        <v>31500033</v>
      </c>
      <c r="C153" s="10" t="s">
        <v>1758</v>
      </c>
      <c r="D153" s="9">
        <v>45688</v>
      </c>
      <c r="E153" s="10" t="s">
        <v>214</v>
      </c>
      <c r="F153" s="10"/>
    </row>
    <row r="154" spans="1:6" ht="39.75" customHeight="1">
      <c r="A154" s="12" t="s">
        <v>453</v>
      </c>
      <c r="B154" s="10">
        <v>31500035</v>
      </c>
      <c r="C154" s="10" t="s">
        <v>1758</v>
      </c>
      <c r="D154" s="9">
        <v>45688</v>
      </c>
      <c r="E154" s="10" t="s">
        <v>214</v>
      </c>
      <c r="F154" s="10"/>
    </row>
    <row r="155" spans="1:6" ht="39.75" customHeight="1">
      <c r="A155" s="12" t="s">
        <v>453</v>
      </c>
      <c r="B155" s="10">
        <v>31500036</v>
      </c>
      <c r="C155" s="10" t="s">
        <v>1758</v>
      </c>
      <c r="D155" s="9">
        <v>45688</v>
      </c>
      <c r="E155" s="10" t="s">
        <v>214</v>
      </c>
      <c r="F155" s="10"/>
    </row>
    <row r="156" spans="1:6" ht="39.75" customHeight="1">
      <c r="A156" s="12" t="s">
        <v>453</v>
      </c>
      <c r="B156" s="10">
        <v>31500037</v>
      </c>
      <c r="C156" s="10" t="s">
        <v>1758</v>
      </c>
      <c r="D156" s="9">
        <v>45688</v>
      </c>
      <c r="E156" s="10" t="s">
        <v>214</v>
      </c>
      <c r="F156" s="10"/>
    </row>
    <row r="157" spans="1:6" ht="39.75" customHeight="1">
      <c r="A157" s="12" t="s">
        <v>453</v>
      </c>
      <c r="B157" s="10">
        <v>31500038</v>
      </c>
      <c r="C157" s="10" t="s">
        <v>1758</v>
      </c>
      <c r="D157" s="9">
        <v>45688</v>
      </c>
      <c r="E157" s="10" t="s">
        <v>214</v>
      </c>
      <c r="F157" s="10"/>
    </row>
    <row r="158" spans="1:6" ht="39.75" customHeight="1">
      <c r="A158" s="12" t="s">
        <v>453</v>
      </c>
      <c r="B158" s="10">
        <v>31500039</v>
      </c>
      <c r="C158" s="10" t="s">
        <v>1758</v>
      </c>
      <c r="D158" s="9">
        <v>45688</v>
      </c>
      <c r="E158" s="10" t="s">
        <v>214</v>
      </c>
      <c r="F158" s="10"/>
    </row>
    <row r="159" spans="1:6" ht="39.75" customHeight="1">
      <c r="A159" s="12" t="s">
        <v>453</v>
      </c>
      <c r="B159" s="10">
        <v>31500040</v>
      </c>
      <c r="C159" s="10" t="s">
        <v>1758</v>
      </c>
      <c r="D159" s="9">
        <v>45688</v>
      </c>
      <c r="E159" s="10" t="s">
        <v>214</v>
      </c>
      <c r="F159" s="10"/>
    </row>
    <row r="160" spans="1:6" ht="39.75" customHeight="1">
      <c r="A160" s="12" t="s">
        <v>453</v>
      </c>
      <c r="B160" s="10">
        <v>31500041</v>
      </c>
      <c r="C160" s="10" t="s">
        <v>1758</v>
      </c>
      <c r="D160" s="9">
        <v>45688</v>
      </c>
      <c r="E160" s="10" t="s">
        <v>214</v>
      </c>
      <c r="F160" s="10"/>
    </row>
    <row r="161" spans="1:6" ht="39.75" customHeight="1">
      <c r="A161" s="12" t="s">
        <v>453</v>
      </c>
      <c r="B161" s="10">
        <v>31500042</v>
      </c>
      <c r="C161" s="10" t="s">
        <v>1758</v>
      </c>
      <c r="D161" s="9">
        <v>45688</v>
      </c>
      <c r="E161" s="10" t="s">
        <v>214</v>
      </c>
      <c r="F161" s="10"/>
    </row>
    <row r="162" spans="1:6" ht="39.75" customHeight="1">
      <c r="A162" s="12" t="s">
        <v>453</v>
      </c>
      <c r="B162" s="10">
        <v>31500043</v>
      </c>
      <c r="C162" s="10" t="s">
        <v>1758</v>
      </c>
      <c r="D162" s="9">
        <v>45688</v>
      </c>
      <c r="E162" s="10" t="s">
        <v>214</v>
      </c>
      <c r="F162" s="10"/>
    </row>
    <row r="163" spans="1:6" ht="39.75" customHeight="1">
      <c r="A163" s="12" t="s">
        <v>453</v>
      </c>
      <c r="B163" s="10">
        <v>31500044</v>
      </c>
      <c r="C163" s="10" t="s">
        <v>1758</v>
      </c>
      <c r="D163" s="9">
        <v>45688</v>
      </c>
      <c r="E163" s="10" t="s">
        <v>214</v>
      </c>
      <c r="F163" s="10"/>
    </row>
    <row r="164" spans="1:6" ht="39.75" customHeight="1">
      <c r="A164" s="12" t="s">
        <v>453</v>
      </c>
      <c r="B164" s="10">
        <v>31500045</v>
      </c>
      <c r="C164" s="10" t="s">
        <v>1758</v>
      </c>
      <c r="D164" s="9">
        <v>45688</v>
      </c>
      <c r="E164" s="10" t="s">
        <v>214</v>
      </c>
      <c r="F164" s="10"/>
    </row>
    <row r="165" spans="1:6" ht="39.75" customHeight="1">
      <c r="A165" s="12" t="s">
        <v>453</v>
      </c>
      <c r="B165" s="10">
        <v>31500046</v>
      </c>
      <c r="C165" s="10" t="s">
        <v>1758</v>
      </c>
      <c r="D165" s="9">
        <v>45688</v>
      </c>
      <c r="E165" s="10" t="s">
        <v>214</v>
      </c>
      <c r="F165" s="10"/>
    </row>
    <row r="166" spans="1:6" ht="39.75" customHeight="1">
      <c r="A166" s="12" t="s">
        <v>453</v>
      </c>
      <c r="B166" s="10">
        <v>31500047</v>
      </c>
      <c r="C166" s="10" t="s">
        <v>1758</v>
      </c>
      <c r="D166" s="9">
        <v>45688</v>
      </c>
      <c r="E166" s="10" t="s">
        <v>214</v>
      </c>
      <c r="F166" s="10"/>
    </row>
    <row r="167" spans="1:6" ht="39.75" customHeight="1">
      <c r="A167" s="12" t="s">
        <v>453</v>
      </c>
      <c r="B167" s="10">
        <v>31500048</v>
      </c>
      <c r="C167" s="10" t="s">
        <v>1758</v>
      </c>
      <c r="D167" s="9">
        <v>45688</v>
      </c>
      <c r="E167" s="10" t="s">
        <v>214</v>
      </c>
      <c r="F167" s="10"/>
    </row>
    <row r="168" spans="1:6" ht="39.75" customHeight="1">
      <c r="A168" s="12" t="s">
        <v>453</v>
      </c>
      <c r="B168" s="10">
        <v>31500049</v>
      </c>
      <c r="C168" s="10" t="s">
        <v>1758</v>
      </c>
      <c r="D168" s="9">
        <v>45688</v>
      </c>
      <c r="E168" s="10" t="s">
        <v>214</v>
      </c>
      <c r="F168" s="10"/>
    </row>
    <row r="169" spans="1:6" ht="39.75" customHeight="1">
      <c r="A169" s="12" t="s">
        <v>453</v>
      </c>
      <c r="B169" s="10">
        <v>31500051</v>
      </c>
      <c r="C169" s="10" t="s">
        <v>1758</v>
      </c>
      <c r="D169" s="9">
        <v>45688</v>
      </c>
      <c r="E169" s="10" t="s">
        <v>214</v>
      </c>
      <c r="F169" s="10"/>
    </row>
    <row r="170" spans="1:6" ht="39.75" customHeight="1">
      <c r="A170" s="12" t="s">
        <v>453</v>
      </c>
      <c r="B170" s="10">
        <v>31500052</v>
      </c>
      <c r="C170" s="10" t="s">
        <v>1758</v>
      </c>
      <c r="D170" s="9">
        <v>45688</v>
      </c>
      <c r="E170" s="10" t="s">
        <v>214</v>
      </c>
      <c r="F170" s="10"/>
    </row>
    <row r="171" spans="1:6" ht="39.75" customHeight="1">
      <c r="A171" s="12" t="s">
        <v>453</v>
      </c>
      <c r="B171" s="10">
        <v>31500053</v>
      </c>
      <c r="C171" s="10" t="s">
        <v>1758</v>
      </c>
      <c r="D171" s="9">
        <v>45688</v>
      </c>
      <c r="E171" s="10" t="s">
        <v>214</v>
      </c>
      <c r="F171" s="10"/>
    </row>
    <row r="172" spans="1:6" ht="39.75" customHeight="1">
      <c r="A172" s="12" t="s">
        <v>453</v>
      </c>
      <c r="B172" s="10">
        <v>31500054</v>
      </c>
      <c r="C172" s="10" t="s">
        <v>1758</v>
      </c>
      <c r="D172" s="9">
        <v>45688</v>
      </c>
      <c r="E172" s="10" t="s">
        <v>214</v>
      </c>
      <c r="F172" s="10"/>
    </row>
    <row r="173" spans="1:6" ht="39.75" customHeight="1">
      <c r="A173" s="12" t="s">
        <v>453</v>
      </c>
      <c r="B173" s="10">
        <v>31500055</v>
      </c>
      <c r="C173" s="10" t="s">
        <v>1758</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1758</v>
      </c>
      <c r="D254" s="16">
        <v>45692</v>
      </c>
      <c r="E254" s="10" t="s">
        <v>214</v>
      </c>
      <c r="F254" s="17" t="s">
        <v>233</v>
      </c>
    </row>
    <row r="255" spans="1:6" ht="39.75" customHeight="1">
      <c r="A255" s="12" t="s">
        <v>213</v>
      </c>
      <c r="B255" s="10">
        <v>35501422</v>
      </c>
      <c r="C255" s="10" t="s">
        <v>1758</v>
      </c>
      <c r="D255" s="16">
        <v>45692</v>
      </c>
      <c r="E255" s="10" t="s">
        <v>214</v>
      </c>
      <c r="F255" s="17" t="s">
        <v>234</v>
      </c>
    </row>
    <row r="256" spans="1:6" ht="39.75" customHeight="1">
      <c r="A256" s="12" t="s">
        <v>213</v>
      </c>
      <c r="B256" s="10">
        <v>35501463</v>
      </c>
      <c r="C256" s="10" t="s">
        <v>1758</v>
      </c>
      <c r="D256" s="16">
        <v>45692</v>
      </c>
      <c r="E256" s="10" t="s">
        <v>214</v>
      </c>
      <c r="F256" s="17" t="s">
        <v>235</v>
      </c>
    </row>
    <row r="257" spans="1:6" ht="39.75" customHeight="1">
      <c r="A257" s="12" t="s">
        <v>213</v>
      </c>
      <c r="B257" s="10">
        <v>35500721</v>
      </c>
      <c r="C257" s="10" t="s">
        <v>1758</v>
      </c>
      <c r="D257" s="16">
        <v>45692</v>
      </c>
      <c r="E257" s="10" t="s">
        <v>214</v>
      </c>
      <c r="F257" s="17" t="s">
        <v>236</v>
      </c>
    </row>
    <row r="258" spans="1:6" ht="39.75" customHeight="1">
      <c r="A258" s="12" t="s">
        <v>213</v>
      </c>
      <c r="B258" s="10">
        <v>35500760</v>
      </c>
      <c r="C258" s="10" t="s">
        <v>1758</v>
      </c>
      <c r="D258" s="16">
        <v>45692</v>
      </c>
      <c r="E258" s="10" t="s">
        <v>214</v>
      </c>
      <c r="F258" s="17" t="s">
        <v>237</v>
      </c>
    </row>
    <row r="259" spans="1:6" ht="39.75" customHeight="1">
      <c r="A259" s="12" t="s">
        <v>213</v>
      </c>
      <c r="B259" s="10">
        <v>35500813</v>
      </c>
      <c r="C259" s="10" t="s">
        <v>1758</v>
      </c>
      <c r="D259" s="16">
        <v>45692</v>
      </c>
      <c r="E259" s="10" t="s">
        <v>214</v>
      </c>
      <c r="F259" s="17" t="s">
        <v>238</v>
      </c>
    </row>
    <row r="260" spans="1:6" ht="39.75" customHeight="1">
      <c r="A260" s="12" t="s">
        <v>213</v>
      </c>
      <c r="B260" s="10">
        <v>35500859</v>
      </c>
      <c r="C260" s="10" t="s">
        <v>1758</v>
      </c>
      <c r="D260" s="16">
        <v>45692</v>
      </c>
      <c r="E260" s="10" t="s">
        <v>214</v>
      </c>
      <c r="F260" s="17" t="s">
        <v>239</v>
      </c>
    </row>
    <row r="261" spans="1:6" ht="39.75" customHeight="1">
      <c r="A261" s="12" t="s">
        <v>213</v>
      </c>
      <c r="B261" s="10">
        <v>35500884</v>
      </c>
      <c r="C261" s="10" t="s">
        <v>1758</v>
      </c>
      <c r="D261" s="16">
        <v>45692</v>
      </c>
      <c r="E261" s="10" t="s">
        <v>214</v>
      </c>
      <c r="F261" s="17" t="s">
        <v>240</v>
      </c>
    </row>
    <row r="262" spans="1:6" ht="39.75" customHeight="1">
      <c r="A262" s="12" t="s">
        <v>213</v>
      </c>
      <c r="B262" s="10">
        <v>35500932</v>
      </c>
      <c r="C262" s="10" t="s">
        <v>1758</v>
      </c>
      <c r="D262" s="16">
        <v>45692</v>
      </c>
      <c r="E262" s="10" t="s">
        <v>214</v>
      </c>
      <c r="F262" s="17" t="s">
        <v>241</v>
      </c>
    </row>
    <row r="263" spans="1:6" ht="39.75" customHeight="1">
      <c r="A263" s="12" t="s">
        <v>213</v>
      </c>
      <c r="B263" s="10">
        <v>35501016</v>
      </c>
      <c r="C263" s="10" t="s">
        <v>1758</v>
      </c>
      <c r="D263" s="16">
        <v>45692</v>
      </c>
      <c r="E263" s="10" t="s">
        <v>214</v>
      </c>
      <c r="F263" s="17" t="s">
        <v>242</v>
      </c>
    </row>
    <row r="264" spans="1:6" ht="39.75" customHeight="1">
      <c r="A264" s="12" t="s">
        <v>213</v>
      </c>
      <c r="B264" s="10">
        <v>35501040</v>
      </c>
      <c r="C264" s="10" t="s">
        <v>1758</v>
      </c>
      <c r="D264" s="16">
        <v>45692</v>
      </c>
      <c r="E264" s="10" t="s">
        <v>214</v>
      </c>
      <c r="F264" s="17" t="s">
        <v>243</v>
      </c>
    </row>
    <row r="265" spans="1:6" ht="39.75" customHeight="1">
      <c r="A265" s="12" t="s">
        <v>213</v>
      </c>
      <c r="B265" s="10">
        <v>35501047</v>
      </c>
      <c r="C265" s="10" t="s">
        <v>1758</v>
      </c>
      <c r="D265" s="16">
        <v>45692</v>
      </c>
      <c r="E265" s="10" t="s">
        <v>214</v>
      </c>
      <c r="F265" s="17" t="s">
        <v>244</v>
      </c>
    </row>
    <row r="266" spans="1:6" ht="39.75" customHeight="1">
      <c r="A266" s="12" t="s">
        <v>213</v>
      </c>
      <c r="B266" s="10">
        <v>35501116</v>
      </c>
      <c r="C266" s="10" t="s">
        <v>1758</v>
      </c>
      <c r="D266" s="16">
        <v>45692</v>
      </c>
      <c r="E266" s="10" t="s">
        <v>214</v>
      </c>
      <c r="F266" s="17" t="s">
        <v>245</v>
      </c>
    </row>
    <row r="267" spans="1:6" ht="39.75" customHeight="1">
      <c r="A267" s="12" t="s">
        <v>213</v>
      </c>
      <c r="B267" s="10">
        <v>35501170</v>
      </c>
      <c r="C267" s="10" t="s">
        <v>1758</v>
      </c>
      <c r="D267" s="16">
        <v>45692</v>
      </c>
      <c r="E267" s="10" t="s">
        <v>214</v>
      </c>
      <c r="F267" s="17" t="s">
        <v>246</v>
      </c>
    </row>
    <row r="268" spans="1:6" ht="39.75" customHeight="1">
      <c r="A268" s="12" t="s">
        <v>213</v>
      </c>
      <c r="B268" s="10">
        <v>35501215</v>
      </c>
      <c r="C268" s="10" t="s">
        <v>1758</v>
      </c>
      <c r="D268" s="16">
        <v>45692</v>
      </c>
      <c r="E268" s="10" t="s">
        <v>214</v>
      </c>
      <c r="F268" s="17" t="s">
        <v>247</v>
      </c>
    </row>
    <row r="269" spans="1:6" ht="39.75" customHeight="1">
      <c r="A269" s="12" t="s">
        <v>213</v>
      </c>
      <c r="B269" s="10">
        <v>35501254</v>
      </c>
      <c r="C269" s="10" t="s">
        <v>1758</v>
      </c>
      <c r="D269" s="16">
        <v>45692</v>
      </c>
      <c r="E269" s="10" t="s">
        <v>214</v>
      </c>
      <c r="F269" s="17" t="s">
        <v>248</v>
      </c>
    </row>
    <row r="270" spans="1:6" ht="39.75" customHeight="1">
      <c r="A270" s="12" t="s">
        <v>213</v>
      </c>
      <c r="B270" s="10">
        <v>35501337</v>
      </c>
      <c r="C270" s="10" t="s">
        <v>1758</v>
      </c>
      <c r="D270" s="16">
        <v>45692</v>
      </c>
      <c r="E270" s="10" t="s">
        <v>214</v>
      </c>
      <c r="F270" s="17" t="s">
        <v>249</v>
      </c>
    </row>
    <row r="271" spans="1:6" ht="39.75" customHeight="1">
      <c r="A271" s="12" t="s">
        <v>213</v>
      </c>
      <c r="B271" s="10">
        <v>35501515</v>
      </c>
      <c r="C271" s="10" t="s">
        <v>1758</v>
      </c>
      <c r="D271" s="16">
        <v>45692</v>
      </c>
      <c r="E271" s="10" t="s">
        <v>214</v>
      </c>
      <c r="F271" s="17" t="s">
        <v>250</v>
      </c>
    </row>
    <row r="272" spans="1:6" ht="39.75" customHeight="1">
      <c r="A272" s="12" t="s">
        <v>213</v>
      </c>
      <c r="B272" s="10">
        <v>35501713</v>
      </c>
      <c r="C272" s="10" t="s">
        <v>1758</v>
      </c>
      <c r="D272" s="16">
        <v>45692</v>
      </c>
      <c r="E272" s="10" t="s">
        <v>214</v>
      </c>
      <c r="F272" s="17" t="s">
        <v>251</v>
      </c>
    </row>
    <row r="273" spans="1:6" ht="39.75" customHeight="1">
      <c r="A273" s="12" t="s">
        <v>213</v>
      </c>
      <c r="B273" s="10">
        <v>35501638</v>
      </c>
      <c r="C273" s="10" t="s">
        <v>1758</v>
      </c>
      <c r="D273" s="16">
        <v>45692</v>
      </c>
      <c r="E273" s="10" t="s">
        <v>214</v>
      </c>
      <c r="F273" s="17" t="s">
        <v>252</v>
      </c>
    </row>
    <row r="274" spans="1:6" ht="39.75" customHeight="1">
      <c r="A274" s="12" t="s">
        <v>213</v>
      </c>
      <c r="B274" s="10">
        <v>35501673</v>
      </c>
      <c r="C274" s="10" t="s">
        <v>1758</v>
      </c>
      <c r="D274" s="16">
        <v>45692</v>
      </c>
      <c r="E274" s="10" t="s">
        <v>214</v>
      </c>
      <c r="F274" s="17" t="s">
        <v>253</v>
      </c>
    </row>
    <row r="275" spans="1:6" ht="39.75" customHeight="1">
      <c r="A275" s="12" t="s">
        <v>213</v>
      </c>
      <c r="B275" s="10">
        <v>35501743</v>
      </c>
      <c r="C275" s="10" t="s">
        <v>1758</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1758</v>
      </c>
      <c r="D325" s="16">
        <v>45694</v>
      </c>
      <c r="E325" s="12" t="s">
        <v>338</v>
      </c>
      <c r="F325" s="17" t="s">
        <v>488</v>
      </c>
    </row>
    <row r="326" spans="1:6" ht="39.75" customHeight="1">
      <c r="A326" s="12" t="s">
        <v>337</v>
      </c>
      <c r="B326" s="15">
        <v>37508593</v>
      </c>
      <c r="C326" s="10" t="s">
        <v>1758</v>
      </c>
      <c r="D326" s="16">
        <v>45694</v>
      </c>
      <c r="E326" s="12" t="s">
        <v>338</v>
      </c>
      <c r="F326" s="17" t="s">
        <v>489</v>
      </c>
    </row>
    <row r="327" spans="1:6" ht="39.75" customHeight="1">
      <c r="A327" s="12" t="s">
        <v>337</v>
      </c>
      <c r="B327" s="15">
        <v>37508575</v>
      </c>
      <c r="C327" s="10" t="s">
        <v>1758</v>
      </c>
      <c r="D327" s="16">
        <v>45694</v>
      </c>
      <c r="E327" s="12" t="s">
        <v>338</v>
      </c>
      <c r="F327" s="17" t="s">
        <v>490</v>
      </c>
    </row>
    <row r="328" spans="1:6" ht="39.75" customHeight="1">
      <c r="A328" s="12" t="s">
        <v>337</v>
      </c>
      <c r="B328" s="15">
        <v>37508561</v>
      </c>
      <c r="C328" s="10" t="s">
        <v>1758</v>
      </c>
      <c r="D328" s="16">
        <v>45694</v>
      </c>
      <c r="E328" s="12" t="s">
        <v>338</v>
      </c>
      <c r="F328" s="17" t="s">
        <v>491</v>
      </c>
    </row>
    <row r="329" spans="1:6" ht="39.75" customHeight="1">
      <c r="A329" s="12" t="s">
        <v>337</v>
      </c>
      <c r="B329" s="15">
        <v>37508541</v>
      </c>
      <c r="C329" s="10" t="s">
        <v>1758</v>
      </c>
      <c r="D329" s="16">
        <v>45694</v>
      </c>
      <c r="E329" s="12" t="s">
        <v>338</v>
      </c>
      <c r="F329" s="17" t="s">
        <v>492</v>
      </c>
    </row>
    <row r="330" spans="1:6" ht="39.75" customHeight="1">
      <c r="A330" s="12" t="s">
        <v>337</v>
      </c>
      <c r="B330" s="15">
        <v>37508522</v>
      </c>
      <c r="C330" s="10" t="s">
        <v>1758</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1760</v>
      </c>
      <c r="B374" s="10">
        <v>38505536</v>
      </c>
      <c r="C374" s="10" t="s">
        <v>36</v>
      </c>
      <c r="D374" s="9">
        <v>45694</v>
      </c>
      <c r="E374" s="10" t="s">
        <v>386</v>
      </c>
      <c r="F374" s="10" t="s">
        <v>512</v>
      </c>
    </row>
    <row r="375" spans="1:6" ht="39.75" hidden="1" customHeight="1">
      <c r="A375" s="10" t="s">
        <v>1760</v>
      </c>
      <c r="B375" s="10">
        <v>38505300</v>
      </c>
      <c r="C375" s="10" t="s">
        <v>36</v>
      </c>
      <c r="D375" s="9">
        <v>45694</v>
      </c>
      <c r="E375" s="10" t="s">
        <v>386</v>
      </c>
      <c r="F375" s="10" t="s">
        <v>512</v>
      </c>
    </row>
    <row r="376" spans="1:6" ht="39.75" hidden="1" customHeight="1">
      <c r="A376" s="10" t="s">
        <v>1760</v>
      </c>
      <c r="B376" s="10">
        <v>38505266</v>
      </c>
      <c r="C376" s="10" t="s">
        <v>36</v>
      </c>
      <c r="D376" s="9">
        <v>45694</v>
      </c>
      <c r="E376" s="10" t="s">
        <v>386</v>
      </c>
      <c r="F376" s="10" t="s">
        <v>512</v>
      </c>
    </row>
    <row r="377" spans="1:6" ht="39.75" hidden="1" customHeight="1">
      <c r="A377" s="10" t="s">
        <v>1760</v>
      </c>
      <c r="B377" s="10">
        <v>38505238</v>
      </c>
      <c r="C377" s="10" t="s">
        <v>36</v>
      </c>
      <c r="D377" s="9">
        <v>45694</v>
      </c>
      <c r="E377" s="10" t="s">
        <v>386</v>
      </c>
      <c r="F377" s="10" t="s">
        <v>512</v>
      </c>
    </row>
    <row r="378" spans="1:6" ht="39.75" hidden="1" customHeight="1">
      <c r="A378" s="10" t="s">
        <v>1760</v>
      </c>
      <c r="B378" s="10">
        <v>38505158</v>
      </c>
      <c r="C378" s="10" t="s">
        <v>36</v>
      </c>
      <c r="D378" s="9">
        <v>45694</v>
      </c>
      <c r="E378" s="10" t="s">
        <v>386</v>
      </c>
      <c r="F378" s="10" t="s">
        <v>513</v>
      </c>
    </row>
    <row r="379" spans="1:6" ht="39.75" hidden="1" customHeight="1">
      <c r="A379" s="10" t="s">
        <v>1760</v>
      </c>
      <c r="B379" s="10">
        <v>38505119</v>
      </c>
      <c r="C379" s="10" t="s">
        <v>36</v>
      </c>
      <c r="D379" s="9">
        <v>45694</v>
      </c>
      <c r="E379" s="10" t="s">
        <v>386</v>
      </c>
      <c r="F379" s="10" t="s">
        <v>514</v>
      </c>
    </row>
    <row r="380" spans="1:6" ht="39.75" hidden="1" customHeight="1">
      <c r="A380" s="10" t="s">
        <v>1760</v>
      </c>
      <c r="B380" s="10">
        <v>38505007</v>
      </c>
      <c r="C380" s="10" t="s">
        <v>36</v>
      </c>
      <c r="D380" s="9">
        <v>45694</v>
      </c>
      <c r="E380" s="10" t="s">
        <v>386</v>
      </c>
      <c r="F380" s="10" t="s">
        <v>515</v>
      </c>
    </row>
    <row r="381" spans="1:6" ht="39.75" hidden="1" customHeight="1">
      <c r="A381" s="10" t="s">
        <v>1760</v>
      </c>
      <c r="B381" s="10">
        <v>38504963</v>
      </c>
      <c r="C381" s="10" t="s">
        <v>36</v>
      </c>
      <c r="D381" s="9">
        <v>45694</v>
      </c>
      <c r="E381" s="10" t="s">
        <v>386</v>
      </c>
      <c r="F381" s="10" t="s">
        <v>516</v>
      </c>
    </row>
    <row r="382" spans="1:6" ht="39.75" hidden="1" customHeight="1">
      <c r="A382" s="10" t="s">
        <v>1760</v>
      </c>
      <c r="B382" s="10">
        <v>38504886</v>
      </c>
      <c r="C382" s="10" t="s">
        <v>36</v>
      </c>
      <c r="D382" s="9">
        <v>45694</v>
      </c>
      <c r="E382" s="10" t="s">
        <v>386</v>
      </c>
      <c r="F382" s="10" t="s">
        <v>517</v>
      </c>
    </row>
    <row r="383" spans="1:6" ht="39.75" hidden="1" customHeight="1">
      <c r="A383" s="10" t="s">
        <v>1760</v>
      </c>
      <c r="B383" s="10">
        <v>38504796</v>
      </c>
      <c r="C383" s="10" t="s">
        <v>36</v>
      </c>
      <c r="D383" s="9">
        <v>45694</v>
      </c>
      <c r="E383" s="10" t="s">
        <v>386</v>
      </c>
      <c r="F383" s="10" t="s">
        <v>518</v>
      </c>
    </row>
    <row r="384" spans="1:6" ht="39.75" hidden="1" customHeight="1">
      <c r="A384" s="10" t="s">
        <v>1760</v>
      </c>
      <c r="B384" s="10">
        <v>38504725</v>
      </c>
      <c r="C384" s="10" t="s">
        <v>36</v>
      </c>
      <c r="D384" s="9">
        <v>45694</v>
      </c>
      <c r="E384" s="10" t="s">
        <v>386</v>
      </c>
      <c r="F384" s="10" t="s">
        <v>519</v>
      </c>
    </row>
    <row r="385" spans="1:6" ht="39.75" hidden="1" customHeight="1">
      <c r="A385" s="10" t="s">
        <v>1760</v>
      </c>
      <c r="B385" s="10">
        <v>38504674</v>
      </c>
      <c r="C385" s="10" t="s">
        <v>36</v>
      </c>
      <c r="D385" s="9">
        <v>45694</v>
      </c>
      <c r="E385" s="10" t="s">
        <v>386</v>
      </c>
      <c r="F385" s="10" t="s">
        <v>520</v>
      </c>
    </row>
    <row r="386" spans="1:6" ht="39.75" hidden="1" customHeight="1">
      <c r="A386" s="10" t="s">
        <v>1760</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523</v>
      </c>
    </row>
    <row r="388" spans="1:6" ht="39.75" hidden="1" customHeight="1">
      <c r="A388" s="10" t="s">
        <v>522</v>
      </c>
      <c r="B388" s="10">
        <v>38503161</v>
      </c>
      <c r="C388" s="10" t="s">
        <v>36</v>
      </c>
      <c r="D388" s="9">
        <v>45694</v>
      </c>
      <c r="E388" s="10" t="s">
        <v>507</v>
      </c>
      <c r="F388" s="10" t="s">
        <v>524</v>
      </c>
    </row>
    <row r="389" spans="1:6" ht="39.75" hidden="1" customHeight="1">
      <c r="A389" s="10" t="s">
        <v>522</v>
      </c>
      <c r="B389" s="10">
        <v>38503146</v>
      </c>
      <c r="C389" s="10" t="s">
        <v>36</v>
      </c>
      <c r="D389" s="9">
        <v>45694</v>
      </c>
      <c r="E389" s="10" t="s">
        <v>507</v>
      </c>
      <c r="F389" s="10" t="s">
        <v>525</v>
      </c>
    </row>
    <row r="390" spans="1:6" ht="39.75" hidden="1" customHeight="1">
      <c r="A390" s="10" t="s">
        <v>522</v>
      </c>
      <c r="B390" s="10">
        <v>38503134</v>
      </c>
      <c r="C390" s="10" t="s">
        <v>36</v>
      </c>
      <c r="D390" s="9">
        <v>45694</v>
      </c>
      <c r="E390" s="10" t="s">
        <v>507</v>
      </c>
      <c r="F390" s="10" t="s">
        <v>525</v>
      </c>
    </row>
    <row r="391" spans="1:6" ht="39.75" hidden="1" customHeight="1">
      <c r="A391" s="10" t="s">
        <v>522</v>
      </c>
      <c r="B391" s="10">
        <v>38503113</v>
      </c>
      <c r="C391" s="10" t="s">
        <v>36</v>
      </c>
      <c r="D391" s="9">
        <v>45694</v>
      </c>
      <c r="E391" s="10" t="s">
        <v>507</v>
      </c>
      <c r="F391" s="10" t="s">
        <v>527</v>
      </c>
    </row>
    <row r="392" spans="1:6" ht="39.75" hidden="1" customHeight="1">
      <c r="A392" s="10" t="s">
        <v>522</v>
      </c>
      <c r="B392" s="10">
        <v>38503050</v>
      </c>
      <c r="C392" s="10" t="s">
        <v>36</v>
      </c>
      <c r="D392" s="9">
        <v>45694</v>
      </c>
      <c r="E392" s="10" t="s">
        <v>507</v>
      </c>
      <c r="F392" s="10" t="s">
        <v>528</v>
      </c>
    </row>
    <row r="393" spans="1:6" ht="39.75" hidden="1" customHeight="1">
      <c r="A393" s="10" t="s">
        <v>522</v>
      </c>
      <c r="B393" s="10">
        <v>38503025</v>
      </c>
      <c r="C393" s="10" t="s">
        <v>36</v>
      </c>
      <c r="D393" s="9">
        <v>45694</v>
      </c>
      <c r="E393" s="10" t="s">
        <v>507</v>
      </c>
      <c r="F393" s="10" t="s">
        <v>529</v>
      </c>
    </row>
    <row r="394" spans="1:6" ht="39.75" hidden="1" customHeight="1">
      <c r="A394" s="10" t="s">
        <v>522</v>
      </c>
      <c r="B394" s="10">
        <v>38502985</v>
      </c>
      <c r="C394" s="10" t="s">
        <v>36</v>
      </c>
      <c r="D394" s="9">
        <v>45694</v>
      </c>
      <c r="E394" s="10" t="s">
        <v>507</v>
      </c>
      <c r="F394" s="10" t="s">
        <v>529</v>
      </c>
    </row>
    <row r="395" spans="1:6" ht="39.75" hidden="1" customHeight="1">
      <c r="A395" s="10" t="s">
        <v>337</v>
      </c>
      <c r="B395" s="10">
        <v>36508918</v>
      </c>
      <c r="C395" s="10" t="s">
        <v>36</v>
      </c>
      <c r="D395" s="9">
        <v>45694</v>
      </c>
      <c r="E395" s="12" t="s">
        <v>338</v>
      </c>
      <c r="F395" s="10" t="s">
        <v>530</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530</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531</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1758</v>
      </c>
      <c r="D434" s="16">
        <v>45695</v>
      </c>
      <c r="E434" s="12" t="s">
        <v>120</v>
      </c>
      <c r="F434" s="17"/>
    </row>
    <row r="435" spans="1:6" ht="39.75" hidden="1" customHeight="1">
      <c r="A435" s="18" t="s">
        <v>453</v>
      </c>
      <c r="B435" s="18">
        <v>35506054</v>
      </c>
      <c r="C435" s="10" t="s">
        <v>1758</v>
      </c>
      <c r="D435" s="16">
        <v>45695</v>
      </c>
      <c r="E435" s="12" t="s">
        <v>120</v>
      </c>
      <c r="F435" s="17"/>
    </row>
    <row r="436" spans="1:6" ht="39.75" hidden="1" customHeight="1">
      <c r="A436" s="18" t="s">
        <v>453</v>
      </c>
      <c r="B436" s="18">
        <v>35506111</v>
      </c>
      <c r="C436" s="10" t="s">
        <v>1758</v>
      </c>
      <c r="D436" s="16">
        <v>45695</v>
      </c>
      <c r="E436" s="12" t="s">
        <v>120</v>
      </c>
      <c r="F436" s="17"/>
    </row>
    <row r="437" spans="1:6" ht="39.75" hidden="1" customHeight="1">
      <c r="A437" s="18" t="s">
        <v>453</v>
      </c>
      <c r="B437" s="18">
        <v>35506159</v>
      </c>
      <c r="C437" s="10" t="s">
        <v>1758</v>
      </c>
      <c r="D437" s="16">
        <v>45695</v>
      </c>
      <c r="E437" s="12" t="s">
        <v>120</v>
      </c>
      <c r="F437" s="17"/>
    </row>
    <row r="438" spans="1:6" ht="39.75" hidden="1" customHeight="1">
      <c r="A438" s="18" t="s">
        <v>453</v>
      </c>
      <c r="B438" s="18">
        <v>35506199</v>
      </c>
      <c r="C438" s="10" t="s">
        <v>1758</v>
      </c>
      <c r="D438" s="16">
        <v>45695</v>
      </c>
      <c r="E438" s="12" t="s">
        <v>120</v>
      </c>
      <c r="F438" s="17"/>
    </row>
    <row r="439" spans="1:6" ht="39.75" hidden="1" customHeight="1">
      <c r="A439" s="18" t="s">
        <v>453</v>
      </c>
      <c r="B439" s="18">
        <v>35506238</v>
      </c>
      <c r="C439" s="10" t="s">
        <v>1758</v>
      </c>
      <c r="D439" s="16">
        <v>45695</v>
      </c>
      <c r="E439" s="12" t="s">
        <v>120</v>
      </c>
      <c r="F439" s="17"/>
    </row>
    <row r="440" spans="1:6" ht="39.75" hidden="1" customHeight="1">
      <c r="A440" s="18" t="s">
        <v>511</v>
      </c>
      <c r="B440" s="18">
        <v>38504585</v>
      </c>
      <c r="C440" s="10" t="s">
        <v>1758</v>
      </c>
      <c r="D440" s="16">
        <v>45695</v>
      </c>
      <c r="E440" s="12" t="s">
        <v>338</v>
      </c>
      <c r="F440" s="17"/>
    </row>
    <row r="441" spans="1:6" ht="39.75" hidden="1" customHeight="1">
      <c r="A441" s="18" t="s">
        <v>511</v>
      </c>
      <c r="B441" s="18">
        <v>38504674</v>
      </c>
      <c r="C441" s="10" t="s">
        <v>1758</v>
      </c>
      <c r="D441" s="16">
        <v>45695</v>
      </c>
      <c r="E441" s="12" t="s">
        <v>338</v>
      </c>
      <c r="F441" s="17"/>
    </row>
    <row r="442" spans="1:6" ht="39.75" hidden="1" customHeight="1">
      <c r="A442" s="18" t="s">
        <v>511</v>
      </c>
      <c r="B442" s="18">
        <v>38504725</v>
      </c>
      <c r="C442" s="10" t="s">
        <v>1758</v>
      </c>
      <c r="D442" s="16">
        <v>45695</v>
      </c>
      <c r="E442" s="12" t="s">
        <v>338</v>
      </c>
      <c r="F442" s="17"/>
    </row>
    <row r="443" spans="1:6" ht="39.75" hidden="1" customHeight="1">
      <c r="A443" s="18" t="s">
        <v>511</v>
      </c>
      <c r="B443" s="18">
        <v>38504796</v>
      </c>
      <c r="C443" s="10" t="s">
        <v>1758</v>
      </c>
      <c r="D443" s="16">
        <v>45695</v>
      </c>
      <c r="E443" s="12" t="s">
        <v>338</v>
      </c>
      <c r="F443" s="17"/>
    </row>
    <row r="444" spans="1:6" ht="39.75" hidden="1" customHeight="1">
      <c r="A444" s="18" t="s">
        <v>511</v>
      </c>
      <c r="B444" s="18">
        <v>38504886</v>
      </c>
      <c r="C444" s="10" t="s">
        <v>1758</v>
      </c>
      <c r="D444" s="16">
        <v>45695</v>
      </c>
      <c r="E444" s="12" t="s">
        <v>338</v>
      </c>
      <c r="F444" s="17"/>
    </row>
    <row r="445" spans="1:6" ht="39.75" hidden="1" customHeight="1">
      <c r="A445" s="18" t="s">
        <v>511</v>
      </c>
      <c r="B445" s="18">
        <v>38504963</v>
      </c>
      <c r="C445" s="10" t="s">
        <v>1758</v>
      </c>
      <c r="D445" s="16">
        <v>45695</v>
      </c>
      <c r="E445" s="12" t="s">
        <v>338</v>
      </c>
      <c r="F445" s="17"/>
    </row>
    <row r="446" spans="1:6" ht="39.75" hidden="1" customHeight="1">
      <c r="A446" s="18" t="s">
        <v>511</v>
      </c>
      <c r="B446" s="18">
        <v>38505007</v>
      </c>
      <c r="C446" s="10" t="s">
        <v>1758</v>
      </c>
      <c r="D446" s="16">
        <v>45695</v>
      </c>
      <c r="E446" s="12" t="s">
        <v>338</v>
      </c>
      <c r="F446" s="17"/>
    </row>
    <row r="447" spans="1:6" ht="39.75" hidden="1" customHeight="1">
      <c r="A447" s="18" t="s">
        <v>511</v>
      </c>
      <c r="B447" s="18">
        <v>38505119</v>
      </c>
      <c r="C447" s="10" t="s">
        <v>1758</v>
      </c>
      <c r="D447" s="16">
        <v>45695</v>
      </c>
      <c r="E447" s="12" t="s">
        <v>338</v>
      </c>
      <c r="F447" s="17"/>
    </row>
    <row r="448" spans="1:6" ht="39.75" hidden="1" customHeight="1">
      <c r="A448" s="18" t="s">
        <v>511</v>
      </c>
      <c r="B448" s="18">
        <v>38505158</v>
      </c>
      <c r="C448" s="10" t="s">
        <v>1758</v>
      </c>
      <c r="D448" s="16">
        <v>45695</v>
      </c>
      <c r="E448" s="12" t="s">
        <v>338</v>
      </c>
      <c r="F448" s="17"/>
    </row>
    <row r="449" spans="1:6" ht="39.75" hidden="1" customHeight="1">
      <c r="A449" s="18" t="s">
        <v>511</v>
      </c>
      <c r="B449" s="18">
        <v>38505238</v>
      </c>
      <c r="C449" s="10" t="s">
        <v>1758</v>
      </c>
      <c r="D449" s="16">
        <v>45695</v>
      </c>
      <c r="E449" s="12" t="s">
        <v>338</v>
      </c>
      <c r="F449" s="17"/>
    </row>
    <row r="450" spans="1:6" ht="39.75" hidden="1" customHeight="1">
      <c r="A450" s="18" t="s">
        <v>511</v>
      </c>
      <c r="B450" s="18">
        <v>38505266</v>
      </c>
      <c r="C450" s="10" t="s">
        <v>1758</v>
      </c>
      <c r="D450" s="16">
        <v>45695</v>
      </c>
      <c r="E450" s="12" t="s">
        <v>338</v>
      </c>
      <c r="F450" s="17"/>
    </row>
    <row r="451" spans="1:6" ht="39.75" hidden="1" customHeight="1">
      <c r="A451" s="18" t="s">
        <v>511</v>
      </c>
      <c r="B451" s="18">
        <v>38505300</v>
      </c>
      <c r="C451" s="10" t="s">
        <v>1758</v>
      </c>
      <c r="D451" s="16">
        <v>45695</v>
      </c>
      <c r="E451" s="12" t="s">
        <v>338</v>
      </c>
      <c r="F451" s="17"/>
    </row>
    <row r="452" spans="1:6" ht="39.75" hidden="1" customHeight="1">
      <c r="A452" s="18" t="s">
        <v>511</v>
      </c>
      <c r="B452" s="18">
        <v>38505536</v>
      </c>
      <c r="C452" s="10" t="s">
        <v>1758</v>
      </c>
      <c r="D452" s="16">
        <v>45695</v>
      </c>
      <c r="E452" s="12" t="s">
        <v>338</v>
      </c>
      <c r="F452" s="17"/>
    </row>
    <row r="453" spans="1:6" ht="39.75" hidden="1" customHeight="1">
      <c r="A453" s="14" t="s">
        <v>506</v>
      </c>
      <c r="B453" s="14">
        <v>39500389</v>
      </c>
      <c r="C453" s="10" t="s">
        <v>36</v>
      </c>
      <c r="D453" s="9">
        <v>45696</v>
      </c>
      <c r="E453" s="10" t="s">
        <v>507</v>
      </c>
      <c r="F453" s="14" t="s">
        <v>551</v>
      </c>
    </row>
    <row r="454" spans="1:6" ht="39.75" hidden="1" customHeight="1">
      <c r="A454" s="14" t="s">
        <v>506</v>
      </c>
      <c r="B454" s="14">
        <v>39500387</v>
      </c>
      <c r="C454" s="10" t="s">
        <v>36</v>
      </c>
      <c r="D454" s="9">
        <v>45696</v>
      </c>
      <c r="E454" s="10" t="s">
        <v>507</v>
      </c>
      <c r="F454" s="14" t="s">
        <v>552</v>
      </c>
    </row>
    <row r="455" spans="1:6" ht="39.75" hidden="1" customHeight="1">
      <c r="A455" s="14" t="s">
        <v>506</v>
      </c>
      <c r="B455" s="14">
        <v>39500392</v>
      </c>
      <c r="C455" s="10" t="s">
        <v>36</v>
      </c>
      <c r="D455" s="9">
        <v>45696</v>
      </c>
      <c r="E455" s="10" t="s">
        <v>507</v>
      </c>
      <c r="F455" s="14" t="s">
        <v>552</v>
      </c>
    </row>
    <row r="456" spans="1:6" ht="39.75" hidden="1" customHeight="1">
      <c r="A456" s="14" t="s">
        <v>506</v>
      </c>
      <c r="B456" s="14">
        <v>39500391</v>
      </c>
      <c r="C456" s="10" t="s">
        <v>36</v>
      </c>
      <c r="D456" s="9">
        <v>45696</v>
      </c>
      <c r="E456" s="10" t="s">
        <v>507</v>
      </c>
      <c r="F456" s="14" t="s">
        <v>553</v>
      </c>
    </row>
    <row r="457" spans="1:6" ht="39.75" hidden="1" customHeight="1">
      <c r="A457" s="14" t="s">
        <v>506</v>
      </c>
      <c r="B457" s="14">
        <v>39500395</v>
      </c>
      <c r="C457" s="10" t="s">
        <v>36</v>
      </c>
      <c r="D457" s="9">
        <v>45696</v>
      </c>
      <c r="E457" s="10" t="s">
        <v>507</v>
      </c>
      <c r="F457" s="14" t="s">
        <v>554</v>
      </c>
    </row>
    <row r="458" spans="1:6" ht="39.75" hidden="1" customHeight="1">
      <c r="A458" s="14" t="s">
        <v>506</v>
      </c>
      <c r="B458" s="14">
        <v>39500399</v>
      </c>
      <c r="C458" s="10" t="s">
        <v>36</v>
      </c>
      <c r="D458" s="9">
        <v>45696</v>
      </c>
      <c r="E458" s="10" t="s">
        <v>507</v>
      </c>
      <c r="F458" s="14" t="s">
        <v>554</v>
      </c>
    </row>
    <row r="459" spans="1:6" ht="39.75" hidden="1" customHeight="1">
      <c r="A459" s="14" t="s">
        <v>506</v>
      </c>
      <c r="B459" s="14">
        <v>39500402</v>
      </c>
      <c r="C459" s="10" t="s">
        <v>36</v>
      </c>
      <c r="D459" s="9">
        <v>45696</v>
      </c>
      <c r="E459" s="10" t="s">
        <v>507</v>
      </c>
      <c r="F459" s="14" t="s">
        <v>555</v>
      </c>
    </row>
    <row r="460" spans="1:6" ht="39.75" hidden="1" customHeight="1">
      <c r="A460" s="14" t="s">
        <v>506</v>
      </c>
      <c r="B460" s="14">
        <v>39500404</v>
      </c>
      <c r="C460" s="10" t="s">
        <v>36</v>
      </c>
      <c r="D460" s="9">
        <v>45696</v>
      </c>
      <c r="E460" s="10" t="s">
        <v>507</v>
      </c>
      <c r="F460" s="14" t="s">
        <v>555</v>
      </c>
    </row>
    <row r="461" spans="1:6" ht="39.75" hidden="1" customHeight="1">
      <c r="A461" s="14" t="s">
        <v>506</v>
      </c>
      <c r="B461" s="14">
        <v>39500405</v>
      </c>
      <c r="C461" s="10" t="s">
        <v>36</v>
      </c>
      <c r="D461" s="9">
        <v>45696</v>
      </c>
      <c r="E461" s="10" t="s">
        <v>507</v>
      </c>
      <c r="F461" s="14" t="s">
        <v>556</v>
      </c>
    </row>
    <row r="462" spans="1:6" ht="39.75" hidden="1" customHeight="1">
      <c r="A462" s="14" t="s">
        <v>506</v>
      </c>
      <c r="B462" s="14">
        <v>39500411</v>
      </c>
      <c r="C462" s="10" t="s">
        <v>36</v>
      </c>
      <c r="D462" s="9">
        <v>45696</v>
      </c>
      <c r="E462" s="10" t="s">
        <v>507</v>
      </c>
      <c r="F462" s="14" t="s">
        <v>553</v>
      </c>
    </row>
    <row r="463" spans="1:6" ht="39.75" hidden="1" customHeight="1">
      <c r="A463" s="14" t="s">
        <v>506</v>
      </c>
      <c r="B463" s="14">
        <v>39500408</v>
      </c>
      <c r="C463" s="10" t="s">
        <v>36</v>
      </c>
      <c r="D463" s="9">
        <v>45696</v>
      </c>
      <c r="E463" s="10" t="s">
        <v>507</v>
      </c>
      <c r="F463" s="14" t="s">
        <v>555</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1758</v>
      </c>
      <c r="D512" s="9">
        <v>45701</v>
      </c>
      <c r="E512" s="11" t="s">
        <v>386</v>
      </c>
      <c r="F512" s="31" t="s">
        <v>169</v>
      </c>
    </row>
    <row r="513" spans="1:6" ht="39.75" hidden="1" customHeight="1">
      <c r="A513" s="34" t="s">
        <v>511</v>
      </c>
      <c r="B513" s="32">
        <v>44504071</v>
      </c>
      <c r="C513" s="10" t="s">
        <v>1758</v>
      </c>
      <c r="D513" s="9">
        <v>45701</v>
      </c>
      <c r="E513" s="11" t="s">
        <v>386</v>
      </c>
      <c r="F513" s="32" t="s">
        <v>169</v>
      </c>
    </row>
    <row r="514" spans="1:6" ht="39.75" hidden="1" customHeight="1">
      <c r="A514" s="34" t="s">
        <v>511</v>
      </c>
      <c r="B514" s="32">
        <v>44504166</v>
      </c>
      <c r="C514" s="10" t="s">
        <v>1758</v>
      </c>
      <c r="D514" s="9">
        <v>45701</v>
      </c>
      <c r="E514" s="11" t="s">
        <v>386</v>
      </c>
      <c r="F514" s="32" t="s">
        <v>169</v>
      </c>
    </row>
    <row r="515" spans="1:6" ht="39.75" hidden="1" customHeight="1">
      <c r="A515" s="34" t="s">
        <v>511</v>
      </c>
      <c r="B515" s="32">
        <v>44504210</v>
      </c>
      <c r="C515" s="10" t="s">
        <v>1758</v>
      </c>
      <c r="D515" s="9">
        <v>45701</v>
      </c>
      <c r="E515" s="11" t="s">
        <v>386</v>
      </c>
      <c r="F515" s="32" t="s">
        <v>557</v>
      </c>
    </row>
    <row r="516" spans="1:6" ht="39.75" hidden="1" customHeight="1">
      <c r="A516" s="34" t="s">
        <v>511</v>
      </c>
      <c r="B516" s="32">
        <v>44504348</v>
      </c>
      <c r="C516" s="10" t="s">
        <v>1758</v>
      </c>
      <c r="D516" s="9">
        <v>45701</v>
      </c>
      <c r="E516" s="11" t="s">
        <v>386</v>
      </c>
      <c r="F516" s="32" t="s">
        <v>169</v>
      </c>
    </row>
    <row r="517" spans="1:6" ht="39.75" hidden="1" customHeight="1">
      <c r="A517" s="34" t="s">
        <v>511</v>
      </c>
      <c r="B517" s="32">
        <v>44504648</v>
      </c>
      <c r="C517" s="10" t="s">
        <v>1758</v>
      </c>
      <c r="D517" s="9">
        <v>45701</v>
      </c>
      <c r="E517" s="11" t="s">
        <v>386</v>
      </c>
      <c r="F517" s="32" t="s">
        <v>557</v>
      </c>
    </row>
    <row r="518" spans="1:6" ht="39.75" hidden="1" customHeight="1">
      <c r="A518" s="34" t="s">
        <v>511</v>
      </c>
      <c r="B518" s="32">
        <v>44504605</v>
      </c>
      <c r="C518" s="10" t="s">
        <v>1758</v>
      </c>
      <c r="D518" s="9">
        <v>45701</v>
      </c>
      <c r="E518" s="11" t="s">
        <v>386</v>
      </c>
      <c r="F518" s="32" t="s">
        <v>558</v>
      </c>
    </row>
    <row r="519" spans="1:6" ht="39.75" hidden="1" customHeight="1">
      <c r="A519" s="41" t="s">
        <v>559</v>
      </c>
      <c r="B519" s="63">
        <v>49508930</v>
      </c>
      <c r="C519" s="10" t="s">
        <v>36</v>
      </c>
      <c r="D519" s="42">
        <v>45706</v>
      </c>
      <c r="E519" s="10" t="s">
        <v>146</v>
      </c>
      <c r="F519" s="41" t="s">
        <v>560</v>
      </c>
    </row>
    <row r="520" spans="1:6" ht="39.75" hidden="1" customHeight="1">
      <c r="A520" s="41" t="s">
        <v>559</v>
      </c>
      <c r="B520" s="41">
        <v>49508942</v>
      </c>
      <c r="C520" s="10" t="s">
        <v>36</v>
      </c>
      <c r="D520" s="42">
        <v>45706</v>
      </c>
      <c r="E520" s="10" t="s">
        <v>146</v>
      </c>
      <c r="F520" s="41" t="s">
        <v>561</v>
      </c>
    </row>
    <row r="521" spans="1:6" ht="39.75" hidden="1" customHeight="1">
      <c r="A521" s="41" t="s">
        <v>559</v>
      </c>
      <c r="B521" s="41">
        <v>49508945</v>
      </c>
      <c r="C521" s="10" t="s">
        <v>36</v>
      </c>
      <c r="D521" s="42">
        <v>45706</v>
      </c>
      <c r="E521" s="10" t="s">
        <v>146</v>
      </c>
      <c r="F521" s="41" t="s">
        <v>562</v>
      </c>
    </row>
    <row r="522" spans="1:6" ht="39.75" hidden="1" customHeight="1">
      <c r="A522" s="41" t="s">
        <v>559</v>
      </c>
      <c r="B522" s="41">
        <v>49508956</v>
      </c>
      <c r="C522" s="10" t="s">
        <v>36</v>
      </c>
      <c r="D522" s="42">
        <v>45706</v>
      </c>
      <c r="E522" s="10" t="s">
        <v>146</v>
      </c>
      <c r="F522" s="41" t="s">
        <v>563</v>
      </c>
    </row>
    <row r="523" spans="1:6" ht="39.75" hidden="1" customHeight="1">
      <c r="A523" s="41" t="s">
        <v>559</v>
      </c>
      <c r="B523" s="41">
        <v>49508966</v>
      </c>
      <c r="C523" s="10" t="s">
        <v>36</v>
      </c>
      <c r="D523" s="42">
        <v>45706</v>
      </c>
      <c r="E523" s="10" t="s">
        <v>146</v>
      </c>
      <c r="F523" s="41" t="s">
        <v>564</v>
      </c>
    </row>
    <row r="524" spans="1:6" ht="39.75" hidden="1" customHeight="1">
      <c r="A524" s="41" t="s">
        <v>559</v>
      </c>
      <c r="B524" s="41">
        <v>49508974</v>
      </c>
      <c r="C524" s="10" t="s">
        <v>36</v>
      </c>
      <c r="D524" s="42">
        <v>45706</v>
      </c>
      <c r="E524" s="10" t="s">
        <v>146</v>
      </c>
      <c r="F524" s="41" t="s">
        <v>565</v>
      </c>
    </row>
    <row r="525" spans="1:6" ht="39.75" hidden="1" customHeight="1">
      <c r="A525" s="41" t="s">
        <v>559</v>
      </c>
      <c r="B525" s="41">
        <v>49508978</v>
      </c>
      <c r="C525" s="10" t="s">
        <v>36</v>
      </c>
      <c r="D525" s="42">
        <v>45706</v>
      </c>
      <c r="E525" s="10" t="s">
        <v>146</v>
      </c>
      <c r="F525" s="41" t="s">
        <v>566</v>
      </c>
    </row>
    <row r="526" spans="1:6" ht="39.75" hidden="1" customHeight="1">
      <c r="A526" s="41" t="s">
        <v>559</v>
      </c>
      <c r="B526" s="41">
        <v>49508987</v>
      </c>
      <c r="C526" s="10" t="s">
        <v>36</v>
      </c>
      <c r="D526" s="42">
        <v>45706</v>
      </c>
      <c r="E526" s="10" t="s">
        <v>146</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559</v>
      </c>
      <c r="B558" s="82">
        <v>50508888</v>
      </c>
      <c r="C558" s="10" t="s">
        <v>36</v>
      </c>
      <c r="D558" s="42">
        <v>45707</v>
      </c>
      <c r="E558" s="3" t="s">
        <v>146</v>
      </c>
      <c r="F558" s="41" t="s">
        <v>590</v>
      </c>
    </row>
    <row r="559" spans="1:6" ht="39.75" hidden="1" customHeight="1">
      <c r="A559" s="41" t="s">
        <v>559</v>
      </c>
      <c r="B559" s="82">
        <v>50508898</v>
      </c>
      <c r="C559" s="10" t="s">
        <v>36</v>
      </c>
      <c r="D559" s="42">
        <v>45707</v>
      </c>
      <c r="E559" s="3" t="s">
        <v>146</v>
      </c>
      <c r="F559" s="41" t="s">
        <v>591</v>
      </c>
    </row>
    <row r="560" spans="1:6" ht="39.75" hidden="1" customHeight="1">
      <c r="A560" s="41" t="s">
        <v>559</v>
      </c>
      <c r="B560" s="82">
        <v>50508905</v>
      </c>
      <c r="C560" s="10" t="s">
        <v>36</v>
      </c>
      <c r="D560" s="42">
        <v>45707</v>
      </c>
      <c r="E560" s="3" t="s">
        <v>146</v>
      </c>
      <c r="F560" s="41" t="s">
        <v>592</v>
      </c>
    </row>
    <row r="561" spans="1:6" ht="39.75" hidden="1" customHeight="1">
      <c r="A561" s="41" t="s">
        <v>559</v>
      </c>
      <c r="B561" s="82">
        <v>50508914</v>
      </c>
      <c r="C561" s="10" t="s">
        <v>36</v>
      </c>
      <c r="D561" s="42">
        <v>45707</v>
      </c>
      <c r="E561" s="3" t="s">
        <v>146</v>
      </c>
      <c r="F561" s="41" t="s">
        <v>593</v>
      </c>
    </row>
    <row r="562" spans="1:6" ht="39.75" hidden="1" customHeight="1">
      <c r="A562" s="41" t="s">
        <v>559</v>
      </c>
      <c r="B562" s="82">
        <v>50508924</v>
      </c>
      <c r="C562" s="10" t="s">
        <v>36</v>
      </c>
      <c r="D562" s="42">
        <v>45707</v>
      </c>
      <c r="E562" s="3" t="s">
        <v>146</v>
      </c>
      <c r="F562" s="41" t="s">
        <v>594</v>
      </c>
    </row>
    <row r="563" spans="1:6" ht="39.75" hidden="1" customHeight="1">
      <c r="A563" s="41" t="s">
        <v>559</v>
      </c>
      <c r="B563" s="82">
        <v>50508932</v>
      </c>
      <c r="C563" s="10" t="s">
        <v>36</v>
      </c>
      <c r="D563" s="42">
        <v>45707</v>
      </c>
      <c r="E563" s="3" t="s">
        <v>146</v>
      </c>
      <c r="F563" s="41" t="s">
        <v>595</v>
      </c>
    </row>
    <row r="564" spans="1:6" ht="39.75" hidden="1" customHeight="1">
      <c r="A564" s="41" t="s">
        <v>559</v>
      </c>
      <c r="B564" s="82">
        <v>50508942</v>
      </c>
      <c r="C564" s="10" t="s">
        <v>36</v>
      </c>
      <c r="D564" s="42">
        <v>45707</v>
      </c>
      <c r="E564" s="3" t="s">
        <v>146</v>
      </c>
      <c r="F564" s="41" t="s">
        <v>596</v>
      </c>
    </row>
    <row r="565" spans="1:6" ht="39.75" hidden="1" customHeight="1">
      <c r="A565" s="41" t="s">
        <v>559</v>
      </c>
      <c r="B565" s="82">
        <v>50508953</v>
      </c>
      <c r="C565" s="10" t="s">
        <v>36</v>
      </c>
      <c r="D565" s="42">
        <v>45707</v>
      </c>
      <c r="E565" s="3" t="s">
        <v>146</v>
      </c>
      <c r="F565" s="41" t="s">
        <v>597</v>
      </c>
    </row>
    <row r="566" spans="1:6" ht="39.75" hidden="1" customHeight="1">
      <c r="A566" s="41" t="s">
        <v>559</v>
      </c>
      <c r="B566" s="82">
        <v>50508962</v>
      </c>
      <c r="C566" s="10" t="s">
        <v>36</v>
      </c>
      <c r="D566" s="42">
        <v>45707</v>
      </c>
      <c r="E566" s="3" t="s">
        <v>146</v>
      </c>
      <c r="F566" s="41" t="s">
        <v>598</v>
      </c>
    </row>
    <row r="567" spans="1:6" ht="39.75" hidden="1" customHeight="1">
      <c r="A567" s="41" t="s">
        <v>559</v>
      </c>
      <c r="B567" s="82">
        <v>50508981</v>
      </c>
      <c r="C567" s="10" t="s">
        <v>36</v>
      </c>
      <c r="D567" s="42">
        <v>45707</v>
      </c>
      <c r="E567" s="3" t="s">
        <v>146</v>
      </c>
      <c r="F567" s="41" t="s">
        <v>599</v>
      </c>
    </row>
    <row r="568" spans="1:6" ht="39.75" hidden="1" customHeight="1">
      <c r="A568" s="41" t="s">
        <v>559</v>
      </c>
      <c r="B568" s="82">
        <v>50508993</v>
      </c>
      <c r="C568" s="10" t="s">
        <v>36</v>
      </c>
      <c r="D568" s="42">
        <v>45707</v>
      </c>
      <c r="E568" s="3" t="s">
        <v>146</v>
      </c>
      <c r="F568" s="41" t="s">
        <v>600</v>
      </c>
    </row>
    <row r="569" spans="1:6" ht="39.75" hidden="1" customHeight="1">
      <c r="A569" s="41" t="s">
        <v>559</v>
      </c>
      <c r="B569" s="82">
        <v>50509004</v>
      </c>
      <c r="C569" s="10" t="s">
        <v>36</v>
      </c>
      <c r="D569" s="42">
        <v>45707</v>
      </c>
      <c r="E569" s="3" t="s">
        <v>146</v>
      </c>
      <c r="F569" s="41" t="s">
        <v>601</v>
      </c>
    </row>
    <row r="570" spans="1:6" ht="39.75" hidden="1" customHeight="1">
      <c r="A570" s="41" t="s">
        <v>559</v>
      </c>
      <c r="B570" s="82">
        <v>50509019</v>
      </c>
      <c r="C570" s="10" t="s">
        <v>36</v>
      </c>
      <c r="D570" s="42">
        <v>45707</v>
      </c>
      <c r="E570" s="3" t="s">
        <v>146</v>
      </c>
      <c r="F570" s="41" t="s">
        <v>602</v>
      </c>
    </row>
    <row r="571" spans="1:6" ht="39.75" hidden="1" customHeight="1">
      <c r="A571" s="41" t="s">
        <v>559</v>
      </c>
      <c r="B571" s="82">
        <v>50509030</v>
      </c>
      <c r="C571" s="10" t="s">
        <v>36</v>
      </c>
      <c r="D571" s="42">
        <v>45707</v>
      </c>
      <c r="E571" s="3" t="s">
        <v>146</v>
      </c>
      <c r="F571" s="41" t="s">
        <v>603</v>
      </c>
    </row>
    <row r="572" spans="1:6" ht="39.75" hidden="1" customHeight="1">
      <c r="A572" s="41" t="s">
        <v>559</v>
      </c>
      <c r="B572" s="82">
        <v>50509040</v>
      </c>
      <c r="C572" s="10" t="s">
        <v>36</v>
      </c>
      <c r="D572" s="42">
        <v>45707</v>
      </c>
      <c r="E572" s="3" t="s">
        <v>146</v>
      </c>
      <c r="F572" s="41" t="s">
        <v>604</v>
      </c>
    </row>
    <row r="573" spans="1:6" ht="39.75" hidden="1" customHeight="1">
      <c r="A573" s="41" t="s">
        <v>559</v>
      </c>
      <c r="B573" s="82">
        <v>50509042</v>
      </c>
      <c r="C573" s="10" t="s">
        <v>36</v>
      </c>
      <c r="D573" s="42">
        <v>45707</v>
      </c>
      <c r="E573" s="3" t="s">
        <v>146</v>
      </c>
      <c r="F573" s="41" t="s">
        <v>605</v>
      </c>
    </row>
    <row r="574" spans="1:6" ht="39.75" hidden="1" customHeight="1">
      <c r="A574" s="41" t="s">
        <v>559</v>
      </c>
      <c r="B574" s="82">
        <v>50509051</v>
      </c>
      <c r="C574" s="10" t="s">
        <v>36</v>
      </c>
      <c r="D574" s="42">
        <v>45707</v>
      </c>
      <c r="E574" s="3" t="s">
        <v>146</v>
      </c>
      <c r="F574" s="41" t="s">
        <v>606</v>
      </c>
    </row>
    <row r="575" spans="1:6" ht="39.75" hidden="1" customHeight="1">
      <c r="A575" s="43" t="s">
        <v>559</v>
      </c>
      <c r="B575" s="83">
        <v>50509057</v>
      </c>
      <c r="C575" s="19" t="s">
        <v>36</v>
      </c>
      <c r="D575" s="44">
        <v>45707</v>
      </c>
      <c r="E575" s="45" t="s">
        <v>146</v>
      </c>
      <c r="F575" s="43" t="s">
        <v>607</v>
      </c>
    </row>
    <row r="576" spans="1:6" ht="39.75" hidden="1" customHeight="1">
      <c r="A576" s="51" t="s">
        <v>511</v>
      </c>
      <c r="B576" s="41">
        <v>51502012</v>
      </c>
      <c r="C576" s="49" t="s">
        <v>36</v>
      </c>
      <c r="D576" s="50">
        <v>45707</v>
      </c>
      <c r="E576" s="51" t="s">
        <v>128</v>
      </c>
      <c r="F576" s="41" t="s">
        <v>608</v>
      </c>
    </row>
    <row r="577" spans="1:6" ht="39.75" hidden="1" customHeight="1">
      <c r="A577" s="51" t="s">
        <v>511</v>
      </c>
      <c r="B577" s="41">
        <v>51501917</v>
      </c>
      <c r="C577" s="49" t="s">
        <v>36</v>
      </c>
      <c r="D577" s="50">
        <v>45707</v>
      </c>
      <c r="E577" s="51" t="s">
        <v>128</v>
      </c>
      <c r="F577" s="41" t="s">
        <v>609</v>
      </c>
    </row>
    <row r="578" spans="1:6" ht="39.75" hidden="1" customHeight="1">
      <c r="A578" s="51" t="s">
        <v>511</v>
      </c>
      <c r="B578" s="41">
        <v>51501848</v>
      </c>
      <c r="C578" s="49" t="s">
        <v>36</v>
      </c>
      <c r="D578" s="50">
        <v>45707</v>
      </c>
      <c r="E578" s="51" t="s">
        <v>128</v>
      </c>
      <c r="F578" s="41" t="s">
        <v>610</v>
      </c>
    </row>
    <row r="579" spans="1:6" ht="39.75" hidden="1" customHeight="1">
      <c r="A579" s="51" t="s">
        <v>511</v>
      </c>
      <c r="B579" s="41">
        <v>51501787</v>
      </c>
      <c r="C579" s="49" t="s">
        <v>36</v>
      </c>
      <c r="D579" s="50">
        <v>45707</v>
      </c>
      <c r="E579" s="51" t="s">
        <v>128</v>
      </c>
      <c r="F579" s="41" t="s">
        <v>611</v>
      </c>
    </row>
    <row r="580" spans="1:6" ht="39.75" hidden="1" customHeight="1">
      <c r="A580" s="51" t="s">
        <v>511</v>
      </c>
      <c r="B580" s="41">
        <v>51501764</v>
      </c>
      <c r="C580" s="49" t="s">
        <v>36</v>
      </c>
      <c r="D580" s="50">
        <v>45707</v>
      </c>
      <c r="E580" s="51" t="s">
        <v>128</v>
      </c>
      <c r="F580" s="41" t="s">
        <v>612</v>
      </c>
    </row>
    <row r="581" spans="1:6" ht="39.75" hidden="1" customHeight="1">
      <c r="A581" s="51" t="s">
        <v>511</v>
      </c>
      <c r="B581" s="41">
        <v>51501708</v>
      </c>
      <c r="C581" s="49" t="s">
        <v>36</v>
      </c>
      <c r="D581" s="50">
        <v>45707</v>
      </c>
      <c r="E581" s="51" t="s">
        <v>128</v>
      </c>
      <c r="F581" s="41" t="s">
        <v>613</v>
      </c>
    </row>
    <row r="582" spans="1:6" ht="39.75" hidden="1" customHeight="1">
      <c r="A582" s="51" t="s">
        <v>511</v>
      </c>
      <c r="B582" s="41">
        <v>51501555</v>
      </c>
      <c r="C582" s="49" t="s">
        <v>36</v>
      </c>
      <c r="D582" s="50">
        <v>45707</v>
      </c>
      <c r="E582" s="51" t="s">
        <v>128</v>
      </c>
      <c r="F582" s="41" t="s">
        <v>614</v>
      </c>
    </row>
    <row r="583" spans="1:6" ht="39.75" hidden="1" customHeight="1">
      <c r="A583" s="51" t="s">
        <v>511</v>
      </c>
      <c r="B583" s="41">
        <v>51501514</v>
      </c>
      <c r="C583" s="49" t="s">
        <v>36</v>
      </c>
      <c r="D583" s="50">
        <v>45707</v>
      </c>
      <c r="E583" s="51" t="s">
        <v>128</v>
      </c>
      <c r="F583" s="41" t="s">
        <v>615</v>
      </c>
    </row>
    <row r="584" spans="1:6" ht="39.75" hidden="1" customHeight="1">
      <c r="A584" s="51" t="s">
        <v>511</v>
      </c>
      <c r="B584" s="41">
        <v>51501396</v>
      </c>
      <c r="C584" s="49" t="s">
        <v>36</v>
      </c>
      <c r="D584" s="50">
        <v>45707</v>
      </c>
      <c r="E584" s="51" t="s">
        <v>128</v>
      </c>
      <c r="F584" s="41" t="s">
        <v>616</v>
      </c>
    </row>
    <row r="585" spans="1:6" ht="39.75" hidden="1" customHeight="1">
      <c r="A585" s="51" t="s">
        <v>511</v>
      </c>
      <c r="B585" s="41">
        <v>51501091</v>
      </c>
      <c r="C585" s="49" t="s">
        <v>36</v>
      </c>
      <c r="D585" s="50">
        <v>45707</v>
      </c>
      <c r="E585" s="51" t="s">
        <v>128</v>
      </c>
      <c r="F585" s="41" t="s">
        <v>617</v>
      </c>
    </row>
    <row r="586" spans="1:6" ht="39.75" hidden="1" customHeight="1">
      <c r="A586" s="51" t="s">
        <v>511</v>
      </c>
      <c r="B586" s="41">
        <v>51501043</v>
      </c>
      <c r="C586" s="49" t="s">
        <v>36</v>
      </c>
      <c r="D586" s="50">
        <v>45707</v>
      </c>
      <c r="E586" s="51" t="s">
        <v>128</v>
      </c>
      <c r="F586" s="41" t="s">
        <v>618</v>
      </c>
    </row>
    <row r="587" spans="1:6" ht="39.75" hidden="1" customHeight="1">
      <c r="A587" s="51" t="s">
        <v>511</v>
      </c>
      <c r="B587" s="41">
        <v>51500986</v>
      </c>
      <c r="C587" s="49" t="s">
        <v>36</v>
      </c>
      <c r="D587" s="50">
        <v>45707</v>
      </c>
      <c r="E587" s="51" t="s">
        <v>128</v>
      </c>
      <c r="F587" s="41" t="s">
        <v>619</v>
      </c>
    </row>
    <row r="588" spans="1:6" ht="39.75" hidden="1" customHeight="1">
      <c r="A588" s="51" t="s">
        <v>511</v>
      </c>
      <c r="B588" s="41">
        <v>51500941</v>
      </c>
      <c r="C588" s="49" t="s">
        <v>36</v>
      </c>
      <c r="D588" s="50">
        <v>45707</v>
      </c>
      <c r="E588" s="51" t="s">
        <v>128</v>
      </c>
      <c r="F588" s="41" t="s">
        <v>620</v>
      </c>
    </row>
    <row r="589" spans="1:6" ht="39.75" hidden="1" customHeight="1">
      <c r="A589" s="51" t="s">
        <v>511</v>
      </c>
      <c r="B589" s="41">
        <v>51500845</v>
      </c>
      <c r="C589" s="49" t="s">
        <v>36</v>
      </c>
      <c r="D589" s="50">
        <v>45707</v>
      </c>
      <c r="E589" s="51" t="s">
        <v>128</v>
      </c>
      <c r="F589" s="41" t="s">
        <v>621</v>
      </c>
    </row>
    <row r="590" spans="1:6" ht="39.75" hidden="1" customHeight="1">
      <c r="A590" s="51" t="s">
        <v>511</v>
      </c>
      <c r="B590" s="41">
        <v>51500819</v>
      </c>
      <c r="C590" s="49" t="s">
        <v>36</v>
      </c>
      <c r="D590" s="50">
        <v>45707</v>
      </c>
      <c r="E590" s="51" t="s">
        <v>128</v>
      </c>
      <c r="F590" s="41" t="s">
        <v>622</v>
      </c>
    </row>
    <row r="591" spans="1:6" ht="39.75" hidden="1" customHeight="1">
      <c r="A591" s="52" t="s">
        <v>511</v>
      </c>
      <c r="B591" s="43">
        <v>51500770</v>
      </c>
      <c r="C591" s="53" t="s">
        <v>36</v>
      </c>
      <c r="D591" s="54">
        <v>45707</v>
      </c>
      <c r="E591" s="52" t="s">
        <v>128</v>
      </c>
      <c r="F591" s="43" t="s">
        <v>623</v>
      </c>
    </row>
    <row r="592" spans="1:6" ht="39.75" hidden="1" customHeight="1">
      <c r="A592" s="6" t="s">
        <v>345</v>
      </c>
      <c r="B592" s="41">
        <v>51504010</v>
      </c>
      <c r="C592" s="51" t="s">
        <v>36</v>
      </c>
      <c r="D592" s="42">
        <v>45708</v>
      </c>
      <c r="E592" s="3" t="s">
        <v>214</v>
      </c>
      <c r="F592" s="41" t="s">
        <v>624</v>
      </c>
    </row>
    <row r="593" spans="1:6" ht="39.75" hidden="1" customHeight="1">
      <c r="A593" s="6" t="s">
        <v>345</v>
      </c>
      <c r="B593" s="41">
        <v>51504029</v>
      </c>
      <c r="C593" s="51" t="s">
        <v>36</v>
      </c>
      <c r="D593" s="42">
        <v>45708</v>
      </c>
      <c r="E593" s="3" t="s">
        <v>214</v>
      </c>
      <c r="F593" s="41" t="s">
        <v>625</v>
      </c>
    </row>
    <row r="594" spans="1:6" ht="39.75" hidden="1" customHeight="1">
      <c r="A594" s="6" t="s">
        <v>345</v>
      </c>
      <c r="B594" s="41">
        <v>51504084</v>
      </c>
      <c r="C594" s="51" t="s">
        <v>36</v>
      </c>
      <c r="D594" s="42">
        <v>45708</v>
      </c>
      <c r="E594" s="3" t="s">
        <v>214</v>
      </c>
      <c r="F594" s="41" t="s">
        <v>626</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627</v>
      </c>
    </row>
    <row r="602" spans="1:6" ht="39.75" hidden="1" customHeight="1">
      <c r="A602" s="41" t="s">
        <v>440</v>
      </c>
      <c r="B602" s="41">
        <v>51504936</v>
      </c>
      <c r="C602" s="51" t="s">
        <v>36</v>
      </c>
      <c r="D602" s="42">
        <v>45708</v>
      </c>
      <c r="E602" s="3" t="s">
        <v>214</v>
      </c>
      <c r="F602" s="41" t="s">
        <v>628</v>
      </c>
    </row>
    <row r="603" spans="1:6" ht="39.75" hidden="1" customHeight="1">
      <c r="A603" s="41" t="s">
        <v>440</v>
      </c>
      <c r="B603" s="41">
        <v>51504989</v>
      </c>
      <c r="C603" s="51" t="s">
        <v>36</v>
      </c>
      <c r="D603" s="42">
        <v>45708</v>
      </c>
      <c r="E603" s="3" t="s">
        <v>214</v>
      </c>
      <c r="F603" s="41" t="s">
        <v>629</v>
      </c>
    </row>
    <row r="604" spans="1:6" ht="39.75" hidden="1" customHeight="1">
      <c r="A604" s="41" t="s">
        <v>440</v>
      </c>
      <c r="B604" s="41">
        <v>51505022</v>
      </c>
      <c r="C604" s="51" t="s">
        <v>36</v>
      </c>
      <c r="D604" s="42">
        <v>45708</v>
      </c>
      <c r="E604" s="3" t="s">
        <v>214</v>
      </c>
      <c r="F604" s="41" t="s">
        <v>630</v>
      </c>
    </row>
    <row r="605" spans="1:6" ht="39.75" hidden="1" customHeight="1">
      <c r="A605" s="41" t="s">
        <v>631</v>
      </c>
      <c r="B605" s="41">
        <v>51505508</v>
      </c>
      <c r="C605" s="51" t="s">
        <v>36</v>
      </c>
      <c r="D605" s="42">
        <v>45708</v>
      </c>
      <c r="E605" s="3" t="s">
        <v>214</v>
      </c>
      <c r="F605" s="41" t="s">
        <v>632</v>
      </c>
    </row>
    <row r="606" spans="1:6" ht="39.75" hidden="1" customHeight="1">
      <c r="A606" s="41" t="s">
        <v>631</v>
      </c>
      <c r="B606" s="41">
        <v>51505584</v>
      </c>
      <c r="C606" s="51" t="s">
        <v>36</v>
      </c>
      <c r="D606" s="42">
        <v>45708</v>
      </c>
      <c r="E606" s="3" t="s">
        <v>214</v>
      </c>
      <c r="F606" s="41" t="s">
        <v>633</v>
      </c>
    </row>
    <row r="607" spans="1:6" ht="39.75" hidden="1" customHeight="1">
      <c r="A607" s="41" t="s">
        <v>631</v>
      </c>
      <c r="B607" s="41">
        <v>51505645</v>
      </c>
      <c r="C607" s="51" t="s">
        <v>36</v>
      </c>
      <c r="D607" s="42">
        <v>45708</v>
      </c>
      <c r="E607" s="3" t="s">
        <v>214</v>
      </c>
      <c r="F607" s="41" t="s">
        <v>634</v>
      </c>
    </row>
    <row r="608" spans="1:6" ht="39.75" hidden="1" customHeight="1">
      <c r="A608" s="41" t="s">
        <v>631</v>
      </c>
      <c r="B608" s="41">
        <v>51505767</v>
      </c>
      <c r="C608" s="51" t="s">
        <v>36</v>
      </c>
      <c r="D608" s="42">
        <v>45708</v>
      </c>
      <c r="E608" s="3" t="s">
        <v>214</v>
      </c>
      <c r="F608" s="41" t="s">
        <v>635</v>
      </c>
    </row>
    <row r="609" spans="1:6" ht="39.75" hidden="1" customHeight="1">
      <c r="A609" s="41" t="s">
        <v>631</v>
      </c>
      <c r="B609" s="41">
        <v>51505825</v>
      </c>
      <c r="C609" s="51" t="s">
        <v>36</v>
      </c>
      <c r="D609" s="42">
        <v>45708</v>
      </c>
      <c r="E609" s="3" t="s">
        <v>214</v>
      </c>
      <c r="F609" s="41" t="s">
        <v>636</v>
      </c>
    </row>
    <row r="610" spans="1:6" ht="39.75" hidden="1" customHeight="1">
      <c r="A610" s="41" t="s">
        <v>631</v>
      </c>
      <c r="B610" s="41">
        <v>51505873</v>
      </c>
      <c r="C610" s="51" t="s">
        <v>36</v>
      </c>
      <c r="D610" s="42">
        <v>45708</v>
      </c>
      <c r="E610" s="3" t="s">
        <v>214</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638</v>
      </c>
      <c r="B641" s="84">
        <v>55502302</v>
      </c>
      <c r="C641" s="56" t="s">
        <v>36</v>
      </c>
      <c r="D641" s="85">
        <v>45712</v>
      </c>
      <c r="E641" s="58" t="s">
        <v>367</v>
      </c>
      <c r="F641" s="84" t="s">
        <v>659</v>
      </c>
    </row>
    <row r="642" spans="1:6" s="57" customFormat="1" ht="39.75" hidden="1" customHeight="1">
      <c r="A642" s="84" t="s">
        <v>638</v>
      </c>
      <c r="B642" s="84">
        <v>55502825</v>
      </c>
      <c r="C642" s="56" t="s">
        <v>36</v>
      </c>
      <c r="D642" s="85">
        <v>45712</v>
      </c>
      <c r="E642" s="58" t="s">
        <v>367</v>
      </c>
      <c r="F642" s="84" t="s">
        <v>660</v>
      </c>
    </row>
    <row r="643" spans="1:6" s="57" customFormat="1" ht="39.75" hidden="1" customHeight="1">
      <c r="A643" s="84" t="s">
        <v>638</v>
      </c>
      <c r="B643" s="84">
        <v>55502079</v>
      </c>
      <c r="C643" s="56" t="s">
        <v>36</v>
      </c>
      <c r="D643" s="85">
        <v>45712</v>
      </c>
      <c r="E643" s="58" t="s">
        <v>367</v>
      </c>
      <c r="F643" s="84" t="s">
        <v>661</v>
      </c>
    </row>
    <row r="644" spans="1:6" s="57" customFormat="1" ht="39.75" hidden="1" customHeight="1">
      <c r="A644" s="86" t="s">
        <v>638</v>
      </c>
      <c r="B644" s="86">
        <v>55502478</v>
      </c>
      <c r="C644" s="61" t="s">
        <v>36</v>
      </c>
      <c r="D644" s="87">
        <v>45712</v>
      </c>
      <c r="E644" s="62" t="s">
        <v>367</v>
      </c>
      <c r="F644" s="86" t="s">
        <v>662</v>
      </c>
    </row>
    <row r="645" spans="1:6" ht="39.75" customHeight="1">
      <c r="A645" s="10" t="s">
        <v>337</v>
      </c>
      <c r="B645" s="3">
        <v>48507590</v>
      </c>
      <c r="C645" s="10" t="s">
        <v>36</v>
      </c>
      <c r="D645" s="55">
        <v>45705</v>
      </c>
      <c r="E645" s="3" t="s">
        <v>211</v>
      </c>
      <c r="F645" s="3" t="s">
        <v>667</v>
      </c>
    </row>
    <row r="646" spans="1:6" ht="39.75" customHeight="1">
      <c r="A646" s="10" t="s">
        <v>337</v>
      </c>
      <c r="B646" s="3">
        <v>48507534</v>
      </c>
      <c r="C646" s="10" t="s">
        <v>36</v>
      </c>
      <c r="D646" s="55">
        <v>45705</v>
      </c>
      <c r="E646" s="3" t="s">
        <v>211</v>
      </c>
      <c r="F646" s="3" t="s">
        <v>668</v>
      </c>
    </row>
    <row r="647" spans="1:6" ht="39.75" customHeight="1">
      <c r="A647" s="10" t="s">
        <v>337</v>
      </c>
      <c r="B647" s="3">
        <v>48507486</v>
      </c>
      <c r="C647" s="10" t="s">
        <v>36</v>
      </c>
      <c r="D647" s="55">
        <v>45705</v>
      </c>
      <c r="E647" s="3" t="s">
        <v>211</v>
      </c>
      <c r="F647" s="3" t="s">
        <v>669</v>
      </c>
    </row>
    <row r="648" spans="1:6" ht="39.75" customHeight="1">
      <c r="A648" s="10" t="s">
        <v>337</v>
      </c>
      <c r="B648" s="3">
        <v>48507387</v>
      </c>
      <c r="C648" s="10" t="s">
        <v>36</v>
      </c>
      <c r="D648" s="55">
        <v>45705</v>
      </c>
      <c r="E648" s="3" t="s">
        <v>211</v>
      </c>
      <c r="F648" s="3" t="s">
        <v>670</v>
      </c>
    </row>
    <row r="649" spans="1:6" ht="39.75" customHeight="1">
      <c r="A649" s="10" t="s">
        <v>337</v>
      </c>
      <c r="B649" s="3">
        <v>48507301</v>
      </c>
      <c r="C649" s="10" t="s">
        <v>36</v>
      </c>
      <c r="D649" s="55">
        <v>45705</v>
      </c>
      <c r="E649" s="3" t="s">
        <v>211</v>
      </c>
      <c r="F649" s="3" t="s">
        <v>671</v>
      </c>
    </row>
    <row r="650" spans="1:6" ht="39.75" customHeight="1">
      <c r="A650" s="10" t="s">
        <v>337</v>
      </c>
      <c r="B650" s="3">
        <v>48507163</v>
      </c>
      <c r="C650" s="10" t="s">
        <v>36</v>
      </c>
      <c r="D650" s="55">
        <v>45705</v>
      </c>
      <c r="E650" s="3" t="s">
        <v>211</v>
      </c>
      <c r="F650" s="3" t="s">
        <v>672</v>
      </c>
    </row>
    <row r="651" spans="1:6">
      <c r="A651" s="3" t="s">
        <v>1767</v>
      </c>
      <c r="B651" s="4">
        <v>55503706</v>
      </c>
      <c r="C651" s="3" t="s">
        <v>674</v>
      </c>
      <c r="D651" s="65">
        <v>45709</v>
      </c>
      <c r="E651" s="3" t="s">
        <v>211</v>
      </c>
      <c r="F651" s="3" t="s">
        <v>675</v>
      </c>
    </row>
    <row r="652" spans="1:6">
      <c r="A652" s="3" t="s">
        <v>1767</v>
      </c>
      <c r="B652" s="4">
        <v>55503801</v>
      </c>
      <c r="C652" s="3" t="s">
        <v>674</v>
      </c>
      <c r="D652" s="65">
        <v>45709</v>
      </c>
      <c r="E652" s="3" t="s">
        <v>211</v>
      </c>
      <c r="F652" s="3" t="s">
        <v>676</v>
      </c>
    </row>
    <row r="653" spans="1:6">
      <c r="A653" s="3" t="s">
        <v>1767</v>
      </c>
      <c r="B653" s="4">
        <v>55503862</v>
      </c>
      <c r="C653" s="3" t="s">
        <v>674</v>
      </c>
      <c r="D653" s="65">
        <v>45709</v>
      </c>
      <c r="E653" s="3" t="s">
        <v>211</v>
      </c>
      <c r="F653" s="3" t="s">
        <v>677</v>
      </c>
    </row>
    <row r="654" spans="1:6">
      <c r="A654" s="3" t="s">
        <v>1767</v>
      </c>
      <c r="B654" s="4">
        <v>55503935</v>
      </c>
      <c r="C654" s="3" t="s">
        <v>674</v>
      </c>
      <c r="D654" s="65">
        <v>45709</v>
      </c>
      <c r="E654" s="3" t="s">
        <v>211</v>
      </c>
      <c r="F654" s="3" t="s">
        <v>678</v>
      </c>
    </row>
    <row r="655" spans="1:6">
      <c r="A655" s="3" t="s">
        <v>1767</v>
      </c>
      <c r="B655" s="64">
        <v>55503969</v>
      </c>
      <c r="C655" s="45" t="s">
        <v>674</v>
      </c>
      <c r="D655" s="66">
        <v>45709</v>
      </c>
      <c r="E655" s="45" t="s">
        <v>211</v>
      </c>
      <c r="F655" s="45" t="s">
        <v>679</v>
      </c>
    </row>
    <row r="656" spans="1:6">
      <c r="A656" s="3" t="s">
        <v>1768</v>
      </c>
      <c r="B656" s="3">
        <v>55504206</v>
      </c>
      <c r="C656" s="3" t="s">
        <v>674</v>
      </c>
      <c r="D656" s="55">
        <v>45709</v>
      </c>
      <c r="E656" s="3" t="s">
        <v>211</v>
      </c>
      <c r="F656" s="3" t="s">
        <v>681</v>
      </c>
    </row>
    <row r="657" spans="1:6">
      <c r="A657" s="3" t="s">
        <v>1768</v>
      </c>
      <c r="B657" s="3">
        <v>55504188</v>
      </c>
      <c r="C657" s="3" t="s">
        <v>674</v>
      </c>
      <c r="D657" s="55">
        <v>45709</v>
      </c>
      <c r="E657" s="3" t="s">
        <v>211</v>
      </c>
      <c r="F657" s="3" t="s">
        <v>682</v>
      </c>
    </row>
    <row r="658" spans="1:6">
      <c r="A658" s="3" t="s">
        <v>1768</v>
      </c>
      <c r="B658" s="3">
        <v>55504303</v>
      </c>
      <c r="C658" s="3" t="s">
        <v>674</v>
      </c>
      <c r="D658" s="55">
        <v>45709</v>
      </c>
      <c r="E658" s="3" t="s">
        <v>211</v>
      </c>
      <c r="F658" s="3" t="s">
        <v>683</v>
      </c>
    </row>
    <row r="659" spans="1:6">
      <c r="A659" s="3" t="s">
        <v>1768</v>
      </c>
      <c r="B659" s="3">
        <v>55504345</v>
      </c>
      <c r="C659" s="3" t="s">
        <v>674</v>
      </c>
      <c r="D659" s="55">
        <v>45709</v>
      </c>
      <c r="E659" s="3" t="s">
        <v>211</v>
      </c>
      <c r="F659" s="3" t="s">
        <v>684</v>
      </c>
    </row>
    <row r="660" spans="1:6">
      <c r="A660" s="3" t="s">
        <v>1768</v>
      </c>
      <c r="B660" s="3">
        <v>55504388</v>
      </c>
      <c r="C660" s="3" t="s">
        <v>674</v>
      </c>
      <c r="D660" s="55">
        <v>45709</v>
      </c>
      <c r="E660" s="3" t="s">
        <v>211</v>
      </c>
      <c r="F660" s="3" t="s">
        <v>685</v>
      </c>
    </row>
    <row r="661" spans="1:6">
      <c r="A661" s="3" t="s">
        <v>1768</v>
      </c>
      <c r="B661" s="3">
        <v>55504421</v>
      </c>
      <c r="C661" s="3" t="s">
        <v>674</v>
      </c>
      <c r="D661" s="55">
        <v>45709</v>
      </c>
      <c r="E661" s="3" t="s">
        <v>211</v>
      </c>
      <c r="F661" s="3" t="s">
        <v>686</v>
      </c>
    </row>
    <row r="662" spans="1:6">
      <c r="A662" s="3" t="s">
        <v>1768</v>
      </c>
      <c r="B662" s="3">
        <v>55504460</v>
      </c>
      <c r="C662" s="3" t="s">
        <v>674</v>
      </c>
      <c r="D662" s="55">
        <v>45709</v>
      </c>
      <c r="E662" s="3" t="s">
        <v>211</v>
      </c>
      <c r="F662" s="3" t="s">
        <v>675</v>
      </c>
    </row>
    <row r="663" spans="1:6">
      <c r="A663" s="6" t="s">
        <v>687</v>
      </c>
      <c r="B663" s="67">
        <v>51507839</v>
      </c>
      <c r="C663" s="10" t="s">
        <v>36</v>
      </c>
      <c r="D663" s="55">
        <v>45713</v>
      </c>
      <c r="E663" s="11" t="s">
        <v>211</v>
      </c>
      <c r="F663" s="68" t="s">
        <v>688</v>
      </c>
    </row>
    <row r="664" spans="1:6">
      <c r="A664" s="6" t="s">
        <v>687</v>
      </c>
      <c r="B664" s="67">
        <v>51507845</v>
      </c>
      <c r="C664" s="10" t="s">
        <v>36</v>
      </c>
      <c r="D664" s="55">
        <v>45713</v>
      </c>
      <c r="E664" s="11" t="s">
        <v>211</v>
      </c>
      <c r="F664" s="68" t="s">
        <v>689</v>
      </c>
    </row>
    <row r="665" spans="1:6">
      <c r="A665" s="6" t="s">
        <v>687</v>
      </c>
      <c r="B665" s="67">
        <v>51507850</v>
      </c>
      <c r="C665" s="10" t="s">
        <v>36</v>
      </c>
      <c r="D665" s="55">
        <v>45713</v>
      </c>
      <c r="E665" s="11" t="s">
        <v>211</v>
      </c>
      <c r="F665" s="68" t="s">
        <v>688</v>
      </c>
    </row>
    <row r="666" spans="1:6">
      <c r="A666" s="6" t="s">
        <v>687</v>
      </c>
      <c r="B666" s="67">
        <v>52505611</v>
      </c>
      <c r="C666" s="10" t="s">
        <v>36</v>
      </c>
      <c r="D666" s="55">
        <v>45713</v>
      </c>
      <c r="E666" s="11" t="s">
        <v>211</v>
      </c>
      <c r="F666" s="68" t="s">
        <v>690</v>
      </c>
    </row>
    <row r="667" spans="1:6">
      <c r="A667" s="6" t="s">
        <v>687</v>
      </c>
      <c r="B667" s="67">
        <v>52505674</v>
      </c>
      <c r="C667" s="10" t="s">
        <v>36</v>
      </c>
      <c r="D667" s="55">
        <v>45713</v>
      </c>
      <c r="E667" s="11" t="s">
        <v>211</v>
      </c>
      <c r="F667" s="68" t="s">
        <v>691</v>
      </c>
    </row>
    <row r="668" spans="1:6">
      <c r="A668" s="6" t="s">
        <v>687</v>
      </c>
      <c r="B668" s="67">
        <v>51507828</v>
      </c>
      <c r="C668" s="10" t="s">
        <v>36</v>
      </c>
      <c r="D668" s="55">
        <v>45713</v>
      </c>
      <c r="E668" s="11" t="s">
        <v>211</v>
      </c>
      <c r="F668" s="68" t="s">
        <v>689</v>
      </c>
    </row>
    <row r="669" spans="1:6" hidden="1">
      <c r="A669" s="6" t="s">
        <v>453</v>
      </c>
      <c r="B669" s="29">
        <v>58500131</v>
      </c>
      <c r="C669" s="8" t="s">
        <v>36</v>
      </c>
      <c r="D669" s="55">
        <v>45715</v>
      </c>
      <c r="E669" s="3" t="s">
        <v>214</v>
      </c>
      <c r="F669" s="3" t="s">
        <v>694</v>
      </c>
    </row>
    <row r="670" spans="1:6" hidden="1">
      <c r="A670" s="6" t="s">
        <v>453</v>
      </c>
      <c r="B670" s="29">
        <v>58500140</v>
      </c>
      <c r="C670" s="8" t="s">
        <v>36</v>
      </c>
      <c r="D670" s="55">
        <v>45715</v>
      </c>
      <c r="E670" s="3" t="s">
        <v>214</v>
      </c>
      <c r="F670" s="3" t="s">
        <v>695</v>
      </c>
    </row>
    <row r="671" spans="1:6" hidden="1">
      <c r="A671" s="6" t="s">
        <v>453</v>
      </c>
      <c r="B671" s="29">
        <v>58500144</v>
      </c>
      <c r="C671" s="8" t="s">
        <v>36</v>
      </c>
      <c r="D671" s="55">
        <v>45715</v>
      </c>
      <c r="E671" s="3" t="s">
        <v>214</v>
      </c>
      <c r="F671" s="3" t="s">
        <v>696</v>
      </c>
    </row>
    <row r="672" spans="1:6" hidden="1">
      <c r="A672" s="6" t="s">
        <v>453</v>
      </c>
      <c r="B672" s="29">
        <v>58500147</v>
      </c>
      <c r="C672" s="8" t="s">
        <v>36</v>
      </c>
      <c r="D672" s="55">
        <v>45715</v>
      </c>
      <c r="E672" s="3" t="s">
        <v>214</v>
      </c>
      <c r="F672" s="3" t="s">
        <v>697</v>
      </c>
    </row>
    <row r="673" spans="1:6" hidden="1">
      <c r="A673" s="6" t="s">
        <v>453</v>
      </c>
      <c r="B673" s="29">
        <v>58500151</v>
      </c>
      <c r="C673" s="8" t="s">
        <v>36</v>
      </c>
      <c r="D673" s="55">
        <v>45715</v>
      </c>
      <c r="E673" s="3" t="s">
        <v>214</v>
      </c>
      <c r="F673" s="3" t="s">
        <v>698</v>
      </c>
    </row>
    <row r="674" spans="1:6" hidden="1">
      <c r="A674" s="6" t="s">
        <v>453</v>
      </c>
      <c r="B674" s="29">
        <v>58500155</v>
      </c>
      <c r="C674" s="8" t="s">
        <v>36</v>
      </c>
      <c r="D674" s="55">
        <v>45715</v>
      </c>
      <c r="E674" s="3" t="s">
        <v>214</v>
      </c>
      <c r="F674" s="3" t="s">
        <v>699</v>
      </c>
    </row>
    <row r="675" spans="1:6" hidden="1">
      <c r="A675" s="6" t="s">
        <v>453</v>
      </c>
      <c r="B675" s="29">
        <v>58500158</v>
      </c>
      <c r="C675" s="8" t="s">
        <v>36</v>
      </c>
      <c r="D675" s="55">
        <v>45715</v>
      </c>
      <c r="E675" s="3" t="s">
        <v>214</v>
      </c>
      <c r="F675" s="3" t="s">
        <v>700</v>
      </c>
    </row>
    <row r="676" spans="1:6" hidden="1">
      <c r="A676" s="6" t="s">
        <v>453</v>
      </c>
      <c r="B676" s="29">
        <v>58500162</v>
      </c>
      <c r="C676" s="8" t="s">
        <v>36</v>
      </c>
      <c r="D676" s="55">
        <v>45715</v>
      </c>
      <c r="E676" s="3" t="s">
        <v>214</v>
      </c>
      <c r="F676" s="3" t="s">
        <v>701</v>
      </c>
    </row>
    <row r="677" spans="1:6" hidden="1">
      <c r="A677" s="6" t="s">
        <v>453</v>
      </c>
      <c r="B677" s="29">
        <v>58500167</v>
      </c>
      <c r="C677" s="8" t="s">
        <v>36</v>
      </c>
      <c r="D677" s="55">
        <v>45715</v>
      </c>
      <c r="E677" s="3" t="s">
        <v>214</v>
      </c>
      <c r="F677" s="3" t="s">
        <v>699</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702</v>
      </c>
    </row>
    <row r="681" spans="1:6" hidden="1">
      <c r="A681" s="6" t="s">
        <v>453</v>
      </c>
      <c r="B681" s="29">
        <v>58500184</v>
      </c>
      <c r="C681" s="8" t="s">
        <v>36</v>
      </c>
      <c r="D681" s="55">
        <v>45715</v>
      </c>
      <c r="E681" s="3" t="s">
        <v>214</v>
      </c>
      <c r="F681" s="3" t="s">
        <v>702</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703</v>
      </c>
    </row>
    <row r="685" spans="1:6" hidden="1">
      <c r="A685" s="6" t="s">
        <v>453</v>
      </c>
      <c r="B685" s="29">
        <v>58500204</v>
      </c>
      <c r="C685" s="8" t="s">
        <v>36</v>
      </c>
      <c r="D685" s="55">
        <v>45715</v>
      </c>
      <c r="E685" s="3" t="s">
        <v>214</v>
      </c>
      <c r="F685" s="3" t="s">
        <v>699</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559</v>
      </c>
      <c r="B688" s="41">
        <v>59506815</v>
      </c>
      <c r="C688" s="56" t="s">
        <v>36</v>
      </c>
      <c r="D688" s="20">
        <v>45716</v>
      </c>
      <c r="E688" s="4" t="s">
        <v>146</v>
      </c>
      <c r="F688" s="41" t="s">
        <v>713</v>
      </c>
    </row>
    <row r="689" spans="1:6" hidden="1">
      <c r="A689" s="73" t="s">
        <v>559</v>
      </c>
      <c r="B689" s="41">
        <v>59506821</v>
      </c>
      <c r="C689" s="56" t="s">
        <v>36</v>
      </c>
      <c r="D689" s="20">
        <v>45716</v>
      </c>
      <c r="E689" s="4" t="s">
        <v>146</v>
      </c>
      <c r="F689" s="41" t="s">
        <v>714</v>
      </c>
    </row>
    <row r="690" spans="1:6" hidden="1">
      <c r="A690" s="73" t="s">
        <v>559</v>
      </c>
      <c r="B690" s="41">
        <v>59506828</v>
      </c>
      <c r="C690" s="56" t="s">
        <v>36</v>
      </c>
      <c r="D690" s="20">
        <v>45716</v>
      </c>
      <c r="E690" s="4" t="s">
        <v>146</v>
      </c>
      <c r="F690" s="41" t="s">
        <v>715</v>
      </c>
    </row>
    <row r="691" spans="1:6" hidden="1">
      <c r="A691" s="41" t="s">
        <v>559</v>
      </c>
      <c r="B691" s="41">
        <v>62510624</v>
      </c>
      <c r="C691" s="56" t="s">
        <v>36</v>
      </c>
      <c r="D691" s="20">
        <v>45719</v>
      </c>
      <c r="E691" s="3" t="s">
        <v>146</v>
      </c>
      <c r="F691" s="41" t="s">
        <v>716</v>
      </c>
    </row>
    <row r="692" spans="1:6" hidden="1">
      <c r="A692" s="41" t="s">
        <v>559</v>
      </c>
      <c r="B692" s="41">
        <v>62510633</v>
      </c>
      <c r="C692" s="56" t="s">
        <v>36</v>
      </c>
      <c r="D692" s="20">
        <v>45719</v>
      </c>
      <c r="E692" s="3" t="s">
        <v>146</v>
      </c>
      <c r="F692" s="41" t="s">
        <v>717</v>
      </c>
    </row>
    <row r="693" spans="1:6" hidden="1">
      <c r="A693" s="43" t="s">
        <v>559</v>
      </c>
      <c r="B693" s="43">
        <v>62510650</v>
      </c>
      <c r="C693" s="61" t="s">
        <v>36</v>
      </c>
      <c r="D693" s="21">
        <v>45719</v>
      </c>
      <c r="E693" s="45" t="s">
        <v>146</v>
      </c>
      <c r="F693" s="43" t="s">
        <v>718</v>
      </c>
    </row>
    <row r="694" spans="1:6" hidden="1">
      <c r="A694" s="41" t="s">
        <v>719</v>
      </c>
      <c r="B694" s="41">
        <v>63506713</v>
      </c>
      <c r="C694" s="56" t="s">
        <v>36</v>
      </c>
      <c r="D694" s="42">
        <v>45720</v>
      </c>
      <c r="E694" s="3" t="s">
        <v>146</v>
      </c>
      <c r="F694" s="41" t="s">
        <v>720</v>
      </c>
    </row>
    <row r="695" spans="1:6" hidden="1">
      <c r="A695" s="41" t="s">
        <v>719</v>
      </c>
      <c r="B695" s="41">
        <v>63506798</v>
      </c>
      <c r="C695" s="56" t="s">
        <v>36</v>
      </c>
      <c r="D695" s="42">
        <v>45720</v>
      </c>
      <c r="E695" s="3" t="s">
        <v>146</v>
      </c>
      <c r="F695" s="41" t="s">
        <v>721</v>
      </c>
    </row>
    <row r="696" spans="1:6" hidden="1">
      <c r="A696" s="41" t="s">
        <v>719</v>
      </c>
      <c r="B696" s="41">
        <v>63506835</v>
      </c>
      <c r="C696" s="56" t="s">
        <v>36</v>
      </c>
      <c r="D696" s="42">
        <v>45720</v>
      </c>
      <c r="E696" s="3" t="s">
        <v>146</v>
      </c>
      <c r="F696" s="41" t="s">
        <v>722</v>
      </c>
    </row>
    <row r="697" spans="1:6" hidden="1">
      <c r="A697" s="41" t="s">
        <v>719</v>
      </c>
      <c r="B697" s="41">
        <v>63506882</v>
      </c>
      <c r="C697" s="56" t="s">
        <v>36</v>
      </c>
      <c r="D697" s="42">
        <v>45720</v>
      </c>
      <c r="E697" s="3" t="s">
        <v>146</v>
      </c>
      <c r="F697" s="41" t="s">
        <v>723</v>
      </c>
    </row>
    <row r="698" spans="1:6" hidden="1">
      <c r="A698" s="41" t="s">
        <v>719</v>
      </c>
      <c r="B698" s="41">
        <v>63506927</v>
      </c>
      <c r="C698" s="56" t="s">
        <v>36</v>
      </c>
      <c r="D698" s="42">
        <v>45720</v>
      </c>
      <c r="E698" s="3" t="s">
        <v>146</v>
      </c>
      <c r="F698" s="41" t="s">
        <v>724</v>
      </c>
    </row>
    <row r="699" spans="1:6" hidden="1">
      <c r="A699" s="41" t="s">
        <v>719</v>
      </c>
      <c r="B699" s="41">
        <v>63506990</v>
      </c>
      <c r="C699" s="56" t="s">
        <v>36</v>
      </c>
      <c r="D699" s="42">
        <v>45720</v>
      </c>
      <c r="E699" s="3" t="s">
        <v>146</v>
      </c>
      <c r="F699" s="41" t="s">
        <v>725</v>
      </c>
    </row>
    <row r="700" spans="1:6" hidden="1">
      <c r="A700" s="41" t="s">
        <v>719</v>
      </c>
      <c r="B700" s="41">
        <v>63507052</v>
      </c>
      <c r="C700" s="56" t="s">
        <v>36</v>
      </c>
      <c r="D700" s="42">
        <v>45720</v>
      </c>
      <c r="E700" s="3" t="s">
        <v>146</v>
      </c>
      <c r="F700" s="41" t="s">
        <v>726</v>
      </c>
    </row>
    <row r="701" spans="1:6" hidden="1">
      <c r="A701" s="41" t="s">
        <v>719</v>
      </c>
      <c r="B701" s="41">
        <v>63507110</v>
      </c>
      <c r="C701" s="56" t="s">
        <v>36</v>
      </c>
      <c r="D701" s="42">
        <v>45720</v>
      </c>
      <c r="E701" s="3" t="s">
        <v>146</v>
      </c>
      <c r="F701" s="41" t="s">
        <v>727</v>
      </c>
    </row>
    <row r="702" spans="1:6" hidden="1">
      <c r="A702" s="41" t="s">
        <v>719</v>
      </c>
      <c r="B702" s="41">
        <v>63507170</v>
      </c>
      <c r="C702" s="56" t="s">
        <v>36</v>
      </c>
      <c r="D702" s="42">
        <v>45720</v>
      </c>
      <c r="E702" s="3" t="s">
        <v>146</v>
      </c>
      <c r="F702" s="41" t="s">
        <v>728</v>
      </c>
    </row>
    <row r="703" spans="1:6" hidden="1">
      <c r="A703" s="41" t="s">
        <v>719</v>
      </c>
      <c r="B703" s="41">
        <v>63507263</v>
      </c>
      <c r="C703" s="56" t="s">
        <v>36</v>
      </c>
      <c r="D703" s="42">
        <v>45720</v>
      </c>
      <c r="E703" s="3" t="s">
        <v>146</v>
      </c>
      <c r="F703" s="41" t="s">
        <v>729</v>
      </c>
    </row>
    <row r="704" spans="1:6" hidden="1">
      <c r="A704" s="41" t="s">
        <v>440</v>
      </c>
      <c r="B704" s="29">
        <v>63508545</v>
      </c>
      <c r="C704" s="56" t="s">
        <v>36</v>
      </c>
      <c r="D704" s="42">
        <v>45720</v>
      </c>
      <c r="E704" s="3" t="s">
        <v>214</v>
      </c>
      <c r="F704" s="3" t="s">
        <v>730</v>
      </c>
    </row>
    <row r="705" spans="1:6" hidden="1">
      <c r="A705" s="41" t="s">
        <v>440</v>
      </c>
      <c r="B705" s="29">
        <v>63508556</v>
      </c>
      <c r="C705" s="56" t="s">
        <v>36</v>
      </c>
      <c r="D705" s="42">
        <v>45720</v>
      </c>
      <c r="E705" s="3" t="s">
        <v>214</v>
      </c>
      <c r="F705" s="3" t="s">
        <v>730</v>
      </c>
    </row>
    <row r="706" spans="1:6" hidden="1">
      <c r="A706" s="69" t="s">
        <v>731</v>
      </c>
      <c r="B706" s="71">
        <v>63509146</v>
      </c>
      <c r="C706" s="56" t="s">
        <v>36</v>
      </c>
      <c r="D706" s="42">
        <v>45720</v>
      </c>
      <c r="E706" s="3" t="s">
        <v>214</v>
      </c>
      <c r="F706" s="60" t="s">
        <v>732</v>
      </c>
    </row>
    <row r="707" spans="1:6" hidden="1">
      <c r="A707" s="41" t="s">
        <v>731</v>
      </c>
      <c r="B707" s="74">
        <v>63509173</v>
      </c>
      <c r="C707" s="56" t="s">
        <v>36</v>
      </c>
      <c r="D707" s="42">
        <v>45720</v>
      </c>
      <c r="E707" s="3" t="s">
        <v>214</v>
      </c>
      <c r="F707" s="3" t="s">
        <v>733</v>
      </c>
    </row>
    <row r="708" spans="1:6" hidden="1">
      <c r="A708" s="41" t="s">
        <v>731</v>
      </c>
      <c r="B708" s="74">
        <v>63509176</v>
      </c>
      <c r="C708" s="56" t="s">
        <v>36</v>
      </c>
      <c r="D708" s="42">
        <v>45720</v>
      </c>
      <c r="E708" s="3" t="s">
        <v>214</v>
      </c>
      <c r="F708" s="3" t="s">
        <v>734</v>
      </c>
    </row>
    <row r="709" spans="1:6" hidden="1">
      <c r="A709" s="41" t="s">
        <v>731</v>
      </c>
      <c r="B709" s="74">
        <v>63509184</v>
      </c>
      <c r="C709" s="56" t="s">
        <v>36</v>
      </c>
      <c r="D709" s="42">
        <v>45720</v>
      </c>
      <c r="E709" s="3" t="s">
        <v>214</v>
      </c>
      <c r="F709" s="3" t="s">
        <v>735</v>
      </c>
    </row>
    <row r="710" spans="1:6" hidden="1">
      <c r="A710" s="41" t="s">
        <v>731</v>
      </c>
      <c r="B710" s="74">
        <v>63509188</v>
      </c>
      <c r="C710" s="56" t="s">
        <v>36</v>
      </c>
      <c r="D710" s="42">
        <v>45720</v>
      </c>
      <c r="E710" s="3" t="s">
        <v>214</v>
      </c>
      <c r="F710" s="3" t="s">
        <v>736</v>
      </c>
    </row>
    <row r="711" spans="1:6" hidden="1">
      <c r="A711" s="41" t="s">
        <v>731</v>
      </c>
      <c r="B711" s="74">
        <v>63509195</v>
      </c>
      <c r="C711" s="56" t="s">
        <v>36</v>
      </c>
      <c r="D711" s="42">
        <v>45720</v>
      </c>
      <c r="E711" s="3" t="s">
        <v>214</v>
      </c>
      <c r="F711" s="3" t="s">
        <v>737</v>
      </c>
    </row>
    <row r="712" spans="1:6" hidden="1">
      <c r="A712" s="41" t="s">
        <v>731</v>
      </c>
      <c r="B712" s="74">
        <v>63509198</v>
      </c>
      <c r="C712" s="56" t="s">
        <v>36</v>
      </c>
      <c r="D712" s="42">
        <v>45720</v>
      </c>
      <c r="E712" s="3" t="s">
        <v>214</v>
      </c>
      <c r="F712" s="3" t="s">
        <v>738</v>
      </c>
    </row>
    <row r="713" spans="1:6" hidden="1">
      <c r="A713" s="41" t="s">
        <v>731</v>
      </c>
      <c r="B713" s="74">
        <v>63509220</v>
      </c>
      <c r="C713" s="56" t="s">
        <v>36</v>
      </c>
      <c r="D713" s="42">
        <v>45720</v>
      </c>
      <c r="E713" s="3" t="s">
        <v>214</v>
      </c>
      <c r="F713" s="3" t="s">
        <v>739</v>
      </c>
    </row>
    <row r="714" spans="1:6" hidden="1">
      <c r="A714" s="41" t="s">
        <v>731</v>
      </c>
      <c r="B714" s="74">
        <v>63509226</v>
      </c>
      <c r="C714" s="56" t="s">
        <v>36</v>
      </c>
      <c r="D714" s="42">
        <v>45720</v>
      </c>
      <c r="E714" s="3" t="s">
        <v>214</v>
      </c>
      <c r="F714" s="3" t="s">
        <v>740</v>
      </c>
    </row>
    <row r="715" spans="1:6" hidden="1">
      <c r="A715" s="41" t="s">
        <v>731</v>
      </c>
      <c r="B715" s="74">
        <v>63509235</v>
      </c>
      <c r="C715" s="56" t="s">
        <v>36</v>
      </c>
      <c r="D715" s="42">
        <v>45720</v>
      </c>
      <c r="E715" s="3" t="s">
        <v>214</v>
      </c>
      <c r="F715" s="3" t="s">
        <v>741</v>
      </c>
    </row>
    <row r="716" spans="1:6" hidden="1">
      <c r="A716" s="41" t="s">
        <v>731</v>
      </c>
      <c r="B716" s="74">
        <v>63509258</v>
      </c>
      <c r="C716" s="56" t="s">
        <v>36</v>
      </c>
      <c r="D716" s="42">
        <v>45720</v>
      </c>
      <c r="E716" s="3" t="s">
        <v>214</v>
      </c>
      <c r="F716" s="3" t="s">
        <v>742</v>
      </c>
    </row>
    <row r="717" spans="1:6" hidden="1">
      <c r="A717" s="41" t="s">
        <v>731</v>
      </c>
      <c r="B717" s="74">
        <v>63509266</v>
      </c>
      <c r="C717" s="56" t="s">
        <v>36</v>
      </c>
      <c r="D717" s="42">
        <v>45720</v>
      </c>
      <c r="E717" s="3" t="s">
        <v>214</v>
      </c>
      <c r="F717" s="3" t="s">
        <v>743</v>
      </c>
    </row>
    <row r="718" spans="1:6" hidden="1">
      <c r="A718" s="41" t="s">
        <v>731</v>
      </c>
      <c r="B718" s="74">
        <v>63509281</v>
      </c>
      <c r="C718" s="56" t="s">
        <v>36</v>
      </c>
      <c r="D718" s="42">
        <v>45720</v>
      </c>
      <c r="E718" s="3" t="s">
        <v>214</v>
      </c>
      <c r="F718" s="3" t="s">
        <v>744</v>
      </c>
    </row>
    <row r="719" spans="1:6" hidden="1">
      <c r="A719" s="41" t="s">
        <v>731</v>
      </c>
      <c r="B719" s="74">
        <v>64500533</v>
      </c>
      <c r="C719" s="56" t="s">
        <v>36</v>
      </c>
      <c r="D719" s="42">
        <v>45720</v>
      </c>
      <c r="E719" s="3" t="s">
        <v>214</v>
      </c>
      <c r="F719" s="3" t="s">
        <v>745</v>
      </c>
    </row>
    <row r="720" spans="1:6" hidden="1">
      <c r="A720" s="41" t="s">
        <v>731</v>
      </c>
      <c r="B720" s="74">
        <v>63509297</v>
      </c>
      <c r="C720" s="56" t="s">
        <v>36</v>
      </c>
      <c r="D720" s="42">
        <v>45720</v>
      </c>
      <c r="E720" s="3" t="s">
        <v>214</v>
      </c>
      <c r="F720" s="3" t="s">
        <v>746</v>
      </c>
    </row>
    <row r="721" spans="1:6" hidden="1">
      <c r="A721" s="41" t="s">
        <v>731</v>
      </c>
      <c r="B721" s="74">
        <v>63509304</v>
      </c>
      <c r="C721" s="56" t="s">
        <v>36</v>
      </c>
      <c r="D721" s="42">
        <v>45720</v>
      </c>
      <c r="E721" s="3" t="s">
        <v>214</v>
      </c>
      <c r="F721" s="3" t="s">
        <v>747</v>
      </c>
    </row>
    <row r="722" spans="1:6" hidden="1">
      <c r="A722" s="41" t="s">
        <v>731</v>
      </c>
      <c r="B722" s="74">
        <v>63509316</v>
      </c>
      <c r="C722" s="56" t="s">
        <v>36</v>
      </c>
      <c r="D722" s="42">
        <v>45720</v>
      </c>
      <c r="E722" s="3" t="s">
        <v>214</v>
      </c>
      <c r="F722" s="3" t="s">
        <v>748</v>
      </c>
    </row>
    <row r="723" spans="1:6" hidden="1">
      <c r="A723" s="41" t="s">
        <v>731</v>
      </c>
      <c r="B723" s="74">
        <v>63509322</v>
      </c>
      <c r="C723" s="56" t="s">
        <v>36</v>
      </c>
      <c r="D723" s="42">
        <v>45720</v>
      </c>
      <c r="E723" s="3" t="s">
        <v>214</v>
      </c>
      <c r="F723" s="3" t="s">
        <v>749</v>
      </c>
    </row>
    <row r="724" spans="1:6" hidden="1">
      <c r="A724" s="41" t="s">
        <v>731</v>
      </c>
      <c r="B724" s="74">
        <v>63509359</v>
      </c>
      <c r="C724" s="56" t="s">
        <v>36</v>
      </c>
      <c r="D724" s="42">
        <v>45720</v>
      </c>
      <c r="E724" s="3" t="s">
        <v>214</v>
      </c>
      <c r="F724" s="3" t="s">
        <v>750</v>
      </c>
    </row>
    <row r="725" spans="1:6" hidden="1">
      <c r="A725" s="41" t="s">
        <v>731</v>
      </c>
      <c r="B725" s="74">
        <v>63509368</v>
      </c>
      <c r="C725" s="56" t="s">
        <v>36</v>
      </c>
      <c r="D725" s="42">
        <v>45720</v>
      </c>
      <c r="E725" s="3" t="s">
        <v>214</v>
      </c>
      <c r="F725" s="3" t="s">
        <v>751</v>
      </c>
    </row>
    <row r="726" spans="1:6" hidden="1">
      <c r="A726" s="41" t="s">
        <v>731</v>
      </c>
      <c r="B726" s="74">
        <v>63509377</v>
      </c>
      <c r="C726" s="56" t="s">
        <v>36</v>
      </c>
      <c r="D726" s="42">
        <v>45720</v>
      </c>
      <c r="E726" s="3" t="s">
        <v>214</v>
      </c>
      <c r="F726" s="3" t="s">
        <v>752</v>
      </c>
    </row>
    <row r="727" spans="1:6" hidden="1">
      <c r="A727" s="41" t="s">
        <v>731</v>
      </c>
      <c r="B727" s="74">
        <v>63509381</v>
      </c>
      <c r="C727" s="56" t="s">
        <v>36</v>
      </c>
      <c r="D727" s="42">
        <v>45720</v>
      </c>
      <c r="E727" s="3" t="s">
        <v>214</v>
      </c>
      <c r="F727" s="3" t="s">
        <v>753</v>
      </c>
    </row>
    <row r="728" spans="1:6" hidden="1">
      <c r="A728" s="41" t="s">
        <v>731</v>
      </c>
      <c r="B728" s="74">
        <v>63509388</v>
      </c>
      <c r="C728" s="56" t="s">
        <v>36</v>
      </c>
      <c r="D728" s="42">
        <v>45720</v>
      </c>
      <c r="E728" s="3" t="s">
        <v>214</v>
      </c>
      <c r="F728" s="3" t="s">
        <v>754</v>
      </c>
    </row>
    <row r="729" spans="1:6" hidden="1">
      <c r="A729" s="41" t="s">
        <v>731</v>
      </c>
      <c r="B729" s="74">
        <v>63509397</v>
      </c>
      <c r="C729" s="56" t="s">
        <v>36</v>
      </c>
      <c r="D729" s="42">
        <v>45720</v>
      </c>
      <c r="E729" s="3" t="s">
        <v>214</v>
      </c>
      <c r="F729" s="3" t="s">
        <v>755</v>
      </c>
    </row>
    <row r="730" spans="1:6" hidden="1">
      <c r="A730" s="41" t="s">
        <v>731</v>
      </c>
      <c r="B730" s="74">
        <v>63509399</v>
      </c>
      <c r="C730" s="56" t="s">
        <v>36</v>
      </c>
      <c r="D730" s="42">
        <v>45720</v>
      </c>
      <c r="E730" s="3" t="s">
        <v>214</v>
      </c>
      <c r="F730" s="3" t="s">
        <v>756</v>
      </c>
    </row>
    <row r="731" spans="1:6" hidden="1">
      <c r="A731" s="41" t="s">
        <v>731</v>
      </c>
      <c r="B731" s="74">
        <v>63509411</v>
      </c>
      <c r="C731" s="56" t="s">
        <v>36</v>
      </c>
      <c r="D731" s="42">
        <v>45720</v>
      </c>
      <c r="E731" s="3" t="s">
        <v>214</v>
      </c>
      <c r="F731" s="3" t="s">
        <v>757</v>
      </c>
    </row>
    <row r="732" spans="1:6" hidden="1">
      <c r="A732" s="41" t="s">
        <v>731</v>
      </c>
      <c r="B732" s="74">
        <v>63509426</v>
      </c>
      <c r="C732" s="56" t="s">
        <v>36</v>
      </c>
      <c r="D732" s="42">
        <v>45720</v>
      </c>
      <c r="E732" s="3" t="s">
        <v>214</v>
      </c>
      <c r="F732" s="3" t="s">
        <v>758</v>
      </c>
    </row>
    <row r="733" spans="1:6" hidden="1">
      <c r="A733" s="41" t="s">
        <v>731</v>
      </c>
      <c r="B733" s="74">
        <v>63509435</v>
      </c>
      <c r="C733" s="56" t="s">
        <v>36</v>
      </c>
      <c r="D733" s="42">
        <v>45720</v>
      </c>
      <c r="E733" s="3" t="s">
        <v>214</v>
      </c>
      <c r="F733" s="3" t="s">
        <v>759</v>
      </c>
    </row>
    <row r="734" spans="1:6" hidden="1">
      <c r="A734" s="41" t="s">
        <v>731</v>
      </c>
      <c r="B734" s="74">
        <v>63509438</v>
      </c>
      <c r="C734" s="56" t="s">
        <v>36</v>
      </c>
      <c r="D734" s="42">
        <v>45720</v>
      </c>
      <c r="E734" s="3" t="s">
        <v>214</v>
      </c>
      <c r="F734" s="3" t="s">
        <v>760</v>
      </c>
    </row>
    <row r="735" spans="1:6" hidden="1">
      <c r="A735" s="41" t="s">
        <v>731</v>
      </c>
      <c r="B735" s="74">
        <v>63509451</v>
      </c>
      <c r="C735" s="56" t="s">
        <v>36</v>
      </c>
      <c r="D735" s="42">
        <v>45720</v>
      </c>
      <c r="E735" s="3" t="s">
        <v>214</v>
      </c>
      <c r="F735" s="3" t="s">
        <v>761</v>
      </c>
    </row>
    <row r="736" spans="1:6" hidden="1">
      <c r="A736" s="18" t="s">
        <v>766</v>
      </c>
      <c r="B736" s="18">
        <v>65503931</v>
      </c>
      <c r="C736" s="77" t="s">
        <v>36</v>
      </c>
      <c r="D736" s="76">
        <v>45722</v>
      </c>
      <c r="E736" s="3" t="s">
        <v>214</v>
      </c>
      <c r="F736" s="18" t="s">
        <v>767</v>
      </c>
    </row>
    <row r="737" spans="1:6" hidden="1">
      <c r="A737" s="18" t="s">
        <v>766</v>
      </c>
      <c r="B737" s="18">
        <v>65503959</v>
      </c>
      <c r="C737" s="78" t="s">
        <v>36</v>
      </c>
      <c r="D737" s="55">
        <v>45722</v>
      </c>
      <c r="E737" s="30" t="s">
        <v>214</v>
      </c>
      <c r="F737" s="18" t="s">
        <v>768</v>
      </c>
    </row>
    <row r="738" spans="1:6" hidden="1">
      <c r="A738" s="18" t="s">
        <v>766</v>
      </c>
      <c r="B738" s="18">
        <v>65503976</v>
      </c>
      <c r="C738" s="78" t="s">
        <v>36</v>
      </c>
      <c r="D738" s="55">
        <v>45722</v>
      </c>
      <c r="E738" s="30" t="s">
        <v>214</v>
      </c>
      <c r="F738" s="18" t="s">
        <v>769</v>
      </c>
    </row>
    <row r="739" spans="1:6" hidden="1">
      <c r="A739" s="18" t="s">
        <v>766</v>
      </c>
      <c r="B739" s="18">
        <v>65503998</v>
      </c>
      <c r="C739" s="78" t="s">
        <v>36</v>
      </c>
      <c r="D739" s="55">
        <v>45722</v>
      </c>
      <c r="E739" s="30" t="s">
        <v>214</v>
      </c>
      <c r="F739" s="18" t="s">
        <v>770</v>
      </c>
    </row>
    <row r="740" spans="1:6" hidden="1">
      <c r="A740" s="18" t="s">
        <v>766</v>
      </c>
      <c r="B740" s="18">
        <v>65504004</v>
      </c>
      <c r="C740" s="78" t="s">
        <v>36</v>
      </c>
      <c r="D740" s="55">
        <v>45722</v>
      </c>
      <c r="E740" s="30" t="s">
        <v>214</v>
      </c>
      <c r="F740" s="18" t="s">
        <v>771</v>
      </c>
    </row>
    <row r="741" spans="1:6" hidden="1">
      <c r="A741" s="18" t="s">
        <v>766</v>
      </c>
      <c r="B741" s="18">
        <v>65504040</v>
      </c>
      <c r="C741" s="78" t="s">
        <v>36</v>
      </c>
      <c r="D741" s="55">
        <v>45722</v>
      </c>
      <c r="E741" s="30" t="s">
        <v>214</v>
      </c>
      <c r="F741" s="18" t="s">
        <v>772</v>
      </c>
    </row>
    <row r="742" spans="1:6" hidden="1">
      <c r="A742" s="18" t="s">
        <v>766</v>
      </c>
      <c r="B742" s="18">
        <v>65504059</v>
      </c>
      <c r="C742" s="78" t="s">
        <v>36</v>
      </c>
      <c r="D742" s="55">
        <v>45722</v>
      </c>
      <c r="E742" s="30" t="s">
        <v>214</v>
      </c>
      <c r="F742" s="18" t="s">
        <v>773</v>
      </c>
    </row>
    <row r="743" spans="1:6" hidden="1">
      <c r="A743" s="18" t="s">
        <v>766</v>
      </c>
      <c r="B743" s="18">
        <v>65504096</v>
      </c>
      <c r="C743" s="78" t="s">
        <v>36</v>
      </c>
      <c r="D743" s="55">
        <v>45722</v>
      </c>
      <c r="E743" s="30" t="s">
        <v>214</v>
      </c>
      <c r="F743" s="18" t="s">
        <v>774</v>
      </c>
    </row>
    <row r="744" spans="1:6" hidden="1">
      <c r="A744" s="18" t="s">
        <v>766</v>
      </c>
      <c r="B744" s="18">
        <v>65504108</v>
      </c>
      <c r="C744" s="78" t="s">
        <v>36</v>
      </c>
      <c r="D744" s="55">
        <v>45722</v>
      </c>
      <c r="E744" s="30" t="s">
        <v>214</v>
      </c>
      <c r="F744" s="18" t="s">
        <v>775</v>
      </c>
    </row>
    <row r="745" spans="1:6" hidden="1">
      <c r="A745" s="18" t="s">
        <v>766</v>
      </c>
      <c r="B745" s="18">
        <v>65504150</v>
      </c>
      <c r="C745" s="78" t="s">
        <v>36</v>
      </c>
      <c r="D745" s="55">
        <v>45722</v>
      </c>
      <c r="E745" s="30" t="s">
        <v>214</v>
      </c>
      <c r="F745" s="18" t="s">
        <v>776</v>
      </c>
    </row>
    <row r="746" spans="1:6" hidden="1">
      <c r="A746" s="18" t="s">
        <v>766</v>
      </c>
      <c r="B746" s="18">
        <v>65504164</v>
      </c>
      <c r="C746" s="78" t="s">
        <v>36</v>
      </c>
      <c r="D746" s="55">
        <v>45722</v>
      </c>
      <c r="E746" s="30" t="s">
        <v>214</v>
      </c>
      <c r="F746" s="18" t="s">
        <v>777</v>
      </c>
    </row>
    <row r="747" spans="1:6" hidden="1">
      <c r="A747" s="18" t="s">
        <v>766</v>
      </c>
      <c r="B747" s="18">
        <v>65504187</v>
      </c>
      <c r="C747" s="78" t="s">
        <v>36</v>
      </c>
      <c r="D747" s="55">
        <v>45722</v>
      </c>
      <c r="E747" s="30" t="s">
        <v>214</v>
      </c>
      <c r="F747" s="18" t="s">
        <v>778</v>
      </c>
    </row>
    <row r="748" spans="1:6" hidden="1">
      <c r="A748" s="18" t="s">
        <v>766</v>
      </c>
      <c r="B748" s="18">
        <v>65504195</v>
      </c>
      <c r="C748" s="78" t="s">
        <v>36</v>
      </c>
      <c r="D748" s="55">
        <v>45722</v>
      </c>
      <c r="E748" s="30" t="s">
        <v>214</v>
      </c>
      <c r="F748" s="18" t="s">
        <v>779</v>
      </c>
    </row>
    <row r="749" spans="1:6" hidden="1">
      <c r="A749" s="18" t="s">
        <v>766</v>
      </c>
      <c r="B749" s="18">
        <v>65504210</v>
      </c>
      <c r="C749" s="78" t="s">
        <v>36</v>
      </c>
      <c r="D749" s="55">
        <v>45722</v>
      </c>
      <c r="E749" s="30" t="s">
        <v>214</v>
      </c>
      <c r="F749" s="18" t="s">
        <v>780</v>
      </c>
    </row>
    <row r="750" spans="1:6" hidden="1">
      <c r="A750" s="70" t="s">
        <v>766</v>
      </c>
      <c r="B750" s="70">
        <v>65504234</v>
      </c>
      <c r="C750" s="79" t="s">
        <v>36</v>
      </c>
      <c r="D750" s="55">
        <v>45722</v>
      </c>
      <c r="E750" s="30" t="s">
        <v>214</v>
      </c>
      <c r="F750" s="70" t="s">
        <v>781</v>
      </c>
    </row>
    <row r="751" spans="1:6" hidden="1">
      <c r="A751" s="18" t="s">
        <v>782</v>
      </c>
      <c r="B751" s="18">
        <v>65505251</v>
      </c>
      <c r="C751" s="78" t="s">
        <v>36</v>
      </c>
      <c r="D751" s="55">
        <v>45722</v>
      </c>
      <c r="E751" s="30" t="s">
        <v>214</v>
      </c>
      <c r="F751" s="18" t="s">
        <v>784</v>
      </c>
    </row>
    <row r="752" spans="1:6" hidden="1">
      <c r="A752" s="18" t="s">
        <v>782</v>
      </c>
      <c r="B752" s="18">
        <v>65505281</v>
      </c>
      <c r="C752" s="78" t="s">
        <v>36</v>
      </c>
      <c r="D752" s="55">
        <v>45722</v>
      </c>
      <c r="E752" s="30" t="s">
        <v>214</v>
      </c>
      <c r="F752" s="18" t="s">
        <v>785</v>
      </c>
    </row>
    <row r="753" spans="1:6" hidden="1">
      <c r="A753" s="18" t="s">
        <v>782</v>
      </c>
      <c r="B753" s="18">
        <v>65505299</v>
      </c>
      <c r="C753" s="78" t="s">
        <v>36</v>
      </c>
      <c r="D753" s="55">
        <v>45722</v>
      </c>
      <c r="E753" s="30" t="s">
        <v>214</v>
      </c>
      <c r="F753" s="18" t="s">
        <v>786</v>
      </c>
    </row>
    <row r="754" spans="1:6" hidden="1">
      <c r="A754" s="18" t="s">
        <v>782</v>
      </c>
      <c r="B754" s="18">
        <v>65505316</v>
      </c>
      <c r="C754" s="78" t="s">
        <v>36</v>
      </c>
      <c r="D754" s="55">
        <v>45722</v>
      </c>
      <c r="E754" s="30" t="s">
        <v>214</v>
      </c>
      <c r="F754" s="18" t="s">
        <v>787</v>
      </c>
    </row>
    <row r="755" spans="1:6" hidden="1">
      <c r="A755" s="18" t="s">
        <v>782</v>
      </c>
      <c r="B755" s="18">
        <v>65505367</v>
      </c>
      <c r="C755" s="78" t="s">
        <v>36</v>
      </c>
      <c r="D755" s="55">
        <v>45722</v>
      </c>
      <c r="E755" s="30" t="s">
        <v>214</v>
      </c>
      <c r="F755" s="18" t="s">
        <v>788</v>
      </c>
    </row>
    <row r="756" spans="1:6" hidden="1">
      <c r="A756" s="18" t="s">
        <v>782</v>
      </c>
      <c r="B756" s="18">
        <v>65505409</v>
      </c>
      <c r="C756" s="78" t="s">
        <v>36</v>
      </c>
      <c r="D756" s="55">
        <v>45722</v>
      </c>
      <c r="E756" s="30" t="s">
        <v>214</v>
      </c>
      <c r="F756" s="18" t="s">
        <v>789</v>
      </c>
    </row>
    <row r="757" spans="1:6" hidden="1">
      <c r="A757" s="18" t="s">
        <v>782</v>
      </c>
      <c r="B757" s="18">
        <v>65505445</v>
      </c>
      <c r="C757" s="78" t="s">
        <v>36</v>
      </c>
      <c r="D757" s="55">
        <v>45722</v>
      </c>
      <c r="E757" s="30" t="s">
        <v>214</v>
      </c>
      <c r="F757" s="18" t="s">
        <v>790</v>
      </c>
    </row>
    <row r="758" spans="1:6" hidden="1">
      <c r="A758" s="18" t="s">
        <v>782</v>
      </c>
      <c r="B758" s="18">
        <v>65505524</v>
      </c>
      <c r="C758" s="78" t="s">
        <v>36</v>
      </c>
      <c r="D758" s="55">
        <v>45722</v>
      </c>
      <c r="E758" s="30" t="s">
        <v>214</v>
      </c>
      <c r="F758" s="18" t="s">
        <v>791</v>
      </c>
    </row>
    <row r="759" spans="1:6" hidden="1">
      <c r="A759" s="18" t="s">
        <v>782</v>
      </c>
      <c r="B759" s="18">
        <v>65505570</v>
      </c>
      <c r="C759" s="78" t="s">
        <v>36</v>
      </c>
      <c r="D759" s="55">
        <v>45722</v>
      </c>
      <c r="E759" s="30" t="s">
        <v>214</v>
      </c>
      <c r="F759" s="18" t="s">
        <v>792</v>
      </c>
    </row>
    <row r="760" spans="1:6" hidden="1">
      <c r="A760" s="18" t="s">
        <v>782</v>
      </c>
      <c r="B760" s="18">
        <v>65505591</v>
      </c>
      <c r="C760" s="78" t="s">
        <v>36</v>
      </c>
      <c r="D760" s="55">
        <v>45722</v>
      </c>
      <c r="E760" s="30" t="s">
        <v>214</v>
      </c>
      <c r="F760" s="18" t="s">
        <v>793</v>
      </c>
    </row>
    <row r="761" spans="1:6" hidden="1">
      <c r="A761" s="18" t="s">
        <v>782</v>
      </c>
      <c r="B761" s="18">
        <v>65505650</v>
      </c>
      <c r="C761" s="78" t="s">
        <v>36</v>
      </c>
      <c r="D761" s="55">
        <v>45722</v>
      </c>
      <c r="E761" s="30" t="s">
        <v>214</v>
      </c>
      <c r="F761" s="18" t="s">
        <v>794</v>
      </c>
    </row>
    <row r="762" spans="1:6" hidden="1">
      <c r="A762" s="18" t="s">
        <v>782</v>
      </c>
      <c r="B762" s="18">
        <v>65505682</v>
      </c>
      <c r="C762" s="78" t="s">
        <v>36</v>
      </c>
      <c r="D762" s="55">
        <v>45722</v>
      </c>
      <c r="E762" s="30" t="s">
        <v>214</v>
      </c>
      <c r="F762" s="18" t="s">
        <v>795</v>
      </c>
    </row>
    <row r="763" spans="1:6" hidden="1">
      <c r="A763" s="18" t="s">
        <v>782</v>
      </c>
      <c r="B763" s="18">
        <v>65505696</v>
      </c>
      <c r="C763" s="78" t="s">
        <v>36</v>
      </c>
      <c r="D763" s="55">
        <v>45722</v>
      </c>
      <c r="E763" s="30" t="s">
        <v>214</v>
      </c>
      <c r="F763" s="18" t="s">
        <v>796</v>
      </c>
    </row>
    <row r="764" spans="1:6" hidden="1">
      <c r="A764" s="18" t="s">
        <v>782</v>
      </c>
      <c r="B764" s="18">
        <v>65505728</v>
      </c>
      <c r="C764" s="78" t="s">
        <v>36</v>
      </c>
      <c r="D764" s="55">
        <v>45722</v>
      </c>
      <c r="E764" s="30" t="s">
        <v>214</v>
      </c>
      <c r="F764" s="18" t="s">
        <v>797</v>
      </c>
    </row>
    <row r="765" spans="1:6" hidden="1">
      <c r="A765" s="18" t="s">
        <v>782</v>
      </c>
      <c r="B765" s="18">
        <v>65505750</v>
      </c>
      <c r="C765" s="78" t="s">
        <v>36</v>
      </c>
      <c r="D765" s="55">
        <v>45722</v>
      </c>
      <c r="E765" s="30" t="s">
        <v>214</v>
      </c>
      <c r="F765" s="18" t="s">
        <v>798</v>
      </c>
    </row>
    <row r="766" spans="1:6" hidden="1">
      <c r="A766" s="18" t="s">
        <v>782</v>
      </c>
      <c r="B766" s="18">
        <v>65505814</v>
      </c>
      <c r="C766" s="78" t="s">
        <v>36</v>
      </c>
      <c r="D766" s="55">
        <v>45722</v>
      </c>
      <c r="E766" s="30" t="s">
        <v>214</v>
      </c>
      <c r="F766" s="18" t="s">
        <v>799</v>
      </c>
    </row>
    <row r="767" spans="1:6" hidden="1">
      <c r="A767" s="18" t="s">
        <v>782</v>
      </c>
      <c r="B767" s="18">
        <v>65505831</v>
      </c>
      <c r="C767" s="78" t="s">
        <v>36</v>
      </c>
      <c r="D767" s="55">
        <v>45722</v>
      </c>
      <c r="E767" s="30" t="s">
        <v>214</v>
      </c>
      <c r="F767" s="18" t="s">
        <v>800</v>
      </c>
    </row>
    <row r="768" spans="1:6" hidden="1">
      <c r="A768" s="18" t="s">
        <v>782</v>
      </c>
      <c r="B768" s="18">
        <v>65505876</v>
      </c>
      <c r="C768" s="78" t="s">
        <v>36</v>
      </c>
      <c r="D768" s="55">
        <v>45722</v>
      </c>
      <c r="E768" s="30" t="s">
        <v>214</v>
      </c>
      <c r="F768" s="18" t="s">
        <v>801</v>
      </c>
    </row>
    <row r="769" spans="1:6" hidden="1">
      <c r="A769" s="18" t="s">
        <v>782</v>
      </c>
      <c r="B769" s="18">
        <v>65505913</v>
      </c>
      <c r="C769" s="78" t="s">
        <v>36</v>
      </c>
      <c r="D769" s="55">
        <v>45722</v>
      </c>
      <c r="E769" s="30" t="s">
        <v>214</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5B758D-9FD6-44F6-8DD8-3FD8DF70B3F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2026-04-28T19:02:42Z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