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96" documentId="8_{7F841BAC-E3D2-4E4B-A3CA-97B4D46101DD}" xr6:coauthVersionLast="47" xr6:coauthVersionMax="47" xr10:uidLastSave="{D5AB7DBC-7D97-4686-99F1-4BCCDB224F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<sst xmlns="http://schemas.openxmlformats.org/spreadsheetml/2006/main" count="27267" uniqueCount="1893">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</sst>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138</c:v>
                </c:pt>
                <c:pt idx="1">
                  <c:v>209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138</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138</v>
      </c>
      <c r="E3" s="219"/>
      <c r="F3" s="219"/>
      <c r="G3" s="211" cm="1">
        <f t="array" ref="G3">SUMPRODUCT((UPPER(Master!N2:N348)="CLEAR")*1)</f>
        <v>209</v>
      </c>
      <c r="H3" s="211"/>
      <c r="I3" s="211"/>
      <c r="J3" s="214" cm="1">
        <f t="array" ref="J3">SUMPRODUCT((UPPER(Master!N2:N348)="EXPIRED")*1)</f>
        <v>0</v>
      </c>
      <c r="K3" s="214"/>
      <c r="L3" s="214"/>
      <c r="P3" s="177" t="s">
        <v>10</v>
      </c>
      <c r="Q3" s="177" cm="1">
        <f t="array" ref="Q3">SUMPRODUCT((UPPER(Master!N2:N348)="CLEAR")*1)</f>
        <v>209</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103</v>
      </c>
      <c r="C25" s="113" cm="1">
        <f t="array" ref="C25">IF(A25="","",SUMPRODUCT((UPPER(Master!F2:F348)=A25)*(UPPER(Master!N2:N348)="CLEAR")))</f>
        <v>65</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13</v>
      </c>
      <c r="C26" s="110" cm="1">
        <f t="array" ref="C26">IF(A26="","",SUMPRODUCT((UPPER(Master!F2:F348)=A26)*(UPPER(Master!N2:N348)="CLEAR")))</f>
        <v>56</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138</v>
      </c>
      <c r="C39" s="91">
        <f>SUMIF(A24:A38,"&lt;&gt;",C24:C38)</f>
        <v>209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138</v>
      </c>
      <c r="D47" t="s">
        <v>16</v>
      </c>
      <c r="E47">
        <f>E27</f>
        <v>83</v>
      </c>
      <c r="G47" t="s">
        <v>29</v>
      </c>
      <c r="H47">
        <f>H27</f>
        <v>25</v>
      </c>
    </row>
    <row r="48" spans="1:12" hidden="1">
      <c r="A48" t="s">
        <v>10</v>
      </c>
      <c r="B48">
        <f>G3</f>
        <v>209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253</v>
      </c>
      <c r="C52">
        <f>B59</f>
        <v>207</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46</v>
      </c>
    </row>
    <row r="59" spans="1:8" hidden="1">
      <c r="A59" t="s">
        <v>10</v>
      </c>
      <c r="B59">
        <f>COUNTIF(Master!N2:N93,"Clear")+COUNTIF(Master!N2:N93,"clear")+COUNTIF(Master!N2:N93,"CLEAR")</f>
        <v>207</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138" activePane="topRight" state="frozen"/>
      <selection pane="topRight" activeCell="N159" sqref="N159:O1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10</v>
      </c>
      <c r="O2" s="55">
        <v>46185</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10</v>
      </c>
      <c r="O3" s="55">
        <v>46185</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10</v>
      </c>
      <c r="O4" s="55">
        <v>46185</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10</v>
      </c>
      <c r="O5" s="55">
        <v>46185</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10</v>
      </c>
      <c r="O6" s="55">
        <v>46185</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10</v>
      </c>
      <c r="O7" s="55">
        <v>46185</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10</v>
      </c>
      <c r="O12" s="55">
        <v>46174</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10</v>
      </c>
      <c r="O153" s="55">
        <v>46188</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10</v>
      </c>
      <c r="O154" s="55">
        <v>46188</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10</v>
      </c>
      <c r="O155" s="55">
        <v>46188</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10</v>
      </c>
      <c r="O156" s="55">
        <v>46188</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10</v>
      </c>
      <c r="O157" s="55">
        <v>46188</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10</v>
      </c>
      <c r="O158" s="55">
        <v>46188</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10</v>
      </c>
      <c r="O159" s="55">
        <v>46188</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73FA4E9-2511-4943-9714-AD7F59AF173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2026-06-16T11:17:57Z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