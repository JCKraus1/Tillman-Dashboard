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05" documentId="8_{7F841BAC-E3D2-4E4B-A3CA-97B4D46101DD}" xr6:coauthVersionLast="47" xr6:coauthVersionMax="47" xr10:uidLastSave="{4009984D-7FA9-43B6-8AAF-1F9BD9DA4B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<sst xmlns="http://schemas.openxmlformats.org/spreadsheetml/2006/main" count="31893" uniqueCount="2086">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</sst>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254</v>
      </c>
      <c r="E3" s="234"/>
      <c r="F3" s="234"/>
      <c r="G3" s="226" cm="1">
        <f t="array" ref="G3">SUMPRODUCT((UPPER(Master!O2:O4385)="CLEAR")*1)</f>
        <v>353</v>
      </c>
      <c r="H3" s="226"/>
      <c r="I3" s="226"/>
      <c r="J3" s="229" cm="1">
        <f t="array" ref="J3">SUMPRODUCT((UPPER(Master!O2:O4385)="EXPIRED")*1)</f>
        <v>0</v>
      </c>
      <c r="K3" s="229"/>
      <c r="L3" s="229"/>
      <c r="O3" s="170"/>
      <c r="P3" s="169" t="s">
        <v>10</v>
      </c>
      <c r="Q3" s="169" cm="1">
        <f t="array" ref="Q3">SUMPRODUCT((UPPER(Master!O2:O4385)="CLEAR")*1)</f>
        <v>353</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342" activePane="topRight" state="frozen"/>
      <selection pane="topRight" activeCell="G164" sqref="G164:G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36">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36">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36">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36">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36">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36">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36">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36">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37503BE-8D63-4681-991B-6AB30F98B98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