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4" documentId="8_{7F841BAC-E3D2-4E4B-A3CA-97B4D46101DD}" xr6:coauthVersionLast="47" xr6:coauthVersionMax="47" xr10:uidLastSave="{74097AC4-523B-4228-9578-4617B00A12B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<sst xmlns="http://schemas.openxmlformats.org/spreadsheetml/2006/main" count="29298" uniqueCount="1975">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</sst>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3">
        <f>COUNTA(Master!C2:C4582)</f>
        <v>441</v>
      </c>
      <c r="B3" s="213"/>
      <c r="C3" s="213"/>
      <c r="D3" s="216" cm="1">
        <f t="array" ref="D3">SUMPRODUCT((UPPER(Master!O2:O4582)="PENDING")*1)</f>
        <v>210</v>
      </c>
      <c r="E3" s="216"/>
      <c r="F3" s="216"/>
      <c r="G3" s="208" cm="1">
        <f t="array" ref="G3">SUMPRODUCT((UPPER(Master!O2:O4582)="CLEAR")*1)</f>
        <v>173</v>
      </c>
      <c r="H3" s="208"/>
      <c r="I3" s="208"/>
      <c r="J3" s="211" cm="1">
        <f t="array" ref="J3">SUMPRODUCT((UPPER(Master!O2:O4582)="EXPIRED")*1)</f>
        <v>58</v>
      </c>
      <c r="K3" s="211"/>
      <c r="L3" s="211"/>
      <c r="O3" s="170"/>
      <c r="P3" s="169" t="s">
        <v>10</v>
      </c>
      <c r="Q3" s="169" cm="1">
        <f t="array" ref="Q3">SUMPRODUCT((UPPER(Master!O2:O4582)="CLEAR")*1)</f>
        <v>173</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8" t="s">
        <v>24</v>
      </c>
      <c r="B22" s="218"/>
      <c r="C22" s="218"/>
      <c r="D22" s="218"/>
      <c r="E22" s="218"/>
      <c r="G22" s="219" t="s">
        <v>25</v>
      </c>
      <c r="H22" s="220"/>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D21" activePane="topRight" state="frozen"/>
      <selection pane="topRight" activeCell="J30" sqref="J3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03" t="s">
        <v>1935</v>
      </c>
      <c r="B4408" s="176"/>
      <c r="C4408" s="119">
        <v>148609330</v>
      </c>
      <c r="D4408" s="29"/>
      <c r="E4408" s="29"/>
      <c r="F4408" s="29" t="s">
        <v>180</v>
      </c>
      <c r="G4408" s="3" t="s">
        <v>16</v>
      </c>
      <c r="H4408" s="3" t="s">
        <v>181</v>
      </c>
      <c r="I4408" s="55">
        <v>46171</v>
      </c>
      <c r="J4408" s="55">
        <v>46174</v>
      </c>
      <c r="K4408" s="55">
        <v>46202</v>
      </c>
      <c r="L4408" s="3"/>
      <c r="M4408" s="3"/>
      <c r="N4408" s="3"/>
      <c r="O4408" s="3" t="s">
        <v>10</v>
      </c>
      <c r="P4408" s="55">
        <v>46169</v>
      </c>
      <c r="Q4408" s="167"/>
      <c r="R4408" s="2"/>
    </row>
    <row r="4409" spans="1:18">
      <c r="A4409" s="203" t="s">
        <v>1935</v>
      </c>
      <c r="B4409" s="176"/>
      <c r="C4409" s="119">
        <v>148609386</v>
      </c>
      <c r="D4409" s="29"/>
      <c r="E4409" s="29"/>
      <c r="F4409" s="29" t="s">
        <v>180</v>
      </c>
      <c r="G4409" s="3" t="s">
        <v>16</v>
      </c>
      <c r="H4409" s="3" t="s">
        <v>181</v>
      </c>
      <c r="I4409" s="55">
        <v>46171</v>
      </c>
      <c r="J4409" s="55">
        <v>46174</v>
      </c>
      <c r="K4409" s="55">
        <v>46202</v>
      </c>
      <c r="L4409" s="3"/>
      <c r="M4409" s="3"/>
      <c r="N4409" s="3"/>
      <c r="O4409" s="3" t="s">
        <v>10</v>
      </c>
      <c r="P4409" s="55">
        <v>46169</v>
      </c>
      <c r="Q4409" s="167"/>
      <c r="R4409" s="2"/>
    </row>
    <row r="4410" spans="1:18">
      <c r="A4410" s="203" t="s">
        <v>1935</v>
      </c>
      <c r="B4410" s="176"/>
      <c r="C4410" s="119">
        <v>148609395</v>
      </c>
      <c r="D4410" s="29"/>
      <c r="E4410" s="29"/>
      <c r="F4410" s="29" t="s">
        <v>180</v>
      </c>
      <c r="G4410" s="3" t="s">
        <v>16</v>
      </c>
      <c r="H4410" s="3" t="s">
        <v>181</v>
      </c>
      <c r="I4410" s="55">
        <v>46171</v>
      </c>
      <c r="J4410" s="55">
        <v>46174</v>
      </c>
      <c r="K4410" s="55">
        <v>46202</v>
      </c>
      <c r="L4410" s="3"/>
      <c r="M4410" s="3"/>
      <c r="N4410" s="3"/>
      <c r="O4410" s="3" t="s">
        <v>10</v>
      </c>
      <c r="P4410" s="55">
        <v>46169</v>
      </c>
      <c r="Q4410" s="167"/>
      <c r="R4410" s="2"/>
    </row>
    <row r="4411" spans="1:18">
      <c r="A4411" s="203" t="s">
        <v>1935</v>
      </c>
      <c r="B4411" s="176"/>
      <c r="C4411" s="119">
        <v>148609406</v>
      </c>
      <c r="D4411" s="29"/>
      <c r="E4411" s="29"/>
      <c r="F4411" s="29" t="s">
        <v>180</v>
      </c>
      <c r="G4411" s="3" t="s">
        <v>16</v>
      </c>
      <c r="H4411" s="3" t="s">
        <v>181</v>
      </c>
      <c r="I4411" s="55">
        <v>46171</v>
      </c>
      <c r="J4411" s="55">
        <v>46174</v>
      </c>
      <c r="K4411" s="55">
        <v>46202</v>
      </c>
      <c r="L4411" s="3"/>
      <c r="M4411" s="3"/>
      <c r="N4411" s="3"/>
      <c r="O4411" s="3" t="s">
        <v>10</v>
      </c>
      <c r="P4411" s="55">
        <v>46169</v>
      </c>
      <c r="Q4411" s="167"/>
      <c r="R4411" s="2"/>
    </row>
    <row r="4412" spans="1:18">
      <c r="A4412" s="203" t="s">
        <v>1935</v>
      </c>
      <c r="B4412" s="176"/>
      <c r="C4412" s="119">
        <v>148609409</v>
      </c>
      <c r="D4412" s="29"/>
      <c r="E4412" s="29"/>
      <c r="F4412" s="29" t="s">
        <v>180</v>
      </c>
      <c r="G4412" s="3" t="s">
        <v>16</v>
      </c>
      <c r="H4412" s="3" t="s">
        <v>181</v>
      </c>
      <c r="I4412" s="55">
        <v>46171</v>
      </c>
      <c r="J4412" s="55">
        <v>46174</v>
      </c>
      <c r="K4412" s="55">
        <v>46202</v>
      </c>
      <c r="L4412" s="3"/>
      <c r="M4412" s="3"/>
      <c r="N4412" s="3"/>
      <c r="O4412" s="3" t="s">
        <v>10</v>
      </c>
      <c r="P4412" s="55">
        <v>46169</v>
      </c>
      <c r="Q4412" s="167"/>
      <c r="R4412" s="2"/>
    </row>
    <row r="4413" spans="1:18">
      <c r="A4413" s="204" t="s">
        <v>1948</v>
      </c>
      <c r="B4413" s="173" t="s">
        <v>1949</v>
      </c>
      <c r="C4413" s="196">
        <v>121600011</v>
      </c>
      <c r="D4413" s="168"/>
      <c r="E4413" s="29"/>
      <c r="F4413" s="29" t="s">
        <v>1919</v>
      </c>
      <c r="G4413" s="3" t="s">
        <v>60</v>
      </c>
      <c r="H4413" s="3" t="s">
        <v>61</v>
      </c>
      <c r="I4413" s="55">
        <v>46143</v>
      </c>
      <c r="J4413" s="55">
        <v>46146</v>
      </c>
      <c r="K4413" s="55">
        <v>46178</v>
      </c>
      <c r="L4413" s="55"/>
      <c r="M4413" s="55"/>
      <c r="N4413" s="3"/>
      <c r="O4413" s="3" t="s">
        <v>10</v>
      </c>
      <c r="P4413" s="55">
        <v>46163</v>
      </c>
      <c r="Q4413" s="167"/>
      <c r="R4413" s="2"/>
    </row>
    <row r="4414" spans="1:18">
      <c r="A4414" s="204" t="s">
        <v>1948</v>
      </c>
      <c r="B4414" s="173" t="s">
        <v>1949</v>
      </c>
      <c r="C4414" s="196">
        <v>121600014</v>
      </c>
      <c r="D4414" s="168"/>
      <c r="E4414" s="29"/>
      <c r="F4414" s="29" t="s">
        <v>1919</v>
      </c>
      <c r="G4414" s="3" t="s">
        <v>60</v>
      </c>
      <c r="H4414" s="3" t="s">
        <v>61</v>
      </c>
      <c r="I4414" s="55">
        <v>46143</v>
      </c>
      <c r="J4414" s="55">
        <v>46146</v>
      </c>
      <c r="K4414" s="55">
        <v>46178</v>
      </c>
      <c r="L4414" s="55"/>
      <c r="M4414" s="55"/>
      <c r="N4414" s="3"/>
      <c r="O4414" s="3" t="s">
        <v>10</v>
      </c>
      <c r="P4414" s="55">
        <v>46163</v>
      </c>
      <c r="Q4414" s="167"/>
      <c r="R4414" s="2"/>
    </row>
    <row r="4415" spans="1:18">
      <c r="A4415" s="204" t="s">
        <v>1948</v>
      </c>
      <c r="B4415" s="173" t="s">
        <v>1949</v>
      </c>
      <c r="C4415" s="196">
        <v>121600018</v>
      </c>
      <c r="D4415" s="168"/>
      <c r="E4415" s="29"/>
      <c r="F4415" s="29" t="s">
        <v>1919</v>
      </c>
      <c r="G4415" s="3" t="s">
        <v>60</v>
      </c>
      <c r="H4415" s="3" t="s">
        <v>61</v>
      </c>
      <c r="I4415" s="55">
        <v>46143</v>
      </c>
      <c r="J4415" s="55">
        <v>46146</v>
      </c>
      <c r="K4415" s="55">
        <v>46178</v>
      </c>
      <c r="L4415" s="55"/>
      <c r="M4415" s="55"/>
      <c r="N4415" s="3"/>
      <c r="O4415" s="3" t="s">
        <v>10</v>
      </c>
      <c r="P4415" s="55">
        <v>46163</v>
      </c>
      <c r="Q4415" s="167"/>
      <c r="R4415" s="2"/>
    </row>
    <row r="4416" spans="1:18">
      <c r="A4416" s="204" t="s">
        <v>1948</v>
      </c>
      <c r="B4416" s="173" t="s">
        <v>1949</v>
      </c>
      <c r="C4416" s="196">
        <v>121600019</v>
      </c>
      <c r="D4416" s="168"/>
      <c r="E4416" s="29"/>
      <c r="F4416" s="29" t="s">
        <v>1919</v>
      </c>
      <c r="G4416" s="3" t="s">
        <v>60</v>
      </c>
      <c r="H4416" s="3" t="s">
        <v>61</v>
      </c>
      <c r="I4416" s="55">
        <v>46143</v>
      </c>
      <c r="J4416" s="55">
        <v>46146</v>
      </c>
      <c r="K4416" s="55">
        <v>46178</v>
      </c>
      <c r="L4416" s="55"/>
      <c r="M4416" s="55"/>
      <c r="N4416" s="3"/>
      <c r="O4416" s="3" t="s">
        <v>10</v>
      </c>
      <c r="P4416" s="55">
        <v>46163</v>
      </c>
      <c r="Q4416" s="167"/>
      <c r="R4416" s="2"/>
    </row>
    <row r="4417" spans="1:18">
      <c r="A4417" s="204" t="s">
        <v>1948</v>
      </c>
      <c r="B4417" s="173" t="s">
        <v>1949</v>
      </c>
      <c r="C4417" s="196">
        <v>121600023</v>
      </c>
      <c r="D4417" s="168"/>
      <c r="E4417" s="29"/>
      <c r="F4417" s="29" t="s">
        <v>1919</v>
      </c>
      <c r="G4417" s="3" t="s">
        <v>60</v>
      </c>
      <c r="H4417" s="3" t="s">
        <v>61</v>
      </c>
      <c r="I4417" s="55">
        <v>46143</v>
      </c>
      <c r="J4417" s="55">
        <v>46146</v>
      </c>
      <c r="K4417" s="55">
        <v>46178</v>
      </c>
      <c r="L4417" s="55"/>
      <c r="M4417" s="55"/>
      <c r="N4417" s="3"/>
      <c r="O4417" s="3" t="s">
        <v>10</v>
      </c>
      <c r="P4417" s="55">
        <v>46163</v>
      </c>
      <c r="Q4417" s="167"/>
      <c r="R4417" s="1"/>
    </row>
    <row r="4418" spans="1:18">
      <c r="A4418" s="204" t="s">
        <v>1948</v>
      </c>
      <c r="B4418" s="173" t="s">
        <v>1949</v>
      </c>
      <c r="C4418" s="196">
        <v>121600024</v>
      </c>
      <c r="D4418" s="168"/>
      <c r="E4418" s="29"/>
      <c r="F4418" s="29" t="s">
        <v>1919</v>
      </c>
      <c r="G4418" s="3" t="s">
        <v>60</v>
      </c>
      <c r="H4418" s="3" t="s">
        <v>61</v>
      </c>
      <c r="I4418" s="55">
        <v>46143</v>
      </c>
      <c r="J4418" s="55">
        <v>46146</v>
      </c>
      <c r="K4418" s="55">
        <v>46178</v>
      </c>
      <c r="L4418" s="55"/>
      <c r="M4418" s="55"/>
      <c r="N4418" s="3"/>
      <c r="O4418" s="3" t="s">
        <v>10</v>
      </c>
      <c r="P4418" s="55">
        <v>46163</v>
      </c>
      <c r="Q4418" s="167"/>
      <c r="R4418" s="1"/>
    </row>
    <row r="4419" spans="1:18">
      <c r="A4419" s="204" t="s">
        <v>1948</v>
      </c>
      <c r="B4419" s="173" t="s">
        <v>1949</v>
      </c>
      <c r="C4419" s="196">
        <v>121600026</v>
      </c>
      <c r="D4419" s="168"/>
      <c r="E4419" s="29"/>
      <c r="F4419" s="29" t="s">
        <v>1919</v>
      </c>
      <c r="G4419" s="3" t="s">
        <v>60</v>
      </c>
      <c r="H4419" s="3" t="s">
        <v>61</v>
      </c>
      <c r="I4419" s="55">
        <v>46143</v>
      </c>
      <c r="J4419" s="55">
        <v>46146</v>
      </c>
      <c r="K4419" s="55">
        <v>46178</v>
      </c>
      <c r="L4419" s="55"/>
      <c r="M4419" s="55"/>
      <c r="N4419" s="3"/>
      <c r="O4419" s="3" t="s">
        <v>10</v>
      </c>
      <c r="P4419" s="55">
        <v>46163</v>
      </c>
      <c r="Q4419" s="167"/>
      <c r="R4419" s="1"/>
    </row>
    <row r="4420" spans="1:18">
      <c r="A4420" s="204" t="s">
        <v>1948</v>
      </c>
      <c r="B4420" s="173" t="s">
        <v>1949</v>
      </c>
      <c r="C4420" s="196">
        <v>121600029</v>
      </c>
      <c r="D4420" s="168"/>
      <c r="E4420" s="29"/>
      <c r="F4420" s="29" t="s">
        <v>1919</v>
      </c>
      <c r="G4420" s="3" t="s">
        <v>60</v>
      </c>
      <c r="H4420" s="3" t="s">
        <v>61</v>
      </c>
      <c r="I4420" s="55">
        <v>46143</v>
      </c>
      <c r="J4420" s="55">
        <v>46146</v>
      </c>
      <c r="K4420" s="55">
        <v>46178</v>
      </c>
      <c r="L4420" s="55"/>
      <c r="M4420" s="55"/>
      <c r="N4420" s="3"/>
      <c r="O4420" s="3" t="s">
        <v>10</v>
      </c>
      <c r="P4420" s="55">
        <v>46163</v>
      </c>
      <c r="Q4420" s="167"/>
      <c r="R4420" s="1"/>
    </row>
    <row r="4421" spans="1:18">
      <c r="A4421" s="204" t="s">
        <v>1952</v>
      </c>
      <c r="B4421" s="173" t="s">
        <v>1953</v>
      </c>
      <c r="C4421" s="196">
        <v>134609381</v>
      </c>
      <c r="D4421" s="168"/>
      <c r="E4421" s="29"/>
      <c r="F4421" s="29" t="s">
        <v>1919</v>
      </c>
      <c r="G4421" s="3" t="s">
        <v>60</v>
      </c>
      <c r="H4421" s="3" t="s">
        <v>61</v>
      </c>
      <c r="I4421" s="55">
        <v>46156</v>
      </c>
      <c r="J4421" s="55">
        <v>46160</v>
      </c>
      <c r="K4421" s="55">
        <v>46188</v>
      </c>
      <c r="L4421" s="55"/>
      <c r="M4421" s="55"/>
      <c r="N4421" s="3"/>
      <c r="O4421" s="3" t="s">
        <v>10</v>
      </c>
      <c r="P4421" s="55">
        <v>46161</v>
      </c>
      <c r="Q4421" s="167"/>
      <c r="R4421" s="1"/>
    </row>
    <row r="4422" spans="1:18">
      <c r="A4422" s="204" t="s">
        <v>1952</v>
      </c>
      <c r="B4422" s="173" t="s">
        <v>1953</v>
      </c>
      <c r="C4422" s="196">
        <v>134609384</v>
      </c>
      <c r="D4422" s="168"/>
      <c r="E4422" s="29"/>
      <c r="F4422" s="29" t="s">
        <v>1919</v>
      </c>
      <c r="G4422" s="3" t="s">
        <v>60</v>
      </c>
      <c r="H4422" s="3" t="s">
        <v>61</v>
      </c>
      <c r="I4422" s="55">
        <v>46156</v>
      </c>
      <c r="J4422" s="55">
        <v>46160</v>
      </c>
      <c r="K4422" s="55">
        <v>46188</v>
      </c>
      <c r="L4422" s="55"/>
      <c r="M4422" s="55"/>
      <c r="N4422" s="3"/>
      <c r="O4422" s="3" t="s">
        <v>10</v>
      </c>
      <c r="P4422" s="55">
        <v>46161</v>
      </c>
      <c r="Q4422" s="167"/>
      <c r="R4422" s="1"/>
    </row>
    <row r="4423" spans="1:18">
      <c r="A4423" s="204" t="s">
        <v>1952</v>
      </c>
      <c r="B4423" s="173" t="s">
        <v>1953</v>
      </c>
      <c r="C4423" s="196">
        <v>134609389</v>
      </c>
      <c r="D4423" s="168"/>
      <c r="E4423" s="29"/>
      <c r="F4423" s="29" t="s">
        <v>1919</v>
      </c>
      <c r="G4423" s="3" t="s">
        <v>60</v>
      </c>
      <c r="H4423" s="3" t="s">
        <v>61</v>
      </c>
      <c r="I4423" s="55">
        <v>46156</v>
      </c>
      <c r="J4423" s="55">
        <v>46160</v>
      </c>
      <c r="K4423" s="55">
        <v>46188</v>
      </c>
      <c r="L4423" s="55"/>
      <c r="M4423" s="55"/>
      <c r="N4423" s="3"/>
      <c r="O4423" s="3" t="s">
        <v>10</v>
      </c>
      <c r="P4423" s="55">
        <v>46161</v>
      </c>
      <c r="Q4423" s="167"/>
      <c r="R4423" s="1"/>
    </row>
    <row r="4424" spans="1:18">
      <c r="A4424" s="204" t="s">
        <v>1952</v>
      </c>
      <c r="B4424" s="173" t="s">
        <v>1953</v>
      </c>
      <c r="C4424" s="196">
        <v>134609392</v>
      </c>
      <c r="D4424" s="168"/>
      <c r="E4424" s="29"/>
      <c r="F4424" s="29" t="s">
        <v>1919</v>
      </c>
      <c r="G4424" s="3" t="s">
        <v>60</v>
      </c>
      <c r="H4424" s="3" t="s">
        <v>61</v>
      </c>
      <c r="I4424" s="55">
        <v>46156</v>
      </c>
      <c r="J4424" s="55">
        <v>46160</v>
      </c>
      <c r="K4424" s="55">
        <v>46188</v>
      </c>
      <c r="L4424" s="55"/>
      <c r="M4424" s="55"/>
      <c r="N4424" s="3"/>
      <c r="O4424" s="3" t="s">
        <v>10</v>
      </c>
      <c r="P4424" s="55">
        <v>46161</v>
      </c>
      <c r="Q4424" s="167"/>
      <c r="R4424" s="1"/>
    </row>
    <row r="4425" spans="1:18">
      <c r="A4425" s="204" t="s">
        <v>1952</v>
      </c>
      <c r="B4425" s="173" t="s">
        <v>1953</v>
      </c>
      <c r="C4425" s="196">
        <v>134609397</v>
      </c>
      <c r="D4425" s="168"/>
      <c r="E4425" s="29"/>
      <c r="F4425" s="29" t="s">
        <v>1919</v>
      </c>
      <c r="G4425" s="3" t="s">
        <v>60</v>
      </c>
      <c r="H4425" s="3" t="s">
        <v>61</v>
      </c>
      <c r="I4425" s="55">
        <v>46156</v>
      </c>
      <c r="J4425" s="55">
        <v>46160</v>
      </c>
      <c r="K4425" s="55">
        <v>46188</v>
      </c>
      <c r="L4425" s="55"/>
      <c r="M4425" s="55"/>
      <c r="N4425" s="3"/>
      <c r="O4425" s="3" t="s">
        <v>10</v>
      </c>
      <c r="P4425" s="55">
        <v>46161</v>
      </c>
      <c r="Q4425" s="167"/>
      <c r="R4425" s="1"/>
    </row>
    <row r="4426" spans="1:18">
      <c r="A4426" s="204" t="s">
        <v>1952</v>
      </c>
      <c r="B4426" s="173" t="s">
        <v>1953</v>
      </c>
      <c r="C4426" s="196">
        <v>134609401</v>
      </c>
      <c r="D4426" s="168"/>
      <c r="E4426" s="29"/>
      <c r="F4426" s="29" t="s">
        <v>1919</v>
      </c>
      <c r="G4426" s="3" t="s">
        <v>60</v>
      </c>
      <c r="H4426" s="3" t="s">
        <v>61</v>
      </c>
      <c r="I4426" s="55">
        <v>46156</v>
      </c>
      <c r="J4426" s="55">
        <v>46160</v>
      </c>
      <c r="K4426" s="55">
        <v>46188</v>
      </c>
      <c r="L4426" s="55"/>
      <c r="M4426" s="55"/>
      <c r="N4426" s="3"/>
      <c r="O4426" s="3" t="s">
        <v>10</v>
      </c>
      <c r="P4426" s="55">
        <v>46161</v>
      </c>
      <c r="Q4426" s="167"/>
      <c r="R4426" s="1"/>
    </row>
    <row r="4427" spans="1:18">
      <c r="A4427" s="204" t="s">
        <v>1952</v>
      </c>
      <c r="B4427" s="173" t="s">
        <v>1953</v>
      </c>
      <c r="C4427" s="196">
        <v>135600005</v>
      </c>
      <c r="D4427" s="168"/>
      <c r="E4427" s="29"/>
      <c r="F4427" s="29" t="s">
        <v>1919</v>
      </c>
      <c r="G4427" s="3" t="s">
        <v>60</v>
      </c>
      <c r="H4427" s="3" t="s">
        <v>61</v>
      </c>
      <c r="I4427" s="55">
        <v>46156</v>
      </c>
      <c r="J4427" s="55">
        <v>46160</v>
      </c>
      <c r="K4427" s="55">
        <v>46188</v>
      </c>
      <c r="L4427" s="55"/>
      <c r="M4427" s="55"/>
      <c r="N4427" s="3"/>
      <c r="O4427" s="3" t="s">
        <v>10</v>
      </c>
      <c r="P4427" s="55">
        <v>46161</v>
      </c>
      <c r="Q4427" s="167"/>
      <c r="R4427" s="1"/>
    </row>
    <row r="4428" spans="1:18">
      <c r="A4428" s="204" t="s">
        <v>1954</v>
      </c>
      <c r="B4428" s="201" t="s">
        <v>1955</v>
      </c>
      <c r="C4428" s="196">
        <v>151600798</v>
      </c>
      <c r="D4428" s="168"/>
      <c r="E4428" s="29"/>
      <c r="F4428" s="29" t="s">
        <v>164</v>
      </c>
      <c r="G4428" s="3" t="s">
        <v>215</v>
      </c>
      <c r="H4428" s="3" t="s">
        <v>165</v>
      </c>
      <c r="I4428" s="55">
        <v>46175</v>
      </c>
      <c r="J4428" s="55">
        <v>46178</v>
      </c>
      <c r="K4428" s="55">
        <v>46205</v>
      </c>
      <c r="L4428" s="3"/>
      <c r="M4428" s="3"/>
      <c r="N4428" s="3"/>
      <c r="O4428" s="3" t="s">
        <v>10</v>
      </c>
      <c r="P4428" s="55">
        <v>46181</v>
      </c>
      <c r="Q4428" s="167"/>
      <c r="R4428" s="1"/>
    </row>
    <row r="4429" spans="1:18">
      <c r="A4429" s="204" t="s">
        <v>1954</v>
      </c>
      <c r="B4429" s="201" t="s">
        <v>1955</v>
      </c>
      <c r="C4429" s="196">
        <v>151600788</v>
      </c>
      <c r="D4429" s="168"/>
      <c r="E4429" s="29"/>
      <c r="F4429" s="29" t="s">
        <v>164</v>
      </c>
      <c r="G4429" s="3" t="s">
        <v>215</v>
      </c>
      <c r="H4429" s="3" t="s">
        <v>165</v>
      </c>
      <c r="I4429" s="55">
        <v>46175</v>
      </c>
      <c r="J4429" s="55">
        <v>46178</v>
      </c>
      <c r="K4429" s="55">
        <v>46205</v>
      </c>
      <c r="L4429" s="3"/>
      <c r="M4429" s="3"/>
      <c r="N4429" s="3"/>
      <c r="O4429" s="3" t="s">
        <v>10</v>
      </c>
      <c r="P4429" s="55">
        <v>46181</v>
      </c>
      <c r="Q4429" s="167"/>
      <c r="R4429" s="1"/>
    </row>
    <row r="4430" spans="1:18">
      <c r="A4430" s="204" t="s">
        <v>1954</v>
      </c>
      <c r="B4430" s="201" t="s">
        <v>1955</v>
      </c>
      <c r="C4430" s="196">
        <v>151600787</v>
      </c>
      <c r="D4430" s="168"/>
      <c r="E4430" s="29"/>
      <c r="F4430" s="29" t="s">
        <v>164</v>
      </c>
      <c r="G4430" s="3" t="s">
        <v>215</v>
      </c>
      <c r="H4430" s="3" t="s">
        <v>165</v>
      </c>
      <c r="I4430" s="55">
        <v>46175</v>
      </c>
      <c r="J4430" s="55">
        <v>46178</v>
      </c>
      <c r="K4430" s="55">
        <v>46205</v>
      </c>
      <c r="L4430" s="3"/>
      <c r="M4430" s="3"/>
      <c r="N4430" s="3"/>
      <c r="O4430" s="3" t="s">
        <v>10</v>
      </c>
      <c r="P4430" s="55">
        <v>46181</v>
      </c>
      <c r="Q4430" s="167"/>
      <c r="R4430" s="1"/>
    </row>
    <row r="4431" spans="1:18">
      <c r="A4431" s="204" t="s">
        <v>1954</v>
      </c>
      <c r="B4431" s="201" t="s">
        <v>1955</v>
      </c>
      <c r="C4431" s="196">
        <v>151600781</v>
      </c>
      <c r="D4431" s="168"/>
      <c r="E4431" s="29"/>
      <c r="F4431" s="29" t="s">
        <v>164</v>
      </c>
      <c r="G4431" s="3" t="s">
        <v>215</v>
      </c>
      <c r="H4431" s="3" t="s">
        <v>165</v>
      </c>
      <c r="I4431" s="55">
        <v>46175</v>
      </c>
      <c r="J4431" s="55">
        <v>46178</v>
      </c>
      <c r="K4431" s="55">
        <v>46205</v>
      </c>
      <c r="L4431" s="3"/>
      <c r="M4431" s="3"/>
      <c r="N4431" s="3"/>
      <c r="O4431" s="3" t="s">
        <v>10</v>
      </c>
      <c r="P4431" s="55">
        <v>46181</v>
      </c>
      <c r="Q4431" s="167"/>
      <c r="R4431" s="1"/>
    </row>
    <row r="4432" spans="1:18">
      <c r="A4432" s="204" t="s">
        <v>1954</v>
      </c>
      <c r="B4432" s="201" t="s">
        <v>1955</v>
      </c>
      <c r="C4432" s="196">
        <v>151600779</v>
      </c>
      <c r="D4432" s="168"/>
      <c r="E4432" s="29"/>
      <c r="F4432" s="29" t="s">
        <v>164</v>
      </c>
      <c r="G4432" s="3" t="s">
        <v>215</v>
      </c>
      <c r="H4432" s="3" t="s">
        <v>165</v>
      </c>
      <c r="I4432" s="55">
        <v>46175</v>
      </c>
      <c r="J4432" s="55">
        <v>46178</v>
      </c>
      <c r="K4432" s="55">
        <v>46205</v>
      </c>
      <c r="L4432" s="3"/>
      <c r="M4432" s="3"/>
      <c r="N4432" s="3"/>
      <c r="O4432" s="3" t="s">
        <v>10</v>
      </c>
      <c r="P4432" s="55">
        <v>46181</v>
      </c>
      <c r="Q4432" s="167"/>
      <c r="R4432" s="1"/>
    </row>
    <row r="4433" spans="1:18">
      <c r="A4433" s="204" t="s">
        <v>1952</v>
      </c>
      <c r="B4433" s="201" t="s">
        <v>1953</v>
      </c>
      <c r="C4433" s="196">
        <v>135600005</v>
      </c>
      <c r="D4433" s="168"/>
      <c r="E4433" s="29"/>
      <c r="F4433" s="29" t="s">
        <v>164</v>
      </c>
      <c r="G4433" s="3" t="s">
        <v>215</v>
      </c>
      <c r="H4433" s="3" t="s">
        <v>165</v>
      </c>
      <c r="I4433" s="55">
        <v>46175</v>
      </c>
      <c r="J4433" s="55">
        <v>46178</v>
      </c>
      <c r="K4433" s="55">
        <v>46205</v>
      </c>
      <c r="L4433" s="3"/>
      <c r="M4433" s="3"/>
      <c r="N4433" s="3"/>
      <c r="O4433" s="3" t="s">
        <v>10</v>
      </c>
      <c r="P4433" s="55">
        <v>46181</v>
      </c>
      <c r="Q4433" s="167"/>
      <c r="R4433" s="1"/>
    </row>
    <row r="4434" spans="1:18">
      <c r="A4434" s="204" t="s">
        <v>1950</v>
      </c>
      <c r="B4434" s="201" t="s">
        <v>1951</v>
      </c>
      <c r="C4434" s="196">
        <v>134609213</v>
      </c>
      <c r="D4434" s="168"/>
      <c r="E4434" s="29"/>
      <c r="F4434" s="29" t="s">
        <v>164</v>
      </c>
      <c r="G4434" s="3" t="s">
        <v>215</v>
      </c>
      <c r="H4434" s="3" t="s">
        <v>165</v>
      </c>
      <c r="I4434" s="55">
        <v>46175</v>
      </c>
      <c r="J4434" s="55">
        <v>46178</v>
      </c>
      <c r="K4434" s="55">
        <v>46205</v>
      </c>
      <c r="L4434" s="3"/>
      <c r="M4434" s="3"/>
      <c r="N4434" s="3"/>
      <c r="O4434" s="3" t="s">
        <v>10</v>
      </c>
      <c r="P4434" s="55">
        <v>46175</v>
      </c>
      <c r="Q4434" s="167"/>
      <c r="R4434" s="1"/>
    </row>
    <row r="4435" spans="1:18">
      <c r="A4435" s="204" t="s">
        <v>1950</v>
      </c>
      <c r="B4435" s="201" t="s">
        <v>1951</v>
      </c>
      <c r="C4435" s="196">
        <v>134609207</v>
      </c>
      <c r="D4435" s="168"/>
      <c r="E4435" s="29"/>
      <c r="F4435" s="29" t="s">
        <v>164</v>
      </c>
      <c r="G4435" s="3" t="s">
        <v>215</v>
      </c>
      <c r="H4435" s="3" t="s">
        <v>165</v>
      </c>
      <c r="I4435" s="55">
        <v>46175</v>
      </c>
      <c r="J4435" s="55">
        <v>46178</v>
      </c>
      <c r="K4435" s="55">
        <v>46205</v>
      </c>
      <c r="L4435" s="3"/>
      <c r="M4435" s="3"/>
      <c r="N4435" s="3"/>
      <c r="O4435" s="3" t="s">
        <v>10</v>
      </c>
      <c r="P4435" s="55">
        <v>46175</v>
      </c>
      <c r="Q4435" s="167"/>
      <c r="R4435" s="1"/>
    </row>
    <row r="4436" spans="1:18">
      <c r="A4436" s="204" t="s">
        <v>1950</v>
      </c>
      <c r="B4436" s="201" t="s">
        <v>1951</v>
      </c>
      <c r="C4436" s="196">
        <v>134609201</v>
      </c>
      <c r="D4436" s="168"/>
      <c r="E4436" s="29"/>
      <c r="F4436" s="29" t="s">
        <v>164</v>
      </c>
      <c r="G4436" s="3" t="s">
        <v>215</v>
      </c>
      <c r="H4436" s="3" t="s">
        <v>165</v>
      </c>
      <c r="I4436" s="55">
        <v>46175</v>
      </c>
      <c r="J4436" s="55">
        <v>46178</v>
      </c>
      <c r="K4436" s="55">
        <v>46205</v>
      </c>
      <c r="L4436" s="3"/>
      <c r="M4436" s="3"/>
      <c r="N4436" s="3"/>
      <c r="O4436" s="3" t="s">
        <v>10</v>
      </c>
      <c r="P4436" s="55">
        <v>46175</v>
      </c>
      <c r="Q4436" s="167"/>
      <c r="R4436" s="1"/>
    </row>
    <row r="4437" spans="1:18">
      <c r="A4437" s="204" t="s">
        <v>1950</v>
      </c>
      <c r="B4437" s="201" t="s">
        <v>1951</v>
      </c>
      <c r="C4437" s="196">
        <v>134609195</v>
      </c>
      <c r="D4437" s="168"/>
      <c r="E4437" s="29"/>
      <c r="F4437" s="29" t="s">
        <v>164</v>
      </c>
      <c r="G4437" s="3" t="s">
        <v>215</v>
      </c>
      <c r="H4437" s="3" t="s">
        <v>165</v>
      </c>
      <c r="I4437" s="55">
        <v>46175</v>
      </c>
      <c r="J4437" s="55">
        <v>46178</v>
      </c>
      <c r="K4437" s="55">
        <v>46205</v>
      </c>
      <c r="L4437" s="3"/>
      <c r="M4437" s="3"/>
      <c r="N4437" s="3"/>
      <c r="O4437" s="3" t="s">
        <v>10</v>
      </c>
      <c r="P4437" s="55">
        <v>46175</v>
      </c>
      <c r="Q4437" s="167"/>
      <c r="R4437" s="1"/>
    </row>
    <row r="4438" spans="1:18">
      <c r="A4438" s="204" t="s">
        <v>1950</v>
      </c>
      <c r="B4438" s="201" t="s">
        <v>1951</v>
      </c>
      <c r="C4438" s="196">
        <v>134609183</v>
      </c>
      <c r="D4438" s="168"/>
      <c r="E4438" s="29"/>
      <c r="F4438" s="29" t="s">
        <v>164</v>
      </c>
      <c r="G4438" s="3" t="s">
        <v>215</v>
      </c>
      <c r="H4438" s="3" t="s">
        <v>165</v>
      </c>
      <c r="I4438" s="55">
        <v>46175</v>
      </c>
      <c r="J4438" s="55">
        <v>46178</v>
      </c>
      <c r="K4438" s="55">
        <v>46205</v>
      </c>
      <c r="L4438" s="3"/>
      <c r="M4438" s="3"/>
      <c r="N4438" s="3"/>
      <c r="O4438" s="3" t="s">
        <v>10</v>
      </c>
      <c r="P4438" s="55">
        <v>46175</v>
      </c>
      <c r="Q4438" s="167"/>
      <c r="R4438" s="1"/>
    </row>
    <row r="4439" spans="1:18">
      <c r="A4439" s="204" t="s">
        <v>1950</v>
      </c>
      <c r="B4439" s="201" t="s">
        <v>1951</v>
      </c>
      <c r="C4439" s="196">
        <v>134609180</v>
      </c>
      <c r="D4439" s="168"/>
      <c r="E4439" s="29"/>
      <c r="F4439" s="29" t="s">
        <v>164</v>
      </c>
      <c r="G4439" s="3" t="s">
        <v>215</v>
      </c>
      <c r="H4439" s="3" t="s">
        <v>165</v>
      </c>
      <c r="I4439" s="55">
        <v>46175</v>
      </c>
      <c r="J4439" s="55">
        <v>46178</v>
      </c>
      <c r="K4439" s="55">
        <v>46205</v>
      </c>
      <c r="L4439" s="3"/>
      <c r="M4439" s="3"/>
      <c r="N4439" s="3"/>
      <c r="O4439" s="3" t="s">
        <v>10</v>
      </c>
      <c r="P4439" s="55">
        <v>46175</v>
      </c>
      <c r="Q4439" s="167"/>
      <c r="R4439" s="1"/>
    </row>
    <row r="4440" spans="1:18">
      <c r="A4440" s="204" t="s">
        <v>1950</v>
      </c>
      <c r="B4440" s="201" t="s">
        <v>1951</v>
      </c>
      <c r="C4440" s="196">
        <v>134609155</v>
      </c>
      <c r="D4440" s="168"/>
      <c r="E4440" s="29"/>
      <c r="F4440" s="29" t="s">
        <v>164</v>
      </c>
      <c r="G4440" s="3" t="s">
        <v>215</v>
      </c>
      <c r="H4440" s="3" t="s">
        <v>165</v>
      </c>
      <c r="I4440" s="55">
        <v>46175</v>
      </c>
      <c r="J4440" s="55">
        <v>46178</v>
      </c>
      <c r="K4440" s="55">
        <v>46205</v>
      </c>
      <c r="L4440" s="3"/>
      <c r="M4440" s="3"/>
      <c r="N4440" s="3"/>
      <c r="O4440" s="3" t="s">
        <v>10</v>
      </c>
      <c r="P4440" s="55">
        <v>46175</v>
      </c>
      <c r="Q4440" s="167"/>
      <c r="R4440" s="1"/>
    </row>
    <row r="4441" spans="1:18">
      <c r="A4441" s="204" t="s">
        <v>1950</v>
      </c>
      <c r="B4441" s="201" t="s">
        <v>1951</v>
      </c>
      <c r="C4441" s="196">
        <v>134609137</v>
      </c>
      <c r="D4441" s="168"/>
      <c r="E4441" s="29"/>
      <c r="F4441" s="29" t="s">
        <v>164</v>
      </c>
      <c r="G4441" s="3" t="s">
        <v>215</v>
      </c>
      <c r="H4441" s="3" t="s">
        <v>165</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B058849-EEF7-42E1-9F29-7A0FBD7A18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2026-07-06T18:07:10Z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