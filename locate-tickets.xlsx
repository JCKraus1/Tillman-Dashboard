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77" documentId="8_{7F841BAC-E3D2-4E4B-A3CA-97B4D46101DD}" xr6:coauthVersionLast="47" xr6:coauthVersionMax="47" xr10:uidLastSave="{6893E5A8-20ED-4363-BBA3-638782E9D335}"/>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<sst xmlns="http://schemas.openxmlformats.org/spreadsheetml/2006/main" count="25103" uniqueCount="1822">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</sst>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165</c:v>
                </c:pt>
                <c:pt idx="1">
                  <c:v>103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165</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165</v>
      </c>
      <c r="E3" s="199"/>
      <c r="F3" s="199"/>
      <c r="G3" s="191" cm="1">
        <f t="array" ref="G3">SUMPRODUCT((UPPER(Master!L2:L395)="CLEAR")*1)</f>
        <v>103</v>
      </c>
      <c r="H3" s="191"/>
      <c r="I3" s="191"/>
      <c r="J3" s="194" cm="1">
        <f t="array" ref="J3">SUMPRODUCT((UPPER(Master!L2:L395)="EXPIRED")*1)</f>
        <v>0</v>
      </c>
      <c r="K3" s="194"/>
      <c r="L3" s="194"/>
      <c r="P3" s="183" t="s">
        <v>10</v>
      </c>
      <c r="Q3" s="183" cm="1">
        <f t="array" ref="Q3">SUMPRODUCT((UPPER(Master!L2:L395)="CLEAR")*1)</f>
        <v>103</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59</v>
      </c>
      <c r="C25" s="113" cm="1">
        <f t="array" ref="C25">IF(A25="","",SUMPRODUCT((UPPER(Master!F2:F395)=A25)*(UPPER(Master!L2:L395)="CLEAR")))</f>
        <v>19</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165</v>
      </c>
      <c r="C39" s="91">
        <f>SUMIF(A24:A38,"&lt;&gt;",C24:C38)</f>
        <v>103</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165</v>
      </c>
      <c r="D47" t="s">
        <v>16</v>
      </c>
      <c r="E47">
        <f>E27</f>
        <v>2</v>
      </c>
      <c r="G47" t="s">
        <v>29</v>
      </c>
      <c r="H47">
        <f>H27</f>
        <v>64</v>
      </c>
    </row>
    <row r="48" spans="1:12" hidden="1">
      <c r="A48" t="s">
        <v>10</v>
      </c>
      <c r="B48">
        <f>G3</f>
        <v>103</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9</v>
      </c>
      <c r="N78" s="173" t="s">
        <v>90</v>
      </c>
      <c r="O78" s="1" t="s">
        <v>91</v>
      </c>
    </row>
    <row r="79" spans="1:15" ht="15" customHeight="1">
      <c r="A79" s="172" t="s">
        <v>92</v>
      </c>
      <c r="B79" s="175">
        <v>125602262</v>
      </c>
      <c r="E79" s="29" t="s">
        <v>64</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9</v>
      </c>
      <c r="N83" s="173">
        <v>500</v>
      </c>
      <c r="O83" s="1" t="s">
        <v>91</v>
      </c>
    </row>
    <row r="84" spans="1:15" ht="15" customHeight="1">
      <c r="A84" s="172" t="s">
        <v>89</v>
      </c>
      <c r="B84" s="175">
        <v>125603978</v>
      </c>
      <c r="E84" s="29" t="s">
        <v>64</v>
      </c>
      <c r="F84" s="3" t="s">
        <v>72</v>
      </c>
      <c r="G84" s="3" t="s">
        <v>30</v>
      </c>
      <c r="H84" s="55">
        <v>46147</v>
      </c>
      <c r="I84" s="55">
        <v>46150</v>
      </c>
      <c r="J84" s="55">
        <v>46177</v>
      </c>
      <c r="L84" s="3" t="s">
        <v>9</v>
      </c>
      <c r="N84" s="173">
        <v>300</v>
      </c>
      <c r="O84" s="1" t="s">
        <v>91</v>
      </c>
    </row>
    <row r="85" spans="1:15" ht="15" customHeight="1">
      <c r="A85" s="172" t="s">
        <v>89</v>
      </c>
      <c r="B85" s="175">
        <v>125604026</v>
      </c>
      <c r="E85" s="29" t="s">
        <v>64</v>
      </c>
      <c r="F85" s="3" t="s">
        <v>72</v>
      </c>
      <c r="G85" s="3" t="s">
        <v>30</v>
      </c>
      <c r="H85" s="55">
        <v>46147</v>
      </c>
      <c r="I85" s="55">
        <v>46150</v>
      </c>
      <c r="J85" s="55">
        <v>46177</v>
      </c>
      <c r="L85" s="3" t="s">
        <v>9</v>
      </c>
      <c r="N85" s="173">
        <v>60</v>
      </c>
      <c r="O85" s="1" t="s">
        <v>91</v>
      </c>
    </row>
    <row r="86" spans="1:15" ht="15" customHeight="1">
      <c r="A86" s="172" t="s">
        <v>89</v>
      </c>
      <c r="B86" s="175">
        <v>125604081</v>
      </c>
      <c r="E86" s="29" t="s">
        <v>64</v>
      </c>
      <c r="F86" s="3" t="s">
        <v>72</v>
      </c>
      <c r="G86" s="3" t="s">
        <v>30</v>
      </c>
      <c r="H86" s="55">
        <v>46147</v>
      </c>
      <c r="I86" s="55">
        <v>46150</v>
      </c>
      <c r="J86" s="55">
        <v>46177</v>
      </c>
      <c r="L86" s="3" t="s">
        <v>9</v>
      </c>
      <c r="N86" s="173">
        <v>490</v>
      </c>
      <c r="O86" s="1" t="s">
        <v>91</v>
      </c>
    </row>
    <row r="87" spans="1:15" ht="15" customHeight="1">
      <c r="A87" s="172" t="s">
        <v>89</v>
      </c>
      <c r="B87" s="175">
        <v>125604820</v>
      </c>
      <c r="E87" s="29" t="s">
        <v>64</v>
      </c>
      <c r="F87" s="3" t="s">
        <v>72</v>
      </c>
      <c r="G87" s="3" t="s">
        <v>30</v>
      </c>
      <c r="H87" s="55">
        <v>46147</v>
      </c>
      <c r="I87" s="55">
        <v>46150</v>
      </c>
      <c r="J87" s="55">
        <v>46177</v>
      </c>
      <c r="L87" s="3" t="s">
        <v>9</v>
      </c>
      <c r="N87" s="173">
        <v>250</v>
      </c>
      <c r="O87" s="1" t="s">
        <v>91</v>
      </c>
    </row>
    <row r="88" spans="1:15" ht="15" customHeight="1">
      <c r="A88" s="172" t="s">
        <v>89</v>
      </c>
      <c r="B88" s="175">
        <v>125604870</v>
      </c>
      <c r="E88" s="29" t="s">
        <v>64</v>
      </c>
      <c r="F88" s="3" t="s">
        <v>72</v>
      </c>
      <c r="G88" s="3" t="s">
        <v>30</v>
      </c>
      <c r="H88" s="55">
        <v>46147</v>
      </c>
      <c r="I88" s="3" t="s">
        <v>95</v>
      </c>
      <c r="J88" s="55">
        <v>46177</v>
      </c>
      <c r="L88" s="3" t="s">
        <v>9</v>
      </c>
      <c r="N88" s="173">
        <v>350</v>
      </c>
      <c r="O88" s="1" t="s">
        <v>91</v>
      </c>
    </row>
    <row r="89" spans="1:15" ht="15" customHeight="1">
      <c r="A89" s="172" t="s">
        <v>89</v>
      </c>
      <c r="B89" s="175">
        <v>125604951</v>
      </c>
      <c r="E89" s="29" t="s">
        <v>64</v>
      </c>
      <c r="F89" s="3" t="s">
        <v>72</v>
      </c>
      <c r="G89" s="3" t="s">
        <v>30</v>
      </c>
      <c r="H89" s="55">
        <v>46147</v>
      </c>
      <c r="I89" s="55">
        <v>46150</v>
      </c>
      <c r="J89" s="55">
        <v>46177</v>
      </c>
      <c r="L89" s="3" t="s">
        <v>9</v>
      </c>
      <c r="N89" s="173">
        <v>65</v>
      </c>
      <c r="O89" s="1" t="s">
        <v>91</v>
      </c>
    </row>
    <row r="90" spans="1:15" ht="15" customHeight="1">
      <c r="A90" s="172" t="s">
        <v>89</v>
      </c>
      <c r="B90" s="175">
        <v>125604992</v>
      </c>
      <c r="E90" s="29" t="s">
        <v>64</v>
      </c>
      <c r="F90" s="3" t="s">
        <v>72</v>
      </c>
      <c r="G90" s="3" t="s">
        <v>30</v>
      </c>
      <c r="H90" s="55">
        <v>46147</v>
      </c>
      <c r="I90" s="55">
        <v>46150</v>
      </c>
      <c r="J90" s="55">
        <v>46177</v>
      </c>
      <c r="L90" s="3" t="s">
        <v>9</v>
      </c>
      <c r="N90" s="173">
        <v>300</v>
      </c>
      <c r="O90" s="1" t="s">
        <v>91</v>
      </c>
    </row>
    <row r="91" spans="1:15" ht="15" customHeight="1">
      <c r="A91" s="172" t="s">
        <v>89</v>
      </c>
      <c r="B91" s="175">
        <v>125605026</v>
      </c>
      <c r="E91" s="29" t="s">
        <v>64</v>
      </c>
      <c r="F91" s="3" t="s">
        <v>72</v>
      </c>
      <c r="G91" s="3" t="s">
        <v>30</v>
      </c>
      <c r="H91" s="55">
        <v>46147</v>
      </c>
      <c r="I91" s="55">
        <v>46150</v>
      </c>
      <c r="J91" s="55">
        <v>46177</v>
      </c>
      <c r="L91" s="3" t="s">
        <v>9</v>
      </c>
      <c r="N91" s="173">
        <v>300</v>
      </c>
      <c r="O91" s="1" t="s">
        <v>91</v>
      </c>
    </row>
    <row r="92" spans="1:15" ht="15" customHeight="1">
      <c r="A92" s="172" t="s">
        <v>89</v>
      </c>
      <c r="B92" s="175">
        <v>125605075</v>
      </c>
      <c r="E92" s="29" t="s">
        <v>64</v>
      </c>
      <c r="F92" s="3" t="s">
        <v>72</v>
      </c>
      <c r="G92" s="3" t="s">
        <v>30</v>
      </c>
      <c r="H92" s="55">
        <v>46147</v>
      </c>
      <c r="I92" s="55">
        <v>46150</v>
      </c>
      <c r="J92" s="55">
        <v>46177</v>
      </c>
      <c r="L92" s="3" t="s">
        <v>9</v>
      </c>
      <c r="N92" s="173">
        <v>200</v>
      </c>
      <c r="O92" s="1" t="s">
        <v>91</v>
      </c>
    </row>
    <row r="93" spans="1:15" ht="15" customHeight="1">
      <c r="A93" s="172" t="s">
        <v>89</v>
      </c>
      <c r="B93" s="175">
        <v>125605126</v>
      </c>
      <c r="E93" s="29" t="s">
        <v>64</v>
      </c>
      <c r="F93" s="3" t="s">
        <v>72</v>
      </c>
      <c r="G93" s="3" t="s">
        <v>30</v>
      </c>
      <c r="H93" s="55">
        <v>46147</v>
      </c>
      <c r="I93" s="55">
        <v>46150</v>
      </c>
      <c r="J93" s="55">
        <v>46177</v>
      </c>
      <c r="L93" s="3" t="s">
        <v>9</v>
      </c>
      <c r="N93" s="173">
        <v>500</v>
      </c>
      <c r="O93" s="1" t="s">
        <v>91</v>
      </c>
    </row>
    <row r="94" spans="1:15" ht="15" customHeight="1">
      <c r="A94" s="172" t="s">
        <v>89</v>
      </c>
      <c r="B94" s="175">
        <v>125605184</v>
      </c>
      <c r="E94" s="29" t="s">
        <v>64</v>
      </c>
      <c r="F94" s="3" t="s">
        <v>72</v>
      </c>
      <c r="G94" s="3" t="s">
        <v>30</v>
      </c>
      <c r="H94" s="55">
        <v>46147</v>
      </c>
      <c r="I94" s="55">
        <v>46150</v>
      </c>
      <c r="J94" s="55">
        <v>46177</v>
      </c>
      <c r="L94" s="3" t="s">
        <v>9</v>
      </c>
      <c r="N94" s="173">
        <v>470</v>
      </c>
      <c r="O94" s="1" t="s">
        <v>91</v>
      </c>
    </row>
    <row r="95" spans="1:15" ht="15" customHeight="1">
      <c r="A95" s="172" t="s">
        <v>89</v>
      </c>
      <c r="B95" s="175">
        <v>125605210</v>
      </c>
      <c r="E95" s="29" t="s">
        <v>64</v>
      </c>
      <c r="F95" s="3" t="s">
        <v>72</v>
      </c>
      <c r="G95" s="3" t="s">
        <v>30</v>
      </c>
      <c r="H95" s="55">
        <v>46147</v>
      </c>
      <c r="I95" s="55">
        <v>46150</v>
      </c>
      <c r="J95" s="55">
        <v>46177</v>
      </c>
      <c r="L95" s="3" t="s">
        <v>9</v>
      </c>
      <c r="N95" s="173">
        <v>350</v>
      </c>
      <c r="O95" s="1" t="s">
        <v>91</v>
      </c>
    </row>
    <row r="96" spans="1:15" ht="15" customHeight="1">
      <c r="A96" s="172" t="s">
        <v>89</v>
      </c>
      <c r="B96" s="175">
        <v>125605234</v>
      </c>
      <c r="E96" s="29" t="s">
        <v>64</v>
      </c>
      <c r="F96" s="3" t="s">
        <v>72</v>
      </c>
      <c r="G96" s="3" t="s">
        <v>30</v>
      </c>
      <c r="H96" s="55">
        <v>46147</v>
      </c>
      <c r="I96" s="55">
        <v>46150</v>
      </c>
      <c r="J96" s="55">
        <v>46177</v>
      </c>
      <c r="L96" s="3" t="s">
        <v>9</v>
      </c>
      <c r="N96" s="173">
        <v>520</v>
      </c>
      <c r="O96" s="1" t="s">
        <v>91</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EBD96E5-DFBA-4FF4-B2AB-17E839B4BC5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2026-05-27T20:25:38Z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