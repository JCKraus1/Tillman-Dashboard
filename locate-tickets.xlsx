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672" documentId="8_{7F841BAC-E3D2-4E4B-A3CA-97B4D46101DD}" xr6:coauthVersionLast="47" xr6:coauthVersionMax="47" xr10:uidLastSave="{C06DE455-779F-4B17-8279-ACD50B35DC97}"/>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<sst xmlns="http://schemas.openxmlformats.org/spreadsheetml/2006/main" count="22977" uniqueCount="1769">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</sst>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105</v>
      </c>
      <c r="B3" s="183"/>
      <c r="C3" s="183"/>
      <c r="D3" s="186" cm="1">
        <f t="array" ref="D3">SUMPRODUCT((UPPER(Master!L2:L468)="PENDING")*1)</f>
        <v>15</v>
      </c>
      <c r="E3" s="186"/>
      <c r="F3" s="186"/>
      <c r="G3" s="178" cm="1">
        <f t="array" ref="G3">SUMPRODUCT((UPPER(Master!L2:L468)="CLEAR")*1)</f>
        <v>90</v>
      </c>
      <c r="H3" s="178"/>
      <c r="I3" s="178"/>
      <c r="J3" s="181" cm="1">
        <f t="array" ref="J3">SUMPRODUCT((UPPER(Master!L2:L468)="EXPIRED")*1)</f>
        <v>0</v>
      </c>
      <c r="K3" s="181"/>
      <c r="L3" s="181"/>
      <c r="P3" s="96" t="s">
        <v>10</v>
      </c>
      <c r="Q3" s="96" cm="1">
        <f t="array" ref="Q3">SUMPRODUCT((UPPER(Master!L2:L468)="CLEAR")*1)</f>
        <v>90</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11</v>
      </c>
      <c r="C25" s="121" cm="1">
        <f t="array" ref="C25">IF(A25="","",SUMPRODUCT((UPPER(Master!F2:F468)=A25)*(UPPER(Master!L2:L468)="CLEAR")))</f>
        <v>45</v>
      </c>
      <c r="D25" s="121" cm="1">
        <f t="array" ref="D25">IF(A25="","",SUMPRODUCT((UPPER(Master!F2:F468)=A25)*(UPPER(Master!L2:L468)="EXPIRED")))</f>
        <v>0</v>
      </c>
      <c r="E25" s="122">
        <f>IF(A25="","",B25+C25+D25)</f>
        <v>56</v>
      </c>
      <c r="G25" s="120" t="str">
        <f>IFERROR(INDEX(_xlfn.ANCHORARRAY(S2),2),"")</f>
        <v>LSCG</v>
      </c>
      <c r="H25" s="122" cm="1">
        <f t="array" ref="H25">IF(G25="","",SUMPRODUCT((UPPER(Master!G2:G468)=UPPER(G25))*1))</f>
        <v>9</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3</v>
      </c>
      <c r="C27" s="121" cm="1">
        <f t="array" ref="C27">IF(A27="","",SUMPRODUCT((UPPER(Master!F2:F468)=A27)*(UPPER(Master!L2:L468)="CLEAR")))</f>
        <v>2</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105</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90</v>
      </c>
      <c r="D39" s="91">
        <f>SUMIF(A24:A38,"&lt;&gt;",D24:D38)</f>
        <v>0</v>
      </c>
      <c r="E39" s="92">
        <f>SUMIF(A24:A38,"&lt;&gt;",E24:E38)</f>
        <v>105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90</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105</v>
      </c>
      <c r="B52">
        <f>B58+B59</f>
        <v>300</v>
      </c>
      <c r="C52">
        <f>B59</f>
        <v>270</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270</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06"/>
  <sheetViews>
    <sheetView tabSelected="1" zoomScale="90" zoomScaleNormal="90" workbookViewId="0">
      <pane xSplit="1" topLeftCell="O84" activePane="topRight" state="frozen"/>
      <selection pane="topRight" activeCell="E102" sqref="E102:O106"/>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9</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89" t="s">
        <v>112</v>
      </c>
      <c r="B102" s="88">
        <v>112607528</v>
      </c>
      <c r="E102" s="29" t="s">
        <v>99</v>
      </c>
      <c r="F102" s="3" t="s">
        <v>97</v>
      </c>
      <c r="G102" s="3" t="s">
        <v>100</v>
      </c>
      <c r="H102" s="55">
        <v>46133</v>
      </c>
      <c r="I102" s="75">
        <v>46136</v>
      </c>
      <c r="J102" s="75">
        <v>46164</v>
      </c>
      <c r="L102" s="4" t="s">
        <v>9</v>
      </c>
    </row>
    <row r="103" spans="1:15" ht="15" customHeight="1">
      <c r="A103" s="89" t="s">
        <v>112</v>
      </c>
      <c r="B103" s="88">
        <v>112607580</v>
      </c>
      <c r="E103" s="29" t="s">
        <v>113</v>
      </c>
      <c r="F103" s="3" t="s">
        <v>97</v>
      </c>
      <c r="G103" s="3" t="s">
        <v>100</v>
      </c>
      <c r="H103" s="55">
        <v>46133</v>
      </c>
      <c r="I103" s="75">
        <v>46136</v>
      </c>
      <c r="J103" s="75">
        <v>46164</v>
      </c>
      <c r="L103" s="4" t="s">
        <v>9</v>
      </c>
    </row>
    <row r="104" spans="1:15" ht="15" customHeight="1">
      <c r="A104" s="89" t="s">
        <v>112</v>
      </c>
      <c r="B104" s="88">
        <v>112607639</v>
      </c>
      <c r="E104" s="29" t="s">
        <v>114</v>
      </c>
      <c r="F104" s="3" t="s">
        <v>97</v>
      </c>
      <c r="G104" s="3" t="s">
        <v>100</v>
      </c>
      <c r="H104" s="55">
        <v>46133</v>
      </c>
      <c r="I104" s="75">
        <v>46136</v>
      </c>
      <c r="J104" s="75">
        <v>46164</v>
      </c>
      <c r="L104" s="4" t="s">
        <v>9</v>
      </c>
    </row>
    <row r="105" spans="1:15" ht="15" customHeight="1">
      <c r="A105" s="89" t="s">
        <v>112</v>
      </c>
      <c r="B105" s="88">
        <v>112607697</v>
      </c>
      <c r="E105" s="29" t="s">
        <v>115</v>
      </c>
      <c r="F105" s="3" t="s">
        <v>97</v>
      </c>
      <c r="G105" s="3" t="s">
        <v>100</v>
      </c>
      <c r="H105" s="55">
        <v>46133</v>
      </c>
      <c r="I105" s="75">
        <v>46136</v>
      </c>
      <c r="J105" s="75">
        <v>46164</v>
      </c>
      <c r="L105" s="4" t="s">
        <v>9</v>
      </c>
    </row>
    <row r="106" spans="1:15" ht="15" customHeight="1">
      <c r="A106" s="89" t="s">
        <v>112</v>
      </c>
      <c r="B106" s="88">
        <v>112607808</v>
      </c>
      <c r="E106" s="29" t="s">
        <v>116</v>
      </c>
      <c r="F106" s="3" t="s">
        <v>97</v>
      </c>
      <c r="G106" s="3" t="s">
        <v>100</v>
      </c>
      <c r="H106" s="55">
        <v>46133</v>
      </c>
      <c r="I106" s="75">
        <v>46136</v>
      </c>
      <c r="J106" s="75">
        <v>46164</v>
      </c>
      <c r="L106"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117</v>
      </c>
      <c r="B2" s="71">
        <v>38505194</v>
      </c>
      <c r="C2" s="155"/>
      <c r="D2" s="155"/>
      <c r="E2" s="155"/>
      <c r="F2" s="71" t="s">
        <v>118</v>
      </c>
      <c r="G2" s="71" t="s">
        <v>119</v>
      </c>
      <c r="H2" s="149">
        <v>45695</v>
      </c>
      <c r="I2" s="155"/>
      <c r="J2" s="155"/>
      <c r="K2" s="155"/>
      <c r="L2" s="155"/>
      <c r="M2" s="155"/>
      <c r="N2" s="156"/>
      <c r="O2" s="71" t="s">
        <v>120</v>
      </c>
    </row>
    <row r="3" spans="1:15" hidden="1">
      <c r="A3" s="29" t="s">
        <v>117</v>
      </c>
      <c r="B3" s="29">
        <v>38505213</v>
      </c>
      <c r="F3" s="29" t="s">
        <v>118</v>
      </c>
      <c r="G3" s="29" t="s">
        <v>119</v>
      </c>
      <c r="H3" s="130">
        <v>45695</v>
      </c>
      <c r="O3" s="29" t="s">
        <v>121</v>
      </c>
    </row>
    <row r="4" spans="1:15" hidden="1">
      <c r="A4" s="41" t="s">
        <v>122</v>
      </c>
      <c r="B4" s="41">
        <v>50507609</v>
      </c>
      <c r="F4" s="29" t="s">
        <v>118</v>
      </c>
      <c r="G4" s="29" t="s">
        <v>123</v>
      </c>
      <c r="H4" s="130">
        <v>45707</v>
      </c>
      <c r="O4" s="41" t="s">
        <v>124</v>
      </c>
    </row>
    <row r="5" spans="1:15" hidden="1">
      <c r="A5" s="41" t="s">
        <v>122</v>
      </c>
      <c r="B5" s="41">
        <v>50507859</v>
      </c>
      <c r="F5" s="29" t="s">
        <v>118</v>
      </c>
      <c r="G5" s="29" t="s">
        <v>123</v>
      </c>
      <c r="H5" s="130">
        <v>45707</v>
      </c>
      <c r="O5" s="41" t="s">
        <v>125</v>
      </c>
    </row>
    <row r="6" spans="1:15" hidden="1">
      <c r="A6" s="157" t="s">
        <v>126</v>
      </c>
      <c r="B6" s="29">
        <v>21507562</v>
      </c>
      <c r="F6" s="29" t="s">
        <v>118</v>
      </c>
      <c r="G6" s="29" t="s">
        <v>127</v>
      </c>
      <c r="H6" s="130">
        <v>45678</v>
      </c>
      <c r="O6" s="29"/>
    </row>
    <row r="7" spans="1:15" hidden="1">
      <c r="A7" s="157" t="s">
        <v>126</v>
      </c>
      <c r="B7" s="29">
        <v>21507565</v>
      </c>
      <c r="F7" s="29" t="s">
        <v>118</v>
      </c>
      <c r="G7" s="29" t="s">
        <v>127</v>
      </c>
      <c r="H7" s="130">
        <v>45678</v>
      </c>
      <c r="O7" s="29"/>
    </row>
    <row r="8" spans="1:15" hidden="1">
      <c r="A8" s="157" t="s">
        <v>126</v>
      </c>
      <c r="B8" s="29">
        <v>21507568</v>
      </c>
      <c r="F8" s="29" t="s">
        <v>118</v>
      </c>
      <c r="G8" s="29" t="s">
        <v>127</v>
      </c>
      <c r="H8" s="130">
        <v>45678</v>
      </c>
      <c r="O8" s="29"/>
    </row>
    <row r="9" spans="1:15" hidden="1">
      <c r="A9" s="157" t="s">
        <v>126</v>
      </c>
      <c r="B9" s="29">
        <v>21507569</v>
      </c>
      <c r="F9" s="29" t="s">
        <v>118</v>
      </c>
      <c r="G9" s="29" t="s">
        <v>127</v>
      </c>
      <c r="H9" s="130">
        <v>45678</v>
      </c>
      <c r="O9" s="29"/>
    </row>
    <row r="10" spans="1:15" hidden="1">
      <c r="A10" s="157" t="s">
        <v>126</v>
      </c>
      <c r="B10" s="29">
        <v>21507570</v>
      </c>
      <c r="F10" s="29" t="s">
        <v>118</v>
      </c>
      <c r="G10" s="29" t="s">
        <v>127</v>
      </c>
      <c r="H10" s="130">
        <v>45678</v>
      </c>
      <c r="O10" s="29"/>
    </row>
    <row r="11" spans="1:15" hidden="1">
      <c r="A11" s="29" t="s">
        <v>128</v>
      </c>
      <c r="B11" s="29">
        <v>30503735</v>
      </c>
      <c r="F11" s="29" t="s">
        <v>129</v>
      </c>
      <c r="G11" s="29" t="s">
        <v>130</v>
      </c>
      <c r="H11" s="130">
        <v>45686</v>
      </c>
      <c r="O11" s="29" t="s">
        <v>131</v>
      </c>
    </row>
    <row r="12" spans="1:15" hidden="1">
      <c r="A12" s="29" t="s">
        <v>128</v>
      </c>
      <c r="B12" s="29">
        <v>30503776</v>
      </c>
      <c r="F12" s="29" t="s">
        <v>129</v>
      </c>
      <c r="G12" s="29" t="s">
        <v>130</v>
      </c>
      <c r="H12" s="130">
        <v>45686</v>
      </c>
      <c r="O12" s="29" t="s">
        <v>132</v>
      </c>
    </row>
    <row r="13" spans="1:15" hidden="1">
      <c r="A13" s="29" t="s">
        <v>128</v>
      </c>
      <c r="B13" s="29">
        <v>30503798</v>
      </c>
      <c r="F13" s="29" t="s">
        <v>129</v>
      </c>
      <c r="G13" s="29" t="s">
        <v>130</v>
      </c>
      <c r="H13" s="130">
        <v>45686</v>
      </c>
      <c r="O13" s="29" t="s">
        <v>133</v>
      </c>
    </row>
    <row r="14" spans="1:15" hidden="1">
      <c r="A14" s="29" t="s">
        <v>128</v>
      </c>
      <c r="B14" s="29">
        <v>30503821</v>
      </c>
      <c r="F14" s="29" t="s">
        <v>129</v>
      </c>
      <c r="G14" s="29" t="s">
        <v>130</v>
      </c>
      <c r="H14" s="130">
        <v>45686</v>
      </c>
      <c r="O14" s="29" t="s">
        <v>134</v>
      </c>
    </row>
    <row r="15" spans="1:15" hidden="1">
      <c r="A15" s="29" t="s">
        <v>128</v>
      </c>
      <c r="B15" s="29">
        <v>30503763</v>
      </c>
      <c r="F15" s="29" t="s">
        <v>129</v>
      </c>
      <c r="G15" s="29" t="s">
        <v>130</v>
      </c>
      <c r="H15" s="130">
        <v>45686</v>
      </c>
      <c r="O15" s="29" t="s">
        <v>135</v>
      </c>
    </row>
    <row r="16" spans="1:15" hidden="1">
      <c r="A16" s="29" t="s">
        <v>128</v>
      </c>
      <c r="B16" s="29">
        <v>35505134</v>
      </c>
      <c r="F16" s="29" t="s">
        <v>129</v>
      </c>
      <c r="G16" s="29" t="s">
        <v>130</v>
      </c>
      <c r="H16" s="130">
        <v>45691</v>
      </c>
      <c r="O16" s="29" t="s">
        <v>134</v>
      </c>
    </row>
    <row r="17" spans="1:16" hidden="1">
      <c r="A17" s="29" t="s">
        <v>128</v>
      </c>
      <c r="B17" s="29">
        <v>35505087</v>
      </c>
      <c r="F17" s="29" t="s">
        <v>129</v>
      </c>
      <c r="G17" s="29" t="s">
        <v>130</v>
      </c>
      <c r="H17" s="130">
        <v>45691</v>
      </c>
      <c r="O17" s="29" t="s">
        <v>133</v>
      </c>
    </row>
    <row r="18" spans="1:16" hidden="1">
      <c r="A18" s="29" t="s">
        <v>128</v>
      </c>
      <c r="B18" s="29">
        <v>35504960</v>
      </c>
      <c r="F18" s="29" t="s">
        <v>129</v>
      </c>
      <c r="G18" s="29" t="s">
        <v>130</v>
      </c>
      <c r="H18" s="130">
        <v>45691</v>
      </c>
      <c r="I18" s="29"/>
      <c r="J18" s="29"/>
      <c r="K18" s="29"/>
      <c r="L18" s="29"/>
      <c r="M18" s="29"/>
      <c r="N18" s="81"/>
      <c r="O18" s="29" t="s">
        <v>136</v>
      </c>
      <c r="P18" s="133"/>
    </row>
    <row r="19" spans="1:16" hidden="1">
      <c r="A19" s="29" t="s">
        <v>128</v>
      </c>
      <c r="B19" s="29">
        <v>35504929</v>
      </c>
      <c r="F19" s="29" t="s">
        <v>129</v>
      </c>
      <c r="G19" s="29" t="s">
        <v>130</v>
      </c>
      <c r="H19" s="130">
        <v>45691</v>
      </c>
      <c r="I19" s="29"/>
      <c r="J19" s="29"/>
      <c r="K19" s="29"/>
      <c r="L19" s="29"/>
      <c r="M19" s="29"/>
      <c r="N19" s="81"/>
      <c r="O19" s="29" t="s">
        <v>131</v>
      </c>
      <c r="P19" s="133"/>
    </row>
    <row r="20" spans="1:16" hidden="1">
      <c r="A20" s="29" t="s">
        <v>128</v>
      </c>
      <c r="B20" s="29">
        <v>35504891</v>
      </c>
      <c r="F20" s="29" t="s">
        <v>129</v>
      </c>
      <c r="G20" s="29" t="s">
        <v>130</v>
      </c>
      <c r="H20" s="130">
        <v>45691</v>
      </c>
      <c r="I20" s="29"/>
      <c r="J20" s="29"/>
      <c r="K20" s="29"/>
      <c r="L20" s="29"/>
      <c r="M20" s="29"/>
      <c r="N20" s="81"/>
      <c r="O20" s="29" t="s">
        <v>132</v>
      </c>
      <c r="P20" s="133"/>
    </row>
    <row r="21" spans="1:16" hidden="1">
      <c r="A21" s="29" t="s">
        <v>128</v>
      </c>
      <c r="B21" s="29">
        <v>35504415</v>
      </c>
      <c r="F21" s="29" t="s">
        <v>129</v>
      </c>
      <c r="G21" s="29" t="s">
        <v>130</v>
      </c>
      <c r="H21" s="130">
        <v>45691</v>
      </c>
      <c r="I21" s="29"/>
      <c r="J21" s="29"/>
      <c r="K21" s="29"/>
      <c r="L21" s="29"/>
      <c r="M21" s="29"/>
      <c r="N21" s="81"/>
      <c r="O21" s="29" t="s">
        <v>135</v>
      </c>
      <c r="P21" s="133"/>
    </row>
    <row r="22" spans="1:16" hidden="1">
      <c r="A22" s="29" t="s">
        <v>137</v>
      </c>
      <c r="B22" s="29">
        <v>35506238</v>
      </c>
      <c r="F22" s="29" t="s">
        <v>129</v>
      </c>
      <c r="G22" s="29" t="s">
        <v>130</v>
      </c>
      <c r="H22" s="130">
        <v>45691</v>
      </c>
      <c r="I22" s="29"/>
      <c r="J22" s="29"/>
      <c r="K22" s="29"/>
      <c r="L22" s="29"/>
      <c r="M22" s="29"/>
      <c r="N22" s="81"/>
      <c r="O22" s="29" t="s">
        <v>138</v>
      </c>
      <c r="P22" s="133"/>
    </row>
    <row r="23" spans="1:16" hidden="1">
      <c r="A23" s="29" t="s">
        <v>137</v>
      </c>
      <c r="B23" s="29">
        <v>35506199</v>
      </c>
      <c r="F23" s="29" t="s">
        <v>129</v>
      </c>
      <c r="G23" s="29" t="s">
        <v>130</v>
      </c>
      <c r="H23" s="130">
        <v>45691</v>
      </c>
      <c r="I23" s="29"/>
      <c r="J23" s="29"/>
      <c r="K23" s="29"/>
      <c r="L23" s="29"/>
      <c r="M23" s="29"/>
      <c r="N23" s="81"/>
      <c r="O23" s="29" t="s">
        <v>139</v>
      </c>
      <c r="P23" s="133"/>
    </row>
    <row r="24" spans="1:16" hidden="1">
      <c r="A24" s="29" t="s">
        <v>137</v>
      </c>
      <c r="B24" s="29">
        <v>35506159</v>
      </c>
      <c r="F24" s="29" t="s">
        <v>129</v>
      </c>
      <c r="G24" s="29" t="s">
        <v>130</v>
      </c>
      <c r="H24" s="130">
        <v>45691</v>
      </c>
      <c r="I24" s="29"/>
      <c r="J24" s="29"/>
      <c r="K24" s="29"/>
      <c r="L24" s="29"/>
      <c r="M24" s="29"/>
      <c r="N24" s="81"/>
      <c r="O24" s="29" t="s">
        <v>140</v>
      </c>
      <c r="P24" s="133"/>
    </row>
    <row r="25" spans="1:16" hidden="1">
      <c r="A25" s="29" t="s">
        <v>137</v>
      </c>
      <c r="B25" s="29">
        <v>35506111</v>
      </c>
      <c r="F25" s="29" t="s">
        <v>129</v>
      </c>
      <c r="G25" s="29" t="s">
        <v>130</v>
      </c>
      <c r="H25" s="130">
        <v>45691</v>
      </c>
      <c r="I25" s="29"/>
      <c r="J25" s="29"/>
      <c r="K25" s="29"/>
      <c r="L25" s="29"/>
      <c r="M25" s="29"/>
      <c r="N25" s="81"/>
      <c r="O25" s="29" t="s">
        <v>141</v>
      </c>
      <c r="P25" s="133"/>
    </row>
    <row r="26" spans="1:16" hidden="1">
      <c r="A26" s="29" t="s">
        <v>137</v>
      </c>
      <c r="B26" s="29">
        <v>35506054</v>
      </c>
      <c r="F26" s="29" t="s">
        <v>129</v>
      </c>
      <c r="G26" s="29" t="s">
        <v>130</v>
      </c>
      <c r="H26" s="130">
        <v>45691</v>
      </c>
      <c r="I26" s="29"/>
      <c r="J26" s="29"/>
      <c r="K26" s="29"/>
      <c r="L26" s="29"/>
      <c r="M26" s="29"/>
      <c r="N26" s="81"/>
      <c r="O26" s="29" t="s">
        <v>142</v>
      </c>
      <c r="P26" s="133"/>
    </row>
    <row r="27" spans="1:16" hidden="1">
      <c r="A27" s="29" t="s">
        <v>137</v>
      </c>
      <c r="B27" s="29">
        <v>35505986</v>
      </c>
      <c r="F27" s="29" t="s">
        <v>129</v>
      </c>
      <c r="G27" s="29" t="s">
        <v>130</v>
      </c>
      <c r="H27" s="130">
        <v>45691</v>
      </c>
      <c r="I27" s="29"/>
      <c r="J27" s="29"/>
      <c r="K27" s="29"/>
      <c r="L27" s="29"/>
      <c r="M27" s="29"/>
      <c r="N27" s="81"/>
      <c r="O27" s="29" t="s">
        <v>143</v>
      </c>
      <c r="P27" s="133"/>
    </row>
    <row r="28" spans="1:16" hidden="1">
      <c r="A28" s="29" t="s">
        <v>144</v>
      </c>
      <c r="B28" s="29">
        <v>35510080</v>
      </c>
      <c r="F28" s="29" t="s">
        <v>129</v>
      </c>
      <c r="G28" s="29" t="s">
        <v>145</v>
      </c>
      <c r="H28" s="130">
        <v>45691</v>
      </c>
      <c r="I28" s="29"/>
      <c r="J28" s="29"/>
      <c r="K28" s="29"/>
      <c r="L28" s="29"/>
      <c r="M28" s="29"/>
      <c r="N28" s="81"/>
      <c r="O28" s="29" t="s">
        <v>146</v>
      </c>
      <c r="P28" s="133"/>
    </row>
    <row r="29" spans="1:16" hidden="1">
      <c r="A29" s="29" t="s">
        <v>144</v>
      </c>
      <c r="B29" s="29">
        <v>35510070</v>
      </c>
      <c r="F29" s="29" t="s">
        <v>129</v>
      </c>
      <c r="G29" s="29" t="s">
        <v>145</v>
      </c>
      <c r="H29" s="130">
        <v>45691</v>
      </c>
      <c r="I29" s="29"/>
      <c r="J29" s="29"/>
      <c r="K29" s="29"/>
      <c r="L29" s="29"/>
      <c r="M29" s="29"/>
      <c r="N29" s="81"/>
      <c r="O29" s="29" t="s">
        <v>147</v>
      </c>
      <c r="P29" s="133"/>
    </row>
    <row r="30" spans="1:16" hidden="1">
      <c r="A30" s="29" t="s">
        <v>144</v>
      </c>
      <c r="B30" s="29">
        <v>35510055</v>
      </c>
      <c r="F30" s="29" t="s">
        <v>129</v>
      </c>
      <c r="G30" s="29" t="s">
        <v>145</v>
      </c>
      <c r="H30" s="130">
        <v>45691</v>
      </c>
      <c r="I30" s="29"/>
      <c r="J30" s="29"/>
      <c r="K30" s="29"/>
      <c r="L30" s="29"/>
      <c r="M30" s="29"/>
      <c r="N30" s="81"/>
      <c r="O30" s="29" t="s">
        <v>148</v>
      </c>
      <c r="P30" s="133"/>
    </row>
    <row r="31" spans="1:16" hidden="1">
      <c r="A31" s="29" t="s">
        <v>144</v>
      </c>
      <c r="B31" s="29">
        <v>35510045</v>
      </c>
      <c r="F31" s="29" t="s">
        <v>129</v>
      </c>
      <c r="G31" s="29" t="s">
        <v>145</v>
      </c>
      <c r="H31" s="130">
        <v>45691</v>
      </c>
      <c r="I31" s="29"/>
      <c r="J31" s="29"/>
      <c r="K31" s="29"/>
      <c r="L31" s="29"/>
      <c r="M31" s="29"/>
      <c r="N31" s="81"/>
      <c r="O31" s="29" t="s">
        <v>149</v>
      </c>
      <c r="P31" s="133"/>
    </row>
    <row r="32" spans="1:16" hidden="1">
      <c r="A32" s="29" t="s">
        <v>144</v>
      </c>
      <c r="B32" s="29">
        <v>35510032</v>
      </c>
      <c r="F32" s="29" t="s">
        <v>129</v>
      </c>
      <c r="G32" s="29" t="s">
        <v>145</v>
      </c>
      <c r="H32" s="130">
        <v>45691</v>
      </c>
      <c r="I32" s="29"/>
      <c r="J32" s="29"/>
      <c r="K32" s="29"/>
      <c r="L32" s="29"/>
      <c r="M32" s="29"/>
      <c r="N32" s="81"/>
      <c r="O32" s="29" t="s">
        <v>150</v>
      </c>
      <c r="P32" s="133"/>
    </row>
    <row r="33" spans="1:16" hidden="1">
      <c r="A33" s="29" t="s">
        <v>144</v>
      </c>
      <c r="B33" s="29">
        <v>35510022</v>
      </c>
      <c r="F33" s="29" t="s">
        <v>129</v>
      </c>
      <c r="G33" s="29" t="s">
        <v>145</v>
      </c>
      <c r="H33" s="130">
        <v>45691</v>
      </c>
      <c r="I33" s="29"/>
      <c r="J33" s="29"/>
      <c r="K33" s="29"/>
      <c r="L33" s="29"/>
      <c r="M33" s="29"/>
      <c r="N33" s="81"/>
      <c r="O33" s="29" t="s">
        <v>151</v>
      </c>
      <c r="P33" s="133"/>
    </row>
    <row r="34" spans="1:16" hidden="1">
      <c r="A34" s="29" t="s">
        <v>144</v>
      </c>
      <c r="B34" s="29">
        <v>35510009</v>
      </c>
      <c r="F34" s="29" t="s">
        <v>129</v>
      </c>
      <c r="G34" s="29" t="s">
        <v>145</v>
      </c>
      <c r="H34" s="130">
        <v>45691</v>
      </c>
      <c r="I34" s="29"/>
      <c r="J34" s="29"/>
      <c r="K34" s="29"/>
      <c r="L34" s="29"/>
      <c r="M34" s="29"/>
      <c r="N34" s="81"/>
      <c r="O34" s="29" t="s">
        <v>152</v>
      </c>
      <c r="P34" s="133"/>
    </row>
    <row r="35" spans="1:16" hidden="1">
      <c r="A35" s="29" t="s">
        <v>144</v>
      </c>
      <c r="B35" s="29">
        <v>35509989</v>
      </c>
      <c r="F35" s="29" t="s">
        <v>129</v>
      </c>
      <c r="G35" s="29" t="s">
        <v>145</v>
      </c>
      <c r="H35" s="130">
        <v>45691</v>
      </c>
      <c r="I35" s="29"/>
      <c r="J35" s="29"/>
      <c r="K35" s="29"/>
      <c r="L35" s="29"/>
      <c r="M35" s="29"/>
      <c r="N35" s="81"/>
      <c r="O35" s="29" t="s">
        <v>153</v>
      </c>
      <c r="P35" s="133"/>
    </row>
    <row r="36" spans="1:16" hidden="1">
      <c r="A36" s="29" t="s">
        <v>144</v>
      </c>
      <c r="B36" s="29">
        <v>37508582</v>
      </c>
      <c r="F36" s="29" t="s">
        <v>129</v>
      </c>
      <c r="G36" s="29" t="s">
        <v>145</v>
      </c>
      <c r="H36" s="130">
        <v>45693</v>
      </c>
      <c r="I36" s="29"/>
      <c r="J36" s="29"/>
      <c r="K36" s="29"/>
      <c r="L36" s="29"/>
      <c r="M36" s="29"/>
      <c r="N36" s="81"/>
      <c r="O36" s="29" t="s">
        <v>154</v>
      </c>
      <c r="P36" s="133"/>
    </row>
    <row r="37" spans="1:16" hidden="1">
      <c r="A37" s="29" t="s">
        <v>144</v>
      </c>
      <c r="B37" s="29">
        <v>37508534</v>
      </c>
      <c r="F37" s="29" t="s">
        <v>129</v>
      </c>
      <c r="G37" s="29" t="s">
        <v>145</v>
      </c>
      <c r="H37" s="130">
        <v>45693</v>
      </c>
      <c r="I37" s="29"/>
      <c r="J37" s="29"/>
      <c r="K37" s="29"/>
      <c r="L37" s="29"/>
      <c r="M37" s="29"/>
      <c r="N37" s="81"/>
      <c r="O37" s="29" t="s">
        <v>155</v>
      </c>
      <c r="P37" s="133"/>
    </row>
    <row r="38" spans="1:16" hidden="1">
      <c r="A38" s="29" t="s">
        <v>144</v>
      </c>
      <c r="B38" s="29">
        <v>37508555</v>
      </c>
      <c r="F38" s="29" t="s">
        <v>129</v>
      </c>
      <c r="G38" s="29" t="s">
        <v>145</v>
      </c>
      <c r="H38" s="130">
        <v>45693</v>
      </c>
      <c r="I38" s="29"/>
      <c r="J38" s="29"/>
      <c r="K38" s="29"/>
      <c r="L38" s="29"/>
      <c r="M38" s="29"/>
      <c r="N38" s="81"/>
      <c r="O38" s="29" t="s">
        <v>156</v>
      </c>
      <c r="P38" s="133"/>
    </row>
    <row r="39" spans="1:16" hidden="1">
      <c r="A39" s="29" t="s">
        <v>144</v>
      </c>
      <c r="B39" s="29">
        <v>37508444</v>
      </c>
      <c r="F39" s="29" t="s">
        <v>129</v>
      </c>
      <c r="G39" s="29" t="s">
        <v>145</v>
      </c>
      <c r="H39" s="130">
        <v>45693</v>
      </c>
      <c r="I39" s="29"/>
      <c r="J39" s="29"/>
      <c r="K39" s="29"/>
      <c r="L39" s="29"/>
      <c r="M39" s="29"/>
      <c r="N39" s="81"/>
      <c r="O39" s="29" t="s">
        <v>157</v>
      </c>
      <c r="P39" s="133"/>
    </row>
    <row r="40" spans="1:16" hidden="1">
      <c r="A40" s="29" t="s">
        <v>144</v>
      </c>
      <c r="B40" s="29">
        <v>37508509</v>
      </c>
      <c r="F40" s="29" t="s">
        <v>129</v>
      </c>
      <c r="G40" s="29" t="s">
        <v>145</v>
      </c>
      <c r="H40" s="130">
        <v>45693</v>
      </c>
      <c r="I40" s="29"/>
      <c r="J40" s="29"/>
      <c r="K40" s="29"/>
      <c r="L40" s="29"/>
      <c r="M40" s="29"/>
      <c r="N40" s="81"/>
      <c r="O40" s="29" t="s">
        <v>158</v>
      </c>
      <c r="P40" s="133"/>
    </row>
    <row r="41" spans="1:16" hidden="1">
      <c r="A41" s="29" t="s">
        <v>144</v>
      </c>
      <c r="B41" s="29">
        <v>37508419</v>
      </c>
      <c r="F41" s="29" t="s">
        <v>129</v>
      </c>
      <c r="G41" s="29" t="s">
        <v>145</v>
      </c>
      <c r="H41" s="130">
        <v>45693</v>
      </c>
      <c r="I41" s="29"/>
      <c r="J41" s="29"/>
      <c r="K41" s="29"/>
      <c r="L41" s="29"/>
      <c r="M41" s="29"/>
      <c r="N41" s="81"/>
      <c r="O41" s="29" t="s">
        <v>159</v>
      </c>
      <c r="P41" s="133"/>
    </row>
    <row r="42" spans="1:16" hidden="1">
      <c r="A42" s="29" t="s">
        <v>144</v>
      </c>
      <c r="B42" s="29">
        <v>37508391</v>
      </c>
      <c r="F42" s="29" t="s">
        <v>129</v>
      </c>
      <c r="G42" s="29" t="s">
        <v>145</v>
      </c>
      <c r="H42" s="130">
        <v>45693</v>
      </c>
      <c r="I42" s="29"/>
      <c r="J42" s="29"/>
      <c r="K42" s="29"/>
      <c r="L42" s="29"/>
      <c r="M42" s="29"/>
      <c r="N42" s="81"/>
      <c r="O42" s="29" t="s">
        <v>160</v>
      </c>
      <c r="P42" s="133"/>
    </row>
    <row r="43" spans="1:16" hidden="1">
      <c r="A43" s="29" t="s">
        <v>144</v>
      </c>
      <c r="B43" s="29">
        <v>37508358</v>
      </c>
      <c r="F43" s="29" t="s">
        <v>129</v>
      </c>
      <c r="G43" s="29" t="s">
        <v>145</v>
      </c>
      <c r="H43" s="130">
        <v>45693</v>
      </c>
      <c r="I43" s="29"/>
      <c r="J43" s="29"/>
      <c r="K43" s="29"/>
      <c r="L43" s="29"/>
      <c r="M43" s="29"/>
      <c r="N43" s="81"/>
      <c r="O43" s="29" t="s">
        <v>161</v>
      </c>
      <c r="P43" s="133"/>
    </row>
    <row r="44" spans="1:16" hidden="1">
      <c r="A44" s="29" t="s">
        <v>144</v>
      </c>
      <c r="B44" s="29">
        <v>36500028</v>
      </c>
      <c r="F44" s="29" t="s">
        <v>129</v>
      </c>
      <c r="G44" s="29" t="s">
        <v>145</v>
      </c>
      <c r="H44" s="130">
        <v>45692</v>
      </c>
      <c r="I44" s="29"/>
      <c r="J44" s="29"/>
      <c r="K44" s="29"/>
      <c r="L44" s="29"/>
      <c r="M44" s="29"/>
      <c r="N44" s="81"/>
      <c r="O44" s="29" t="s">
        <v>148</v>
      </c>
      <c r="P44" s="133"/>
    </row>
    <row r="45" spans="1:16" hidden="1">
      <c r="A45" s="29" t="s">
        <v>144</v>
      </c>
      <c r="B45" s="29">
        <v>36500027</v>
      </c>
      <c r="F45" s="29" t="s">
        <v>129</v>
      </c>
      <c r="G45" s="29" t="s">
        <v>145</v>
      </c>
      <c r="H45" s="130">
        <v>45692</v>
      </c>
      <c r="I45" s="29"/>
      <c r="J45" s="29"/>
      <c r="K45" s="29"/>
      <c r="L45" s="29"/>
      <c r="M45" s="29"/>
      <c r="N45" s="81"/>
      <c r="O45" s="29" t="s">
        <v>149</v>
      </c>
      <c r="P45" s="133"/>
    </row>
    <row r="46" spans="1:16" hidden="1">
      <c r="A46" s="29" t="s">
        <v>144</v>
      </c>
      <c r="B46" s="29">
        <v>36500026</v>
      </c>
      <c r="F46" s="29" t="s">
        <v>129</v>
      </c>
      <c r="G46" s="29" t="s">
        <v>145</v>
      </c>
      <c r="H46" s="130">
        <v>45692</v>
      </c>
      <c r="I46" s="29"/>
      <c r="J46" s="29"/>
      <c r="K46" s="29"/>
      <c r="L46" s="29"/>
      <c r="M46" s="29"/>
      <c r="N46" s="81"/>
      <c r="O46" s="29" t="s">
        <v>150</v>
      </c>
      <c r="P46" s="133"/>
    </row>
    <row r="47" spans="1:16" hidden="1">
      <c r="A47" s="29" t="s">
        <v>144</v>
      </c>
      <c r="B47" s="29">
        <v>36500024</v>
      </c>
      <c r="F47" s="29" t="s">
        <v>129</v>
      </c>
      <c r="G47" s="29" t="s">
        <v>145</v>
      </c>
      <c r="H47" s="130">
        <v>45692</v>
      </c>
      <c r="I47" s="29"/>
      <c r="J47" s="29"/>
      <c r="K47" s="29"/>
      <c r="L47" s="29"/>
      <c r="M47" s="29"/>
      <c r="N47" s="81"/>
      <c r="O47" s="29" t="s">
        <v>151</v>
      </c>
      <c r="P47" s="133"/>
    </row>
    <row r="48" spans="1:16" hidden="1">
      <c r="A48" s="29" t="s">
        <v>144</v>
      </c>
      <c r="B48" s="29">
        <v>36500023</v>
      </c>
      <c r="F48" s="29" t="s">
        <v>129</v>
      </c>
      <c r="G48" s="29" t="s">
        <v>145</v>
      </c>
      <c r="H48" s="130">
        <v>45692</v>
      </c>
      <c r="I48" s="29"/>
      <c r="J48" s="29"/>
      <c r="K48" s="29"/>
      <c r="L48" s="29"/>
      <c r="M48" s="29"/>
      <c r="N48" s="81"/>
      <c r="O48" s="29" t="s">
        <v>152</v>
      </c>
      <c r="P48" s="133"/>
    </row>
    <row r="49" spans="1:16" hidden="1">
      <c r="A49" s="29" t="s">
        <v>144</v>
      </c>
      <c r="B49" s="29">
        <v>36500022</v>
      </c>
      <c r="F49" s="29" t="s">
        <v>129</v>
      </c>
      <c r="G49" s="29" t="s">
        <v>145</v>
      </c>
      <c r="H49" s="130">
        <v>45692</v>
      </c>
      <c r="I49" s="29"/>
      <c r="J49" s="29"/>
      <c r="K49" s="29"/>
      <c r="L49" s="29"/>
      <c r="M49" s="29"/>
      <c r="N49" s="81"/>
      <c r="O49" s="29" t="s">
        <v>153</v>
      </c>
      <c r="P49" s="133"/>
    </row>
    <row r="50" spans="1:16" hidden="1">
      <c r="A50" s="29" t="s">
        <v>144</v>
      </c>
      <c r="B50" s="29">
        <v>36500021</v>
      </c>
      <c r="F50" s="29" t="s">
        <v>129</v>
      </c>
      <c r="G50" s="29" t="s">
        <v>145</v>
      </c>
      <c r="H50" s="130">
        <v>45692</v>
      </c>
      <c r="I50" s="29"/>
      <c r="J50" s="29"/>
      <c r="K50" s="29"/>
      <c r="L50" s="29"/>
      <c r="M50" s="29"/>
      <c r="N50" s="81"/>
      <c r="O50" s="29" t="s">
        <v>147</v>
      </c>
      <c r="P50" s="133"/>
    </row>
    <row r="51" spans="1:16" hidden="1">
      <c r="A51" s="29" t="s">
        <v>144</v>
      </c>
      <c r="B51" s="29">
        <v>36500020</v>
      </c>
      <c r="F51" s="29" t="s">
        <v>129</v>
      </c>
      <c r="G51" s="29" t="s">
        <v>145</v>
      </c>
      <c r="H51" s="130">
        <v>45692</v>
      </c>
      <c r="I51" s="29"/>
      <c r="J51" s="29"/>
      <c r="K51" s="29"/>
      <c r="L51" s="29"/>
      <c r="M51" s="29"/>
      <c r="N51" s="81"/>
      <c r="O51" s="29" t="s">
        <v>146</v>
      </c>
      <c r="P51" s="133"/>
    </row>
    <row r="52" spans="1:16" hidden="1">
      <c r="A52" s="29" t="s">
        <v>144</v>
      </c>
      <c r="B52" s="29">
        <v>41510494</v>
      </c>
      <c r="F52" s="29" t="s">
        <v>129</v>
      </c>
      <c r="G52" s="29" t="s">
        <v>145</v>
      </c>
      <c r="H52" s="130">
        <v>45694</v>
      </c>
      <c r="I52" s="29"/>
      <c r="J52" s="29"/>
      <c r="K52" s="29"/>
      <c r="L52" s="29"/>
      <c r="M52" s="29"/>
      <c r="N52" s="81"/>
      <c r="O52" s="29" t="s">
        <v>162</v>
      </c>
      <c r="P52" s="133"/>
    </row>
    <row r="53" spans="1:16" hidden="1">
      <c r="A53" s="29" t="s">
        <v>144</v>
      </c>
      <c r="B53" s="29">
        <v>41510481</v>
      </c>
      <c r="F53" s="29" t="s">
        <v>129</v>
      </c>
      <c r="G53" s="29" t="s">
        <v>145</v>
      </c>
      <c r="H53" s="130">
        <v>45694</v>
      </c>
      <c r="I53" s="29"/>
      <c r="J53" s="29"/>
      <c r="K53" s="29"/>
      <c r="L53" s="29"/>
      <c r="M53" s="29"/>
      <c r="N53" s="81"/>
      <c r="O53" s="29" t="s">
        <v>163</v>
      </c>
      <c r="P53" s="133"/>
    </row>
    <row r="54" spans="1:16" hidden="1">
      <c r="A54" s="29" t="s">
        <v>144</v>
      </c>
      <c r="B54" s="29">
        <v>41510470</v>
      </c>
      <c r="F54" s="29" t="s">
        <v>129</v>
      </c>
      <c r="G54" s="29" t="s">
        <v>145</v>
      </c>
      <c r="H54" s="130">
        <v>45694</v>
      </c>
      <c r="I54" s="29"/>
      <c r="J54" s="29"/>
      <c r="K54" s="29"/>
      <c r="L54" s="29"/>
      <c r="M54" s="29"/>
      <c r="N54" s="81"/>
      <c r="O54" s="29" t="s">
        <v>164</v>
      </c>
      <c r="P54" s="133"/>
    </row>
    <row r="55" spans="1:16" hidden="1">
      <c r="A55" s="29" t="s">
        <v>144</v>
      </c>
      <c r="B55" s="29">
        <v>41510452</v>
      </c>
      <c r="F55" s="29" t="s">
        <v>129</v>
      </c>
      <c r="G55" s="29" t="s">
        <v>145</v>
      </c>
      <c r="H55" s="130">
        <v>45694</v>
      </c>
      <c r="I55" s="29"/>
      <c r="J55" s="29"/>
      <c r="K55" s="29"/>
      <c r="L55" s="29"/>
      <c r="M55" s="29"/>
      <c r="N55" s="81"/>
      <c r="O55" s="29" t="s">
        <v>165</v>
      </c>
      <c r="P55" s="133"/>
    </row>
    <row r="56" spans="1:16" hidden="1">
      <c r="A56" s="29" t="s">
        <v>144</v>
      </c>
      <c r="B56" s="29">
        <v>41510441</v>
      </c>
      <c r="F56" s="29" t="s">
        <v>129</v>
      </c>
      <c r="G56" s="29" t="s">
        <v>145</v>
      </c>
      <c r="H56" s="130">
        <v>45694</v>
      </c>
      <c r="I56" s="29"/>
      <c r="J56" s="29"/>
      <c r="K56" s="29"/>
      <c r="L56" s="29"/>
      <c r="M56" s="29"/>
      <c r="N56" s="81"/>
      <c r="O56" s="29" t="s">
        <v>166</v>
      </c>
      <c r="P56" s="133"/>
    </row>
    <row r="57" spans="1:16" hidden="1">
      <c r="A57" s="29" t="s">
        <v>144</v>
      </c>
      <c r="B57" s="29">
        <v>41510437</v>
      </c>
      <c r="F57" s="29" t="s">
        <v>129</v>
      </c>
      <c r="G57" s="29" t="s">
        <v>145</v>
      </c>
      <c r="H57" s="130">
        <v>45694</v>
      </c>
      <c r="I57" s="29"/>
      <c r="J57" s="29"/>
      <c r="K57" s="29"/>
      <c r="L57" s="29"/>
      <c r="M57" s="29"/>
      <c r="N57" s="81"/>
      <c r="O57" s="29" t="s">
        <v>167</v>
      </c>
      <c r="P57" s="133"/>
    </row>
    <row r="58" spans="1:16" hidden="1">
      <c r="A58" s="29" t="s">
        <v>144</v>
      </c>
      <c r="B58" s="29">
        <v>41510416</v>
      </c>
      <c r="F58" s="29" t="s">
        <v>129</v>
      </c>
      <c r="G58" s="29" t="s">
        <v>145</v>
      </c>
      <c r="H58" s="130">
        <v>45694</v>
      </c>
      <c r="I58" s="29"/>
      <c r="J58" s="29"/>
      <c r="K58" s="29"/>
      <c r="L58" s="29"/>
      <c r="M58" s="29"/>
      <c r="N58" s="81"/>
      <c r="O58" s="29" t="s">
        <v>168</v>
      </c>
      <c r="P58" s="133"/>
    </row>
    <row r="59" spans="1:16" hidden="1">
      <c r="A59" s="29" t="s">
        <v>144</v>
      </c>
      <c r="B59" s="29">
        <v>41510403</v>
      </c>
      <c r="F59" s="29" t="s">
        <v>129</v>
      </c>
      <c r="G59" s="29" t="s">
        <v>145</v>
      </c>
      <c r="H59" s="130">
        <v>45694</v>
      </c>
      <c r="I59" s="29"/>
      <c r="J59" s="29"/>
      <c r="K59" s="29"/>
      <c r="L59" s="29"/>
      <c r="M59" s="29"/>
      <c r="N59" s="81"/>
      <c r="O59" s="29" t="s">
        <v>169</v>
      </c>
      <c r="P59" s="133"/>
    </row>
    <row r="60" spans="1:16" hidden="1">
      <c r="A60" s="29" t="s">
        <v>144</v>
      </c>
      <c r="B60" s="29">
        <v>41510390</v>
      </c>
      <c r="F60" s="29" t="s">
        <v>129</v>
      </c>
      <c r="G60" s="29" t="s">
        <v>145</v>
      </c>
      <c r="H60" s="130">
        <v>45694</v>
      </c>
      <c r="I60" s="29"/>
      <c r="J60" s="29"/>
      <c r="K60" s="29"/>
      <c r="L60" s="29"/>
      <c r="M60" s="29"/>
      <c r="N60" s="81"/>
      <c r="O60" s="29" t="s">
        <v>170</v>
      </c>
      <c r="P60" s="133"/>
    </row>
    <row r="61" spans="1:16" hidden="1">
      <c r="A61" s="29" t="s">
        <v>144</v>
      </c>
      <c r="B61" s="29">
        <v>41510380</v>
      </c>
      <c r="F61" s="29" t="s">
        <v>129</v>
      </c>
      <c r="G61" s="29" t="s">
        <v>145</v>
      </c>
      <c r="H61" s="130">
        <v>45694</v>
      </c>
      <c r="I61" s="29"/>
      <c r="J61" s="29"/>
      <c r="K61" s="29"/>
      <c r="L61" s="29"/>
      <c r="M61" s="29"/>
      <c r="N61" s="81"/>
      <c r="O61" s="29" t="s">
        <v>171</v>
      </c>
      <c r="P61" s="133"/>
    </row>
    <row r="62" spans="1:16" hidden="1">
      <c r="A62" s="29" t="s">
        <v>144</v>
      </c>
      <c r="B62" s="29">
        <v>41510370</v>
      </c>
      <c r="F62" s="29" t="s">
        <v>129</v>
      </c>
      <c r="G62" s="29" t="s">
        <v>145</v>
      </c>
      <c r="H62" s="130">
        <v>45694</v>
      </c>
      <c r="I62" s="29"/>
      <c r="J62" s="29"/>
      <c r="K62" s="29"/>
      <c r="L62" s="29"/>
      <c r="M62" s="29"/>
      <c r="N62" s="81"/>
      <c r="O62" s="29" t="s">
        <v>172</v>
      </c>
      <c r="P62" s="133"/>
    </row>
    <row r="63" spans="1:16" hidden="1">
      <c r="A63" s="29" t="s">
        <v>144</v>
      </c>
      <c r="B63" s="29">
        <v>41510351</v>
      </c>
      <c r="F63" s="29" t="s">
        <v>129</v>
      </c>
      <c r="G63" s="29" t="s">
        <v>145</v>
      </c>
      <c r="H63" s="130">
        <v>45694</v>
      </c>
      <c r="I63" s="29"/>
      <c r="J63" s="29"/>
      <c r="K63" s="29"/>
      <c r="L63" s="29"/>
      <c r="M63" s="29"/>
      <c r="N63" s="81"/>
      <c r="O63" s="29" t="s">
        <v>173</v>
      </c>
      <c r="P63" s="133"/>
    </row>
    <row r="64" spans="1:16" hidden="1">
      <c r="A64" s="29" t="s">
        <v>144</v>
      </c>
      <c r="B64" s="29">
        <v>41510329</v>
      </c>
      <c r="F64" s="29" t="s">
        <v>129</v>
      </c>
      <c r="G64" s="29" t="s">
        <v>145</v>
      </c>
      <c r="H64" s="130">
        <v>45694</v>
      </c>
      <c r="I64" s="29"/>
      <c r="J64" s="29"/>
      <c r="K64" s="29"/>
      <c r="L64" s="29"/>
      <c r="M64" s="29"/>
      <c r="N64" s="81"/>
      <c r="O64" s="29" t="s">
        <v>174</v>
      </c>
      <c r="P64" s="133"/>
    </row>
    <row r="65" spans="1:16" hidden="1">
      <c r="A65" s="41" t="s">
        <v>144</v>
      </c>
      <c r="B65" s="41">
        <v>36500020</v>
      </c>
      <c r="F65" s="84" t="s">
        <v>129</v>
      </c>
      <c r="G65" s="29" t="s">
        <v>145</v>
      </c>
      <c r="H65" s="42">
        <v>45693</v>
      </c>
      <c r="I65" s="29"/>
      <c r="J65" s="29"/>
      <c r="K65" s="29"/>
      <c r="L65" s="29"/>
      <c r="M65" s="29"/>
      <c r="N65" s="81"/>
      <c r="O65" s="41" t="s">
        <v>175</v>
      </c>
      <c r="P65" s="133"/>
    </row>
    <row r="66" spans="1:16" hidden="1">
      <c r="A66" s="41" t="s">
        <v>144</v>
      </c>
      <c r="B66" s="41">
        <v>36500021</v>
      </c>
      <c r="F66" s="84" t="s">
        <v>129</v>
      </c>
      <c r="G66" s="29" t="s">
        <v>145</v>
      </c>
      <c r="H66" s="42">
        <v>45693</v>
      </c>
      <c r="I66" s="29"/>
      <c r="J66" s="29"/>
      <c r="K66" s="29"/>
      <c r="L66" s="29"/>
      <c r="M66" s="29"/>
      <c r="N66" s="81"/>
      <c r="O66" s="41" t="s">
        <v>176</v>
      </c>
      <c r="P66" s="133"/>
    </row>
    <row r="67" spans="1:16" hidden="1">
      <c r="A67" s="41" t="s">
        <v>144</v>
      </c>
      <c r="B67" s="41">
        <v>36500022</v>
      </c>
      <c r="F67" s="84" t="s">
        <v>129</v>
      </c>
      <c r="G67" s="29" t="s">
        <v>145</v>
      </c>
      <c r="H67" s="42">
        <v>45693</v>
      </c>
      <c r="I67" s="29"/>
      <c r="J67" s="29"/>
      <c r="K67" s="29"/>
      <c r="L67" s="29"/>
      <c r="M67" s="29"/>
      <c r="N67" s="81"/>
      <c r="O67" s="41" t="s">
        <v>177</v>
      </c>
      <c r="P67" s="133"/>
    </row>
    <row r="68" spans="1:16" hidden="1">
      <c r="A68" s="41" t="s">
        <v>144</v>
      </c>
      <c r="B68" s="41">
        <v>36500023</v>
      </c>
      <c r="F68" s="84" t="s">
        <v>129</v>
      </c>
      <c r="G68" s="29" t="s">
        <v>145</v>
      </c>
      <c r="H68" s="42">
        <v>45693</v>
      </c>
      <c r="I68" s="29"/>
      <c r="J68" s="29"/>
      <c r="K68" s="29"/>
      <c r="L68" s="29"/>
      <c r="M68" s="29"/>
      <c r="N68" s="81"/>
      <c r="O68" s="41" t="s">
        <v>178</v>
      </c>
      <c r="P68" s="133"/>
    </row>
    <row r="69" spans="1:16" hidden="1">
      <c r="A69" s="41" t="s">
        <v>144</v>
      </c>
      <c r="B69" s="41">
        <v>36500024</v>
      </c>
      <c r="F69" s="84" t="s">
        <v>129</v>
      </c>
      <c r="G69" s="29" t="s">
        <v>145</v>
      </c>
      <c r="H69" s="42">
        <v>45693</v>
      </c>
      <c r="I69" s="29"/>
      <c r="J69" s="29"/>
      <c r="K69" s="29"/>
      <c r="L69" s="29"/>
      <c r="M69" s="29"/>
      <c r="N69" s="81"/>
      <c r="O69" s="41" t="s">
        <v>179</v>
      </c>
      <c r="P69" s="133"/>
    </row>
    <row r="70" spans="1:16" hidden="1">
      <c r="A70" s="41" t="s">
        <v>144</v>
      </c>
      <c r="B70" s="41">
        <v>36500026</v>
      </c>
      <c r="F70" s="84" t="s">
        <v>129</v>
      </c>
      <c r="G70" s="29" t="s">
        <v>145</v>
      </c>
      <c r="H70" s="42">
        <v>45693</v>
      </c>
      <c r="I70" s="29"/>
      <c r="J70" s="29"/>
      <c r="K70" s="29"/>
      <c r="L70" s="29"/>
      <c r="M70" s="29"/>
      <c r="N70" s="81"/>
      <c r="O70" s="41" t="s">
        <v>180</v>
      </c>
      <c r="P70" s="133"/>
    </row>
    <row r="71" spans="1:16" hidden="1">
      <c r="A71" s="41" t="s">
        <v>144</v>
      </c>
      <c r="B71" s="41">
        <v>36500027</v>
      </c>
      <c r="F71" s="84" t="s">
        <v>129</v>
      </c>
      <c r="G71" s="29" t="s">
        <v>145</v>
      </c>
      <c r="H71" s="42">
        <v>45693</v>
      </c>
      <c r="I71" s="29"/>
      <c r="J71" s="29"/>
      <c r="K71" s="29"/>
      <c r="L71" s="29"/>
      <c r="M71" s="29"/>
      <c r="N71" s="81"/>
      <c r="O71" s="41" t="s">
        <v>181</v>
      </c>
      <c r="P71" s="133"/>
    </row>
    <row r="72" spans="1:16" hidden="1">
      <c r="A72" s="41" t="s">
        <v>144</v>
      </c>
      <c r="B72" s="41">
        <v>36500028</v>
      </c>
      <c r="F72" s="84" t="s">
        <v>129</v>
      </c>
      <c r="G72" s="29" t="s">
        <v>145</v>
      </c>
      <c r="H72" s="42">
        <v>45693</v>
      </c>
      <c r="I72" s="29"/>
      <c r="J72" s="29"/>
      <c r="K72" s="29"/>
      <c r="L72" s="29"/>
      <c r="M72" s="29"/>
      <c r="N72" s="81"/>
      <c r="O72" s="41" t="s">
        <v>182</v>
      </c>
      <c r="P72" s="133"/>
    </row>
    <row r="73" spans="1:16" hidden="1">
      <c r="A73" s="41" t="s">
        <v>144</v>
      </c>
      <c r="B73" s="41">
        <v>38506867</v>
      </c>
      <c r="F73" s="84" t="s">
        <v>129</v>
      </c>
      <c r="G73" s="29" t="s">
        <v>145</v>
      </c>
      <c r="H73" s="42">
        <v>45695</v>
      </c>
      <c r="I73" s="29"/>
      <c r="J73" s="29"/>
      <c r="K73" s="29"/>
      <c r="L73" s="29"/>
      <c r="M73" s="29"/>
      <c r="N73" s="81"/>
      <c r="O73" s="41" t="s">
        <v>183</v>
      </c>
      <c r="P73" s="133"/>
    </row>
    <row r="74" spans="1:16" hidden="1">
      <c r="A74" s="41" t="s">
        <v>144</v>
      </c>
      <c r="B74" s="41">
        <v>38506877</v>
      </c>
      <c r="F74" s="84" t="s">
        <v>129</v>
      </c>
      <c r="G74" s="29" t="s">
        <v>145</v>
      </c>
      <c r="H74" s="42">
        <v>45695</v>
      </c>
      <c r="I74" s="29"/>
      <c r="J74" s="29"/>
      <c r="K74" s="29"/>
      <c r="L74" s="29"/>
      <c r="M74" s="29"/>
      <c r="N74" s="81"/>
      <c r="O74" s="41" t="s">
        <v>184</v>
      </c>
      <c r="P74" s="133"/>
    </row>
    <row r="75" spans="1:16" hidden="1">
      <c r="A75" s="41" t="s">
        <v>144</v>
      </c>
      <c r="B75" s="41">
        <v>3506891</v>
      </c>
      <c r="F75" s="84" t="s">
        <v>129</v>
      </c>
      <c r="G75" s="29" t="s">
        <v>145</v>
      </c>
      <c r="H75" s="42">
        <v>45695</v>
      </c>
      <c r="I75" s="29"/>
      <c r="J75" s="29"/>
      <c r="K75" s="29"/>
      <c r="L75" s="29"/>
      <c r="M75" s="29"/>
      <c r="N75" s="81"/>
      <c r="O75" s="41" t="s">
        <v>185</v>
      </c>
      <c r="P75" s="133"/>
    </row>
    <row r="76" spans="1:16" hidden="1">
      <c r="A76" s="41" t="s">
        <v>144</v>
      </c>
      <c r="B76" s="41">
        <v>35506896</v>
      </c>
      <c r="F76" s="84" t="s">
        <v>129</v>
      </c>
      <c r="G76" s="29" t="s">
        <v>145</v>
      </c>
      <c r="H76" s="42">
        <v>45695</v>
      </c>
      <c r="I76" s="29"/>
      <c r="J76" s="29"/>
      <c r="K76" s="29"/>
      <c r="L76" s="29"/>
      <c r="M76" s="29"/>
      <c r="N76" s="81"/>
      <c r="O76" s="41" t="s">
        <v>186</v>
      </c>
      <c r="P76" s="133"/>
    </row>
    <row r="77" spans="1:16" hidden="1">
      <c r="A77" s="41" t="s">
        <v>144</v>
      </c>
      <c r="B77" s="41">
        <v>37508488</v>
      </c>
      <c r="F77" s="84" t="s">
        <v>129</v>
      </c>
      <c r="G77" s="29" t="s">
        <v>145</v>
      </c>
      <c r="H77" s="42">
        <v>45694</v>
      </c>
      <c r="I77" s="29"/>
      <c r="J77" s="29"/>
      <c r="K77" s="29"/>
      <c r="L77" s="29"/>
      <c r="M77" s="29"/>
      <c r="N77" s="81"/>
      <c r="O77" s="41" t="s">
        <v>187</v>
      </c>
      <c r="P77" s="133"/>
    </row>
    <row r="78" spans="1:16" hidden="1">
      <c r="A78" s="41" t="s">
        <v>144</v>
      </c>
      <c r="B78" s="41">
        <v>38506900</v>
      </c>
      <c r="F78" s="84" t="s">
        <v>129</v>
      </c>
      <c r="G78" s="29" t="s">
        <v>145</v>
      </c>
      <c r="H78" s="42">
        <v>45695</v>
      </c>
      <c r="I78" s="29"/>
      <c r="J78" s="29"/>
      <c r="K78" s="29"/>
      <c r="L78" s="29"/>
      <c r="M78" s="29"/>
      <c r="N78" s="81"/>
      <c r="O78" s="41" t="s">
        <v>188</v>
      </c>
      <c r="P78" s="133"/>
    </row>
    <row r="79" spans="1:16" hidden="1">
      <c r="A79" s="41" t="s">
        <v>144</v>
      </c>
      <c r="B79" s="41">
        <v>38506904</v>
      </c>
      <c r="F79" s="84" t="s">
        <v>129</v>
      </c>
      <c r="G79" s="29" t="s">
        <v>145</v>
      </c>
      <c r="H79" s="42">
        <v>45695</v>
      </c>
      <c r="I79" s="29"/>
      <c r="J79" s="29"/>
      <c r="K79" s="29"/>
      <c r="L79" s="29"/>
      <c r="M79" s="29"/>
      <c r="N79" s="81"/>
      <c r="O79" s="41" t="s">
        <v>189</v>
      </c>
      <c r="P79" s="133"/>
    </row>
    <row r="80" spans="1:16" hidden="1">
      <c r="A80" s="41" t="s">
        <v>144</v>
      </c>
      <c r="B80" s="41">
        <v>38506907</v>
      </c>
      <c r="F80" s="84" t="s">
        <v>129</v>
      </c>
      <c r="G80" s="29" t="s">
        <v>145</v>
      </c>
      <c r="H80" s="42">
        <v>45695</v>
      </c>
      <c r="I80" s="29"/>
      <c r="J80" s="29"/>
      <c r="K80" s="29"/>
      <c r="L80" s="29"/>
      <c r="M80" s="29"/>
      <c r="N80" s="81"/>
      <c r="O80" s="41" t="s">
        <v>190</v>
      </c>
      <c r="P80" s="133"/>
    </row>
    <row r="81" spans="1:16" hidden="1">
      <c r="A81" s="41" t="s">
        <v>144</v>
      </c>
      <c r="B81" s="41">
        <v>37508574</v>
      </c>
      <c r="F81" s="84" t="s">
        <v>129</v>
      </c>
      <c r="G81" s="29" t="s">
        <v>145</v>
      </c>
      <c r="H81" s="42">
        <v>45695</v>
      </c>
      <c r="I81" s="29"/>
      <c r="J81" s="29"/>
      <c r="K81" s="29"/>
      <c r="L81" s="29"/>
      <c r="M81" s="29"/>
      <c r="N81" s="81"/>
      <c r="O81" s="41" t="s">
        <v>191</v>
      </c>
      <c r="P81" s="133"/>
    </row>
    <row r="82" spans="1:16" hidden="1">
      <c r="A82" s="41" t="s">
        <v>144</v>
      </c>
      <c r="B82" s="41">
        <v>38506910</v>
      </c>
      <c r="F82" s="84" t="s">
        <v>129</v>
      </c>
      <c r="G82" s="29" t="s">
        <v>145</v>
      </c>
      <c r="H82" s="42">
        <v>45695</v>
      </c>
      <c r="I82" s="29"/>
      <c r="J82" s="29"/>
      <c r="K82" s="29"/>
      <c r="L82" s="29"/>
      <c r="M82" s="29"/>
      <c r="N82" s="81"/>
      <c r="O82" s="41" t="s">
        <v>192</v>
      </c>
      <c r="P82" s="133"/>
    </row>
    <row r="83" spans="1:16" hidden="1">
      <c r="A83" s="41" t="s">
        <v>144</v>
      </c>
      <c r="B83" s="41">
        <v>38506913</v>
      </c>
      <c r="F83" s="84" t="s">
        <v>129</v>
      </c>
      <c r="G83" s="29" t="s">
        <v>145</v>
      </c>
      <c r="H83" s="42">
        <v>45695</v>
      </c>
      <c r="I83" s="29"/>
      <c r="J83" s="29"/>
      <c r="K83" s="29"/>
      <c r="L83" s="29"/>
      <c r="M83" s="29"/>
      <c r="N83" s="81"/>
      <c r="O83" s="41" t="s">
        <v>193</v>
      </c>
      <c r="P83" s="133"/>
    </row>
    <row r="84" spans="1:16" hidden="1">
      <c r="A84" s="41" t="s">
        <v>144</v>
      </c>
      <c r="B84" s="41">
        <v>41510329</v>
      </c>
      <c r="F84" s="84" t="s">
        <v>129</v>
      </c>
      <c r="G84" s="29" t="s">
        <v>145</v>
      </c>
      <c r="H84" s="42">
        <v>45698</v>
      </c>
      <c r="I84" s="29"/>
      <c r="J84" s="29"/>
      <c r="K84" s="29"/>
      <c r="L84" s="29"/>
      <c r="M84" s="29"/>
      <c r="N84" s="81"/>
      <c r="O84" s="41" t="s">
        <v>194</v>
      </c>
      <c r="P84" s="133"/>
    </row>
    <row r="85" spans="1:16" hidden="1">
      <c r="A85" s="41" t="s">
        <v>144</v>
      </c>
      <c r="B85" s="41">
        <v>41510351</v>
      </c>
      <c r="F85" s="84" t="s">
        <v>129</v>
      </c>
      <c r="G85" s="29" t="s">
        <v>145</v>
      </c>
      <c r="H85" s="42">
        <v>45698</v>
      </c>
      <c r="I85" s="29"/>
      <c r="J85" s="29"/>
      <c r="K85" s="29"/>
      <c r="L85" s="29"/>
      <c r="M85" s="29"/>
      <c r="N85" s="81"/>
      <c r="O85" s="41" t="s">
        <v>195</v>
      </c>
      <c r="P85" s="133"/>
    </row>
    <row r="86" spans="1:16" hidden="1">
      <c r="A86" s="41" t="s">
        <v>144</v>
      </c>
      <c r="B86" s="41">
        <v>41510370</v>
      </c>
      <c r="F86" s="84" t="s">
        <v>129</v>
      </c>
      <c r="G86" s="29" t="s">
        <v>145</v>
      </c>
      <c r="H86" s="42">
        <v>45698</v>
      </c>
      <c r="I86" s="29"/>
      <c r="J86" s="29"/>
      <c r="K86" s="29"/>
      <c r="L86" s="29"/>
      <c r="M86" s="29"/>
      <c r="N86" s="81"/>
      <c r="O86" s="41" t="s">
        <v>196</v>
      </c>
      <c r="P86" s="133"/>
    </row>
    <row r="87" spans="1:16" hidden="1">
      <c r="A87" s="41" t="s">
        <v>144</v>
      </c>
      <c r="B87" s="41">
        <v>41510380</v>
      </c>
      <c r="F87" s="84" t="s">
        <v>129</v>
      </c>
      <c r="G87" s="29" t="s">
        <v>145</v>
      </c>
      <c r="H87" s="42">
        <v>45698</v>
      </c>
      <c r="I87" s="29"/>
      <c r="J87" s="29"/>
      <c r="K87" s="29"/>
      <c r="L87" s="29"/>
      <c r="M87" s="29"/>
      <c r="N87" s="81"/>
      <c r="O87" s="41" t="s">
        <v>197</v>
      </c>
      <c r="P87" s="133"/>
    </row>
    <row r="88" spans="1:16" hidden="1">
      <c r="A88" s="41" t="s">
        <v>144</v>
      </c>
      <c r="B88" s="41">
        <v>41510390</v>
      </c>
      <c r="F88" s="84" t="s">
        <v>129</v>
      </c>
      <c r="G88" s="29" t="s">
        <v>145</v>
      </c>
      <c r="H88" s="42">
        <v>45698</v>
      </c>
      <c r="I88" s="29"/>
      <c r="J88" s="29"/>
      <c r="K88" s="29"/>
      <c r="L88" s="29"/>
      <c r="M88" s="29"/>
      <c r="N88" s="81"/>
      <c r="O88" s="41" t="s">
        <v>198</v>
      </c>
      <c r="P88" s="133"/>
    </row>
    <row r="89" spans="1:16" hidden="1">
      <c r="A89" s="41" t="s">
        <v>144</v>
      </c>
      <c r="B89" s="41">
        <v>41510403</v>
      </c>
      <c r="F89" s="84" t="s">
        <v>129</v>
      </c>
      <c r="G89" s="29" t="s">
        <v>145</v>
      </c>
      <c r="H89" s="42">
        <v>45698</v>
      </c>
      <c r="I89" s="29"/>
      <c r="J89" s="29"/>
      <c r="K89" s="29"/>
      <c r="L89" s="29"/>
      <c r="M89" s="29"/>
      <c r="N89" s="81"/>
      <c r="O89" s="41" t="s">
        <v>199</v>
      </c>
      <c r="P89" s="133"/>
    </row>
    <row r="90" spans="1:16" hidden="1">
      <c r="A90" s="41" t="s">
        <v>144</v>
      </c>
      <c r="B90" s="41">
        <v>41510416</v>
      </c>
      <c r="F90" s="84" t="s">
        <v>129</v>
      </c>
      <c r="G90" s="29" t="s">
        <v>145</v>
      </c>
      <c r="H90" s="42">
        <v>45698</v>
      </c>
      <c r="I90" s="29"/>
      <c r="J90" s="29"/>
      <c r="K90" s="29"/>
      <c r="L90" s="29"/>
      <c r="M90" s="29"/>
      <c r="N90" s="81"/>
      <c r="O90" s="41" t="s">
        <v>200</v>
      </c>
      <c r="P90" s="133"/>
    </row>
    <row r="91" spans="1:16" hidden="1">
      <c r="A91" s="41" t="s">
        <v>144</v>
      </c>
      <c r="B91" s="41">
        <v>41510437</v>
      </c>
      <c r="F91" s="84" t="s">
        <v>129</v>
      </c>
      <c r="G91" s="29" t="s">
        <v>145</v>
      </c>
      <c r="H91" s="42">
        <v>45698</v>
      </c>
      <c r="I91" s="29"/>
      <c r="J91" s="29"/>
      <c r="K91" s="29"/>
      <c r="L91" s="29"/>
      <c r="M91" s="29"/>
      <c r="N91" s="81"/>
      <c r="O91" s="41" t="s">
        <v>201</v>
      </c>
      <c r="P91" s="133"/>
    </row>
    <row r="92" spans="1:16" hidden="1">
      <c r="A92" s="41" t="s">
        <v>144</v>
      </c>
      <c r="B92" s="41">
        <v>41510441</v>
      </c>
      <c r="F92" s="84" t="s">
        <v>129</v>
      </c>
      <c r="G92" s="29" t="s">
        <v>145</v>
      </c>
      <c r="H92" s="42">
        <v>45698</v>
      </c>
      <c r="I92" s="29"/>
      <c r="J92" s="29"/>
      <c r="K92" s="29"/>
      <c r="L92" s="29"/>
      <c r="M92" s="29"/>
      <c r="N92" s="81"/>
      <c r="O92" s="41" t="s">
        <v>202</v>
      </c>
      <c r="P92" s="133"/>
    </row>
    <row r="93" spans="1:16" hidden="1">
      <c r="A93" s="41" t="s">
        <v>144</v>
      </c>
      <c r="B93" s="41">
        <v>41510452</v>
      </c>
      <c r="F93" s="84" t="s">
        <v>129</v>
      </c>
      <c r="G93" s="29" t="s">
        <v>145</v>
      </c>
      <c r="H93" s="42">
        <v>45698</v>
      </c>
      <c r="I93" s="29"/>
      <c r="J93" s="29"/>
      <c r="K93" s="29"/>
      <c r="L93" s="29"/>
      <c r="M93" s="29"/>
      <c r="N93" s="81"/>
      <c r="O93" s="41" t="s">
        <v>203</v>
      </c>
      <c r="P93" s="133"/>
    </row>
    <row r="94" spans="1:16" hidden="1">
      <c r="A94" s="41" t="s">
        <v>144</v>
      </c>
      <c r="B94" s="41">
        <v>41510470</v>
      </c>
      <c r="F94" s="84" t="s">
        <v>129</v>
      </c>
      <c r="G94" s="29" t="s">
        <v>145</v>
      </c>
      <c r="H94" s="42">
        <v>45698</v>
      </c>
      <c r="I94" s="29"/>
      <c r="J94" s="29"/>
      <c r="K94" s="29"/>
      <c r="L94" s="29"/>
      <c r="M94" s="29"/>
      <c r="N94" s="81"/>
      <c r="O94" s="41" t="s">
        <v>204</v>
      </c>
      <c r="P94" s="133"/>
    </row>
    <row r="95" spans="1:16" hidden="1">
      <c r="A95" s="41" t="s">
        <v>144</v>
      </c>
      <c r="B95" s="41">
        <v>41510481</v>
      </c>
      <c r="F95" s="84" t="s">
        <v>129</v>
      </c>
      <c r="G95" s="29" t="s">
        <v>145</v>
      </c>
      <c r="H95" s="42">
        <v>45698</v>
      </c>
      <c r="I95" s="29"/>
      <c r="J95" s="29"/>
      <c r="K95" s="29"/>
      <c r="L95" s="29"/>
      <c r="M95" s="29"/>
      <c r="N95" s="81"/>
      <c r="O95" s="41" t="s">
        <v>205</v>
      </c>
      <c r="P95" s="133"/>
    </row>
    <row r="96" spans="1:16" hidden="1">
      <c r="A96" s="41" t="s">
        <v>144</v>
      </c>
      <c r="B96" s="41">
        <v>41510494</v>
      </c>
      <c r="F96" s="84" t="s">
        <v>129</v>
      </c>
      <c r="G96" s="29" t="s">
        <v>145</v>
      </c>
      <c r="H96" s="42">
        <v>45698</v>
      </c>
      <c r="I96" s="29"/>
      <c r="J96" s="29"/>
      <c r="K96" s="29"/>
      <c r="L96" s="29"/>
      <c r="M96" s="29"/>
      <c r="N96" s="81"/>
      <c r="O96" s="41" t="s">
        <v>206</v>
      </c>
      <c r="P96" s="133"/>
    </row>
    <row r="97" spans="1:16" hidden="1">
      <c r="A97" s="29" t="s">
        <v>144</v>
      </c>
      <c r="B97" s="29">
        <v>38506913</v>
      </c>
      <c r="F97" s="29" t="s">
        <v>129</v>
      </c>
      <c r="G97" s="29" t="s">
        <v>145</v>
      </c>
      <c r="H97" s="130">
        <v>45694</v>
      </c>
      <c r="I97" s="29"/>
      <c r="J97" s="29"/>
      <c r="K97" s="29"/>
      <c r="L97" s="29"/>
      <c r="M97" s="29"/>
      <c r="N97" s="81"/>
      <c r="O97" s="29" t="s">
        <v>207</v>
      </c>
      <c r="P97" s="133"/>
    </row>
    <row r="98" spans="1:16" hidden="1">
      <c r="A98" s="29" t="s">
        <v>144</v>
      </c>
      <c r="B98" s="29">
        <v>38506910</v>
      </c>
      <c r="F98" s="29" t="s">
        <v>129</v>
      </c>
      <c r="G98" s="29" t="s">
        <v>145</v>
      </c>
      <c r="H98" s="130">
        <v>45694</v>
      </c>
      <c r="I98" s="29"/>
      <c r="J98" s="29"/>
      <c r="K98" s="29"/>
      <c r="L98" s="29"/>
      <c r="M98" s="29"/>
      <c r="N98" s="81"/>
      <c r="O98" s="29" t="s">
        <v>154</v>
      </c>
      <c r="P98" s="133"/>
    </row>
    <row r="99" spans="1:16" hidden="1">
      <c r="A99" s="29" t="s">
        <v>144</v>
      </c>
      <c r="B99" s="29">
        <v>38506907</v>
      </c>
      <c r="F99" s="29" t="s">
        <v>129</v>
      </c>
      <c r="G99" s="29" t="s">
        <v>145</v>
      </c>
      <c r="H99" s="130">
        <v>45694</v>
      </c>
      <c r="I99" s="29"/>
      <c r="J99" s="29"/>
      <c r="K99" s="29"/>
      <c r="L99" s="29"/>
      <c r="M99" s="29"/>
      <c r="N99" s="81"/>
      <c r="O99" s="29" t="s">
        <v>156</v>
      </c>
      <c r="P99" s="133"/>
    </row>
    <row r="100" spans="1:16" hidden="1">
      <c r="A100" s="29" t="s">
        <v>144</v>
      </c>
      <c r="B100" s="29">
        <v>38506904</v>
      </c>
      <c r="F100" s="29" t="s">
        <v>129</v>
      </c>
      <c r="G100" s="29" t="s">
        <v>145</v>
      </c>
      <c r="H100" s="130">
        <v>45694</v>
      </c>
      <c r="I100" s="29"/>
      <c r="J100" s="29"/>
      <c r="K100" s="29"/>
      <c r="L100" s="29"/>
      <c r="M100" s="29"/>
      <c r="N100" s="81"/>
      <c r="O100" s="29" t="s">
        <v>155</v>
      </c>
      <c r="P100" s="133"/>
    </row>
    <row r="101" spans="1:16" hidden="1">
      <c r="A101" s="29" t="s">
        <v>144</v>
      </c>
      <c r="B101" s="29">
        <v>38506900</v>
      </c>
      <c r="F101" s="29" t="s">
        <v>129</v>
      </c>
      <c r="G101" s="29" t="s">
        <v>145</v>
      </c>
      <c r="H101" s="130">
        <v>45694</v>
      </c>
      <c r="I101" s="29"/>
      <c r="J101" s="29"/>
      <c r="K101" s="29"/>
      <c r="L101" s="29"/>
      <c r="M101" s="29"/>
      <c r="N101" s="81"/>
      <c r="O101" s="29" t="s">
        <v>158</v>
      </c>
      <c r="P101" s="133"/>
    </row>
    <row r="102" spans="1:16" hidden="1">
      <c r="A102" s="29" t="s">
        <v>144</v>
      </c>
      <c r="B102" s="29">
        <v>38506896</v>
      </c>
      <c r="F102" s="29" t="s">
        <v>129</v>
      </c>
      <c r="G102" s="29" t="s">
        <v>145</v>
      </c>
      <c r="H102" s="130">
        <v>45694</v>
      </c>
      <c r="I102" s="29"/>
      <c r="J102" s="29"/>
      <c r="K102" s="29"/>
      <c r="L102" s="29"/>
      <c r="M102" s="29"/>
      <c r="N102" s="81"/>
      <c r="O102" s="29" t="s">
        <v>157</v>
      </c>
      <c r="P102" s="133"/>
    </row>
    <row r="103" spans="1:16" hidden="1">
      <c r="A103" s="29" t="s">
        <v>144</v>
      </c>
      <c r="B103" s="29">
        <v>38506891</v>
      </c>
      <c r="F103" s="29" t="s">
        <v>129</v>
      </c>
      <c r="G103" s="29" t="s">
        <v>145</v>
      </c>
      <c r="H103" s="130">
        <v>45694</v>
      </c>
      <c r="I103" s="29"/>
      <c r="J103" s="29"/>
      <c r="K103" s="29"/>
      <c r="L103" s="29"/>
      <c r="M103" s="29"/>
      <c r="N103" s="81"/>
      <c r="O103" s="29" t="s">
        <v>159</v>
      </c>
      <c r="P103" s="133"/>
    </row>
    <row r="104" spans="1:16" hidden="1">
      <c r="A104" s="29" t="s">
        <v>144</v>
      </c>
      <c r="B104" s="29">
        <v>38506877</v>
      </c>
      <c r="F104" s="29" t="s">
        <v>129</v>
      </c>
      <c r="G104" s="29" t="s">
        <v>145</v>
      </c>
      <c r="H104" s="130">
        <v>45694</v>
      </c>
      <c r="I104" s="29"/>
      <c r="J104" s="29"/>
      <c r="K104" s="29"/>
      <c r="L104" s="29"/>
      <c r="M104" s="29"/>
      <c r="N104" s="81"/>
      <c r="O104" s="29" t="s">
        <v>160</v>
      </c>
      <c r="P104" s="133"/>
    </row>
    <row r="105" spans="1:16" hidden="1">
      <c r="A105" s="29" t="s">
        <v>144</v>
      </c>
      <c r="B105" s="29">
        <v>38506867</v>
      </c>
      <c r="F105" s="29" t="s">
        <v>129</v>
      </c>
      <c r="G105" s="29" t="s">
        <v>145</v>
      </c>
      <c r="H105" s="130">
        <v>45694</v>
      </c>
      <c r="I105" s="29"/>
      <c r="J105" s="29"/>
      <c r="K105" s="29"/>
      <c r="L105" s="29"/>
      <c r="M105" s="29"/>
      <c r="N105" s="81"/>
      <c r="O105" s="29" t="s">
        <v>161</v>
      </c>
      <c r="P105" s="133"/>
    </row>
    <row r="106" spans="1:16" hidden="1">
      <c r="A106" s="29" t="s">
        <v>144</v>
      </c>
      <c r="B106" s="29">
        <v>37508574</v>
      </c>
      <c r="F106" s="29" t="s">
        <v>129</v>
      </c>
      <c r="G106" s="29" t="s">
        <v>145</v>
      </c>
      <c r="H106" s="130">
        <v>45694</v>
      </c>
      <c r="I106" s="29"/>
      <c r="J106" s="29"/>
      <c r="K106" s="29"/>
      <c r="L106" s="29"/>
      <c r="M106" s="29"/>
      <c r="N106" s="81"/>
      <c r="O106" s="29" t="s">
        <v>208</v>
      </c>
      <c r="P106" s="133"/>
    </row>
    <row r="107" spans="1:16" hidden="1">
      <c r="A107" s="29" t="s">
        <v>144</v>
      </c>
      <c r="B107" s="29">
        <v>37508571</v>
      </c>
      <c r="F107" s="29" t="s">
        <v>129</v>
      </c>
      <c r="G107" s="29" t="s">
        <v>145</v>
      </c>
      <c r="H107" s="130">
        <v>45694</v>
      </c>
      <c r="I107" s="29"/>
      <c r="J107" s="29"/>
      <c r="K107" s="29"/>
      <c r="L107" s="29"/>
      <c r="M107" s="29"/>
      <c r="N107" s="81"/>
      <c r="O107" s="29" t="s">
        <v>208</v>
      </c>
      <c r="P107" s="133"/>
    </row>
    <row r="108" spans="1:16" hidden="1">
      <c r="A108" s="29" t="s">
        <v>209</v>
      </c>
      <c r="B108" s="29">
        <v>37506123</v>
      </c>
      <c r="F108" s="29" t="s">
        <v>129</v>
      </c>
      <c r="G108" s="29" t="s">
        <v>210</v>
      </c>
      <c r="H108" s="130">
        <v>45694</v>
      </c>
      <c r="I108" s="29"/>
      <c r="J108" s="29"/>
      <c r="K108" s="29"/>
      <c r="L108" s="29"/>
      <c r="M108" s="29"/>
      <c r="N108" s="81"/>
      <c r="O108" s="29" t="s">
        <v>211</v>
      </c>
      <c r="P108" s="133"/>
    </row>
    <row r="109" spans="1:16" hidden="1">
      <c r="A109" s="29" t="s">
        <v>212</v>
      </c>
      <c r="B109" s="29">
        <v>35501743</v>
      </c>
      <c r="F109" s="29" t="s">
        <v>129</v>
      </c>
      <c r="G109" s="29" t="s">
        <v>213</v>
      </c>
      <c r="H109" s="130">
        <v>45692</v>
      </c>
      <c r="I109" s="29"/>
      <c r="J109" s="29"/>
      <c r="K109" s="29"/>
      <c r="L109" s="29"/>
      <c r="M109" s="29"/>
      <c r="N109" s="81"/>
      <c r="O109" s="29" t="s">
        <v>214</v>
      </c>
      <c r="P109" s="133"/>
    </row>
    <row r="110" spans="1:16" hidden="1">
      <c r="A110" s="29" t="s">
        <v>212</v>
      </c>
      <c r="B110" s="29">
        <v>35501713</v>
      </c>
      <c r="F110" s="29" t="s">
        <v>129</v>
      </c>
      <c r="G110" s="29" t="s">
        <v>213</v>
      </c>
      <c r="H110" s="130">
        <v>45692</v>
      </c>
      <c r="I110" s="29"/>
      <c r="J110" s="29"/>
      <c r="K110" s="29"/>
      <c r="L110" s="29"/>
      <c r="M110" s="29"/>
      <c r="N110" s="81"/>
      <c r="O110" s="29" t="s">
        <v>214</v>
      </c>
      <c r="P110" s="133"/>
    </row>
    <row r="111" spans="1:16" hidden="1">
      <c r="A111" s="29" t="s">
        <v>212</v>
      </c>
      <c r="B111" s="29">
        <v>35501673</v>
      </c>
      <c r="F111" s="29" t="s">
        <v>129</v>
      </c>
      <c r="G111" s="29" t="s">
        <v>213</v>
      </c>
      <c r="H111" s="130">
        <v>45692</v>
      </c>
      <c r="I111" s="29"/>
      <c r="J111" s="29"/>
      <c r="K111" s="29"/>
      <c r="L111" s="29"/>
      <c r="M111" s="29"/>
      <c r="N111" s="81"/>
      <c r="O111" s="29" t="s">
        <v>215</v>
      </c>
      <c r="P111" s="133"/>
    </row>
    <row r="112" spans="1:16" hidden="1">
      <c r="A112" s="29" t="s">
        <v>212</v>
      </c>
      <c r="B112" s="29">
        <v>35501638</v>
      </c>
      <c r="F112" s="29" t="s">
        <v>129</v>
      </c>
      <c r="G112" s="29" t="s">
        <v>213</v>
      </c>
      <c r="H112" s="130">
        <v>45692</v>
      </c>
      <c r="I112" s="29"/>
      <c r="J112" s="29"/>
      <c r="K112" s="29"/>
      <c r="L112" s="29"/>
      <c r="M112" s="29"/>
      <c r="N112" s="81"/>
      <c r="O112" s="29" t="s">
        <v>216</v>
      </c>
      <c r="P112" s="133"/>
    </row>
    <row r="113" spans="1:16" hidden="1">
      <c r="A113" s="29" t="s">
        <v>212</v>
      </c>
      <c r="B113" s="29">
        <v>35501580</v>
      </c>
      <c r="F113" s="29" t="s">
        <v>129</v>
      </c>
      <c r="G113" s="29" t="s">
        <v>213</v>
      </c>
      <c r="H113" s="130">
        <v>45692</v>
      </c>
      <c r="I113" s="29"/>
      <c r="J113" s="29"/>
      <c r="K113" s="29"/>
      <c r="L113" s="29"/>
      <c r="M113" s="29"/>
      <c r="N113" s="81"/>
      <c r="O113" s="29" t="s">
        <v>214</v>
      </c>
      <c r="P113" s="133"/>
    </row>
    <row r="114" spans="1:16" hidden="1">
      <c r="A114" s="29" t="s">
        <v>212</v>
      </c>
      <c r="B114" s="29">
        <v>35501515</v>
      </c>
      <c r="F114" s="29" t="s">
        <v>129</v>
      </c>
      <c r="G114" s="29" t="s">
        <v>213</v>
      </c>
      <c r="H114" s="130">
        <v>45692</v>
      </c>
      <c r="I114" s="29"/>
      <c r="J114" s="29"/>
      <c r="K114" s="29"/>
      <c r="L114" s="29"/>
      <c r="M114" s="29"/>
      <c r="N114" s="81"/>
      <c r="O114" s="29" t="s">
        <v>217</v>
      </c>
      <c r="P114" s="133"/>
    </row>
    <row r="115" spans="1:16" hidden="1">
      <c r="A115" s="29" t="s">
        <v>212</v>
      </c>
      <c r="B115" s="29">
        <v>35501463</v>
      </c>
      <c r="F115" s="29" t="s">
        <v>129</v>
      </c>
      <c r="G115" s="29" t="s">
        <v>213</v>
      </c>
      <c r="H115" s="130">
        <v>45692</v>
      </c>
      <c r="I115" s="29"/>
      <c r="J115" s="29"/>
      <c r="K115" s="29"/>
      <c r="L115" s="29"/>
      <c r="M115" s="29"/>
      <c r="N115" s="81"/>
      <c r="O115" s="29" t="s">
        <v>218</v>
      </c>
      <c r="P115" s="133"/>
    </row>
    <row r="116" spans="1:16" hidden="1">
      <c r="A116" s="29" t="s">
        <v>212</v>
      </c>
      <c r="B116" s="29">
        <v>35501422</v>
      </c>
      <c r="F116" s="29" t="s">
        <v>129</v>
      </c>
      <c r="G116" s="29" t="s">
        <v>213</v>
      </c>
      <c r="H116" s="130">
        <v>45692</v>
      </c>
      <c r="I116" s="29"/>
      <c r="J116" s="29"/>
      <c r="K116" s="29"/>
      <c r="L116" s="29"/>
      <c r="M116" s="29"/>
      <c r="N116" s="81"/>
      <c r="O116" s="29" t="s">
        <v>219</v>
      </c>
      <c r="P116" s="133"/>
    </row>
    <row r="117" spans="1:16" hidden="1">
      <c r="A117" s="29" t="s">
        <v>212</v>
      </c>
      <c r="B117" s="29">
        <v>35501396</v>
      </c>
      <c r="F117" s="29" t="s">
        <v>129</v>
      </c>
      <c r="G117" s="29" t="s">
        <v>213</v>
      </c>
      <c r="H117" s="130">
        <v>45692</v>
      </c>
      <c r="I117" s="29"/>
      <c r="J117" s="29"/>
      <c r="K117" s="29"/>
      <c r="L117" s="29"/>
      <c r="M117" s="29"/>
      <c r="N117" s="81"/>
      <c r="O117" s="29" t="s">
        <v>219</v>
      </c>
      <c r="P117" s="133"/>
    </row>
    <row r="118" spans="1:16" hidden="1">
      <c r="A118" s="29" t="s">
        <v>212</v>
      </c>
      <c r="B118" s="29">
        <v>35501337</v>
      </c>
      <c r="F118" s="29" t="s">
        <v>129</v>
      </c>
      <c r="G118" s="29" t="s">
        <v>213</v>
      </c>
      <c r="H118" s="130">
        <v>45692</v>
      </c>
      <c r="I118" s="29"/>
      <c r="J118" s="29"/>
      <c r="K118" s="29"/>
      <c r="L118" s="29"/>
      <c r="M118" s="29"/>
      <c r="N118" s="81"/>
      <c r="O118" s="29" t="s">
        <v>218</v>
      </c>
      <c r="P118" s="133"/>
    </row>
    <row r="119" spans="1:16" hidden="1">
      <c r="A119" s="29" t="s">
        <v>212</v>
      </c>
      <c r="B119" s="29">
        <v>35501254</v>
      </c>
      <c r="F119" s="29" t="s">
        <v>129</v>
      </c>
      <c r="G119" s="29" t="s">
        <v>213</v>
      </c>
      <c r="H119" s="130">
        <v>45692</v>
      </c>
      <c r="I119" s="29"/>
      <c r="J119" s="29"/>
      <c r="K119" s="29"/>
      <c r="L119" s="29"/>
      <c r="M119" s="29"/>
      <c r="N119" s="81"/>
      <c r="O119" s="29" t="s">
        <v>220</v>
      </c>
      <c r="P119" s="133"/>
    </row>
    <row r="120" spans="1:16" hidden="1">
      <c r="A120" s="29" t="s">
        <v>212</v>
      </c>
      <c r="B120" s="29">
        <v>35501215</v>
      </c>
      <c r="F120" s="29" t="s">
        <v>129</v>
      </c>
      <c r="G120" s="29" t="s">
        <v>213</v>
      </c>
      <c r="H120" s="130">
        <v>45692</v>
      </c>
      <c r="I120" s="29"/>
      <c r="J120" s="29"/>
      <c r="K120" s="29"/>
      <c r="L120" s="29"/>
      <c r="M120" s="29"/>
      <c r="N120" s="81"/>
      <c r="O120" s="29" t="s">
        <v>221</v>
      </c>
      <c r="P120" s="133"/>
    </row>
    <row r="121" spans="1:16" hidden="1">
      <c r="A121" s="29" t="s">
        <v>212</v>
      </c>
      <c r="B121" s="29">
        <v>35501170</v>
      </c>
      <c r="F121" s="29" t="s">
        <v>129</v>
      </c>
      <c r="G121" s="29" t="s">
        <v>213</v>
      </c>
      <c r="H121" s="130">
        <v>45692</v>
      </c>
      <c r="I121" s="29"/>
      <c r="J121" s="29"/>
      <c r="K121" s="29"/>
      <c r="L121" s="29"/>
      <c r="M121" s="29"/>
      <c r="N121" s="81"/>
      <c r="O121" s="29" t="s">
        <v>222</v>
      </c>
      <c r="P121" s="133"/>
    </row>
    <row r="122" spans="1:16" hidden="1">
      <c r="A122" s="29" t="s">
        <v>212</v>
      </c>
      <c r="B122" s="29">
        <v>35501116</v>
      </c>
      <c r="F122" s="29" t="s">
        <v>129</v>
      </c>
      <c r="G122" s="29" t="s">
        <v>213</v>
      </c>
      <c r="H122" s="130">
        <v>45692</v>
      </c>
      <c r="I122" s="29"/>
      <c r="J122" s="29"/>
      <c r="K122" s="29"/>
      <c r="L122" s="29"/>
      <c r="M122" s="29"/>
      <c r="N122" s="81"/>
      <c r="O122" s="29" t="s">
        <v>223</v>
      </c>
      <c r="P122" s="133"/>
    </row>
    <row r="123" spans="1:16" hidden="1">
      <c r="A123" s="29" t="s">
        <v>212</v>
      </c>
      <c r="B123" s="29">
        <v>35501047</v>
      </c>
      <c r="F123" s="29" t="s">
        <v>129</v>
      </c>
      <c r="G123" s="29" t="s">
        <v>213</v>
      </c>
      <c r="H123" s="130">
        <v>45692</v>
      </c>
      <c r="I123" s="29"/>
      <c r="J123" s="29"/>
      <c r="K123" s="29"/>
      <c r="L123" s="29"/>
      <c r="M123" s="29"/>
      <c r="N123" s="81"/>
      <c r="O123" s="29" t="s">
        <v>224</v>
      </c>
      <c r="P123" s="133"/>
    </row>
    <row r="124" spans="1:16" hidden="1">
      <c r="A124" s="29" t="s">
        <v>212</v>
      </c>
      <c r="B124" s="29">
        <v>35501040</v>
      </c>
      <c r="F124" s="29" t="s">
        <v>129</v>
      </c>
      <c r="G124" s="29" t="s">
        <v>213</v>
      </c>
      <c r="H124" s="130">
        <v>45692</v>
      </c>
      <c r="I124" s="29"/>
      <c r="J124" s="29"/>
      <c r="K124" s="29"/>
      <c r="L124" s="29"/>
      <c r="M124" s="29"/>
      <c r="N124" s="81"/>
      <c r="O124" s="29" t="s">
        <v>225</v>
      </c>
      <c r="P124" s="133"/>
    </row>
    <row r="125" spans="1:16" hidden="1">
      <c r="A125" s="29" t="s">
        <v>212</v>
      </c>
      <c r="B125" s="29">
        <v>35501016</v>
      </c>
      <c r="F125" s="29" t="s">
        <v>129</v>
      </c>
      <c r="G125" s="29" t="s">
        <v>213</v>
      </c>
      <c r="H125" s="130">
        <v>45692</v>
      </c>
      <c r="I125" s="29"/>
      <c r="J125" s="29"/>
      <c r="K125" s="29"/>
      <c r="L125" s="29"/>
      <c r="M125" s="29"/>
      <c r="N125" s="81"/>
      <c r="O125" s="29" t="s">
        <v>226</v>
      </c>
      <c r="P125" s="133"/>
    </row>
    <row r="126" spans="1:16" hidden="1">
      <c r="A126" s="29" t="s">
        <v>212</v>
      </c>
      <c r="B126" s="29">
        <v>35500932</v>
      </c>
      <c r="F126" s="29" t="s">
        <v>129</v>
      </c>
      <c r="G126" s="29" t="s">
        <v>213</v>
      </c>
      <c r="H126" s="130">
        <v>45692</v>
      </c>
      <c r="I126" s="29"/>
      <c r="J126" s="29"/>
      <c r="K126" s="29"/>
      <c r="L126" s="29"/>
      <c r="M126" s="29"/>
      <c r="N126" s="81"/>
      <c r="O126" s="29" t="s">
        <v>227</v>
      </c>
      <c r="P126" s="133"/>
    </row>
    <row r="127" spans="1:16" hidden="1">
      <c r="A127" s="29" t="s">
        <v>212</v>
      </c>
      <c r="B127" s="29">
        <v>35500884</v>
      </c>
      <c r="F127" s="29" t="s">
        <v>129</v>
      </c>
      <c r="G127" s="29" t="s">
        <v>213</v>
      </c>
      <c r="H127" s="130">
        <v>45692</v>
      </c>
      <c r="I127" s="29"/>
      <c r="J127" s="29"/>
      <c r="K127" s="29"/>
      <c r="L127" s="29"/>
      <c r="M127" s="29"/>
      <c r="N127" s="81"/>
      <c r="O127" s="29" t="s">
        <v>228</v>
      </c>
      <c r="P127" s="133"/>
    </row>
    <row r="128" spans="1:16" hidden="1">
      <c r="A128" s="29" t="s">
        <v>212</v>
      </c>
      <c r="B128" s="29">
        <v>35500859</v>
      </c>
      <c r="F128" s="29" t="s">
        <v>129</v>
      </c>
      <c r="G128" s="29" t="s">
        <v>213</v>
      </c>
      <c r="H128" s="130">
        <v>45692</v>
      </c>
      <c r="I128" s="29"/>
      <c r="J128" s="29"/>
      <c r="K128" s="29"/>
      <c r="L128" s="29"/>
      <c r="M128" s="29"/>
      <c r="N128" s="81"/>
      <c r="O128" s="29" t="s">
        <v>229</v>
      </c>
      <c r="P128" s="133"/>
    </row>
    <row r="129" spans="1:16" hidden="1">
      <c r="A129" s="29" t="s">
        <v>212</v>
      </c>
      <c r="B129" s="29">
        <v>35500813</v>
      </c>
      <c r="F129" s="29" t="s">
        <v>129</v>
      </c>
      <c r="G129" s="29" t="s">
        <v>213</v>
      </c>
      <c r="H129" s="130">
        <v>45692</v>
      </c>
      <c r="I129" s="29"/>
      <c r="J129" s="29"/>
      <c r="K129" s="29"/>
      <c r="L129" s="29"/>
      <c r="M129" s="29"/>
      <c r="N129" s="81"/>
      <c r="O129" s="29" t="s">
        <v>230</v>
      </c>
      <c r="P129" s="133"/>
    </row>
    <row r="130" spans="1:16" hidden="1">
      <c r="A130" s="29" t="s">
        <v>212</v>
      </c>
      <c r="B130" s="29">
        <v>35500760</v>
      </c>
      <c r="F130" s="29" t="s">
        <v>129</v>
      </c>
      <c r="G130" s="29" t="s">
        <v>213</v>
      </c>
      <c r="H130" s="130">
        <v>45692</v>
      </c>
      <c r="I130" s="29"/>
      <c r="J130" s="29"/>
      <c r="K130" s="29"/>
      <c r="L130" s="29"/>
      <c r="M130" s="29"/>
      <c r="N130" s="81"/>
      <c r="O130" s="29" t="s">
        <v>231</v>
      </c>
      <c r="P130" s="133"/>
    </row>
    <row r="131" spans="1:16" hidden="1">
      <c r="A131" s="29" t="s">
        <v>212</v>
      </c>
      <c r="B131" s="29">
        <v>35500721</v>
      </c>
      <c r="F131" s="29" t="s">
        <v>129</v>
      </c>
      <c r="G131" s="29" t="s">
        <v>213</v>
      </c>
      <c r="H131" s="130">
        <v>45692</v>
      </c>
      <c r="I131" s="29"/>
      <c r="J131" s="29"/>
      <c r="K131" s="29"/>
      <c r="L131" s="29"/>
      <c r="M131" s="29"/>
      <c r="N131" s="81"/>
      <c r="O131" s="29" t="s">
        <v>228</v>
      </c>
      <c r="P131" s="133"/>
    </row>
    <row r="132" spans="1:16" hidden="1">
      <c r="A132" s="157" t="s">
        <v>212</v>
      </c>
      <c r="B132" s="29">
        <v>35501396</v>
      </c>
      <c r="F132" s="29" t="s">
        <v>129</v>
      </c>
      <c r="G132" s="29" t="s">
        <v>213</v>
      </c>
      <c r="H132" s="158">
        <v>45692</v>
      </c>
      <c r="I132" s="29"/>
      <c r="J132" s="29"/>
      <c r="K132" s="29"/>
      <c r="L132" s="29"/>
      <c r="M132" s="29"/>
      <c r="N132" s="81"/>
      <c r="O132" s="159" t="s">
        <v>232</v>
      </c>
      <c r="P132" s="133"/>
    </row>
    <row r="133" spans="1:16" hidden="1">
      <c r="A133" s="157" t="s">
        <v>212</v>
      </c>
      <c r="B133" s="29">
        <v>35501422</v>
      </c>
      <c r="F133" s="29" t="s">
        <v>129</v>
      </c>
      <c r="G133" s="29" t="s">
        <v>213</v>
      </c>
      <c r="H133" s="158">
        <v>45692</v>
      </c>
      <c r="I133" s="29"/>
      <c r="J133" s="29"/>
      <c r="K133" s="29"/>
      <c r="L133" s="29"/>
      <c r="M133" s="29"/>
      <c r="N133" s="81"/>
      <c r="O133" s="159" t="s">
        <v>233</v>
      </c>
      <c r="P133" s="133"/>
    </row>
    <row r="134" spans="1:16" hidden="1">
      <c r="A134" s="157" t="s">
        <v>212</v>
      </c>
      <c r="B134" s="29">
        <v>35501463</v>
      </c>
      <c r="F134" s="29" t="s">
        <v>129</v>
      </c>
      <c r="G134" s="29" t="s">
        <v>213</v>
      </c>
      <c r="H134" s="158">
        <v>45692</v>
      </c>
      <c r="I134" s="29"/>
      <c r="J134" s="29"/>
      <c r="K134" s="29"/>
      <c r="L134" s="29"/>
      <c r="M134" s="29"/>
      <c r="N134" s="81"/>
      <c r="O134" s="159" t="s">
        <v>234</v>
      </c>
      <c r="P134" s="133"/>
    </row>
    <row r="135" spans="1:16" hidden="1">
      <c r="A135" s="157" t="s">
        <v>212</v>
      </c>
      <c r="B135" s="29">
        <v>35500721</v>
      </c>
      <c r="F135" s="29" t="s">
        <v>129</v>
      </c>
      <c r="G135" s="29" t="s">
        <v>213</v>
      </c>
      <c r="H135" s="158">
        <v>45692</v>
      </c>
      <c r="I135" s="29"/>
      <c r="J135" s="29"/>
      <c r="K135" s="29"/>
      <c r="L135" s="29"/>
      <c r="M135" s="29"/>
      <c r="N135" s="81"/>
      <c r="O135" s="159" t="s">
        <v>235</v>
      </c>
      <c r="P135" s="133"/>
    </row>
    <row r="136" spans="1:16" hidden="1">
      <c r="A136" s="157" t="s">
        <v>212</v>
      </c>
      <c r="B136" s="29">
        <v>35500760</v>
      </c>
      <c r="F136" s="29" t="s">
        <v>129</v>
      </c>
      <c r="G136" s="29" t="s">
        <v>213</v>
      </c>
      <c r="H136" s="158">
        <v>45692</v>
      </c>
      <c r="I136" s="29"/>
      <c r="J136" s="29"/>
      <c r="K136" s="29"/>
      <c r="L136" s="29"/>
      <c r="M136" s="29"/>
      <c r="N136" s="81"/>
      <c r="O136" s="159" t="s">
        <v>236</v>
      </c>
      <c r="P136" s="133"/>
    </row>
    <row r="137" spans="1:16" hidden="1">
      <c r="A137" s="157" t="s">
        <v>212</v>
      </c>
      <c r="B137" s="29">
        <v>35500813</v>
      </c>
      <c r="F137" s="29" t="s">
        <v>129</v>
      </c>
      <c r="G137" s="29" t="s">
        <v>213</v>
      </c>
      <c r="H137" s="158">
        <v>45692</v>
      </c>
      <c r="I137" s="29"/>
      <c r="J137" s="29"/>
      <c r="K137" s="29"/>
      <c r="L137" s="29"/>
      <c r="M137" s="29"/>
      <c r="N137" s="81"/>
      <c r="O137" s="159" t="s">
        <v>237</v>
      </c>
      <c r="P137" s="133"/>
    </row>
    <row r="138" spans="1:16" hidden="1">
      <c r="A138" s="157" t="s">
        <v>212</v>
      </c>
      <c r="B138" s="29">
        <v>35500859</v>
      </c>
      <c r="F138" s="29" t="s">
        <v>129</v>
      </c>
      <c r="G138" s="29" t="s">
        <v>213</v>
      </c>
      <c r="H138" s="158">
        <v>45692</v>
      </c>
      <c r="I138" s="29"/>
      <c r="J138" s="29"/>
      <c r="K138" s="29"/>
      <c r="L138" s="29"/>
      <c r="M138" s="29"/>
      <c r="N138" s="81"/>
      <c r="O138" s="159" t="s">
        <v>238</v>
      </c>
      <c r="P138" s="133"/>
    </row>
    <row r="139" spans="1:16" hidden="1">
      <c r="A139" s="157" t="s">
        <v>212</v>
      </c>
      <c r="B139" s="29">
        <v>35500884</v>
      </c>
      <c r="F139" s="29" t="s">
        <v>129</v>
      </c>
      <c r="G139" s="29" t="s">
        <v>213</v>
      </c>
      <c r="H139" s="158">
        <v>45692</v>
      </c>
      <c r="I139" s="29"/>
      <c r="J139" s="29"/>
      <c r="K139" s="29"/>
      <c r="L139" s="29"/>
      <c r="M139" s="29"/>
      <c r="N139" s="81"/>
      <c r="O139" s="159" t="s">
        <v>239</v>
      </c>
      <c r="P139" s="133"/>
    </row>
    <row r="140" spans="1:16" hidden="1">
      <c r="A140" s="157" t="s">
        <v>212</v>
      </c>
      <c r="B140" s="29">
        <v>35500932</v>
      </c>
      <c r="F140" s="29" t="s">
        <v>129</v>
      </c>
      <c r="G140" s="29" t="s">
        <v>213</v>
      </c>
      <c r="H140" s="158">
        <v>45692</v>
      </c>
      <c r="I140" s="29"/>
      <c r="J140" s="29"/>
      <c r="K140" s="29"/>
      <c r="L140" s="29"/>
      <c r="M140" s="29"/>
      <c r="N140" s="81"/>
      <c r="O140" s="159" t="s">
        <v>240</v>
      </c>
      <c r="P140" s="133"/>
    </row>
    <row r="141" spans="1:16" hidden="1">
      <c r="A141" s="157" t="s">
        <v>212</v>
      </c>
      <c r="B141" s="29">
        <v>35501016</v>
      </c>
      <c r="F141" s="29" t="s">
        <v>129</v>
      </c>
      <c r="G141" s="29" t="s">
        <v>213</v>
      </c>
      <c r="H141" s="158">
        <v>45692</v>
      </c>
      <c r="I141" s="29"/>
      <c r="J141" s="29"/>
      <c r="K141" s="29"/>
      <c r="L141" s="29"/>
      <c r="M141" s="29"/>
      <c r="N141" s="81"/>
      <c r="O141" s="159" t="s">
        <v>241</v>
      </c>
      <c r="P141" s="133"/>
    </row>
    <row r="142" spans="1:16" hidden="1">
      <c r="A142" s="157" t="s">
        <v>212</v>
      </c>
      <c r="B142" s="29">
        <v>35501040</v>
      </c>
      <c r="F142" s="29" t="s">
        <v>129</v>
      </c>
      <c r="G142" s="29" t="s">
        <v>213</v>
      </c>
      <c r="H142" s="158">
        <v>45692</v>
      </c>
      <c r="I142" s="29"/>
      <c r="J142" s="29"/>
      <c r="K142" s="29"/>
      <c r="L142" s="29"/>
      <c r="M142" s="29"/>
      <c r="N142" s="81"/>
      <c r="O142" s="159" t="s">
        <v>242</v>
      </c>
      <c r="P142" s="133"/>
    </row>
    <row r="143" spans="1:16" hidden="1">
      <c r="A143" s="157" t="s">
        <v>212</v>
      </c>
      <c r="B143" s="29">
        <v>35501047</v>
      </c>
      <c r="F143" s="29" t="s">
        <v>129</v>
      </c>
      <c r="G143" s="29" t="s">
        <v>213</v>
      </c>
      <c r="H143" s="158">
        <v>45692</v>
      </c>
      <c r="I143" s="29"/>
      <c r="J143" s="29"/>
      <c r="K143" s="29"/>
      <c r="L143" s="29"/>
      <c r="M143" s="29"/>
      <c r="N143" s="81"/>
      <c r="O143" s="159" t="s">
        <v>243</v>
      </c>
      <c r="P143" s="133"/>
    </row>
    <row r="144" spans="1:16" hidden="1">
      <c r="A144" s="157" t="s">
        <v>212</v>
      </c>
      <c r="B144" s="29">
        <v>35501116</v>
      </c>
      <c r="F144" s="29" t="s">
        <v>129</v>
      </c>
      <c r="G144" s="29" t="s">
        <v>213</v>
      </c>
      <c r="H144" s="158">
        <v>45692</v>
      </c>
      <c r="I144" s="29"/>
      <c r="J144" s="29"/>
      <c r="K144" s="29"/>
      <c r="L144" s="29"/>
      <c r="M144" s="29"/>
      <c r="N144" s="81"/>
      <c r="O144" s="159" t="s">
        <v>244</v>
      </c>
      <c r="P144" s="133"/>
    </row>
    <row r="145" spans="1:16" hidden="1">
      <c r="A145" s="157" t="s">
        <v>212</v>
      </c>
      <c r="B145" s="29">
        <v>35501170</v>
      </c>
      <c r="F145" s="29" t="s">
        <v>129</v>
      </c>
      <c r="G145" s="29" t="s">
        <v>213</v>
      </c>
      <c r="H145" s="158">
        <v>45692</v>
      </c>
      <c r="I145" s="29"/>
      <c r="J145" s="29"/>
      <c r="K145" s="29"/>
      <c r="L145" s="29"/>
      <c r="M145" s="29"/>
      <c r="N145" s="81"/>
      <c r="O145" s="159" t="s">
        <v>245</v>
      </c>
      <c r="P145" s="133"/>
    </row>
    <row r="146" spans="1:16" hidden="1">
      <c r="A146" s="157" t="s">
        <v>212</v>
      </c>
      <c r="B146" s="29">
        <v>35501215</v>
      </c>
      <c r="F146" s="29" t="s">
        <v>129</v>
      </c>
      <c r="G146" s="29" t="s">
        <v>213</v>
      </c>
      <c r="H146" s="158">
        <v>45692</v>
      </c>
      <c r="I146" s="29"/>
      <c r="J146" s="29"/>
      <c r="K146" s="29"/>
      <c r="L146" s="29"/>
      <c r="M146" s="29"/>
      <c r="N146" s="81"/>
      <c r="O146" s="159" t="s">
        <v>246</v>
      </c>
      <c r="P146" s="133"/>
    </row>
    <row r="147" spans="1:16" hidden="1">
      <c r="A147" s="157" t="s">
        <v>212</v>
      </c>
      <c r="B147" s="29">
        <v>35501254</v>
      </c>
      <c r="F147" s="29" t="s">
        <v>129</v>
      </c>
      <c r="G147" s="29" t="s">
        <v>213</v>
      </c>
      <c r="H147" s="158">
        <v>45692</v>
      </c>
      <c r="I147" s="29"/>
      <c r="J147" s="29"/>
      <c r="K147" s="29"/>
      <c r="L147" s="29"/>
      <c r="M147" s="29"/>
      <c r="N147" s="81"/>
      <c r="O147" s="159" t="s">
        <v>247</v>
      </c>
      <c r="P147" s="133"/>
    </row>
    <row r="148" spans="1:16" hidden="1">
      <c r="A148" s="157" t="s">
        <v>212</v>
      </c>
      <c r="B148" s="29">
        <v>35501337</v>
      </c>
      <c r="F148" s="29" t="s">
        <v>129</v>
      </c>
      <c r="G148" s="29" t="s">
        <v>213</v>
      </c>
      <c r="H148" s="158">
        <v>45692</v>
      </c>
      <c r="I148" s="29"/>
      <c r="J148" s="29"/>
      <c r="K148" s="29"/>
      <c r="L148" s="29"/>
      <c r="M148" s="29"/>
      <c r="N148" s="81"/>
      <c r="O148" s="159" t="s">
        <v>248</v>
      </c>
      <c r="P148" s="133"/>
    </row>
    <row r="149" spans="1:16" hidden="1">
      <c r="A149" s="157" t="s">
        <v>212</v>
      </c>
      <c r="B149" s="29">
        <v>35501515</v>
      </c>
      <c r="F149" s="29" t="s">
        <v>129</v>
      </c>
      <c r="G149" s="29" t="s">
        <v>213</v>
      </c>
      <c r="H149" s="158">
        <v>45692</v>
      </c>
      <c r="I149" s="29"/>
      <c r="J149" s="29"/>
      <c r="K149" s="29"/>
      <c r="L149" s="29"/>
      <c r="M149" s="29"/>
      <c r="N149" s="81"/>
      <c r="O149" s="159" t="s">
        <v>249</v>
      </c>
      <c r="P149" s="133"/>
    </row>
    <row r="150" spans="1:16" hidden="1">
      <c r="A150" s="157" t="s">
        <v>212</v>
      </c>
      <c r="B150" s="29">
        <v>35501713</v>
      </c>
      <c r="F150" s="29" t="s">
        <v>129</v>
      </c>
      <c r="G150" s="29" t="s">
        <v>213</v>
      </c>
      <c r="H150" s="158">
        <v>45692</v>
      </c>
      <c r="I150" s="29"/>
      <c r="J150" s="29"/>
      <c r="K150" s="29"/>
      <c r="L150" s="29"/>
      <c r="M150" s="29"/>
      <c r="N150" s="81"/>
      <c r="O150" s="159" t="s">
        <v>250</v>
      </c>
      <c r="P150" s="133"/>
    </row>
    <row r="151" spans="1:16" hidden="1">
      <c r="A151" s="157" t="s">
        <v>212</v>
      </c>
      <c r="B151" s="29">
        <v>35501638</v>
      </c>
      <c r="F151" s="29" t="s">
        <v>129</v>
      </c>
      <c r="G151" s="29" t="s">
        <v>213</v>
      </c>
      <c r="H151" s="158">
        <v>45692</v>
      </c>
      <c r="I151" s="29"/>
      <c r="J151" s="29"/>
      <c r="K151" s="29"/>
      <c r="L151" s="29"/>
      <c r="M151" s="29"/>
      <c r="N151" s="81"/>
      <c r="O151" s="159" t="s">
        <v>251</v>
      </c>
      <c r="P151" s="133"/>
    </row>
    <row r="152" spans="1:16" hidden="1">
      <c r="A152" s="157" t="s">
        <v>212</v>
      </c>
      <c r="B152" s="29">
        <v>35501673</v>
      </c>
      <c r="F152" s="29" t="s">
        <v>129</v>
      </c>
      <c r="G152" s="29" t="s">
        <v>213</v>
      </c>
      <c r="H152" s="158">
        <v>45692</v>
      </c>
      <c r="I152" s="29"/>
      <c r="J152" s="29"/>
      <c r="K152" s="29"/>
      <c r="L152" s="29"/>
      <c r="M152" s="29"/>
      <c r="N152" s="81"/>
      <c r="O152" s="159" t="s">
        <v>252</v>
      </c>
      <c r="P152" s="133"/>
    </row>
    <row r="153" spans="1:16" hidden="1">
      <c r="A153" s="157" t="s">
        <v>212</v>
      </c>
      <c r="B153" s="29">
        <v>35501743</v>
      </c>
      <c r="F153" s="29" t="s">
        <v>129</v>
      </c>
      <c r="G153" s="29" t="s">
        <v>213</v>
      </c>
      <c r="H153" s="158">
        <v>45692</v>
      </c>
      <c r="I153" s="29"/>
      <c r="J153" s="29"/>
      <c r="K153" s="29"/>
      <c r="L153" s="29"/>
      <c r="M153" s="29"/>
      <c r="N153" s="81"/>
      <c r="O153" s="159" t="s">
        <v>253</v>
      </c>
      <c r="P153" s="133"/>
    </row>
    <row r="154" spans="1:16" hidden="1">
      <c r="A154" s="29" t="s">
        <v>254</v>
      </c>
      <c r="B154" s="29">
        <v>18500300</v>
      </c>
      <c r="F154" s="29" t="s">
        <v>129</v>
      </c>
      <c r="G154" s="29" t="s">
        <v>255</v>
      </c>
      <c r="H154" s="130">
        <v>45675</v>
      </c>
      <c r="I154" s="29"/>
      <c r="J154" s="29"/>
      <c r="K154" s="29"/>
      <c r="L154" s="29"/>
      <c r="M154" s="29"/>
      <c r="N154" s="81"/>
      <c r="O154" s="29"/>
      <c r="P154" s="133"/>
    </row>
    <row r="155" spans="1:16" hidden="1">
      <c r="A155" s="29" t="s">
        <v>254</v>
      </c>
      <c r="B155" s="29">
        <v>18500282</v>
      </c>
      <c r="F155" s="29" t="s">
        <v>129</v>
      </c>
      <c r="G155" s="29" t="s">
        <v>255</v>
      </c>
      <c r="H155" s="130">
        <v>45675</v>
      </c>
      <c r="I155" s="29"/>
      <c r="J155" s="29"/>
      <c r="K155" s="29"/>
      <c r="L155" s="29"/>
      <c r="M155" s="29"/>
      <c r="N155" s="81"/>
      <c r="O155" s="29"/>
      <c r="P155" s="133"/>
    </row>
    <row r="156" spans="1:16" hidden="1">
      <c r="A156" s="29" t="s">
        <v>254</v>
      </c>
      <c r="B156" s="29">
        <v>18500294</v>
      </c>
      <c r="F156" s="29" t="s">
        <v>129</v>
      </c>
      <c r="G156" s="29" t="s">
        <v>255</v>
      </c>
      <c r="H156" s="130">
        <v>45675</v>
      </c>
      <c r="I156" s="29"/>
      <c r="J156" s="29"/>
      <c r="K156" s="29"/>
      <c r="L156" s="29"/>
      <c r="M156" s="29"/>
      <c r="N156" s="81"/>
      <c r="O156" s="29"/>
      <c r="P156" s="133"/>
    </row>
    <row r="157" spans="1:16" hidden="1">
      <c r="A157" s="29" t="s">
        <v>254</v>
      </c>
      <c r="B157" s="29">
        <v>18500272</v>
      </c>
      <c r="F157" s="29" t="s">
        <v>129</v>
      </c>
      <c r="G157" s="29" t="s">
        <v>255</v>
      </c>
      <c r="H157" s="130">
        <v>45675</v>
      </c>
      <c r="I157" s="29"/>
      <c r="J157" s="29"/>
      <c r="K157" s="29"/>
      <c r="L157" s="29"/>
      <c r="M157" s="29"/>
      <c r="N157" s="81"/>
      <c r="O157" s="29"/>
      <c r="P157" s="133"/>
    </row>
    <row r="158" spans="1:16" hidden="1">
      <c r="A158" s="29" t="s">
        <v>254</v>
      </c>
      <c r="B158" s="29">
        <v>18500276</v>
      </c>
      <c r="F158" s="29" t="s">
        <v>129</v>
      </c>
      <c r="G158" s="29" t="s">
        <v>255</v>
      </c>
      <c r="H158" s="130">
        <v>45675</v>
      </c>
      <c r="I158" s="29"/>
      <c r="J158" s="29"/>
      <c r="K158" s="29"/>
      <c r="L158" s="29"/>
      <c r="M158" s="29"/>
      <c r="N158" s="81"/>
      <c r="O158" s="29"/>
      <c r="P158" s="133"/>
    </row>
    <row r="159" spans="1:16" hidden="1">
      <c r="A159" s="157" t="s">
        <v>254</v>
      </c>
      <c r="B159" s="29">
        <v>21507602</v>
      </c>
      <c r="F159" s="29" t="s">
        <v>129</v>
      </c>
      <c r="G159" s="29" t="s">
        <v>213</v>
      </c>
      <c r="H159" s="130">
        <v>45679</v>
      </c>
      <c r="I159" s="29"/>
      <c r="J159" s="29"/>
      <c r="K159" s="29"/>
      <c r="L159" s="29"/>
      <c r="M159" s="29"/>
      <c r="N159" s="81"/>
      <c r="O159" s="29"/>
      <c r="P159" s="133"/>
    </row>
    <row r="160" spans="1:16" hidden="1">
      <c r="A160" s="157" t="s">
        <v>254</v>
      </c>
      <c r="B160" s="29">
        <v>22500600</v>
      </c>
      <c r="F160" s="29" t="s">
        <v>129</v>
      </c>
      <c r="G160" s="29" t="s">
        <v>213</v>
      </c>
      <c r="H160" s="130">
        <v>45679</v>
      </c>
      <c r="I160" s="29"/>
      <c r="J160" s="29"/>
      <c r="K160" s="29"/>
      <c r="L160" s="29"/>
      <c r="M160" s="29"/>
      <c r="N160" s="81"/>
      <c r="O160" s="29"/>
      <c r="P160" s="133"/>
    </row>
    <row r="161" spans="1:16" hidden="1">
      <c r="A161" s="157" t="s">
        <v>254</v>
      </c>
      <c r="B161" s="29">
        <v>22500667</v>
      </c>
      <c r="F161" s="29" t="s">
        <v>129</v>
      </c>
      <c r="G161" s="29" t="s">
        <v>213</v>
      </c>
      <c r="H161" s="130">
        <v>45679</v>
      </c>
      <c r="I161" s="29"/>
      <c r="J161" s="29"/>
      <c r="K161" s="29"/>
      <c r="L161" s="29"/>
      <c r="M161" s="29"/>
      <c r="N161" s="81"/>
      <c r="O161" s="29"/>
      <c r="P161" s="133"/>
    </row>
    <row r="162" spans="1:16" hidden="1">
      <c r="A162" s="157" t="s">
        <v>254</v>
      </c>
      <c r="B162" s="29">
        <v>22500718</v>
      </c>
      <c r="F162" s="29" t="s">
        <v>129</v>
      </c>
      <c r="G162" s="29" t="s">
        <v>213</v>
      </c>
      <c r="H162" s="130">
        <v>45679</v>
      </c>
      <c r="I162" s="29"/>
      <c r="J162" s="29"/>
      <c r="K162" s="29"/>
      <c r="L162" s="29"/>
      <c r="M162" s="29"/>
      <c r="N162" s="81"/>
      <c r="O162" s="29"/>
      <c r="P162" s="133"/>
    </row>
    <row r="163" spans="1:16" hidden="1">
      <c r="A163" s="157" t="s">
        <v>254</v>
      </c>
      <c r="B163" s="41">
        <v>48503822</v>
      </c>
      <c r="F163" s="29" t="s">
        <v>129</v>
      </c>
      <c r="G163" s="29" t="s">
        <v>213</v>
      </c>
      <c r="H163" s="42">
        <v>45705</v>
      </c>
      <c r="I163" s="29"/>
      <c r="J163" s="29"/>
      <c r="K163" s="29"/>
      <c r="L163" s="29"/>
      <c r="M163" s="29"/>
      <c r="N163" s="81"/>
      <c r="O163" s="143" t="s">
        <v>256</v>
      </c>
      <c r="P163" s="133"/>
    </row>
    <row r="164" spans="1:16" hidden="1">
      <c r="A164" s="157" t="s">
        <v>254</v>
      </c>
      <c r="B164" s="41">
        <v>48503862</v>
      </c>
      <c r="F164" s="29" t="s">
        <v>129</v>
      </c>
      <c r="G164" s="29" t="s">
        <v>213</v>
      </c>
      <c r="H164" s="42">
        <v>45705</v>
      </c>
      <c r="I164" s="29"/>
      <c r="J164" s="29"/>
      <c r="K164" s="29"/>
      <c r="L164" s="29"/>
      <c r="M164" s="29"/>
      <c r="N164" s="81"/>
      <c r="O164" s="143" t="s">
        <v>257</v>
      </c>
      <c r="P164" s="133"/>
    </row>
    <row r="165" spans="1:16" hidden="1">
      <c r="A165" s="157" t="s">
        <v>254</v>
      </c>
      <c r="B165" s="41">
        <v>48503899</v>
      </c>
      <c r="F165" s="29" t="s">
        <v>129</v>
      </c>
      <c r="G165" s="29" t="s">
        <v>213</v>
      </c>
      <c r="H165" s="42">
        <v>45705</v>
      </c>
      <c r="I165" s="29"/>
      <c r="J165" s="29"/>
      <c r="K165" s="29"/>
      <c r="L165" s="29"/>
      <c r="M165" s="29"/>
      <c r="N165" s="81"/>
      <c r="O165" s="143" t="s">
        <v>258</v>
      </c>
      <c r="P165" s="133"/>
    </row>
    <row r="166" spans="1:16" hidden="1">
      <c r="A166" s="157" t="s">
        <v>254</v>
      </c>
      <c r="B166" s="41">
        <v>48503938</v>
      </c>
      <c r="F166" s="29" t="s">
        <v>129</v>
      </c>
      <c r="G166" s="29" t="s">
        <v>213</v>
      </c>
      <c r="H166" s="42">
        <v>45705</v>
      </c>
      <c r="I166" s="29"/>
      <c r="J166" s="29"/>
      <c r="K166" s="29"/>
      <c r="L166" s="29"/>
      <c r="M166" s="29"/>
      <c r="N166" s="81"/>
      <c r="O166" s="143" t="s">
        <v>259</v>
      </c>
      <c r="P166" s="133"/>
    </row>
    <row r="167" spans="1:16" hidden="1">
      <c r="A167" s="157" t="s">
        <v>254</v>
      </c>
      <c r="B167" s="41">
        <v>48504049</v>
      </c>
      <c r="F167" s="29" t="s">
        <v>129</v>
      </c>
      <c r="G167" s="29" t="s">
        <v>213</v>
      </c>
      <c r="H167" s="42">
        <v>45705</v>
      </c>
      <c r="I167" s="29"/>
      <c r="J167" s="29"/>
      <c r="K167" s="29"/>
      <c r="L167" s="29"/>
      <c r="M167" s="29"/>
      <c r="N167" s="81"/>
      <c r="O167" s="143" t="s">
        <v>260</v>
      </c>
      <c r="P167" s="133"/>
    </row>
    <row r="168" spans="1:16" hidden="1">
      <c r="A168" s="157" t="s">
        <v>254</v>
      </c>
      <c r="B168" s="41">
        <v>48504019</v>
      </c>
      <c r="F168" s="29" t="s">
        <v>129</v>
      </c>
      <c r="G168" s="29" t="s">
        <v>213</v>
      </c>
      <c r="H168" s="42">
        <v>45705</v>
      </c>
      <c r="I168" s="29"/>
      <c r="J168" s="29"/>
      <c r="K168" s="29"/>
      <c r="L168" s="29"/>
      <c r="M168" s="29"/>
      <c r="N168" s="81"/>
      <c r="O168" s="143" t="s">
        <v>261</v>
      </c>
      <c r="P168" s="133"/>
    </row>
    <row r="169" spans="1:16" hidden="1">
      <c r="A169" s="157" t="s">
        <v>254</v>
      </c>
      <c r="B169" s="41">
        <v>48504110</v>
      </c>
      <c r="F169" s="29" t="s">
        <v>129</v>
      </c>
      <c r="G169" s="29" t="s">
        <v>213</v>
      </c>
      <c r="H169" s="42">
        <v>45705</v>
      </c>
      <c r="I169" s="29"/>
      <c r="J169" s="29"/>
      <c r="K169" s="29"/>
      <c r="L169" s="29"/>
      <c r="M169" s="29"/>
      <c r="N169" s="81"/>
      <c r="O169" s="143" t="s">
        <v>262</v>
      </c>
      <c r="P169" s="133"/>
    </row>
    <row r="170" spans="1:16" hidden="1">
      <c r="A170" s="157" t="s">
        <v>254</v>
      </c>
      <c r="B170" s="41">
        <v>48504133</v>
      </c>
      <c r="F170" s="29" t="s">
        <v>129</v>
      </c>
      <c r="G170" s="29" t="s">
        <v>213</v>
      </c>
      <c r="H170" s="42">
        <v>45705</v>
      </c>
      <c r="I170" s="29"/>
      <c r="J170" s="29"/>
      <c r="K170" s="29"/>
      <c r="L170" s="29"/>
      <c r="M170" s="29"/>
      <c r="N170" s="81"/>
      <c r="O170" s="143" t="s">
        <v>263</v>
      </c>
      <c r="P170" s="133"/>
    </row>
    <row r="171" spans="1:16" hidden="1">
      <c r="A171" s="157" t="s">
        <v>254</v>
      </c>
      <c r="B171" s="41">
        <v>48504220</v>
      </c>
      <c r="F171" s="29" t="s">
        <v>129</v>
      </c>
      <c r="G171" s="29" t="s">
        <v>213</v>
      </c>
      <c r="H171" s="42">
        <v>45705</v>
      </c>
      <c r="I171" s="29"/>
      <c r="J171" s="29"/>
      <c r="K171" s="29"/>
      <c r="L171" s="29"/>
      <c r="M171" s="29"/>
      <c r="N171" s="81"/>
      <c r="O171" s="143" t="s">
        <v>264</v>
      </c>
      <c r="P171" s="133"/>
    </row>
    <row r="172" spans="1:16" hidden="1">
      <c r="A172" s="157" t="s">
        <v>254</v>
      </c>
      <c r="B172" s="41">
        <v>48504325</v>
      </c>
      <c r="F172" s="29" t="s">
        <v>129</v>
      </c>
      <c r="G172" s="29" t="s">
        <v>213</v>
      </c>
      <c r="H172" s="42">
        <v>45705</v>
      </c>
      <c r="I172" s="29"/>
      <c r="J172" s="29"/>
      <c r="K172" s="29"/>
      <c r="L172" s="29"/>
      <c r="M172" s="29"/>
      <c r="N172" s="81"/>
      <c r="O172" s="143" t="s">
        <v>265</v>
      </c>
      <c r="P172" s="133"/>
    </row>
    <row r="173" spans="1:16" hidden="1">
      <c r="A173" s="157" t="s">
        <v>254</v>
      </c>
      <c r="B173" s="41">
        <v>48504378</v>
      </c>
      <c r="F173" s="29" t="s">
        <v>129</v>
      </c>
      <c r="G173" s="29" t="s">
        <v>213</v>
      </c>
      <c r="H173" s="42">
        <v>45705</v>
      </c>
      <c r="I173" s="29"/>
      <c r="J173" s="29"/>
      <c r="K173" s="29"/>
      <c r="L173" s="29"/>
      <c r="M173" s="29"/>
      <c r="N173" s="81"/>
      <c r="O173" s="143" t="s">
        <v>266</v>
      </c>
      <c r="P173" s="133"/>
    </row>
    <row r="174" spans="1:16" hidden="1">
      <c r="A174" s="157" t="s">
        <v>254</v>
      </c>
      <c r="B174" s="41">
        <v>48504399</v>
      </c>
      <c r="F174" s="29" t="s">
        <v>129</v>
      </c>
      <c r="G174" s="29" t="s">
        <v>213</v>
      </c>
      <c r="H174" s="42">
        <v>45705</v>
      </c>
      <c r="I174" s="29"/>
      <c r="J174" s="29"/>
      <c r="K174" s="29"/>
      <c r="L174" s="29"/>
      <c r="M174" s="29"/>
      <c r="N174" s="81"/>
      <c r="O174" s="143" t="s">
        <v>267</v>
      </c>
      <c r="P174" s="133"/>
    </row>
    <row r="175" spans="1:16" hidden="1">
      <c r="A175" s="157" t="s">
        <v>254</v>
      </c>
      <c r="B175" s="41">
        <v>48504525</v>
      </c>
      <c r="F175" s="29" t="s">
        <v>129</v>
      </c>
      <c r="G175" s="29" t="s">
        <v>213</v>
      </c>
      <c r="H175" s="42">
        <v>45705</v>
      </c>
      <c r="I175" s="29"/>
      <c r="J175" s="29"/>
      <c r="K175" s="29"/>
      <c r="L175" s="29"/>
      <c r="M175" s="29"/>
      <c r="N175" s="81"/>
      <c r="O175" s="143" t="s">
        <v>268</v>
      </c>
      <c r="P175" s="133"/>
    </row>
    <row r="176" spans="1:16" hidden="1">
      <c r="A176" s="157" t="s">
        <v>254</v>
      </c>
      <c r="B176" s="41">
        <v>48504593</v>
      </c>
      <c r="F176" s="29" t="s">
        <v>129</v>
      </c>
      <c r="G176" s="29" t="s">
        <v>213</v>
      </c>
      <c r="H176" s="42">
        <v>45705</v>
      </c>
      <c r="I176" s="29"/>
      <c r="J176" s="29"/>
      <c r="K176" s="29"/>
      <c r="L176" s="29"/>
      <c r="M176" s="29"/>
      <c r="N176" s="81"/>
      <c r="O176" s="143" t="s">
        <v>269</v>
      </c>
      <c r="P176" s="133"/>
    </row>
    <row r="177" spans="1:16" hidden="1">
      <c r="A177" s="157" t="s">
        <v>254</v>
      </c>
      <c r="B177" s="41">
        <v>48504635</v>
      </c>
      <c r="F177" s="29" t="s">
        <v>129</v>
      </c>
      <c r="G177" s="29" t="s">
        <v>213</v>
      </c>
      <c r="H177" s="42">
        <v>45705</v>
      </c>
      <c r="I177" s="29"/>
      <c r="J177" s="29"/>
      <c r="K177" s="29"/>
      <c r="L177" s="29"/>
      <c r="M177" s="29"/>
      <c r="N177" s="81"/>
      <c r="O177" s="143" t="s">
        <v>270</v>
      </c>
      <c r="P177" s="133"/>
    </row>
    <row r="178" spans="1:16" hidden="1">
      <c r="A178" s="157" t="s">
        <v>254</v>
      </c>
      <c r="B178" s="41">
        <v>48504665</v>
      </c>
      <c r="F178" s="29" t="s">
        <v>129</v>
      </c>
      <c r="G178" s="29" t="s">
        <v>213</v>
      </c>
      <c r="H178" s="42">
        <v>45705</v>
      </c>
      <c r="I178" s="29"/>
      <c r="J178" s="29"/>
      <c r="K178" s="29"/>
      <c r="L178" s="29"/>
      <c r="M178" s="29"/>
      <c r="N178" s="81"/>
      <c r="O178" s="143" t="s">
        <v>271</v>
      </c>
      <c r="P178" s="133"/>
    </row>
    <row r="179" spans="1:16" hidden="1">
      <c r="A179" s="157" t="s">
        <v>272</v>
      </c>
      <c r="B179" s="41">
        <v>48505497</v>
      </c>
      <c r="F179" s="29" t="s">
        <v>129</v>
      </c>
      <c r="G179" s="29" t="s">
        <v>213</v>
      </c>
      <c r="H179" s="42">
        <v>45705</v>
      </c>
      <c r="I179" s="29"/>
      <c r="J179" s="29"/>
      <c r="K179" s="29"/>
      <c r="L179" s="29"/>
      <c r="M179" s="29"/>
      <c r="N179" s="81"/>
      <c r="O179" s="41" t="s">
        <v>273</v>
      </c>
      <c r="P179" s="133"/>
    </row>
    <row r="180" spans="1:16" hidden="1">
      <c r="A180" s="157" t="s">
        <v>272</v>
      </c>
      <c r="B180" s="41">
        <v>48505550</v>
      </c>
      <c r="F180" s="29" t="s">
        <v>129</v>
      </c>
      <c r="G180" s="29" t="s">
        <v>213</v>
      </c>
      <c r="H180" s="42">
        <v>45705</v>
      </c>
      <c r="I180" s="29"/>
      <c r="J180" s="29"/>
      <c r="K180" s="29"/>
      <c r="L180" s="29"/>
      <c r="M180" s="29"/>
      <c r="N180" s="81"/>
      <c r="O180" s="41" t="s">
        <v>274</v>
      </c>
      <c r="P180" s="133"/>
    </row>
    <row r="181" spans="1:16" hidden="1">
      <c r="A181" s="157" t="s">
        <v>272</v>
      </c>
      <c r="B181" s="41">
        <v>48505605</v>
      </c>
      <c r="F181" s="29" t="s">
        <v>129</v>
      </c>
      <c r="G181" s="29" t="s">
        <v>213</v>
      </c>
      <c r="H181" s="42">
        <v>45705</v>
      </c>
      <c r="I181" s="29"/>
      <c r="J181" s="29"/>
      <c r="K181" s="29"/>
      <c r="L181" s="29"/>
      <c r="M181" s="29"/>
      <c r="N181" s="81"/>
      <c r="O181" s="41" t="s">
        <v>275</v>
      </c>
      <c r="P181" s="133"/>
    </row>
    <row r="182" spans="1:16" hidden="1">
      <c r="A182" s="157" t="s">
        <v>272</v>
      </c>
      <c r="B182" s="41">
        <v>48505643</v>
      </c>
      <c r="F182" s="29" t="s">
        <v>129</v>
      </c>
      <c r="G182" s="29" t="s">
        <v>213</v>
      </c>
      <c r="H182" s="42">
        <v>45705</v>
      </c>
      <c r="I182" s="29"/>
      <c r="J182" s="29"/>
      <c r="K182" s="29"/>
      <c r="L182" s="29"/>
      <c r="M182" s="29"/>
      <c r="N182" s="81"/>
      <c r="O182" s="41" t="s">
        <v>276</v>
      </c>
      <c r="P182" s="133"/>
    </row>
    <row r="183" spans="1:16" hidden="1">
      <c r="A183" s="157" t="s">
        <v>272</v>
      </c>
      <c r="B183" s="41">
        <v>48505714</v>
      </c>
      <c r="F183" s="29" t="s">
        <v>129</v>
      </c>
      <c r="G183" s="29" t="s">
        <v>213</v>
      </c>
      <c r="H183" s="42">
        <v>45705</v>
      </c>
      <c r="I183" s="29"/>
      <c r="J183" s="29"/>
      <c r="K183" s="29"/>
      <c r="L183" s="29"/>
      <c r="M183" s="29"/>
      <c r="N183" s="81"/>
      <c r="O183" s="41" t="s">
        <v>277</v>
      </c>
      <c r="P183" s="133"/>
    </row>
    <row r="184" spans="1:16" hidden="1">
      <c r="A184" s="157" t="s">
        <v>272</v>
      </c>
      <c r="B184" s="41">
        <v>48506000</v>
      </c>
      <c r="F184" s="29" t="s">
        <v>129</v>
      </c>
      <c r="G184" s="29" t="s">
        <v>213</v>
      </c>
      <c r="H184" s="42">
        <v>45705</v>
      </c>
      <c r="I184" s="29"/>
      <c r="J184" s="29"/>
      <c r="K184" s="29"/>
      <c r="L184" s="29"/>
      <c r="M184" s="29"/>
      <c r="N184" s="81"/>
      <c r="O184" s="41" t="s">
        <v>278</v>
      </c>
      <c r="P184" s="133"/>
    </row>
    <row r="185" spans="1:16" hidden="1">
      <c r="A185" s="157" t="s">
        <v>272</v>
      </c>
      <c r="B185" s="41">
        <v>48506074</v>
      </c>
      <c r="F185" s="29" t="s">
        <v>129</v>
      </c>
      <c r="G185" s="29" t="s">
        <v>213</v>
      </c>
      <c r="H185" s="42">
        <v>45705</v>
      </c>
      <c r="I185" s="29"/>
      <c r="J185" s="29"/>
      <c r="K185" s="29"/>
      <c r="L185" s="29"/>
      <c r="M185" s="29"/>
      <c r="N185" s="81"/>
      <c r="O185" s="41" t="s">
        <v>279</v>
      </c>
      <c r="P185" s="133"/>
    </row>
    <row r="186" spans="1:16" hidden="1">
      <c r="A186" s="157" t="s">
        <v>272</v>
      </c>
      <c r="B186" s="41">
        <v>48506121</v>
      </c>
      <c r="F186" s="29" t="s">
        <v>129</v>
      </c>
      <c r="G186" s="29" t="s">
        <v>213</v>
      </c>
      <c r="H186" s="42">
        <v>45705</v>
      </c>
      <c r="I186" s="29"/>
      <c r="J186" s="29"/>
      <c r="K186" s="29"/>
      <c r="L186" s="29"/>
      <c r="M186" s="29"/>
      <c r="N186" s="81"/>
      <c r="O186" s="41" t="s">
        <v>280</v>
      </c>
      <c r="P186" s="133"/>
    </row>
    <row r="187" spans="1:16" hidden="1">
      <c r="A187" s="157" t="s">
        <v>272</v>
      </c>
      <c r="B187" s="41">
        <v>48506146</v>
      </c>
      <c r="F187" s="29" t="s">
        <v>129</v>
      </c>
      <c r="G187" s="29" t="s">
        <v>213</v>
      </c>
      <c r="H187" s="42">
        <v>45705</v>
      </c>
      <c r="I187" s="29"/>
      <c r="J187" s="29"/>
      <c r="K187" s="29"/>
      <c r="L187" s="29"/>
      <c r="M187" s="29"/>
      <c r="N187" s="81"/>
      <c r="O187" s="41" t="s">
        <v>281</v>
      </c>
      <c r="P187" s="133"/>
    </row>
    <row r="188" spans="1:16" hidden="1">
      <c r="A188" s="157" t="s">
        <v>272</v>
      </c>
      <c r="B188" s="41">
        <v>48506167</v>
      </c>
      <c r="F188" s="29" t="s">
        <v>129</v>
      </c>
      <c r="G188" s="29" t="s">
        <v>213</v>
      </c>
      <c r="H188" s="42">
        <v>45705</v>
      </c>
      <c r="I188" s="29"/>
      <c r="J188" s="29"/>
      <c r="K188" s="29"/>
      <c r="L188" s="29"/>
      <c r="M188" s="29"/>
      <c r="N188" s="81"/>
      <c r="O188" s="41" t="s">
        <v>282</v>
      </c>
      <c r="P188" s="133"/>
    </row>
    <row r="189" spans="1:16" hidden="1">
      <c r="A189" s="157" t="s">
        <v>272</v>
      </c>
      <c r="B189" s="41">
        <v>48506275</v>
      </c>
      <c r="F189" s="29" t="s">
        <v>129</v>
      </c>
      <c r="G189" s="29" t="s">
        <v>213</v>
      </c>
      <c r="H189" s="42">
        <v>45705</v>
      </c>
      <c r="I189" s="29"/>
      <c r="J189" s="29"/>
      <c r="K189" s="29"/>
      <c r="L189" s="29"/>
      <c r="M189" s="29"/>
      <c r="N189" s="81"/>
      <c r="O189" s="41" t="s">
        <v>283</v>
      </c>
      <c r="P189" s="133"/>
    </row>
    <row r="190" spans="1:16" hidden="1">
      <c r="A190" s="157" t="s">
        <v>272</v>
      </c>
      <c r="B190" s="41">
        <v>48506238</v>
      </c>
      <c r="F190" s="29" t="s">
        <v>129</v>
      </c>
      <c r="G190" s="29" t="s">
        <v>213</v>
      </c>
      <c r="H190" s="42">
        <v>45705</v>
      </c>
      <c r="I190" s="29"/>
      <c r="J190" s="29"/>
      <c r="K190" s="29"/>
      <c r="L190" s="29"/>
      <c r="M190" s="29"/>
      <c r="N190" s="81"/>
      <c r="O190" s="41" t="s">
        <v>284</v>
      </c>
      <c r="P190" s="133"/>
    </row>
    <row r="191" spans="1:16" hidden="1">
      <c r="A191" s="157" t="s">
        <v>272</v>
      </c>
      <c r="B191" s="41">
        <v>48506312</v>
      </c>
      <c r="F191" s="29" t="s">
        <v>129</v>
      </c>
      <c r="G191" s="29" t="s">
        <v>213</v>
      </c>
      <c r="H191" s="42">
        <v>45705</v>
      </c>
      <c r="I191" s="29"/>
      <c r="J191" s="29"/>
      <c r="K191" s="29"/>
      <c r="L191" s="29"/>
      <c r="M191" s="29"/>
      <c r="N191" s="81"/>
      <c r="O191" s="41" t="s">
        <v>285</v>
      </c>
      <c r="P191" s="133"/>
    </row>
    <row r="192" spans="1:16" hidden="1">
      <c r="A192" s="157" t="s">
        <v>272</v>
      </c>
      <c r="B192" s="41">
        <v>48506380</v>
      </c>
      <c r="F192" s="29" t="s">
        <v>129</v>
      </c>
      <c r="G192" s="29" t="s">
        <v>213</v>
      </c>
      <c r="H192" s="42">
        <v>45705</v>
      </c>
      <c r="I192" s="29"/>
      <c r="J192" s="29"/>
      <c r="K192" s="29"/>
      <c r="L192" s="29"/>
      <c r="M192" s="29"/>
      <c r="N192" s="81"/>
      <c r="O192" s="41" t="s">
        <v>286</v>
      </c>
      <c r="P192" s="133"/>
    </row>
    <row r="193" spans="1:16" hidden="1">
      <c r="A193" s="157" t="s">
        <v>272</v>
      </c>
      <c r="B193" s="41">
        <v>48506402</v>
      </c>
      <c r="F193" s="29" t="s">
        <v>129</v>
      </c>
      <c r="G193" s="29" t="s">
        <v>213</v>
      </c>
      <c r="H193" s="42">
        <v>45705</v>
      </c>
      <c r="I193" s="29"/>
      <c r="J193" s="29"/>
      <c r="K193" s="29"/>
      <c r="L193" s="29"/>
      <c r="M193" s="29"/>
      <c r="N193" s="81"/>
      <c r="O193" s="41" t="s">
        <v>287</v>
      </c>
      <c r="P193" s="133"/>
    </row>
    <row r="194" spans="1:16" hidden="1">
      <c r="A194" s="157" t="s">
        <v>272</v>
      </c>
      <c r="B194" s="41">
        <v>48506447</v>
      </c>
      <c r="F194" s="29" t="s">
        <v>129</v>
      </c>
      <c r="G194" s="29" t="s">
        <v>213</v>
      </c>
      <c r="H194" s="42">
        <v>45705</v>
      </c>
      <c r="I194" s="29"/>
      <c r="J194" s="29"/>
      <c r="K194" s="29"/>
      <c r="L194" s="29"/>
      <c r="M194" s="29"/>
      <c r="N194" s="81"/>
      <c r="O194" s="41" t="s">
        <v>288</v>
      </c>
      <c r="P194" s="133"/>
    </row>
    <row r="195" spans="1:16" hidden="1">
      <c r="A195" s="157" t="s">
        <v>272</v>
      </c>
      <c r="B195" s="41">
        <v>48506473</v>
      </c>
      <c r="F195" s="29" t="s">
        <v>129</v>
      </c>
      <c r="G195" s="29" t="s">
        <v>213</v>
      </c>
      <c r="H195" s="42">
        <v>45705</v>
      </c>
      <c r="I195" s="29"/>
      <c r="J195" s="29"/>
      <c r="K195" s="29"/>
      <c r="L195" s="29"/>
      <c r="M195" s="29"/>
      <c r="N195" s="81"/>
      <c r="O195" s="41" t="s">
        <v>289</v>
      </c>
      <c r="P195" s="133"/>
    </row>
    <row r="196" spans="1:16" hidden="1">
      <c r="A196" s="157" t="s">
        <v>272</v>
      </c>
      <c r="B196" s="41">
        <v>48506598</v>
      </c>
      <c r="F196" s="29" t="s">
        <v>129</v>
      </c>
      <c r="G196" s="29" t="s">
        <v>213</v>
      </c>
      <c r="H196" s="42">
        <v>45705</v>
      </c>
      <c r="I196" s="29"/>
      <c r="J196" s="29"/>
      <c r="K196" s="29"/>
      <c r="L196" s="29"/>
      <c r="M196" s="29"/>
      <c r="N196" s="81"/>
      <c r="O196" s="41" t="s">
        <v>290</v>
      </c>
      <c r="P196" s="133"/>
    </row>
    <row r="197" spans="1:16" hidden="1">
      <c r="A197" s="157" t="s">
        <v>272</v>
      </c>
      <c r="B197" s="41">
        <v>48506685</v>
      </c>
      <c r="F197" s="29" t="s">
        <v>129</v>
      </c>
      <c r="G197" s="29" t="s">
        <v>213</v>
      </c>
      <c r="H197" s="42">
        <v>45705</v>
      </c>
      <c r="I197" s="29"/>
      <c r="J197" s="29"/>
      <c r="K197" s="29"/>
      <c r="L197" s="29"/>
      <c r="M197" s="29"/>
      <c r="N197" s="81"/>
      <c r="O197" s="41" t="s">
        <v>291</v>
      </c>
      <c r="P197" s="133"/>
    </row>
    <row r="198" spans="1:16" hidden="1">
      <c r="A198" s="157" t="s">
        <v>272</v>
      </c>
      <c r="B198" s="41">
        <v>48506703</v>
      </c>
      <c r="F198" s="29" t="s">
        <v>129</v>
      </c>
      <c r="G198" s="29" t="s">
        <v>213</v>
      </c>
      <c r="H198" s="42">
        <v>45705</v>
      </c>
      <c r="I198" s="29"/>
      <c r="J198" s="29"/>
      <c r="K198" s="29"/>
      <c r="L198" s="29"/>
      <c r="M198" s="29"/>
      <c r="N198" s="81"/>
      <c r="O198" s="41" t="s">
        <v>292</v>
      </c>
      <c r="P198" s="133"/>
    </row>
    <row r="199" spans="1:16" hidden="1">
      <c r="A199" s="157" t="s">
        <v>272</v>
      </c>
      <c r="B199" s="41">
        <v>48506738</v>
      </c>
      <c r="F199" s="29" t="s">
        <v>129</v>
      </c>
      <c r="G199" s="29" t="s">
        <v>213</v>
      </c>
      <c r="H199" s="42">
        <v>45705</v>
      </c>
      <c r="I199" s="29"/>
      <c r="J199" s="29"/>
      <c r="K199" s="29"/>
      <c r="L199" s="29"/>
      <c r="M199" s="29"/>
      <c r="N199" s="81"/>
      <c r="O199" s="41" t="s">
        <v>293</v>
      </c>
      <c r="P199" s="133"/>
    </row>
    <row r="200" spans="1:16" hidden="1">
      <c r="A200" s="157" t="s">
        <v>272</v>
      </c>
      <c r="B200" s="41">
        <v>48506819</v>
      </c>
      <c r="F200" s="29" t="s">
        <v>129</v>
      </c>
      <c r="G200" s="29" t="s">
        <v>213</v>
      </c>
      <c r="H200" s="42">
        <v>45705</v>
      </c>
      <c r="I200" s="29"/>
      <c r="J200" s="29"/>
      <c r="K200" s="29"/>
      <c r="L200" s="29"/>
      <c r="M200" s="29"/>
      <c r="N200" s="81"/>
      <c r="O200" s="41" t="s">
        <v>294</v>
      </c>
      <c r="P200" s="133"/>
    </row>
    <row r="201" spans="1:16" hidden="1">
      <c r="A201" s="157" t="s">
        <v>272</v>
      </c>
      <c r="B201" s="41">
        <v>48506880</v>
      </c>
      <c r="F201" s="29" t="s">
        <v>129</v>
      </c>
      <c r="G201" s="29" t="s">
        <v>213</v>
      </c>
      <c r="H201" s="42">
        <v>45705</v>
      </c>
      <c r="I201" s="29"/>
      <c r="J201" s="29"/>
      <c r="K201" s="29"/>
      <c r="L201" s="29"/>
      <c r="M201" s="29"/>
      <c r="N201" s="81"/>
      <c r="O201" s="41" t="s">
        <v>295</v>
      </c>
      <c r="P201" s="133"/>
    </row>
    <row r="202" spans="1:16" hidden="1">
      <c r="A202" s="157" t="s">
        <v>272</v>
      </c>
      <c r="B202" s="41">
        <v>48506900</v>
      </c>
      <c r="F202" s="29" t="s">
        <v>129</v>
      </c>
      <c r="G202" s="29" t="s">
        <v>213</v>
      </c>
      <c r="H202" s="42">
        <v>45705</v>
      </c>
      <c r="I202" s="29"/>
      <c r="J202" s="29"/>
      <c r="K202" s="29"/>
      <c r="L202" s="29"/>
      <c r="M202" s="29"/>
      <c r="N202" s="81"/>
      <c r="O202" s="41" t="s">
        <v>296</v>
      </c>
      <c r="P202" s="133"/>
    </row>
    <row r="203" spans="1:16" hidden="1">
      <c r="A203" s="157" t="s">
        <v>272</v>
      </c>
      <c r="B203" s="41">
        <v>48506952</v>
      </c>
      <c r="F203" s="29" t="s">
        <v>129</v>
      </c>
      <c r="G203" s="29" t="s">
        <v>213</v>
      </c>
      <c r="H203" s="42">
        <v>45705</v>
      </c>
      <c r="I203" s="29"/>
      <c r="J203" s="29"/>
      <c r="K203" s="29"/>
      <c r="L203" s="29"/>
      <c r="M203" s="29"/>
      <c r="N203" s="81"/>
      <c r="O203" s="41" t="s">
        <v>297</v>
      </c>
      <c r="P203" s="133"/>
    </row>
    <row r="204" spans="1:16" hidden="1">
      <c r="A204" s="157" t="s">
        <v>272</v>
      </c>
      <c r="B204" s="41">
        <v>48506994</v>
      </c>
      <c r="F204" s="29" t="s">
        <v>129</v>
      </c>
      <c r="G204" s="29" t="s">
        <v>213</v>
      </c>
      <c r="H204" s="42">
        <v>45705</v>
      </c>
      <c r="I204" s="29"/>
      <c r="J204" s="29"/>
      <c r="K204" s="29"/>
      <c r="L204" s="29"/>
      <c r="M204" s="29"/>
      <c r="N204" s="81"/>
      <c r="O204" s="41" t="s">
        <v>298</v>
      </c>
      <c r="P204" s="133"/>
    </row>
    <row r="205" spans="1:16" hidden="1">
      <c r="A205" s="157" t="s">
        <v>272</v>
      </c>
      <c r="B205" s="41">
        <v>48507054</v>
      </c>
      <c r="F205" s="29" t="s">
        <v>129</v>
      </c>
      <c r="G205" s="29" t="s">
        <v>213</v>
      </c>
      <c r="H205" s="42">
        <v>45705</v>
      </c>
      <c r="I205" s="29"/>
      <c r="J205" s="29"/>
      <c r="K205" s="29"/>
      <c r="L205" s="29"/>
      <c r="M205" s="29"/>
      <c r="N205" s="81"/>
      <c r="O205" s="41" t="s">
        <v>299</v>
      </c>
      <c r="P205" s="133"/>
    </row>
    <row r="206" spans="1:16" hidden="1">
      <c r="A206" s="157" t="s">
        <v>272</v>
      </c>
      <c r="B206" s="41">
        <v>48507104</v>
      </c>
      <c r="F206" s="29" t="s">
        <v>129</v>
      </c>
      <c r="G206" s="29" t="s">
        <v>213</v>
      </c>
      <c r="H206" s="42">
        <v>45705</v>
      </c>
      <c r="I206" s="29"/>
      <c r="J206" s="29"/>
      <c r="K206" s="29"/>
      <c r="L206" s="29"/>
      <c r="M206" s="29"/>
      <c r="N206" s="81"/>
      <c r="O206" s="41" t="s">
        <v>298</v>
      </c>
      <c r="P206" s="133"/>
    </row>
    <row r="207" spans="1:16" hidden="1">
      <c r="A207" s="157" t="s">
        <v>272</v>
      </c>
      <c r="B207" s="41">
        <v>48507121</v>
      </c>
      <c r="F207" s="29" t="s">
        <v>129</v>
      </c>
      <c r="G207" s="29" t="s">
        <v>213</v>
      </c>
      <c r="H207" s="42">
        <v>45705</v>
      </c>
      <c r="I207" s="29"/>
      <c r="J207" s="29"/>
      <c r="K207" s="29"/>
      <c r="L207" s="29"/>
      <c r="M207" s="29"/>
      <c r="N207" s="81"/>
      <c r="O207" s="41" t="s">
        <v>299</v>
      </c>
      <c r="P207" s="133"/>
    </row>
    <row r="208" spans="1:16" hidden="1">
      <c r="A208" s="157" t="s">
        <v>272</v>
      </c>
      <c r="B208" s="41">
        <v>48507149</v>
      </c>
      <c r="F208" s="29" t="s">
        <v>129</v>
      </c>
      <c r="G208" s="29" t="s">
        <v>213</v>
      </c>
      <c r="H208" s="42">
        <v>45705</v>
      </c>
      <c r="I208" s="29"/>
      <c r="J208" s="29"/>
      <c r="K208" s="29"/>
      <c r="L208" s="29"/>
      <c r="M208" s="29"/>
      <c r="N208" s="81"/>
      <c r="O208" s="41" t="s">
        <v>300</v>
      </c>
      <c r="P208" s="133"/>
    </row>
    <row r="209" spans="1:16" hidden="1">
      <c r="A209" s="157" t="s">
        <v>272</v>
      </c>
      <c r="B209" s="41">
        <v>48507171</v>
      </c>
      <c r="F209" s="29" t="s">
        <v>129</v>
      </c>
      <c r="G209" s="29" t="s">
        <v>213</v>
      </c>
      <c r="H209" s="42">
        <v>45705</v>
      </c>
      <c r="I209" s="29"/>
      <c r="J209" s="29"/>
      <c r="K209" s="29"/>
      <c r="L209" s="29"/>
      <c r="M209" s="29"/>
      <c r="N209" s="81"/>
      <c r="O209" s="41" t="s">
        <v>301</v>
      </c>
      <c r="P209" s="133"/>
    </row>
    <row r="210" spans="1:16" hidden="1">
      <c r="A210" s="157" t="s">
        <v>272</v>
      </c>
      <c r="B210" s="41">
        <v>48507195</v>
      </c>
      <c r="F210" s="29" t="s">
        <v>129</v>
      </c>
      <c r="G210" s="29" t="s">
        <v>213</v>
      </c>
      <c r="H210" s="42">
        <v>45705</v>
      </c>
      <c r="I210" s="29"/>
      <c r="J210" s="29"/>
      <c r="K210" s="29"/>
      <c r="L210" s="29"/>
      <c r="M210" s="29"/>
      <c r="N210" s="81"/>
      <c r="O210" s="41" t="s">
        <v>302</v>
      </c>
      <c r="P210" s="133"/>
    </row>
    <row r="211" spans="1:16" hidden="1">
      <c r="A211" s="29" t="s">
        <v>303</v>
      </c>
      <c r="B211" s="29">
        <v>37505890</v>
      </c>
      <c r="F211" s="29" t="s">
        <v>129</v>
      </c>
      <c r="G211" s="29" t="s">
        <v>304</v>
      </c>
      <c r="H211" s="130">
        <v>45694</v>
      </c>
      <c r="I211" s="29"/>
      <c r="J211" s="29"/>
      <c r="K211" s="29"/>
      <c r="L211" s="29"/>
      <c r="M211" s="29"/>
      <c r="N211" s="81"/>
      <c r="O211" s="29" t="s">
        <v>305</v>
      </c>
      <c r="P211" s="133"/>
    </row>
    <row r="212" spans="1:16" hidden="1">
      <c r="A212" s="29" t="s">
        <v>303</v>
      </c>
      <c r="B212" s="29">
        <v>37505866</v>
      </c>
      <c r="F212" s="29" t="s">
        <v>129</v>
      </c>
      <c r="G212" s="29" t="s">
        <v>304</v>
      </c>
      <c r="H212" s="130">
        <v>45694</v>
      </c>
      <c r="I212" s="29"/>
      <c r="J212" s="29"/>
      <c r="K212" s="29"/>
      <c r="L212" s="29"/>
      <c r="M212" s="29"/>
      <c r="N212" s="81"/>
      <c r="O212" s="29" t="s">
        <v>306</v>
      </c>
      <c r="P212" s="133"/>
    </row>
    <row r="213" spans="1:16" hidden="1">
      <c r="A213" s="29" t="s">
        <v>303</v>
      </c>
      <c r="B213" s="29">
        <v>37505708</v>
      </c>
      <c r="F213" s="29" t="s">
        <v>129</v>
      </c>
      <c r="G213" s="29" t="s">
        <v>304</v>
      </c>
      <c r="H213" s="130">
        <v>45694</v>
      </c>
      <c r="I213" s="29"/>
      <c r="J213" s="29"/>
      <c r="K213" s="29"/>
      <c r="L213" s="29"/>
      <c r="M213" s="29"/>
      <c r="N213" s="81"/>
      <c r="O213" s="29" t="s">
        <v>307</v>
      </c>
      <c r="P213" s="133"/>
    </row>
    <row r="214" spans="1:16" hidden="1">
      <c r="A214" s="29" t="s">
        <v>303</v>
      </c>
      <c r="B214" s="29">
        <v>37505692</v>
      </c>
      <c r="F214" s="29" t="s">
        <v>129</v>
      </c>
      <c r="G214" s="29" t="s">
        <v>304</v>
      </c>
      <c r="H214" s="130">
        <v>45694</v>
      </c>
      <c r="I214" s="29"/>
      <c r="J214" s="29"/>
      <c r="K214" s="29"/>
      <c r="L214" s="29"/>
      <c r="M214" s="29"/>
      <c r="N214" s="81"/>
      <c r="O214" s="29" t="s">
        <v>308</v>
      </c>
      <c r="P214" s="133"/>
    </row>
    <row r="215" spans="1:16" hidden="1">
      <c r="A215" s="29" t="s">
        <v>209</v>
      </c>
      <c r="B215" s="29">
        <v>37505682</v>
      </c>
      <c r="F215" s="29" t="s">
        <v>129</v>
      </c>
      <c r="G215" s="29" t="s">
        <v>210</v>
      </c>
      <c r="H215" s="130">
        <v>45694</v>
      </c>
      <c r="I215" s="29"/>
      <c r="J215" s="29"/>
      <c r="K215" s="29"/>
      <c r="L215" s="29"/>
      <c r="M215" s="29"/>
      <c r="N215" s="81"/>
      <c r="O215" s="29" t="s">
        <v>309</v>
      </c>
      <c r="P215" s="133"/>
    </row>
    <row r="216" spans="1:16" hidden="1">
      <c r="A216" s="29" t="s">
        <v>303</v>
      </c>
      <c r="B216" s="29">
        <v>37505653</v>
      </c>
      <c r="F216" s="29" t="s">
        <v>129</v>
      </c>
      <c r="G216" s="29" t="s">
        <v>304</v>
      </c>
      <c r="H216" s="130">
        <v>45694</v>
      </c>
      <c r="I216" s="29"/>
      <c r="J216" s="29"/>
      <c r="K216" s="29"/>
      <c r="L216" s="29"/>
      <c r="M216" s="29"/>
      <c r="N216" s="81"/>
      <c r="O216" s="29" t="s">
        <v>310</v>
      </c>
      <c r="P216" s="133"/>
    </row>
    <row r="217" spans="1:16" hidden="1">
      <c r="A217" s="29" t="s">
        <v>209</v>
      </c>
      <c r="B217" s="29">
        <v>37505858</v>
      </c>
      <c r="F217" s="29" t="s">
        <v>129</v>
      </c>
      <c r="G217" s="29" t="s">
        <v>210</v>
      </c>
      <c r="H217" s="130">
        <v>45694</v>
      </c>
      <c r="I217" s="29"/>
      <c r="J217" s="29"/>
      <c r="K217" s="29"/>
      <c r="L217" s="29"/>
      <c r="M217" s="29"/>
      <c r="N217" s="81"/>
      <c r="O217" s="29" t="s">
        <v>309</v>
      </c>
      <c r="P217" s="133"/>
    </row>
    <row r="218" spans="1:16" hidden="1">
      <c r="A218" s="29" t="s">
        <v>303</v>
      </c>
      <c r="B218" s="29">
        <v>37505767</v>
      </c>
      <c r="F218" s="29" t="s">
        <v>129</v>
      </c>
      <c r="G218" s="29" t="s">
        <v>304</v>
      </c>
      <c r="H218" s="130">
        <v>45694</v>
      </c>
      <c r="I218" s="29"/>
      <c r="J218" s="29"/>
      <c r="K218" s="29"/>
      <c r="L218" s="29"/>
      <c r="M218" s="29"/>
      <c r="N218" s="81"/>
      <c r="O218" s="29" t="s">
        <v>307</v>
      </c>
      <c r="P218" s="133"/>
    </row>
    <row r="219" spans="1:16" hidden="1">
      <c r="A219" s="29" t="s">
        <v>303</v>
      </c>
      <c r="B219" s="29">
        <v>37505730</v>
      </c>
      <c r="F219" s="29" t="s">
        <v>129</v>
      </c>
      <c r="G219" s="29" t="s">
        <v>304</v>
      </c>
      <c r="H219" s="130">
        <v>45694</v>
      </c>
      <c r="I219" s="29"/>
      <c r="J219" s="29"/>
      <c r="K219" s="29"/>
      <c r="L219" s="29"/>
      <c r="M219" s="29"/>
      <c r="N219" s="81"/>
      <c r="O219" s="29" t="s">
        <v>307</v>
      </c>
      <c r="P219" s="133"/>
    </row>
    <row r="220" spans="1:16" hidden="1">
      <c r="A220" s="29" t="s">
        <v>209</v>
      </c>
      <c r="B220" s="29">
        <v>37505252</v>
      </c>
      <c r="F220" s="29" t="s">
        <v>129</v>
      </c>
      <c r="G220" s="29" t="s">
        <v>210</v>
      </c>
      <c r="H220" s="130">
        <v>45694</v>
      </c>
      <c r="I220" s="29"/>
      <c r="J220" s="29"/>
      <c r="K220" s="29"/>
      <c r="L220" s="29"/>
      <c r="M220" s="29"/>
      <c r="N220" s="81"/>
      <c r="O220" s="29" t="s">
        <v>311</v>
      </c>
      <c r="P220" s="133"/>
    </row>
    <row r="221" spans="1:16" hidden="1">
      <c r="A221" s="29" t="s">
        <v>303</v>
      </c>
      <c r="B221" s="29">
        <v>35509789</v>
      </c>
      <c r="F221" s="29" t="s">
        <v>129</v>
      </c>
      <c r="G221" s="29" t="s">
        <v>304</v>
      </c>
      <c r="H221" s="130">
        <v>45691</v>
      </c>
      <c r="I221" s="29"/>
      <c r="J221" s="29"/>
      <c r="K221" s="29"/>
      <c r="L221" s="29"/>
      <c r="M221" s="29"/>
      <c r="N221" s="81"/>
      <c r="O221" s="29" t="s">
        <v>312</v>
      </c>
      <c r="P221" s="133"/>
    </row>
    <row r="222" spans="1:16" hidden="1">
      <c r="A222" s="29" t="s">
        <v>303</v>
      </c>
      <c r="B222" s="29">
        <v>35509780</v>
      </c>
      <c r="F222" s="29" t="s">
        <v>129</v>
      </c>
      <c r="G222" s="29" t="s">
        <v>304</v>
      </c>
      <c r="H222" s="130">
        <v>45691</v>
      </c>
      <c r="I222" s="29"/>
      <c r="J222" s="29"/>
      <c r="K222" s="29"/>
      <c r="L222" s="29"/>
      <c r="M222" s="29"/>
      <c r="N222" s="81"/>
      <c r="O222" s="29" t="s">
        <v>313</v>
      </c>
      <c r="P222" s="133"/>
    </row>
    <row r="223" spans="1:16" hidden="1">
      <c r="A223" s="29" t="s">
        <v>303</v>
      </c>
      <c r="B223" s="29">
        <v>35509774</v>
      </c>
      <c r="F223" s="29" t="s">
        <v>129</v>
      </c>
      <c r="G223" s="29" t="s">
        <v>304</v>
      </c>
      <c r="H223" s="130">
        <v>45691</v>
      </c>
      <c r="I223" s="29"/>
      <c r="J223" s="29"/>
      <c r="K223" s="29"/>
      <c r="L223" s="29"/>
      <c r="M223" s="29"/>
      <c r="N223" s="81"/>
      <c r="O223" s="29" t="s">
        <v>313</v>
      </c>
      <c r="P223" s="133"/>
    </row>
    <row r="224" spans="1:16" hidden="1">
      <c r="A224" s="29" t="s">
        <v>303</v>
      </c>
      <c r="B224" s="29">
        <v>35509764</v>
      </c>
      <c r="F224" s="29" t="s">
        <v>129</v>
      </c>
      <c r="G224" s="29" t="s">
        <v>304</v>
      </c>
      <c r="H224" s="130">
        <v>45691</v>
      </c>
      <c r="I224" s="29"/>
      <c r="J224" s="29"/>
      <c r="K224" s="29"/>
      <c r="L224" s="29"/>
      <c r="M224" s="29"/>
      <c r="N224" s="81"/>
      <c r="O224" s="29" t="s">
        <v>314</v>
      </c>
      <c r="P224" s="133"/>
    </row>
    <row r="225" spans="1:16" hidden="1">
      <c r="A225" s="29" t="s">
        <v>303</v>
      </c>
      <c r="B225" s="29">
        <v>35509750</v>
      </c>
      <c r="F225" s="29" t="s">
        <v>129</v>
      </c>
      <c r="G225" s="29" t="s">
        <v>304</v>
      </c>
      <c r="H225" s="130">
        <v>45691</v>
      </c>
      <c r="I225" s="29"/>
      <c r="J225" s="29"/>
      <c r="K225" s="29"/>
      <c r="L225" s="29"/>
      <c r="M225" s="29"/>
      <c r="N225" s="81"/>
      <c r="O225" s="29" t="s">
        <v>315</v>
      </c>
      <c r="P225" s="133"/>
    </row>
    <row r="226" spans="1:16" hidden="1">
      <c r="A226" s="29" t="s">
        <v>209</v>
      </c>
      <c r="B226" s="29">
        <v>36501750</v>
      </c>
      <c r="F226" s="29" t="s">
        <v>129</v>
      </c>
      <c r="G226" s="29" t="s">
        <v>210</v>
      </c>
      <c r="H226" s="130">
        <v>45692</v>
      </c>
      <c r="I226" s="29"/>
      <c r="J226" s="29"/>
      <c r="K226" s="29"/>
      <c r="L226" s="29"/>
      <c r="M226" s="29"/>
      <c r="N226" s="81"/>
      <c r="O226" s="29" t="s">
        <v>316</v>
      </c>
      <c r="P226" s="133"/>
    </row>
    <row r="227" spans="1:16" hidden="1">
      <c r="A227" s="29" t="s">
        <v>209</v>
      </c>
      <c r="B227" s="29">
        <v>36501703</v>
      </c>
      <c r="F227" s="29" t="s">
        <v>129</v>
      </c>
      <c r="G227" s="29" t="s">
        <v>210</v>
      </c>
      <c r="H227" s="130">
        <v>45692</v>
      </c>
      <c r="I227" s="29"/>
      <c r="J227" s="29"/>
      <c r="K227" s="29"/>
      <c r="L227" s="29"/>
      <c r="M227" s="29"/>
      <c r="N227" s="81"/>
      <c r="O227" s="29" t="s">
        <v>317</v>
      </c>
      <c r="P227" s="133"/>
    </row>
    <row r="228" spans="1:16" hidden="1">
      <c r="A228" s="29" t="s">
        <v>209</v>
      </c>
      <c r="B228" s="29">
        <v>36501220</v>
      </c>
      <c r="F228" s="29" t="s">
        <v>129</v>
      </c>
      <c r="G228" s="29" t="s">
        <v>210</v>
      </c>
      <c r="H228" s="130">
        <v>45692</v>
      </c>
      <c r="I228" s="29"/>
      <c r="J228" s="29"/>
      <c r="K228" s="29"/>
      <c r="L228" s="29"/>
      <c r="M228" s="29"/>
      <c r="N228" s="81"/>
      <c r="O228" s="29" t="s">
        <v>318</v>
      </c>
      <c r="P228" s="133"/>
    </row>
    <row r="229" spans="1:16" hidden="1">
      <c r="A229" s="29" t="s">
        <v>209</v>
      </c>
      <c r="B229" s="29">
        <v>35509618</v>
      </c>
      <c r="F229" s="29" t="s">
        <v>129</v>
      </c>
      <c r="G229" s="29" t="s">
        <v>210</v>
      </c>
      <c r="H229" s="130">
        <v>45691</v>
      </c>
      <c r="I229" s="29"/>
      <c r="J229" s="29"/>
      <c r="K229" s="29"/>
      <c r="L229" s="29"/>
      <c r="M229" s="29"/>
      <c r="N229" s="81"/>
      <c r="O229" s="29" t="s">
        <v>319</v>
      </c>
      <c r="P229" s="133"/>
    </row>
    <row r="230" spans="1:16" hidden="1">
      <c r="A230" s="29" t="s">
        <v>209</v>
      </c>
      <c r="B230" s="29">
        <v>35509633</v>
      </c>
      <c r="F230" s="29" t="s">
        <v>129</v>
      </c>
      <c r="G230" s="29" t="s">
        <v>210</v>
      </c>
      <c r="H230" s="130">
        <v>45691</v>
      </c>
      <c r="I230" s="29"/>
      <c r="J230" s="29"/>
      <c r="K230" s="29"/>
      <c r="L230" s="29"/>
      <c r="M230" s="29"/>
      <c r="N230" s="81"/>
      <c r="O230" s="29" t="s">
        <v>320</v>
      </c>
      <c r="P230" s="133"/>
    </row>
    <row r="231" spans="1:16" hidden="1">
      <c r="A231" s="29" t="s">
        <v>209</v>
      </c>
      <c r="B231" s="29">
        <v>35509658</v>
      </c>
      <c r="F231" s="29" t="s">
        <v>129</v>
      </c>
      <c r="G231" s="29" t="s">
        <v>210</v>
      </c>
      <c r="H231" s="130">
        <v>45691</v>
      </c>
      <c r="I231" s="29"/>
      <c r="J231" s="29"/>
      <c r="K231" s="29"/>
      <c r="L231" s="29"/>
      <c r="M231" s="29"/>
      <c r="N231" s="81"/>
      <c r="O231" s="29" t="s">
        <v>321</v>
      </c>
      <c r="P231" s="133"/>
    </row>
    <row r="232" spans="1:16" hidden="1">
      <c r="A232" s="29" t="s">
        <v>209</v>
      </c>
      <c r="B232" s="29">
        <v>37506038</v>
      </c>
      <c r="F232" s="29" t="s">
        <v>129</v>
      </c>
      <c r="G232" s="29" t="s">
        <v>210</v>
      </c>
      <c r="H232" s="130">
        <v>45694</v>
      </c>
      <c r="I232" s="29"/>
      <c r="J232" s="29"/>
      <c r="K232" s="29"/>
      <c r="L232" s="29"/>
      <c r="M232" s="29"/>
      <c r="N232" s="81"/>
      <c r="O232" s="29" t="s">
        <v>322</v>
      </c>
      <c r="P232" s="133"/>
    </row>
    <row r="233" spans="1:16" hidden="1">
      <c r="A233" s="29" t="s">
        <v>209</v>
      </c>
      <c r="B233" s="29">
        <v>37505985</v>
      </c>
      <c r="F233" s="29" t="s">
        <v>129</v>
      </c>
      <c r="G233" s="29" t="s">
        <v>210</v>
      </c>
      <c r="H233" s="130">
        <v>45694</v>
      </c>
      <c r="I233" s="29"/>
      <c r="J233" s="29"/>
      <c r="K233" s="29"/>
      <c r="L233" s="29"/>
      <c r="M233" s="29"/>
      <c r="N233" s="81"/>
      <c r="O233" s="29" t="s">
        <v>323</v>
      </c>
      <c r="P233" s="133"/>
    </row>
    <row r="234" spans="1:16" hidden="1">
      <c r="A234" s="29" t="s">
        <v>209</v>
      </c>
      <c r="B234" s="29">
        <v>37505961</v>
      </c>
      <c r="F234" s="29" t="s">
        <v>129</v>
      </c>
      <c r="G234" s="29" t="s">
        <v>210</v>
      </c>
      <c r="H234" s="130">
        <v>45694</v>
      </c>
      <c r="I234" s="29"/>
      <c r="J234" s="29"/>
      <c r="K234" s="29"/>
      <c r="L234" s="29"/>
      <c r="M234" s="29"/>
      <c r="N234" s="81"/>
      <c r="O234" s="29" t="s">
        <v>324</v>
      </c>
      <c r="P234" s="133"/>
    </row>
    <row r="235" spans="1:16" hidden="1">
      <c r="A235" s="29" t="s">
        <v>209</v>
      </c>
      <c r="B235" s="29">
        <v>37505929</v>
      </c>
      <c r="F235" s="29" t="s">
        <v>129</v>
      </c>
      <c r="G235" s="29" t="s">
        <v>210</v>
      </c>
      <c r="H235" s="130">
        <v>45694</v>
      </c>
      <c r="I235" s="29"/>
      <c r="J235" s="29"/>
      <c r="K235" s="29"/>
      <c r="L235" s="29"/>
      <c r="M235" s="29"/>
      <c r="N235" s="81"/>
      <c r="O235" s="29" t="s">
        <v>309</v>
      </c>
      <c r="P235" s="133"/>
    </row>
    <row r="236" spans="1:16" hidden="1">
      <c r="A236" s="29" t="s">
        <v>209</v>
      </c>
      <c r="B236" s="29">
        <v>37505902</v>
      </c>
      <c r="F236" s="29" t="s">
        <v>129</v>
      </c>
      <c r="G236" s="29" t="s">
        <v>210</v>
      </c>
      <c r="H236" s="130">
        <v>45694</v>
      </c>
      <c r="I236" s="29"/>
      <c r="J236" s="29"/>
      <c r="K236" s="29"/>
      <c r="L236" s="29"/>
      <c r="M236" s="29"/>
      <c r="N236" s="81"/>
      <c r="O236" s="29" t="s">
        <v>309</v>
      </c>
      <c r="P236" s="133"/>
    </row>
    <row r="237" spans="1:16" hidden="1">
      <c r="A237" s="29" t="s">
        <v>209</v>
      </c>
      <c r="B237" s="29">
        <v>37505642</v>
      </c>
      <c r="F237" s="29" t="s">
        <v>129</v>
      </c>
      <c r="G237" s="29" t="s">
        <v>210</v>
      </c>
      <c r="H237" s="130">
        <v>45694</v>
      </c>
      <c r="I237" s="29"/>
      <c r="J237" s="29"/>
      <c r="K237" s="29"/>
      <c r="L237" s="29"/>
      <c r="M237" s="29"/>
      <c r="N237" s="81"/>
      <c r="O237" s="29" t="s">
        <v>325</v>
      </c>
      <c r="P237" s="133"/>
    </row>
    <row r="238" spans="1:16" hidden="1">
      <c r="A238" s="29" t="s">
        <v>303</v>
      </c>
      <c r="B238" s="29">
        <v>37505640</v>
      </c>
      <c r="F238" s="29" t="s">
        <v>129</v>
      </c>
      <c r="G238" s="29" t="s">
        <v>304</v>
      </c>
      <c r="H238" s="130">
        <v>45694</v>
      </c>
      <c r="I238" s="29"/>
      <c r="J238" s="29"/>
      <c r="K238" s="29"/>
      <c r="L238" s="29"/>
      <c r="M238" s="29"/>
      <c r="N238" s="81"/>
      <c r="O238" s="29" t="s">
        <v>326</v>
      </c>
      <c r="P238" s="133"/>
    </row>
    <row r="239" spans="1:16" hidden="1">
      <c r="A239" s="29" t="s">
        <v>209</v>
      </c>
      <c r="B239" s="29">
        <v>37505599</v>
      </c>
      <c r="F239" s="29" t="s">
        <v>129</v>
      </c>
      <c r="G239" s="29" t="s">
        <v>210</v>
      </c>
      <c r="H239" s="130">
        <v>45694</v>
      </c>
      <c r="I239" s="29"/>
      <c r="J239" s="29"/>
      <c r="K239" s="29"/>
      <c r="L239" s="29"/>
      <c r="M239" s="29"/>
      <c r="N239" s="81"/>
      <c r="O239" s="29" t="s">
        <v>311</v>
      </c>
      <c r="P239" s="133"/>
    </row>
    <row r="240" spans="1:16" hidden="1">
      <c r="A240" s="29" t="s">
        <v>209</v>
      </c>
      <c r="B240" s="29">
        <v>37505280</v>
      </c>
      <c r="F240" s="29" t="s">
        <v>129</v>
      </c>
      <c r="G240" s="29" t="s">
        <v>210</v>
      </c>
      <c r="H240" s="130">
        <v>45694</v>
      </c>
      <c r="I240" s="29"/>
      <c r="J240" s="29"/>
      <c r="K240" s="29"/>
      <c r="L240" s="29"/>
      <c r="M240" s="29"/>
      <c r="N240" s="81"/>
      <c r="O240" s="29" t="s">
        <v>311</v>
      </c>
      <c r="P240" s="133"/>
    </row>
    <row r="241" spans="1:16" hidden="1">
      <c r="A241" s="29" t="s">
        <v>209</v>
      </c>
      <c r="B241" s="29">
        <v>37506111</v>
      </c>
      <c r="F241" s="29" t="s">
        <v>129</v>
      </c>
      <c r="G241" s="29" t="s">
        <v>210</v>
      </c>
      <c r="H241" s="130">
        <v>45694</v>
      </c>
      <c r="I241" s="29"/>
      <c r="J241" s="29"/>
      <c r="K241" s="29"/>
      <c r="L241" s="29"/>
      <c r="M241" s="29"/>
      <c r="N241" s="81"/>
      <c r="O241" s="29" t="s">
        <v>327</v>
      </c>
      <c r="P241" s="133"/>
    </row>
    <row r="242" spans="1:16" hidden="1">
      <c r="A242" s="29" t="s">
        <v>209</v>
      </c>
      <c r="B242" s="29">
        <v>37506073</v>
      </c>
      <c r="F242" s="29" t="s">
        <v>129</v>
      </c>
      <c r="G242" s="29" t="s">
        <v>210</v>
      </c>
      <c r="H242" s="130">
        <v>45694</v>
      </c>
      <c r="I242" s="29"/>
      <c r="J242" s="29"/>
      <c r="K242" s="29"/>
      <c r="L242" s="29"/>
      <c r="M242" s="29"/>
      <c r="N242" s="81"/>
      <c r="O242" s="29" t="s">
        <v>327</v>
      </c>
      <c r="P242" s="133"/>
    </row>
    <row r="243" spans="1:16" hidden="1">
      <c r="A243" s="29" t="s">
        <v>209</v>
      </c>
      <c r="B243" s="29">
        <v>37506056</v>
      </c>
      <c r="F243" s="29" t="s">
        <v>129</v>
      </c>
      <c r="G243" s="29" t="s">
        <v>210</v>
      </c>
      <c r="H243" s="130">
        <v>45694</v>
      </c>
      <c r="I243" s="29"/>
      <c r="J243" s="29"/>
      <c r="K243" s="29"/>
      <c r="L243" s="29"/>
      <c r="M243" s="29"/>
      <c r="N243" s="81"/>
      <c r="O243" s="29" t="s">
        <v>324</v>
      </c>
      <c r="P243" s="133"/>
    </row>
    <row r="244" spans="1:16" hidden="1">
      <c r="A244" s="29" t="s">
        <v>209</v>
      </c>
      <c r="B244" s="29">
        <v>37505229</v>
      </c>
      <c r="F244" s="29" t="s">
        <v>129</v>
      </c>
      <c r="G244" s="29" t="s">
        <v>210</v>
      </c>
      <c r="H244" s="130">
        <v>45694</v>
      </c>
      <c r="I244" s="29"/>
      <c r="J244" s="29"/>
      <c r="K244" s="29"/>
      <c r="L244" s="29"/>
      <c r="M244" s="29"/>
      <c r="N244" s="81"/>
      <c r="O244" s="29" t="s">
        <v>328</v>
      </c>
      <c r="P244" s="133"/>
    </row>
    <row r="245" spans="1:16" hidden="1">
      <c r="A245" s="29" t="s">
        <v>209</v>
      </c>
      <c r="B245" s="29">
        <v>37505213</v>
      </c>
      <c r="F245" s="29" t="s">
        <v>129</v>
      </c>
      <c r="G245" s="29" t="s">
        <v>210</v>
      </c>
      <c r="H245" s="130">
        <v>45694</v>
      </c>
      <c r="I245" s="29"/>
      <c r="J245" s="29"/>
      <c r="K245" s="29"/>
      <c r="L245" s="29"/>
      <c r="M245" s="29"/>
      <c r="N245" s="81"/>
      <c r="O245" s="29" t="s">
        <v>329</v>
      </c>
      <c r="P245" s="133"/>
    </row>
    <row r="246" spans="1:16" hidden="1">
      <c r="A246" s="29" t="s">
        <v>209</v>
      </c>
      <c r="B246" s="29">
        <v>37505183</v>
      </c>
      <c r="F246" s="29" t="s">
        <v>129</v>
      </c>
      <c r="G246" s="29" t="s">
        <v>210</v>
      </c>
      <c r="H246" s="130">
        <v>45694</v>
      </c>
      <c r="I246" s="29"/>
      <c r="J246" s="29"/>
      <c r="K246" s="29"/>
      <c r="L246" s="29"/>
      <c r="M246" s="29"/>
      <c r="N246" s="81"/>
      <c r="O246" s="29" t="s">
        <v>330</v>
      </c>
      <c r="P246" s="133"/>
    </row>
    <row r="247" spans="1:16" hidden="1">
      <c r="A247" s="29" t="s">
        <v>209</v>
      </c>
      <c r="B247" s="29">
        <v>37505094</v>
      </c>
      <c r="F247" s="29" t="s">
        <v>129</v>
      </c>
      <c r="G247" s="29" t="s">
        <v>210</v>
      </c>
      <c r="H247" s="130">
        <v>45694</v>
      </c>
      <c r="I247" s="29"/>
      <c r="J247" s="29"/>
      <c r="K247" s="29"/>
      <c r="L247" s="29"/>
      <c r="M247" s="29"/>
      <c r="N247" s="81"/>
      <c r="O247" s="29" t="s">
        <v>331</v>
      </c>
      <c r="P247" s="133"/>
    </row>
    <row r="248" spans="1:16" hidden="1">
      <c r="A248" s="29" t="s">
        <v>209</v>
      </c>
      <c r="B248" s="29">
        <v>37505037</v>
      </c>
      <c r="F248" s="29" t="s">
        <v>129</v>
      </c>
      <c r="G248" s="29" t="s">
        <v>210</v>
      </c>
      <c r="H248" s="130">
        <v>45694</v>
      </c>
      <c r="I248" s="29"/>
      <c r="J248" s="29"/>
      <c r="K248" s="29"/>
      <c r="L248" s="29"/>
      <c r="M248" s="29"/>
      <c r="N248" s="81"/>
      <c r="O248" s="29" t="s">
        <v>332</v>
      </c>
      <c r="P248" s="133"/>
    </row>
    <row r="249" spans="1:16" hidden="1">
      <c r="A249" s="29" t="s">
        <v>209</v>
      </c>
      <c r="B249" s="29">
        <v>37502907</v>
      </c>
      <c r="F249" s="29" t="s">
        <v>129</v>
      </c>
      <c r="G249" s="29" t="s">
        <v>210</v>
      </c>
      <c r="H249" s="130">
        <v>45694</v>
      </c>
      <c r="I249" s="29"/>
      <c r="J249" s="29"/>
      <c r="K249" s="29"/>
      <c r="L249" s="29"/>
      <c r="M249" s="29"/>
      <c r="N249" s="81"/>
      <c r="O249" s="29" t="s">
        <v>333</v>
      </c>
      <c r="P249" s="133"/>
    </row>
    <row r="250" spans="1:16" hidden="1">
      <c r="A250" s="29" t="s">
        <v>209</v>
      </c>
      <c r="B250" s="29">
        <v>37502781</v>
      </c>
      <c r="F250" s="29" t="s">
        <v>129</v>
      </c>
      <c r="G250" s="29" t="s">
        <v>210</v>
      </c>
      <c r="H250" s="130">
        <v>45694</v>
      </c>
      <c r="I250" s="29"/>
      <c r="J250" s="29"/>
      <c r="K250" s="29"/>
      <c r="L250" s="29"/>
      <c r="M250" s="29"/>
      <c r="N250" s="81"/>
      <c r="O250" s="29" t="s">
        <v>334</v>
      </c>
      <c r="P250" s="133"/>
    </row>
    <row r="251" spans="1:16" hidden="1">
      <c r="A251" s="29" t="s">
        <v>209</v>
      </c>
      <c r="B251" s="29">
        <v>37504943</v>
      </c>
      <c r="F251" s="29" t="s">
        <v>129</v>
      </c>
      <c r="G251" s="29" t="s">
        <v>210</v>
      </c>
      <c r="H251" s="130">
        <v>45693</v>
      </c>
      <c r="I251" s="29"/>
      <c r="J251" s="29"/>
      <c r="K251" s="29"/>
      <c r="L251" s="29"/>
      <c r="M251" s="29"/>
      <c r="N251" s="81"/>
      <c r="O251" s="29" t="s">
        <v>335</v>
      </c>
      <c r="P251" s="133"/>
    </row>
    <row r="252" spans="1:16" hidden="1">
      <c r="A252" s="29" t="s">
        <v>209</v>
      </c>
      <c r="B252" s="29">
        <v>35509618</v>
      </c>
      <c r="F252" s="29" t="s">
        <v>129</v>
      </c>
      <c r="G252" s="29" t="s">
        <v>210</v>
      </c>
      <c r="H252" s="130">
        <v>45691</v>
      </c>
      <c r="O252" s="29" t="s">
        <v>319</v>
      </c>
    </row>
    <row r="253" spans="1:16" hidden="1">
      <c r="A253" s="29" t="s">
        <v>209</v>
      </c>
      <c r="B253" s="29">
        <v>35509633</v>
      </c>
      <c r="F253" s="29" t="s">
        <v>129</v>
      </c>
      <c r="G253" s="29" t="s">
        <v>210</v>
      </c>
      <c r="H253" s="130">
        <v>45691</v>
      </c>
      <c r="O253" s="29" t="s">
        <v>320</v>
      </c>
    </row>
    <row r="254" spans="1:16" hidden="1">
      <c r="A254" s="29" t="s">
        <v>209</v>
      </c>
      <c r="B254" s="29">
        <v>35509658</v>
      </c>
      <c r="F254" s="29" t="s">
        <v>129</v>
      </c>
      <c r="G254" s="29" t="s">
        <v>210</v>
      </c>
      <c r="H254" s="130">
        <v>45691</v>
      </c>
      <c r="O254" s="29" t="s">
        <v>321</v>
      </c>
    </row>
    <row r="255" spans="1:16" hidden="1">
      <c r="A255" s="29" t="s">
        <v>209</v>
      </c>
      <c r="B255" s="29">
        <v>37506123</v>
      </c>
      <c r="F255" s="29" t="s">
        <v>129</v>
      </c>
      <c r="G255" s="29" t="s">
        <v>210</v>
      </c>
      <c r="H255" s="130">
        <v>45694</v>
      </c>
      <c r="O255" s="29" t="s">
        <v>211</v>
      </c>
    </row>
    <row r="256" spans="1:16" hidden="1">
      <c r="A256" s="29" t="s">
        <v>209</v>
      </c>
      <c r="B256" s="29">
        <v>37506111</v>
      </c>
      <c r="F256" s="29" t="s">
        <v>129</v>
      </c>
      <c r="G256" s="29" t="s">
        <v>210</v>
      </c>
      <c r="H256" s="130">
        <v>45694</v>
      </c>
      <c r="O256" s="29" t="s">
        <v>327</v>
      </c>
    </row>
    <row r="257" spans="1:15" hidden="1">
      <c r="A257" s="29" t="s">
        <v>209</v>
      </c>
      <c r="B257" s="29">
        <v>37506073</v>
      </c>
      <c r="F257" s="29" t="s">
        <v>129</v>
      </c>
      <c r="G257" s="29" t="s">
        <v>210</v>
      </c>
      <c r="H257" s="130">
        <v>45694</v>
      </c>
      <c r="O257" s="29" t="s">
        <v>327</v>
      </c>
    </row>
    <row r="258" spans="1:15" hidden="1">
      <c r="A258" s="29" t="s">
        <v>209</v>
      </c>
      <c r="B258" s="29">
        <v>37506056</v>
      </c>
      <c r="F258" s="29" t="s">
        <v>129</v>
      </c>
      <c r="G258" s="29" t="s">
        <v>210</v>
      </c>
      <c r="H258" s="130">
        <v>45694</v>
      </c>
      <c r="O258" s="29" t="s">
        <v>324</v>
      </c>
    </row>
    <row r="259" spans="1:15" hidden="1">
      <c r="A259" s="29" t="s">
        <v>209</v>
      </c>
      <c r="B259" s="29">
        <v>37506038</v>
      </c>
      <c r="F259" s="29" t="s">
        <v>129</v>
      </c>
      <c r="G259" s="29" t="s">
        <v>210</v>
      </c>
      <c r="H259" s="130">
        <v>45694</v>
      </c>
      <c r="O259" s="29" t="s">
        <v>322</v>
      </c>
    </row>
    <row r="260" spans="1:15" hidden="1">
      <c r="A260" s="29" t="s">
        <v>209</v>
      </c>
      <c r="B260" s="29">
        <v>37505985</v>
      </c>
      <c r="F260" s="29" t="s">
        <v>129</v>
      </c>
      <c r="G260" s="29" t="s">
        <v>210</v>
      </c>
      <c r="H260" s="130">
        <v>45694</v>
      </c>
      <c r="O260" s="29" t="s">
        <v>323</v>
      </c>
    </row>
    <row r="261" spans="1:15" hidden="1">
      <c r="A261" s="29" t="s">
        <v>209</v>
      </c>
      <c r="B261" s="29">
        <v>37505961</v>
      </c>
      <c r="F261" s="29" t="s">
        <v>129</v>
      </c>
      <c r="G261" s="29" t="s">
        <v>210</v>
      </c>
      <c r="H261" s="130">
        <v>45694</v>
      </c>
      <c r="O261" s="29" t="s">
        <v>324</v>
      </c>
    </row>
    <row r="262" spans="1:15" hidden="1">
      <c r="A262" s="29" t="s">
        <v>209</v>
      </c>
      <c r="B262" s="29">
        <v>37505929</v>
      </c>
      <c r="F262" s="29" t="s">
        <v>129</v>
      </c>
      <c r="G262" s="29" t="s">
        <v>210</v>
      </c>
      <c r="H262" s="130">
        <v>45694</v>
      </c>
      <c r="O262" s="29" t="s">
        <v>309</v>
      </c>
    </row>
    <row r="263" spans="1:15" hidden="1">
      <c r="A263" s="29" t="s">
        <v>209</v>
      </c>
      <c r="B263" s="29">
        <v>37505902</v>
      </c>
      <c r="F263" s="29" t="s">
        <v>129</v>
      </c>
      <c r="G263" s="29" t="s">
        <v>210</v>
      </c>
      <c r="H263" s="130">
        <v>45694</v>
      </c>
      <c r="O263" s="29" t="s">
        <v>309</v>
      </c>
    </row>
    <row r="264" spans="1:15" hidden="1">
      <c r="A264" s="29" t="s">
        <v>303</v>
      </c>
      <c r="B264" s="29">
        <v>37505890</v>
      </c>
      <c r="F264" s="29" t="s">
        <v>129</v>
      </c>
      <c r="G264" s="29" t="s">
        <v>304</v>
      </c>
      <c r="H264" s="130">
        <v>45694</v>
      </c>
      <c r="O264" s="29" t="s">
        <v>305</v>
      </c>
    </row>
    <row r="265" spans="1:15" hidden="1">
      <c r="A265" s="29" t="s">
        <v>303</v>
      </c>
      <c r="B265" s="29">
        <v>37505866</v>
      </c>
      <c r="F265" s="29" t="s">
        <v>129</v>
      </c>
      <c r="G265" s="29" t="s">
        <v>304</v>
      </c>
      <c r="H265" s="130">
        <v>45694</v>
      </c>
      <c r="O265" s="29" t="s">
        <v>306</v>
      </c>
    </row>
    <row r="266" spans="1:15" hidden="1">
      <c r="A266" s="29" t="s">
        <v>209</v>
      </c>
      <c r="B266" s="29">
        <v>37505858</v>
      </c>
      <c r="F266" s="29" t="s">
        <v>129</v>
      </c>
      <c r="G266" s="29" t="s">
        <v>210</v>
      </c>
      <c r="H266" s="130">
        <v>45694</v>
      </c>
      <c r="O266" s="29" t="s">
        <v>309</v>
      </c>
    </row>
    <row r="267" spans="1:15" hidden="1">
      <c r="A267" s="29" t="s">
        <v>303</v>
      </c>
      <c r="B267" s="29">
        <v>37505767</v>
      </c>
      <c r="F267" s="29" t="s">
        <v>129</v>
      </c>
      <c r="G267" s="29" t="s">
        <v>304</v>
      </c>
      <c r="H267" s="130">
        <v>45694</v>
      </c>
      <c r="O267" s="29" t="s">
        <v>307</v>
      </c>
    </row>
    <row r="268" spans="1:15" hidden="1">
      <c r="A268" s="29" t="s">
        <v>303</v>
      </c>
      <c r="B268" s="29">
        <v>37505730</v>
      </c>
      <c r="F268" s="29" t="s">
        <v>129</v>
      </c>
      <c r="G268" s="29" t="s">
        <v>304</v>
      </c>
      <c r="H268" s="130">
        <v>45694</v>
      </c>
      <c r="O268" s="29" t="s">
        <v>307</v>
      </c>
    </row>
    <row r="269" spans="1:15" hidden="1">
      <c r="A269" s="29" t="s">
        <v>303</v>
      </c>
      <c r="B269" s="29">
        <v>37505708</v>
      </c>
      <c r="F269" s="29" t="s">
        <v>129</v>
      </c>
      <c r="G269" s="29" t="s">
        <v>304</v>
      </c>
      <c r="H269" s="130">
        <v>45694</v>
      </c>
      <c r="O269" s="29" t="s">
        <v>307</v>
      </c>
    </row>
    <row r="270" spans="1:15" hidden="1">
      <c r="A270" s="29" t="s">
        <v>303</v>
      </c>
      <c r="B270" s="29">
        <v>37505692</v>
      </c>
      <c r="F270" s="29" t="s">
        <v>129</v>
      </c>
      <c r="G270" s="29" t="s">
        <v>304</v>
      </c>
      <c r="H270" s="130">
        <v>45694</v>
      </c>
      <c r="O270" s="29" t="s">
        <v>308</v>
      </c>
    </row>
    <row r="271" spans="1:15" hidden="1">
      <c r="A271" s="29" t="s">
        <v>209</v>
      </c>
      <c r="B271" s="29">
        <v>37505682</v>
      </c>
      <c r="F271" s="29" t="s">
        <v>129</v>
      </c>
      <c r="G271" s="29" t="s">
        <v>210</v>
      </c>
      <c r="H271" s="130">
        <v>45694</v>
      </c>
      <c r="O271" s="29" t="s">
        <v>309</v>
      </c>
    </row>
    <row r="272" spans="1:15" hidden="1">
      <c r="A272" s="29" t="s">
        <v>303</v>
      </c>
      <c r="B272" s="29">
        <v>37505653</v>
      </c>
      <c r="F272" s="29" t="s">
        <v>129</v>
      </c>
      <c r="G272" s="29" t="s">
        <v>304</v>
      </c>
      <c r="H272" s="130">
        <v>45694</v>
      </c>
      <c r="O272" s="29" t="s">
        <v>310</v>
      </c>
    </row>
    <row r="273" spans="1:15" hidden="1">
      <c r="A273" s="29" t="s">
        <v>209</v>
      </c>
      <c r="B273" s="29">
        <v>37505642</v>
      </c>
      <c r="F273" s="29" t="s">
        <v>129</v>
      </c>
      <c r="G273" s="29" t="s">
        <v>210</v>
      </c>
      <c r="H273" s="130">
        <v>45694</v>
      </c>
      <c r="O273" s="29" t="s">
        <v>325</v>
      </c>
    </row>
    <row r="274" spans="1:15" hidden="1">
      <c r="A274" s="29" t="s">
        <v>303</v>
      </c>
      <c r="B274" s="29">
        <v>37505640</v>
      </c>
      <c r="F274" s="29" t="s">
        <v>129</v>
      </c>
      <c r="G274" s="29" t="s">
        <v>304</v>
      </c>
      <c r="H274" s="130">
        <v>45694</v>
      </c>
      <c r="O274" s="29" t="s">
        <v>326</v>
      </c>
    </row>
    <row r="275" spans="1:15" hidden="1">
      <c r="A275" s="29" t="s">
        <v>209</v>
      </c>
      <c r="B275" s="29">
        <v>37505599</v>
      </c>
      <c r="F275" s="29" t="s">
        <v>129</v>
      </c>
      <c r="G275" s="29" t="s">
        <v>210</v>
      </c>
      <c r="H275" s="130">
        <v>45694</v>
      </c>
      <c r="O275" s="29" t="s">
        <v>311</v>
      </c>
    </row>
    <row r="276" spans="1:15" hidden="1">
      <c r="A276" s="29" t="s">
        <v>209</v>
      </c>
      <c r="B276" s="29">
        <v>37505280</v>
      </c>
      <c r="F276" s="29" t="s">
        <v>129</v>
      </c>
      <c r="G276" s="29" t="s">
        <v>210</v>
      </c>
      <c r="H276" s="130">
        <v>45694</v>
      </c>
      <c r="O276" s="29" t="s">
        <v>311</v>
      </c>
    </row>
    <row r="277" spans="1:15" hidden="1">
      <c r="A277" s="29" t="s">
        <v>209</v>
      </c>
      <c r="B277" s="29">
        <v>37505252</v>
      </c>
      <c r="F277" s="29" t="s">
        <v>129</v>
      </c>
      <c r="G277" s="29" t="s">
        <v>210</v>
      </c>
      <c r="H277" s="130">
        <v>45694</v>
      </c>
      <c r="O277" s="29" t="s">
        <v>311</v>
      </c>
    </row>
    <row r="278" spans="1:15" hidden="1">
      <c r="A278" s="29" t="s">
        <v>209</v>
      </c>
      <c r="B278" s="29">
        <v>37505229</v>
      </c>
      <c r="F278" s="29" t="s">
        <v>129</v>
      </c>
      <c r="G278" s="29" t="s">
        <v>210</v>
      </c>
      <c r="H278" s="130">
        <v>45694</v>
      </c>
      <c r="O278" s="29" t="s">
        <v>328</v>
      </c>
    </row>
    <row r="279" spans="1:15" hidden="1">
      <c r="A279" s="29" t="s">
        <v>209</v>
      </c>
      <c r="B279" s="29">
        <v>37505213</v>
      </c>
      <c r="F279" s="29" t="s">
        <v>129</v>
      </c>
      <c r="G279" s="29" t="s">
        <v>210</v>
      </c>
      <c r="H279" s="130">
        <v>45694</v>
      </c>
      <c r="O279" s="29" t="s">
        <v>329</v>
      </c>
    </row>
    <row r="280" spans="1:15" hidden="1">
      <c r="A280" s="29" t="s">
        <v>209</v>
      </c>
      <c r="B280" s="29">
        <v>37505183</v>
      </c>
      <c r="F280" s="29" t="s">
        <v>129</v>
      </c>
      <c r="G280" s="29" t="s">
        <v>210</v>
      </c>
      <c r="H280" s="130">
        <v>45694</v>
      </c>
      <c r="O280" s="29" t="s">
        <v>330</v>
      </c>
    </row>
    <row r="281" spans="1:15" hidden="1">
      <c r="A281" s="29" t="s">
        <v>209</v>
      </c>
      <c r="B281" s="29">
        <v>37505094</v>
      </c>
      <c r="F281" s="29" t="s">
        <v>129</v>
      </c>
      <c r="G281" s="29" t="s">
        <v>210</v>
      </c>
      <c r="H281" s="130">
        <v>45694</v>
      </c>
      <c r="O281" s="29" t="s">
        <v>331</v>
      </c>
    </row>
    <row r="282" spans="1:15" hidden="1">
      <c r="A282" s="29" t="s">
        <v>209</v>
      </c>
      <c r="B282" s="29">
        <v>37505037</v>
      </c>
      <c r="F282" s="29" t="s">
        <v>129</v>
      </c>
      <c r="G282" s="29" t="s">
        <v>210</v>
      </c>
      <c r="H282" s="130">
        <v>45694</v>
      </c>
      <c r="O282" s="29" t="s">
        <v>332</v>
      </c>
    </row>
    <row r="283" spans="1:15" hidden="1">
      <c r="A283" s="29" t="s">
        <v>209</v>
      </c>
      <c r="B283" s="29">
        <v>37502907</v>
      </c>
      <c r="F283" s="29" t="s">
        <v>129</v>
      </c>
      <c r="G283" s="29" t="s">
        <v>210</v>
      </c>
      <c r="H283" s="130">
        <v>45694</v>
      </c>
      <c r="O283" s="29" t="s">
        <v>333</v>
      </c>
    </row>
    <row r="284" spans="1:15" hidden="1">
      <c r="A284" s="29" t="s">
        <v>209</v>
      </c>
      <c r="B284" s="29">
        <v>37502781</v>
      </c>
      <c r="F284" s="29" t="s">
        <v>129</v>
      </c>
      <c r="G284" s="29" t="s">
        <v>210</v>
      </c>
      <c r="H284" s="130">
        <v>45694</v>
      </c>
      <c r="O284" s="29" t="s">
        <v>334</v>
      </c>
    </row>
    <row r="285" spans="1:15" hidden="1">
      <c r="A285" s="29" t="s">
        <v>209</v>
      </c>
      <c r="B285" s="29">
        <v>36501750</v>
      </c>
      <c r="F285" s="29" t="s">
        <v>129</v>
      </c>
      <c r="G285" s="29" t="s">
        <v>210</v>
      </c>
      <c r="H285" s="130">
        <v>45692</v>
      </c>
      <c r="O285" s="29" t="s">
        <v>316</v>
      </c>
    </row>
    <row r="286" spans="1:15" hidden="1">
      <c r="A286" s="29" t="s">
        <v>209</v>
      </c>
      <c r="B286" s="29">
        <v>36501703</v>
      </c>
      <c r="F286" s="29" t="s">
        <v>129</v>
      </c>
      <c r="G286" s="29" t="s">
        <v>210</v>
      </c>
      <c r="H286" s="130">
        <v>45692</v>
      </c>
      <c r="O286" s="29" t="s">
        <v>317</v>
      </c>
    </row>
    <row r="287" spans="1:15" hidden="1">
      <c r="A287" s="29" t="s">
        <v>209</v>
      </c>
      <c r="B287" s="29">
        <v>36501220</v>
      </c>
      <c r="F287" s="29" t="s">
        <v>129</v>
      </c>
      <c r="G287" s="29" t="s">
        <v>210</v>
      </c>
      <c r="H287" s="130">
        <v>45692</v>
      </c>
      <c r="O287" s="29" t="s">
        <v>318</v>
      </c>
    </row>
    <row r="288" spans="1:15" hidden="1">
      <c r="A288" s="29" t="s">
        <v>336</v>
      </c>
      <c r="B288" s="29">
        <v>36508939</v>
      </c>
      <c r="F288" s="29" t="s">
        <v>129</v>
      </c>
      <c r="G288" s="157" t="s">
        <v>337</v>
      </c>
      <c r="H288" s="130">
        <v>45692</v>
      </c>
      <c r="O288" s="29" t="s">
        <v>338</v>
      </c>
    </row>
    <row r="289" spans="1:15" hidden="1">
      <c r="A289" s="29" t="s">
        <v>336</v>
      </c>
      <c r="B289" s="29">
        <v>36508971</v>
      </c>
      <c r="F289" s="29" t="s">
        <v>129</v>
      </c>
      <c r="G289" s="157" t="s">
        <v>337</v>
      </c>
      <c r="H289" s="130">
        <v>45692</v>
      </c>
      <c r="O289" s="29" t="s">
        <v>339</v>
      </c>
    </row>
    <row r="290" spans="1:15" hidden="1">
      <c r="A290" s="29" t="s">
        <v>336</v>
      </c>
      <c r="B290" s="29">
        <v>36509009</v>
      </c>
      <c r="F290" s="29" t="s">
        <v>129</v>
      </c>
      <c r="G290" s="157" t="s">
        <v>337</v>
      </c>
      <c r="H290" s="130">
        <v>45692</v>
      </c>
      <c r="O290" s="29" t="s">
        <v>340</v>
      </c>
    </row>
    <row r="291" spans="1:15" hidden="1">
      <c r="A291" s="29" t="s">
        <v>336</v>
      </c>
      <c r="B291" s="29">
        <v>36509029</v>
      </c>
      <c r="F291" s="29" t="s">
        <v>129</v>
      </c>
      <c r="G291" s="157" t="s">
        <v>337</v>
      </c>
      <c r="H291" s="130">
        <v>45692</v>
      </c>
      <c r="O291" s="29" t="s">
        <v>341</v>
      </c>
    </row>
    <row r="292" spans="1:15" hidden="1">
      <c r="A292" s="29" t="s">
        <v>336</v>
      </c>
      <c r="B292" s="29">
        <v>37508603</v>
      </c>
      <c r="F292" s="29" t="s">
        <v>129</v>
      </c>
      <c r="G292" s="157" t="s">
        <v>337</v>
      </c>
      <c r="H292" s="130">
        <v>45692</v>
      </c>
      <c r="O292" s="29" t="s">
        <v>341</v>
      </c>
    </row>
    <row r="293" spans="1:15" hidden="1">
      <c r="A293" s="29" t="s">
        <v>336</v>
      </c>
      <c r="B293" s="29">
        <v>37508593</v>
      </c>
      <c r="F293" s="29" t="s">
        <v>129</v>
      </c>
      <c r="G293" s="157" t="s">
        <v>337</v>
      </c>
      <c r="H293" s="130">
        <v>45692</v>
      </c>
      <c r="O293" s="29" t="s">
        <v>340</v>
      </c>
    </row>
    <row r="294" spans="1:15" hidden="1">
      <c r="A294" s="29" t="s">
        <v>336</v>
      </c>
      <c r="B294" s="29">
        <v>36508894</v>
      </c>
      <c r="F294" s="29" t="s">
        <v>129</v>
      </c>
      <c r="G294" s="157" t="s">
        <v>337</v>
      </c>
      <c r="H294" s="130">
        <v>45692</v>
      </c>
      <c r="O294" s="29" t="s">
        <v>342</v>
      </c>
    </row>
    <row r="295" spans="1:15" hidden="1">
      <c r="A295" s="29" t="s">
        <v>336</v>
      </c>
      <c r="B295" s="29">
        <v>36508864</v>
      </c>
      <c r="F295" s="29" t="s">
        <v>129</v>
      </c>
      <c r="G295" s="157" t="s">
        <v>337</v>
      </c>
      <c r="H295" s="130">
        <v>45692</v>
      </c>
      <c r="O295" s="29" t="s">
        <v>343</v>
      </c>
    </row>
    <row r="296" spans="1:15" hidden="1">
      <c r="A296" s="29" t="s">
        <v>344</v>
      </c>
      <c r="B296" s="29">
        <v>36505090</v>
      </c>
      <c r="F296" s="29" t="s">
        <v>129</v>
      </c>
      <c r="G296" s="29" t="s">
        <v>213</v>
      </c>
      <c r="H296" s="130">
        <v>45692</v>
      </c>
      <c r="O296" s="29" t="s">
        <v>345</v>
      </c>
    </row>
    <row r="297" spans="1:15" hidden="1">
      <c r="A297" s="29" t="s">
        <v>344</v>
      </c>
      <c r="B297" s="29">
        <v>36505041</v>
      </c>
      <c r="F297" s="29" t="s">
        <v>129</v>
      </c>
      <c r="G297" s="29" t="s">
        <v>213</v>
      </c>
      <c r="H297" s="130">
        <v>45692</v>
      </c>
      <c r="O297" s="29" t="s">
        <v>346</v>
      </c>
    </row>
    <row r="298" spans="1:15" hidden="1">
      <c r="A298" s="29" t="s">
        <v>344</v>
      </c>
      <c r="B298" s="29">
        <v>36505003</v>
      </c>
      <c r="F298" s="29" t="s">
        <v>129</v>
      </c>
      <c r="G298" s="29" t="s">
        <v>213</v>
      </c>
      <c r="H298" s="130">
        <v>45692</v>
      </c>
      <c r="O298" s="29" t="s">
        <v>347</v>
      </c>
    </row>
    <row r="299" spans="1:15" hidden="1">
      <c r="A299" s="29" t="s">
        <v>344</v>
      </c>
      <c r="B299" s="29">
        <v>36504973</v>
      </c>
      <c r="F299" s="29" t="s">
        <v>129</v>
      </c>
      <c r="G299" s="29" t="s">
        <v>213</v>
      </c>
      <c r="H299" s="130">
        <v>45692</v>
      </c>
      <c r="O299" s="29" t="s">
        <v>348</v>
      </c>
    </row>
    <row r="300" spans="1:15" hidden="1">
      <c r="A300" s="29" t="s">
        <v>344</v>
      </c>
      <c r="B300" s="29">
        <v>36504920</v>
      </c>
      <c r="F300" s="29" t="s">
        <v>129</v>
      </c>
      <c r="G300" s="29" t="s">
        <v>213</v>
      </c>
      <c r="H300" s="130">
        <v>45692</v>
      </c>
      <c r="O300" s="29" t="s">
        <v>349</v>
      </c>
    </row>
    <row r="301" spans="1:15" hidden="1">
      <c r="A301" s="29" t="s">
        <v>344</v>
      </c>
      <c r="B301" s="29">
        <v>36504794</v>
      </c>
      <c r="F301" s="29" t="s">
        <v>129</v>
      </c>
      <c r="G301" s="29" t="s">
        <v>213</v>
      </c>
      <c r="H301" s="130">
        <v>45692</v>
      </c>
      <c r="O301" s="29" t="s">
        <v>350</v>
      </c>
    </row>
    <row r="302" spans="1:15" hidden="1">
      <c r="A302" s="29" t="s">
        <v>336</v>
      </c>
      <c r="B302" s="29">
        <v>36500830</v>
      </c>
      <c r="F302" s="29" t="s">
        <v>129</v>
      </c>
      <c r="G302" s="157" t="s">
        <v>337</v>
      </c>
      <c r="H302" s="130">
        <v>45692</v>
      </c>
      <c r="O302" s="29" t="s">
        <v>351</v>
      </c>
    </row>
    <row r="303" spans="1:15" hidden="1">
      <c r="A303" s="29" t="s">
        <v>144</v>
      </c>
      <c r="B303" s="29">
        <v>36500028</v>
      </c>
      <c r="F303" s="29" t="s">
        <v>129</v>
      </c>
      <c r="G303" s="29" t="s">
        <v>145</v>
      </c>
      <c r="H303" s="130">
        <v>45692</v>
      </c>
      <c r="O303" s="29" t="s">
        <v>148</v>
      </c>
    </row>
    <row r="304" spans="1:15" hidden="1">
      <c r="A304" s="29" t="s">
        <v>144</v>
      </c>
      <c r="B304" s="29">
        <v>36500027</v>
      </c>
      <c r="F304" s="29" t="s">
        <v>129</v>
      </c>
      <c r="G304" s="29" t="s">
        <v>145</v>
      </c>
      <c r="H304" s="130">
        <v>45692</v>
      </c>
      <c r="O304" s="29" t="s">
        <v>149</v>
      </c>
    </row>
    <row r="305" spans="1:15" hidden="1">
      <c r="A305" s="29" t="s">
        <v>144</v>
      </c>
      <c r="B305" s="29">
        <v>36500026</v>
      </c>
      <c r="F305" s="29" t="s">
        <v>129</v>
      </c>
      <c r="G305" s="29" t="s">
        <v>145</v>
      </c>
      <c r="H305" s="130">
        <v>45692</v>
      </c>
      <c r="O305" s="29" t="s">
        <v>150</v>
      </c>
    </row>
    <row r="306" spans="1:15" hidden="1">
      <c r="A306" s="29" t="s">
        <v>144</v>
      </c>
      <c r="B306" s="29">
        <v>36500024</v>
      </c>
      <c r="F306" s="29" t="s">
        <v>129</v>
      </c>
      <c r="G306" s="29" t="s">
        <v>145</v>
      </c>
      <c r="H306" s="130">
        <v>45692</v>
      </c>
      <c r="O306" s="29" t="s">
        <v>151</v>
      </c>
    </row>
    <row r="307" spans="1:15" hidden="1">
      <c r="A307" s="29" t="s">
        <v>144</v>
      </c>
      <c r="B307" s="29">
        <v>36500023</v>
      </c>
      <c r="F307" s="29" t="s">
        <v>129</v>
      </c>
      <c r="G307" s="29" t="s">
        <v>145</v>
      </c>
      <c r="H307" s="130">
        <v>45692</v>
      </c>
      <c r="O307" s="29" t="s">
        <v>152</v>
      </c>
    </row>
    <row r="308" spans="1:15" hidden="1">
      <c r="A308" s="29" t="s">
        <v>144</v>
      </c>
      <c r="B308" s="29">
        <v>36500022</v>
      </c>
      <c r="F308" s="29" t="s">
        <v>129</v>
      </c>
      <c r="G308" s="29" t="s">
        <v>145</v>
      </c>
      <c r="H308" s="130">
        <v>45692</v>
      </c>
      <c r="O308" s="29" t="s">
        <v>153</v>
      </c>
    </row>
    <row r="309" spans="1:15" hidden="1">
      <c r="A309" s="29" t="s">
        <v>144</v>
      </c>
      <c r="B309" s="29">
        <v>36500021</v>
      </c>
      <c r="F309" s="29" t="s">
        <v>129</v>
      </c>
      <c r="G309" s="29" t="s">
        <v>145</v>
      </c>
      <c r="H309" s="130">
        <v>45692</v>
      </c>
      <c r="O309" s="29" t="s">
        <v>147</v>
      </c>
    </row>
    <row r="310" spans="1:15" hidden="1">
      <c r="A310" s="29" t="s">
        <v>144</v>
      </c>
      <c r="B310" s="29">
        <v>36500020</v>
      </c>
      <c r="F310" s="29" t="s">
        <v>129</v>
      </c>
      <c r="G310" s="29" t="s">
        <v>145</v>
      </c>
      <c r="H310" s="130">
        <v>45692</v>
      </c>
      <c r="O310" s="29" t="s">
        <v>146</v>
      </c>
    </row>
    <row r="311" spans="1:15" ht="201.75" hidden="1">
      <c r="A311" s="157" t="s">
        <v>336</v>
      </c>
      <c r="B311" s="160">
        <v>36508864</v>
      </c>
      <c r="F311" s="29" t="s">
        <v>129</v>
      </c>
      <c r="G311" s="157" t="s">
        <v>337</v>
      </c>
      <c r="H311" s="158">
        <v>45693</v>
      </c>
      <c r="O311" s="159" t="s">
        <v>352</v>
      </c>
    </row>
    <row r="312" spans="1:15" ht="216.75" hidden="1">
      <c r="A312" s="157" t="s">
        <v>336</v>
      </c>
      <c r="B312" s="160">
        <v>36508894</v>
      </c>
      <c r="F312" s="29" t="s">
        <v>129</v>
      </c>
      <c r="G312" s="157" t="s">
        <v>337</v>
      </c>
      <c r="H312" s="158">
        <v>45693</v>
      </c>
      <c r="O312" s="159" t="s">
        <v>353</v>
      </c>
    </row>
    <row r="313" spans="1:15" ht="201.75" hidden="1">
      <c r="A313" s="157" t="s">
        <v>336</v>
      </c>
      <c r="B313" s="160">
        <v>36508918</v>
      </c>
      <c r="F313" s="29" t="s">
        <v>129</v>
      </c>
      <c r="G313" s="157" t="s">
        <v>337</v>
      </c>
      <c r="H313" s="158">
        <v>45693</v>
      </c>
      <c r="O313" s="159" t="s">
        <v>354</v>
      </c>
    </row>
    <row r="314" spans="1:15" ht="201.75" hidden="1">
      <c r="A314" s="157" t="s">
        <v>336</v>
      </c>
      <c r="B314" s="160">
        <v>36508939</v>
      </c>
      <c r="F314" s="29" t="s">
        <v>129</v>
      </c>
      <c r="G314" s="157" t="s">
        <v>337</v>
      </c>
      <c r="H314" s="158">
        <v>45693</v>
      </c>
      <c r="O314" s="159" t="s">
        <v>355</v>
      </c>
    </row>
    <row r="315" spans="1:15" ht="201.75" hidden="1">
      <c r="A315" s="157" t="s">
        <v>336</v>
      </c>
      <c r="B315" s="160">
        <v>36508971</v>
      </c>
      <c r="F315" s="29" t="s">
        <v>129</v>
      </c>
      <c r="G315" s="157" t="s">
        <v>337</v>
      </c>
      <c r="H315" s="158">
        <v>45693</v>
      </c>
      <c r="O315" s="159" t="s">
        <v>356</v>
      </c>
    </row>
    <row r="316" spans="1:15" ht="216.75" hidden="1">
      <c r="A316" s="157" t="s">
        <v>336</v>
      </c>
      <c r="B316" s="160">
        <v>36509009</v>
      </c>
      <c r="F316" s="29" t="s">
        <v>129</v>
      </c>
      <c r="G316" s="157" t="s">
        <v>337</v>
      </c>
      <c r="H316" s="158">
        <v>45693</v>
      </c>
      <c r="O316" s="159" t="s">
        <v>357</v>
      </c>
    </row>
    <row r="317" spans="1:15" ht="201.75" hidden="1">
      <c r="A317" s="157" t="s">
        <v>336</v>
      </c>
      <c r="B317" s="160">
        <v>36509029</v>
      </c>
      <c r="F317" s="29" t="s">
        <v>129</v>
      </c>
      <c r="G317" s="157" t="s">
        <v>337</v>
      </c>
      <c r="H317" s="158">
        <v>45693</v>
      </c>
      <c r="O317" s="159" t="s">
        <v>358</v>
      </c>
    </row>
    <row r="318" spans="1:15" hidden="1">
      <c r="A318" s="157" t="s">
        <v>344</v>
      </c>
      <c r="B318" s="160">
        <v>36504794</v>
      </c>
      <c r="F318" s="29" t="s">
        <v>129</v>
      </c>
      <c r="G318" s="29" t="s">
        <v>213</v>
      </c>
      <c r="H318" s="158">
        <v>45693</v>
      </c>
      <c r="O318" s="159" t="s">
        <v>359</v>
      </c>
    </row>
    <row r="319" spans="1:15" hidden="1">
      <c r="A319" s="157" t="s">
        <v>344</v>
      </c>
      <c r="B319" s="160">
        <v>36504920</v>
      </c>
      <c r="F319" s="29" t="s">
        <v>129</v>
      </c>
      <c r="G319" s="29" t="s">
        <v>213</v>
      </c>
      <c r="H319" s="158">
        <v>45693</v>
      </c>
      <c r="O319" s="159" t="s">
        <v>360</v>
      </c>
    </row>
    <row r="320" spans="1:15" hidden="1">
      <c r="A320" s="157" t="s">
        <v>344</v>
      </c>
      <c r="B320" s="160">
        <v>36504973</v>
      </c>
      <c r="F320" s="29" t="s">
        <v>129</v>
      </c>
      <c r="G320" s="29" t="s">
        <v>213</v>
      </c>
      <c r="H320" s="158">
        <v>45693</v>
      </c>
      <c r="O320" s="159" t="s">
        <v>361</v>
      </c>
    </row>
    <row r="321" spans="1:15" hidden="1">
      <c r="A321" s="157" t="s">
        <v>344</v>
      </c>
      <c r="B321" s="160">
        <v>36505003</v>
      </c>
      <c r="F321" s="29" t="s">
        <v>129</v>
      </c>
      <c r="G321" s="29" t="s">
        <v>213</v>
      </c>
      <c r="H321" s="158">
        <v>45693</v>
      </c>
      <c r="O321" s="159" t="s">
        <v>362</v>
      </c>
    </row>
    <row r="322" spans="1:15" hidden="1">
      <c r="A322" s="157" t="s">
        <v>344</v>
      </c>
      <c r="B322" s="160">
        <v>36505041</v>
      </c>
      <c r="F322" s="29" t="s">
        <v>129</v>
      </c>
      <c r="G322" s="29" t="s">
        <v>213</v>
      </c>
      <c r="H322" s="158">
        <v>45693</v>
      </c>
      <c r="O322" s="159" t="s">
        <v>363</v>
      </c>
    </row>
    <row r="323" spans="1:15" hidden="1">
      <c r="A323" s="157" t="s">
        <v>344</v>
      </c>
      <c r="B323" s="160">
        <v>36505090</v>
      </c>
      <c r="F323" s="29" t="s">
        <v>129</v>
      </c>
      <c r="G323" s="29" t="s">
        <v>213</v>
      </c>
      <c r="H323" s="158">
        <v>45693</v>
      </c>
      <c r="O323" s="159" t="s">
        <v>364</v>
      </c>
    </row>
    <row r="324" spans="1:15" hidden="1">
      <c r="A324" s="29" t="s">
        <v>144</v>
      </c>
      <c r="B324" s="29">
        <v>37508582</v>
      </c>
      <c r="F324" s="29" t="s">
        <v>129</v>
      </c>
      <c r="G324" s="29" t="s">
        <v>145</v>
      </c>
      <c r="H324" s="130">
        <v>45693</v>
      </c>
      <c r="O324" s="29" t="s">
        <v>154</v>
      </c>
    </row>
    <row r="325" spans="1:15" hidden="1">
      <c r="A325" s="29" t="s">
        <v>144</v>
      </c>
      <c r="B325" s="29">
        <v>37508534</v>
      </c>
      <c r="F325" s="29" t="s">
        <v>129</v>
      </c>
      <c r="G325" s="29" t="s">
        <v>145</v>
      </c>
      <c r="H325" s="130">
        <v>45693</v>
      </c>
      <c r="O325" s="29" t="s">
        <v>155</v>
      </c>
    </row>
    <row r="326" spans="1:15" hidden="1">
      <c r="A326" s="29" t="s">
        <v>144</v>
      </c>
      <c r="B326" s="29">
        <v>37508555</v>
      </c>
      <c r="F326" s="29" t="s">
        <v>129</v>
      </c>
      <c r="G326" s="29" t="s">
        <v>145</v>
      </c>
      <c r="H326" s="130">
        <v>45693</v>
      </c>
      <c r="O326" s="29" t="s">
        <v>156</v>
      </c>
    </row>
    <row r="327" spans="1:15" hidden="1">
      <c r="A327" s="29" t="s">
        <v>144</v>
      </c>
      <c r="B327" s="29">
        <v>37508444</v>
      </c>
      <c r="F327" s="29" t="s">
        <v>129</v>
      </c>
      <c r="G327" s="29" t="s">
        <v>145</v>
      </c>
      <c r="H327" s="130">
        <v>45693</v>
      </c>
      <c r="O327" s="29" t="s">
        <v>157</v>
      </c>
    </row>
    <row r="328" spans="1:15" hidden="1">
      <c r="A328" s="29" t="s">
        <v>144</v>
      </c>
      <c r="B328" s="29">
        <v>37508509</v>
      </c>
      <c r="F328" s="29" t="s">
        <v>129</v>
      </c>
      <c r="G328" s="29" t="s">
        <v>145</v>
      </c>
      <c r="H328" s="130">
        <v>45693</v>
      </c>
      <c r="O328" s="29" t="s">
        <v>158</v>
      </c>
    </row>
    <row r="329" spans="1:15" hidden="1">
      <c r="A329" s="29" t="s">
        <v>144</v>
      </c>
      <c r="B329" s="29">
        <v>37508419</v>
      </c>
      <c r="F329" s="29" t="s">
        <v>129</v>
      </c>
      <c r="G329" s="29" t="s">
        <v>145</v>
      </c>
      <c r="H329" s="130">
        <v>45693</v>
      </c>
      <c r="O329" s="29" t="s">
        <v>159</v>
      </c>
    </row>
    <row r="330" spans="1:15" hidden="1">
      <c r="A330" s="29" t="s">
        <v>144</v>
      </c>
      <c r="B330" s="29">
        <v>37508391</v>
      </c>
      <c r="F330" s="29" t="s">
        <v>129</v>
      </c>
      <c r="G330" s="29" t="s">
        <v>145</v>
      </c>
      <c r="H330" s="130">
        <v>45693</v>
      </c>
      <c r="O330" s="29" t="s">
        <v>160</v>
      </c>
    </row>
    <row r="331" spans="1:15" hidden="1">
      <c r="A331" s="29" t="s">
        <v>144</v>
      </c>
      <c r="B331" s="29">
        <v>37508358</v>
      </c>
      <c r="F331" s="29" t="s">
        <v>129</v>
      </c>
      <c r="G331" s="29" t="s">
        <v>145</v>
      </c>
      <c r="H331" s="130">
        <v>45693</v>
      </c>
      <c r="O331" s="29" t="s">
        <v>161</v>
      </c>
    </row>
    <row r="332" spans="1:15" hidden="1">
      <c r="A332" s="29" t="s">
        <v>209</v>
      </c>
      <c r="B332" s="29">
        <v>37504943</v>
      </c>
      <c r="F332" s="29" t="s">
        <v>129</v>
      </c>
      <c r="G332" s="29" t="s">
        <v>210</v>
      </c>
      <c r="H332" s="130">
        <v>45693</v>
      </c>
      <c r="O332" s="29" t="s">
        <v>335</v>
      </c>
    </row>
    <row r="333" spans="1:15" hidden="1">
      <c r="A333" s="84" t="s">
        <v>365</v>
      </c>
      <c r="B333" s="84">
        <v>34509810</v>
      </c>
      <c r="F333" s="84" t="s">
        <v>129</v>
      </c>
      <c r="G333" s="88" t="s">
        <v>366</v>
      </c>
      <c r="H333" s="85">
        <v>45691</v>
      </c>
      <c r="O333" s="84" t="s">
        <v>367</v>
      </c>
    </row>
    <row r="334" spans="1:15" hidden="1">
      <c r="A334" s="84" t="s">
        <v>365</v>
      </c>
      <c r="B334" s="84">
        <v>34509844</v>
      </c>
      <c r="F334" s="84" t="s">
        <v>129</v>
      </c>
      <c r="G334" s="88" t="s">
        <v>366</v>
      </c>
      <c r="H334" s="85">
        <v>45691</v>
      </c>
      <c r="O334" s="84" t="s">
        <v>368</v>
      </c>
    </row>
    <row r="335" spans="1:15" hidden="1">
      <c r="A335" s="84" t="s">
        <v>365</v>
      </c>
      <c r="B335" s="84">
        <v>34509930</v>
      </c>
      <c r="F335" s="84" t="s">
        <v>129</v>
      </c>
      <c r="G335" s="88" t="s">
        <v>366</v>
      </c>
      <c r="H335" s="85">
        <v>45691</v>
      </c>
      <c r="O335" s="84" t="s">
        <v>369</v>
      </c>
    </row>
    <row r="336" spans="1:15" hidden="1">
      <c r="A336" s="84" t="s">
        <v>365</v>
      </c>
      <c r="B336" s="84">
        <v>34509957</v>
      </c>
      <c r="F336" s="84" t="s">
        <v>129</v>
      </c>
      <c r="G336" s="88" t="s">
        <v>366</v>
      </c>
      <c r="H336" s="85">
        <v>45691</v>
      </c>
      <c r="O336" s="84" t="s">
        <v>370</v>
      </c>
    </row>
    <row r="337" spans="1:16" hidden="1">
      <c r="A337" s="84" t="s">
        <v>371</v>
      </c>
      <c r="B337" s="84">
        <v>18500302</v>
      </c>
      <c r="F337" s="84" t="s">
        <v>129</v>
      </c>
      <c r="G337" s="88" t="s">
        <v>366</v>
      </c>
      <c r="H337" s="85">
        <v>45675</v>
      </c>
      <c r="O337" s="84" t="s">
        <v>372</v>
      </c>
    </row>
    <row r="338" spans="1:16" hidden="1">
      <c r="A338" s="84" t="s">
        <v>371</v>
      </c>
      <c r="B338" s="84">
        <v>18500307</v>
      </c>
      <c r="F338" s="84" t="s">
        <v>129</v>
      </c>
      <c r="G338" s="88" t="s">
        <v>366</v>
      </c>
      <c r="H338" s="85">
        <v>45675</v>
      </c>
      <c r="O338" s="84" t="s">
        <v>373</v>
      </c>
    </row>
    <row r="339" spans="1:16" hidden="1">
      <c r="A339" s="84" t="s">
        <v>371</v>
      </c>
      <c r="B339" s="84">
        <v>18500310</v>
      </c>
      <c r="F339" s="84" t="s">
        <v>129</v>
      </c>
      <c r="G339" s="88" t="s">
        <v>366</v>
      </c>
      <c r="H339" s="85">
        <v>45675</v>
      </c>
      <c r="O339" s="84" t="s">
        <v>374</v>
      </c>
    </row>
    <row r="340" spans="1:16" hidden="1">
      <c r="A340" s="84" t="s">
        <v>371</v>
      </c>
      <c r="B340" s="84">
        <v>18500314</v>
      </c>
      <c r="F340" s="84" t="s">
        <v>129</v>
      </c>
      <c r="G340" s="88" t="s">
        <v>366</v>
      </c>
      <c r="H340" s="85">
        <v>45675</v>
      </c>
      <c r="O340" s="84" t="s">
        <v>375</v>
      </c>
    </row>
    <row r="341" spans="1:16" hidden="1">
      <c r="A341" s="84" t="s">
        <v>371</v>
      </c>
      <c r="B341" s="84">
        <v>18500316</v>
      </c>
      <c r="F341" s="84" t="s">
        <v>129</v>
      </c>
      <c r="G341" s="88" t="s">
        <v>366</v>
      </c>
      <c r="H341" s="85">
        <v>45675</v>
      </c>
      <c r="O341" s="84" t="s">
        <v>376</v>
      </c>
    </row>
    <row r="342" spans="1:16" hidden="1">
      <c r="A342" s="84" t="s">
        <v>371</v>
      </c>
      <c r="B342" s="84">
        <v>18500318</v>
      </c>
      <c r="F342" s="84" t="s">
        <v>129</v>
      </c>
      <c r="G342" s="88" t="s">
        <v>366</v>
      </c>
      <c r="H342" s="85">
        <v>45675</v>
      </c>
      <c r="O342" s="84" t="s">
        <v>377</v>
      </c>
    </row>
    <row r="343" spans="1:16" hidden="1">
      <c r="A343" s="84" t="s">
        <v>371</v>
      </c>
      <c r="B343" s="84">
        <v>18500320</v>
      </c>
      <c r="F343" s="84" t="s">
        <v>129</v>
      </c>
      <c r="G343" s="88" t="s">
        <v>366</v>
      </c>
      <c r="H343" s="85">
        <v>45675</v>
      </c>
      <c r="O343" s="84" t="s">
        <v>378</v>
      </c>
    </row>
    <row r="344" spans="1:16" hidden="1">
      <c r="A344" s="29" t="s">
        <v>371</v>
      </c>
      <c r="B344" s="29">
        <v>30504564</v>
      </c>
      <c r="F344" s="29" t="s">
        <v>129</v>
      </c>
      <c r="G344" s="29" t="s">
        <v>366</v>
      </c>
      <c r="H344" s="130">
        <v>45686</v>
      </c>
      <c r="I344" s="29"/>
      <c r="J344" s="29"/>
      <c r="K344" s="29"/>
      <c r="L344" s="29"/>
      <c r="M344" s="29"/>
      <c r="N344" s="81"/>
      <c r="O344" s="29" t="s">
        <v>379</v>
      </c>
      <c r="P344" s="133"/>
    </row>
    <row r="345" spans="1:16" hidden="1">
      <c r="A345" s="29" t="s">
        <v>371</v>
      </c>
      <c r="B345" s="29">
        <v>30504222</v>
      </c>
      <c r="F345" s="29" t="s">
        <v>129</v>
      </c>
      <c r="G345" s="29" t="s">
        <v>366</v>
      </c>
      <c r="H345" s="130">
        <v>45686</v>
      </c>
      <c r="I345" s="29"/>
      <c r="J345" s="29"/>
      <c r="K345" s="29"/>
      <c r="L345" s="29"/>
      <c r="M345" s="29"/>
      <c r="N345" s="81"/>
      <c r="O345" s="29" t="s">
        <v>380</v>
      </c>
      <c r="P345" s="133"/>
    </row>
    <row r="346" spans="1:16" hidden="1">
      <c r="A346" s="29" t="s">
        <v>381</v>
      </c>
      <c r="B346" s="29">
        <v>36504999</v>
      </c>
      <c r="F346" s="29" t="s">
        <v>118</v>
      </c>
      <c r="G346" s="29" t="s">
        <v>382</v>
      </c>
      <c r="H346" s="130">
        <v>45692</v>
      </c>
      <c r="I346" s="29"/>
      <c r="J346" s="29"/>
      <c r="K346" s="29"/>
      <c r="L346" s="29"/>
      <c r="M346" s="29"/>
      <c r="N346" s="81"/>
      <c r="O346" s="29" t="s">
        <v>383</v>
      </c>
      <c r="P346" s="133"/>
    </row>
    <row r="347" spans="1:16" ht="15.75" hidden="1">
      <c r="A347" s="29" t="s">
        <v>381</v>
      </c>
      <c r="B347" s="131">
        <v>36505340</v>
      </c>
      <c r="F347" s="29" t="s">
        <v>118</v>
      </c>
      <c r="G347" s="29" t="s">
        <v>127</v>
      </c>
      <c r="H347" s="130">
        <v>45692</v>
      </c>
      <c r="I347" s="29"/>
      <c r="J347" s="29"/>
      <c r="K347" s="29"/>
      <c r="L347" s="29"/>
      <c r="M347" s="29"/>
      <c r="N347" s="81"/>
      <c r="O347" s="29"/>
      <c r="P347" s="133"/>
    </row>
    <row r="348" spans="1:16" ht="15.75" hidden="1">
      <c r="A348" s="29" t="s">
        <v>381</v>
      </c>
      <c r="B348" s="131">
        <v>36505390</v>
      </c>
      <c r="F348" s="29" t="s">
        <v>118</v>
      </c>
      <c r="G348" s="29" t="s">
        <v>127</v>
      </c>
      <c r="H348" s="130">
        <v>45692</v>
      </c>
      <c r="I348" s="29"/>
      <c r="J348" s="29"/>
      <c r="K348" s="29"/>
      <c r="L348" s="29"/>
      <c r="M348" s="29"/>
      <c r="N348" s="81"/>
      <c r="O348" s="29"/>
      <c r="P348" s="133"/>
    </row>
    <row r="349" spans="1:16" ht="15.75" hidden="1">
      <c r="A349" s="29" t="s">
        <v>381</v>
      </c>
      <c r="B349" s="131">
        <v>36505446</v>
      </c>
      <c r="F349" s="29" t="s">
        <v>118</v>
      </c>
      <c r="G349" s="29" t="s">
        <v>127</v>
      </c>
      <c r="H349" s="130">
        <v>45692</v>
      </c>
      <c r="I349" s="29"/>
      <c r="J349" s="29"/>
      <c r="K349" s="29"/>
      <c r="L349" s="29"/>
      <c r="M349" s="29"/>
      <c r="N349" s="81"/>
      <c r="O349" s="29"/>
      <c r="P349" s="133"/>
    </row>
    <row r="350" spans="1:16" ht="15.75" hidden="1">
      <c r="A350" s="29" t="s">
        <v>381</v>
      </c>
      <c r="B350" s="131">
        <v>36505501</v>
      </c>
      <c r="F350" s="29" t="s">
        <v>118</v>
      </c>
      <c r="G350" s="29" t="s">
        <v>127</v>
      </c>
      <c r="H350" s="130">
        <v>45692</v>
      </c>
      <c r="I350" s="29"/>
      <c r="J350" s="29"/>
      <c r="K350" s="29"/>
      <c r="L350" s="29"/>
      <c r="M350" s="29"/>
      <c r="N350" s="81"/>
      <c r="O350" s="29"/>
      <c r="P350" s="133"/>
    </row>
    <row r="351" spans="1:16" ht="15.75" hidden="1">
      <c r="A351" s="29" t="s">
        <v>381</v>
      </c>
      <c r="B351" s="131">
        <v>36504194</v>
      </c>
      <c r="F351" s="29" t="s">
        <v>118</v>
      </c>
      <c r="G351" s="29" t="s">
        <v>127</v>
      </c>
      <c r="H351" s="130">
        <v>45692</v>
      </c>
      <c r="I351" s="29"/>
      <c r="J351" s="29"/>
      <c r="K351" s="29"/>
      <c r="L351" s="29"/>
      <c r="M351" s="29"/>
      <c r="N351" s="81"/>
      <c r="O351" s="29"/>
      <c r="P351" s="133"/>
    </row>
    <row r="352" spans="1:16" ht="15.75" hidden="1">
      <c r="A352" s="29" t="s">
        <v>381</v>
      </c>
      <c r="B352" s="131">
        <v>36504399</v>
      </c>
      <c r="F352" s="29" t="s">
        <v>118</v>
      </c>
      <c r="G352" s="29" t="s">
        <v>127</v>
      </c>
      <c r="H352" s="130">
        <v>45692</v>
      </c>
      <c r="I352" s="29"/>
      <c r="J352" s="29"/>
      <c r="K352" s="29"/>
      <c r="L352" s="29"/>
      <c r="M352" s="29"/>
      <c r="N352" s="81"/>
      <c r="O352" s="29"/>
      <c r="P352" s="133"/>
    </row>
    <row r="353" spans="1:16" ht="15.75" hidden="1">
      <c r="A353" s="29" t="s">
        <v>381</v>
      </c>
      <c r="B353" s="131">
        <v>36504493</v>
      </c>
      <c r="F353" s="29" t="s">
        <v>118</v>
      </c>
      <c r="G353" s="29" t="s">
        <v>127</v>
      </c>
      <c r="H353" s="130">
        <v>45692</v>
      </c>
      <c r="I353" s="29"/>
      <c r="J353" s="29"/>
      <c r="K353" s="29"/>
      <c r="L353" s="29"/>
      <c r="M353" s="29"/>
      <c r="N353" s="81"/>
      <c r="O353" s="29"/>
      <c r="P353" s="133"/>
    </row>
    <row r="354" spans="1:16" ht="15.75" hidden="1">
      <c r="A354" s="29" t="s">
        <v>381</v>
      </c>
      <c r="B354" s="131">
        <v>36504549</v>
      </c>
      <c r="F354" s="29" t="s">
        <v>118</v>
      </c>
      <c r="G354" s="29" t="s">
        <v>127</v>
      </c>
      <c r="H354" s="130">
        <v>45692</v>
      </c>
      <c r="I354" s="29"/>
      <c r="J354" s="29"/>
      <c r="K354" s="29"/>
      <c r="L354" s="29"/>
      <c r="M354" s="29"/>
      <c r="N354" s="81"/>
      <c r="O354" s="29"/>
      <c r="P354" s="133"/>
    </row>
    <row r="355" spans="1:16" ht="15.75" hidden="1">
      <c r="A355" s="29" t="s">
        <v>381</v>
      </c>
      <c r="B355" s="131">
        <v>36504718</v>
      </c>
      <c r="F355" s="29" t="s">
        <v>118</v>
      </c>
      <c r="G355" s="29" t="s">
        <v>127</v>
      </c>
      <c r="H355" s="130">
        <v>45692</v>
      </c>
      <c r="I355" s="29"/>
      <c r="J355" s="29"/>
      <c r="K355" s="29"/>
      <c r="L355" s="29"/>
      <c r="M355" s="29"/>
      <c r="N355" s="81"/>
      <c r="O355" s="29"/>
      <c r="P355" s="133"/>
    </row>
    <row r="356" spans="1:16" hidden="1">
      <c r="A356" s="29" t="s">
        <v>381</v>
      </c>
      <c r="B356" s="29">
        <v>36505051</v>
      </c>
      <c r="F356" s="29" t="s">
        <v>118</v>
      </c>
      <c r="G356" s="29" t="s">
        <v>382</v>
      </c>
      <c r="H356" s="130">
        <v>45692</v>
      </c>
      <c r="I356" s="29"/>
      <c r="J356" s="29"/>
      <c r="K356" s="29"/>
      <c r="L356" s="29"/>
      <c r="M356" s="29"/>
      <c r="N356" s="81"/>
      <c r="O356" s="29" t="s">
        <v>384</v>
      </c>
      <c r="P356" s="133"/>
    </row>
    <row r="357" spans="1:16" hidden="1">
      <c r="A357" s="29" t="s">
        <v>381</v>
      </c>
      <c r="B357" s="29">
        <v>36505051</v>
      </c>
      <c r="F357" s="29" t="s">
        <v>118</v>
      </c>
      <c r="G357" s="29" t="s">
        <v>382</v>
      </c>
      <c r="H357" s="130">
        <v>45692</v>
      </c>
      <c r="I357" s="29"/>
      <c r="J357" s="29"/>
      <c r="K357" s="29"/>
      <c r="L357" s="29"/>
      <c r="M357" s="29"/>
      <c r="N357" s="81"/>
      <c r="O357" s="29" t="s">
        <v>384</v>
      </c>
      <c r="P357" s="133"/>
    </row>
    <row r="358" spans="1:16" hidden="1">
      <c r="A358" s="29" t="s">
        <v>381</v>
      </c>
      <c r="B358" s="29">
        <v>36501604</v>
      </c>
      <c r="F358" s="29" t="s">
        <v>118</v>
      </c>
      <c r="G358" s="29" t="s">
        <v>385</v>
      </c>
      <c r="H358" s="130">
        <v>45692</v>
      </c>
      <c r="I358" s="29"/>
      <c r="J358" s="29"/>
      <c r="K358" s="29"/>
      <c r="L358" s="29"/>
      <c r="M358" s="29"/>
      <c r="N358" s="81"/>
      <c r="O358" s="29" t="s">
        <v>386</v>
      </c>
      <c r="P358" s="133"/>
    </row>
    <row r="359" spans="1:16" hidden="1">
      <c r="A359" s="29" t="s">
        <v>381</v>
      </c>
      <c r="B359" s="29">
        <v>36505501</v>
      </c>
      <c r="F359" s="29" t="s">
        <v>118</v>
      </c>
      <c r="G359" s="29" t="s">
        <v>385</v>
      </c>
      <c r="H359" s="130">
        <v>45692</v>
      </c>
      <c r="I359" s="29"/>
      <c r="J359" s="29"/>
      <c r="K359" s="29"/>
      <c r="L359" s="29"/>
      <c r="M359" s="29"/>
      <c r="N359" s="81"/>
      <c r="O359" s="29" t="s">
        <v>387</v>
      </c>
      <c r="P359" s="133"/>
    </row>
    <row r="360" spans="1:16" hidden="1">
      <c r="A360" s="29" t="s">
        <v>381</v>
      </c>
      <c r="B360" s="29">
        <v>36505446</v>
      </c>
      <c r="F360" s="29" t="s">
        <v>118</v>
      </c>
      <c r="G360" s="29" t="s">
        <v>385</v>
      </c>
      <c r="H360" s="130">
        <v>45692</v>
      </c>
      <c r="I360" s="29"/>
      <c r="J360" s="29"/>
      <c r="K360" s="29"/>
      <c r="L360" s="29"/>
      <c r="M360" s="29"/>
      <c r="N360" s="81"/>
      <c r="O360" s="29" t="s">
        <v>388</v>
      </c>
      <c r="P360" s="133"/>
    </row>
    <row r="361" spans="1:16" hidden="1">
      <c r="A361" s="29" t="s">
        <v>381</v>
      </c>
      <c r="B361" s="29">
        <v>36505390</v>
      </c>
      <c r="F361" s="29" t="s">
        <v>118</v>
      </c>
      <c r="G361" s="29" t="s">
        <v>385</v>
      </c>
      <c r="H361" s="130">
        <v>45692</v>
      </c>
      <c r="I361" s="29"/>
      <c r="J361" s="29"/>
      <c r="K361" s="29"/>
      <c r="L361" s="29"/>
      <c r="M361" s="29"/>
      <c r="N361" s="81"/>
      <c r="O361" s="29" t="s">
        <v>388</v>
      </c>
      <c r="P361" s="133"/>
    </row>
    <row r="362" spans="1:16" hidden="1">
      <c r="A362" s="29" t="s">
        <v>381</v>
      </c>
      <c r="B362" s="29">
        <v>36505340</v>
      </c>
      <c r="F362" s="29" t="s">
        <v>118</v>
      </c>
      <c r="G362" s="29" t="s">
        <v>385</v>
      </c>
      <c r="H362" s="130">
        <v>45692</v>
      </c>
      <c r="I362" s="29"/>
      <c r="J362" s="29"/>
      <c r="K362" s="29"/>
      <c r="L362" s="29"/>
      <c r="M362" s="29"/>
      <c r="N362" s="81"/>
      <c r="O362" s="29" t="s">
        <v>389</v>
      </c>
      <c r="P362" s="133"/>
    </row>
    <row r="363" spans="1:16" hidden="1">
      <c r="A363" s="29" t="s">
        <v>381</v>
      </c>
      <c r="B363" s="29">
        <v>36505299</v>
      </c>
      <c r="F363" s="29" t="s">
        <v>118</v>
      </c>
      <c r="G363" s="29" t="s">
        <v>385</v>
      </c>
      <c r="H363" s="130">
        <v>45692</v>
      </c>
      <c r="I363" s="29"/>
      <c r="J363" s="29"/>
      <c r="K363" s="29"/>
      <c r="L363" s="29"/>
      <c r="M363" s="29"/>
      <c r="N363" s="81"/>
      <c r="O363" s="29" t="s">
        <v>390</v>
      </c>
      <c r="P363" s="133"/>
    </row>
    <row r="364" spans="1:16" hidden="1">
      <c r="A364" s="29" t="s">
        <v>381</v>
      </c>
      <c r="B364" s="29">
        <v>36505254</v>
      </c>
      <c r="F364" s="29" t="s">
        <v>118</v>
      </c>
      <c r="G364" s="29" t="s">
        <v>385</v>
      </c>
      <c r="H364" s="130">
        <v>45692</v>
      </c>
      <c r="I364" s="29"/>
      <c r="J364" s="29"/>
      <c r="K364" s="29"/>
      <c r="L364" s="29"/>
      <c r="M364" s="29"/>
      <c r="N364" s="81"/>
      <c r="O364" s="29" t="s">
        <v>391</v>
      </c>
      <c r="P364" s="133"/>
    </row>
    <row r="365" spans="1:16" hidden="1">
      <c r="A365" s="29" t="s">
        <v>381</v>
      </c>
      <c r="B365" s="29">
        <v>36505184</v>
      </c>
      <c r="F365" s="29" t="s">
        <v>118</v>
      </c>
      <c r="G365" s="29" t="s">
        <v>385</v>
      </c>
      <c r="H365" s="130">
        <v>45692</v>
      </c>
      <c r="I365" s="29"/>
      <c r="J365" s="29"/>
      <c r="K365" s="29"/>
      <c r="L365" s="29"/>
      <c r="M365" s="29"/>
      <c r="N365" s="81"/>
      <c r="O365" s="29" t="s">
        <v>392</v>
      </c>
      <c r="P365" s="133"/>
    </row>
    <row r="366" spans="1:16" ht="15.75" hidden="1">
      <c r="A366" s="29" t="s">
        <v>381</v>
      </c>
      <c r="B366" s="131">
        <v>36504303</v>
      </c>
      <c r="F366" s="29" t="s">
        <v>118</v>
      </c>
      <c r="G366" s="29" t="s">
        <v>127</v>
      </c>
      <c r="H366" s="130">
        <v>45692</v>
      </c>
      <c r="I366" s="29"/>
      <c r="O366" s="29"/>
    </row>
    <row r="367" spans="1:16" ht="15.75" hidden="1">
      <c r="A367" s="29" t="s">
        <v>381</v>
      </c>
      <c r="B367" s="131">
        <v>36504399</v>
      </c>
      <c r="F367" s="29" t="s">
        <v>118</v>
      </c>
      <c r="G367" s="29" t="s">
        <v>127</v>
      </c>
      <c r="H367" s="130">
        <v>45692</v>
      </c>
      <c r="I367" s="29"/>
      <c r="O367" s="29"/>
    </row>
    <row r="368" spans="1:16" ht="15.75" hidden="1">
      <c r="A368" s="29" t="s">
        <v>381</v>
      </c>
      <c r="B368" s="131">
        <v>36504493</v>
      </c>
      <c r="F368" s="29" t="s">
        <v>118</v>
      </c>
      <c r="G368" s="29" t="s">
        <v>127</v>
      </c>
      <c r="H368" s="130">
        <v>45692</v>
      </c>
      <c r="I368" s="29"/>
      <c r="O368" s="29"/>
    </row>
    <row r="369" spans="1:15" ht="15.75" hidden="1">
      <c r="A369" s="29" t="s">
        <v>381</v>
      </c>
      <c r="B369" s="131">
        <v>36504549</v>
      </c>
      <c r="F369" s="29" t="s">
        <v>118</v>
      </c>
      <c r="G369" s="29" t="s">
        <v>127</v>
      </c>
      <c r="H369" s="130">
        <v>45692</v>
      </c>
      <c r="I369" s="29"/>
      <c r="O369" s="29"/>
    </row>
    <row r="370" spans="1:15" ht="15.75" hidden="1">
      <c r="A370" s="29" t="s">
        <v>381</v>
      </c>
      <c r="B370" s="131">
        <v>36504718</v>
      </c>
      <c r="F370" s="29" t="s">
        <v>118</v>
      </c>
      <c r="G370" s="29" t="s">
        <v>127</v>
      </c>
      <c r="H370" s="130">
        <v>45692</v>
      </c>
      <c r="I370" s="29"/>
      <c r="O370" s="29"/>
    </row>
    <row r="371" spans="1:15" ht="15.75" hidden="1">
      <c r="A371" s="29" t="s">
        <v>381</v>
      </c>
      <c r="B371" s="131">
        <v>36504907</v>
      </c>
      <c r="F371" s="29" t="s">
        <v>118</v>
      </c>
      <c r="G371" s="29" t="s">
        <v>127</v>
      </c>
      <c r="H371" s="130">
        <v>45692</v>
      </c>
      <c r="I371" s="29"/>
      <c r="O371" s="29"/>
    </row>
    <row r="372" spans="1:15" hidden="1">
      <c r="A372" s="29" t="s">
        <v>381</v>
      </c>
      <c r="B372" s="29">
        <v>36504999</v>
      </c>
      <c r="F372" s="29" t="s">
        <v>118</v>
      </c>
      <c r="G372" s="29" t="s">
        <v>382</v>
      </c>
      <c r="H372" s="130">
        <v>45692</v>
      </c>
      <c r="I372" s="29"/>
      <c r="O372" s="29" t="s">
        <v>383</v>
      </c>
    </row>
    <row r="373" spans="1:15" hidden="1">
      <c r="A373" s="29" t="s">
        <v>381</v>
      </c>
      <c r="B373" s="29">
        <v>36505051</v>
      </c>
      <c r="F373" s="29" t="s">
        <v>118</v>
      </c>
      <c r="G373" s="29" t="s">
        <v>382</v>
      </c>
      <c r="H373" s="130">
        <v>45692</v>
      </c>
      <c r="I373" s="29"/>
      <c r="O373" s="29" t="s">
        <v>384</v>
      </c>
    </row>
    <row r="374" spans="1:15" hidden="1">
      <c r="A374" s="29" t="s">
        <v>381</v>
      </c>
      <c r="B374" s="29">
        <v>36505051</v>
      </c>
      <c r="F374" s="29" t="s">
        <v>118</v>
      </c>
      <c r="G374" s="29" t="s">
        <v>382</v>
      </c>
      <c r="H374" s="130">
        <v>45692</v>
      </c>
      <c r="I374" s="29"/>
      <c r="O374" s="29" t="s">
        <v>384</v>
      </c>
    </row>
    <row r="375" spans="1:15" hidden="1">
      <c r="A375" s="29" t="s">
        <v>381</v>
      </c>
      <c r="B375" s="29">
        <v>36505123</v>
      </c>
      <c r="F375" s="29" t="s">
        <v>118</v>
      </c>
      <c r="G375" s="29" t="s">
        <v>382</v>
      </c>
      <c r="H375" s="130">
        <v>45694</v>
      </c>
      <c r="I375" s="29"/>
      <c r="O375" s="29" t="s">
        <v>393</v>
      </c>
    </row>
    <row r="376" spans="1:15" hidden="1">
      <c r="A376" s="29" t="s">
        <v>381</v>
      </c>
      <c r="B376" s="29">
        <v>36505184</v>
      </c>
      <c r="F376" s="29" t="s">
        <v>118</v>
      </c>
      <c r="G376" s="29" t="s">
        <v>385</v>
      </c>
      <c r="H376" s="130">
        <v>45692</v>
      </c>
      <c r="I376" s="29"/>
      <c r="O376" s="29" t="s">
        <v>392</v>
      </c>
    </row>
    <row r="377" spans="1:15" hidden="1">
      <c r="A377" s="29" t="s">
        <v>381</v>
      </c>
      <c r="B377" s="29">
        <v>36505254</v>
      </c>
      <c r="F377" s="29" t="s">
        <v>118</v>
      </c>
      <c r="G377" s="29" t="s">
        <v>385</v>
      </c>
      <c r="H377" s="130">
        <v>45692</v>
      </c>
      <c r="I377" s="29"/>
      <c r="O377" s="29" t="s">
        <v>391</v>
      </c>
    </row>
    <row r="378" spans="1:15" hidden="1">
      <c r="A378" s="29" t="s">
        <v>381</v>
      </c>
      <c r="B378" s="29">
        <v>36505299</v>
      </c>
      <c r="F378" s="29" t="s">
        <v>118</v>
      </c>
      <c r="G378" s="29" t="s">
        <v>385</v>
      </c>
      <c r="H378" s="130">
        <v>45692</v>
      </c>
      <c r="I378" s="29"/>
      <c r="O378" s="29" t="s">
        <v>390</v>
      </c>
    </row>
    <row r="379" spans="1:15" ht="15.75" hidden="1">
      <c r="A379" s="29" t="s">
        <v>381</v>
      </c>
      <c r="B379" s="131">
        <v>36505340</v>
      </c>
      <c r="F379" s="29" t="s">
        <v>118</v>
      </c>
      <c r="G379" s="29" t="s">
        <v>127</v>
      </c>
      <c r="H379" s="130">
        <v>45692</v>
      </c>
      <c r="I379" s="29"/>
      <c r="O379" s="29"/>
    </row>
    <row r="380" spans="1:15" hidden="1">
      <c r="A380" s="29" t="s">
        <v>381</v>
      </c>
      <c r="B380" s="29">
        <v>36505340</v>
      </c>
      <c r="F380" s="29" t="s">
        <v>118</v>
      </c>
      <c r="G380" s="29" t="s">
        <v>385</v>
      </c>
      <c r="H380" s="130">
        <v>45692</v>
      </c>
      <c r="I380" s="29"/>
      <c r="O380" s="29" t="s">
        <v>389</v>
      </c>
    </row>
    <row r="381" spans="1:15" ht="15.75" hidden="1">
      <c r="A381" s="29" t="s">
        <v>381</v>
      </c>
      <c r="B381" s="131">
        <v>36505390</v>
      </c>
      <c r="F381" s="29" t="s">
        <v>118</v>
      </c>
      <c r="G381" s="29" t="s">
        <v>127</v>
      </c>
      <c r="H381" s="130">
        <v>45692</v>
      </c>
      <c r="I381" s="29"/>
      <c r="O381" s="29"/>
    </row>
    <row r="382" spans="1:15" hidden="1">
      <c r="A382" s="29" t="s">
        <v>381</v>
      </c>
      <c r="B382" s="29">
        <v>36505390</v>
      </c>
      <c r="F382" s="29" t="s">
        <v>118</v>
      </c>
      <c r="G382" s="29" t="s">
        <v>385</v>
      </c>
      <c r="H382" s="130">
        <v>45692</v>
      </c>
      <c r="I382" s="29"/>
      <c r="O382" s="29" t="s">
        <v>388</v>
      </c>
    </row>
    <row r="383" spans="1:15" ht="15.75" hidden="1">
      <c r="A383" s="29" t="s">
        <v>381</v>
      </c>
      <c r="B383" s="131">
        <v>36505446</v>
      </c>
      <c r="F383" s="29" t="s">
        <v>118</v>
      </c>
      <c r="G383" s="29" t="s">
        <v>127</v>
      </c>
      <c r="H383" s="130">
        <v>45692</v>
      </c>
      <c r="I383" s="29"/>
      <c r="O383" s="29"/>
    </row>
    <row r="384" spans="1:15" hidden="1">
      <c r="A384" s="29" t="s">
        <v>381</v>
      </c>
      <c r="B384" s="29">
        <v>36505446</v>
      </c>
      <c r="F384" s="29" t="s">
        <v>118</v>
      </c>
      <c r="G384" s="29" t="s">
        <v>385</v>
      </c>
      <c r="H384" s="130">
        <v>45692</v>
      </c>
      <c r="I384" s="29"/>
      <c r="O384" s="29" t="s">
        <v>388</v>
      </c>
    </row>
    <row r="385" spans="1:16" ht="15.75" hidden="1">
      <c r="A385" s="29" t="s">
        <v>381</v>
      </c>
      <c r="B385" s="131">
        <v>36505501</v>
      </c>
      <c r="F385" s="29" t="s">
        <v>118</v>
      </c>
      <c r="G385" s="29" t="s">
        <v>127</v>
      </c>
      <c r="H385" s="130">
        <v>45692</v>
      </c>
      <c r="I385" s="29"/>
      <c r="O385" s="29"/>
    </row>
    <row r="386" spans="1:16" hidden="1">
      <c r="A386" s="29" t="s">
        <v>381</v>
      </c>
      <c r="B386" s="29">
        <v>36505501</v>
      </c>
      <c r="F386" s="29" t="s">
        <v>118</v>
      </c>
      <c r="G386" s="29" t="s">
        <v>385</v>
      </c>
      <c r="H386" s="130">
        <v>45692</v>
      </c>
      <c r="I386" s="29"/>
      <c r="O386" s="29" t="s">
        <v>387</v>
      </c>
    </row>
    <row r="387" spans="1:16" hidden="1">
      <c r="A387" s="29" t="s">
        <v>381</v>
      </c>
      <c r="B387" s="29">
        <v>36505123</v>
      </c>
      <c r="F387" s="29" t="s">
        <v>118</v>
      </c>
      <c r="G387" s="29" t="s">
        <v>382</v>
      </c>
      <c r="H387" s="130">
        <v>45694</v>
      </c>
      <c r="I387" s="29"/>
      <c r="J387" s="29"/>
      <c r="K387" s="29"/>
      <c r="L387" s="29"/>
      <c r="M387" s="29"/>
      <c r="N387" s="81"/>
      <c r="O387" s="29" t="s">
        <v>393</v>
      </c>
      <c r="P387" s="133"/>
    </row>
    <row r="388" spans="1:16" hidden="1">
      <c r="A388" s="29" t="s">
        <v>381</v>
      </c>
      <c r="B388" s="29">
        <v>36501604</v>
      </c>
      <c r="F388" s="29" t="s">
        <v>118</v>
      </c>
      <c r="G388" s="29" t="s">
        <v>385</v>
      </c>
      <c r="H388" s="130">
        <v>45692</v>
      </c>
      <c r="I388" s="29"/>
      <c r="O388" s="29" t="s">
        <v>386</v>
      </c>
    </row>
    <row r="389" spans="1:16" hidden="1">
      <c r="A389" s="41" t="s">
        <v>122</v>
      </c>
      <c r="B389" s="41">
        <v>50507785</v>
      </c>
      <c r="F389" s="29" t="s">
        <v>118</v>
      </c>
      <c r="G389" s="29" t="s">
        <v>123</v>
      </c>
      <c r="H389" s="130">
        <v>45707</v>
      </c>
      <c r="I389" s="29"/>
      <c r="O389" s="41" t="s">
        <v>394</v>
      </c>
    </row>
    <row r="390" spans="1:16" hidden="1">
      <c r="A390" s="41" t="s">
        <v>122</v>
      </c>
      <c r="B390" s="41">
        <v>50507819</v>
      </c>
      <c r="F390" s="29" t="s">
        <v>118</v>
      </c>
      <c r="G390" s="29" t="s">
        <v>123</v>
      </c>
      <c r="H390" s="130">
        <v>45707</v>
      </c>
      <c r="I390" s="29"/>
      <c r="O390" s="41" t="s">
        <v>395</v>
      </c>
    </row>
    <row r="391" spans="1:16" hidden="1">
      <c r="A391" s="41" t="s">
        <v>122</v>
      </c>
      <c r="B391" s="41">
        <v>50507838</v>
      </c>
      <c r="F391" s="29" t="s">
        <v>118</v>
      </c>
      <c r="G391" s="29" t="s">
        <v>123</v>
      </c>
      <c r="H391" s="130">
        <v>45707</v>
      </c>
      <c r="I391" s="29"/>
      <c r="O391" s="41" t="s">
        <v>396</v>
      </c>
    </row>
    <row r="392" spans="1:16" hidden="1">
      <c r="A392" s="41" t="s">
        <v>122</v>
      </c>
      <c r="B392" s="41">
        <v>50507640</v>
      </c>
      <c r="F392" s="29" t="s">
        <v>118</v>
      </c>
      <c r="G392" s="29" t="s">
        <v>123</v>
      </c>
      <c r="H392" s="130">
        <v>45707</v>
      </c>
      <c r="I392" s="29"/>
      <c r="O392" s="41" t="s">
        <v>397</v>
      </c>
    </row>
    <row r="393" spans="1:16" hidden="1">
      <c r="A393" s="41" t="s">
        <v>122</v>
      </c>
      <c r="B393" s="41">
        <v>50507678</v>
      </c>
      <c r="F393" s="29" t="s">
        <v>118</v>
      </c>
      <c r="G393" s="29" t="s">
        <v>123</v>
      </c>
      <c r="H393" s="130">
        <v>45707</v>
      </c>
      <c r="I393" s="29"/>
      <c r="O393" s="41" t="s">
        <v>398</v>
      </c>
    </row>
    <row r="394" spans="1:16" hidden="1">
      <c r="A394" s="41" t="s">
        <v>122</v>
      </c>
      <c r="B394" s="41">
        <v>50507713</v>
      </c>
      <c r="F394" s="29" t="s">
        <v>118</v>
      </c>
      <c r="G394" s="29" t="s">
        <v>123</v>
      </c>
      <c r="H394" s="130">
        <v>45707</v>
      </c>
      <c r="I394" s="29"/>
      <c r="O394" s="41" t="s">
        <v>399</v>
      </c>
    </row>
    <row r="395" spans="1:16" hidden="1">
      <c r="A395" s="41" t="s">
        <v>122</v>
      </c>
      <c r="B395" s="41">
        <v>50507757</v>
      </c>
      <c r="F395" s="29" t="s">
        <v>118</v>
      </c>
      <c r="G395" s="29" t="s">
        <v>123</v>
      </c>
      <c r="H395" s="130">
        <v>45707</v>
      </c>
      <c r="I395" s="29"/>
      <c r="O395" s="41" t="s">
        <v>400</v>
      </c>
    </row>
    <row r="396" spans="1:16" hidden="1">
      <c r="A396" s="41" t="s">
        <v>122</v>
      </c>
      <c r="B396" s="41">
        <v>50507609</v>
      </c>
      <c r="F396" s="29" t="s">
        <v>118</v>
      </c>
      <c r="G396" s="29" t="s">
        <v>119</v>
      </c>
      <c r="H396" s="42">
        <v>45707</v>
      </c>
      <c r="O396" s="41" t="s">
        <v>124</v>
      </c>
    </row>
    <row r="397" spans="1:16" hidden="1">
      <c r="A397" s="41" t="s">
        <v>122</v>
      </c>
      <c r="B397" s="41">
        <v>50507859</v>
      </c>
      <c r="F397" s="29" t="s">
        <v>118</v>
      </c>
      <c r="G397" s="29" t="s">
        <v>119</v>
      </c>
      <c r="H397" s="42">
        <v>45707</v>
      </c>
      <c r="O397" s="41" t="s">
        <v>125</v>
      </c>
    </row>
    <row r="398" spans="1:16" hidden="1">
      <c r="A398" s="41" t="s">
        <v>122</v>
      </c>
      <c r="B398" s="41">
        <v>50507785</v>
      </c>
      <c r="F398" s="29" t="s">
        <v>118</v>
      </c>
      <c r="G398" s="29" t="s">
        <v>119</v>
      </c>
      <c r="H398" s="42">
        <v>45707</v>
      </c>
      <c r="O398" s="41" t="s">
        <v>394</v>
      </c>
    </row>
    <row r="399" spans="1:16" hidden="1">
      <c r="A399" s="41" t="s">
        <v>122</v>
      </c>
      <c r="B399" s="41">
        <v>50507819</v>
      </c>
      <c r="F399" s="29" t="s">
        <v>118</v>
      </c>
      <c r="G399" s="29" t="s">
        <v>119</v>
      </c>
      <c r="H399" s="42">
        <v>45707</v>
      </c>
      <c r="O399" s="41" t="s">
        <v>395</v>
      </c>
    </row>
    <row r="400" spans="1:16" hidden="1">
      <c r="A400" s="41" t="s">
        <v>122</v>
      </c>
      <c r="B400" s="41">
        <v>50507838</v>
      </c>
      <c r="F400" s="29" t="s">
        <v>118</v>
      </c>
      <c r="G400" s="29" t="s">
        <v>119</v>
      </c>
      <c r="H400" s="42">
        <v>45707</v>
      </c>
      <c r="O400" s="41" t="s">
        <v>396</v>
      </c>
    </row>
    <row r="401" spans="1:15" hidden="1">
      <c r="A401" s="41" t="s">
        <v>122</v>
      </c>
      <c r="B401" s="41">
        <v>50507640</v>
      </c>
      <c r="F401" s="29" t="s">
        <v>118</v>
      </c>
      <c r="G401" s="29" t="s">
        <v>119</v>
      </c>
      <c r="H401" s="42">
        <v>45707</v>
      </c>
      <c r="O401" s="41" t="s">
        <v>397</v>
      </c>
    </row>
    <row r="402" spans="1:15" hidden="1">
      <c r="A402" s="41" t="s">
        <v>122</v>
      </c>
      <c r="B402" s="41">
        <v>50507678</v>
      </c>
      <c r="F402" s="29" t="s">
        <v>118</v>
      </c>
      <c r="G402" s="29" t="s">
        <v>119</v>
      </c>
      <c r="H402" s="42">
        <v>45707</v>
      </c>
      <c r="O402" s="41" t="s">
        <v>398</v>
      </c>
    </row>
    <row r="403" spans="1:15" hidden="1">
      <c r="A403" s="41" t="s">
        <v>122</v>
      </c>
      <c r="B403" s="41">
        <v>50507713</v>
      </c>
      <c r="F403" s="29" t="s">
        <v>118</v>
      </c>
      <c r="G403" s="29" t="s">
        <v>119</v>
      </c>
      <c r="H403" s="42">
        <v>45707</v>
      </c>
      <c r="O403" s="41" t="s">
        <v>399</v>
      </c>
    </row>
    <row r="404" spans="1:15" hidden="1">
      <c r="A404" s="41" t="s">
        <v>122</v>
      </c>
      <c r="B404" s="41">
        <v>50507757</v>
      </c>
      <c r="F404" s="29" t="s">
        <v>118</v>
      </c>
      <c r="G404" s="29" t="s">
        <v>119</v>
      </c>
      <c r="H404" s="42">
        <v>45707</v>
      </c>
      <c r="O404" s="41" t="s">
        <v>400</v>
      </c>
    </row>
    <row r="405" spans="1:15" hidden="1">
      <c r="A405" s="41" t="s">
        <v>122</v>
      </c>
      <c r="B405" s="41">
        <v>50507609</v>
      </c>
      <c r="F405" s="29" t="s">
        <v>118</v>
      </c>
      <c r="G405" s="29" t="s">
        <v>119</v>
      </c>
      <c r="H405" s="42">
        <v>45707</v>
      </c>
      <c r="O405" s="41" t="s">
        <v>124</v>
      </c>
    </row>
    <row r="406" spans="1:15" hidden="1">
      <c r="A406" s="41" t="s">
        <v>122</v>
      </c>
      <c r="B406" s="41">
        <v>50507859</v>
      </c>
      <c r="F406" s="29" t="s">
        <v>118</v>
      </c>
      <c r="G406" s="29" t="s">
        <v>119</v>
      </c>
      <c r="H406" s="42">
        <v>45707</v>
      </c>
      <c r="O406" s="41" t="s">
        <v>125</v>
      </c>
    </row>
    <row r="407" spans="1:15" hidden="1">
      <c r="A407" s="41" t="s">
        <v>122</v>
      </c>
      <c r="B407" s="41">
        <v>50507785</v>
      </c>
      <c r="F407" s="29" t="s">
        <v>118</v>
      </c>
      <c r="G407" s="29" t="s">
        <v>119</v>
      </c>
      <c r="H407" s="42">
        <v>45707</v>
      </c>
      <c r="O407" s="41" t="s">
        <v>394</v>
      </c>
    </row>
    <row r="408" spans="1:15" hidden="1">
      <c r="A408" s="41" t="s">
        <v>122</v>
      </c>
      <c r="B408" s="41">
        <v>50507819</v>
      </c>
      <c r="F408" s="29" t="s">
        <v>118</v>
      </c>
      <c r="G408" s="29" t="s">
        <v>119</v>
      </c>
      <c r="H408" s="42">
        <v>45707</v>
      </c>
      <c r="O408" s="41" t="s">
        <v>395</v>
      </c>
    </row>
    <row r="409" spans="1:15" hidden="1">
      <c r="A409" s="41" t="s">
        <v>122</v>
      </c>
      <c r="B409" s="41">
        <v>50507838</v>
      </c>
      <c r="F409" s="29" t="s">
        <v>118</v>
      </c>
      <c r="G409" s="29" t="s">
        <v>119</v>
      </c>
      <c r="H409" s="42">
        <v>45707</v>
      </c>
      <c r="O409" s="41" t="s">
        <v>396</v>
      </c>
    </row>
    <row r="410" spans="1:15" hidden="1">
      <c r="A410" s="41" t="s">
        <v>122</v>
      </c>
      <c r="B410" s="41">
        <v>50507640</v>
      </c>
      <c r="F410" s="29" t="s">
        <v>118</v>
      </c>
      <c r="G410" s="29" t="s">
        <v>119</v>
      </c>
      <c r="H410" s="42">
        <v>45707</v>
      </c>
      <c r="O410" s="41" t="s">
        <v>397</v>
      </c>
    </row>
    <row r="411" spans="1:15" hidden="1">
      <c r="A411" s="41" t="s">
        <v>122</v>
      </c>
      <c r="B411" s="41">
        <v>50507678</v>
      </c>
      <c r="F411" s="29" t="s">
        <v>118</v>
      </c>
      <c r="G411" s="29" t="s">
        <v>119</v>
      </c>
      <c r="H411" s="42">
        <v>45707</v>
      </c>
      <c r="O411" s="41" t="s">
        <v>398</v>
      </c>
    </row>
    <row r="412" spans="1:15" hidden="1">
      <c r="A412" s="41" t="s">
        <v>122</v>
      </c>
      <c r="B412" s="41">
        <v>50507713</v>
      </c>
      <c r="F412" s="29" t="s">
        <v>118</v>
      </c>
      <c r="G412" s="29" t="s">
        <v>119</v>
      </c>
      <c r="H412" s="42">
        <v>45707</v>
      </c>
      <c r="O412" s="41" t="s">
        <v>399</v>
      </c>
    </row>
    <row r="413" spans="1:15" hidden="1">
      <c r="A413" s="41" t="s">
        <v>122</v>
      </c>
      <c r="B413" s="41">
        <v>50507757</v>
      </c>
      <c r="F413" s="29" t="s">
        <v>118</v>
      </c>
      <c r="G413" s="29" t="s">
        <v>119</v>
      </c>
      <c r="H413" s="42">
        <v>45707</v>
      </c>
      <c r="O413" s="41" t="s">
        <v>400</v>
      </c>
    </row>
    <row r="414" spans="1:15" hidden="1">
      <c r="A414" s="41" t="s">
        <v>122</v>
      </c>
      <c r="B414" s="41">
        <v>50507609</v>
      </c>
      <c r="F414" s="29" t="s">
        <v>118</v>
      </c>
      <c r="G414" s="29" t="s">
        <v>123</v>
      </c>
      <c r="H414" s="130">
        <v>45707</v>
      </c>
      <c r="I414" s="29"/>
      <c r="J414" s="29"/>
      <c r="K414" s="29"/>
      <c r="O414" s="41" t="s">
        <v>124</v>
      </c>
    </row>
    <row r="415" spans="1:15" hidden="1">
      <c r="A415" s="41" t="s">
        <v>122</v>
      </c>
      <c r="B415" s="41">
        <v>50507859</v>
      </c>
      <c r="F415" s="29" t="s">
        <v>118</v>
      </c>
      <c r="G415" s="29" t="s">
        <v>123</v>
      </c>
      <c r="H415" s="130">
        <v>45707</v>
      </c>
      <c r="I415" s="29"/>
      <c r="J415" s="29"/>
      <c r="K415" s="29"/>
      <c r="O415" s="41" t="s">
        <v>125</v>
      </c>
    </row>
    <row r="416" spans="1:15" hidden="1">
      <c r="A416" s="41" t="s">
        <v>122</v>
      </c>
      <c r="B416" s="41">
        <v>50507785</v>
      </c>
      <c r="F416" s="29" t="s">
        <v>118</v>
      </c>
      <c r="G416" s="29" t="s">
        <v>123</v>
      </c>
      <c r="H416" s="130">
        <v>45707</v>
      </c>
      <c r="I416" s="29"/>
      <c r="J416" s="29"/>
      <c r="K416" s="29"/>
      <c r="O416" s="41" t="s">
        <v>394</v>
      </c>
    </row>
    <row r="417" spans="1:16" hidden="1">
      <c r="A417" s="41" t="s">
        <v>122</v>
      </c>
      <c r="B417" s="41">
        <v>50507819</v>
      </c>
      <c r="F417" s="29" t="s">
        <v>118</v>
      </c>
      <c r="G417" s="29" t="s">
        <v>123</v>
      </c>
      <c r="H417" s="130">
        <v>45707</v>
      </c>
      <c r="I417" s="29"/>
      <c r="J417" s="29"/>
      <c r="K417" s="29"/>
      <c r="O417" s="41" t="s">
        <v>395</v>
      </c>
    </row>
    <row r="418" spans="1:16" hidden="1">
      <c r="A418" s="41" t="s">
        <v>122</v>
      </c>
      <c r="B418" s="41">
        <v>50507838</v>
      </c>
      <c r="F418" s="29" t="s">
        <v>118</v>
      </c>
      <c r="G418" s="29" t="s">
        <v>123</v>
      </c>
      <c r="H418" s="130">
        <v>45707</v>
      </c>
      <c r="I418" s="29"/>
      <c r="J418" s="29"/>
      <c r="K418" s="29"/>
      <c r="O418" s="41" t="s">
        <v>396</v>
      </c>
    </row>
    <row r="419" spans="1:16" hidden="1">
      <c r="A419" s="41" t="s">
        <v>122</v>
      </c>
      <c r="B419" s="41">
        <v>50507640</v>
      </c>
      <c r="F419" s="29" t="s">
        <v>118</v>
      </c>
      <c r="G419" s="29" t="s">
        <v>123</v>
      </c>
      <c r="H419" s="130">
        <v>45707</v>
      </c>
      <c r="I419" s="29"/>
      <c r="J419" s="29"/>
      <c r="K419" s="29"/>
      <c r="O419" s="41" t="s">
        <v>397</v>
      </c>
    </row>
    <row r="420" spans="1:16" hidden="1">
      <c r="A420" s="41" t="s">
        <v>122</v>
      </c>
      <c r="B420" s="41">
        <v>50507678</v>
      </c>
      <c r="F420" s="29" t="s">
        <v>118</v>
      </c>
      <c r="G420" s="29" t="s">
        <v>123</v>
      </c>
      <c r="H420" s="130">
        <v>45707</v>
      </c>
      <c r="I420" s="29"/>
      <c r="J420" s="29"/>
      <c r="K420" s="29"/>
      <c r="O420" s="41" t="s">
        <v>398</v>
      </c>
    </row>
    <row r="421" spans="1:16" hidden="1">
      <c r="A421" s="41" t="s">
        <v>122</v>
      </c>
      <c r="B421" s="41">
        <v>50507713</v>
      </c>
      <c r="F421" s="29" t="s">
        <v>118</v>
      </c>
      <c r="G421" s="29" t="s">
        <v>123</v>
      </c>
      <c r="H421" s="130">
        <v>45707</v>
      </c>
      <c r="I421" s="29"/>
      <c r="J421" s="29"/>
      <c r="K421" s="29"/>
      <c r="O421" s="41" t="s">
        <v>399</v>
      </c>
    </row>
    <row r="422" spans="1:16" hidden="1">
      <c r="A422" s="41" t="s">
        <v>122</v>
      </c>
      <c r="B422" s="41">
        <v>50507757</v>
      </c>
      <c r="F422" s="29" t="s">
        <v>118</v>
      </c>
      <c r="G422" s="29" t="s">
        <v>123</v>
      </c>
      <c r="H422" s="130">
        <v>45707</v>
      </c>
      <c r="I422" s="29"/>
      <c r="J422" s="29"/>
      <c r="K422" s="29"/>
      <c r="O422" s="41" t="s">
        <v>400</v>
      </c>
    </row>
    <row r="423" spans="1:16" hidden="1">
      <c r="A423" s="157" t="s">
        <v>401</v>
      </c>
      <c r="B423" s="29">
        <v>6508035</v>
      </c>
      <c r="F423" s="29" t="s">
        <v>118</v>
      </c>
      <c r="G423" s="29" t="s">
        <v>402</v>
      </c>
      <c r="H423" s="130">
        <v>45659</v>
      </c>
      <c r="I423" s="29"/>
      <c r="J423" s="29"/>
      <c r="K423" s="29"/>
      <c r="L423" s="29"/>
      <c r="M423" s="29"/>
      <c r="N423" s="81"/>
      <c r="O423" s="29"/>
      <c r="P423" s="133"/>
    </row>
    <row r="424" spans="1:16" hidden="1">
      <c r="A424" s="157" t="s">
        <v>401</v>
      </c>
      <c r="B424" s="29">
        <v>6508102</v>
      </c>
      <c r="F424" s="29" t="s">
        <v>118</v>
      </c>
      <c r="G424" s="29" t="s">
        <v>402</v>
      </c>
      <c r="H424" s="130">
        <v>45659</v>
      </c>
      <c r="I424" s="29"/>
      <c r="J424" s="29"/>
      <c r="K424" s="29"/>
      <c r="L424" s="29"/>
      <c r="M424" s="29"/>
      <c r="N424" s="81"/>
      <c r="O424" s="29"/>
      <c r="P424" s="133"/>
    </row>
    <row r="425" spans="1:16" hidden="1">
      <c r="A425" s="157" t="s">
        <v>401</v>
      </c>
      <c r="B425" s="29">
        <v>6508109</v>
      </c>
      <c r="F425" s="29" t="s">
        <v>118</v>
      </c>
      <c r="G425" s="29" t="s">
        <v>402</v>
      </c>
      <c r="H425" s="130">
        <v>45659</v>
      </c>
      <c r="I425" s="29"/>
      <c r="J425" s="29"/>
      <c r="K425" s="29"/>
      <c r="L425" s="29"/>
      <c r="M425" s="29"/>
      <c r="N425" s="81"/>
      <c r="O425" s="29"/>
      <c r="P425" s="133"/>
    </row>
    <row r="426" spans="1:16" hidden="1">
      <c r="A426" s="157" t="s">
        <v>401</v>
      </c>
      <c r="B426" s="29">
        <v>6508118</v>
      </c>
      <c r="F426" s="29" t="s">
        <v>118</v>
      </c>
      <c r="G426" s="29" t="s">
        <v>402</v>
      </c>
      <c r="H426" s="130">
        <v>45659</v>
      </c>
      <c r="I426" s="29"/>
      <c r="J426" s="29"/>
      <c r="K426" s="29"/>
      <c r="L426" s="29"/>
      <c r="M426" s="29"/>
      <c r="N426" s="81"/>
      <c r="O426" s="29"/>
      <c r="P426" s="133"/>
    </row>
    <row r="427" spans="1:16" hidden="1">
      <c r="A427" s="157" t="s">
        <v>401</v>
      </c>
      <c r="B427" s="29">
        <v>6508147</v>
      </c>
      <c r="F427" s="29" t="s">
        <v>118</v>
      </c>
      <c r="G427" s="29" t="s">
        <v>402</v>
      </c>
      <c r="H427" s="130">
        <v>45659</v>
      </c>
      <c r="I427" s="29"/>
      <c r="J427" s="29"/>
      <c r="K427" s="29"/>
      <c r="L427" s="29"/>
      <c r="M427" s="29"/>
      <c r="N427" s="81"/>
      <c r="O427" s="29"/>
      <c r="P427" s="133"/>
    </row>
    <row r="428" spans="1:16" hidden="1">
      <c r="A428" s="157" t="s">
        <v>401</v>
      </c>
      <c r="B428" s="29">
        <v>6508194</v>
      </c>
      <c r="F428" s="29" t="s">
        <v>118</v>
      </c>
      <c r="G428" s="29" t="s">
        <v>402</v>
      </c>
      <c r="H428" s="130">
        <v>45659</v>
      </c>
      <c r="I428" s="29"/>
      <c r="J428" s="29"/>
      <c r="K428" s="29"/>
      <c r="L428" s="29"/>
      <c r="M428" s="29"/>
      <c r="N428" s="81"/>
      <c r="O428" s="29"/>
      <c r="P428" s="133"/>
    </row>
    <row r="429" spans="1:16" hidden="1">
      <c r="A429" s="157" t="s">
        <v>401</v>
      </c>
      <c r="B429" s="29">
        <v>6508205</v>
      </c>
      <c r="F429" s="29" t="s">
        <v>118</v>
      </c>
      <c r="G429" s="29" t="s">
        <v>402</v>
      </c>
      <c r="H429" s="130">
        <v>45659</v>
      </c>
      <c r="I429" s="29"/>
      <c r="J429" s="29"/>
      <c r="K429" s="29"/>
      <c r="L429" s="29"/>
      <c r="M429" s="29"/>
      <c r="N429" s="81"/>
      <c r="O429" s="29"/>
      <c r="P429" s="133"/>
    </row>
    <row r="430" spans="1:16" hidden="1">
      <c r="A430" s="157" t="s">
        <v>401</v>
      </c>
      <c r="B430" s="29">
        <v>6508233</v>
      </c>
      <c r="F430" s="29" t="s">
        <v>118</v>
      </c>
      <c r="G430" s="29" t="s">
        <v>402</v>
      </c>
      <c r="H430" s="130">
        <v>45659</v>
      </c>
      <c r="I430" s="29"/>
      <c r="J430" s="29"/>
      <c r="K430" s="29"/>
      <c r="L430" s="29"/>
      <c r="M430" s="29"/>
      <c r="N430" s="81"/>
      <c r="O430" s="29"/>
      <c r="P430" s="133"/>
    </row>
    <row r="431" spans="1:16" hidden="1">
      <c r="A431" s="157" t="s">
        <v>401</v>
      </c>
      <c r="B431" s="29">
        <v>6508247</v>
      </c>
      <c r="F431" s="29" t="s">
        <v>118</v>
      </c>
      <c r="G431" s="29" t="s">
        <v>402</v>
      </c>
      <c r="H431" s="130">
        <v>45659</v>
      </c>
      <c r="I431" s="29"/>
      <c r="J431" s="29"/>
      <c r="K431" s="29"/>
      <c r="L431" s="29"/>
      <c r="M431" s="29"/>
      <c r="N431" s="81"/>
      <c r="O431" s="29"/>
      <c r="P431" s="133"/>
    </row>
    <row r="432" spans="1:16" hidden="1">
      <c r="A432" s="157" t="s">
        <v>401</v>
      </c>
      <c r="B432" s="29">
        <v>6508254</v>
      </c>
      <c r="F432" s="29" t="s">
        <v>118</v>
      </c>
      <c r="G432" s="29" t="s">
        <v>402</v>
      </c>
      <c r="H432" s="130">
        <v>45659</v>
      </c>
      <c r="I432" s="29"/>
      <c r="J432" s="29"/>
      <c r="K432" s="29"/>
      <c r="L432" s="29"/>
      <c r="M432" s="29"/>
      <c r="N432" s="81"/>
      <c r="O432" s="29"/>
      <c r="P432" s="133"/>
    </row>
    <row r="433" spans="1:16" hidden="1">
      <c r="A433" s="157" t="s">
        <v>401</v>
      </c>
      <c r="B433" s="29">
        <v>6508313</v>
      </c>
      <c r="F433" s="29" t="s">
        <v>118</v>
      </c>
      <c r="G433" s="29" t="s">
        <v>402</v>
      </c>
      <c r="H433" s="130">
        <v>45659</v>
      </c>
      <c r="I433" s="29"/>
      <c r="J433" s="29"/>
      <c r="K433" s="29"/>
      <c r="L433" s="29"/>
      <c r="M433" s="29"/>
      <c r="N433" s="81"/>
      <c r="O433" s="29"/>
      <c r="P433" s="133"/>
    </row>
    <row r="434" spans="1:16" hidden="1">
      <c r="A434" s="157" t="s">
        <v>401</v>
      </c>
      <c r="B434" s="29">
        <v>6508324</v>
      </c>
      <c r="F434" s="29" t="s">
        <v>118</v>
      </c>
      <c r="G434" s="29" t="s">
        <v>402</v>
      </c>
      <c r="H434" s="130">
        <v>45659</v>
      </c>
      <c r="I434" s="29"/>
      <c r="J434" s="29"/>
      <c r="K434" s="29"/>
      <c r="L434" s="29"/>
      <c r="M434" s="29"/>
      <c r="N434" s="81"/>
      <c r="O434" s="29"/>
      <c r="P434" s="133"/>
    </row>
    <row r="435" spans="1:16" hidden="1">
      <c r="A435" s="157" t="s">
        <v>401</v>
      </c>
      <c r="B435" s="29">
        <v>6508339</v>
      </c>
      <c r="F435" s="29" t="s">
        <v>118</v>
      </c>
      <c r="G435" s="29" t="s">
        <v>402</v>
      </c>
      <c r="H435" s="130">
        <v>45659</v>
      </c>
      <c r="I435" s="29"/>
      <c r="J435" s="29"/>
      <c r="K435" s="29"/>
      <c r="L435" s="29"/>
      <c r="M435" s="29"/>
      <c r="N435" s="81"/>
      <c r="O435" s="29"/>
      <c r="P435" s="133"/>
    </row>
    <row r="436" spans="1:16" hidden="1">
      <c r="A436" s="157" t="s">
        <v>401</v>
      </c>
      <c r="B436" s="29">
        <v>6508357</v>
      </c>
      <c r="F436" s="29" t="s">
        <v>118</v>
      </c>
      <c r="G436" s="29" t="s">
        <v>402</v>
      </c>
      <c r="H436" s="130">
        <v>45659</v>
      </c>
      <c r="I436" s="29"/>
      <c r="J436" s="29"/>
      <c r="K436" s="29"/>
      <c r="L436" s="29"/>
      <c r="M436" s="29"/>
      <c r="N436" s="81"/>
      <c r="O436" s="29"/>
      <c r="P436" s="133"/>
    </row>
    <row r="437" spans="1:16" hidden="1">
      <c r="A437" s="157" t="s">
        <v>401</v>
      </c>
      <c r="B437" s="29">
        <v>6508367</v>
      </c>
      <c r="F437" s="29" t="s">
        <v>118</v>
      </c>
      <c r="G437" s="29" t="s">
        <v>402</v>
      </c>
      <c r="H437" s="130">
        <v>45659</v>
      </c>
      <c r="I437" s="29"/>
      <c r="J437" s="29"/>
      <c r="K437" s="29"/>
      <c r="L437" s="29"/>
      <c r="M437" s="29"/>
      <c r="N437" s="81"/>
      <c r="O437" s="29"/>
      <c r="P437" s="133"/>
    </row>
    <row r="438" spans="1:16" hidden="1">
      <c r="A438" s="157" t="s">
        <v>401</v>
      </c>
      <c r="B438" s="29">
        <v>6508375</v>
      </c>
      <c r="F438" s="29" t="s">
        <v>118</v>
      </c>
      <c r="G438" s="29" t="s">
        <v>402</v>
      </c>
      <c r="H438" s="130">
        <v>45659</v>
      </c>
      <c r="I438" s="29"/>
      <c r="J438" s="29"/>
      <c r="K438" s="29"/>
      <c r="L438" s="29"/>
      <c r="M438" s="29"/>
      <c r="N438" s="81"/>
      <c r="O438" s="29"/>
      <c r="P438" s="133"/>
    </row>
    <row r="439" spans="1:16" hidden="1">
      <c r="A439" s="157" t="s">
        <v>401</v>
      </c>
      <c r="B439" s="29">
        <v>6508420</v>
      </c>
      <c r="F439" s="29" t="s">
        <v>118</v>
      </c>
      <c r="G439" s="29" t="s">
        <v>402</v>
      </c>
      <c r="H439" s="130">
        <v>45659</v>
      </c>
      <c r="I439" s="29"/>
      <c r="J439" s="29"/>
      <c r="K439" s="29"/>
      <c r="L439" s="29"/>
      <c r="M439" s="29"/>
      <c r="N439" s="81"/>
      <c r="O439" s="29"/>
      <c r="P439" s="133"/>
    </row>
    <row r="440" spans="1:16" hidden="1">
      <c r="A440" s="157" t="s">
        <v>401</v>
      </c>
      <c r="B440" s="29">
        <v>6508410</v>
      </c>
      <c r="F440" s="29" t="s">
        <v>118</v>
      </c>
      <c r="G440" s="29" t="s">
        <v>402</v>
      </c>
      <c r="H440" s="130">
        <v>45659</v>
      </c>
      <c r="I440" s="29"/>
      <c r="J440" s="29"/>
      <c r="K440" s="29"/>
      <c r="L440" s="29"/>
      <c r="M440" s="29"/>
      <c r="N440" s="81"/>
      <c r="O440" s="29"/>
      <c r="P440" s="133"/>
    </row>
    <row r="441" spans="1:16" hidden="1">
      <c r="A441" s="157" t="s">
        <v>401</v>
      </c>
      <c r="B441" s="29">
        <v>6508430</v>
      </c>
      <c r="F441" s="29" t="s">
        <v>118</v>
      </c>
      <c r="G441" s="29" t="s">
        <v>402</v>
      </c>
      <c r="H441" s="130">
        <v>45659</v>
      </c>
      <c r="I441" s="29"/>
      <c r="J441" s="29"/>
      <c r="K441" s="29"/>
      <c r="L441" s="29"/>
      <c r="M441" s="29"/>
      <c r="N441" s="81"/>
      <c r="O441" s="29"/>
      <c r="P441" s="133"/>
    </row>
    <row r="442" spans="1:16" hidden="1">
      <c r="A442" s="157" t="s">
        <v>401</v>
      </c>
      <c r="B442" s="29">
        <v>6508443</v>
      </c>
      <c r="F442" s="29" t="s">
        <v>118</v>
      </c>
      <c r="G442" s="29" t="s">
        <v>402</v>
      </c>
      <c r="H442" s="130">
        <v>45659</v>
      </c>
      <c r="I442" s="29"/>
      <c r="J442" s="29"/>
      <c r="K442" s="29"/>
      <c r="L442" s="29"/>
      <c r="M442" s="29"/>
      <c r="N442" s="81"/>
      <c r="O442" s="29"/>
      <c r="P442" s="133"/>
    </row>
    <row r="443" spans="1:16" hidden="1">
      <c r="A443" s="157" t="s">
        <v>401</v>
      </c>
      <c r="B443" s="29">
        <v>6508466</v>
      </c>
      <c r="F443" s="29" t="s">
        <v>118</v>
      </c>
      <c r="G443" s="29" t="s">
        <v>402</v>
      </c>
      <c r="H443" s="130">
        <v>45659</v>
      </c>
      <c r="I443" s="29"/>
      <c r="J443" s="29"/>
      <c r="K443" s="29"/>
      <c r="L443" s="29"/>
      <c r="M443" s="29"/>
      <c r="N443" s="81"/>
      <c r="O443" s="29"/>
      <c r="P443" s="133"/>
    </row>
    <row r="444" spans="1:16" hidden="1">
      <c r="A444" s="157" t="s">
        <v>401</v>
      </c>
      <c r="B444" s="29">
        <v>6508486</v>
      </c>
      <c r="F444" s="29" t="s">
        <v>118</v>
      </c>
      <c r="G444" s="29" t="s">
        <v>402</v>
      </c>
      <c r="H444" s="130">
        <v>45659</v>
      </c>
      <c r="I444" s="29"/>
      <c r="J444" s="29"/>
      <c r="K444" s="29"/>
      <c r="L444" s="29"/>
      <c r="M444" s="29"/>
      <c r="N444" s="81"/>
      <c r="O444" s="29"/>
      <c r="P444" s="133"/>
    </row>
    <row r="445" spans="1:16" hidden="1">
      <c r="A445" s="157" t="s">
        <v>401</v>
      </c>
      <c r="B445" s="29">
        <v>6508492</v>
      </c>
      <c r="F445" s="29" t="s">
        <v>118</v>
      </c>
      <c r="G445" s="29" t="s">
        <v>402</v>
      </c>
      <c r="H445" s="130">
        <v>45659</v>
      </c>
      <c r="I445" s="29"/>
      <c r="J445" s="29"/>
      <c r="K445" s="29"/>
      <c r="L445" s="29"/>
      <c r="M445" s="29"/>
      <c r="N445" s="81"/>
      <c r="O445" s="29"/>
      <c r="P445" s="133"/>
    </row>
    <row r="446" spans="1:16" hidden="1">
      <c r="A446" s="157" t="s">
        <v>401</v>
      </c>
      <c r="B446" s="29">
        <v>6508513</v>
      </c>
      <c r="F446" s="29" t="s">
        <v>118</v>
      </c>
      <c r="G446" s="29" t="s">
        <v>402</v>
      </c>
      <c r="H446" s="130">
        <v>45659</v>
      </c>
      <c r="I446" s="29"/>
      <c r="J446" s="29"/>
      <c r="K446" s="29"/>
      <c r="L446" s="29"/>
      <c r="M446" s="29"/>
      <c r="N446" s="81"/>
      <c r="O446" s="29"/>
      <c r="P446" s="133"/>
    </row>
    <row r="447" spans="1:16" hidden="1">
      <c r="A447" s="157" t="s">
        <v>401</v>
      </c>
      <c r="B447" s="29">
        <v>6508521</v>
      </c>
      <c r="F447" s="29" t="s">
        <v>118</v>
      </c>
      <c r="G447" s="29" t="s">
        <v>402</v>
      </c>
      <c r="H447" s="130">
        <v>45659</v>
      </c>
      <c r="I447" s="29"/>
      <c r="J447" s="29"/>
      <c r="K447" s="29"/>
      <c r="L447" s="29"/>
      <c r="M447" s="29"/>
      <c r="N447" s="81"/>
      <c r="O447" s="29"/>
      <c r="P447" s="133"/>
    </row>
    <row r="448" spans="1:16" hidden="1">
      <c r="A448" s="29" t="s">
        <v>401</v>
      </c>
      <c r="B448" s="29">
        <v>35500215</v>
      </c>
      <c r="F448" s="29" t="s">
        <v>118</v>
      </c>
      <c r="G448" s="29" t="s">
        <v>127</v>
      </c>
      <c r="H448" s="130">
        <v>45659</v>
      </c>
      <c r="I448" s="29"/>
      <c r="J448" s="29"/>
      <c r="K448" s="29"/>
      <c r="L448" s="29"/>
      <c r="M448" s="29"/>
      <c r="N448" s="81"/>
      <c r="O448" s="29" t="s">
        <v>403</v>
      </c>
      <c r="P448" s="133"/>
    </row>
    <row r="449" spans="1:16" hidden="1">
      <c r="A449" s="29" t="s">
        <v>401</v>
      </c>
      <c r="B449" s="29">
        <v>31503960</v>
      </c>
      <c r="F449" s="29" t="s">
        <v>118</v>
      </c>
      <c r="G449" s="29" t="s">
        <v>127</v>
      </c>
      <c r="H449" s="130">
        <v>45659</v>
      </c>
      <c r="I449" s="29"/>
      <c r="J449" s="29"/>
      <c r="K449" s="29"/>
      <c r="L449" s="29"/>
      <c r="M449" s="29"/>
      <c r="N449" s="81"/>
      <c r="O449" s="29" t="s">
        <v>404</v>
      </c>
      <c r="P449" s="133"/>
    </row>
    <row r="450" spans="1:16" hidden="1">
      <c r="A450" s="29" t="s">
        <v>401</v>
      </c>
      <c r="B450" s="29">
        <v>32500495</v>
      </c>
      <c r="F450" s="29" t="s">
        <v>118</v>
      </c>
      <c r="G450" s="29" t="s">
        <v>127</v>
      </c>
      <c r="H450" s="130">
        <v>45659</v>
      </c>
      <c r="I450" s="29"/>
      <c r="J450" s="29"/>
      <c r="K450" s="29"/>
      <c r="L450" s="29"/>
      <c r="M450" s="29"/>
      <c r="N450" s="81"/>
      <c r="O450" s="29" t="s">
        <v>405</v>
      </c>
      <c r="P450" s="133"/>
    </row>
    <row r="451" spans="1:16" hidden="1">
      <c r="A451" s="29" t="s">
        <v>401</v>
      </c>
      <c r="B451" s="29">
        <v>35500151</v>
      </c>
      <c r="F451" s="29" t="s">
        <v>118</v>
      </c>
      <c r="G451" s="29" t="s">
        <v>127</v>
      </c>
      <c r="H451" s="130">
        <v>45659</v>
      </c>
      <c r="I451" s="29"/>
      <c r="J451" s="29"/>
      <c r="K451" s="29"/>
      <c r="L451" s="29"/>
      <c r="M451" s="29"/>
      <c r="N451" s="81"/>
      <c r="O451" s="29" t="s">
        <v>406</v>
      </c>
      <c r="P451" s="133"/>
    </row>
    <row r="452" spans="1:16" hidden="1">
      <c r="A452" s="157" t="s">
        <v>401</v>
      </c>
      <c r="B452" s="29">
        <v>6508035</v>
      </c>
      <c r="F452" s="29" t="s">
        <v>118</v>
      </c>
      <c r="G452" s="29" t="s">
        <v>402</v>
      </c>
      <c r="H452" s="130">
        <v>45659</v>
      </c>
      <c r="I452" s="29"/>
      <c r="O452" s="29"/>
    </row>
    <row r="453" spans="1:16" hidden="1">
      <c r="A453" s="157" t="s">
        <v>401</v>
      </c>
      <c r="B453" s="29">
        <v>6508102</v>
      </c>
      <c r="F453" s="29" t="s">
        <v>118</v>
      </c>
      <c r="G453" s="29" t="s">
        <v>402</v>
      </c>
      <c r="H453" s="130">
        <v>45659</v>
      </c>
      <c r="I453" s="29"/>
      <c r="O453" s="29"/>
    </row>
    <row r="454" spans="1:16" hidden="1">
      <c r="A454" s="157" t="s">
        <v>401</v>
      </c>
      <c r="B454" s="29">
        <v>6508109</v>
      </c>
      <c r="F454" s="29" t="s">
        <v>118</v>
      </c>
      <c r="G454" s="29" t="s">
        <v>402</v>
      </c>
      <c r="H454" s="130">
        <v>45659</v>
      </c>
      <c r="I454" s="29"/>
      <c r="O454" s="29"/>
    </row>
    <row r="455" spans="1:16" hidden="1">
      <c r="A455" s="157" t="s">
        <v>401</v>
      </c>
      <c r="B455" s="29">
        <v>6508118</v>
      </c>
      <c r="F455" s="29" t="s">
        <v>118</v>
      </c>
      <c r="G455" s="29" t="s">
        <v>402</v>
      </c>
      <c r="H455" s="130">
        <v>45659</v>
      </c>
      <c r="I455" s="29"/>
      <c r="O455" s="29"/>
    </row>
    <row r="456" spans="1:16" hidden="1">
      <c r="A456" s="157" t="s">
        <v>401</v>
      </c>
      <c r="B456" s="29">
        <v>6508147</v>
      </c>
      <c r="F456" s="29" t="s">
        <v>118</v>
      </c>
      <c r="G456" s="29" t="s">
        <v>402</v>
      </c>
      <c r="H456" s="130">
        <v>45659</v>
      </c>
      <c r="I456" s="29"/>
      <c r="O456" s="29"/>
    </row>
    <row r="457" spans="1:16" hidden="1">
      <c r="A457" s="157" t="s">
        <v>401</v>
      </c>
      <c r="B457" s="29">
        <v>6508194</v>
      </c>
      <c r="F457" s="29" t="s">
        <v>118</v>
      </c>
      <c r="G457" s="29" t="s">
        <v>402</v>
      </c>
      <c r="H457" s="130">
        <v>45659</v>
      </c>
      <c r="I457" s="29"/>
      <c r="O457" s="29"/>
    </row>
    <row r="458" spans="1:16" hidden="1">
      <c r="A458" s="157" t="s">
        <v>401</v>
      </c>
      <c r="B458" s="29">
        <v>6508205</v>
      </c>
      <c r="F458" s="29" t="s">
        <v>118</v>
      </c>
      <c r="G458" s="29" t="s">
        <v>402</v>
      </c>
      <c r="H458" s="130">
        <v>45659</v>
      </c>
      <c r="I458" s="29"/>
      <c r="O458" s="29"/>
    </row>
    <row r="459" spans="1:16" hidden="1">
      <c r="A459" s="157" t="s">
        <v>401</v>
      </c>
      <c r="B459" s="29">
        <v>6508233</v>
      </c>
      <c r="F459" s="29" t="s">
        <v>118</v>
      </c>
      <c r="G459" s="29" t="s">
        <v>402</v>
      </c>
      <c r="H459" s="130">
        <v>45659</v>
      </c>
      <c r="I459" s="29"/>
      <c r="O459" s="29"/>
    </row>
    <row r="460" spans="1:16" hidden="1">
      <c r="A460" s="157" t="s">
        <v>401</v>
      </c>
      <c r="B460" s="29">
        <v>6508247</v>
      </c>
      <c r="F460" s="29" t="s">
        <v>118</v>
      </c>
      <c r="G460" s="29" t="s">
        <v>402</v>
      </c>
      <c r="H460" s="130">
        <v>45659</v>
      </c>
      <c r="I460" s="29"/>
      <c r="O460" s="29"/>
    </row>
    <row r="461" spans="1:16" hidden="1">
      <c r="A461" s="157" t="s">
        <v>401</v>
      </c>
      <c r="B461" s="29">
        <v>6508254</v>
      </c>
      <c r="F461" s="29" t="s">
        <v>118</v>
      </c>
      <c r="G461" s="29" t="s">
        <v>402</v>
      </c>
      <c r="H461" s="130">
        <v>45659</v>
      </c>
      <c r="I461" s="29"/>
      <c r="O461" s="29"/>
    </row>
    <row r="462" spans="1:16" hidden="1">
      <c r="A462" s="157" t="s">
        <v>401</v>
      </c>
      <c r="B462" s="29">
        <v>6508313</v>
      </c>
      <c r="F462" s="29" t="s">
        <v>118</v>
      </c>
      <c r="G462" s="29" t="s">
        <v>402</v>
      </c>
      <c r="H462" s="130">
        <v>45659</v>
      </c>
      <c r="I462" s="29"/>
      <c r="O462" s="29"/>
    </row>
    <row r="463" spans="1:16" hidden="1">
      <c r="A463" s="157" t="s">
        <v>401</v>
      </c>
      <c r="B463" s="29">
        <v>6508324</v>
      </c>
      <c r="F463" s="29" t="s">
        <v>118</v>
      </c>
      <c r="G463" s="29" t="s">
        <v>402</v>
      </c>
      <c r="H463" s="130">
        <v>45659</v>
      </c>
      <c r="I463" s="29"/>
      <c r="O463" s="29"/>
    </row>
    <row r="464" spans="1:16" hidden="1">
      <c r="A464" s="157" t="s">
        <v>401</v>
      </c>
      <c r="B464" s="29">
        <v>6508339</v>
      </c>
      <c r="F464" s="29" t="s">
        <v>118</v>
      </c>
      <c r="G464" s="29" t="s">
        <v>402</v>
      </c>
      <c r="H464" s="130">
        <v>45659</v>
      </c>
      <c r="I464" s="29"/>
      <c r="O464" s="29"/>
    </row>
    <row r="465" spans="1:15" hidden="1">
      <c r="A465" s="157" t="s">
        <v>401</v>
      </c>
      <c r="B465" s="29">
        <v>6508357</v>
      </c>
      <c r="F465" s="29" t="s">
        <v>118</v>
      </c>
      <c r="G465" s="29" t="s">
        <v>402</v>
      </c>
      <c r="H465" s="130">
        <v>45659</v>
      </c>
      <c r="I465" s="29"/>
      <c r="O465" s="29"/>
    </row>
    <row r="466" spans="1:15" hidden="1">
      <c r="A466" s="157" t="s">
        <v>401</v>
      </c>
      <c r="B466" s="29">
        <v>6508367</v>
      </c>
      <c r="F466" s="29" t="s">
        <v>118</v>
      </c>
      <c r="G466" s="29" t="s">
        <v>402</v>
      </c>
      <c r="H466" s="130">
        <v>45659</v>
      </c>
      <c r="I466" s="29"/>
      <c r="O466" s="29"/>
    </row>
    <row r="467" spans="1:15" hidden="1">
      <c r="A467" s="157" t="s">
        <v>401</v>
      </c>
      <c r="B467" s="29">
        <v>6508375</v>
      </c>
      <c r="F467" s="29" t="s">
        <v>118</v>
      </c>
      <c r="G467" s="29" t="s">
        <v>402</v>
      </c>
      <c r="H467" s="130">
        <v>45659</v>
      </c>
      <c r="I467" s="29"/>
      <c r="O467" s="29"/>
    </row>
    <row r="468" spans="1:15" hidden="1">
      <c r="A468" s="157" t="s">
        <v>401</v>
      </c>
      <c r="B468" s="29">
        <v>6508420</v>
      </c>
      <c r="F468" s="29" t="s">
        <v>118</v>
      </c>
      <c r="G468" s="29" t="s">
        <v>402</v>
      </c>
      <c r="H468" s="130">
        <v>45659</v>
      </c>
      <c r="I468" s="29"/>
      <c r="O468" s="29"/>
    </row>
    <row r="469" spans="1:15" hidden="1">
      <c r="A469" s="157" t="s">
        <v>401</v>
      </c>
      <c r="B469" s="29">
        <v>6508410</v>
      </c>
      <c r="F469" s="29" t="s">
        <v>118</v>
      </c>
      <c r="G469" s="29" t="s">
        <v>402</v>
      </c>
      <c r="H469" s="130">
        <v>45659</v>
      </c>
      <c r="I469" s="29"/>
      <c r="O469" s="29"/>
    </row>
    <row r="470" spans="1:15" hidden="1">
      <c r="A470" s="157" t="s">
        <v>401</v>
      </c>
      <c r="B470" s="29">
        <v>6508430</v>
      </c>
      <c r="F470" s="29" t="s">
        <v>118</v>
      </c>
      <c r="G470" s="29" t="s">
        <v>402</v>
      </c>
      <c r="H470" s="130">
        <v>45659</v>
      </c>
      <c r="I470" s="29"/>
      <c r="O470" s="29"/>
    </row>
    <row r="471" spans="1:15" hidden="1">
      <c r="A471" s="157" t="s">
        <v>401</v>
      </c>
      <c r="B471" s="29">
        <v>6508443</v>
      </c>
      <c r="F471" s="29" t="s">
        <v>118</v>
      </c>
      <c r="G471" s="29" t="s">
        <v>402</v>
      </c>
      <c r="H471" s="130">
        <v>45659</v>
      </c>
      <c r="I471" s="29"/>
      <c r="O471" s="29"/>
    </row>
    <row r="472" spans="1:15" hidden="1">
      <c r="A472" s="157" t="s">
        <v>401</v>
      </c>
      <c r="B472" s="29">
        <v>6508466</v>
      </c>
      <c r="F472" s="29" t="s">
        <v>118</v>
      </c>
      <c r="G472" s="29" t="s">
        <v>402</v>
      </c>
      <c r="H472" s="130">
        <v>45659</v>
      </c>
      <c r="I472" s="29"/>
      <c r="O472" s="29"/>
    </row>
    <row r="473" spans="1:15" hidden="1">
      <c r="A473" s="157" t="s">
        <v>401</v>
      </c>
      <c r="B473" s="29">
        <v>6508486</v>
      </c>
      <c r="F473" s="29" t="s">
        <v>118</v>
      </c>
      <c r="G473" s="29" t="s">
        <v>402</v>
      </c>
      <c r="H473" s="130">
        <v>45659</v>
      </c>
      <c r="I473" s="29"/>
      <c r="O473" s="29"/>
    </row>
    <row r="474" spans="1:15" hidden="1">
      <c r="A474" s="157" t="s">
        <v>401</v>
      </c>
      <c r="B474" s="29">
        <v>6508492</v>
      </c>
      <c r="F474" s="29" t="s">
        <v>118</v>
      </c>
      <c r="G474" s="29" t="s">
        <v>402</v>
      </c>
      <c r="H474" s="130">
        <v>45659</v>
      </c>
      <c r="I474" s="29"/>
      <c r="O474" s="29"/>
    </row>
    <row r="475" spans="1:15" hidden="1">
      <c r="A475" s="157" t="s">
        <v>401</v>
      </c>
      <c r="B475" s="29">
        <v>6508513</v>
      </c>
      <c r="F475" s="29" t="s">
        <v>118</v>
      </c>
      <c r="G475" s="29" t="s">
        <v>402</v>
      </c>
      <c r="H475" s="130">
        <v>45659</v>
      </c>
      <c r="I475" s="29"/>
      <c r="O475" s="29"/>
    </row>
    <row r="476" spans="1:15" hidden="1">
      <c r="A476" s="157" t="s">
        <v>401</v>
      </c>
      <c r="B476" s="29">
        <v>6508521</v>
      </c>
      <c r="F476" s="29" t="s">
        <v>118</v>
      </c>
      <c r="G476" s="29" t="s">
        <v>402</v>
      </c>
      <c r="H476" s="130">
        <v>45659</v>
      </c>
      <c r="I476" s="29"/>
      <c r="O476" s="29"/>
    </row>
    <row r="477" spans="1:15" hidden="1">
      <c r="A477" s="29" t="s">
        <v>401</v>
      </c>
      <c r="B477" s="29">
        <v>35500215</v>
      </c>
      <c r="F477" s="29" t="s">
        <v>118</v>
      </c>
      <c r="G477" s="29" t="s">
        <v>407</v>
      </c>
      <c r="H477" s="130">
        <v>45659</v>
      </c>
      <c r="I477" s="29"/>
      <c r="O477" s="29" t="s">
        <v>403</v>
      </c>
    </row>
    <row r="478" spans="1:15" hidden="1">
      <c r="A478" s="29" t="s">
        <v>401</v>
      </c>
      <c r="B478" s="29">
        <v>31503960</v>
      </c>
      <c r="F478" s="29" t="s">
        <v>118</v>
      </c>
      <c r="G478" s="29" t="s">
        <v>407</v>
      </c>
      <c r="H478" s="130">
        <v>45659</v>
      </c>
      <c r="I478" s="29"/>
      <c r="O478" s="29" t="s">
        <v>404</v>
      </c>
    </row>
    <row r="479" spans="1:15" hidden="1">
      <c r="A479" s="29" t="s">
        <v>401</v>
      </c>
      <c r="B479" s="29">
        <v>32500495</v>
      </c>
      <c r="F479" s="29" t="s">
        <v>118</v>
      </c>
      <c r="G479" s="29" t="s">
        <v>407</v>
      </c>
      <c r="H479" s="130">
        <v>45659</v>
      </c>
      <c r="I479" s="29"/>
      <c r="O479" s="29" t="s">
        <v>405</v>
      </c>
    </row>
    <row r="480" spans="1:15" hidden="1">
      <c r="A480" s="29" t="s">
        <v>401</v>
      </c>
      <c r="B480" s="29">
        <v>35500151</v>
      </c>
      <c r="F480" s="29" t="s">
        <v>118</v>
      </c>
      <c r="G480" s="29" t="s">
        <v>407</v>
      </c>
      <c r="H480" s="130">
        <v>45659</v>
      </c>
      <c r="I480" s="29"/>
      <c r="O480" s="29" t="s">
        <v>406</v>
      </c>
    </row>
    <row r="481" spans="1:16" hidden="1">
      <c r="A481" s="157" t="s">
        <v>408</v>
      </c>
      <c r="B481" s="29">
        <v>16507757</v>
      </c>
      <c r="F481" s="29" t="s">
        <v>118</v>
      </c>
      <c r="G481" s="29" t="s">
        <v>409</v>
      </c>
      <c r="H481" s="130">
        <v>45673</v>
      </c>
      <c r="I481" s="29"/>
      <c r="J481" s="29"/>
      <c r="K481" s="29"/>
      <c r="L481" s="29"/>
      <c r="M481" s="29"/>
      <c r="N481" s="81"/>
      <c r="O481" s="29"/>
      <c r="P481" s="133"/>
    </row>
    <row r="482" spans="1:16" hidden="1">
      <c r="A482" s="157" t="s">
        <v>408</v>
      </c>
      <c r="B482" s="29">
        <v>16507726</v>
      </c>
      <c r="F482" s="29" t="s">
        <v>118</v>
      </c>
      <c r="G482" s="29" t="s">
        <v>409</v>
      </c>
      <c r="H482" s="130">
        <v>45673</v>
      </c>
      <c r="I482" s="29"/>
      <c r="J482" s="29"/>
      <c r="K482" s="29"/>
      <c r="L482" s="29"/>
      <c r="M482" s="29"/>
      <c r="N482" s="81"/>
      <c r="O482" s="29"/>
      <c r="P482" s="133"/>
    </row>
    <row r="483" spans="1:16" hidden="1">
      <c r="A483" s="157" t="s">
        <v>408</v>
      </c>
      <c r="B483" s="29">
        <v>16507808</v>
      </c>
      <c r="F483" s="29" t="s">
        <v>118</v>
      </c>
      <c r="G483" s="29" t="s">
        <v>409</v>
      </c>
      <c r="H483" s="130">
        <v>45673</v>
      </c>
      <c r="I483" s="29"/>
      <c r="J483" s="29"/>
      <c r="K483" s="29"/>
      <c r="L483" s="29"/>
      <c r="M483" s="29"/>
      <c r="N483" s="81"/>
      <c r="O483" s="29"/>
      <c r="P483" s="133"/>
    </row>
    <row r="484" spans="1:16" hidden="1">
      <c r="A484" s="157" t="s">
        <v>408</v>
      </c>
      <c r="B484" s="29">
        <v>16507786</v>
      </c>
      <c r="F484" s="29" t="s">
        <v>118</v>
      </c>
      <c r="G484" s="29" t="s">
        <v>409</v>
      </c>
      <c r="H484" s="130">
        <v>45673</v>
      </c>
      <c r="I484" s="29"/>
      <c r="J484" s="29"/>
      <c r="K484" s="29"/>
      <c r="L484" s="29"/>
      <c r="M484" s="29"/>
      <c r="N484" s="81"/>
      <c r="O484" s="29"/>
      <c r="P484" s="133"/>
    </row>
    <row r="485" spans="1:16" hidden="1">
      <c r="A485" s="157" t="s">
        <v>408</v>
      </c>
      <c r="B485" s="29">
        <v>35500151</v>
      </c>
      <c r="F485" s="29" t="s">
        <v>118</v>
      </c>
      <c r="G485" s="29" t="s">
        <v>127</v>
      </c>
      <c r="H485" s="130">
        <v>45692</v>
      </c>
      <c r="I485" s="29"/>
      <c r="J485" s="29"/>
      <c r="K485" s="29"/>
      <c r="L485" s="29"/>
      <c r="M485" s="29"/>
      <c r="N485" s="81"/>
      <c r="O485" s="29"/>
      <c r="P485" s="133"/>
    </row>
    <row r="486" spans="1:16" hidden="1">
      <c r="A486" s="157" t="s">
        <v>408</v>
      </c>
      <c r="B486" s="29">
        <v>16507757</v>
      </c>
      <c r="F486" s="29" t="s">
        <v>118</v>
      </c>
      <c r="G486" s="29" t="s">
        <v>409</v>
      </c>
      <c r="H486" s="130">
        <v>45673</v>
      </c>
      <c r="I486" s="29"/>
    </row>
    <row r="487" spans="1:16" hidden="1">
      <c r="A487" s="157" t="s">
        <v>408</v>
      </c>
      <c r="B487" s="29">
        <v>16507726</v>
      </c>
      <c r="F487" s="29" t="s">
        <v>118</v>
      </c>
      <c r="G487" s="29" t="s">
        <v>409</v>
      </c>
      <c r="H487" s="130">
        <v>45673</v>
      </c>
      <c r="I487" s="29"/>
    </row>
    <row r="488" spans="1:16" hidden="1">
      <c r="A488" s="157" t="s">
        <v>408</v>
      </c>
      <c r="B488" s="29">
        <v>16507786</v>
      </c>
      <c r="F488" s="29" t="s">
        <v>118</v>
      </c>
      <c r="G488" s="29" t="s">
        <v>409</v>
      </c>
      <c r="H488" s="130">
        <v>45673</v>
      </c>
      <c r="I488" s="29"/>
    </row>
    <row r="489" spans="1:16" hidden="1">
      <c r="A489" s="157" t="s">
        <v>408</v>
      </c>
      <c r="B489" s="29">
        <v>35500151</v>
      </c>
      <c r="F489" s="29" t="s">
        <v>118</v>
      </c>
      <c r="G489" s="29" t="s">
        <v>127</v>
      </c>
      <c r="H489" s="130">
        <v>45692</v>
      </c>
      <c r="I489" s="29"/>
    </row>
    <row r="490" spans="1:16" hidden="1">
      <c r="A490" s="157" t="s">
        <v>410</v>
      </c>
      <c r="B490" s="29">
        <v>21507458</v>
      </c>
      <c r="F490" s="29" t="s">
        <v>118</v>
      </c>
      <c r="G490" s="29" t="s">
        <v>127</v>
      </c>
      <c r="H490" s="130">
        <v>45678</v>
      </c>
      <c r="I490" s="29"/>
      <c r="J490" s="29"/>
      <c r="K490" s="29"/>
      <c r="L490" s="29"/>
      <c r="M490" s="29"/>
      <c r="N490" s="81"/>
      <c r="O490" s="29"/>
      <c r="P490" s="133"/>
    </row>
    <row r="491" spans="1:16" hidden="1">
      <c r="A491" s="157" t="s">
        <v>410</v>
      </c>
      <c r="B491" s="29">
        <v>21507496</v>
      </c>
      <c r="F491" s="29" t="s">
        <v>118</v>
      </c>
      <c r="G491" s="29" t="s">
        <v>127</v>
      </c>
      <c r="H491" s="130">
        <v>45678</v>
      </c>
      <c r="I491" s="29"/>
      <c r="J491" s="29"/>
      <c r="K491" s="29"/>
      <c r="L491" s="29"/>
      <c r="M491" s="29"/>
      <c r="N491" s="81"/>
      <c r="O491" s="29"/>
      <c r="P491" s="133"/>
    </row>
    <row r="492" spans="1:16" hidden="1">
      <c r="A492" s="157" t="s">
        <v>410</v>
      </c>
      <c r="B492" s="29">
        <v>21507508</v>
      </c>
      <c r="F492" s="29" t="s">
        <v>118</v>
      </c>
      <c r="G492" s="29" t="s">
        <v>127</v>
      </c>
      <c r="H492" s="130">
        <v>45678</v>
      </c>
      <c r="I492" s="29"/>
      <c r="J492" s="29"/>
      <c r="K492" s="29"/>
      <c r="L492" s="29"/>
      <c r="M492" s="29"/>
      <c r="N492" s="81"/>
      <c r="O492" s="29"/>
      <c r="P492" s="133"/>
    </row>
    <row r="493" spans="1:16" hidden="1">
      <c r="A493" s="157" t="s">
        <v>410</v>
      </c>
      <c r="B493" s="29">
        <v>21507522</v>
      </c>
      <c r="F493" s="29" t="s">
        <v>118</v>
      </c>
      <c r="G493" s="29" t="s">
        <v>127</v>
      </c>
      <c r="H493" s="130">
        <v>45678</v>
      </c>
      <c r="I493" s="29"/>
      <c r="J493" s="29"/>
      <c r="K493" s="29"/>
      <c r="L493" s="29"/>
      <c r="M493" s="29"/>
      <c r="N493" s="81"/>
      <c r="O493" s="29"/>
      <c r="P493" s="133"/>
    </row>
    <row r="494" spans="1:16" hidden="1">
      <c r="A494" s="157" t="s">
        <v>410</v>
      </c>
      <c r="B494" s="29">
        <v>15508079</v>
      </c>
      <c r="F494" s="29" t="s">
        <v>118</v>
      </c>
      <c r="G494" s="29" t="s">
        <v>123</v>
      </c>
      <c r="H494" s="130">
        <v>45672</v>
      </c>
      <c r="I494" s="29"/>
      <c r="J494" s="29"/>
      <c r="K494" s="29"/>
      <c r="L494" s="29"/>
      <c r="M494" s="29"/>
      <c r="N494" s="81"/>
      <c r="O494" s="29"/>
      <c r="P494" s="133"/>
    </row>
    <row r="495" spans="1:16" hidden="1">
      <c r="A495" s="157" t="s">
        <v>410</v>
      </c>
      <c r="B495" s="29">
        <v>15508117</v>
      </c>
      <c r="F495" s="29" t="s">
        <v>118</v>
      </c>
      <c r="G495" s="29" t="s">
        <v>123</v>
      </c>
      <c r="H495" s="130">
        <v>45672</v>
      </c>
      <c r="I495" s="29"/>
      <c r="J495" s="29"/>
      <c r="K495" s="29"/>
      <c r="L495" s="29"/>
      <c r="M495" s="29"/>
      <c r="N495" s="81"/>
      <c r="O495" s="29"/>
      <c r="P495" s="133"/>
    </row>
    <row r="496" spans="1:16" hidden="1">
      <c r="A496" s="157" t="s">
        <v>410</v>
      </c>
      <c r="B496" s="29">
        <v>15508166</v>
      </c>
      <c r="F496" s="29" t="s">
        <v>118</v>
      </c>
      <c r="G496" s="29" t="s">
        <v>123</v>
      </c>
      <c r="H496" s="130">
        <v>45672</v>
      </c>
      <c r="I496" s="29"/>
      <c r="J496" s="29"/>
      <c r="K496" s="29"/>
      <c r="L496" s="29"/>
      <c r="M496" s="29"/>
      <c r="N496" s="81"/>
      <c r="O496" s="29"/>
      <c r="P496" s="133"/>
    </row>
    <row r="497" spans="1:16" hidden="1">
      <c r="A497" s="157" t="s">
        <v>410</v>
      </c>
      <c r="B497" s="29">
        <v>15508197</v>
      </c>
      <c r="F497" s="29" t="s">
        <v>118</v>
      </c>
      <c r="G497" s="29" t="s">
        <v>123</v>
      </c>
      <c r="H497" s="130">
        <v>45672</v>
      </c>
      <c r="I497" s="29"/>
      <c r="J497" s="29"/>
      <c r="K497" s="29"/>
      <c r="L497" s="29"/>
      <c r="M497" s="29"/>
      <c r="N497" s="81"/>
      <c r="O497" s="29"/>
      <c r="P497" s="133"/>
    </row>
    <row r="498" spans="1:16" hidden="1">
      <c r="A498" s="157" t="s">
        <v>410</v>
      </c>
      <c r="B498" s="29">
        <v>15508138</v>
      </c>
      <c r="F498" s="29" t="s">
        <v>118</v>
      </c>
      <c r="G498" s="29" t="s">
        <v>123</v>
      </c>
      <c r="H498" s="130">
        <v>45672</v>
      </c>
      <c r="I498" s="29"/>
      <c r="J498" s="29"/>
      <c r="K498" s="29"/>
      <c r="L498" s="29"/>
      <c r="M498" s="29"/>
      <c r="N498" s="81"/>
      <c r="O498" s="29"/>
      <c r="P498" s="133"/>
    </row>
    <row r="499" spans="1:16" hidden="1">
      <c r="A499" s="157" t="s">
        <v>410</v>
      </c>
      <c r="B499" s="29">
        <v>15508079</v>
      </c>
      <c r="F499" s="29" t="s">
        <v>118</v>
      </c>
      <c r="G499" s="29" t="s">
        <v>123</v>
      </c>
      <c r="H499" s="130">
        <v>45672</v>
      </c>
      <c r="I499" s="29"/>
    </row>
    <row r="500" spans="1:16" hidden="1">
      <c r="A500" s="157" t="s">
        <v>410</v>
      </c>
      <c r="B500" s="29">
        <v>15508117</v>
      </c>
      <c r="F500" s="29" t="s">
        <v>118</v>
      </c>
      <c r="G500" s="29" t="s">
        <v>123</v>
      </c>
      <c r="H500" s="130">
        <v>45672</v>
      </c>
      <c r="I500" s="29"/>
    </row>
    <row r="501" spans="1:16" hidden="1">
      <c r="A501" s="157" t="s">
        <v>410</v>
      </c>
      <c r="B501" s="29">
        <v>15508166</v>
      </c>
      <c r="F501" s="29" t="s">
        <v>118</v>
      </c>
      <c r="G501" s="29" t="s">
        <v>123</v>
      </c>
      <c r="H501" s="130">
        <v>45672</v>
      </c>
      <c r="I501" s="29"/>
    </row>
    <row r="502" spans="1:16" hidden="1">
      <c r="A502" s="157" t="s">
        <v>410</v>
      </c>
      <c r="B502" s="29">
        <v>15508197</v>
      </c>
      <c r="F502" s="29" t="s">
        <v>118</v>
      </c>
      <c r="G502" s="29" t="s">
        <v>123</v>
      </c>
      <c r="H502" s="130">
        <v>45672</v>
      </c>
      <c r="I502" s="29"/>
    </row>
    <row r="503" spans="1:16" hidden="1">
      <c r="A503" s="157" t="s">
        <v>410</v>
      </c>
      <c r="B503" s="29">
        <v>15508138</v>
      </c>
      <c r="F503" s="29" t="s">
        <v>118</v>
      </c>
      <c r="G503" s="29" t="s">
        <v>123</v>
      </c>
      <c r="H503" s="130">
        <v>45672</v>
      </c>
      <c r="I503" s="29"/>
    </row>
    <row r="504" spans="1:16" hidden="1">
      <c r="A504" s="157" t="s">
        <v>410</v>
      </c>
      <c r="B504" s="29">
        <v>21507458</v>
      </c>
      <c r="F504" s="29" t="s">
        <v>118</v>
      </c>
      <c r="G504" s="29" t="s">
        <v>127</v>
      </c>
      <c r="H504" s="130">
        <v>45678</v>
      </c>
      <c r="I504" s="29"/>
    </row>
    <row r="505" spans="1:16" hidden="1">
      <c r="A505" s="157" t="s">
        <v>410</v>
      </c>
      <c r="B505" s="29">
        <v>21507496</v>
      </c>
      <c r="F505" s="29" t="s">
        <v>118</v>
      </c>
      <c r="G505" s="29" t="s">
        <v>127</v>
      </c>
      <c r="H505" s="130">
        <v>45678</v>
      </c>
      <c r="I505" s="29"/>
    </row>
    <row r="506" spans="1:16" hidden="1">
      <c r="A506" s="157" t="s">
        <v>410</v>
      </c>
      <c r="B506" s="29">
        <v>21507508</v>
      </c>
      <c r="F506" s="29" t="s">
        <v>118</v>
      </c>
      <c r="G506" s="29" t="s">
        <v>127</v>
      </c>
      <c r="H506" s="130">
        <v>45678</v>
      </c>
      <c r="I506" s="29"/>
    </row>
    <row r="507" spans="1:16" hidden="1">
      <c r="A507" s="157" t="s">
        <v>410</v>
      </c>
      <c r="B507" s="29">
        <v>21507522</v>
      </c>
      <c r="F507" s="29" t="s">
        <v>118</v>
      </c>
      <c r="G507" s="29" t="s">
        <v>127</v>
      </c>
      <c r="H507" s="130">
        <v>45678</v>
      </c>
      <c r="I507" s="29"/>
    </row>
    <row r="508" spans="1:16" hidden="1">
      <c r="A508" s="157" t="s">
        <v>411</v>
      </c>
      <c r="B508" s="29">
        <v>15508269</v>
      </c>
      <c r="F508" s="29" t="s">
        <v>118</v>
      </c>
      <c r="G508" s="29" t="s">
        <v>123</v>
      </c>
      <c r="H508" s="130">
        <v>45672</v>
      </c>
      <c r="I508" s="29"/>
    </row>
    <row r="509" spans="1:16" hidden="1">
      <c r="A509" s="157" t="s">
        <v>411</v>
      </c>
      <c r="B509" s="29">
        <v>15508306</v>
      </c>
      <c r="F509" s="29" t="s">
        <v>118</v>
      </c>
      <c r="G509" s="29" t="s">
        <v>123</v>
      </c>
      <c r="H509" s="130">
        <v>45672</v>
      </c>
      <c r="I509" s="29"/>
    </row>
    <row r="510" spans="1:16" hidden="1">
      <c r="A510" s="157" t="s">
        <v>411</v>
      </c>
      <c r="B510" s="29">
        <v>15508345</v>
      </c>
      <c r="F510" s="29" t="s">
        <v>118</v>
      </c>
      <c r="G510" s="29" t="s">
        <v>123</v>
      </c>
      <c r="H510" s="130">
        <v>45672</v>
      </c>
      <c r="I510" s="29"/>
    </row>
    <row r="511" spans="1:16" hidden="1">
      <c r="A511" s="157" t="s">
        <v>411</v>
      </c>
      <c r="B511" s="29">
        <v>15508377</v>
      </c>
      <c r="F511" s="29" t="s">
        <v>118</v>
      </c>
      <c r="G511" s="29" t="s">
        <v>123</v>
      </c>
      <c r="H511" s="130">
        <v>45672</v>
      </c>
      <c r="I511" s="29"/>
    </row>
    <row r="512" spans="1:16" hidden="1">
      <c r="A512" s="157" t="s">
        <v>411</v>
      </c>
      <c r="B512" s="29">
        <v>21507541</v>
      </c>
      <c r="F512" s="29" t="s">
        <v>118</v>
      </c>
      <c r="G512" s="29" t="s">
        <v>127</v>
      </c>
      <c r="H512" s="130">
        <v>45678</v>
      </c>
      <c r="I512" s="29"/>
    </row>
    <row r="513" spans="1:16" hidden="1">
      <c r="A513" s="157" t="s">
        <v>411</v>
      </c>
      <c r="B513" s="29">
        <v>21507542</v>
      </c>
      <c r="F513" s="29" t="s">
        <v>118</v>
      </c>
      <c r="G513" s="29" t="s">
        <v>127</v>
      </c>
      <c r="H513" s="130">
        <v>45678</v>
      </c>
      <c r="I513" s="29"/>
    </row>
    <row r="514" spans="1:16" hidden="1">
      <c r="A514" s="157" t="s">
        <v>411</v>
      </c>
      <c r="B514" s="29">
        <v>21507549</v>
      </c>
      <c r="F514" s="29" t="s">
        <v>118</v>
      </c>
      <c r="G514" s="29" t="s">
        <v>127</v>
      </c>
      <c r="H514" s="130">
        <v>45678</v>
      </c>
      <c r="I514" s="29"/>
    </row>
    <row r="515" spans="1:16" hidden="1">
      <c r="A515" s="157" t="s">
        <v>411</v>
      </c>
      <c r="B515" s="29">
        <v>21507541</v>
      </c>
      <c r="F515" s="29" t="s">
        <v>118</v>
      </c>
      <c r="G515" s="29" t="s">
        <v>127</v>
      </c>
      <c r="H515" s="130">
        <v>45678</v>
      </c>
      <c r="I515" s="29"/>
      <c r="J515" s="29"/>
      <c r="K515" s="29"/>
      <c r="L515" s="29"/>
      <c r="M515" s="29"/>
      <c r="N515" s="81"/>
      <c r="O515" s="29"/>
      <c r="P515" s="133"/>
    </row>
    <row r="516" spans="1:16" hidden="1">
      <c r="A516" s="157" t="s">
        <v>411</v>
      </c>
      <c r="B516" s="29">
        <v>21507542</v>
      </c>
      <c r="F516" s="29" t="s">
        <v>118</v>
      </c>
      <c r="G516" s="29" t="s">
        <v>127</v>
      </c>
      <c r="H516" s="130">
        <v>45678</v>
      </c>
      <c r="I516" s="29"/>
      <c r="J516" s="29"/>
      <c r="K516" s="29"/>
      <c r="L516" s="29"/>
      <c r="M516" s="29"/>
      <c r="N516" s="81"/>
      <c r="O516" s="29"/>
      <c r="P516" s="133"/>
    </row>
    <row r="517" spans="1:16" hidden="1">
      <c r="A517" s="157" t="s">
        <v>411</v>
      </c>
      <c r="B517" s="29">
        <v>21507549</v>
      </c>
      <c r="F517" s="29" t="s">
        <v>118</v>
      </c>
      <c r="G517" s="29" t="s">
        <v>127</v>
      </c>
      <c r="H517" s="130">
        <v>45678</v>
      </c>
      <c r="I517" s="29"/>
      <c r="J517" s="29"/>
      <c r="K517" s="29"/>
      <c r="L517" s="29"/>
      <c r="M517" s="29"/>
      <c r="N517" s="81"/>
      <c r="O517" s="29"/>
      <c r="P517" s="133"/>
    </row>
    <row r="518" spans="1:16" hidden="1">
      <c r="A518" s="157" t="s">
        <v>411</v>
      </c>
      <c r="B518" s="29">
        <v>21507550</v>
      </c>
      <c r="F518" s="29" t="s">
        <v>118</v>
      </c>
      <c r="G518" s="29" t="s">
        <v>127</v>
      </c>
      <c r="H518" s="130">
        <v>45678</v>
      </c>
      <c r="I518" s="29"/>
      <c r="J518" s="29"/>
      <c r="K518" s="29"/>
      <c r="L518" s="29"/>
      <c r="M518" s="29"/>
      <c r="N518" s="81"/>
      <c r="O518" s="29"/>
      <c r="P518" s="133"/>
    </row>
    <row r="519" spans="1:16" hidden="1">
      <c r="A519" s="157" t="s">
        <v>411</v>
      </c>
      <c r="B519" s="29">
        <v>15508269</v>
      </c>
      <c r="F519" s="29" t="s">
        <v>118</v>
      </c>
      <c r="G519" s="29" t="s">
        <v>123</v>
      </c>
      <c r="H519" s="130">
        <v>45672</v>
      </c>
      <c r="I519" s="29"/>
      <c r="J519" s="29"/>
      <c r="K519" s="29"/>
      <c r="L519" s="29"/>
      <c r="M519" s="29"/>
      <c r="N519" s="81"/>
      <c r="O519" s="29"/>
      <c r="P519" s="133"/>
    </row>
    <row r="520" spans="1:16" hidden="1">
      <c r="A520" s="157" t="s">
        <v>411</v>
      </c>
      <c r="B520" s="29">
        <v>15508306</v>
      </c>
      <c r="F520" s="29" t="s">
        <v>118</v>
      </c>
      <c r="G520" s="29" t="s">
        <v>123</v>
      </c>
      <c r="H520" s="130">
        <v>45672</v>
      </c>
      <c r="I520" s="29"/>
      <c r="J520" s="29"/>
      <c r="K520" s="29"/>
      <c r="L520" s="29"/>
      <c r="M520" s="29"/>
      <c r="N520" s="81"/>
      <c r="O520" s="29"/>
      <c r="P520" s="133"/>
    </row>
    <row r="521" spans="1:16" hidden="1">
      <c r="A521" s="157" t="s">
        <v>411</v>
      </c>
      <c r="B521" s="29">
        <v>15508345</v>
      </c>
      <c r="F521" s="29" t="s">
        <v>118</v>
      </c>
      <c r="G521" s="29" t="s">
        <v>123</v>
      </c>
      <c r="H521" s="130">
        <v>45672</v>
      </c>
      <c r="I521" s="29"/>
      <c r="J521" s="29"/>
      <c r="K521" s="29"/>
      <c r="L521" s="29"/>
      <c r="M521" s="29"/>
      <c r="N521" s="81"/>
      <c r="O521" s="29"/>
      <c r="P521" s="133"/>
    </row>
    <row r="522" spans="1:16" hidden="1">
      <c r="A522" s="157" t="s">
        <v>411</v>
      </c>
      <c r="B522" s="29">
        <v>15508377</v>
      </c>
      <c r="F522" s="29" t="s">
        <v>118</v>
      </c>
      <c r="G522" s="29" t="s">
        <v>123</v>
      </c>
      <c r="H522" s="130">
        <v>45672</v>
      </c>
      <c r="I522" s="29"/>
      <c r="J522" s="29"/>
      <c r="K522" s="29"/>
      <c r="L522" s="29"/>
      <c r="M522" s="29"/>
      <c r="N522" s="81"/>
      <c r="O522" s="29"/>
      <c r="P522" s="133"/>
    </row>
    <row r="523" spans="1:16" hidden="1">
      <c r="A523" s="29" t="s">
        <v>412</v>
      </c>
      <c r="B523" s="29">
        <v>83503643</v>
      </c>
      <c r="F523" s="29" t="s">
        <v>129</v>
      </c>
      <c r="G523" s="29" t="s">
        <v>38</v>
      </c>
      <c r="H523" s="130">
        <v>45740</v>
      </c>
      <c r="I523" s="130">
        <f>WORKDAY(H523, 3)</f>
        <v>45743</v>
      </c>
      <c r="J523" s="130"/>
      <c r="K523" s="29"/>
      <c r="L523" s="29" t="s">
        <v>413</v>
      </c>
      <c r="M523" s="29"/>
      <c r="N523" s="81">
        <v>250</v>
      </c>
    </row>
    <row r="524" spans="1:16" hidden="1">
      <c r="A524" s="161" t="s">
        <v>344</v>
      </c>
      <c r="B524" s="29">
        <v>10507009</v>
      </c>
      <c r="C524" s="29"/>
      <c r="E524" s="29"/>
      <c r="F524" s="29" t="s">
        <v>129</v>
      </c>
      <c r="G524" s="29" t="s">
        <v>304</v>
      </c>
      <c r="H524" s="130">
        <v>45658</v>
      </c>
      <c r="I524" s="130">
        <f t="shared" ref="I524:I587" si="0">WORKDAY(H524, 3)</f>
        <v>45663</v>
      </c>
      <c r="J524" s="130"/>
      <c r="K524" s="130"/>
      <c r="L524" s="129" t="s">
        <v>414</v>
      </c>
      <c r="M524" s="130"/>
      <c r="N524" s="145"/>
      <c r="O524" s="29"/>
      <c r="P524" s="133"/>
    </row>
    <row r="525" spans="1:16" hidden="1">
      <c r="A525" s="157" t="s">
        <v>344</v>
      </c>
      <c r="B525" s="29">
        <v>10507037</v>
      </c>
      <c r="C525" s="29"/>
      <c r="E525" s="29"/>
      <c r="F525" s="29" t="s">
        <v>129</v>
      </c>
      <c r="G525" s="29" t="s">
        <v>304</v>
      </c>
      <c r="H525" s="130">
        <v>45658</v>
      </c>
      <c r="I525" s="130">
        <f t="shared" si="0"/>
        <v>45663</v>
      </c>
      <c r="J525" s="130"/>
      <c r="K525" s="130"/>
      <c r="L525" s="129" t="s">
        <v>414</v>
      </c>
      <c r="M525" s="130"/>
      <c r="N525" s="145"/>
      <c r="O525" s="29"/>
      <c r="P525" s="133"/>
    </row>
    <row r="526" spans="1:16" hidden="1">
      <c r="A526" s="157" t="s">
        <v>344</v>
      </c>
      <c r="B526" s="29">
        <v>10507027</v>
      </c>
      <c r="C526" s="29"/>
      <c r="E526" s="29"/>
      <c r="F526" s="29" t="s">
        <v>129</v>
      </c>
      <c r="G526" s="29" t="s">
        <v>304</v>
      </c>
      <c r="H526" s="130">
        <v>45658</v>
      </c>
      <c r="I526" s="130">
        <f t="shared" si="0"/>
        <v>45663</v>
      </c>
      <c r="J526" s="130"/>
      <c r="K526" s="130"/>
      <c r="L526" s="129" t="s">
        <v>414</v>
      </c>
      <c r="M526" s="130"/>
      <c r="N526" s="145"/>
      <c r="O526" s="29"/>
      <c r="P526" s="133"/>
    </row>
    <row r="527" spans="1:16" hidden="1">
      <c r="A527" s="157" t="s">
        <v>344</v>
      </c>
      <c r="B527" s="29">
        <v>10507008</v>
      </c>
      <c r="C527" s="29"/>
      <c r="E527" s="29"/>
      <c r="F527" s="29" t="s">
        <v>129</v>
      </c>
      <c r="G527" s="29" t="s">
        <v>304</v>
      </c>
      <c r="H527" s="130">
        <v>45658</v>
      </c>
      <c r="I527" s="130">
        <f t="shared" si="0"/>
        <v>45663</v>
      </c>
      <c r="J527" s="130"/>
      <c r="K527" s="130"/>
      <c r="L527" s="129" t="s">
        <v>414</v>
      </c>
      <c r="M527" s="130"/>
      <c r="N527" s="145"/>
      <c r="O527" s="29"/>
      <c r="P527" s="133"/>
    </row>
    <row r="528" spans="1:16" hidden="1">
      <c r="A528" s="157" t="s">
        <v>344</v>
      </c>
      <c r="B528" s="29">
        <v>10507102</v>
      </c>
      <c r="C528" s="29"/>
      <c r="E528" s="29"/>
      <c r="F528" s="29" t="s">
        <v>129</v>
      </c>
      <c r="G528" s="29" t="s">
        <v>304</v>
      </c>
      <c r="H528" s="130">
        <v>45658</v>
      </c>
      <c r="I528" s="130">
        <f t="shared" si="0"/>
        <v>45663</v>
      </c>
      <c r="J528" s="130"/>
      <c r="K528" s="130"/>
      <c r="L528" s="129" t="s">
        <v>414</v>
      </c>
      <c r="M528" s="130"/>
      <c r="N528" s="145"/>
      <c r="O528" s="29"/>
      <c r="P528" s="133"/>
    </row>
    <row r="529" spans="1:16" hidden="1">
      <c r="A529" s="157" t="s">
        <v>344</v>
      </c>
      <c r="B529" s="29">
        <v>10507007</v>
      </c>
      <c r="C529" s="29"/>
      <c r="E529" s="29"/>
      <c r="F529" s="29" t="s">
        <v>129</v>
      </c>
      <c r="G529" s="29" t="s">
        <v>304</v>
      </c>
      <c r="H529" s="130">
        <v>45658</v>
      </c>
      <c r="I529" s="130">
        <f t="shared" si="0"/>
        <v>45663</v>
      </c>
      <c r="J529" s="130"/>
      <c r="K529" s="130"/>
      <c r="L529" s="129" t="s">
        <v>414</v>
      </c>
      <c r="M529" s="130"/>
      <c r="N529" s="145"/>
      <c r="O529" s="29"/>
      <c r="P529" s="133"/>
    </row>
    <row r="530" spans="1:16" hidden="1">
      <c r="A530" s="157" t="s">
        <v>344</v>
      </c>
      <c r="B530" s="29">
        <v>10507014</v>
      </c>
      <c r="C530" s="29"/>
      <c r="E530" s="29"/>
      <c r="F530" s="29" t="s">
        <v>129</v>
      </c>
      <c r="G530" s="29" t="s">
        <v>304</v>
      </c>
      <c r="H530" s="130">
        <v>45658</v>
      </c>
      <c r="I530" s="130">
        <f t="shared" si="0"/>
        <v>45663</v>
      </c>
      <c r="J530" s="130"/>
      <c r="K530" s="130"/>
      <c r="L530" s="129" t="s">
        <v>414</v>
      </c>
      <c r="M530" s="130"/>
      <c r="N530" s="145"/>
      <c r="O530" s="29"/>
      <c r="P530" s="133"/>
    </row>
    <row r="531" spans="1:16" hidden="1">
      <c r="A531" s="157" t="s">
        <v>415</v>
      </c>
      <c r="B531" s="29">
        <v>6508533</v>
      </c>
      <c r="C531" s="29"/>
      <c r="E531" s="29"/>
      <c r="F531" s="29" t="s">
        <v>118</v>
      </c>
      <c r="G531" s="29" t="s">
        <v>402</v>
      </c>
      <c r="H531" s="130">
        <v>45659</v>
      </c>
      <c r="I531" s="130">
        <f t="shared" si="0"/>
        <v>45664</v>
      </c>
      <c r="J531" s="130"/>
      <c r="K531" s="130"/>
      <c r="L531" s="129" t="s">
        <v>414</v>
      </c>
      <c r="M531" s="130"/>
      <c r="N531" s="145"/>
      <c r="O531" s="29"/>
      <c r="P531" s="133"/>
    </row>
    <row r="532" spans="1:16" hidden="1">
      <c r="A532" s="157" t="s">
        <v>415</v>
      </c>
      <c r="B532" s="29">
        <v>6506107</v>
      </c>
      <c r="C532" s="29"/>
      <c r="E532" s="29"/>
      <c r="F532" s="29" t="s">
        <v>118</v>
      </c>
      <c r="G532" s="29" t="s">
        <v>402</v>
      </c>
      <c r="H532" s="130">
        <v>45659</v>
      </c>
      <c r="I532" s="130">
        <f t="shared" si="0"/>
        <v>45664</v>
      </c>
      <c r="J532" s="130"/>
      <c r="K532" s="130"/>
      <c r="L532" s="129" t="s">
        <v>414</v>
      </c>
      <c r="M532" s="130"/>
      <c r="N532" s="145"/>
      <c r="O532" s="29"/>
      <c r="P532" s="133"/>
    </row>
    <row r="533" spans="1:16" hidden="1">
      <c r="A533" s="157" t="s">
        <v>415</v>
      </c>
      <c r="B533" s="29">
        <v>6506134</v>
      </c>
      <c r="C533" s="29"/>
      <c r="E533" s="29"/>
      <c r="F533" s="29" t="s">
        <v>118</v>
      </c>
      <c r="G533" s="29" t="s">
        <v>402</v>
      </c>
      <c r="H533" s="130">
        <v>45659</v>
      </c>
      <c r="I533" s="130">
        <f t="shared" si="0"/>
        <v>45664</v>
      </c>
      <c r="J533" s="130"/>
      <c r="K533" s="130"/>
      <c r="L533" s="129" t="s">
        <v>414</v>
      </c>
      <c r="M533" s="130"/>
      <c r="N533" s="145"/>
      <c r="O533" s="29"/>
      <c r="P533" s="133"/>
    </row>
    <row r="534" spans="1:16" hidden="1">
      <c r="A534" s="157" t="s">
        <v>415</v>
      </c>
      <c r="B534" s="29">
        <v>6506217</v>
      </c>
      <c r="C534" s="29"/>
      <c r="E534" s="29"/>
      <c r="F534" s="29" t="s">
        <v>118</v>
      </c>
      <c r="G534" s="29" t="s">
        <v>402</v>
      </c>
      <c r="H534" s="130">
        <v>45659</v>
      </c>
      <c r="I534" s="130">
        <f t="shared" si="0"/>
        <v>45664</v>
      </c>
      <c r="J534" s="130"/>
      <c r="K534" s="130"/>
      <c r="L534" s="129" t="s">
        <v>414</v>
      </c>
      <c r="M534" s="130"/>
      <c r="N534" s="145"/>
      <c r="O534" s="29"/>
      <c r="P534" s="133"/>
    </row>
    <row r="535" spans="1:16" hidden="1">
      <c r="A535" s="157" t="s">
        <v>415</v>
      </c>
      <c r="B535" s="29">
        <v>6506261</v>
      </c>
      <c r="C535" s="29"/>
      <c r="E535" s="29"/>
      <c r="F535" s="29" t="s">
        <v>118</v>
      </c>
      <c r="G535" s="29" t="s">
        <v>402</v>
      </c>
      <c r="H535" s="130">
        <v>45659</v>
      </c>
      <c r="I535" s="130">
        <f t="shared" si="0"/>
        <v>45664</v>
      </c>
      <c r="J535" s="130"/>
      <c r="K535" s="130"/>
      <c r="L535" s="129" t="s">
        <v>414</v>
      </c>
      <c r="M535" s="130"/>
      <c r="N535" s="145"/>
      <c r="O535" s="29"/>
      <c r="P535" s="133"/>
    </row>
    <row r="536" spans="1:16" hidden="1">
      <c r="A536" s="157" t="s">
        <v>415</v>
      </c>
      <c r="B536" s="29">
        <v>6506316</v>
      </c>
      <c r="C536" s="29"/>
      <c r="E536" s="29"/>
      <c r="F536" s="29" t="s">
        <v>118</v>
      </c>
      <c r="G536" s="29" t="s">
        <v>402</v>
      </c>
      <c r="H536" s="130">
        <v>45659</v>
      </c>
      <c r="I536" s="130">
        <f t="shared" si="0"/>
        <v>45664</v>
      </c>
      <c r="J536" s="130"/>
      <c r="K536" s="130"/>
      <c r="L536" s="129" t="s">
        <v>414</v>
      </c>
      <c r="M536" s="130"/>
      <c r="N536" s="145"/>
      <c r="O536" s="29"/>
      <c r="P536" s="133"/>
    </row>
    <row r="537" spans="1:16" hidden="1">
      <c r="A537" s="157" t="s">
        <v>415</v>
      </c>
      <c r="B537" s="29">
        <v>6506332</v>
      </c>
      <c r="C537" s="29"/>
      <c r="E537" s="29"/>
      <c r="F537" s="29" t="s">
        <v>118</v>
      </c>
      <c r="G537" s="29" t="s">
        <v>402</v>
      </c>
      <c r="H537" s="130">
        <v>45659</v>
      </c>
      <c r="I537" s="130">
        <f t="shared" si="0"/>
        <v>45664</v>
      </c>
      <c r="J537" s="130"/>
      <c r="K537" s="130"/>
      <c r="L537" s="129" t="s">
        <v>414</v>
      </c>
      <c r="M537" s="130"/>
      <c r="N537" s="145"/>
      <c r="O537" s="29"/>
      <c r="P537" s="133"/>
    </row>
    <row r="538" spans="1:16" hidden="1">
      <c r="A538" s="157" t="s">
        <v>415</v>
      </c>
      <c r="B538" s="29">
        <v>6506420</v>
      </c>
      <c r="C538" s="29"/>
      <c r="E538" s="29"/>
      <c r="F538" s="29" t="s">
        <v>118</v>
      </c>
      <c r="G538" s="29" t="s">
        <v>402</v>
      </c>
      <c r="H538" s="130">
        <v>45659</v>
      </c>
      <c r="I538" s="130">
        <f t="shared" si="0"/>
        <v>45664</v>
      </c>
      <c r="J538" s="130"/>
      <c r="K538" s="130"/>
      <c r="L538" s="129" t="s">
        <v>414</v>
      </c>
      <c r="M538" s="130"/>
      <c r="N538" s="145"/>
      <c r="O538" s="29"/>
      <c r="P538" s="133"/>
    </row>
    <row r="539" spans="1:16" hidden="1">
      <c r="A539" s="157" t="s">
        <v>415</v>
      </c>
      <c r="B539" s="29">
        <v>6506478</v>
      </c>
      <c r="C539" s="29"/>
      <c r="E539" s="29"/>
      <c r="F539" s="29" t="s">
        <v>118</v>
      </c>
      <c r="G539" s="29" t="s">
        <v>402</v>
      </c>
      <c r="H539" s="130">
        <v>45659</v>
      </c>
      <c r="I539" s="130">
        <f t="shared" si="0"/>
        <v>45664</v>
      </c>
      <c r="J539" s="130"/>
      <c r="K539" s="130"/>
      <c r="L539" s="129" t="s">
        <v>414</v>
      </c>
      <c r="M539" s="130"/>
      <c r="N539" s="145"/>
      <c r="O539" s="29"/>
      <c r="P539" s="133"/>
    </row>
    <row r="540" spans="1:16" hidden="1">
      <c r="A540" s="157" t="s">
        <v>415</v>
      </c>
      <c r="B540" s="29">
        <v>6508047</v>
      </c>
      <c r="C540" s="29"/>
      <c r="E540" s="29"/>
      <c r="F540" s="29" t="s">
        <v>118</v>
      </c>
      <c r="G540" s="29" t="s">
        <v>402</v>
      </c>
      <c r="H540" s="130">
        <v>45659</v>
      </c>
      <c r="I540" s="130">
        <f t="shared" si="0"/>
        <v>45664</v>
      </c>
      <c r="J540" s="130"/>
      <c r="K540" s="130"/>
      <c r="L540" s="129" t="s">
        <v>414</v>
      </c>
      <c r="M540" s="130"/>
      <c r="N540" s="145"/>
      <c r="O540" s="29"/>
      <c r="P540" s="133"/>
    </row>
    <row r="541" spans="1:16" hidden="1">
      <c r="A541" s="157" t="s">
        <v>415</v>
      </c>
      <c r="B541" s="29">
        <v>6506487</v>
      </c>
      <c r="C541" s="29"/>
      <c r="E541" s="29"/>
      <c r="F541" s="29" t="s">
        <v>118</v>
      </c>
      <c r="G541" s="29" t="s">
        <v>402</v>
      </c>
      <c r="H541" s="130">
        <v>45659</v>
      </c>
      <c r="I541" s="130">
        <f t="shared" si="0"/>
        <v>45664</v>
      </c>
      <c r="J541" s="130"/>
      <c r="K541" s="130"/>
      <c r="L541" s="129" t="s">
        <v>414</v>
      </c>
      <c r="M541" s="130"/>
      <c r="N541" s="145"/>
      <c r="O541" s="29"/>
      <c r="P541" s="133"/>
    </row>
    <row r="542" spans="1:16" hidden="1">
      <c r="A542" s="157" t="s">
        <v>415</v>
      </c>
      <c r="B542" s="29">
        <v>6506502</v>
      </c>
      <c r="C542" s="29"/>
      <c r="E542" s="29"/>
      <c r="F542" s="29" t="s">
        <v>118</v>
      </c>
      <c r="G542" s="29" t="s">
        <v>402</v>
      </c>
      <c r="H542" s="130">
        <v>45659</v>
      </c>
      <c r="I542" s="130">
        <f t="shared" si="0"/>
        <v>45664</v>
      </c>
      <c r="J542" s="130"/>
      <c r="K542" s="130"/>
      <c r="L542" s="129" t="s">
        <v>414</v>
      </c>
      <c r="M542" s="130"/>
      <c r="N542" s="145"/>
      <c r="O542" s="29"/>
      <c r="P542" s="133"/>
    </row>
    <row r="543" spans="1:16" hidden="1">
      <c r="A543" s="157" t="s">
        <v>415</v>
      </c>
      <c r="B543" s="29">
        <v>6506520</v>
      </c>
      <c r="C543" s="29"/>
      <c r="E543" s="29"/>
      <c r="F543" s="29" t="s">
        <v>118</v>
      </c>
      <c r="G543" s="29" t="s">
        <v>402</v>
      </c>
      <c r="H543" s="130">
        <v>45659</v>
      </c>
      <c r="I543" s="130">
        <f t="shared" si="0"/>
        <v>45664</v>
      </c>
      <c r="J543" s="130"/>
      <c r="K543" s="130"/>
      <c r="L543" s="129" t="s">
        <v>414</v>
      </c>
      <c r="M543" s="130"/>
      <c r="N543" s="145"/>
      <c r="O543" s="29"/>
      <c r="P543" s="133"/>
    </row>
    <row r="544" spans="1:16" hidden="1">
      <c r="A544" s="157" t="s">
        <v>344</v>
      </c>
      <c r="B544" s="29">
        <v>9504725</v>
      </c>
      <c r="C544" s="29"/>
      <c r="E544" s="29"/>
      <c r="F544" s="29" t="s">
        <v>129</v>
      </c>
      <c r="G544" s="137" t="s">
        <v>255</v>
      </c>
      <c r="H544" s="130">
        <v>45666</v>
      </c>
      <c r="I544" s="130">
        <f t="shared" si="0"/>
        <v>45671</v>
      </c>
      <c r="J544" s="130"/>
      <c r="K544" s="130"/>
      <c r="L544" s="129" t="s">
        <v>414</v>
      </c>
      <c r="M544" s="130"/>
      <c r="N544" s="145"/>
      <c r="O544" s="137" t="s">
        <v>416</v>
      </c>
      <c r="P544" s="133"/>
    </row>
    <row r="545" spans="1:16" ht="29.25" hidden="1">
      <c r="A545" s="157" t="s">
        <v>344</v>
      </c>
      <c r="B545" s="29">
        <v>9502380</v>
      </c>
      <c r="C545" s="29"/>
      <c r="E545" s="29"/>
      <c r="F545" s="29" t="s">
        <v>129</v>
      </c>
      <c r="G545" s="137" t="s">
        <v>255</v>
      </c>
      <c r="H545" s="130">
        <v>45666</v>
      </c>
      <c r="I545" s="130">
        <f t="shared" si="0"/>
        <v>45671</v>
      </c>
      <c r="J545" s="130"/>
      <c r="K545" s="130"/>
      <c r="L545" s="129" t="s">
        <v>414</v>
      </c>
      <c r="M545" s="130"/>
      <c r="N545" s="145"/>
      <c r="O545" s="137" t="s">
        <v>417</v>
      </c>
      <c r="P545" s="133"/>
    </row>
    <row r="546" spans="1:16" ht="29.25" hidden="1">
      <c r="A546" s="157" t="s">
        <v>344</v>
      </c>
      <c r="B546" s="29">
        <v>9501187</v>
      </c>
      <c r="C546" s="29"/>
      <c r="E546" s="29"/>
      <c r="F546" s="29" t="s">
        <v>129</v>
      </c>
      <c r="G546" s="137" t="s">
        <v>255</v>
      </c>
      <c r="H546" s="130">
        <v>45666</v>
      </c>
      <c r="I546" s="130">
        <f t="shared" si="0"/>
        <v>45671</v>
      </c>
      <c r="J546" s="130"/>
      <c r="K546" s="130"/>
      <c r="L546" s="129" t="s">
        <v>414</v>
      </c>
      <c r="M546" s="130"/>
      <c r="N546" s="145"/>
      <c r="O546" s="137" t="s">
        <v>418</v>
      </c>
      <c r="P546" s="133"/>
    </row>
    <row r="547" spans="1:16" hidden="1">
      <c r="A547" s="157" t="s">
        <v>344</v>
      </c>
      <c r="B547" s="29">
        <v>10507009</v>
      </c>
      <c r="C547" s="29"/>
      <c r="E547" s="29"/>
      <c r="F547" s="29" t="s">
        <v>129</v>
      </c>
      <c r="G547" s="29" t="s">
        <v>304</v>
      </c>
      <c r="H547" s="130">
        <v>45667</v>
      </c>
      <c r="I547" s="130">
        <f t="shared" si="0"/>
        <v>45672</v>
      </c>
      <c r="J547" s="130"/>
      <c r="K547" s="130"/>
      <c r="L547" s="129" t="s">
        <v>414</v>
      </c>
      <c r="M547" s="130"/>
      <c r="N547" s="145"/>
      <c r="O547" s="29" t="s">
        <v>419</v>
      </c>
      <c r="P547" s="133"/>
    </row>
    <row r="548" spans="1:16" hidden="1">
      <c r="A548" s="157" t="s">
        <v>344</v>
      </c>
      <c r="B548" s="29">
        <v>10507014</v>
      </c>
      <c r="C548" s="29"/>
      <c r="E548" s="29"/>
      <c r="F548" s="29" t="s">
        <v>129</v>
      </c>
      <c r="G548" s="29" t="s">
        <v>304</v>
      </c>
      <c r="H548" s="130">
        <v>45667</v>
      </c>
      <c r="I548" s="130">
        <f t="shared" si="0"/>
        <v>45672</v>
      </c>
      <c r="J548" s="130"/>
      <c r="K548" s="130"/>
      <c r="L548" s="129" t="s">
        <v>414</v>
      </c>
      <c r="M548" s="130"/>
      <c r="N548" s="145"/>
      <c r="O548" s="29" t="s">
        <v>419</v>
      </c>
      <c r="P548" s="133"/>
    </row>
    <row r="549" spans="1:16" hidden="1">
      <c r="A549" s="157" t="s">
        <v>344</v>
      </c>
      <c r="B549" s="29">
        <v>10507027</v>
      </c>
      <c r="C549" s="29"/>
      <c r="E549" s="29"/>
      <c r="F549" s="29" t="s">
        <v>129</v>
      </c>
      <c r="G549" s="29" t="s">
        <v>304</v>
      </c>
      <c r="H549" s="130">
        <v>45667</v>
      </c>
      <c r="I549" s="130">
        <f t="shared" si="0"/>
        <v>45672</v>
      </c>
      <c r="J549" s="130"/>
      <c r="K549" s="130"/>
      <c r="L549" s="129" t="s">
        <v>414</v>
      </c>
      <c r="M549" s="130"/>
      <c r="N549" s="145"/>
      <c r="O549" s="29" t="s">
        <v>419</v>
      </c>
      <c r="P549" s="133"/>
    </row>
    <row r="550" spans="1:16" hidden="1">
      <c r="A550" s="157" t="s">
        <v>344</v>
      </c>
      <c r="B550" s="29">
        <v>10507008</v>
      </c>
      <c r="C550" s="29"/>
      <c r="E550" s="29"/>
      <c r="F550" s="29" t="s">
        <v>129</v>
      </c>
      <c r="G550" s="29" t="s">
        <v>304</v>
      </c>
      <c r="H550" s="130">
        <v>45667</v>
      </c>
      <c r="I550" s="130">
        <f t="shared" si="0"/>
        <v>45672</v>
      </c>
      <c r="J550" s="130"/>
      <c r="K550" s="130"/>
      <c r="L550" s="129" t="s">
        <v>414</v>
      </c>
      <c r="M550" s="130"/>
      <c r="N550" s="145"/>
      <c r="O550" s="29" t="s">
        <v>419</v>
      </c>
      <c r="P550" s="133"/>
    </row>
    <row r="551" spans="1:16" hidden="1">
      <c r="A551" s="157" t="s">
        <v>344</v>
      </c>
      <c r="B551" s="29">
        <v>10507003</v>
      </c>
      <c r="C551" s="29"/>
      <c r="E551" s="29"/>
      <c r="F551" s="29" t="s">
        <v>129</v>
      </c>
      <c r="G551" s="29" t="s">
        <v>304</v>
      </c>
      <c r="H551" s="130">
        <v>45667</v>
      </c>
      <c r="I551" s="130">
        <f t="shared" si="0"/>
        <v>45672</v>
      </c>
      <c r="J551" s="130"/>
      <c r="K551" s="130"/>
      <c r="L551" s="129" t="s">
        <v>414</v>
      </c>
      <c r="M551" s="130"/>
      <c r="N551" s="145"/>
      <c r="O551" s="29" t="s">
        <v>419</v>
      </c>
      <c r="P551" s="133"/>
    </row>
    <row r="552" spans="1:16" hidden="1">
      <c r="A552" s="157" t="s">
        <v>344</v>
      </c>
      <c r="B552" s="29">
        <v>8509919</v>
      </c>
      <c r="C552" s="29"/>
      <c r="E552" s="29"/>
      <c r="F552" s="29" t="s">
        <v>129</v>
      </c>
      <c r="G552" s="137" t="s">
        <v>255</v>
      </c>
      <c r="H552" s="130">
        <v>45668</v>
      </c>
      <c r="I552" s="130">
        <f t="shared" si="0"/>
        <v>45672</v>
      </c>
      <c r="J552" s="130"/>
      <c r="K552" s="130"/>
      <c r="L552" s="129" t="s">
        <v>414</v>
      </c>
      <c r="M552" s="130"/>
      <c r="N552" s="145"/>
      <c r="O552" s="137" t="s">
        <v>420</v>
      </c>
      <c r="P552" s="133"/>
    </row>
    <row r="553" spans="1:16" ht="29.25" hidden="1">
      <c r="A553" s="157" t="s">
        <v>344</v>
      </c>
      <c r="B553" s="29">
        <v>8509573</v>
      </c>
      <c r="C553" s="29"/>
      <c r="E553" s="29"/>
      <c r="F553" s="29" t="s">
        <v>129</v>
      </c>
      <c r="G553" s="137" t="s">
        <v>255</v>
      </c>
      <c r="H553" s="130">
        <v>45668</v>
      </c>
      <c r="I553" s="130">
        <f t="shared" si="0"/>
        <v>45672</v>
      </c>
      <c r="J553" s="130"/>
      <c r="K553" s="130"/>
      <c r="L553" s="129" t="s">
        <v>414</v>
      </c>
      <c r="M553" s="130"/>
      <c r="N553" s="145"/>
      <c r="O553" s="137" t="s">
        <v>421</v>
      </c>
      <c r="P553" s="133"/>
    </row>
    <row r="554" spans="1:16" ht="29.25" hidden="1">
      <c r="A554" s="157" t="s">
        <v>344</v>
      </c>
      <c r="B554" s="29">
        <v>14509553</v>
      </c>
      <c r="C554" s="29"/>
      <c r="E554" s="29"/>
      <c r="F554" s="29" t="s">
        <v>129</v>
      </c>
      <c r="G554" s="137" t="s">
        <v>255</v>
      </c>
      <c r="H554" s="130">
        <v>45671</v>
      </c>
      <c r="I554" s="130">
        <f t="shared" si="0"/>
        <v>45674</v>
      </c>
      <c r="J554" s="130"/>
      <c r="K554" s="130"/>
      <c r="L554" s="129" t="s">
        <v>414</v>
      </c>
      <c r="M554" s="130"/>
      <c r="N554" s="145"/>
      <c r="O554" s="137" t="s">
        <v>422</v>
      </c>
      <c r="P554" s="133"/>
    </row>
    <row r="555" spans="1:16" hidden="1">
      <c r="A555" s="157" t="s">
        <v>344</v>
      </c>
      <c r="B555" s="29">
        <v>14509533</v>
      </c>
      <c r="C555" s="29"/>
      <c r="E555" s="29"/>
      <c r="F555" s="29" t="s">
        <v>129</v>
      </c>
      <c r="G555" s="137" t="s">
        <v>255</v>
      </c>
      <c r="H555" s="130">
        <v>45671</v>
      </c>
      <c r="I555" s="130">
        <f t="shared" si="0"/>
        <v>45674</v>
      </c>
      <c r="J555" s="130"/>
      <c r="K555" s="130"/>
      <c r="L555" s="129" t="s">
        <v>414</v>
      </c>
      <c r="M555" s="130"/>
      <c r="N555" s="145"/>
      <c r="O555" s="137" t="s">
        <v>423</v>
      </c>
      <c r="P555" s="133"/>
    </row>
    <row r="556" spans="1:16" hidden="1">
      <c r="A556" s="157" t="s">
        <v>344</v>
      </c>
      <c r="B556" s="29">
        <v>14509506</v>
      </c>
      <c r="C556" s="29"/>
      <c r="E556" s="29"/>
      <c r="F556" s="29" t="s">
        <v>129</v>
      </c>
      <c r="G556" s="137" t="s">
        <v>255</v>
      </c>
      <c r="H556" s="130">
        <v>45671</v>
      </c>
      <c r="I556" s="130">
        <f t="shared" si="0"/>
        <v>45674</v>
      </c>
      <c r="J556" s="130"/>
      <c r="K556" s="130"/>
      <c r="L556" s="129" t="s">
        <v>414</v>
      </c>
      <c r="M556" s="130"/>
      <c r="N556" s="145"/>
      <c r="O556" s="137" t="s">
        <v>424</v>
      </c>
      <c r="P556" s="133"/>
    </row>
    <row r="557" spans="1:16" hidden="1">
      <c r="A557" s="157" t="s">
        <v>344</v>
      </c>
      <c r="B557" s="29">
        <v>14509481</v>
      </c>
      <c r="C557" s="29"/>
      <c r="E557" s="29"/>
      <c r="F557" s="29" t="s">
        <v>129</v>
      </c>
      <c r="G557" s="137" t="s">
        <v>255</v>
      </c>
      <c r="H557" s="130">
        <v>45671</v>
      </c>
      <c r="I557" s="130">
        <f t="shared" si="0"/>
        <v>45674</v>
      </c>
      <c r="J557" s="130"/>
      <c r="K557" s="130"/>
      <c r="L557" s="129" t="s">
        <v>414</v>
      </c>
      <c r="M557" s="130"/>
      <c r="N557" s="145"/>
      <c r="O557" s="137" t="s">
        <v>425</v>
      </c>
      <c r="P557" s="133"/>
    </row>
    <row r="558" spans="1:16" hidden="1">
      <c r="A558" s="157" t="s">
        <v>344</v>
      </c>
      <c r="B558" s="29">
        <v>9504332</v>
      </c>
      <c r="C558" s="29"/>
      <c r="E558" s="29"/>
      <c r="F558" s="29" t="s">
        <v>129</v>
      </c>
      <c r="G558" s="137" t="s">
        <v>255</v>
      </c>
      <c r="H558" s="130">
        <v>45671</v>
      </c>
      <c r="I558" s="130">
        <f t="shared" si="0"/>
        <v>45674</v>
      </c>
      <c r="J558" s="130"/>
      <c r="K558" s="130"/>
      <c r="L558" s="129" t="s">
        <v>414</v>
      </c>
      <c r="M558" s="130"/>
      <c r="N558" s="145"/>
      <c r="O558" s="137" t="s">
        <v>426</v>
      </c>
      <c r="P558" s="133"/>
    </row>
    <row r="559" spans="1:16" ht="29.25" hidden="1">
      <c r="A559" s="157" t="s">
        <v>344</v>
      </c>
      <c r="B559" s="29">
        <v>14509608</v>
      </c>
      <c r="C559" s="29"/>
      <c r="E559" s="29"/>
      <c r="F559" s="29" t="s">
        <v>129</v>
      </c>
      <c r="G559" s="137" t="s">
        <v>255</v>
      </c>
      <c r="H559" s="130">
        <v>45671</v>
      </c>
      <c r="I559" s="130">
        <f t="shared" si="0"/>
        <v>45674</v>
      </c>
      <c r="J559" s="130"/>
      <c r="K559" s="130"/>
      <c r="L559" s="129" t="s">
        <v>414</v>
      </c>
      <c r="M559" s="130"/>
      <c r="N559" s="145"/>
      <c r="O559" s="137" t="s">
        <v>427</v>
      </c>
      <c r="P559" s="133"/>
    </row>
    <row r="560" spans="1:16" ht="29.25" hidden="1">
      <c r="A560" s="157" t="s">
        <v>344</v>
      </c>
      <c r="B560" s="29">
        <v>14509573</v>
      </c>
      <c r="C560" s="29"/>
      <c r="E560" s="29"/>
      <c r="F560" s="29" t="s">
        <v>129</v>
      </c>
      <c r="G560" s="137" t="s">
        <v>255</v>
      </c>
      <c r="H560" s="130">
        <v>45671</v>
      </c>
      <c r="I560" s="130">
        <f t="shared" si="0"/>
        <v>45674</v>
      </c>
      <c r="J560" s="130"/>
      <c r="K560" s="130"/>
      <c r="L560" s="129" t="s">
        <v>414</v>
      </c>
      <c r="M560" s="130"/>
      <c r="N560" s="145"/>
      <c r="O560" s="137" t="s">
        <v>428</v>
      </c>
      <c r="P560" s="133"/>
    </row>
    <row r="561" spans="1:16" hidden="1">
      <c r="A561" s="157" t="s">
        <v>344</v>
      </c>
      <c r="B561" s="29">
        <v>14509450</v>
      </c>
      <c r="C561" s="29"/>
      <c r="E561" s="29"/>
      <c r="F561" s="29" t="s">
        <v>129</v>
      </c>
      <c r="G561" s="137" t="s">
        <v>255</v>
      </c>
      <c r="H561" s="130">
        <v>45671</v>
      </c>
      <c r="I561" s="130">
        <f t="shared" si="0"/>
        <v>45674</v>
      </c>
      <c r="J561" s="130"/>
      <c r="K561" s="130"/>
      <c r="L561" s="129" t="s">
        <v>414</v>
      </c>
      <c r="M561" s="130"/>
      <c r="N561" s="145"/>
      <c r="O561" s="137" t="s">
        <v>429</v>
      </c>
      <c r="P561" s="133"/>
    </row>
    <row r="562" spans="1:16" hidden="1">
      <c r="A562" s="157" t="s">
        <v>430</v>
      </c>
      <c r="B562" s="41">
        <v>16500038</v>
      </c>
      <c r="C562" s="41"/>
      <c r="E562" s="41"/>
      <c r="F562" s="29" t="s">
        <v>118</v>
      </c>
      <c r="G562" s="29" t="s">
        <v>127</v>
      </c>
      <c r="H562" s="130">
        <v>45673</v>
      </c>
      <c r="I562" s="130">
        <f t="shared" si="0"/>
        <v>45678</v>
      </c>
      <c r="J562" s="130"/>
      <c r="K562" s="130"/>
      <c r="L562" s="129" t="s">
        <v>414</v>
      </c>
      <c r="M562" s="130"/>
      <c r="N562" s="145"/>
      <c r="O562" s="29" t="s">
        <v>431</v>
      </c>
      <c r="P562" s="133"/>
    </row>
    <row r="563" spans="1:16" hidden="1">
      <c r="A563" s="157" t="s">
        <v>430</v>
      </c>
      <c r="B563" s="29">
        <v>16500048</v>
      </c>
      <c r="C563" s="29"/>
      <c r="E563" s="29"/>
      <c r="F563" s="29" t="s">
        <v>118</v>
      </c>
      <c r="G563" s="29" t="s">
        <v>127</v>
      </c>
      <c r="H563" s="130">
        <v>45673</v>
      </c>
      <c r="I563" s="130">
        <f t="shared" si="0"/>
        <v>45678</v>
      </c>
      <c r="J563" s="130"/>
      <c r="K563" s="130"/>
      <c r="L563" s="129" t="s">
        <v>414</v>
      </c>
      <c r="M563" s="130"/>
      <c r="N563" s="145"/>
      <c r="O563" s="29" t="s">
        <v>432</v>
      </c>
      <c r="P563" s="133"/>
    </row>
    <row r="564" spans="1:16" hidden="1">
      <c r="A564" s="157" t="s">
        <v>430</v>
      </c>
      <c r="B564" s="29">
        <v>16509247</v>
      </c>
      <c r="C564" s="29"/>
      <c r="E564" s="29"/>
      <c r="F564" s="29" t="s">
        <v>118</v>
      </c>
      <c r="G564" s="29" t="s">
        <v>127</v>
      </c>
      <c r="H564" s="130">
        <v>45673</v>
      </c>
      <c r="I564" s="130">
        <f t="shared" si="0"/>
        <v>45678</v>
      </c>
      <c r="J564" s="130"/>
      <c r="K564" s="130"/>
      <c r="L564" s="129" t="s">
        <v>414</v>
      </c>
      <c r="M564" s="130"/>
      <c r="N564" s="145"/>
      <c r="O564" s="29" t="s">
        <v>433</v>
      </c>
      <c r="P564" s="133"/>
    </row>
    <row r="565" spans="1:16" hidden="1">
      <c r="A565" s="157" t="s">
        <v>430</v>
      </c>
      <c r="B565" s="29">
        <v>16509177</v>
      </c>
      <c r="C565" s="29"/>
      <c r="E565" s="29"/>
      <c r="F565" s="29" t="s">
        <v>118</v>
      </c>
      <c r="G565" s="29" t="s">
        <v>127</v>
      </c>
      <c r="H565" s="130">
        <v>45673</v>
      </c>
      <c r="I565" s="130">
        <f t="shared" si="0"/>
        <v>45678</v>
      </c>
      <c r="J565" s="130"/>
      <c r="K565" s="130"/>
      <c r="L565" s="129" t="s">
        <v>414</v>
      </c>
      <c r="M565" s="130"/>
      <c r="N565" s="145"/>
      <c r="O565" s="29" t="s">
        <v>434</v>
      </c>
      <c r="P565" s="133"/>
    </row>
    <row r="566" spans="1:16" hidden="1">
      <c r="A566" s="157" t="s">
        <v>430</v>
      </c>
      <c r="B566" s="29">
        <v>16509169</v>
      </c>
      <c r="C566" s="29"/>
      <c r="E566" s="29"/>
      <c r="F566" s="29" t="s">
        <v>118</v>
      </c>
      <c r="G566" s="29" t="s">
        <v>127</v>
      </c>
      <c r="H566" s="130">
        <v>45673</v>
      </c>
      <c r="I566" s="130">
        <f t="shared" si="0"/>
        <v>45678</v>
      </c>
      <c r="J566" s="130"/>
      <c r="K566" s="130"/>
      <c r="L566" s="129" t="s">
        <v>414</v>
      </c>
      <c r="M566" s="130"/>
      <c r="N566" s="145"/>
      <c r="O566" s="29" t="s">
        <v>435</v>
      </c>
      <c r="P566" s="133"/>
    </row>
    <row r="567" spans="1:16" hidden="1">
      <c r="A567" s="157" t="s">
        <v>430</v>
      </c>
      <c r="B567" s="29">
        <v>16508362</v>
      </c>
      <c r="C567" s="29"/>
      <c r="E567" s="29"/>
      <c r="F567" s="29" t="s">
        <v>118</v>
      </c>
      <c r="G567" s="29" t="s">
        <v>127</v>
      </c>
      <c r="H567" s="130">
        <v>45673</v>
      </c>
      <c r="I567" s="130">
        <f t="shared" si="0"/>
        <v>45678</v>
      </c>
      <c r="J567" s="130"/>
      <c r="K567" s="130"/>
      <c r="L567" s="129" t="s">
        <v>414</v>
      </c>
      <c r="M567" s="130"/>
      <c r="N567" s="145"/>
      <c r="O567" s="29" t="s">
        <v>436</v>
      </c>
      <c r="P567" s="133"/>
    </row>
    <row r="568" spans="1:16" hidden="1">
      <c r="A568" s="29" t="s">
        <v>344</v>
      </c>
      <c r="B568" s="29">
        <v>17507042</v>
      </c>
      <c r="C568" s="29"/>
      <c r="E568" s="29"/>
      <c r="F568" s="29" t="s">
        <v>129</v>
      </c>
      <c r="G568" s="29" t="s">
        <v>437</v>
      </c>
      <c r="H568" s="130">
        <v>45674</v>
      </c>
      <c r="I568" s="130">
        <f t="shared" si="0"/>
        <v>45679</v>
      </c>
      <c r="J568" s="130"/>
      <c r="K568" s="130"/>
      <c r="L568" s="129" t="s">
        <v>414</v>
      </c>
      <c r="M568" s="130"/>
      <c r="N568" s="145"/>
      <c r="O568" s="29"/>
      <c r="P568" s="133"/>
    </row>
    <row r="569" spans="1:16" hidden="1">
      <c r="A569" s="29" t="s">
        <v>344</v>
      </c>
      <c r="B569" s="29">
        <v>17507045</v>
      </c>
      <c r="C569" s="29"/>
      <c r="E569" s="29"/>
      <c r="F569" s="29" t="s">
        <v>129</v>
      </c>
      <c r="G569" s="29" t="s">
        <v>437</v>
      </c>
      <c r="H569" s="130">
        <v>45674</v>
      </c>
      <c r="I569" s="130">
        <f t="shared" si="0"/>
        <v>45679</v>
      </c>
      <c r="J569" s="130"/>
      <c r="K569" s="130"/>
      <c r="L569" s="129" t="s">
        <v>414</v>
      </c>
      <c r="M569" s="130"/>
      <c r="N569" s="145"/>
      <c r="O569" s="29"/>
      <c r="P569" s="133"/>
    </row>
    <row r="570" spans="1:16" hidden="1">
      <c r="A570" s="29" t="s">
        <v>344</v>
      </c>
      <c r="B570" s="29">
        <v>17507052</v>
      </c>
      <c r="C570" s="29"/>
      <c r="E570" s="29"/>
      <c r="F570" s="29" t="s">
        <v>129</v>
      </c>
      <c r="G570" s="29" t="s">
        <v>437</v>
      </c>
      <c r="H570" s="130">
        <v>45674</v>
      </c>
      <c r="I570" s="130">
        <f t="shared" si="0"/>
        <v>45679</v>
      </c>
      <c r="J570" s="130"/>
      <c r="K570" s="130"/>
      <c r="L570" s="129" t="s">
        <v>414</v>
      </c>
      <c r="M570" s="130"/>
      <c r="N570" s="145"/>
      <c r="O570" s="29"/>
      <c r="P570" s="133"/>
    </row>
    <row r="571" spans="1:16" hidden="1">
      <c r="A571" s="29" t="s">
        <v>344</v>
      </c>
      <c r="B571" s="29">
        <v>17507041</v>
      </c>
      <c r="C571" s="29"/>
      <c r="E571" s="29"/>
      <c r="F571" s="29" t="s">
        <v>129</v>
      </c>
      <c r="G571" s="29" t="s">
        <v>437</v>
      </c>
      <c r="H571" s="130">
        <v>45674</v>
      </c>
      <c r="I571" s="130">
        <f t="shared" si="0"/>
        <v>45679</v>
      </c>
      <c r="J571" s="130"/>
      <c r="K571" s="130"/>
      <c r="L571" s="129" t="s">
        <v>414</v>
      </c>
      <c r="M571" s="130"/>
      <c r="N571" s="145"/>
      <c r="O571" s="29"/>
      <c r="P571" s="133"/>
    </row>
    <row r="572" spans="1:16" hidden="1">
      <c r="A572" s="29" t="s">
        <v>344</v>
      </c>
      <c r="B572" s="29">
        <v>17507047</v>
      </c>
      <c r="C572" s="29"/>
      <c r="E572" s="29"/>
      <c r="F572" s="29" t="s">
        <v>129</v>
      </c>
      <c r="G572" s="29" t="s">
        <v>437</v>
      </c>
      <c r="H572" s="130">
        <v>45674</v>
      </c>
      <c r="I572" s="130">
        <f t="shared" si="0"/>
        <v>45679</v>
      </c>
      <c r="J572" s="130"/>
      <c r="K572" s="130"/>
      <c r="L572" s="129" t="s">
        <v>414</v>
      </c>
      <c r="M572" s="130"/>
      <c r="N572" s="145"/>
      <c r="O572" s="29"/>
      <c r="P572" s="133"/>
    </row>
    <row r="573" spans="1:16" hidden="1">
      <c r="A573" s="29" t="s">
        <v>344</v>
      </c>
      <c r="B573" s="29">
        <v>17507044</v>
      </c>
      <c r="C573" s="29"/>
      <c r="E573" s="29"/>
      <c r="F573" s="29" t="s">
        <v>129</v>
      </c>
      <c r="G573" s="29" t="s">
        <v>437</v>
      </c>
      <c r="H573" s="130">
        <v>45674</v>
      </c>
      <c r="I573" s="130">
        <f t="shared" si="0"/>
        <v>45679</v>
      </c>
      <c r="J573" s="130"/>
      <c r="K573" s="130"/>
      <c r="L573" s="129" t="s">
        <v>414</v>
      </c>
      <c r="M573" s="130"/>
      <c r="N573" s="145"/>
      <c r="O573" s="29"/>
      <c r="P573" s="133"/>
    </row>
    <row r="574" spans="1:16" hidden="1">
      <c r="A574" s="29" t="s">
        <v>344</v>
      </c>
      <c r="B574" s="29">
        <v>18500390</v>
      </c>
      <c r="C574" s="29"/>
      <c r="E574" s="29"/>
      <c r="F574" s="29" t="s">
        <v>129</v>
      </c>
      <c r="G574" s="29" t="s">
        <v>437</v>
      </c>
      <c r="H574" s="130">
        <v>45674</v>
      </c>
      <c r="I574" s="130">
        <f t="shared" si="0"/>
        <v>45679</v>
      </c>
      <c r="J574" s="130"/>
      <c r="K574" s="130"/>
      <c r="L574" s="129" t="s">
        <v>414</v>
      </c>
      <c r="M574" s="130"/>
      <c r="N574" s="145"/>
      <c r="O574" s="29"/>
      <c r="P574" s="133"/>
    </row>
    <row r="575" spans="1:16" hidden="1">
      <c r="A575" s="29" t="s">
        <v>344</v>
      </c>
      <c r="B575" s="29">
        <v>18500398</v>
      </c>
      <c r="C575" s="29"/>
      <c r="E575" s="29"/>
      <c r="F575" s="29" t="s">
        <v>129</v>
      </c>
      <c r="G575" s="29" t="s">
        <v>437</v>
      </c>
      <c r="H575" s="130">
        <v>45674</v>
      </c>
      <c r="I575" s="130">
        <f t="shared" si="0"/>
        <v>45679</v>
      </c>
      <c r="J575" s="130"/>
      <c r="K575" s="130"/>
      <c r="L575" s="129" t="s">
        <v>414</v>
      </c>
      <c r="M575" s="130"/>
      <c r="N575" s="145"/>
      <c r="O575" s="29"/>
      <c r="P575" s="133"/>
    </row>
    <row r="576" spans="1:16" hidden="1">
      <c r="A576" s="29" t="s">
        <v>344</v>
      </c>
      <c r="B576" s="29">
        <v>18500403</v>
      </c>
      <c r="C576" s="29"/>
      <c r="E576" s="29"/>
      <c r="F576" s="29" t="s">
        <v>129</v>
      </c>
      <c r="G576" s="29" t="s">
        <v>437</v>
      </c>
      <c r="H576" s="130">
        <v>45674</v>
      </c>
      <c r="I576" s="130">
        <f t="shared" si="0"/>
        <v>45679</v>
      </c>
      <c r="J576" s="130"/>
      <c r="K576" s="130"/>
      <c r="L576" s="129" t="s">
        <v>414</v>
      </c>
      <c r="M576" s="130"/>
      <c r="N576" s="145"/>
      <c r="O576" s="29"/>
      <c r="P576" s="133"/>
    </row>
    <row r="577" spans="1:16" hidden="1">
      <c r="A577" s="29" t="s">
        <v>438</v>
      </c>
      <c r="B577" s="29">
        <v>18500450</v>
      </c>
      <c r="C577" s="29"/>
      <c r="E577" s="29"/>
      <c r="F577" s="29" t="s">
        <v>129</v>
      </c>
      <c r="G577" s="29" t="s">
        <v>255</v>
      </c>
      <c r="H577" s="130">
        <v>45675</v>
      </c>
      <c r="I577" s="130">
        <f t="shared" si="0"/>
        <v>45679</v>
      </c>
      <c r="J577" s="130"/>
      <c r="K577" s="130"/>
      <c r="L577" s="129" t="s">
        <v>414</v>
      </c>
      <c r="M577" s="130"/>
      <c r="N577" s="145"/>
      <c r="O577" s="29"/>
      <c r="P577" s="133"/>
    </row>
    <row r="578" spans="1:16" hidden="1">
      <c r="A578" s="29" t="s">
        <v>438</v>
      </c>
      <c r="B578" s="29">
        <v>18500435</v>
      </c>
      <c r="C578" s="29"/>
      <c r="E578" s="29"/>
      <c r="F578" s="29" t="s">
        <v>129</v>
      </c>
      <c r="G578" s="29" t="s">
        <v>255</v>
      </c>
      <c r="H578" s="130">
        <v>45675</v>
      </c>
      <c r="I578" s="130">
        <f t="shared" si="0"/>
        <v>45679</v>
      </c>
      <c r="J578" s="130"/>
      <c r="K578" s="130"/>
      <c r="L578" s="129" t="s">
        <v>414</v>
      </c>
      <c r="M578" s="130"/>
      <c r="N578" s="145"/>
      <c r="O578" s="29"/>
      <c r="P578" s="133"/>
    </row>
    <row r="579" spans="1:16" hidden="1">
      <c r="A579" s="29" t="s">
        <v>438</v>
      </c>
      <c r="B579" s="29">
        <v>18500418</v>
      </c>
      <c r="C579" s="29"/>
      <c r="E579" s="29"/>
      <c r="F579" s="29" t="s">
        <v>129</v>
      </c>
      <c r="G579" s="29" t="s">
        <v>255</v>
      </c>
      <c r="H579" s="130">
        <v>45675</v>
      </c>
      <c r="I579" s="130">
        <f t="shared" si="0"/>
        <v>45679</v>
      </c>
      <c r="J579" s="130"/>
      <c r="K579" s="130"/>
      <c r="L579" s="129" t="s">
        <v>414</v>
      </c>
      <c r="M579" s="130"/>
      <c r="N579" s="145"/>
      <c r="O579" s="29"/>
      <c r="P579" s="133"/>
    </row>
    <row r="580" spans="1:16" hidden="1">
      <c r="A580" s="29" t="s">
        <v>438</v>
      </c>
      <c r="B580" s="29">
        <v>18500457</v>
      </c>
      <c r="C580" s="29"/>
      <c r="E580" s="29"/>
      <c r="F580" s="29" t="s">
        <v>129</v>
      </c>
      <c r="G580" s="29" t="s">
        <v>255</v>
      </c>
      <c r="H580" s="130">
        <v>45675</v>
      </c>
      <c r="I580" s="130">
        <f t="shared" si="0"/>
        <v>45679</v>
      </c>
      <c r="J580" s="130"/>
      <c r="K580" s="130"/>
      <c r="L580" s="129" t="s">
        <v>414</v>
      </c>
      <c r="M580" s="130"/>
      <c r="N580" s="145"/>
      <c r="O580" s="29"/>
      <c r="P580" s="133"/>
    </row>
    <row r="581" spans="1:16" hidden="1">
      <c r="A581" s="29" t="s">
        <v>344</v>
      </c>
      <c r="B581" s="29">
        <v>18500404</v>
      </c>
      <c r="C581" s="29"/>
      <c r="E581" s="29"/>
      <c r="F581" s="29" t="s">
        <v>129</v>
      </c>
      <c r="G581" s="29" t="s">
        <v>437</v>
      </c>
      <c r="H581" s="130">
        <v>45675</v>
      </c>
      <c r="I581" s="130">
        <f t="shared" si="0"/>
        <v>45679</v>
      </c>
      <c r="J581" s="130"/>
      <c r="K581" s="130"/>
      <c r="L581" s="129" t="s">
        <v>414</v>
      </c>
      <c r="M581" s="130"/>
      <c r="N581" s="145"/>
      <c r="O581" s="29"/>
      <c r="P581" s="133"/>
    </row>
    <row r="582" spans="1:16" hidden="1">
      <c r="A582" s="29" t="s">
        <v>344</v>
      </c>
      <c r="B582" s="29">
        <v>18500420</v>
      </c>
      <c r="C582" s="29"/>
      <c r="E582" s="29"/>
      <c r="F582" s="29" t="s">
        <v>129</v>
      </c>
      <c r="G582" s="29" t="s">
        <v>437</v>
      </c>
      <c r="H582" s="130">
        <v>45675</v>
      </c>
      <c r="I582" s="130">
        <f t="shared" si="0"/>
        <v>45679</v>
      </c>
      <c r="J582" s="130"/>
      <c r="K582" s="130"/>
      <c r="L582" s="129" t="s">
        <v>414</v>
      </c>
      <c r="M582" s="130"/>
      <c r="N582" s="145"/>
      <c r="O582" s="29"/>
      <c r="P582" s="133"/>
    </row>
    <row r="583" spans="1:16" hidden="1">
      <c r="A583" s="29" t="s">
        <v>344</v>
      </c>
      <c r="B583" s="29">
        <v>18500460</v>
      </c>
      <c r="C583" s="29"/>
      <c r="E583" s="29"/>
      <c r="F583" s="29" t="s">
        <v>129</v>
      </c>
      <c r="G583" s="29" t="s">
        <v>437</v>
      </c>
      <c r="H583" s="130">
        <v>45675</v>
      </c>
      <c r="I583" s="130">
        <f t="shared" si="0"/>
        <v>45679</v>
      </c>
      <c r="J583" s="130"/>
      <c r="K583" s="130"/>
      <c r="L583" s="129" t="s">
        <v>414</v>
      </c>
      <c r="M583" s="130"/>
      <c r="N583" s="145"/>
      <c r="O583" s="29"/>
      <c r="P583" s="133"/>
    </row>
    <row r="584" spans="1:16" hidden="1">
      <c r="A584" s="29" t="s">
        <v>344</v>
      </c>
      <c r="B584" s="29">
        <v>18500464</v>
      </c>
      <c r="C584" s="29"/>
      <c r="E584" s="29"/>
      <c r="F584" s="29" t="s">
        <v>129</v>
      </c>
      <c r="G584" s="29" t="s">
        <v>437</v>
      </c>
      <c r="H584" s="130">
        <v>45675</v>
      </c>
      <c r="I584" s="130">
        <f t="shared" si="0"/>
        <v>45679</v>
      </c>
      <c r="J584" s="130"/>
      <c r="K584" s="130"/>
      <c r="L584" s="129" t="s">
        <v>414</v>
      </c>
      <c r="M584" s="130"/>
      <c r="N584" s="145"/>
      <c r="O584" s="29"/>
      <c r="P584" s="133"/>
    </row>
    <row r="585" spans="1:16" hidden="1">
      <c r="A585" s="29" t="s">
        <v>344</v>
      </c>
      <c r="B585" s="29">
        <v>18500456</v>
      </c>
      <c r="C585" s="29"/>
      <c r="E585" s="29"/>
      <c r="F585" s="29" t="s">
        <v>129</v>
      </c>
      <c r="G585" s="29" t="s">
        <v>437</v>
      </c>
      <c r="H585" s="130">
        <v>45675</v>
      </c>
      <c r="I585" s="130">
        <f t="shared" si="0"/>
        <v>45679</v>
      </c>
      <c r="J585" s="130"/>
      <c r="K585" s="130"/>
      <c r="L585" s="129" t="s">
        <v>414</v>
      </c>
      <c r="M585" s="130"/>
      <c r="N585" s="145"/>
      <c r="O585" s="29"/>
      <c r="P585" s="133"/>
    </row>
    <row r="586" spans="1:16" hidden="1">
      <c r="A586" s="29" t="s">
        <v>439</v>
      </c>
      <c r="B586" s="29">
        <v>18500500</v>
      </c>
      <c r="C586" s="29"/>
      <c r="E586" s="29"/>
      <c r="F586" s="29" t="s">
        <v>129</v>
      </c>
      <c r="G586" s="29" t="s">
        <v>437</v>
      </c>
      <c r="H586" s="130">
        <v>45675</v>
      </c>
      <c r="I586" s="130">
        <f t="shared" si="0"/>
        <v>45679</v>
      </c>
      <c r="J586" s="130"/>
      <c r="K586" s="130"/>
      <c r="L586" s="129" t="s">
        <v>414</v>
      </c>
      <c r="M586" s="130"/>
      <c r="N586" s="145"/>
      <c r="O586" s="29"/>
      <c r="P586" s="133"/>
    </row>
    <row r="587" spans="1:16" hidden="1">
      <c r="A587" s="29" t="s">
        <v>439</v>
      </c>
      <c r="B587" s="29">
        <v>18500497</v>
      </c>
      <c r="C587" s="29"/>
      <c r="E587" s="29"/>
      <c r="F587" s="29" t="s">
        <v>129</v>
      </c>
      <c r="G587" s="29" t="s">
        <v>437</v>
      </c>
      <c r="H587" s="130">
        <v>45675</v>
      </c>
      <c r="I587" s="130">
        <f t="shared" si="0"/>
        <v>45679</v>
      </c>
      <c r="J587" s="130"/>
      <c r="K587" s="130"/>
      <c r="L587" s="129" t="s">
        <v>414</v>
      </c>
      <c r="M587" s="130"/>
      <c r="N587" s="145"/>
      <c r="O587" s="29"/>
      <c r="P587" s="133"/>
    </row>
    <row r="588" spans="1:16" hidden="1">
      <c r="A588" s="29" t="s">
        <v>439</v>
      </c>
      <c r="B588" s="29">
        <v>18500494</v>
      </c>
      <c r="C588" s="29"/>
      <c r="E588" s="29"/>
      <c r="F588" s="29" t="s">
        <v>129</v>
      </c>
      <c r="G588" s="29" t="s">
        <v>437</v>
      </c>
      <c r="H588" s="130">
        <v>45675</v>
      </c>
      <c r="I588" s="130">
        <f t="shared" ref="I588:I651" si="1">WORKDAY(H588, 3)</f>
        <v>45679</v>
      </c>
      <c r="J588" s="130"/>
      <c r="K588" s="130"/>
      <c r="L588" s="129" t="s">
        <v>414</v>
      </c>
      <c r="M588" s="130"/>
      <c r="N588" s="145"/>
      <c r="O588" s="29"/>
      <c r="P588" s="133"/>
    </row>
    <row r="589" spans="1:16" hidden="1">
      <c r="A589" s="29" t="s">
        <v>439</v>
      </c>
      <c r="B589" s="29">
        <v>18500492</v>
      </c>
      <c r="C589" s="29"/>
      <c r="E589" s="29"/>
      <c r="F589" s="29" t="s">
        <v>129</v>
      </c>
      <c r="G589" s="29" t="s">
        <v>437</v>
      </c>
      <c r="H589" s="130">
        <v>45675</v>
      </c>
      <c r="I589" s="130">
        <f t="shared" si="1"/>
        <v>45679</v>
      </c>
      <c r="J589" s="130"/>
      <c r="K589" s="130"/>
      <c r="L589" s="129" t="s">
        <v>414</v>
      </c>
      <c r="M589" s="130"/>
      <c r="N589" s="145"/>
      <c r="O589" s="29"/>
      <c r="P589" s="133"/>
    </row>
    <row r="590" spans="1:16" hidden="1">
      <c r="A590" s="29" t="s">
        <v>439</v>
      </c>
      <c r="B590" s="29">
        <v>18500484</v>
      </c>
      <c r="C590" s="29"/>
      <c r="E590" s="29"/>
      <c r="F590" s="29" t="s">
        <v>129</v>
      </c>
      <c r="G590" s="29" t="s">
        <v>437</v>
      </c>
      <c r="H590" s="130">
        <v>45675</v>
      </c>
      <c r="I590" s="130">
        <f t="shared" si="1"/>
        <v>45679</v>
      </c>
      <c r="J590" s="130"/>
      <c r="K590" s="130"/>
      <c r="L590" s="129" t="s">
        <v>414</v>
      </c>
      <c r="M590" s="130"/>
      <c r="N590" s="145"/>
      <c r="O590" s="29"/>
      <c r="P590" s="133"/>
    </row>
    <row r="591" spans="1:16" hidden="1">
      <c r="A591" s="29" t="s">
        <v>439</v>
      </c>
      <c r="B591" s="29">
        <v>18500512</v>
      </c>
      <c r="C591" s="29"/>
      <c r="E591" s="29"/>
      <c r="F591" s="29" t="s">
        <v>129</v>
      </c>
      <c r="G591" s="29" t="s">
        <v>437</v>
      </c>
      <c r="H591" s="130">
        <v>45675</v>
      </c>
      <c r="I591" s="130">
        <f t="shared" si="1"/>
        <v>45679</v>
      </c>
      <c r="J591" s="130"/>
      <c r="K591" s="130"/>
      <c r="L591" s="129" t="s">
        <v>414</v>
      </c>
      <c r="M591" s="130"/>
      <c r="N591" s="145"/>
      <c r="O591" s="29"/>
      <c r="P591" s="133"/>
    </row>
    <row r="592" spans="1:16" hidden="1">
      <c r="A592" s="29" t="s">
        <v>439</v>
      </c>
      <c r="B592" s="29">
        <v>18500511</v>
      </c>
      <c r="C592" s="29"/>
      <c r="E592" s="29"/>
      <c r="F592" s="29" t="s">
        <v>129</v>
      </c>
      <c r="G592" s="29" t="s">
        <v>437</v>
      </c>
      <c r="H592" s="130">
        <v>45675</v>
      </c>
      <c r="I592" s="130">
        <f t="shared" si="1"/>
        <v>45679</v>
      </c>
      <c r="J592" s="130"/>
      <c r="K592" s="130"/>
      <c r="L592" s="129" t="s">
        <v>414</v>
      </c>
      <c r="M592" s="130"/>
      <c r="N592" s="145"/>
      <c r="O592" s="29"/>
      <c r="P592" s="133"/>
    </row>
    <row r="593" spans="1:16" hidden="1">
      <c r="A593" s="29" t="s">
        <v>439</v>
      </c>
      <c r="B593" s="29">
        <v>18500510</v>
      </c>
      <c r="C593" s="29"/>
      <c r="E593" s="29"/>
      <c r="F593" s="29" t="s">
        <v>129</v>
      </c>
      <c r="G593" s="29" t="s">
        <v>437</v>
      </c>
      <c r="H593" s="130">
        <v>45675</v>
      </c>
      <c r="I593" s="130">
        <f t="shared" si="1"/>
        <v>45679</v>
      </c>
      <c r="J593" s="130"/>
      <c r="K593" s="130"/>
      <c r="L593" s="129" t="s">
        <v>414</v>
      </c>
      <c r="M593" s="130"/>
      <c r="N593" s="145"/>
      <c r="O593" s="29"/>
      <c r="P593" s="133"/>
    </row>
    <row r="594" spans="1:16" hidden="1">
      <c r="A594" s="29" t="s">
        <v>439</v>
      </c>
      <c r="B594" s="29">
        <v>18500507</v>
      </c>
      <c r="C594" s="29"/>
      <c r="E594" s="29"/>
      <c r="F594" s="29" t="s">
        <v>129</v>
      </c>
      <c r="G594" s="29" t="s">
        <v>437</v>
      </c>
      <c r="H594" s="130">
        <v>45675</v>
      </c>
      <c r="I594" s="130">
        <f t="shared" si="1"/>
        <v>45679</v>
      </c>
      <c r="J594" s="130"/>
      <c r="K594" s="130"/>
      <c r="L594" s="129" t="s">
        <v>414</v>
      </c>
      <c r="M594" s="130"/>
      <c r="N594" s="145"/>
      <c r="O594" s="29"/>
      <c r="P594" s="133"/>
    </row>
    <row r="595" spans="1:16" hidden="1">
      <c r="A595" s="157" t="s">
        <v>440</v>
      </c>
      <c r="B595" s="29">
        <v>21507573</v>
      </c>
      <c r="C595" s="29"/>
      <c r="E595" s="29"/>
      <c r="F595" s="29" t="s">
        <v>129</v>
      </c>
      <c r="G595" s="29" t="s">
        <v>255</v>
      </c>
      <c r="H595" s="130">
        <v>45679</v>
      </c>
      <c r="I595" s="130">
        <f t="shared" si="1"/>
        <v>45684</v>
      </c>
      <c r="J595" s="130"/>
      <c r="K595" s="130"/>
      <c r="L595" s="129" t="s">
        <v>414</v>
      </c>
      <c r="M595" s="130"/>
      <c r="N595" s="145"/>
      <c r="O595" s="29"/>
      <c r="P595" s="133"/>
    </row>
    <row r="596" spans="1:16" hidden="1">
      <c r="A596" s="157" t="s">
        <v>440</v>
      </c>
      <c r="B596" s="29">
        <v>21507579</v>
      </c>
      <c r="C596" s="29"/>
      <c r="E596" s="29"/>
      <c r="F596" s="29" t="s">
        <v>129</v>
      </c>
      <c r="G596" s="29" t="s">
        <v>255</v>
      </c>
      <c r="H596" s="130">
        <v>45679</v>
      </c>
      <c r="I596" s="130">
        <f t="shared" si="1"/>
        <v>45684</v>
      </c>
      <c r="J596" s="130"/>
      <c r="K596" s="130"/>
      <c r="L596" s="129" t="s">
        <v>414</v>
      </c>
      <c r="M596" s="130"/>
      <c r="N596" s="145"/>
      <c r="O596" s="29"/>
      <c r="P596" s="133"/>
    </row>
    <row r="597" spans="1:16" hidden="1">
      <c r="A597" s="157" t="s">
        <v>440</v>
      </c>
      <c r="B597" s="29">
        <v>21507599</v>
      </c>
      <c r="C597" s="29"/>
      <c r="E597" s="29"/>
      <c r="F597" s="29" t="s">
        <v>129</v>
      </c>
      <c r="G597" s="29" t="s">
        <v>255</v>
      </c>
      <c r="H597" s="130">
        <v>45679</v>
      </c>
      <c r="I597" s="130">
        <f t="shared" si="1"/>
        <v>45684</v>
      </c>
      <c r="J597" s="130"/>
      <c r="K597" s="130"/>
      <c r="L597" s="129" t="s">
        <v>414</v>
      </c>
      <c r="M597" s="130"/>
      <c r="N597" s="145"/>
      <c r="O597" s="29"/>
      <c r="P597" s="133"/>
    </row>
    <row r="598" spans="1:16" hidden="1">
      <c r="A598" s="157" t="s">
        <v>440</v>
      </c>
      <c r="B598" s="29">
        <v>22500644</v>
      </c>
      <c r="C598" s="29"/>
      <c r="E598" s="29"/>
      <c r="F598" s="29" t="s">
        <v>129</v>
      </c>
      <c r="G598" s="29" t="s">
        <v>255</v>
      </c>
      <c r="H598" s="130">
        <v>45679</v>
      </c>
      <c r="I598" s="130">
        <f t="shared" si="1"/>
        <v>45684</v>
      </c>
      <c r="J598" s="130"/>
      <c r="K598" s="130"/>
      <c r="L598" s="129" t="s">
        <v>414</v>
      </c>
      <c r="M598" s="130"/>
      <c r="N598" s="145"/>
      <c r="O598" s="29"/>
      <c r="P598" s="133"/>
    </row>
    <row r="599" spans="1:16" hidden="1">
      <c r="A599" s="157" t="s">
        <v>344</v>
      </c>
      <c r="B599" s="29">
        <v>23507043</v>
      </c>
      <c r="C599" s="29"/>
      <c r="E599" s="29"/>
      <c r="F599" s="29" t="s">
        <v>129</v>
      </c>
      <c r="G599" s="29" t="s">
        <v>213</v>
      </c>
      <c r="H599" s="130">
        <v>45680</v>
      </c>
      <c r="I599" s="130">
        <f t="shared" si="1"/>
        <v>45685</v>
      </c>
      <c r="J599" s="130"/>
      <c r="K599" s="130">
        <v>45686</v>
      </c>
      <c r="L599" s="129" t="s">
        <v>10</v>
      </c>
      <c r="M599" s="162"/>
      <c r="N599" s="163"/>
      <c r="O599" s="29"/>
      <c r="P599" s="133"/>
    </row>
    <row r="600" spans="1:16" hidden="1">
      <c r="A600" s="157" t="s">
        <v>344</v>
      </c>
      <c r="B600" s="29">
        <v>23507048</v>
      </c>
      <c r="C600" s="29"/>
      <c r="E600" s="29"/>
      <c r="F600" s="29" t="s">
        <v>129</v>
      </c>
      <c r="G600" s="29" t="s">
        <v>213</v>
      </c>
      <c r="H600" s="130">
        <v>45680</v>
      </c>
      <c r="I600" s="130">
        <f t="shared" si="1"/>
        <v>45685</v>
      </c>
      <c r="J600" s="130"/>
      <c r="K600" s="130">
        <v>45685</v>
      </c>
      <c r="L600" s="129" t="s">
        <v>10</v>
      </c>
      <c r="M600" s="162"/>
      <c r="N600" s="163"/>
      <c r="O600" s="29"/>
      <c r="P600" s="133"/>
    </row>
    <row r="601" spans="1:16" hidden="1">
      <c r="A601" s="157" t="s">
        <v>344</v>
      </c>
      <c r="B601" s="29">
        <v>23507056</v>
      </c>
      <c r="C601" s="29"/>
      <c r="E601" s="29"/>
      <c r="F601" s="29" t="s">
        <v>129</v>
      </c>
      <c r="G601" s="29" t="s">
        <v>213</v>
      </c>
      <c r="H601" s="130">
        <v>45680</v>
      </c>
      <c r="I601" s="130">
        <f t="shared" si="1"/>
        <v>45685</v>
      </c>
      <c r="J601" s="130"/>
      <c r="K601" s="130">
        <v>45685</v>
      </c>
      <c r="L601" s="129" t="s">
        <v>10</v>
      </c>
      <c r="M601" s="162"/>
      <c r="N601" s="163"/>
      <c r="O601" s="29"/>
      <c r="P601" s="133"/>
    </row>
    <row r="602" spans="1:16" hidden="1">
      <c r="A602" s="157" t="s">
        <v>344</v>
      </c>
      <c r="B602" s="29">
        <v>23507059</v>
      </c>
      <c r="C602" s="29"/>
      <c r="E602" s="29"/>
      <c r="F602" s="29" t="s">
        <v>129</v>
      </c>
      <c r="G602" s="29" t="s">
        <v>213</v>
      </c>
      <c r="H602" s="130">
        <v>45680</v>
      </c>
      <c r="I602" s="130">
        <f t="shared" si="1"/>
        <v>45685</v>
      </c>
      <c r="J602" s="130"/>
      <c r="K602" s="130">
        <v>45685</v>
      </c>
      <c r="L602" s="129" t="s">
        <v>10</v>
      </c>
      <c r="M602" s="162"/>
      <c r="N602" s="163"/>
      <c r="O602" s="29"/>
      <c r="P602" s="133"/>
    </row>
    <row r="603" spans="1:16" hidden="1">
      <c r="A603" s="157" t="s">
        <v>344</v>
      </c>
      <c r="B603" s="29">
        <v>23507062</v>
      </c>
      <c r="C603" s="29"/>
      <c r="E603" s="29"/>
      <c r="F603" s="29" t="s">
        <v>129</v>
      </c>
      <c r="G603" s="29" t="s">
        <v>213</v>
      </c>
      <c r="H603" s="130">
        <v>45680</v>
      </c>
      <c r="I603" s="130">
        <f t="shared" si="1"/>
        <v>45685</v>
      </c>
      <c r="J603" s="130"/>
      <c r="K603" s="130">
        <v>45685</v>
      </c>
      <c r="L603" s="129" t="s">
        <v>10</v>
      </c>
      <c r="M603" s="162"/>
      <c r="N603" s="163"/>
      <c r="O603" s="29"/>
      <c r="P603" s="133"/>
    </row>
    <row r="604" spans="1:16" hidden="1">
      <c r="A604" s="157" t="s">
        <v>344</v>
      </c>
      <c r="B604" s="29">
        <v>23507159</v>
      </c>
      <c r="C604" s="29"/>
      <c r="E604" s="29"/>
      <c r="F604" s="29" t="s">
        <v>129</v>
      </c>
      <c r="G604" s="29" t="s">
        <v>213</v>
      </c>
      <c r="H604" s="130">
        <v>45680</v>
      </c>
      <c r="I604" s="130">
        <f t="shared" si="1"/>
        <v>45685</v>
      </c>
      <c r="J604" s="130"/>
      <c r="K604" s="130">
        <v>45686</v>
      </c>
      <c r="L604" s="129" t="s">
        <v>10</v>
      </c>
      <c r="M604" s="162"/>
      <c r="N604" s="163"/>
      <c r="O604" s="29"/>
      <c r="P604" s="133"/>
    </row>
    <row r="605" spans="1:16" hidden="1">
      <c r="A605" s="157" t="s">
        <v>344</v>
      </c>
      <c r="B605" s="29">
        <v>23507163</v>
      </c>
      <c r="C605" s="29"/>
      <c r="E605" s="29"/>
      <c r="F605" s="29" t="s">
        <v>129</v>
      </c>
      <c r="G605" s="29" t="s">
        <v>213</v>
      </c>
      <c r="H605" s="130">
        <v>45680</v>
      </c>
      <c r="I605" s="130">
        <f t="shared" si="1"/>
        <v>45685</v>
      </c>
      <c r="J605" s="130"/>
      <c r="K605" s="130">
        <v>45686</v>
      </c>
      <c r="L605" s="129" t="s">
        <v>10</v>
      </c>
      <c r="M605" s="162"/>
      <c r="N605" s="163"/>
      <c r="O605" s="29"/>
      <c r="P605" s="133"/>
    </row>
    <row r="606" spans="1:16" hidden="1">
      <c r="A606" s="157" t="s">
        <v>344</v>
      </c>
      <c r="B606" s="29">
        <v>23507171</v>
      </c>
      <c r="C606" s="29"/>
      <c r="E606" s="29"/>
      <c r="F606" s="29" t="s">
        <v>129</v>
      </c>
      <c r="G606" s="29" t="s">
        <v>213</v>
      </c>
      <c r="H606" s="130">
        <v>45680</v>
      </c>
      <c r="I606" s="130">
        <f t="shared" si="1"/>
        <v>45685</v>
      </c>
      <c r="J606" s="130"/>
      <c r="K606" s="130">
        <v>45686</v>
      </c>
      <c r="L606" s="129" t="s">
        <v>10</v>
      </c>
      <c r="M606" s="162"/>
      <c r="N606" s="163"/>
      <c r="O606" s="29"/>
      <c r="P606" s="133"/>
    </row>
    <row r="607" spans="1:16" hidden="1">
      <c r="A607" s="157" t="s">
        <v>344</v>
      </c>
      <c r="B607" s="29">
        <v>23507179</v>
      </c>
      <c r="C607" s="29"/>
      <c r="E607" s="29"/>
      <c r="F607" s="29" t="s">
        <v>129</v>
      </c>
      <c r="G607" s="29" t="s">
        <v>213</v>
      </c>
      <c r="H607" s="130">
        <v>45680</v>
      </c>
      <c r="I607" s="130">
        <f t="shared" si="1"/>
        <v>45685</v>
      </c>
      <c r="J607" s="130"/>
      <c r="K607" s="130">
        <v>45686</v>
      </c>
      <c r="L607" s="129" t="s">
        <v>10</v>
      </c>
      <c r="M607" s="162"/>
      <c r="N607" s="163"/>
      <c r="P607" s="133"/>
    </row>
    <row r="608" spans="1:16" hidden="1">
      <c r="A608" s="157" t="s">
        <v>344</v>
      </c>
      <c r="B608" s="29">
        <v>23507191</v>
      </c>
      <c r="C608" s="29"/>
      <c r="E608" s="29"/>
      <c r="F608" s="29" t="s">
        <v>129</v>
      </c>
      <c r="G608" s="29" t="s">
        <v>213</v>
      </c>
      <c r="H608" s="130">
        <v>45680</v>
      </c>
      <c r="I608" s="130">
        <f t="shared" si="1"/>
        <v>45685</v>
      </c>
      <c r="J608" s="130"/>
      <c r="K608" s="130">
        <v>45686</v>
      </c>
      <c r="L608" s="129" t="s">
        <v>10</v>
      </c>
      <c r="M608" s="162"/>
      <c r="N608" s="163"/>
      <c r="O608" s="29"/>
      <c r="P608" s="133"/>
    </row>
    <row r="609" spans="1:16" hidden="1">
      <c r="A609" s="157" t="s">
        <v>344</v>
      </c>
      <c r="B609" s="29">
        <v>23507136</v>
      </c>
      <c r="C609" s="29"/>
      <c r="E609" s="29"/>
      <c r="F609" s="29" t="s">
        <v>129</v>
      </c>
      <c r="G609" s="29" t="s">
        <v>213</v>
      </c>
      <c r="H609" s="130">
        <v>45680</v>
      </c>
      <c r="I609" s="130">
        <f t="shared" si="1"/>
        <v>45685</v>
      </c>
      <c r="J609" s="130"/>
      <c r="K609" s="130">
        <v>45685</v>
      </c>
      <c r="L609" s="129" t="s">
        <v>10</v>
      </c>
      <c r="M609" s="162"/>
      <c r="N609" s="163"/>
      <c r="O609" s="29"/>
      <c r="P609" s="133"/>
    </row>
    <row r="610" spans="1:16" hidden="1">
      <c r="A610" s="157" t="s">
        <v>344</v>
      </c>
      <c r="B610" s="29">
        <v>23507151</v>
      </c>
      <c r="C610" s="29"/>
      <c r="E610" s="29"/>
      <c r="F610" s="29" t="s">
        <v>129</v>
      </c>
      <c r="G610" s="29" t="s">
        <v>213</v>
      </c>
      <c r="H610" s="130">
        <v>45680</v>
      </c>
      <c r="I610" s="130">
        <f t="shared" si="1"/>
        <v>45685</v>
      </c>
      <c r="J610" s="130"/>
      <c r="K610" s="130">
        <v>45685</v>
      </c>
      <c r="L610" s="129" t="s">
        <v>10</v>
      </c>
      <c r="M610" s="162"/>
      <c r="N610" s="163"/>
      <c r="O610" s="29"/>
      <c r="P610" s="133"/>
    </row>
    <row r="611" spans="1:16" hidden="1">
      <c r="A611" s="157" t="s">
        <v>344</v>
      </c>
      <c r="B611" s="29">
        <v>23507194</v>
      </c>
      <c r="C611" s="29"/>
      <c r="E611" s="29"/>
      <c r="F611" s="29" t="s">
        <v>129</v>
      </c>
      <c r="G611" s="29" t="s">
        <v>213</v>
      </c>
      <c r="H611" s="130">
        <v>45680</v>
      </c>
      <c r="I611" s="130">
        <f t="shared" si="1"/>
        <v>45685</v>
      </c>
      <c r="J611" s="130"/>
      <c r="K611" s="130">
        <v>45686</v>
      </c>
      <c r="L611" s="129" t="s">
        <v>10</v>
      </c>
      <c r="M611" s="162"/>
      <c r="N611" s="163"/>
      <c r="O611" s="29"/>
      <c r="P611" s="133"/>
    </row>
    <row r="612" spans="1:16" hidden="1">
      <c r="A612" s="157" t="s">
        <v>344</v>
      </c>
      <c r="B612" s="29">
        <v>23506914</v>
      </c>
      <c r="C612" s="29"/>
      <c r="E612" s="29"/>
      <c r="F612" s="29" t="s">
        <v>129</v>
      </c>
      <c r="G612" s="29" t="s">
        <v>213</v>
      </c>
      <c r="H612" s="130">
        <v>45680</v>
      </c>
      <c r="I612" s="130">
        <f t="shared" si="1"/>
        <v>45685</v>
      </c>
      <c r="J612" s="130"/>
      <c r="K612" s="130">
        <v>45684</v>
      </c>
      <c r="L612" s="129" t="s">
        <v>10</v>
      </c>
      <c r="M612" s="162"/>
      <c r="N612" s="163"/>
      <c r="O612" s="29"/>
      <c r="P612" s="133"/>
    </row>
    <row r="613" spans="1:16" hidden="1">
      <c r="A613" s="157" t="s">
        <v>344</v>
      </c>
      <c r="B613" s="29">
        <v>23506922</v>
      </c>
      <c r="C613" s="29"/>
      <c r="E613" s="29"/>
      <c r="F613" s="29" t="s">
        <v>129</v>
      </c>
      <c r="G613" s="29" t="s">
        <v>213</v>
      </c>
      <c r="H613" s="130">
        <v>45680</v>
      </c>
      <c r="I613" s="130">
        <f t="shared" si="1"/>
        <v>45685</v>
      </c>
      <c r="J613" s="130"/>
      <c r="K613" s="130">
        <v>45685</v>
      </c>
      <c r="L613" s="129" t="s">
        <v>10</v>
      </c>
      <c r="M613" s="162"/>
      <c r="N613" s="163"/>
      <c r="O613" s="29"/>
      <c r="P613" s="133"/>
    </row>
    <row r="614" spans="1:16" hidden="1">
      <c r="A614" s="157" t="s">
        <v>344</v>
      </c>
      <c r="B614" s="29">
        <v>23507031</v>
      </c>
      <c r="C614" s="29"/>
      <c r="E614" s="29"/>
      <c r="F614" s="29" t="s">
        <v>129</v>
      </c>
      <c r="G614" s="29" t="s">
        <v>213</v>
      </c>
      <c r="H614" s="130">
        <v>45680</v>
      </c>
      <c r="I614" s="130">
        <f t="shared" si="1"/>
        <v>45685</v>
      </c>
      <c r="J614" s="130"/>
      <c r="K614" s="130">
        <v>45685</v>
      </c>
      <c r="L614" s="129" t="s">
        <v>10</v>
      </c>
      <c r="M614" s="162"/>
      <c r="N614" s="163"/>
      <c r="O614" s="29"/>
      <c r="P614" s="133"/>
    </row>
    <row r="615" spans="1:16" hidden="1">
      <c r="A615" s="157" t="s">
        <v>344</v>
      </c>
      <c r="B615" s="29">
        <v>23506945</v>
      </c>
      <c r="C615" s="29"/>
      <c r="E615" s="29"/>
      <c r="F615" s="29" t="s">
        <v>129</v>
      </c>
      <c r="G615" s="29" t="s">
        <v>213</v>
      </c>
      <c r="H615" s="130">
        <v>45680</v>
      </c>
      <c r="I615" s="130">
        <f t="shared" si="1"/>
        <v>45685</v>
      </c>
      <c r="J615" s="130"/>
      <c r="K615" s="130">
        <v>45685</v>
      </c>
      <c r="L615" s="129" t="s">
        <v>10</v>
      </c>
      <c r="M615" s="162"/>
      <c r="N615" s="163"/>
      <c r="O615" s="29"/>
      <c r="P615" s="133"/>
    </row>
    <row r="616" spans="1:16" hidden="1">
      <c r="A616" s="157" t="s">
        <v>344</v>
      </c>
      <c r="B616" s="29">
        <v>23507034</v>
      </c>
      <c r="C616" s="29"/>
      <c r="E616" s="29"/>
      <c r="F616" s="29" t="s">
        <v>129</v>
      </c>
      <c r="G616" s="29" t="s">
        <v>213</v>
      </c>
      <c r="H616" s="130">
        <v>45680</v>
      </c>
      <c r="I616" s="130">
        <f t="shared" si="1"/>
        <v>45685</v>
      </c>
      <c r="J616" s="130"/>
      <c r="K616" s="130">
        <v>45685</v>
      </c>
      <c r="L616" s="129" t="s">
        <v>10</v>
      </c>
      <c r="M616" s="162"/>
      <c r="N616" s="163"/>
      <c r="O616" s="29"/>
      <c r="P616" s="133"/>
    </row>
    <row r="617" spans="1:16" hidden="1">
      <c r="A617" s="157" t="s">
        <v>344</v>
      </c>
      <c r="B617" s="29">
        <v>23507035</v>
      </c>
      <c r="C617" s="29"/>
      <c r="E617" s="29"/>
      <c r="F617" s="29" t="s">
        <v>129</v>
      </c>
      <c r="G617" s="29" t="s">
        <v>213</v>
      </c>
      <c r="H617" s="130">
        <v>45680</v>
      </c>
      <c r="I617" s="130">
        <f t="shared" si="1"/>
        <v>45685</v>
      </c>
      <c r="J617" s="130"/>
      <c r="K617" s="130">
        <v>45686</v>
      </c>
      <c r="L617" s="129" t="s">
        <v>10</v>
      </c>
      <c r="M617" s="162"/>
      <c r="N617" s="163"/>
      <c r="O617" s="29"/>
      <c r="P617" s="133"/>
    </row>
    <row r="618" spans="1:16" hidden="1">
      <c r="A618" s="157" t="s">
        <v>344</v>
      </c>
      <c r="B618" s="29">
        <v>23507066</v>
      </c>
      <c r="C618" s="29"/>
      <c r="E618" s="29"/>
      <c r="F618" s="29" t="s">
        <v>129</v>
      </c>
      <c r="G618" s="29" t="s">
        <v>213</v>
      </c>
      <c r="H618" s="130">
        <v>45680</v>
      </c>
      <c r="I618" s="130">
        <f t="shared" si="1"/>
        <v>45685</v>
      </c>
      <c r="J618" s="130"/>
      <c r="K618" s="130">
        <v>45684</v>
      </c>
      <c r="L618" s="129" t="s">
        <v>10</v>
      </c>
      <c r="M618" s="162"/>
      <c r="N618" s="163"/>
      <c r="O618" s="29"/>
      <c r="P618" s="133"/>
    </row>
    <row r="619" spans="1:16" hidden="1">
      <c r="A619" s="157" t="s">
        <v>344</v>
      </c>
      <c r="B619" s="29">
        <v>23507071</v>
      </c>
      <c r="C619" s="29"/>
      <c r="E619" s="29"/>
      <c r="F619" s="29" t="s">
        <v>129</v>
      </c>
      <c r="G619" s="29" t="s">
        <v>213</v>
      </c>
      <c r="H619" s="130">
        <v>45680</v>
      </c>
      <c r="I619" s="130">
        <f t="shared" si="1"/>
        <v>45685</v>
      </c>
      <c r="J619" s="130"/>
      <c r="K619" s="130">
        <v>45684</v>
      </c>
      <c r="L619" s="129" t="s">
        <v>10</v>
      </c>
      <c r="M619" s="162"/>
      <c r="N619" s="163"/>
      <c r="O619" s="29"/>
      <c r="P619" s="133"/>
    </row>
    <row r="620" spans="1:16" hidden="1">
      <c r="A620" s="157" t="s">
        <v>344</v>
      </c>
      <c r="B620" s="29">
        <v>23507082</v>
      </c>
      <c r="C620" s="29"/>
      <c r="E620" s="29"/>
      <c r="F620" s="29" t="s">
        <v>129</v>
      </c>
      <c r="G620" s="29" t="s">
        <v>213</v>
      </c>
      <c r="H620" s="130">
        <v>45680</v>
      </c>
      <c r="I620" s="130">
        <f t="shared" si="1"/>
        <v>45685</v>
      </c>
      <c r="J620" s="130"/>
      <c r="K620" s="130">
        <v>45685</v>
      </c>
      <c r="L620" s="129" t="s">
        <v>10</v>
      </c>
      <c r="M620" s="162"/>
      <c r="N620" s="163"/>
      <c r="O620" s="29"/>
      <c r="P620" s="133"/>
    </row>
    <row r="621" spans="1:16" hidden="1">
      <c r="A621" s="157" t="s">
        <v>344</v>
      </c>
      <c r="B621" s="29">
        <v>23507111</v>
      </c>
      <c r="C621" s="29"/>
      <c r="E621" s="29"/>
      <c r="F621" s="29" t="s">
        <v>129</v>
      </c>
      <c r="G621" s="29" t="s">
        <v>213</v>
      </c>
      <c r="H621" s="130">
        <v>45680</v>
      </c>
      <c r="I621" s="130">
        <f t="shared" si="1"/>
        <v>45685</v>
      </c>
      <c r="J621" s="130"/>
      <c r="K621" s="130">
        <v>45685</v>
      </c>
      <c r="L621" s="129" t="s">
        <v>10</v>
      </c>
      <c r="M621" s="162"/>
      <c r="N621" s="163"/>
      <c r="O621" s="29"/>
      <c r="P621" s="133"/>
    </row>
    <row r="622" spans="1:16" hidden="1">
      <c r="A622" s="157" t="s">
        <v>344</v>
      </c>
      <c r="B622" s="29">
        <v>23507030</v>
      </c>
      <c r="C622" s="29"/>
      <c r="E622" s="29"/>
      <c r="F622" s="29" t="s">
        <v>129</v>
      </c>
      <c r="G622" s="29" t="s">
        <v>213</v>
      </c>
      <c r="H622" s="130">
        <v>45680</v>
      </c>
      <c r="I622" s="130">
        <f t="shared" si="1"/>
        <v>45685</v>
      </c>
      <c r="J622" s="130"/>
      <c r="K622" s="130">
        <v>45707</v>
      </c>
      <c r="L622" s="129" t="s">
        <v>10</v>
      </c>
      <c r="M622" s="162"/>
      <c r="N622" s="163"/>
      <c r="O622" s="29"/>
      <c r="P622" s="133"/>
    </row>
    <row r="623" spans="1:16" hidden="1">
      <c r="A623" s="157" t="s">
        <v>344</v>
      </c>
      <c r="B623" s="29">
        <v>23507088</v>
      </c>
      <c r="C623" s="29"/>
      <c r="E623" s="29"/>
      <c r="F623" s="29" t="s">
        <v>129</v>
      </c>
      <c r="G623" s="29" t="s">
        <v>213</v>
      </c>
      <c r="H623" s="130">
        <v>45680</v>
      </c>
      <c r="I623" s="130">
        <f t="shared" si="1"/>
        <v>45685</v>
      </c>
      <c r="J623" s="130"/>
      <c r="K623" s="130">
        <v>45693</v>
      </c>
      <c r="L623" s="129" t="s">
        <v>10</v>
      </c>
      <c r="M623" s="162"/>
      <c r="N623" s="163"/>
      <c r="O623" s="29"/>
      <c r="P623" s="133"/>
    </row>
    <row r="624" spans="1:16" hidden="1">
      <c r="A624" s="157" t="s">
        <v>344</v>
      </c>
      <c r="B624" s="29">
        <v>23507092</v>
      </c>
      <c r="C624" s="29"/>
      <c r="E624" s="29"/>
      <c r="F624" s="29" t="s">
        <v>129</v>
      </c>
      <c r="G624" s="29" t="s">
        <v>213</v>
      </c>
      <c r="H624" s="130">
        <v>45680</v>
      </c>
      <c r="I624" s="130">
        <f t="shared" si="1"/>
        <v>45685</v>
      </c>
      <c r="J624" s="130"/>
      <c r="K624" s="130">
        <v>45693</v>
      </c>
      <c r="L624" s="129" t="s">
        <v>10</v>
      </c>
      <c r="M624" s="162"/>
      <c r="N624" s="163"/>
      <c r="O624" s="29"/>
      <c r="P624" s="133"/>
    </row>
    <row r="625" spans="1:16" hidden="1">
      <c r="A625" s="157" t="s">
        <v>344</v>
      </c>
      <c r="B625" s="29">
        <v>23507096</v>
      </c>
      <c r="C625" s="29"/>
      <c r="E625" s="29"/>
      <c r="F625" s="29" t="s">
        <v>129</v>
      </c>
      <c r="G625" s="29" t="s">
        <v>213</v>
      </c>
      <c r="H625" s="130">
        <v>45680</v>
      </c>
      <c r="I625" s="130">
        <f t="shared" si="1"/>
        <v>45685</v>
      </c>
      <c r="J625" s="130"/>
      <c r="K625" s="130">
        <v>45687</v>
      </c>
      <c r="L625" s="129" t="s">
        <v>10</v>
      </c>
      <c r="M625" s="162"/>
      <c r="N625" s="163"/>
      <c r="O625" s="29"/>
      <c r="P625" s="133"/>
    </row>
    <row r="626" spans="1:16" hidden="1">
      <c r="A626" s="157" t="s">
        <v>344</v>
      </c>
      <c r="B626" s="29">
        <v>23507104</v>
      </c>
      <c r="C626" s="29"/>
      <c r="E626" s="29"/>
      <c r="F626" s="29" t="s">
        <v>129</v>
      </c>
      <c r="G626" s="29" t="s">
        <v>213</v>
      </c>
      <c r="H626" s="130">
        <v>45680</v>
      </c>
      <c r="I626" s="130">
        <f t="shared" si="1"/>
        <v>45685</v>
      </c>
      <c r="J626" s="130"/>
      <c r="K626" s="130">
        <v>45687</v>
      </c>
      <c r="L626" s="129" t="s">
        <v>10</v>
      </c>
      <c r="M626" s="162"/>
      <c r="N626" s="163"/>
      <c r="O626" s="29"/>
      <c r="P626" s="133"/>
    </row>
    <row r="627" spans="1:16" hidden="1">
      <c r="A627" s="29" t="s">
        <v>440</v>
      </c>
      <c r="B627" s="29">
        <v>29507354</v>
      </c>
      <c r="C627" s="29"/>
      <c r="E627" s="29"/>
      <c r="F627" s="29" t="s">
        <v>129</v>
      </c>
      <c r="G627" s="29" t="s">
        <v>127</v>
      </c>
      <c r="H627" s="130">
        <v>45684</v>
      </c>
      <c r="I627" s="130">
        <f t="shared" si="1"/>
        <v>45687</v>
      </c>
      <c r="J627" s="130"/>
      <c r="K627" s="130"/>
      <c r="L627" s="129" t="s">
        <v>414</v>
      </c>
      <c r="M627" s="130"/>
      <c r="N627" s="145"/>
      <c r="O627" s="29" t="s">
        <v>441</v>
      </c>
      <c r="P627" s="133"/>
    </row>
    <row r="628" spans="1:16" hidden="1">
      <c r="A628" s="29" t="s">
        <v>440</v>
      </c>
      <c r="B628" s="29">
        <v>28507244</v>
      </c>
      <c r="C628" s="29"/>
      <c r="E628" s="29"/>
      <c r="F628" s="29" t="s">
        <v>129</v>
      </c>
      <c r="G628" s="29" t="s">
        <v>127</v>
      </c>
      <c r="H628" s="130">
        <v>45684</v>
      </c>
      <c r="I628" s="130">
        <f t="shared" si="1"/>
        <v>45687</v>
      </c>
      <c r="J628" s="130"/>
      <c r="K628" s="130"/>
      <c r="L628" s="129" t="s">
        <v>414</v>
      </c>
      <c r="M628" s="130"/>
      <c r="N628" s="145"/>
      <c r="O628" s="29" t="s">
        <v>442</v>
      </c>
      <c r="P628" s="133"/>
    </row>
    <row r="629" spans="1:16" hidden="1">
      <c r="A629" s="29" t="s">
        <v>440</v>
      </c>
      <c r="B629" s="29">
        <v>28506894</v>
      </c>
      <c r="C629" s="29"/>
      <c r="E629" s="29"/>
      <c r="F629" s="29" t="s">
        <v>129</v>
      </c>
      <c r="G629" s="29" t="s">
        <v>127</v>
      </c>
      <c r="H629" s="130">
        <v>45684</v>
      </c>
      <c r="I629" s="130">
        <f t="shared" si="1"/>
        <v>45687</v>
      </c>
      <c r="J629" s="130"/>
      <c r="K629" s="130"/>
      <c r="L629" s="129" t="s">
        <v>414</v>
      </c>
      <c r="M629" s="130"/>
      <c r="N629" s="145"/>
      <c r="O629" s="29" t="s">
        <v>443</v>
      </c>
      <c r="P629" s="133"/>
    </row>
    <row r="630" spans="1:16" hidden="1">
      <c r="A630" s="29" t="s">
        <v>440</v>
      </c>
      <c r="B630" s="29">
        <v>28506868</v>
      </c>
      <c r="C630" s="29"/>
      <c r="E630" s="29"/>
      <c r="F630" s="29" t="s">
        <v>129</v>
      </c>
      <c r="G630" s="29" t="s">
        <v>127</v>
      </c>
      <c r="H630" s="130">
        <v>45684</v>
      </c>
      <c r="I630" s="130">
        <f t="shared" si="1"/>
        <v>45687</v>
      </c>
      <c r="J630" s="130"/>
      <c r="K630" s="130"/>
      <c r="L630" s="129" t="s">
        <v>414</v>
      </c>
      <c r="M630" s="130"/>
      <c r="N630" s="145"/>
      <c r="O630" s="29" t="s">
        <v>444</v>
      </c>
      <c r="P630" s="133"/>
    </row>
    <row r="631" spans="1:16" hidden="1">
      <c r="A631" s="29" t="s">
        <v>440</v>
      </c>
      <c r="B631" s="29">
        <v>28506849</v>
      </c>
      <c r="C631" s="29"/>
      <c r="E631" s="29"/>
      <c r="F631" s="29" t="s">
        <v>129</v>
      </c>
      <c r="G631" s="29" t="s">
        <v>127</v>
      </c>
      <c r="H631" s="130">
        <v>45684</v>
      </c>
      <c r="I631" s="130">
        <f t="shared" si="1"/>
        <v>45687</v>
      </c>
      <c r="J631" s="130"/>
      <c r="K631" s="130"/>
      <c r="L631" s="129" t="s">
        <v>414</v>
      </c>
      <c r="M631" s="130"/>
      <c r="N631" s="145"/>
      <c r="O631" s="29" t="s">
        <v>445</v>
      </c>
      <c r="P631" s="133"/>
    </row>
    <row r="632" spans="1:16" hidden="1">
      <c r="A632" s="29" t="s">
        <v>440</v>
      </c>
      <c r="B632" s="29">
        <v>28506322</v>
      </c>
      <c r="C632" s="29"/>
      <c r="E632" s="29"/>
      <c r="F632" s="29" t="s">
        <v>129</v>
      </c>
      <c r="G632" s="29" t="s">
        <v>127</v>
      </c>
      <c r="H632" s="130">
        <v>45684</v>
      </c>
      <c r="I632" s="130">
        <f t="shared" si="1"/>
        <v>45687</v>
      </c>
      <c r="J632" s="130"/>
      <c r="K632" s="130"/>
      <c r="L632" s="129" t="s">
        <v>414</v>
      </c>
      <c r="M632" s="130"/>
      <c r="N632" s="145"/>
      <c r="O632" s="29" t="s">
        <v>445</v>
      </c>
      <c r="P632" s="133"/>
    </row>
    <row r="633" spans="1:16" hidden="1">
      <c r="A633" s="29" t="s">
        <v>440</v>
      </c>
      <c r="B633" s="29">
        <v>28506204</v>
      </c>
      <c r="C633" s="29"/>
      <c r="E633" s="29"/>
      <c r="F633" s="29" t="s">
        <v>129</v>
      </c>
      <c r="G633" s="29" t="s">
        <v>127</v>
      </c>
      <c r="H633" s="130">
        <v>45684</v>
      </c>
      <c r="I633" s="130">
        <f t="shared" si="1"/>
        <v>45687</v>
      </c>
      <c r="J633" s="130"/>
      <c r="K633" s="130"/>
      <c r="L633" s="129" t="s">
        <v>414</v>
      </c>
      <c r="M633" s="130"/>
      <c r="N633" s="145"/>
      <c r="O633" s="29" t="s">
        <v>446</v>
      </c>
      <c r="P633" s="133"/>
    </row>
    <row r="634" spans="1:16" hidden="1">
      <c r="A634" s="29" t="s">
        <v>440</v>
      </c>
      <c r="B634" s="29">
        <v>28506093</v>
      </c>
      <c r="C634" s="29"/>
      <c r="E634" s="29"/>
      <c r="F634" s="29" t="s">
        <v>129</v>
      </c>
      <c r="G634" s="29" t="s">
        <v>127</v>
      </c>
      <c r="H634" s="130">
        <v>45684</v>
      </c>
      <c r="I634" s="130">
        <f t="shared" si="1"/>
        <v>45687</v>
      </c>
      <c r="J634" s="130"/>
      <c r="K634" s="130"/>
      <c r="L634" s="129" t="s">
        <v>414</v>
      </c>
      <c r="M634" s="130"/>
      <c r="N634" s="145"/>
      <c r="O634" s="29" t="s">
        <v>447</v>
      </c>
      <c r="P634" s="133"/>
    </row>
    <row r="635" spans="1:16" hidden="1">
      <c r="A635" s="29" t="s">
        <v>440</v>
      </c>
      <c r="B635" s="29">
        <v>28506035</v>
      </c>
      <c r="C635" s="29"/>
      <c r="E635" s="29"/>
      <c r="F635" s="29" t="s">
        <v>129</v>
      </c>
      <c r="G635" s="29" t="s">
        <v>127</v>
      </c>
      <c r="H635" s="130">
        <v>45684</v>
      </c>
      <c r="I635" s="130">
        <f t="shared" si="1"/>
        <v>45687</v>
      </c>
      <c r="J635" s="130"/>
      <c r="K635" s="130"/>
      <c r="L635" s="129" t="s">
        <v>414</v>
      </c>
      <c r="M635" s="130"/>
      <c r="N635" s="145"/>
      <c r="O635" s="29" t="s">
        <v>447</v>
      </c>
      <c r="P635" s="133"/>
    </row>
    <row r="636" spans="1:16" hidden="1">
      <c r="A636" s="29" t="s">
        <v>440</v>
      </c>
      <c r="B636" s="29">
        <v>28505069</v>
      </c>
      <c r="C636" s="29"/>
      <c r="E636" s="29"/>
      <c r="F636" s="29" t="s">
        <v>129</v>
      </c>
      <c r="G636" s="29" t="s">
        <v>127</v>
      </c>
      <c r="H636" s="130">
        <v>45684</v>
      </c>
      <c r="I636" s="130">
        <f t="shared" si="1"/>
        <v>45687</v>
      </c>
      <c r="J636" s="130"/>
      <c r="K636" s="130"/>
      <c r="L636" s="129" t="s">
        <v>414</v>
      </c>
      <c r="M636" s="130"/>
      <c r="N636" s="145"/>
      <c r="O636" s="29" t="s">
        <v>448</v>
      </c>
      <c r="P636" s="133"/>
    </row>
    <row r="637" spans="1:16" hidden="1">
      <c r="A637" s="29" t="s">
        <v>440</v>
      </c>
      <c r="B637" s="29">
        <v>28505038</v>
      </c>
      <c r="C637" s="29"/>
      <c r="E637" s="29"/>
      <c r="F637" s="29" t="s">
        <v>129</v>
      </c>
      <c r="G637" s="29" t="s">
        <v>127</v>
      </c>
      <c r="H637" s="130">
        <v>45684</v>
      </c>
      <c r="I637" s="130">
        <f t="shared" si="1"/>
        <v>45687</v>
      </c>
      <c r="J637" s="130"/>
      <c r="K637" s="130"/>
      <c r="L637" s="129" t="s">
        <v>414</v>
      </c>
      <c r="M637" s="130"/>
      <c r="N637" s="145"/>
      <c r="O637" s="29" t="s">
        <v>449</v>
      </c>
      <c r="P637" s="133"/>
    </row>
    <row r="638" spans="1:16" hidden="1">
      <c r="A638" s="29" t="s">
        <v>440</v>
      </c>
      <c r="B638" s="29">
        <v>28504900</v>
      </c>
      <c r="C638" s="29"/>
      <c r="E638" s="29"/>
      <c r="F638" s="29" t="s">
        <v>129</v>
      </c>
      <c r="G638" s="29" t="s">
        <v>127</v>
      </c>
      <c r="H638" s="130">
        <v>45684</v>
      </c>
      <c r="I638" s="130">
        <f t="shared" si="1"/>
        <v>45687</v>
      </c>
      <c r="J638" s="130"/>
      <c r="K638" s="130"/>
      <c r="L638" s="129" t="s">
        <v>414</v>
      </c>
      <c r="M638" s="130"/>
      <c r="N638" s="145"/>
      <c r="O638" s="29" t="s">
        <v>450</v>
      </c>
      <c r="P638" s="133"/>
    </row>
    <row r="639" spans="1:16" hidden="1">
      <c r="A639" s="29" t="s">
        <v>440</v>
      </c>
      <c r="B639" s="29">
        <v>28504725</v>
      </c>
      <c r="C639" s="29"/>
      <c r="E639" s="29"/>
      <c r="F639" s="29" t="s">
        <v>129</v>
      </c>
      <c r="G639" s="29" t="s">
        <v>127</v>
      </c>
      <c r="H639" s="130">
        <v>45684</v>
      </c>
      <c r="I639" s="130">
        <f t="shared" si="1"/>
        <v>45687</v>
      </c>
      <c r="J639" s="130"/>
      <c r="K639" s="130"/>
      <c r="L639" s="129" t="s">
        <v>414</v>
      </c>
      <c r="M639" s="130"/>
      <c r="N639" s="145"/>
      <c r="O639" s="29" t="s">
        <v>451</v>
      </c>
      <c r="P639" s="133"/>
    </row>
    <row r="640" spans="1:16" hidden="1">
      <c r="A640" s="29" t="s">
        <v>452</v>
      </c>
      <c r="B640" s="29">
        <v>30508309</v>
      </c>
      <c r="C640" s="29"/>
      <c r="E640" s="29"/>
      <c r="F640" s="29" t="s">
        <v>129</v>
      </c>
      <c r="G640" s="29" t="s">
        <v>213</v>
      </c>
      <c r="H640" s="130">
        <v>45686</v>
      </c>
      <c r="I640" s="130">
        <f t="shared" si="1"/>
        <v>45691</v>
      </c>
      <c r="J640" s="130"/>
      <c r="K640" s="130"/>
      <c r="L640" s="129" t="s">
        <v>414</v>
      </c>
      <c r="M640" s="130"/>
      <c r="N640" s="145"/>
      <c r="O640" s="29" t="s">
        <v>453</v>
      </c>
      <c r="P640" s="133"/>
    </row>
    <row r="641" spans="1:16" hidden="1">
      <c r="A641" s="29" t="s">
        <v>452</v>
      </c>
      <c r="B641" s="29">
        <v>30508305</v>
      </c>
      <c r="C641" s="29"/>
      <c r="E641" s="29"/>
      <c r="F641" s="29" t="s">
        <v>129</v>
      </c>
      <c r="G641" s="29" t="s">
        <v>213</v>
      </c>
      <c r="H641" s="130">
        <v>45686</v>
      </c>
      <c r="I641" s="130">
        <f t="shared" si="1"/>
        <v>45691</v>
      </c>
      <c r="J641" s="130"/>
      <c r="K641" s="130"/>
      <c r="L641" s="129" t="s">
        <v>414</v>
      </c>
      <c r="M641" s="130"/>
      <c r="N641" s="145"/>
      <c r="O641" s="29" t="s">
        <v>454</v>
      </c>
      <c r="P641" s="133"/>
    </row>
    <row r="642" spans="1:16" hidden="1">
      <c r="A642" s="29" t="s">
        <v>452</v>
      </c>
      <c r="B642" s="29">
        <v>30508300</v>
      </c>
      <c r="C642" s="29"/>
      <c r="E642" s="29"/>
      <c r="F642" s="29" t="s">
        <v>129</v>
      </c>
      <c r="G642" s="29" t="s">
        <v>213</v>
      </c>
      <c r="H642" s="130">
        <v>45686</v>
      </c>
      <c r="I642" s="130">
        <f t="shared" si="1"/>
        <v>45691</v>
      </c>
      <c r="J642" s="130"/>
      <c r="K642" s="130"/>
      <c r="L642" s="129" t="s">
        <v>414</v>
      </c>
      <c r="M642" s="130"/>
      <c r="N642" s="145"/>
      <c r="O642" s="29" t="s">
        <v>455</v>
      </c>
      <c r="P642" s="133"/>
    </row>
    <row r="643" spans="1:16" hidden="1">
      <c r="A643" s="29" t="s">
        <v>452</v>
      </c>
      <c r="B643" s="29">
        <v>30508297</v>
      </c>
      <c r="C643" s="29"/>
      <c r="E643" s="29"/>
      <c r="F643" s="29" t="s">
        <v>129</v>
      </c>
      <c r="G643" s="29" t="s">
        <v>213</v>
      </c>
      <c r="H643" s="130">
        <v>45686</v>
      </c>
      <c r="I643" s="130">
        <f t="shared" si="1"/>
        <v>45691</v>
      </c>
      <c r="J643" s="130"/>
      <c r="K643" s="130"/>
      <c r="L643" s="129" t="s">
        <v>414</v>
      </c>
      <c r="M643" s="130"/>
      <c r="N643" s="145"/>
      <c r="O643" s="29" t="s">
        <v>455</v>
      </c>
      <c r="P643" s="133"/>
    </row>
    <row r="644" spans="1:16" hidden="1">
      <c r="A644" s="29" t="s">
        <v>452</v>
      </c>
      <c r="B644" s="29">
        <v>30508294</v>
      </c>
      <c r="C644" s="29"/>
      <c r="E644" s="29"/>
      <c r="F644" s="29" t="s">
        <v>129</v>
      </c>
      <c r="G644" s="29" t="s">
        <v>213</v>
      </c>
      <c r="H644" s="130">
        <v>45686</v>
      </c>
      <c r="I644" s="130">
        <f t="shared" si="1"/>
        <v>45691</v>
      </c>
      <c r="J644" s="130"/>
      <c r="K644" s="130"/>
      <c r="L644" s="129" t="s">
        <v>414</v>
      </c>
      <c r="M644" s="130"/>
      <c r="N644" s="145"/>
      <c r="O644" s="29" t="s">
        <v>456</v>
      </c>
      <c r="P644" s="133"/>
    </row>
    <row r="645" spans="1:16" hidden="1">
      <c r="A645" s="29" t="s">
        <v>452</v>
      </c>
      <c r="B645" s="29">
        <v>30508293</v>
      </c>
      <c r="C645" s="29"/>
      <c r="E645" s="29"/>
      <c r="F645" s="29" t="s">
        <v>129</v>
      </c>
      <c r="G645" s="29" t="s">
        <v>213</v>
      </c>
      <c r="H645" s="130">
        <v>45686</v>
      </c>
      <c r="I645" s="130">
        <f t="shared" si="1"/>
        <v>45691</v>
      </c>
      <c r="J645" s="130"/>
      <c r="K645" s="130"/>
      <c r="L645" s="129" t="s">
        <v>414</v>
      </c>
      <c r="M645" s="130"/>
      <c r="N645" s="145"/>
      <c r="O645" s="29" t="s">
        <v>457</v>
      </c>
      <c r="P645" s="133"/>
    </row>
    <row r="646" spans="1:16" hidden="1">
      <c r="A646" s="29" t="s">
        <v>452</v>
      </c>
      <c r="B646" s="29">
        <v>30508290</v>
      </c>
      <c r="C646" s="29"/>
      <c r="E646" s="29"/>
      <c r="F646" s="29" t="s">
        <v>129</v>
      </c>
      <c r="G646" s="29" t="s">
        <v>213</v>
      </c>
      <c r="H646" s="130">
        <v>45686</v>
      </c>
      <c r="I646" s="130">
        <f t="shared" si="1"/>
        <v>45691</v>
      </c>
      <c r="J646" s="130"/>
      <c r="K646" s="130"/>
      <c r="L646" s="129" t="s">
        <v>414</v>
      </c>
      <c r="M646" s="130"/>
      <c r="N646" s="145"/>
      <c r="O646" s="29" t="s">
        <v>458</v>
      </c>
      <c r="P646" s="133"/>
    </row>
    <row r="647" spans="1:16" hidden="1">
      <c r="A647" s="29" t="s">
        <v>452</v>
      </c>
      <c r="B647" s="29">
        <v>30508289</v>
      </c>
      <c r="C647" s="29"/>
      <c r="E647" s="29"/>
      <c r="F647" s="29" t="s">
        <v>129</v>
      </c>
      <c r="G647" s="29" t="s">
        <v>213</v>
      </c>
      <c r="H647" s="130">
        <v>45686</v>
      </c>
      <c r="I647" s="130">
        <f t="shared" si="1"/>
        <v>45691</v>
      </c>
      <c r="J647" s="130"/>
      <c r="K647" s="130"/>
      <c r="L647" s="129" t="s">
        <v>414</v>
      </c>
      <c r="M647" s="130"/>
      <c r="N647" s="145"/>
      <c r="O647" s="29" t="s">
        <v>458</v>
      </c>
      <c r="P647" s="133"/>
    </row>
    <row r="648" spans="1:16" hidden="1">
      <c r="A648" s="29" t="s">
        <v>452</v>
      </c>
      <c r="B648" s="29">
        <v>30508284</v>
      </c>
      <c r="C648" s="29"/>
      <c r="E648" s="29"/>
      <c r="F648" s="29" t="s">
        <v>129</v>
      </c>
      <c r="G648" s="29" t="s">
        <v>213</v>
      </c>
      <c r="H648" s="130">
        <v>45686</v>
      </c>
      <c r="I648" s="130">
        <f t="shared" si="1"/>
        <v>45691</v>
      </c>
      <c r="J648" s="130"/>
      <c r="K648" s="130"/>
      <c r="L648" s="129" t="s">
        <v>414</v>
      </c>
      <c r="M648" s="130"/>
      <c r="N648" s="145"/>
      <c r="O648" s="29" t="s">
        <v>459</v>
      </c>
      <c r="P648" s="133"/>
    </row>
    <row r="649" spans="1:16" hidden="1">
      <c r="A649" s="29" t="s">
        <v>452</v>
      </c>
      <c r="B649" s="29">
        <v>30508281</v>
      </c>
      <c r="C649" s="29"/>
      <c r="E649" s="29"/>
      <c r="F649" s="29" t="s">
        <v>129</v>
      </c>
      <c r="G649" s="29" t="s">
        <v>213</v>
      </c>
      <c r="H649" s="130">
        <v>45686</v>
      </c>
      <c r="I649" s="130">
        <f t="shared" si="1"/>
        <v>45691</v>
      </c>
      <c r="J649" s="130"/>
      <c r="K649" s="130"/>
      <c r="L649" s="129" t="s">
        <v>414</v>
      </c>
      <c r="M649" s="130"/>
      <c r="N649" s="145"/>
      <c r="O649" s="29" t="s">
        <v>460</v>
      </c>
      <c r="P649" s="133"/>
    </row>
    <row r="650" spans="1:16" hidden="1">
      <c r="A650" s="29" t="s">
        <v>452</v>
      </c>
      <c r="B650" s="29">
        <v>30508277</v>
      </c>
      <c r="C650" s="29"/>
      <c r="E650" s="29"/>
      <c r="F650" s="29" t="s">
        <v>129</v>
      </c>
      <c r="G650" s="29" t="s">
        <v>213</v>
      </c>
      <c r="H650" s="130">
        <v>45686</v>
      </c>
      <c r="I650" s="130">
        <f t="shared" si="1"/>
        <v>45691</v>
      </c>
      <c r="J650" s="130"/>
      <c r="K650" s="130"/>
      <c r="L650" s="129" t="s">
        <v>414</v>
      </c>
      <c r="M650" s="130"/>
      <c r="N650" s="145"/>
      <c r="O650" s="29" t="s">
        <v>461</v>
      </c>
      <c r="P650" s="133"/>
    </row>
    <row r="651" spans="1:16" hidden="1">
      <c r="A651" s="29" t="s">
        <v>452</v>
      </c>
      <c r="B651" s="29">
        <v>30508275</v>
      </c>
      <c r="C651" s="29"/>
      <c r="E651" s="29"/>
      <c r="F651" s="29" t="s">
        <v>129</v>
      </c>
      <c r="G651" s="29" t="s">
        <v>213</v>
      </c>
      <c r="H651" s="130">
        <v>45686</v>
      </c>
      <c r="I651" s="130">
        <f t="shared" si="1"/>
        <v>45691</v>
      </c>
      <c r="J651" s="130"/>
      <c r="K651" s="130"/>
      <c r="L651" s="129" t="s">
        <v>414</v>
      </c>
      <c r="M651" s="130"/>
      <c r="N651" s="145"/>
      <c r="O651" s="29" t="s">
        <v>461</v>
      </c>
      <c r="P651" s="133"/>
    </row>
    <row r="652" spans="1:16" hidden="1">
      <c r="A652" s="29" t="s">
        <v>452</v>
      </c>
      <c r="B652" s="29">
        <v>30508271</v>
      </c>
      <c r="C652" s="29"/>
      <c r="E652" s="29"/>
      <c r="F652" s="29" t="s">
        <v>129</v>
      </c>
      <c r="G652" s="29" t="s">
        <v>213</v>
      </c>
      <c r="H652" s="130">
        <v>45686</v>
      </c>
      <c r="I652" s="130">
        <f t="shared" ref="I652:I715" si="2">WORKDAY(H652, 3)</f>
        <v>45691</v>
      </c>
      <c r="J652" s="130"/>
      <c r="K652" s="130"/>
      <c r="L652" s="129" t="s">
        <v>414</v>
      </c>
      <c r="M652" s="130"/>
      <c r="N652" s="145"/>
      <c r="O652" s="29" t="s">
        <v>462</v>
      </c>
      <c r="P652" s="133"/>
    </row>
    <row r="653" spans="1:16" hidden="1">
      <c r="A653" s="29" t="s">
        <v>452</v>
      </c>
      <c r="B653" s="29">
        <v>30508265</v>
      </c>
      <c r="C653" s="29"/>
      <c r="E653" s="29"/>
      <c r="F653" s="29" t="s">
        <v>129</v>
      </c>
      <c r="G653" s="29" t="s">
        <v>213</v>
      </c>
      <c r="H653" s="130">
        <v>45686</v>
      </c>
      <c r="I653" s="130">
        <f t="shared" si="2"/>
        <v>45691</v>
      </c>
      <c r="J653" s="130"/>
      <c r="K653" s="130"/>
      <c r="L653" s="129" t="s">
        <v>414</v>
      </c>
      <c r="M653" s="130"/>
      <c r="N653" s="145"/>
      <c r="O653" s="29" t="s">
        <v>461</v>
      </c>
      <c r="P653" s="133"/>
    </row>
    <row r="654" spans="1:16" hidden="1">
      <c r="A654" s="29" t="s">
        <v>452</v>
      </c>
      <c r="B654" s="29">
        <v>30508261</v>
      </c>
      <c r="C654" s="29"/>
      <c r="E654" s="29"/>
      <c r="F654" s="29" t="s">
        <v>129</v>
      </c>
      <c r="G654" s="29" t="s">
        <v>213</v>
      </c>
      <c r="H654" s="130">
        <v>45686</v>
      </c>
      <c r="I654" s="130">
        <f t="shared" si="2"/>
        <v>45691</v>
      </c>
      <c r="J654" s="130"/>
      <c r="K654" s="130"/>
      <c r="L654" s="129" t="s">
        <v>414</v>
      </c>
      <c r="M654" s="130"/>
      <c r="N654" s="145"/>
      <c r="O654" s="29" t="s">
        <v>463</v>
      </c>
      <c r="P654" s="133"/>
    </row>
    <row r="655" spans="1:16" hidden="1">
      <c r="A655" s="29" t="s">
        <v>452</v>
      </c>
      <c r="B655" s="29">
        <v>30508258</v>
      </c>
      <c r="C655" s="29"/>
      <c r="E655" s="29"/>
      <c r="F655" s="29" t="s">
        <v>129</v>
      </c>
      <c r="G655" s="29" t="s">
        <v>213</v>
      </c>
      <c r="H655" s="130">
        <v>45686</v>
      </c>
      <c r="I655" s="130">
        <f t="shared" si="2"/>
        <v>45691</v>
      </c>
      <c r="J655" s="130"/>
      <c r="K655" s="130"/>
      <c r="L655" s="129" t="s">
        <v>414</v>
      </c>
      <c r="M655" s="130"/>
      <c r="N655" s="145"/>
      <c r="O655" s="29" t="s">
        <v>464</v>
      </c>
      <c r="P655" s="133"/>
    </row>
    <row r="656" spans="1:16" hidden="1">
      <c r="A656" s="29" t="s">
        <v>452</v>
      </c>
      <c r="B656" s="29">
        <v>30508255</v>
      </c>
      <c r="C656" s="29"/>
      <c r="E656" s="29"/>
      <c r="F656" s="29" t="s">
        <v>129</v>
      </c>
      <c r="G656" s="29" t="s">
        <v>213</v>
      </c>
      <c r="H656" s="130">
        <v>45686</v>
      </c>
      <c r="I656" s="130">
        <f t="shared" si="2"/>
        <v>45691</v>
      </c>
      <c r="J656" s="130"/>
      <c r="K656" s="130"/>
      <c r="L656" s="129" t="s">
        <v>414</v>
      </c>
      <c r="M656" s="130"/>
      <c r="N656" s="145"/>
      <c r="O656" s="29" t="s">
        <v>465</v>
      </c>
      <c r="P656" s="133"/>
    </row>
    <row r="657" spans="1:16" hidden="1">
      <c r="A657" s="29" t="s">
        <v>452</v>
      </c>
      <c r="B657" s="29">
        <v>30508249</v>
      </c>
      <c r="C657" s="29"/>
      <c r="E657" s="29"/>
      <c r="F657" s="29" t="s">
        <v>129</v>
      </c>
      <c r="G657" s="29" t="s">
        <v>213</v>
      </c>
      <c r="H657" s="130">
        <v>45686</v>
      </c>
      <c r="I657" s="130">
        <f t="shared" si="2"/>
        <v>45691</v>
      </c>
      <c r="J657" s="130"/>
      <c r="K657" s="130"/>
      <c r="L657" s="129" t="s">
        <v>414</v>
      </c>
      <c r="M657" s="130"/>
      <c r="N657" s="145"/>
      <c r="O657" s="29" t="s">
        <v>466</v>
      </c>
      <c r="P657" s="133"/>
    </row>
    <row r="658" spans="1:16" hidden="1">
      <c r="A658" s="29" t="s">
        <v>452</v>
      </c>
      <c r="B658" s="29">
        <v>30508244</v>
      </c>
      <c r="C658" s="29"/>
      <c r="E658" s="29"/>
      <c r="F658" s="29" t="s">
        <v>129</v>
      </c>
      <c r="G658" s="29" t="s">
        <v>213</v>
      </c>
      <c r="H658" s="130">
        <v>45686</v>
      </c>
      <c r="I658" s="130">
        <f t="shared" si="2"/>
        <v>45691</v>
      </c>
      <c r="J658" s="130"/>
      <c r="K658" s="130"/>
      <c r="L658" s="129" t="s">
        <v>414</v>
      </c>
      <c r="M658" s="130"/>
      <c r="N658" s="145"/>
      <c r="O658" s="29" t="s">
        <v>464</v>
      </c>
      <c r="P658" s="133"/>
    </row>
    <row r="659" spans="1:16" hidden="1">
      <c r="A659" s="29" t="s">
        <v>452</v>
      </c>
      <c r="B659" s="29">
        <v>30508237</v>
      </c>
      <c r="C659" s="29"/>
      <c r="E659" s="29"/>
      <c r="F659" s="29" t="s">
        <v>129</v>
      </c>
      <c r="G659" s="29" t="s">
        <v>213</v>
      </c>
      <c r="H659" s="130">
        <v>45686</v>
      </c>
      <c r="I659" s="130">
        <f t="shared" si="2"/>
        <v>45691</v>
      </c>
      <c r="J659" s="130"/>
      <c r="K659" s="130"/>
      <c r="L659" s="129" t="s">
        <v>414</v>
      </c>
      <c r="M659" s="130"/>
      <c r="N659" s="145"/>
      <c r="O659" s="29" t="s">
        <v>467</v>
      </c>
      <c r="P659" s="133"/>
    </row>
    <row r="660" spans="1:16" hidden="1">
      <c r="A660" s="29" t="s">
        <v>452</v>
      </c>
      <c r="B660" s="29">
        <v>30508222</v>
      </c>
      <c r="C660" s="29"/>
      <c r="E660" s="29"/>
      <c r="F660" s="29" t="s">
        <v>129</v>
      </c>
      <c r="G660" s="29" t="s">
        <v>213</v>
      </c>
      <c r="H660" s="130">
        <v>45686</v>
      </c>
      <c r="I660" s="130">
        <f t="shared" si="2"/>
        <v>45691</v>
      </c>
      <c r="J660" s="130"/>
      <c r="K660" s="130"/>
      <c r="L660" s="129" t="s">
        <v>414</v>
      </c>
      <c r="M660" s="130"/>
      <c r="N660" s="145"/>
      <c r="O660" s="29" t="s">
        <v>468</v>
      </c>
      <c r="P660" s="133"/>
    </row>
    <row r="661" spans="1:16" hidden="1">
      <c r="A661" s="29" t="s">
        <v>452</v>
      </c>
      <c r="B661" s="29">
        <v>30508211</v>
      </c>
      <c r="C661" s="29"/>
      <c r="E661" s="29"/>
      <c r="F661" s="29" t="s">
        <v>129</v>
      </c>
      <c r="G661" s="29" t="s">
        <v>213</v>
      </c>
      <c r="H661" s="130">
        <v>45686</v>
      </c>
      <c r="I661" s="130">
        <f t="shared" si="2"/>
        <v>45691</v>
      </c>
      <c r="J661" s="130"/>
      <c r="K661" s="130"/>
      <c r="L661" s="129" t="s">
        <v>414</v>
      </c>
      <c r="M661" s="130"/>
      <c r="N661" s="145"/>
      <c r="O661" s="29" t="s">
        <v>469</v>
      </c>
      <c r="P661" s="133"/>
    </row>
    <row r="662" spans="1:16" hidden="1">
      <c r="A662" s="29" t="s">
        <v>452</v>
      </c>
      <c r="B662" s="29">
        <v>30508208</v>
      </c>
      <c r="C662" s="29"/>
      <c r="E662" s="29"/>
      <c r="F662" s="29" t="s">
        <v>129</v>
      </c>
      <c r="G662" s="29" t="s">
        <v>213</v>
      </c>
      <c r="H662" s="130">
        <v>45686</v>
      </c>
      <c r="I662" s="130">
        <f t="shared" si="2"/>
        <v>45691</v>
      </c>
      <c r="J662" s="130"/>
      <c r="K662" s="130"/>
      <c r="L662" s="129" t="s">
        <v>414</v>
      </c>
      <c r="M662" s="130"/>
      <c r="N662" s="145"/>
      <c r="O662" s="29" t="s">
        <v>470</v>
      </c>
      <c r="P662" s="133"/>
    </row>
    <row r="663" spans="1:16" hidden="1">
      <c r="A663" s="29" t="s">
        <v>452</v>
      </c>
      <c r="B663" s="29">
        <v>30508205</v>
      </c>
      <c r="C663" s="29"/>
      <c r="E663" s="29"/>
      <c r="F663" s="29" t="s">
        <v>129</v>
      </c>
      <c r="G663" s="29" t="s">
        <v>213</v>
      </c>
      <c r="H663" s="130">
        <v>45686</v>
      </c>
      <c r="I663" s="130">
        <f t="shared" si="2"/>
        <v>45691</v>
      </c>
      <c r="J663" s="130"/>
      <c r="K663" s="130"/>
      <c r="L663" s="129" t="s">
        <v>414</v>
      </c>
      <c r="M663" s="130"/>
      <c r="N663" s="145"/>
      <c r="O663" s="29" t="s">
        <v>471</v>
      </c>
      <c r="P663" s="133"/>
    </row>
    <row r="664" spans="1:16" hidden="1">
      <c r="A664" s="29" t="s">
        <v>452</v>
      </c>
      <c r="B664" s="29">
        <v>30508203</v>
      </c>
      <c r="C664" s="29"/>
      <c r="E664" s="29"/>
      <c r="F664" s="29" t="s">
        <v>129</v>
      </c>
      <c r="G664" s="29" t="s">
        <v>213</v>
      </c>
      <c r="H664" s="130">
        <v>45686</v>
      </c>
      <c r="I664" s="130">
        <f t="shared" si="2"/>
        <v>45691</v>
      </c>
      <c r="J664" s="130"/>
      <c r="K664" s="130"/>
      <c r="L664" s="129" t="s">
        <v>414</v>
      </c>
      <c r="M664" s="130"/>
      <c r="N664" s="145"/>
      <c r="O664" s="29" t="s">
        <v>472</v>
      </c>
      <c r="P664" s="133"/>
    </row>
    <row r="665" spans="1:16" hidden="1">
      <c r="A665" s="29" t="s">
        <v>452</v>
      </c>
      <c r="B665" s="29">
        <v>30508196</v>
      </c>
      <c r="C665" s="29"/>
      <c r="E665" s="29"/>
      <c r="F665" s="29" t="s">
        <v>129</v>
      </c>
      <c r="G665" s="29" t="s">
        <v>213</v>
      </c>
      <c r="H665" s="130">
        <v>45686</v>
      </c>
      <c r="I665" s="130">
        <f t="shared" si="2"/>
        <v>45691</v>
      </c>
      <c r="J665" s="130"/>
      <c r="K665" s="130"/>
      <c r="L665" s="129" t="s">
        <v>414</v>
      </c>
      <c r="M665" s="130"/>
      <c r="N665" s="145"/>
      <c r="O665" s="29" t="s">
        <v>473</v>
      </c>
      <c r="P665" s="133"/>
    </row>
    <row r="666" spans="1:16" hidden="1">
      <c r="A666" s="29" t="s">
        <v>452</v>
      </c>
      <c r="B666" s="29">
        <v>30508192</v>
      </c>
      <c r="C666" s="29"/>
      <c r="E666" s="29"/>
      <c r="F666" s="29" t="s">
        <v>129</v>
      </c>
      <c r="G666" s="29" t="s">
        <v>213</v>
      </c>
      <c r="H666" s="130">
        <v>45686</v>
      </c>
      <c r="I666" s="130">
        <f t="shared" si="2"/>
        <v>45691</v>
      </c>
      <c r="J666" s="130"/>
      <c r="K666" s="130"/>
      <c r="L666" s="129" t="s">
        <v>414</v>
      </c>
      <c r="M666" s="130"/>
      <c r="N666" s="145"/>
      <c r="O666" s="29" t="s">
        <v>473</v>
      </c>
      <c r="P666" s="133"/>
    </row>
    <row r="667" spans="1:16" hidden="1">
      <c r="A667" s="29" t="s">
        <v>440</v>
      </c>
      <c r="B667" s="29">
        <v>30503694</v>
      </c>
      <c r="C667" s="29"/>
      <c r="E667" s="29"/>
      <c r="F667" s="29" t="s">
        <v>129</v>
      </c>
      <c r="G667" s="29" t="s">
        <v>127</v>
      </c>
      <c r="H667" s="130">
        <v>45686</v>
      </c>
      <c r="I667" s="130">
        <f t="shared" si="2"/>
        <v>45691</v>
      </c>
      <c r="J667" s="130"/>
      <c r="K667" s="130"/>
      <c r="L667" s="129" t="s">
        <v>414</v>
      </c>
      <c r="M667" s="130"/>
      <c r="N667" s="145"/>
      <c r="O667" s="29" t="s">
        <v>474</v>
      </c>
      <c r="P667" s="133"/>
    </row>
    <row r="668" spans="1:16" hidden="1">
      <c r="A668" s="29" t="s">
        <v>440</v>
      </c>
      <c r="B668" s="29">
        <v>30503155</v>
      </c>
      <c r="C668" s="29"/>
      <c r="E668" s="29"/>
      <c r="F668" s="29" t="s">
        <v>129</v>
      </c>
      <c r="G668" s="29" t="s">
        <v>127</v>
      </c>
      <c r="H668" s="130">
        <v>45686</v>
      </c>
      <c r="I668" s="130">
        <f t="shared" si="2"/>
        <v>45691</v>
      </c>
      <c r="J668" s="130"/>
      <c r="K668" s="130"/>
      <c r="L668" s="129" t="s">
        <v>414</v>
      </c>
      <c r="M668" s="130"/>
      <c r="N668" s="145"/>
      <c r="O668" s="29" t="s">
        <v>475</v>
      </c>
      <c r="P668" s="133"/>
    </row>
    <row r="669" spans="1:16" hidden="1">
      <c r="A669" s="29" t="s">
        <v>440</v>
      </c>
      <c r="B669" s="29">
        <v>30502388</v>
      </c>
      <c r="C669" s="29"/>
      <c r="E669" s="29"/>
      <c r="F669" s="29" t="s">
        <v>129</v>
      </c>
      <c r="G669" s="29" t="s">
        <v>127</v>
      </c>
      <c r="H669" s="130">
        <v>45686</v>
      </c>
      <c r="I669" s="130">
        <f t="shared" si="2"/>
        <v>45691</v>
      </c>
      <c r="J669" s="130"/>
      <c r="K669" s="130"/>
      <c r="L669" s="129" t="s">
        <v>414</v>
      </c>
      <c r="M669" s="130"/>
      <c r="N669" s="145"/>
      <c r="O669" s="29" t="s">
        <v>476</v>
      </c>
      <c r="P669" s="133"/>
    </row>
    <row r="670" spans="1:16" hidden="1">
      <c r="A670" s="29" t="s">
        <v>440</v>
      </c>
      <c r="B670" s="29">
        <v>30502328</v>
      </c>
      <c r="C670" s="29"/>
      <c r="E670" s="29"/>
      <c r="F670" s="29" t="s">
        <v>129</v>
      </c>
      <c r="G670" s="29" t="s">
        <v>127</v>
      </c>
      <c r="H670" s="130">
        <v>45686</v>
      </c>
      <c r="I670" s="130">
        <f t="shared" si="2"/>
        <v>45691</v>
      </c>
      <c r="J670" s="130"/>
      <c r="K670" s="130"/>
      <c r="L670" s="129" t="s">
        <v>414</v>
      </c>
      <c r="M670" s="130"/>
      <c r="N670" s="145"/>
      <c r="O670" s="29" t="s">
        <v>477</v>
      </c>
      <c r="P670" s="133"/>
    </row>
    <row r="671" spans="1:16" hidden="1">
      <c r="A671" s="29" t="s">
        <v>440</v>
      </c>
      <c r="B671" s="29">
        <v>30502052</v>
      </c>
      <c r="C671" s="29"/>
      <c r="E671" s="29"/>
      <c r="F671" s="29" t="s">
        <v>129</v>
      </c>
      <c r="G671" s="29" t="s">
        <v>127</v>
      </c>
      <c r="H671" s="130">
        <v>45686</v>
      </c>
      <c r="I671" s="130">
        <f t="shared" si="2"/>
        <v>45691</v>
      </c>
      <c r="J671" s="130"/>
      <c r="K671" s="130"/>
      <c r="L671" s="129" t="s">
        <v>414</v>
      </c>
      <c r="M671" s="130"/>
      <c r="N671" s="145"/>
      <c r="O671" s="29" t="s">
        <v>478</v>
      </c>
      <c r="P671" s="133"/>
    </row>
    <row r="672" spans="1:16" hidden="1">
      <c r="A672" s="157" t="s">
        <v>452</v>
      </c>
      <c r="B672" s="29">
        <v>31500021</v>
      </c>
      <c r="C672" s="29"/>
      <c r="E672" s="29"/>
      <c r="F672" s="29" t="s">
        <v>129</v>
      </c>
      <c r="G672" s="29" t="s">
        <v>213</v>
      </c>
      <c r="H672" s="130">
        <v>45688</v>
      </c>
      <c r="I672" s="130">
        <f t="shared" si="2"/>
        <v>45693</v>
      </c>
      <c r="J672" s="130"/>
      <c r="K672" s="130">
        <v>45703</v>
      </c>
      <c r="L672" s="129" t="s">
        <v>10</v>
      </c>
      <c r="M672" s="162"/>
      <c r="N672" s="163"/>
      <c r="O672" s="29"/>
      <c r="P672" s="133"/>
    </row>
    <row r="673" spans="1:16" hidden="1">
      <c r="A673" s="157" t="s">
        <v>452</v>
      </c>
      <c r="B673" s="29">
        <v>31500022</v>
      </c>
      <c r="C673" s="29"/>
      <c r="E673" s="29"/>
      <c r="F673" s="29" t="s">
        <v>129</v>
      </c>
      <c r="G673" s="29" t="s">
        <v>213</v>
      </c>
      <c r="H673" s="130">
        <v>45688</v>
      </c>
      <c r="I673" s="130">
        <f t="shared" si="2"/>
        <v>45693</v>
      </c>
      <c r="J673" s="130"/>
      <c r="K673" s="130">
        <v>45692</v>
      </c>
      <c r="L673" s="129" t="s">
        <v>10</v>
      </c>
      <c r="M673" s="162"/>
      <c r="N673" s="163"/>
      <c r="O673" s="29"/>
      <c r="P673" s="133"/>
    </row>
    <row r="674" spans="1:16" hidden="1">
      <c r="A674" s="157" t="s">
        <v>452</v>
      </c>
      <c r="B674" s="29">
        <v>31500023</v>
      </c>
      <c r="C674" s="29"/>
      <c r="E674" s="29"/>
      <c r="F674" s="29" t="s">
        <v>129</v>
      </c>
      <c r="G674" s="29" t="s">
        <v>213</v>
      </c>
      <c r="H674" s="130">
        <v>45688</v>
      </c>
      <c r="I674" s="130">
        <f t="shared" si="2"/>
        <v>45693</v>
      </c>
      <c r="J674" s="130"/>
      <c r="K674" s="130">
        <v>45692</v>
      </c>
      <c r="L674" s="129" t="s">
        <v>10</v>
      </c>
      <c r="M674" s="162"/>
      <c r="N674" s="163"/>
      <c r="O674" s="29"/>
      <c r="P674" s="133"/>
    </row>
    <row r="675" spans="1:16" hidden="1">
      <c r="A675" s="157" t="s">
        <v>452</v>
      </c>
      <c r="B675" s="29">
        <v>31500025</v>
      </c>
      <c r="C675" s="29"/>
      <c r="E675" s="29"/>
      <c r="F675" s="29" t="s">
        <v>129</v>
      </c>
      <c r="G675" s="29" t="s">
        <v>213</v>
      </c>
      <c r="H675" s="130">
        <v>45688</v>
      </c>
      <c r="I675" s="130">
        <f t="shared" si="2"/>
        <v>45693</v>
      </c>
      <c r="J675" s="130"/>
      <c r="K675" s="130">
        <v>45696</v>
      </c>
      <c r="L675" s="129" t="s">
        <v>10</v>
      </c>
      <c r="M675" s="162"/>
      <c r="N675" s="163"/>
      <c r="O675" s="29"/>
      <c r="P675" s="133"/>
    </row>
    <row r="676" spans="1:16" hidden="1">
      <c r="A676" s="157" t="s">
        <v>452</v>
      </c>
      <c r="B676" s="29">
        <v>31500028</v>
      </c>
      <c r="C676" s="29"/>
      <c r="E676" s="29"/>
      <c r="F676" s="29" t="s">
        <v>129</v>
      </c>
      <c r="G676" s="29" t="s">
        <v>213</v>
      </c>
      <c r="H676" s="130">
        <v>45688</v>
      </c>
      <c r="I676" s="130">
        <f t="shared" si="2"/>
        <v>45693</v>
      </c>
      <c r="J676" s="130"/>
      <c r="K676" s="130">
        <v>45696</v>
      </c>
      <c r="L676" s="129" t="s">
        <v>10</v>
      </c>
      <c r="M676" s="162"/>
      <c r="N676" s="163"/>
      <c r="O676" s="29"/>
      <c r="P676" s="133"/>
    </row>
    <row r="677" spans="1:16" hidden="1">
      <c r="A677" s="157" t="s">
        <v>452</v>
      </c>
      <c r="B677" s="29">
        <v>31500031</v>
      </c>
      <c r="C677" s="29"/>
      <c r="E677" s="29"/>
      <c r="F677" s="29" t="s">
        <v>129</v>
      </c>
      <c r="G677" s="29" t="s">
        <v>213</v>
      </c>
      <c r="H677" s="130">
        <v>45688</v>
      </c>
      <c r="I677" s="130">
        <f t="shared" si="2"/>
        <v>45693</v>
      </c>
      <c r="J677" s="130"/>
      <c r="K677" s="130">
        <v>45696</v>
      </c>
      <c r="L677" s="129" t="s">
        <v>10</v>
      </c>
      <c r="M677" s="162"/>
      <c r="N677" s="163"/>
      <c r="O677" s="29"/>
      <c r="P677" s="133"/>
    </row>
    <row r="678" spans="1:16" hidden="1">
      <c r="A678" s="157" t="s">
        <v>452</v>
      </c>
      <c r="B678" s="29">
        <v>31500033</v>
      </c>
      <c r="C678" s="29"/>
      <c r="E678" s="29"/>
      <c r="F678" s="29" t="s">
        <v>129</v>
      </c>
      <c r="G678" s="29" t="s">
        <v>213</v>
      </c>
      <c r="H678" s="130">
        <v>45688</v>
      </c>
      <c r="I678" s="130">
        <f t="shared" si="2"/>
        <v>45693</v>
      </c>
      <c r="J678" s="130"/>
      <c r="K678" s="130">
        <v>45696</v>
      </c>
      <c r="L678" s="129" t="s">
        <v>10</v>
      </c>
      <c r="M678" s="162"/>
      <c r="N678" s="163"/>
      <c r="O678" s="29"/>
      <c r="P678" s="133"/>
    </row>
    <row r="679" spans="1:16" hidden="1">
      <c r="A679" s="157" t="s">
        <v>452</v>
      </c>
      <c r="B679" s="29">
        <v>31500035</v>
      </c>
      <c r="C679" s="29"/>
      <c r="E679" s="29"/>
      <c r="F679" s="29" t="s">
        <v>129</v>
      </c>
      <c r="G679" s="29" t="s">
        <v>213</v>
      </c>
      <c r="H679" s="130">
        <v>45688</v>
      </c>
      <c r="I679" s="130">
        <f t="shared" si="2"/>
        <v>45693</v>
      </c>
      <c r="J679" s="130"/>
      <c r="K679" s="130">
        <v>45698</v>
      </c>
      <c r="L679" s="129" t="s">
        <v>10</v>
      </c>
      <c r="M679" s="162"/>
      <c r="N679" s="163"/>
      <c r="O679" s="29"/>
      <c r="P679" s="133"/>
    </row>
    <row r="680" spans="1:16" hidden="1">
      <c r="A680" s="157" t="s">
        <v>452</v>
      </c>
      <c r="B680" s="29">
        <v>31500036</v>
      </c>
      <c r="C680" s="29"/>
      <c r="E680" s="29"/>
      <c r="F680" s="29" t="s">
        <v>129</v>
      </c>
      <c r="G680" s="29" t="s">
        <v>213</v>
      </c>
      <c r="H680" s="130">
        <v>45688</v>
      </c>
      <c r="I680" s="130">
        <f t="shared" si="2"/>
        <v>45693</v>
      </c>
      <c r="J680" s="130"/>
      <c r="K680" s="130">
        <v>45699</v>
      </c>
      <c r="L680" s="129" t="s">
        <v>10</v>
      </c>
      <c r="M680" s="162"/>
      <c r="N680" s="163"/>
      <c r="O680" s="29"/>
      <c r="P680" s="133"/>
    </row>
    <row r="681" spans="1:16" hidden="1">
      <c r="A681" s="157" t="s">
        <v>452</v>
      </c>
      <c r="B681" s="29">
        <v>31500037</v>
      </c>
      <c r="C681" s="29"/>
      <c r="E681" s="29"/>
      <c r="F681" s="29" t="s">
        <v>129</v>
      </c>
      <c r="G681" s="29" t="s">
        <v>213</v>
      </c>
      <c r="H681" s="130">
        <v>45688</v>
      </c>
      <c r="I681" s="130">
        <f t="shared" si="2"/>
        <v>45693</v>
      </c>
      <c r="J681" s="130"/>
      <c r="K681" s="130">
        <v>45703</v>
      </c>
      <c r="L681" s="129" t="s">
        <v>10</v>
      </c>
      <c r="M681" s="162"/>
      <c r="N681" s="163"/>
      <c r="O681" s="29"/>
      <c r="P681" s="133"/>
    </row>
    <row r="682" spans="1:16" hidden="1">
      <c r="A682" s="157" t="s">
        <v>452</v>
      </c>
      <c r="B682" s="29">
        <v>31500038</v>
      </c>
      <c r="C682" s="29"/>
      <c r="E682" s="29"/>
      <c r="F682" s="29" t="s">
        <v>129</v>
      </c>
      <c r="G682" s="29" t="s">
        <v>213</v>
      </c>
      <c r="H682" s="130">
        <v>45688</v>
      </c>
      <c r="I682" s="130">
        <f t="shared" si="2"/>
        <v>45693</v>
      </c>
      <c r="J682" s="130"/>
      <c r="K682" s="130">
        <v>45703</v>
      </c>
      <c r="L682" s="129" t="s">
        <v>10</v>
      </c>
      <c r="M682" s="162"/>
      <c r="N682" s="163"/>
      <c r="O682" s="29"/>
      <c r="P682" s="133"/>
    </row>
    <row r="683" spans="1:16" hidden="1">
      <c r="A683" s="157" t="s">
        <v>452</v>
      </c>
      <c r="B683" s="29">
        <v>31500039</v>
      </c>
      <c r="C683" s="29"/>
      <c r="E683" s="29"/>
      <c r="F683" s="29" t="s">
        <v>129</v>
      </c>
      <c r="G683" s="29" t="s">
        <v>213</v>
      </c>
      <c r="H683" s="130">
        <v>45688</v>
      </c>
      <c r="I683" s="130">
        <f t="shared" si="2"/>
        <v>45693</v>
      </c>
      <c r="J683" s="130"/>
      <c r="K683" s="130">
        <v>45698</v>
      </c>
      <c r="L683" s="129" t="s">
        <v>10</v>
      </c>
      <c r="M683" s="162"/>
      <c r="N683" s="163"/>
      <c r="O683" s="29"/>
      <c r="P683" s="133"/>
    </row>
    <row r="684" spans="1:16" hidden="1">
      <c r="A684" s="157" t="s">
        <v>452</v>
      </c>
      <c r="B684" s="29">
        <v>31500040</v>
      </c>
      <c r="C684" s="29"/>
      <c r="E684" s="29"/>
      <c r="F684" s="29" t="s">
        <v>129</v>
      </c>
      <c r="G684" s="29" t="s">
        <v>213</v>
      </c>
      <c r="H684" s="130">
        <v>45688</v>
      </c>
      <c r="I684" s="130">
        <f t="shared" si="2"/>
        <v>45693</v>
      </c>
      <c r="J684" s="130"/>
      <c r="K684" s="130">
        <v>45698</v>
      </c>
      <c r="L684" s="129" t="s">
        <v>10</v>
      </c>
      <c r="M684" s="162"/>
      <c r="N684" s="163"/>
      <c r="O684" s="29"/>
      <c r="P684" s="133"/>
    </row>
    <row r="685" spans="1:16" hidden="1">
      <c r="A685" s="157" t="s">
        <v>452</v>
      </c>
      <c r="B685" s="29">
        <v>31500041</v>
      </c>
      <c r="C685" s="29"/>
      <c r="E685" s="29"/>
      <c r="F685" s="29" t="s">
        <v>129</v>
      </c>
      <c r="G685" s="29" t="s">
        <v>213</v>
      </c>
      <c r="H685" s="130">
        <v>45688</v>
      </c>
      <c r="I685" s="130">
        <f t="shared" si="2"/>
        <v>45693</v>
      </c>
      <c r="J685" s="130"/>
      <c r="K685" s="130">
        <v>45703</v>
      </c>
      <c r="L685" s="129" t="s">
        <v>10</v>
      </c>
      <c r="M685" s="162"/>
      <c r="N685" s="163"/>
      <c r="O685" s="29"/>
      <c r="P685" s="133"/>
    </row>
    <row r="686" spans="1:16" hidden="1">
      <c r="A686" s="157" t="s">
        <v>452</v>
      </c>
      <c r="B686" s="29">
        <v>31500042</v>
      </c>
      <c r="C686" s="29"/>
      <c r="E686" s="29"/>
      <c r="F686" s="29" t="s">
        <v>129</v>
      </c>
      <c r="G686" s="29" t="s">
        <v>213</v>
      </c>
      <c r="H686" s="130">
        <v>45688</v>
      </c>
      <c r="I686" s="130">
        <f t="shared" si="2"/>
        <v>45693</v>
      </c>
      <c r="J686" s="130"/>
      <c r="K686" s="130">
        <v>45703</v>
      </c>
      <c r="L686" s="129" t="s">
        <v>10</v>
      </c>
      <c r="M686" s="162"/>
      <c r="N686" s="163"/>
      <c r="O686" s="29"/>
      <c r="P686" s="133"/>
    </row>
    <row r="687" spans="1:16" hidden="1">
      <c r="A687" s="157" t="s">
        <v>452</v>
      </c>
      <c r="B687" s="29">
        <v>31500043</v>
      </c>
      <c r="C687" s="29"/>
      <c r="E687" s="29"/>
      <c r="F687" s="29" t="s">
        <v>129</v>
      </c>
      <c r="G687" s="29" t="s">
        <v>213</v>
      </c>
      <c r="H687" s="130">
        <v>45688</v>
      </c>
      <c r="I687" s="130">
        <f t="shared" si="2"/>
        <v>45693</v>
      </c>
      <c r="J687" s="130"/>
      <c r="K687" s="130">
        <v>45703</v>
      </c>
      <c r="L687" s="129" t="s">
        <v>10</v>
      </c>
      <c r="M687" s="162"/>
      <c r="N687" s="163"/>
      <c r="O687" s="29"/>
      <c r="P687" s="133"/>
    </row>
    <row r="688" spans="1:16" hidden="1">
      <c r="A688" s="157" t="s">
        <v>452</v>
      </c>
      <c r="B688" s="29">
        <v>31500044</v>
      </c>
      <c r="C688" s="29"/>
      <c r="E688" s="29"/>
      <c r="F688" s="29" t="s">
        <v>129</v>
      </c>
      <c r="G688" s="29" t="s">
        <v>213</v>
      </c>
      <c r="H688" s="130">
        <v>45688</v>
      </c>
      <c r="I688" s="130">
        <f t="shared" si="2"/>
        <v>45693</v>
      </c>
      <c r="J688" s="130"/>
      <c r="K688" s="130">
        <v>45699</v>
      </c>
      <c r="L688" s="129" t="s">
        <v>10</v>
      </c>
      <c r="M688" s="162"/>
      <c r="N688" s="163"/>
      <c r="O688" s="29"/>
      <c r="P688" s="133"/>
    </row>
    <row r="689" spans="1:16" hidden="1">
      <c r="A689" s="157" t="s">
        <v>452</v>
      </c>
      <c r="B689" s="29">
        <v>31500045</v>
      </c>
      <c r="C689" s="29"/>
      <c r="E689" s="29"/>
      <c r="F689" s="29" t="s">
        <v>129</v>
      </c>
      <c r="G689" s="29" t="s">
        <v>213</v>
      </c>
      <c r="H689" s="130">
        <v>45688</v>
      </c>
      <c r="I689" s="130">
        <f t="shared" si="2"/>
        <v>45693</v>
      </c>
      <c r="J689" s="130"/>
      <c r="K689" s="130">
        <v>45699</v>
      </c>
      <c r="L689" s="129" t="s">
        <v>10</v>
      </c>
      <c r="M689" s="162"/>
      <c r="N689" s="163"/>
      <c r="O689" s="29"/>
      <c r="P689" s="133"/>
    </row>
    <row r="690" spans="1:16" hidden="1">
      <c r="A690" s="157" t="s">
        <v>452</v>
      </c>
      <c r="B690" s="29">
        <v>31500046</v>
      </c>
      <c r="C690" s="29"/>
      <c r="E690" s="29"/>
      <c r="F690" s="29" t="s">
        <v>129</v>
      </c>
      <c r="G690" s="29" t="s">
        <v>213</v>
      </c>
      <c r="H690" s="130">
        <v>45688</v>
      </c>
      <c r="I690" s="130">
        <f t="shared" si="2"/>
        <v>45693</v>
      </c>
      <c r="J690" s="130"/>
      <c r="K690" s="130">
        <v>45698</v>
      </c>
      <c r="L690" s="129" t="s">
        <v>10</v>
      </c>
      <c r="M690" s="162"/>
      <c r="N690" s="163"/>
      <c r="O690" s="29"/>
      <c r="P690" s="133"/>
    </row>
    <row r="691" spans="1:16" hidden="1">
      <c r="A691" s="157" t="s">
        <v>452</v>
      </c>
      <c r="B691" s="29">
        <v>31500047</v>
      </c>
      <c r="C691" s="29"/>
      <c r="E691" s="29"/>
      <c r="F691" s="29" t="s">
        <v>129</v>
      </c>
      <c r="G691" s="29" t="s">
        <v>213</v>
      </c>
      <c r="H691" s="130">
        <v>45688</v>
      </c>
      <c r="I691" s="130">
        <f t="shared" si="2"/>
        <v>45693</v>
      </c>
      <c r="J691" s="130"/>
      <c r="K691" s="130">
        <v>45699</v>
      </c>
      <c r="L691" s="129" t="s">
        <v>10</v>
      </c>
      <c r="M691" s="162"/>
      <c r="N691" s="163"/>
      <c r="O691" s="29"/>
      <c r="P691" s="133"/>
    </row>
    <row r="692" spans="1:16" hidden="1">
      <c r="A692" s="157" t="s">
        <v>452</v>
      </c>
      <c r="B692" s="29">
        <v>31500048</v>
      </c>
      <c r="C692" s="29"/>
      <c r="E692" s="29"/>
      <c r="F692" s="29" t="s">
        <v>129</v>
      </c>
      <c r="G692" s="29" t="s">
        <v>213</v>
      </c>
      <c r="H692" s="130">
        <v>45688</v>
      </c>
      <c r="I692" s="130">
        <f t="shared" si="2"/>
        <v>45693</v>
      </c>
      <c r="J692" s="130"/>
      <c r="K692" s="130">
        <v>45694</v>
      </c>
      <c r="L692" s="129" t="s">
        <v>10</v>
      </c>
      <c r="M692" s="162"/>
      <c r="N692" s="163"/>
      <c r="O692" s="29"/>
      <c r="P692" s="133"/>
    </row>
    <row r="693" spans="1:16" hidden="1">
      <c r="A693" s="157" t="s">
        <v>452</v>
      </c>
      <c r="B693" s="29">
        <v>31500049</v>
      </c>
      <c r="C693" s="29"/>
      <c r="E693" s="29"/>
      <c r="F693" s="29" t="s">
        <v>129</v>
      </c>
      <c r="G693" s="29" t="s">
        <v>213</v>
      </c>
      <c r="H693" s="130">
        <v>45688</v>
      </c>
      <c r="I693" s="130">
        <f t="shared" si="2"/>
        <v>45693</v>
      </c>
      <c r="J693" s="130"/>
      <c r="K693" s="130">
        <v>45698</v>
      </c>
      <c r="L693" s="129" t="s">
        <v>10</v>
      </c>
      <c r="M693" s="162"/>
      <c r="N693" s="163"/>
      <c r="O693" s="29"/>
      <c r="P693" s="133"/>
    </row>
    <row r="694" spans="1:16" hidden="1">
      <c r="A694" s="157" t="s">
        <v>452</v>
      </c>
      <c r="B694" s="29">
        <v>31500051</v>
      </c>
      <c r="C694" s="29"/>
      <c r="E694" s="29"/>
      <c r="F694" s="29" t="s">
        <v>129</v>
      </c>
      <c r="G694" s="29" t="s">
        <v>213</v>
      </c>
      <c r="H694" s="130">
        <v>45688</v>
      </c>
      <c r="I694" s="130">
        <f t="shared" si="2"/>
        <v>45693</v>
      </c>
      <c r="J694" s="130"/>
      <c r="K694" s="130">
        <v>45694</v>
      </c>
      <c r="L694" s="129" t="s">
        <v>10</v>
      </c>
      <c r="M694" s="162"/>
      <c r="N694" s="163"/>
      <c r="O694" s="29"/>
      <c r="P694" s="133"/>
    </row>
    <row r="695" spans="1:16" hidden="1">
      <c r="A695" s="157" t="s">
        <v>452</v>
      </c>
      <c r="B695" s="29">
        <v>31500052</v>
      </c>
      <c r="C695" s="29"/>
      <c r="E695" s="29"/>
      <c r="F695" s="29" t="s">
        <v>129</v>
      </c>
      <c r="G695" s="29" t="s">
        <v>213</v>
      </c>
      <c r="H695" s="130">
        <v>45688</v>
      </c>
      <c r="I695" s="130">
        <f t="shared" si="2"/>
        <v>45693</v>
      </c>
      <c r="J695" s="130"/>
      <c r="K695" s="130">
        <v>45694</v>
      </c>
      <c r="L695" s="129" t="s">
        <v>10</v>
      </c>
      <c r="M695" s="162"/>
      <c r="N695" s="163"/>
      <c r="O695" s="29"/>
      <c r="P695" s="133"/>
    </row>
    <row r="696" spans="1:16" hidden="1">
      <c r="A696" s="157" t="s">
        <v>452</v>
      </c>
      <c r="B696" s="29">
        <v>31500053</v>
      </c>
      <c r="C696" s="29"/>
      <c r="E696" s="29"/>
      <c r="F696" s="29" t="s">
        <v>129</v>
      </c>
      <c r="G696" s="29" t="s">
        <v>213</v>
      </c>
      <c r="H696" s="130">
        <v>45688</v>
      </c>
      <c r="I696" s="130">
        <f t="shared" si="2"/>
        <v>45693</v>
      </c>
      <c r="J696" s="130"/>
      <c r="K696" s="130">
        <v>45694</v>
      </c>
      <c r="L696" s="129" t="s">
        <v>10</v>
      </c>
      <c r="M696" s="162"/>
      <c r="N696" s="163"/>
      <c r="O696" s="29"/>
      <c r="P696" s="133"/>
    </row>
    <row r="697" spans="1:16" hidden="1">
      <c r="A697" s="157" t="s">
        <v>452</v>
      </c>
      <c r="B697" s="29">
        <v>31500054</v>
      </c>
      <c r="C697" s="29"/>
      <c r="E697" s="29"/>
      <c r="F697" s="29" t="s">
        <v>129</v>
      </c>
      <c r="G697" s="29" t="s">
        <v>213</v>
      </c>
      <c r="H697" s="130">
        <v>45688</v>
      </c>
      <c r="I697" s="130">
        <f t="shared" si="2"/>
        <v>45693</v>
      </c>
      <c r="J697" s="130"/>
      <c r="K697" s="130">
        <v>45699</v>
      </c>
      <c r="L697" s="129" t="s">
        <v>10</v>
      </c>
      <c r="M697" s="162"/>
      <c r="N697" s="163"/>
      <c r="O697" s="29"/>
      <c r="P697" s="133"/>
    </row>
    <row r="698" spans="1:16" hidden="1">
      <c r="A698" s="157" t="s">
        <v>452</v>
      </c>
      <c r="B698" s="29">
        <v>31500055</v>
      </c>
      <c r="C698" s="29"/>
      <c r="E698" s="29"/>
      <c r="F698" s="29" t="s">
        <v>129</v>
      </c>
      <c r="G698" s="29" t="s">
        <v>213</v>
      </c>
      <c r="H698" s="130">
        <v>45688</v>
      </c>
      <c r="I698" s="130">
        <f t="shared" si="2"/>
        <v>45693</v>
      </c>
      <c r="J698" s="130"/>
      <c r="K698" s="130">
        <v>45699</v>
      </c>
      <c r="L698" s="129" t="s">
        <v>10</v>
      </c>
      <c r="M698" s="162"/>
      <c r="N698" s="163"/>
      <c r="O698" s="29"/>
      <c r="P698" s="133"/>
    </row>
    <row r="699" spans="1:16" hidden="1">
      <c r="A699" s="29" t="s">
        <v>452</v>
      </c>
      <c r="B699" s="29">
        <v>31500054</v>
      </c>
      <c r="C699" s="29"/>
      <c r="E699" s="29"/>
      <c r="F699" s="29" t="s">
        <v>129</v>
      </c>
      <c r="G699" s="29" t="s">
        <v>213</v>
      </c>
      <c r="H699" s="130">
        <v>45688</v>
      </c>
      <c r="I699" s="130">
        <f t="shared" si="2"/>
        <v>45693</v>
      </c>
      <c r="J699" s="130"/>
      <c r="K699" s="130">
        <v>45699</v>
      </c>
      <c r="L699" s="129" t="s">
        <v>10</v>
      </c>
      <c r="M699" s="162"/>
      <c r="N699" s="163"/>
      <c r="O699" s="29" t="s">
        <v>455</v>
      </c>
      <c r="P699" s="133"/>
    </row>
    <row r="700" spans="1:16" hidden="1">
      <c r="A700" s="29" t="s">
        <v>452</v>
      </c>
      <c r="B700" s="29">
        <v>31500053</v>
      </c>
      <c r="C700" s="29"/>
      <c r="E700" s="29"/>
      <c r="F700" s="29" t="s">
        <v>129</v>
      </c>
      <c r="G700" s="29" t="s">
        <v>213</v>
      </c>
      <c r="H700" s="130">
        <v>45688</v>
      </c>
      <c r="I700" s="130">
        <f t="shared" si="2"/>
        <v>45693</v>
      </c>
      <c r="J700" s="130"/>
      <c r="K700" s="130">
        <v>45694</v>
      </c>
      <c r="L700" s="129" t="s">
        <v>10</v>
      </c>
      <c r="M700" s="162"/>
      <c r="N700" s="163"/>
      <c r="O700" s="29" t="s">
        <v>454</v>
      </c>
      <c r="P700" s="133"/>
    </row>
    <row r="701" spans="1:16" hidden="1">
      <c r="A701" s="29" t="s">
        <v>452</v>
      </c>
      <c r="B701" s="29">
        <v>31500052</v>
      </c>
      <c r="C701" s="29"/>
      <c r="E701" s="29"/>
      <c r="F701" s="29" t="s">
        <v>129</v>
      </c>
      <c r="G701" s="29" t="s">
        <v>213</v>
      </c>
      <c r="H701" s="130">
        <v>45688</v>
      </c>
      <c r="I701" s="130">
        <f t="shared" si="2"/>
        <v>45693</v>
      </c>
      <c r="J701" s="130"/>
      <c r="K701" s="130">
        <v>45694</v>
      </c>
      <c r="L701" s="129" t="s">
        <v>10</v>
      </c>
      <c r="M701" s="162"/>
      <c r="N701" s="163"/>
      <c r="O701" s="29" t="s">
        <v>455</v>
      </c>
      <c r="P701" s="133"/>
    </row>
    <row r="702" spans="1:16" hidden="1">
      <c r="A702" s="29" t="s">
        <v>452</v>
      </c>
      <c r="B702" s="29">
        <v>31500051</v>
      </c>
      <c r="C702" s="29"/>
      <c r="E702" s="29"/>
      <c r="F702" s="29" t="s">
        <v>129</v>
      </c>
      <c r="G702" s="29" t="s">
        <v>213</v>
      </c>
      <c r="H702" s="130">
        <v>45688</v>
      </c>
      <c r="I702" s="130">
        <f t="shared" si="2"/>
        <v>45693</v>
      </c>
      <c r="J702" s="130"/>
      <c r="K702" s="130">
        <v>45694</v>
      </c>
      <c r="L702" s="129" t="s">
        <v>10</v>
      </c>
      <c r="M702" s="162"/>
      <c r="N702" s="163"/>
      <c r="O702" s="29" t="s">
        <v>456</v>
      </c>
      <c r="P702" s="133"/>
    </row>
    <row r="703" spans="1:16" hidden="1">
      <c r="A703" s="29" t="s">
        <v>452</v>
      </c>
      <c r="B703" s="29">
        <v>31500049</v>
      </c>
      <c r="C703" s="29"/>
      <c r="E703" s="29"/>
      <c r="F703" s="29" t="s">
        <v>129</v>
      </c>
      <c r="G703" s="29" t="s">
        <v>213</v>
      </c>
      <c r="H703" s="130">
        <v>45688</v>
      </c>
      <c r="I703" s="130">
        <f t="shared" si="2"/>
        <v>45693</v>
      </c>
      <c r="J703" s="130"/>
      <c r="K703" s="130">
        <v>45698</v>
      </c>
      <c r="L703" s="129" t="s">
        <v>10</v>
      </c>
      <c r="M703" s="162"/>
      <c r="N703" s="163"/>
      <c r="O703" s="29" t="s">
        <v>457</v>
      </c>
      <c r="P703" s="133"/>
    </row>
    <row r="704" spans="1:16" hidden="1">
      <c r="A704" s="29" t="s">
        <v>452</v>
      </c>
      <c r="B704" s="29">
        <v>31500048</v>
      </c>
      <c r="C704" s="29"/>
      <c r="E704" s="29"/>
      <c r="F704" s="29" t="s">
        <v>129</v>
      </c>
      <c r="G704" s="29" t="s">
        <v>213</v>
      </c>
      <c r="H704" s="130">
        <v>45688</v>
      </c>
      <c r="I704" s="130">
        <f t="shared" si="2"/>
        <v>45693</v>
      </c>
      <c r="J704" s="130"/>
      <c r="K704" s="130">
        <v>45694</v>
      </c>
      <c r="L704" s="129" t="s">
        <v>10</v>
      </c>
      <c r="M704" s="162"/>
      <c r="N704" s="163"/>
      <c r="O704" s="29" t="s">
        <v>458</v>
      </c>
      <c r="P704" s="133"/>
    </row>
    <row r="705" spans="1:16" hidden="1">
      <c r="A705" s="29" t="s">
        <v>452</v>
      </c>
      <c r="B705" s="29">
        <v>31500047</v>
      </c>
      <c r="C705" s="29"/>
      <c r="E705" s="29"/>
      <c r="F705" s="29" t="s">
        <v>129</v>
      </c>
      <c r="G705" s="29" t="s">
        <v>213</v>
      </c>
      <c r="H705" s="130">
        <v>45688</v>
      </c>
      <c r="I705" s="130">
        <f t="shared" si="2"/>
        <v>45693</v>
      </c>
      <c r="J705" s="130"/>
      <c r="K705" s="130">
        <v>45699</v>
      </c>
      <c r="L705" s="129" t="s">
        <v>10</v>
      </c>
      <c r="M705" s="162"/>
      <c r="N705" s="163"/>
      <c r="O705" s="29" t="s">
        <v>458</v>
      </c>
      <c r="P705" s="133"/>
    </row>
    <row r="706" spans="1:16" hidden="1">
      <c r="A706" s="29" t="s">
        <v>452</v>
      </c>
      <c r="B706" s="29">
        <v>31500046</v>
      </c>
      <c r="C706" s="29"/>
      <c r="E706" s="29"/>
      <c r="F706" s="29" t="s">
        <v>129</v>
      </c>
      <c r="G706" s="29" t="s">
        <v>213</v>
      </c>
      <c r="H706" s="130">
        <v>45688</v>
      </c>
      <c r="I706" s="130">
        <f t="shared" si="2"/>
        <v>45693</v>
      </c>
      <c r="J706" s="130"/>
      <c r="K706" s="130">
        <v>45698</v>
      </c>
      <c r="L706" s="129" t="s">
        <v>10</v>
      </c>
      <c r="M706" s="162"/>
      <c r="N706" s="163"/>
      <c r="O706" s="29" t="s">
        <v>459</v>
      </c>
      <c r="P706" s="133"/>
    </row>
    <row r="707" spans="1:16" hidden="1">
      <c r="A707" s="29" t="s">
        <v>452</v>
      </c>
      <c r="B707" s="29">
        <v>31500045</v>
      </c>
      <c r="C707" s="29"/>
      <c r="E707" s="29"/>
      <c r="F707" s="29" t="s">
        <v>129</v>
      </c>
      <c r="G707" s="29" t="s">
        <v>213</v>
      </c>
      <c r="H707" s="130">
        <v>45688</v>
      </c>
      <c r="I707" s="130">
        <f t="shared" si="2"/>
        <v>45693</v>
      </c>
      <c r="J707" s="130"/>
      <c r="K707" s="130">
        <v>45698</v>
      </c>
      <c r="L707" s="129" t="s">
        <v>10</v>
      </c>
      <c r="M707" s="162"/>
      <c r="N707" s="163"/>
      <c r="O707" s="29" t="s">
        <v>460</v>
      </c>
      <c r="P707" s="133"/>
    </row>
    <row r="708" spans="1:16" hidden="1">
      <c r="A708" s="29" t="s">
        <v>452</v>
      </c>
      <c r="B708" s="29">
        <v>31500044</v>
      </c>
      <c r="C708" s="29"/>
      <c r="E708" s="29"/>
      <c r="F708" s="29" t="s">
        <v>129</v>
      </c>
      <c r="G708" s="29" t="s">
        <v>213</v>
      </c>
      <c r="H708" s="130">
        <v>45688</v>
      </c>
      <c r="I708" s="130">
        <f t="shared" si="2"/>
        <v>45693</v>
      </c>
      <c r="J708" s="130"/>
      <c r="K708" s="130">
        <v>45699</v>
      </c>
      <c r="L708" s="129" t="s">
        <v>10</v>
      </c>
      <c r="M708" s="162"/>
      <c r="N708" s="163"/>
      <c r="O708" s="29" t="s">
        <v>461</v>
      </c>
      <c r="P708" s="133"/>
    </row>
    <row r="709" spans="1:16" hidden="1">
      <c r="A709" s="29" t="s">
        <v>452</v>
      </c>
      <c r="B709" s="29">
        <v>31500043</v>
      </c>
      <c r="C709" s="29"/>
      <c r="E709" s="29"/>
      <c r="F709" s="29" t="s">
        <v>129</v>
      </c>
      <c r="G709" s="29" t="s">
        <v>213</v>
      </c>
      <c r="H709" s="130">
        <v>45688</v>
      </c>
      <c r="I709" s="130">
        <f t="shared" si="2"/>
        <v>45693</v>
      </c>
      <c r="J709" s="130"/>
      <c r="K709" s="130">
        <v>45703</v>
      </c>
      <c r="L709" s="129" t="s">
        <v>10</v>
      </c>
      <c r="M709" s="162"/>
      <c r="N709" s="163"/>
      <c r="O709" s="29" t="s">
        <v>461</v>
      </c>
      <c r="P709" s="133"/>
    </row>
    <row r="710" spans="1:16" hidden="1">
      <c r="A710" s="29" t="s">
        <v>452</v>
      </c>
      <c r="B710" s="29">
        <v>31500042</v>
      </c>
      <c r="C710" s="29"/>
      <c r="E710" s="29"/>
      <c r="F710" s="29" t="s">
        <v>129</v>
      </c>
      <c r="G710" s="29" t="s">
        <v>213</v>
      </c>
      <c r="H710" s="130">
        <v>45688</v>
      </c>
      <c r="I710" s="130">
        <f t="shared" si="2"/>
        <v>45693</v>
      </c>
      <c r="J710" s="130"/>
      <c r="K710" s="130">
        <v>45703</v>
      </c>
      <c r="L710" s="129" t="s">
        <v>10</v>
      </c>
      <c r="M710" s="162"/>
      <c r="N710" s="163"/>
      <c r="O710" s="29" t="s">
        <v>466</v>
      </c>
      <c r="P710" s="133"/>
    </row>
    <row r="711" spans="1:16" hidden="1">
      <c r="A711" s="29" t="s">
        <v>452</v>
      </c>
      <c r="B711" s="29">
        <v>31500041</v>
      </c>
      <c r="C711" s="29"/>
      <c r="E711" s="29"/>
      <c r="F711" s="29" t="s">
        <v>129</v>
      </c>
      <c r="G711" s="29" t="s">
        <v>213</v>
      </c>
      <c r="H711" s="130">
        <v>45688</v>
      </c>
      <c r="I711" s="130">
        <f t="shared" si="2"/>
        <v>45693</v>
      </c>
      <c r="J711" s="130"/>
      <c r="K711" s="130">
        <v>45703</v>
      </c>
      <c r="L711" s="129" t="s">
        <v>10</v>
      </c>
      <c r="M711" s="162"/>
      <c r="N711" s="163"/>
      <c r="O711" s="29" t="s">
        <v>461</v>
      </c>
      <c r="P711" s="133"/>
    </row>
    <row r="712" spans="1:16" hidden="1">
      <c r="A712" s="29" t="s">
        <v>452</v>
      </c>
      <c r="B712" s="29">
        <v>31500040</v>
      </c>
      <c r="C712" s="29"/>
      <c r="E712" s="29"/>
      <c r="F712" s="29" t="s">
        <v>129</v>
      </c>
      <c r="G712" s="29" t="s">
        <v>213</v>
      </c>
      <c r="H712" s="130">
        <v>45688</v>
      </c>
      <c r="I712" s="130">
        <f t="shared" si="2"/>
        <v>45693</v>
      </c>
      <c r="J712" s="130"/>
      <c r="K712" s="130">
        <v>45698</v>
      </c>
      <c r="L712" s="129" t="s">
        <v>10</v>
      </c>
      <c r="M712" s="162"/>
      <c r="N712" s="163"/>
      <c r="O712" s="29" t="s">
        <v>463</v>
      </c>
      <c r="P712" s="133"/>
    </row>
    <row r="713" spans="1:16" hidden="1">
      <c r="A713" s="29" t="s">
        <v>452</v>
      </c>
      <c r="B713" s="29">
        <v>31500039</v>
      </c>
      <c r="C713" s="29"/>
      <c r="E713" s="29"/>
      <c r="F713" s="29" t="s">
        <v>129</v>
      </c>
      <c r="G713" s="29" t="s">
        <v>213</v>
      </c>
      <c r="H713" s="130">
        <v>45688</v>
      </c>
      <c r="I713" s="130">
        <f t="shared" si="2"/>
        <v>45693</v>
      </c>
      <c r="J713" s="130"/>
      <c r="K713" s="130">
        <v>45699</v>
      </c>
      <c r="L713" s="129" t="s">
        <v>10</v>
      </c>
      <c r="M713" s="162"/>
      <c r="N713" s="163"/>
      <c r="O713" s="29" t="s">
        <v>464</v>
      </c>
      <c r="P713" s="133"/>
    </row>
    <row r="714" spans="1:16" hidden="1">
      <c r="A714" s="29" t="s">
        <v>452</v>
      </c>
      <c r="B714" s="29">
        <v>31500038</v>
      </c>
      <c r="C714" s="29"/>
      <c r="E714" s="29"/>
      <c r="F714" s="29" t="s">
        <v>129</v>
      </c>
      <c r="G714" s="29" t="s">
        <v>213</v>
      </c>
      <c r="H714" s="130">
        <v>45688</v>
      </c>
      <c r="I714" s="130">
        <f t="shared" si="2"/>
        <v>45693</v>
      </c>
      <c r="J714" s="130"/>
      <c r="K714" s="130">
        <v>45699</v>
      </c>
      <c r="L714" s="129" t="s">
        <v>10</v>
      </c>
      <c r="M714" s="162"/>
      <c r="N714" s="163"/>
      <c r="O714" s="29" t="s">
        <v>465</v>
      </c>
      <c r="P714" s="133"/>
    </row>
    <row r="715" spans="1:16" hidden="1">
      <c r="A715" s="29" t="s">
        <v>452</v>
      </c>
      <c r="B715" s="29">
        <v>31500037</v>
      </c>
      <c r="C715" s="29"/>
      <c r="E715" s="29"/>
      <c r="F715" s="29" t="s">
        <v>129</v>
      </c>
      <c r="G715" s="29" t="s">
        <v>213</v>
      </c>
      <c r="H715" s="130">
        <v>45688</v>
      </c>
      <c r="I715" s="130">
        <f t="shared" si="2"/>
        <v>45693</v>
      </c>
      <c r="J715" s="130"/>
      <c r="K715" s="130">
        <v>45703</v>
      </c>
      <c r="L715" s="129" t="s">
        <v>10</v>
      </c>
      <c r="M715" s="162"/>
      <c r="N715" s="163"/>
      <c r="O715" s="29" t="s">
        <v>462</v>
      </c>
      <c r="P715" s="133"/>
    </row>
    <row r="716" spans="1:16" hidden="1">
      <c r="A716" s="29" t="s">
        <v>452</v>
      </c>
      <c r="B716" s="29">
        <v>31500036</v>
      </c>
      <c r="C716" s="29"/>
      <c r="E716" s="29"/>
      <c r="F716" s="29" t="s">
        <v>129</v>
      </c>
      <c r="G716" s="29" t="s">
        <v>213</v>
      </c>
      <c r="H716" s="130">
        <v>45688</v>
      </c>
      <c r="I716" s="130">
        <f t="shared" ref="I716:I779" si="3">WORKDAY(H716, 3)</f>
        <v>45693</v>
      </c>
      <c r="J716" s="130"/>
      <c r="K716" s="130">
        <v>45699</v>
      </c>
      <c r="L716" s="129" t="s">
        <v>10</v>
      </c>
      <c r="M716" s="162"/>
      <c r="N716" s="163"/>
      <c r="O716" s="29" t="s">
        <v>464</v>
      </c>
      <c r="P716" s="133"/>
    </row>
    <row r="717" spans="1:16" hidden="1">
      <c r="A717" s="29" t="s">
        <v>452</v>
      </c>
      <c r="B717" s="29">
        <v>31500035</v>
      </c>
      <c r="C717" s="29"/>
      <c r="E717" s="29"/>
      <c r="F717" s="29" t="s">
        <v>129</v>
      </c>
      <c r="G717" s="29" t="s">
        <v>213</v>
      </c>
      <c r="H717" s="130">
        <v>45688</v>
      </c>
      <c r="I717" s="130">
        <f t="shared" si="3"/>
        <v>45693</v>
      </c>
      <c r="J717" s="130"/>
      <c r="K717" s="130">
        <v>45696</v>
      </c>
      <c r="L717" s="129" t="s">
        <v>10</v>
      </c>
      <c r="M717" s="162"/>
      <c r="N717" s="163"/>
      <c r="O717" s="29" t="s">
        <v>467</v>
      </c>
      <c r="P717" s="133"/>
    </row>
    <row r="718" spans="1:16" hidden="1">
      <c r="A718" s="29" t="s">
        <v>452</v>
      </c>
      <c r="B718" s="29">
        <v>31500033</v>
      </c>
      <c r="C718" s="29"/>
      <c r="E718" s="29"/>
      <c r="F718" s="29" t="s">
        <v>129</v>
      </c>
      <c r="G718" s="29" t="s">
        <v>213</v>
      </c>
      <c r="H718" s="130">
        <v>45688</v>
      </c>
      <c r="I718" s="130">
        <f t="shared" si="3"/>
        <v>45693</v>
      </c>
      <c r="J718" s="130"/>
      <c r="K718" s="130">
        <v>45696</v>
      </c>
      <c r="L718" s="129" t="s">
        <v>10</v>
      </c>
      <c r="M718" s="162"/>
      <c r="N718" s="163"/>
      <c r="O718" s="29" t="s">
        <v>468</v>
      </c>
      <c r="P718" s="133"/>
    </row>
    <row r="719" spans="1:16" hidden="1">
      <c r="A719" s="29" t="s">
        <v>452</v>
      </c>
      <c r="B719" s="29">
        <v>31500031</v>
      </c>
      <c r="C719" s="29"/>
      <c r="E719" s="29"/>
      <c r="F719" s="29" t="s">
        <v>129</v>
      </c>
      <c r="G719" s="29" t="s">
        <v>213</v>
      </c>
      <c r="H719" s="130">
        <v>45688</v>
      </c>
      <c r="I719" s="130">
        <f t="shared" si="3"/>
        <v>45693</v>
      </c>
      <c r="J719" s="130"/>
      <c r="K719" s="130">
        <v>45696</v>
      </c>
      <c r="L719" s="129" t="s">
        <v>10</v>
      </c>
      <c r="M719" s="162"/>
      <c r="N719" s="163"/>
      <c r="O719" s="29" t="s">
        <v>469</v>
      </c>
      <c r="P719" s="133"/>
    </row>
    <row r="720" spans="1:16" hidden="1">
      <c r="A720" s="29" t="s">
        <v>452</v>
      </c>
      <c r="B720" s="29">
        <v>31500028</v>
      </c>
      <c r="C720" s="29"/>
      <c r="E720" s="29"/>
      <c r="F720" s="29" t="s">
        <v>129</v>
      </c>
      <c r="G720" s="29" t="s">
        <v>213</v>
      </c>
      <c r="H720" s="130">
        <v>45688</v>
      </c>
      <c r="I720" s="130">
        <f t="shared" si="3"/>
        <v>45693</v>
      </c>
      <c r="J720" s="130"/>
      <c r="K720" s="130">
        <v>45696</v>
      </c>
      <c r="L720" s="129" t="s">
        <v>10</v>
      </c>
      <c r="M720" s="162"/>
      <c r="N720" s="163"/>
      <c r="O720" s="29" t="s">
        <v>470</v>
      </c>
      <c r="P720" s="133"/>
    </row>
    <row r="721" spans="1:16" hidden="1">
      <c r="A721" s="29" t="s">
        <v>452</v>
      </c>
      <c r="B721" s="29">
        <v>31500025</v>
      </c>
      <c r="C721" s="29"/>
      <c r="E721" s="29"/>
      <c r="F721" s="29" t="s">
        <v>129</v>
      </c>
      <c r="G721" s="29" t="s">
        <v>213</v>
      </c>
      <c r="H721" s="130">
        <v>45688</v>
      </c>
      <c r="I721" s="130">
        <f t="shared" si="3"/>
        <v>45693</v>
      </c>
      <c r="J721" s="130"/>
      <c r="K721" s="130">
        <v>45696</v>
      </c>
      <c r="L721" s="129" t="s">
        <v>10</v>
      </c>
      <c r="M721" s="162"/>
      <c r="N721" s="163"/>
      <c r="O721" s="29" t="s">
        <v>471</v>
      </c>
      <c r="P721" s="133"/>
    </row>
    <row r="722" spans="1:16" hidden="1">
      <c r="A722" s="29" t="s">
        <v>452</v>
      </c>
      <c r="B722" s="29">
        <v>31500023</v>
      </c>
      <c r="C722" s="29"/>
      <c r="E722" s="29"/>
      <c r="F722" s="29" t="s">
        <v>129</v>
      </c>
      <c r="G722" s="29" t="s">
        <v>213</v>
      </c>
      <c r="H722" s="130">
        <v>45688</v>
      </c>
      <c r="I722" s="130">
        <f t="shared" si="3"/>
        <v>45693</v>
      </c>
      <c r="J722" s="130"/>
      <c r="K722" s="130">
        <v>45692</v>
      </c>
      <c r="L722" s="129" t="s">
        <v>10</v>
      </c>
      <c r="M722" s="162"/>
      <c r="N722" s="163"/>
      <c r="O722" s="29" t="s">
        <v>472</v>
      </c>
      <c r="P722" s="133"/>
    </row>
    <row r="723" spans="1:16" hidden="1">
      <c r="A723" s="29" t="s">
        <v>452</v>
      </c>
      <c r="B723" s="29">
        <v>31500022</v>
      </c>
      <c r="C723" s="29"/>
      <c r="E723" s="29"/>
      <c r="F723" s="29" t="s">
        <v>129</v>
      </c>
      <c r="G723" s="29" t="s">
        <v>213</v>
      </c>
      <c r="H723" s="130">
        <v>45688</v>
      </c>
      <c r="I723" s="130">
        <f t="shared" si="3"/>
        <v>45693</v>
      </c>
      <c r="J723" s="130"/>
      <c r="K723" s="130">
        <v>45692</v>
      </c>
      <c r="L723" s="129" t="s">
        <v>10</v>
      </c>
      <c r="M723" s="162"/>
      <c r="N723" s="163"/>
      <c r="O723" s="29" t="s">
        <v>473</v>
      </c>
      <c r="P723" s="133"/>
    </row>
    <row r="724" spans="1:16" hidden="1">
      <c r="A724" s="29" t="s">
        <v>452</v>
      </c>
      <c r="B724" s="29">
        <v>31500021</v>
      </c>
      <c r="C724" s="29"/>
      <c r="E724" s="29"/>
      <c r="F724" s="29" t="s">
        <v>129</v>
      </c>
      <c r="G724" s="29" t="s">
        <v>213</v>
      </c>
      <c r="H724" s="130">
        <v>45688</v>
      </c>
      <c r="I724" s="130">
        <f t="shared" si="3"/>
        <v>45693</v>
      </c>
      <c r="J724" s="130"/>
      <c r="K724" s="130">
        <v>45703</v>
      </c>
      <c r="L724" s="129" t="s">
        <v>10</v>
      </c>
      <c r="M724" s="162"/>
      <c r="N724" s="163"/>
      <c r="O724" s="29" t="s">
        <v>473</v>
      </c>
      <c r="P724" s="133"/>
    </row>
    <row r="725" spans="1:16" hidden="1">
      <c r="A725" s="29" t="s">
        <v>479</v>
      </c>
      <c r="B725" s="29">
        <v>35509586</v>
      </c>
      <c r="C725" s="29"/>
      <c r="E725" s="29"/>
      <c r="F725" s="29" t="s">
        <v>129</v>
      </c>
      <c r="G725" s="29" t="s">
        <v>210</v>
      </c>
      <c r="H725" s="130">
        <v>45691</v>
      </c>
      <c r="I725" s="130">
        <f t="shared" si="3"/>
        <v>45694</v>
      </c>
      <c r="J725" s="130">
        <v>45729</v>
      </c>
      <c r="K725" s="130"/>
      <c r="L725" s="129" t="s">
        <v>414</v>
      </c>
      <c r="M725" s="130"/>
      <c r="N725" s="145"/>
      <c r="O725" s="29" t="s">
        <v>480</v>
      </c>
      <c r="P725" s="133"/>
    </row>
    <row r="726" spans="1:16" hidden="1">
      <c r="A726" s="29" t="s">
        <v>452</v>
      </c>
      <c r="B726" s="29">
        <v>31500055</v>
      </c>
      <c r="C726" s="29"/>
      <c r="E726" s="29"/>
      <c r="F726" s="29" t="s">
        <v>129</v>
      </c>
      <c r="G726" s="29" t="s">
        <v>213</v>
      </c>
      <c r="H726" s="130">
        <v>45691</v>
      </c>
      <c r="I726" s="130">
        <f t="shared" si="3"/>
        <v>45694</v>
      </c>
      <c r="J726" s="130"/>
      <c r="K726" s="130">
        <v>45699</v>
      </c>
      <c r="L726" s="129" t="s">
        <v>10</v>
      </c>
      <c r="M726" s="162"/>
      <c r="N726" s="163"/>
      <c r="O726" s="29" t="s">
        <v>453</v>
      </c>
      <c r="P726" s="133"/>
    </row>
    <row r="727" spans="1:16" ht="15.75" hidden="1">
      <c r="A727" s="29" t="s">
        <v>481</v>
      </c>
      <c r="B727" s="131">
        <v>36504907</v>
      </c>
      <c r="C727" s="131"/>
      <c r="E727" s="131"/>
      <c r="F727" s="29" t="s">
        <v>118</v>
      </c>
      <c r="G727" s="29" t="s">
        <v>127</v>
      </c>
      <c r="H727" s="130">
        <v>45692</v>
      </c>
      <c r="I727" s="130">
        <f t="shared" si="3"/>
        <v>45695</v>
      </c>
      <c r="J727" s="130"/>
      <c r="K727" s="130"/>
      <c r="L727" s="129" t="s">
        <v>414</v>
      </c>
      <c r="M727" s="130"/>
      <c r="N727" s="145"/>
      <c r="O727" s="29"/>
      <c r="P727" s="133"/>
    </row>
    <row r="728" spans="1:16" ht="15.75" hidden="1">
      <c r="A728" s="29" t="s">
        <v>481</v>
      </c>
      <c r="B728" s="131">
        <v>36504999</v>
      </c>
      <c r="C728" s="131"/>
      <c r="E728" s="131"/>
      <c r="F728" s="29" t="s">
        <v>118</v>
      </c>
      <c r="G728" s="29" t="s">
        <v>127</v>
      </c>
      <c r="H728" s="130">
        <v>45692</v>
      </c>
      <c r="I728" s="130">
        <f t="shared" si="3"/>
        <v>45695</v>
      </c>
      <c r="J728" s="130"/>
      <c r="K728" s="130"/>
      <c r="L728" s="129" t="s">
        <v>414</v>
      </c>
      <c r="M728" s="130"/>
      <c r="N728" s="145"/>
      <c r="O728" s="29"/>
      <c r="P728" s="133"/>
    </row>
    <row r="729" spans="1:16" hidden="1">
      <c r="A729" s="29" t="s">
        <v>481</v>
      </c>
      <c r="B729" s="29">
        <v>36505051</v>
      </c>
      <c r="C729" s="29"/>
      <c r="E729" s="29"/>
      <c r="F729" s="29" t="s">
        <v>118</v>
      </c>
      <c r="G729" s="29" t="s">
        <v>127</v>
      </c>
      <c r="H729" s="130">
        <v>45692</v>
      </c>
      <c r="I729" s="130">
        <f t="shared" si="3"/>
        <v>45695</v>
      </c>
      <c r="J729" s="130"/>
      <c r="K729" s="130"/>
      <c r="L729" s="129" t="s">
        <v>414</v>
      </c>
      <c r="M729" s="130"/>
      <c r="N729" s="145"/>
      <c r="O729" s="29"/>
      <c r="P729" s="133"/>
    </row>
    <row r="730" spans="1:16" hidden="1">
      <c r="A730" s="29" t="s">
        <v>481</v>
      </c>
      <c r="B730" s="29">
        <v>36505184</v>
      </c>
      <c r="C730" s="29"/>
      <c r="E730" s="29"/>
      <c r="F730" s="29" t="s">
        <v>118</v>
      </c>
      <c r="G730" s="29" t="s">
        <v>127</v>
      </c>
      <c r="H730" s="130">
        <v>45692</v>
      </c>
      <c r="I730" s="130">
        <f t="shared" si="3"/>
        <v>45695</v>
      </c>
      <c r="J730" s="130"/>
      <c r="K730" s="130"/>
      <c r="L730" s="129" t="s">
        <v>414</v>
      </c>
      <c r="M730" s="130"/>
      <c r="N730" s="145"/>
      <c r="O730" s="29"/>
      <c r="P730" s="133"/>
    </row>
    <row r="731" spans="1:16" hidden="1">
      <c r="A731" s="29" t="s">
        <v>481</v>
      </c>
      <c r="B731" s="29">
        <v>36505254</v>
      </c>
      <c r="C731" s="29"/>
      <c r="E731" s="29"/>
      <c r="F731" s="29" t="s">
        <v>118</v>
      </c>
      <c r="G731" s="29" t="s">
        <v>127</v>
      </c>
      <c r="H731" s="130">
        <v>45692</v>
      </c>
      <c r="I731" s="130">
        <f t="shared" si="3"/>
        <v>45695</v>
      </c>
      <c r="J731" s="130"/>
      <c r="K731" s="130"/>
      <c r="L731" s="129" t="s">
        <v>414</v>
      </c>
      <c r="M731" s="130"/>
      <c r="N731" s="145"/>
      <c r="O731" s="29"/>
      <c r="P731" s="133"/>
    </row>
    <row r="732" spans="1:16" hidden="1">
      <c r="A732" s="29" t="s">
        <v>481</v>
      </c>
      <c r="B732" s="29">
        <v>36505299</v>
      </c>
      <c r="C732" s="29"/>
      <c r="E732" s="29"/>
      <c r="F732" s="29" t="s">
        <v>118</v>
      </c>
      <c r="G732" s="29" t="s">
        <v>127</v>
      </c>
      <c r="H732" s="130">
        <v>45692</v>
      </c>
      <c r="I732" s="130">
        <f t="shared" si="3"/>
        <v>45695</v>
      </c>
      <c r="J732" s="130"/>
      <c r="K732" s="130"/>
      <c r="L732" s="129" t="s">
        <v>414</v>
      </c>
      <c r="M732" s="130"/>
      <c r="N732" s="145"/>
      <c r="O732" s="29"/>
      <c r="P732" s="133"/>
    </row>
    <row r="733" spans="1:16" hidden="1">
      <c r="A733" s="29" t="s">
        <v>482</v>
      </c>
      <c r="B733" s="29">
        <v>36501666</v>
      </c>
      <c r="C733" s="29"/>
      <c r="E733" s="29"/>
      <c r="F733" s="29" t="s">
        <v>129</v>
      </c>
      <c r="G733" s="29" t="s">
        <v>210</v>
      </c>
      <c r="H733" s="130">
        <v>45692</v>
      </c>
      <c r="I733" s="130">
        <f t="shared" si="3"/>
        <v>45695</v>
      </c>
      <c r="J733" s="130"/>
      <c r="K733" s="130">
        <v>45697</v>
      </c>
      <c r="L733" s="129" t="s">
        <v>10</v>
      </c>
      <c r="M733" s="162"/>
      <c r="N733" s="163"/>
      <c r="O733" s="29" t="s">
        <v>317</v>
      </c>
      <c r="P733" s="133"/>
    </row>
    <row r="734" spans="1:16" hidden="1">
      <c r="A734" s="29" t="s">
        <v>482</v>
      </c>
      <c r="B734" s="29">
        <v>36501547</v>
      </c>
      <c r="C734" s="29"/>
      <c r="E734" s="29"/>
      <c r="F734" s="29" t="s">
        <v>129</v>
      </c>
      <c r="G734" s="29" t="s">
        <v>210</v>
      </c>
      <c r="H734" s="130">
        <v>45692</v>
      </c>
      <c r="I734" s="130">
        <f t="shared" si="3"/>
        <v>45695</v>
      </c>
      <c r="J734" s="130">
        <v>45729</v>
      </c>
      <c r="K734" s="130"/>
      <c r="L734" s="129" t="s">
        <v>483</v>
      </c>
      <c r="M734" s="130"/>
      <c r="N734" s="145"/>
      <c r="O734" s="29" t="s">
        <v>484</v>
      </c>
      <c r="P734" s="133"/>
    </row>
    <row r="735" spans="1:16" hidden="1">
      <c r="A735" s="29" t="s">
        <v>482</v>
      </c>
      <c r="B735" s="29">
        <v>36501450</v>
      </c>
      <c r="C735" s="29"/>
      <c r="E735" s="29"/>
      <c r="F735" s="29" t="s">
        <v>129</v>
      </c>
      <c r="G735" s="29" t="s">
        <v>210</v>
      </c>
      <c r="H735" s="130">
        <v>45692</v>
      </c>
      <c r="I735" s="130">
        <f t="shared" si="3"/>
        <v>45695</v>
      </c>
      <c r="J735" s="130">
        <v>45729</v>
      </c>
      <c r="K735" s="130"/>
      <c r="L735" s="129" t="s">
        <v>483</v>
      </c>
      <c r="M735" s="130"/>
      <c r="N735" s="145"/>
      <c r="O735" s="29" t="s">
        <v>485</v>
      </c>
      <c r="P735" s="133"/>
    </row>
    <row r="736" spans="1:16" hidden="1">
      <c r="A736" s="29" t="s">
        <v>482</v>
      </c>
      <c r="B736" s="29">
        <v>36501361</v>
      </c>
      <c r="C736" s="29"/>
      <c r="E736" s="29"/>
      <c r="F736" s="29" t="s">
        <v>129</v>
      </c>
      <c r="G736" s="29" t="s">
        <v>210</v>
      </c>
      <c r="H736" s="130">
        <v>45692</v>
      </c>
      <c r="I736" s="130">
        <f t="shared" si="3"/>
        <v>45695</v>
      </c>
      <c r="J736" s="130">
        <v>45729</v>
      </c>
      <c r="K736" s="130"/>
      <c r="L736" s="129" t="s">
        <v>483</v>
      </c>
      <c r="M736" s="130"/>
      <c r="N736" s="145"/>
      <c r="O736" s="29" t="s">
        <v>486</v>
      </c>
      <c r="P736" s="133"/>
    </row>
    <row r="737" spans="1:16" hidden="1">
      <c r="A737" s="29" t="s">
        <v>482</v>
      </c>
      <c r="B737" s="29">
        <v>35509604</v>
      </c>
      <c r="C737" s="29"/>
      <c r="E737" s="29"/>
      <c r="F737" s="29" t="s">
        <v>129</v>
      </c>
      <c r="G737" s="29" t="s">
        <v>210</v>
      </c>
      <c r="H737" s="130">
        <v>45692</v>
      </c>
      <c r="I737" s="130">
        <f t="shared" si="3"/>
        <v>45695</v>
      </c>
      <c r="J737" s="130"/>
      <c r="K737" s="130">
        <v>45697</v>
      </c>
      <c r="L737" s="129" t="s">
        <v>10</v>
      </c>
      <c r="M737" s="162"/>
      <c r="N737" s="163"/>
      <c r="O737" s="29" t="s">
        <v>480</v>
      </c>
      <c r="P737" s="133"/>
    </row>
    <row r="738" spans="1:16" hidden="1">
      <c r="A738" s="29" t="s">
        <v>336</v>
      </c>
      <c r="B738" s="29">
        <v>36508939</v>
      </c>
      <c r="C738" s="29"/>
      <c r="E738" s="29"/>
      <c r="F738" s="29" t="s">
        <v>129</v>
      </c>
      <c r="G738" s="157" t="s">
        <v>337</v>
      </c>
      <c r="H738" s="130">
        <v>45692</v>
      </c>
      <c r="I738" s="130">
        <f t="shared" si="3"/>
        <v>45695</v>
      </c>
      <c r="J738" s="130"/>
      <c r="K738" s="130"/>
      <c r="L738" s="129" t="s">
        <v>414</v>
      </c>
      <c r="M738" s="130"/>
      <c r="N738" s="145"/>
      <c r="O738" s="29" t="s">
        <v>338</v>
      </c>
      <c r="P738" s="133"/>
    </row>
    <row r="739" spans="1:16" hidden="1">
      <c r="A739" s="29" t="s">
        <v>336</v>
      </c>
      <c r="B739" s="29">
        <v>36508971</v>
      </c>
      <c r="C739" s="29"/>
      <c r="E739" s="29"/>
      <c r="F739" s="29" t="s">
        <v>129</v>
      </c>
      <c r="G739" s="157" t="s">
        <v>337</v>
      </c>
      <c r="H739" s="130">
        <v>45692</v>
      </c>
      <c r="I739" s="130">
        <f t="shared" si="3"/>
        <v>45695</v>
      </c>
      <c r="J739" s="130"/>
      <c r="K739" s="130"/>
      <c r="L739" s="129" t="s">
        <v>414</v>
      </c>
      <c r="M739" s="130"/>
      <c r="N739" s="145"/>
      <c r="O739" s="29" t="s">
        <v>339</v>
      </c>
      <c r="P739" s="133"/>
    </row>
    <row r="740" spans="1:16" hidden="1">
      <c r="A740" s="29" t="s">
        <v>336</v>
      </c>
      <c r="B740" s="29">
        <v>36509009</v>
      </c>
      <c r="C740" s="29"/>
      <c r="E740" s="29"/>
      <c r="F740" s="29" t="s">
        <v>129</v>
      </c>
      <c r="G740" s="157" t="s">
        <v>337</v>
      </c>
      <c r="H740" s="130">
        <v>45692</v>
      </c>
      <c r="I740" s="130">
        <f t="shared" si="3"/>
        <v>45695</v>
      </c>
      <c r="J740" s="130"/>
      <c r="K740" s="130"/>
      <c r="L740" s="129" t="s">
        <v>414</v>
      </c>
      <c r="M740" s="130"/>
      <c r="N740" s="145"/>
      <c r="O740" s="29" t="s">
        <v>340</v>
      </c>
      <c r="P740" s="133"/>
    </row>
    <row r="741" spans="1:16" hidden="1">
      <c r="A741" s="29" t="s">
        <v>336</v>
      </c>
      <c r="B741" s="29">
        <v>36509029</v>
      </c>
      <c r="C741" s="29"/>
      <c r="E741" s="29"/>
      <c r="F741" s="29" t="s">
        <v>129</v>
      </c>
      <c r="G741" s="157" t="s">
        <v>337</v>
      </c>
      <c r="H741" s="130">
        <v>45692</v>
      </c>
      <c r="I741" s="130">
        <f t="shared" si="3"/>
        <v>45695</v>
      </c>
      <c r="J741" s="130"/>
      <c r="K741" s="130"/>
      <c r="L741" s="129" t="s">
        <v>414</v>
      </c>
      <c r="M741" s="130"/>
      <c r="N741" s="145"/>
      <c r="O741" s="29" t="s">
        <v>341</v>
      </c>
      <c r="P741" s="133"/>
    </row>
    <row r="742" spans="1:16" hidden="1">
      <c r="A742" s="29" t="s">
        <v>336</v>
      </c>
      <c r="B742" s="29">
        <v>37508603</v>
      </c>
      <c r="C742" s="29"/>
      <c r="E742" s="29"/>
      <c r="F742" s="29" t="s">
        <v>129</v>
      </c>
      <c r="G742" s="157" t="s">
        <v>337</v>
      </c>
      <c r="H742" s="130">
        <v>45692</v>
      </c>
      <c r="I742" s="130">
        <f t="shared" si="3"/>
        <v>45695</v>
      </c>
      <c r="J742" s="130"/>
      <c r="K742" s="130"/>
      <c r="L742" s="129" t="s">
        <v>414</v>
      </c>
      <c r="M742" s="130"/>
      <c r="N742" s="145"/>
      <c r="O742" s="29" t="s">
        <v>341</v>
      </c>
      <c r="P742" s="133"/>
    </row>
    <row r="743" spans="1:16" hidden="1">
      <c r="A743" s="29" t="s">
        <v>336</v>
      </c>
      <c r="B743" s="29">
        <v>37508593</v>
      </c>
      <c r="C743" s="29"/>
      <c r="E743" s="29"/>
      <c r="F743" s="29" t="s">
        <v>129</v>
      </c>
      <c r="G743" s="157" t="s">
        <v>337</v>
      </c>
      <c r="H743" s="130">
        <v>45692</v>
      </c>
      <c r="I743" s="130">
        <f t="shared" si="3"/>
        <v>45695</v>
      </c>
      <c r="J743" s="130"/>
      <c r="K743" s="130"/>
      <c r="L743" s="129" t="s">
        <v>414</v>
      </c>
      <c r="M743" s="130"/>
      <c r="N743" s="145"/>
      <c r="O743" s="29" t="s">
        <v>340</v>
      </c>
      <c r="P743" s="133"/>
    </row>
    <row r="744" spans="1:16" hidden="1">
      <c r="A744" s="29" t="s">
        <v>336</v>
      </c>
      <c r="B744" s="29">
        <v>36508894</v>
      </c>
      <c r="C744" s="29"/>
      <c r="E744" s="29"/>
      <c r="F744" s="29" t="s">
        <v>129</v>
      </c>
      <c r="G744" s="157" t="s">
        <v>337</v>
      </c>
      <c r="H744" s="130">
        <v>45692</v>
      </c>
      <c r="I744" s="130">
        <f t="shared" si="3"/>
        <v>45695</v>
      </c>
      <c r="J744" s="130"/>
      <c r="K744" s="130"/>
      <c r="L744" s="129" t="s">
        <v>414</v>
      </c>
      <c r="M744" s="130"/>
      <c r="N744" s="145"/>
      <c r="O744" s="29" t="s">
        <v>342</v>
      </c>
      <c r="P744" s="133"/>
    </row>
    <row r="745" spans="1:16" hidden="1">
      <c r="A745" s="29" t="s">
        <v>336</v>
      </c>
      <c r="B745" s="29">
        <v>36508864</v>
      </c>
      <c r="C745" s="29"/>
      <c r="E745" s="29"/>
      <c r="F745" s="29" t="s">
        <v>129</v>
      </c>
      <c r="G745" s="157" t="s">
        <v>337</v>
      </c>
      <c r="H745" s="130">
        <v>45692</v>
      </c>
      <c r="I745" s="130">
        <f t="shared" si="3"/>
        <v>45695</v>
      </c>
      <c r="J745" s="130"/>
      <c r="K745" s="130"/>
      <c r="L745" s="129" t="s">
        <v>414</v>
      </c>
      <c r="M745" s="130"/>
      <c r="N745" s="145"/>
      <c r="O745" s="29" t="s">
        <v>343</v>
      </c>
      <c r="P745" s="133"/>
    </row>
    <row r="746" spans="1:16" hidden="1">
      <c r="A746" s="29" t="s">
        <v>344</v>
      </c>
      <c r="B746" s="29">
        <v>36505090</v>
      </c>
      <c r="C746" s="29"/>
      <c r="E746" s="29"/>
      <c r="F746" s="29" t="s">
        <v>129</v>
      </c>
      <c r="G746" s="29" t="s">
        <v>213</v>
      </c>
      <c r="H746" s="130">
        <v>45693</v>
      </c>
      <c r="I746" s="130">
        <f t="shared" si="3"/>
        <v>45698</v>
      </c>
      <c r="J746" s="130">
        <v>45729</v>
      </c>
      <c r="K746" s="130"/>
      <c r="L746" s="129" t="s">
        <v>414</v>
      </c>
      <c r="M746" s="130"/>
      <c r="N746" s="145"/>
      <c r="O746" s="29" t="s">
        <v>345</v>
      </c>
      <c r="P746" s="133"/>
    </row>
    <row r="747" spans="1:16" hidden="1">
      <c r="A747" s="29" t="s">
        <v>344</v>
      </c>
      <c r="B747" s="29">
        <v>36505041</v>
      </c>
      <c r="C747" s="29"/>
      <c r="E747" s="29"/>
      <c r="F747" s="29" t="s">
        <v>129</v>
      </c>
      <c r="G747" s="29" t="s">
        <v>213</v>
      </c>
      <c r="H747" s="130">
        <v>45693</v>
      </c>
      <c r="I747" s="130">
        <f t="shared" si="3"/>
        <v>45698</v>
      </c>
      <c r="J747" s="130">
        <v>45729</v>
      </c>
      <c r="K747" s="130"/>
      <c r="L747" s="129" t="s">
        <v>414</v>
      </c>
      <c r="M747" s="130"/>
      <c r="N747" s="145"/>
      <c r="O747" s="29" t="s">
        <v>346</v>
      </c>
      <c r="P747" s="133"/>
    </row>
    <row r="748" spans="1:16" hidden="1">
      <c r="A748" s="29" t="s">
        <v>344</v>
      </c>
      <c r="B748" s="29">
        <v>36505003</v>
      </c>
      <c r="C748" s="29"/>
      <c r="E748" s="29"/>
      <c r="F748" s="29" t="s">
        <v>129</v>
      </c>
      <c r="G748" s="29" t="s">
        <v>213</v>
      </c>
      <c r="H748" s="130">
        <v>45693</v>
      </c>
      <c r="I748" s="130">
        <f t="shared" si="3"/>
        <v>45698</v>
      </c>
      <c r="J748" s="130">
        <v>45729</v>
      </c>
      <c r="K748" s="130"/>
      <c r="L748" s="129" t="s">
        <v>414</v>
      </c>
      <c r="M748" s="130"/>
      <c r="N748" s="145"/>
      <c r="O748" s="29" t="s">
        <v>347</v>
      </c>
      <c r="P748" s="133"/>
    </row>
    <row r="749" spans="1:16" hidden="1">
      <c r="A749" s="29" t="s">
        <v>344</v>
      </c>
      <c r="B749" s="29">
        <v>36504973</v>
      </c>
      <c r="C749" s="29"/>
      <c r="E749" s="29"/>
      <c r="F749" s="29" t="s">
        <v>129</v>
      </c>
      <c r="G749" s="29" t="s">
        <v>213</v>
      </c>
      <c r="H749" s="130">
        <v>45693</v>
      </c>
      <c r="I749" s="130">
        <f t="shared" si="3"/>
        <v>45698</v>
      </c>
      <c r="J749" s="130">
        <v>45729</v>
      </c>
      <c r="K749" s="130"/>
      <c r="L749" s="129" t="s">
        <v>414</v>
      </c>
      <c r="M749" s="130"/>
      <c r="N749" s="145"/>
      <c r="O749" s="29" t="s">
        <v>348</v>
      </c>
      <c r="P749" s="133"/>
    </row>
    <row r="750" spans="1:16" hidden="1">
      <c r="A750" s="29" t="s">
        <v>344</v>
      </c>
      <c r="B750" s="29">
        <v>36504920</v>
      </c>
      <c r="C750" s="29"/>
      <c r="E750" s="29"/>
      <c r="F750" s="29" t="s">
        <v>129</v>
      </c>
      <c r="G750" s="29" t="s">
        <v>213</v>
      </c>
      <c r="H750" s="130">
        <v>45693</v>
      </c>
      <c r="I750" s="130">
        <f t="shared" si="3"/>
        <v>45698</v>
      </c>
      <c r="J750" s="130">
        <v>45729</v>
      </c>
      <c r="K750" s="130"/>
      <c r="L750" s="129" t="s">
        <v>414</v>
      </c>
      <c r="M750" s="130"/>
      <c r="N750" s="145"/>
      <c r="O750" s="29" t="s">
        <v>349</v>
      </c>
      <c r="P750" s="133"/>
    </row>
    <row r="751" spans="1:16" hidden="1">
      <c r="A751" s="29" t="s">
        <v>344</v>
      </c>
      <c r="B751" s="29">
        <v>36504794</v>
      </c>
      <c r="C751" s="29"/>
      <c r="E751" s="29"/>
      <c r="F751" s="29" t="s">
        <v>129</v>
      </c>
      <c r="G751" s="29" t="s">
        <v>213</v>
      </c>
      <c r="H751" s="130">
        <v>45693</v>
      </c>
      <c r="I751" s="130">
        <f t="shared" si="3"/>
        <v>45698</v>
      </c>
      <c r="J751" s="130"/>
      <c r="K751" s="130">
        <v>45699</v>
      </c>
      <c r="L751" s="129" t="s">
        <v>10</v>
      </c>
      <c r="M751" s="162"/>
      <c r="N751" s="163"/>
      <c r="O751" s="29" t="s">
        <v>350</v>
      </c>
      <c r="P751" s="133"/>
    </row>
    <row r="752" spans="1:16" hidden="1">
      <c r="A752" s="29" t="s">
        <v>336</v>
      </c>
      <c r="B752" s="29">
        <v>36500830</v>
      </c>
      <c r="C752" s="29"/>
      <c r="E752" s="29"/>
      <c r="F752" s="29" t="s">
        <v>129</v>
      </c>
      <c r="G752" s="157" t="s">
        <v>337</v>
      </c>
      <c r="H752" s="130">
        <v>45692</v>
      </c>
      <c r="I752" s="130">
        <f t="shared" si="3"/>
        <v>45695</v>
      </c>
      <c r="J752" s="130"/>
      <c r="K752" s="130"/>
      <c r="L752" s="129" t="s">
        <v>414</v>
      </c>
      <c r="M752" s="130"/>
      <c r="N752" s="145"/>
      <c r="O752" s="29" t="s">
        <v>351</v>
      </c>
      <c r="P752" s="133"/>
    </row>
    <row r="753" spans="1:16" ht="201.75" hidden="1">
      <c r="A753" s="157" t="s">
        <v>336</v>
      </c>
      <c r="B753" s="160">
        <v>36508864</v>
      </c>
      <c r="C753" s="160"/>
      <c r="E753" s="160"/>
      <c r="F753" s="29" t="s">
        <v>129</v>
      </c>
      <c r="G753" s="157" t="s">
        <v>337</v>
      </c>
      <c r="H753" s="158">
        <v>45693</v>
      </c>
      <c r="I753" s="130">
        <f t="shared" si="3"/>
        <v>45698</v>
      </c>
      <c r="J753" s="158"/>
      <c r="K753" s="158"/>
      <c r="L753" s="129" t="s">
        <v>414</v>
      </c>
      <c r="M753" s="158"/>
      <c r="N753" s="164"/>
      <c r="O753" s="159" t="s">
        <v>352</v>
      </c>
      <c r="P753" s="133"/>
    </row>
    <row r="754" spans="1:16" ht="216.75" hidden="1">
      <c r="A754" s="157" t="s">
        <v>336</v>
      </c>
      <c r="B754" s="160">
        <v>36508894</v>
      </c>
      <c r="C754" s="160"/>
      <c r="E754" s="160"/>
      <c r="F754" s="29" t="s">
        <v>129</v>
      </c>
      <c r="G754" s="157" t="s">
        <v>337</v>
      </c>
      <c r="H754" s="158">
        <v>45693</v>
      </c>
      <c r="I754" s="130">
        <f t="shared" si="3"/>
        <v>45698</v>
      </c>
      <c r="J754" s="158"/>
      <c r="K754" s="158"/>
      <c r="L754" s="129" t="s">
        <v>414</v>
      </c>
      <c r="M754" s="158"/>
      <c r="N754" s="164"/>
      <c r="O754" s="159" t="s">
        <v>353</v>
      </c>
      <c r="P754" s="133"/>
    </row>
    <row r="755" spans="1:16" ht="201.75" hidden="1">
      <c r="A755" s="157" t="s">
        <v>336</v>
      </c>
      <c r="B755" s="160">
        <v>36508918</v>
      </c>
      <c r="C755" s="160"/>
      <c r="E755" s="160"/>
      <c r="F755" s="29" t="s">
        <v>129</v>
      </c>
      <c r="G755" s="157" t="s">
        <v>337</v>
      </c>
      <c r="H755" s="158">
        <v>45693</v>
      </c>
      <c r="I755" s="130">
        <f t="shared" si="3"/>
        <v>45698</v>
      </c>
      <c r="J755" s="158"/>
      <c r="K755" s="158"/>
      <c r="L755" s="129" t="s">
        <v>414</v>
      </c>
      <c r="M755" s="158"/>
      <c r="N755" s="164"/>
      <c r="O755" s="159" t="s">
        <v>354</v>
      </c>
      <c r="P755" s="133"/>
    </row>
    <row r="756" spans="1:16" ht="201.75" hidden="1">
      <c r="A756" s="157" t="s">
        <v>336</v>
      </c>
      <c r="B756" s="160">
        <v>36508939</v>
      </c>
      <c r="C756" s="160"/>
      <c r="E756" s="160"/>
      <c r="F756" s="29" t="s">
        <v>129</v>
      </c>
      <c r="G756" s="157" t="s">
        <v>337</v>
      </c>
      <c r="H756" s="158">
        <v>45693</v>
      </c>
      <c r="I756" s="130">
        <f t="shared" si="3"/>
        <v>45698</v>
      </c>
      <c r="J756" s="158"/>
      <c r="K756" s="158"/>
      <c r="L756" s="129" t="s">
        <v>414</v>
      </c>
      <c r="M756" s="158"/>
      <c r="N756" s="164"/>
      <c r="O756" s="159" t="s">
        <v>355</v>
      </c>
      <c r="P756" s="133"/>
    </row>
    <row r="757" spans="1:16" ht="201.75" hidden="1">
      <c r="A757" s="157" t="s">
        <v>336</v>
      </c>
      <c r="B757" s="160">
        <v>36508971</v>
      </c>
      <c r="C757" s="160"/>
      <c r="E757" s="160"/>
      <c r="F757" s="29" t="s">
        <v>129</v>
      </c>
      <c r="G757" s="157" t="s">
        <v>337</v>
      </c>
      <c r="H757" s="158">
        <v>45693</v>
      </c>
      <c r="I757" s="130">
        <f t="shared" si="3"/>
        <v>45698</v>
      </c>
      <c r="J757" s="158"/>
      <c r="K757" s="158"/>
      <c r="L757" s="129" t="s">
        <v>414</v>
      </c>
      <c r="M757" s="158"/>
      <c r="N757" s="164"/>
      <c r="O757" s="159" t="s">
        <v>356</v>
      </c>
      <c r="P757" s="133"/>
    </row>
    <row r="758" spans="1:16" ht="216.75" hidden="1">
      <c r="A758" s="157" t="s">
        <v>336</v>
      </c>
      <c r="B758" s="160">
        <v>36509009</v>
      </c>
      <c r="C758" s="160"/>
      <c r="E758" s="160"/>
      <c r="F758" s="29" t="s">
        <v>129</v>
      </c>
      <c r="G758" s="157" t="s">
        <v>337</v>
      </c>
      <c r="H758" s="158">
        <v>45693</v>
      </c>
      <c r="I758" s="130">
        <f t="shared" si="3"/>
        <v>45698</v>
      </c>
      <c r="J758" s="158"/>
      <c r="K758" s="158"/>
      <c r="L758" s="129" t="s">
        <v>414</v>
      </c>
      <c r="M758" s="158"/>
      <c r="N758" s="164"/>
      <c r="O758" s="159" t="s">
        <v>357</v>
      </c>
      <c r="P758" s="133"/>
    </row>
    <row r="759" spans="1:16" ht="201.75" hidden="1">
      <c r="A759" s="157" t="s">
        <v>336</v>
      </c>
      <c r="B759" s="160">
        <v>36509029</v>
      </c>
      <c r="C759" s="160"/>
      <c r="E759" s="160"/>
      <c r="F759" s="29" t="s">
        <v>129</v>
      </c>
      <c r="G759" s="157" t="s">
        <v>337</v>
      </c>
      <c r="H759" s="158">
        <v>45693</v>
      </c>
      <c r="I759" s="130">
        <f t="shared" si="3"/>
        <v>45698</v>
      </c>
      <c r="J759" s="158"/>
      <c r="K759" s="158"/>
      <c r="L759" s="129" t="s">
        <v>414</v>
      </c>
      <c r="M759" s="158"/>
      <c r="N759" s="164"/>
      <c r="O759" s="159" t="s">
        <v>358</v>
      </c>
      <c r="P759" s="133"/>
    </row>
    <row r="760" spans="1:16" hidden="1">
      <c r="A760" s="157" t="s">
        <v>344</v>
      </c>
      <c r="B760" s="160">
        <v>36504794</v>
      </c>
      <c r="C760" s="160"/>
      <c r="E760" s="160"/>
      <c r="F760" s="29" t="s">
        <v>129</v>
      </c>
      <c r="G760" s="29" t="s">
        <v>213</v>
      </c>
      <c r="H760" s="158">
        <v>45693</v>
      </c>
      <c r="I760" s="130">
        <f t="shared" si="3"/>
        <v>45698</v>
      </c>
      <c r="J760" s="158"/>
      <c r="K760" s="130">
        <v>45699</v>
      </c>
      <c r="L760" s="129" t="s">
        <v>10</v>
      </c>
      <c r="M760" s="162"/>
      <c r="N760" s="163"/>
      <c r="O760" s="159" t="s">
        <v>359</v>
      </c>
      <c r="P760" s="133"/>
    </row>
    <row r="761" spans="1:16" hidden="1">
      <c r="A761" s="157" t="s">
        <v>344</v>
      </c>
      <c r="B761" s="160">
        <v>36504920</v>
      </c>
      <c r="C761" s="160"/>
      <c r="E761" s="160"/>
      <c r="F761" s="29" t="s">
        <v>129</v>
      </c>
      <c r="G761" s="29" t="s">
        <v>213</v>
      </c>
      <c r="H761" s="158">
        <v>45693</v>
      </c>
      <c r="I761" s="130">
        <f t="shared" si="3"/>
        <v>45698</v>
      </c>
      <c r="J761" s="158"/>
      <c r="K761" s="130">
        <v>45698</v>
      </c>
      <c r="L761" s="129" t="s">
        <v>10</v>
      </c>
      <c r="M761" s="162"/>
      <c r="N761" s="163"/>
      <c r="O761" s="159" t="s">
        <v>360</v>
      </c>
      <c r="P761" s="133"/>
    </row>
    <row r="762" spans="1:16" hidden="1">
      <c r="A762" s="157" t="s">
        <v>344</v>
      </c>
      <c r="B762" s="160">
        <v>36504973</v>
      </c>
      <c r="C762" s="160"/>
      <c r="E762" s="160"/>
      <c r="F762" s="29" t="s">
        <v>129</v>
      </c>
      <c r="G762" s="29" t="s">
        <v>213</v>
      </c>
      <c r="H762" s="158">
        <v>45693</v>
      </c>
      <c r="I762" s="130">
        <f t="shared" si="3"/>
        <v>45698</v>
      </c>
      <c r="J762" s="158"/>
      <c r="K762" s="158">
        <v>45695</v>
      </c>
      <c r="L762" s="129" t="s">
        <v>10</v>
      </c>
      <c r="M762" s="162"/>
      <c r="N762" s="163"/>
      <c r="O762" s="159" t="s">
        <v>361</v>
      </c>
      <c r="P762" s="133"/>
    </row>
    <row r="763" spans="1:16" hidden="1">
      <c r="A763" s="157" t="s">
        <v>344</v>
      </c>
      <c r="B763" s="160">
        <v>36505003</v>
      </c>
      <c r="C763" s="160"/>
      <c r="E763" s="160"/>
      <c r="F763" s="29" t="s">
        <v>129</v>
      </c>
      <c r="G763" s="29" t="s">
        <v>213</v>
      </c>
      <c r="H763" s="158">
        <v>45693</v>
      </c>
      <c r="I763" s="130">
        <f t="shared" si="3"/>
        <v>45698</v>
      </c>
      <c r="J763" s="158"/>
      <c r="K763" s="158"/>
      <c r="L763" s="129" t="s">
        <v>414</v>
      </c>
      <c r="M763" s="158"/>
      <c r="N763" s="164"/>
      <c r="O763" s="159" t="s">
        <v>362</v>
      </c>
      <c r="P763" s="133"/>
    </row>
    <row r="764" spans="1:16" hidden="1">
      <c r="A764" s="157" t="s">
        <v>344</v>
      </c>
      <c r="B764" s="160">
        <v>36505041</v>
      </c>
      <c r="C764" s="160"/>
      <c r="E764" s="160"/>
      <c r="F764" s="29" t="s">
        <v>129</v>
      </c>
      <c r="G764" s="29" t="s">
        <v>213</v>
      </c>
      <c r="H764" s="158">
        <v>45693</v>
      </c>
      <c r="I764" s="130">
        <f t="shared" si="3"/>
        <v>45698</v>
      </c>
      <c r="J764" s="158"/>
      <c r="K764" s="158">
        <v>45695</v>
      </c>
      <c r="L764" s="129" t="s">
        <v>10</v>
      </c>
      <c r="M764" s="162"/>
      <c r="N764" s="163"/>
      <c r="O764" s="159" t="s">
        <v>363</v>
      </c>
      <c r="P764" s="133"/>
    </row>
    <row r="765" spans="1:16" ht="144.75" hidden="1">
      <c r="A765" s="157" t="s">
        <v>336</v>
      </c>
      <c r="B765" s="160">
        <v>37508603</v>
      </c>
      <c r="C765" s="160"/>
      <c r="E765" s="160"/>
      <c r="F765" s="29" t="s">
        <v>129</v>
      </c>
      <c r="G765" s="157" t="s">
        <v>337</v>
      </c>
      <c r="H765" s="158">
        <v>45694</v>
      </c>
      <c r="I765" s="130">
        <f t="shared" si="3"/>
        <v>45699</v>
      </c>
      <c r="J765" s="158"/>
      <c r="K765" s="158"/>
      <c r="L765" s="129" t="s">
        <v>414</v>
      </c>
      <c r="M765" s="158"/>
      <c r="N765" s="164"/>
      <c r="O765" s="159" t="s">
        <v>487</v>
      </c>
      <c r="P765" s="133"/>
    </row>
    <row r="766" spans="1:16" ht="144.75" hidden="1">
      <c r="A766" s="157" t="s">
        <v>336</v>
      </c>
      <c r="B766" s="160">
        <v>37508593</v>
      </c>
      <c r="C766" s="160"/>
      <c r="E766" s="160"/>
      <c r="F766" s="29" t="s">
        <v>129</v>
      </c>
      <c r="G766" s="157" t="s">
        <v>337</v>
      </c>
      <c r="H766" s="158">
        <v>45694</v>
      </c>
      <c r="I766" s="130">
        <f t="shared" si="3"/>
        <v>45699</v>
      </c>
      <c r="J766" s="158"/>
      <c r="K766" s="158"/>
      <c r="L766" s="129" t="s">
        <v>414</v>
      </c>
      <c r="M766" s="158"/>
      <c r="N766" s="164"/>
      <c r="O766" s="159" t="s">
        <v>488</v>
      </c>
      <c r="P766" s="133"/>
    </row>
    <row r="767" spans="1:16" ht="144.75" hidden="1">
      <c r="A767" s="157" t="s">
        <v>336</v>
      </c>
      <c r="B767" s="160">
        <v>37508575</v>
      </c>
      <c r="C767" s="160"/>
      <c r="E767" s="160"/>
      <c r="F767" s="29" t="s">
        <v>129</v>
      </c>
      <c r="G767" s="157" t="s">
        <v>337</v>
      </c>
      <c r="H767" s="158">
        <v>45694</v>
      </c>
      <c r="I767" s="130">
        <f t="shared" si="3"/>
        <v>45699</v>
      </c>
      <c r="J767" s="158"/>
      <c r="K767" s="158"/>
      <c r="L767" s="129" t="s">
        <v>414</v>
      </c>
      <c r="M767" s="158"/>
      <c r="N767" s="164"/>
      <c r="O767" s="159" t="s">
        <v>489</v>
      </c>
      <c r="P767" s="133"/>
    </row>
    <row r="768" spans="1:16" ht="144.75" hidden="1">
      <c r="A768" s="157" t="s">
        <v>336</v>
      </c>
      <c r="B768" s="160">
        <v>37508561</v>
      </c>
      <c r="C768" s="160"/>
      <c r="E768" s="160"/>
      <c r="F768" s="29" t="s">
        <v>129</v>
      </c>
      <c r="G768" s="157" t="s">
        <v>337</v>
      </c>
      <c r="H768" s="158">
        <v>45694</v>
      </c>
      <c r="I768" s="130">
        <f t="shared" si="3"/>
        <v>45699</v>
      </c>
      <c r="J768" s="158"/>
      <c r="K768" s="158"/>
      <c r="L768" s="129" t="s">
        <v>414</v>
      </c>
      <c r="M768" s="158"/>
      <c r="N768" s="164"/>
      <c r="O768" s="159" t="s">
        <v>490</v>
      </c>
      <c r="P768" s="133"/>
    </row>
    <row r="769" spans="1:16" ht="144.75" hidden="1">
      <c r="A769" s="157" t="s">
        <v>336</v>
      </c>
      <c r="B769" s="160">
        <v>37508541</v>
      </c>
      <c r="C769" s="160"/>
      <c r="E769" s="160"/>
      <c r="F769" s="29" t="s">
        <v>129</v>
      </c>
      <c r="G769" s="157" t="s">
        <v>337</v>
      </c>
      <c r="H769" s="158">
        <v>45694</v>
      </c>
      <c r="I769" s="130">
        <f t="shared" si="3"/>
        <v>45699</v>
      </c>
      <c r="J769" s="158"/>
      <c r="K769" s="158"/>
      <c r="L769" s="129" t="s">
        <v>414</v>
      </c>
      <c r="M769" s="158"/>
      <c r="N769" s="164"/>
      <c r="O769" s="159" t="s">
        <v>491</v>
      </c>
      <c r="P769" s="133"/>
    </row>
    <row r="770" spans="1:16" ht="159" hidden="1">
      <c r="A770" s="157" t="s">
        <v>336</v>
      </c>
      <c r="B770" s="160">
        <v>37508522</v>
      </c>
      <c r="C770" s="160"/>
      <c r="E770" s="160"/>
      <c r="F770" s="29" t="s">
        <v>129</v>
      </c>
      <c r="G770" s="157" t="s">
        <v>337</v>
      </c>
      <c r="H770" s="158">
        <v>45694</v>
      </c>
      <c r="I770" s="130">
        <f t="shared" si="3"/>
        <v>45699</v>
      </c>
      <c r="J770" s="158"/>
      <c r="K770" s="158"/>
      <c r="L770" s="129" t="s">
        <v>414</v>
      </c>
      <c r="M770" s="158"/>
      <c r="N770" s="164"/>
      <c r="O770" s="159" t="s">
        <v>492</v>
      </c>
      <c r="P770" s="133"/>
    </row>
    <row r="771" spans="1:16" hidden="1">
      <c r="A771" s="29" t="s">
        <v>493</v>
      </c>
      <c r="B771" s="29">
        <v>41510040</v>
      </c>
      <c r="C771" s="29"/>
      <c r="E771" s="29"/>
      <c r="F771" s="29" t="s">
        <v>129</v>
      </c>
      <c r="G771" s="29" t="s">
        <v>210</v>
      </c>
      <c r="H771" s="130">
        <v>45694</v>
      </c>
      <c r="I771" s="130">
        <f t="shared" si="3"/>
        <v>45699</v>
      </c>
      <c r="J771" s="130"/>
      <c r="K771" s="130">
        <v>45709</v>
      </c>
      <c r="L771" s="129" t="s">
        <v>10</v>
      </c>
      <c r="M771" s="162"/>
      <c r="N771" s="163"/>
      <c r="O771" s="29" t="s">
        <v>494</v>
      </c>
      <c r="P771" s="133"/>
    </row>
    <row r="772" spans="1:16" hidden="1">
      <c r="A772" s="29" t="s">
        <v>493</v>
      </c>
      <c r="B772" s="29">
        <v>41510026</v>
      </c>
      <c r="C772" s="29"/>
      <c r="E772" s="29"/>
      <c r="F772" s="29" t="s">
        <v>129</v>
      </c>
      <c r="G772" s="29" t="s">
        <v>210</v>
      </c>
      <c r="H772" s="130">
        <v>45694</v>
      </c>
      <c r="I772" s="130">
        <f t="shared" si="3"/>
        <v>45699</v>
      </c>
      <c r="J772" s="130"/>
      <c r="K772" s="130">
        <v>45710</v>
      </c>
      <c r="L772" s="129" t="s">
        <v>10</v>
      </c>
      <c r="M772" s="162"/>
      <c r="N772" s="163"/>
      <c r="O772" s="29" t="s">
        <v>495</v>
      </c>
      <c r="P772" s="133"/>
    </row>
    <row r="773" spans="1:16" hidden="1">
      <c r="A773" s="29" t="s">
        <v>493</v>
      </c>
      <c r="B773" s="29">
        <v>41510021</v>
      </c>
      <c r="C773" s="29"/>
      <c r="E773" s="29"/>
      <c r="F773" s="29" t="s">
        <v>129</v>
      </c>
      <c r="G773" s="29" t="s">
        <v>210</v>
      </c>
      <c r="H773" s="130">
        <v>45694</v>
      </c>
      <c r="I773" s="130">
        <f t="shared" si="3"/>
        <v>45699</v>
      </c>
      <c r="J773" s="130"/>
      <c r="K773" s="130">
        <v>45703</v>
      </c>
      <c r="L773" s="129" t="s">
        <v>10</v>
      </c>
      <c r="M773" s="162"/>
      <c r="N773" s="163"/>
      <c r="O773" s="29" t="s">
        <v>496</v>
      </c>
      <c r="P773" s="133"/>
    </row>
    <row r="774" spans="1:16" hidden="1">
      <c r="A774" s="29" t="s">
        <v>493</v>
      </c>
      <c r="B774" s="29">
        <v>41510011</v>
      </c>
      <c r="C774" s="29"/>
      <c r="E774" s="29"/>
      <c r="F774" s="29" t="s">
        <v>129</v>
      </c>
      <c r="G774" s="29" t="s">
        <v>210</v>
      </c>
      <c r="H774" s="130">
        <v>45694</v>
      </c>
      <c r="I774" s="130">
        <f t="shared" si="3"/>
        <v>45699</v>
      </c>
      <c r="J774" s="130"/>
      <c r="K774" s="130">
        <v>45710</v>
      </c>
      <c r="L774" s="129" t="s">
        <v>10</v>
      </c>
      <c r="M774" s="162"/>
      <c r="N774" s="163"/>
      <c r="O774" s="29" t="s">
        <v>497</v>
      </c>
      <c r="P774" s="133"/>
    </row>
    <row r="775" spans="1:16" hidden="1">
      <c r="A775" s="29" t="s">
        <v>493</v>
      </c>
      <c r="B775" s="29">
        <v>41510009</v>
      </c>
      <c r="C775" s="29"/>
      <c r="E775" s="29"/>
      <c r="F775" s="29" t="s">
        <v>129</v>
      </c>
      <c r="G775" s="29" t="s">
        <v>210</v>
      </c>
      <c r="H775" s="130">
        <v>45694</v>
      </c>
      <c r="I775" s="130">
        <f t="shared" si="3"/>
        <v>45699</v>
      </c>
      <c r="J775" s="130"/>
      <c r="K775" s="130">
        <v>45701</v>
      </c>
      <c r="L775" s="129" t="s">
        <v>10</v>
      </c>
      <c r="M775" s="162"/>
      <c r="N775" s="163"/>
      <c r="O775" s="29" t="s">
        <v>498</v>
      </c>
      <c r="P775" s="133"/>
    </row>
    <row r="776" spans="1:16" hidden="1">
      <c r="A776" s="29" t="s">
        <v>493</v>
      </c>
      <c r="B776" s="29">
        <v>41509998</v>
      </c>
      <c r="C776" s="29"/>
      <c r="E776" s="29"/>
      <c r="F776" s="29" t="s">
        <v>129</v>
      </c>
      <c r="G776" s="29" t="s">
        <v>210</v>
      </c>
      <c r="H776" s="130">
        <v>45694</v>
      </c>
      <c r="I776" s="130">
        <f t="shared" si="3"/>
        <v>45699</v>
      </c>
      <c r="J776" s="130"/>
      <c r="K776" s="158"/>
      <c r="L776" s="129" t="s">
        <v>414</v>
      </c>
      <c r="M776" s="158"/>
      <c r="N776" s="164"/>
      <c r="O776" s="29" t="s">
        <v>497</v>
      </c>
      <c r="P776" s="133"/>
    </row>
    <row r="777" spans="1:16" hidden="1">
      <c r="A777" s="29" t="s">
        <v>493</v>
      </c>
      <c r="B777" s="29">
        <v>41509965</v>
      </c>
      <c r="C777" s="29"/>
      <c r="E777" s="29"/>
      <c r="F777" s="29" t="s">
        <v>129</v>
      </c>
      <c r="G777" s="29" t="s">
        <v>210</v>
      </c>
      <c r="H777" s="130">
        <v>45694</v>
      </c>
      <c r="I777" s="130">
        <f t="shared" si="3"/>
        <v>45699</v>
      </c>
      <c r="J777" s="130"/>
      <c r="K777" s="130">
        <v>45709</v>
      </c>
      <c r="L777" s="129" t="s">
        <v>10</v>
      </c>
      <c r="M777" s="162"/>
      <c r="N777" s="163"/>
      <c r="O777" s="29" t="s">
        <v>499</v>
      </c>
      <c r="P777" s="133"/>
    </row>
    <row r="778" spans="1:16" hidden="1">
      <c r="A778" s="29" t="s">
        <v>493</v>
      </c>
      <c r="B778" s="29">
        <v>41509943</v>
      </c>
      <c r="C778" s="29"/>
      <c r="E778" s="29"/>
      <c r="F778" s="29" t="s">
        <v>129</v>
      </c>
      <c r="G778" s="29" t="s">
        <v>210</v>
      </c>
      <c r="H778" s="130">
        <v>45694</v>
      </c>
      <c r="I778" s="130">
        <f t="shared" si="3"/>
        <v>45699</v>
      </c>
      <c r="J778" s="130"/>
      <c r="K778" s="130">
        <v>45701</v>
      </c>
      <c r="L778" s="129" t="s">
        <v>10</v>
      </c>
      <c r="M778" s="162"/>
      <c r="N778" s="163"/>
      <c r="O778" s="29" t="s">
        <v>500</v>
      </c>
      <c r="P778" s="133"/>
    </row>
    <row r="779" spans="1:16" hidden="1">
      <c r="A779" s="29" t="s">
        <v>493</v>
      </c>
      <c r="B779" s="29">
        <v>41509932</v>
      </c>
      <c r="C779" s="29"/>
      <c r="E779" s="29"/>
      <c r="F779" s="29" t="s">
        <v>129</v>
      </c>
      <c r="G779" s="29" t="s">
        <v>210</v>
      </c>
      <c r="H779" s="130">
        <v>45694</v>
      </c>
      <c r="I779" s="130">
        <f t="shared" si="3"/>
        <v>45699</v>
      </c>
      <c r="J779" s="130"/>
      <c r="K779" s="130">
        <v>45706</v>
      </c>
      <c r="L779" s="129" t="s">
        <v>10</v>
      </c>
      <c r="M779" s="162"/>
      <c r="N779" s="163"/>
      <c r="O779" s="29" t="s">
        <v>501</v>
      </c>
      <c r="P779" s="133"/>
    </row>
    <row r="780" spans="1:16" hidden="1">
      <c r="A780" s="29" t="s">
        <v>493</v>
      </c>
      <c r="B780" s="29">
        <v>41509914</v>
      </c>
      <c r="C780" s="29"/>
      <c r="E780" s="29"/>
      <c r="F780" s="29" t="s">
        <v>129</v>
      </c>
      <c r="G780" s="29" t="s">
        <v>210</v>
      </c>
      <c r="H780" s="130">
        <v>45694</v>
      </c>
      <c r="I780" s="130">
        <f t="shared" ref="I780:I843" si="4">WORKDAY(H780, 3)</f>
        <v>45699</v>
      </c>
      <c r="J780" s="130"/>
      <c r="K780" s="130">
        <v>45701</v>
      </c>
      <c r="L780" s="129" t="s">
        <v>10</v>
      </c>
      <c r="M780" s="162"/>
      <c r="N780" s="163"/>
      <c r="O780" s="29" t="s">
        <v>502</v>
      </c>
      <c r="P780" s="133"/>
    </row>
    <row r="781" spans="1:16" hidden="1">
      <c r="A781" s="29" t="s">
        <v>493</v>
      </c>
      <c r="B781" s="29">
        <v>41509898</v>
      </c>
      <c r="C781" s="29"/>
      <c r="E781" s="29"/>
      <c r="F781" s="29" t="s">
        <v>129</v>
      </c>
      <c r="G781" s="29" t="s">
        <v>210</v>
      </c>
      <c r="H781" s="130">
        <v>45694</v>
      </c>
      <c r="I781" s="130">
        <f t="shared" si="4"/>
        <v>45699</v>
      </c>
      <c r="J781" s="130"/>
      <c r="K781" s="130">
        <v>45702</v>
      </c>
      <c r="L781" s="129" t="s">
        <v>10</v>
      </c>
      <c r="M781" s="162"/>
      <c r="N781" s="163"/>
      <c r="O781" s="29" t="s">
        <v>503</v>
      </c>
      <c r="P781" s="133"/>
    </row>
    <row r="782" spans="1:16" hidden="1">
      <c r="A782" s="29" t="s">
        <v>493</v>
      </c>
      <c r="B782" s="29">
        <v>41509893</v>
      </c>
      <c r="C782" s="29"/>
      <c r="E782" s="29"/>
      <c r="F782" s="29" t="s">
        <v>129</v>
      </c>
      <c r="G782" s="29" t="s">
        <v>210</v>
      </c>
      <c r="H782" s="130">
        <v>45694</v>
      </c>
      <c r="I782" s="130">
        <f t="shared" si="4"/>
        <v>45699</v>
      </c>
      <c r="J782" s="130"/>
      <c r="K782" s="130">
        <v>45707</v>
      </c>
      <c r="L782" s="129" t="s">
        <v>10</v>
      </c>
      <c r="M782" s="162"/>
      <c r="N782" s="163"/>
      <c r="O782" s="29" t="s">
        <v>504</v>
      </c>
      <c r="P782" s="133"/>
    </row>
    <row r="783" spans="1:16" hidden="1">
      <c r="A783" s="29" t="s">
        <v>493</v>
      </c>
      <c r="B783" s="29">
        <v>41509884</v>
      </c>
      <c r="C783" s="29"/>
      <c r="E783" s="29"/>
      <c r="F783" s="29" t="s">
        <v>129</v>
      </c>
      <c r="G783" s="29" t="s">
        <v>210</v>
      </c>
      <c r="H783" s="130">
        <v>45694</v>
      </c>
      <c r="I783" s="130">
        <f t="shared" si="4"/>
        <v>45699</v>
      </c>
      <c r="J783" s="130">
        <v>45729</v>
      </c>
      <c r="K783" s="158"/>
      <c r="L783" s="129" t="s">
        <v>414</v>
      </c>
      <c r="M783" s="158"/>
      <c r="N783" s="164"/>
      <c r="O783" s="29" t="s">
        <v>500</v>
      </c>
      <c r="P783" s="133"/>
    </row>
    <row r="784" spans="1:16" hidden="1">
      <c r="A784" s="29" t="s">
        <v>493</v>
      </c>
      <c r="B784" s="29">
        <v>41509879</v>
      </c>
      <c r="C784" s="29"/>
      <c r="E784" s="29"/>
      <c r="F784" s="29" t="s">
        <v>129</v>
      </c>
      <c r="G784" s="29" t="s">
        <v>210</v>
      </c>
      <c r="H784" s="130">
        <v>45694</v>
      </c>
      <c r="I784" s="130">
        <f t="shared" si="4"/>
        <v>45699</v>
      </c>
      <c r="J784" s="130">
        <v>45729</v>
      </c>
      <c r="K784" s="158"/>
      <c r="L784" s="129" t="s">
        <v>414</v>
      </c>
      <c r="M784" s="158"/>
      <c r="N784" s="164"/>
      <c r="O784" s="29" t="s">
        <v>500</v>
      </c>
      <c r="P784" s="133"/>
    </row>
    <row r="785" spans="1:16" hidden="1">
      <c r="A785" s="29" t="s">
        <v>493</v>
      </c>
      <c r="B785" s="29">
        <v>41509833</v>
      </c>
      <c r="C785" s="29"/>
      <c r="E785" s="29"/>
      <c r="F785" s="29" t="s">
        <v>129</v>
      </c>
      <c r="G785" s="29" t="s">
        <v>210</v>
      </c>
      <c r="H785" s="130">
        <v>45694</v>
      </c>
      <c r="I785" s="130">
        <f t="shared" si="4"/>
        <v>45699</v>
      </c>
      <c r="J785" s="130">
        <v>45729</v>
      </c>
      <c r="K785" s="158"/>
      <c r="L785" s="129" t="s">
        <v>414</v>
      </c>
      <c r="M785" s="158"/>
      <c r="N785" s="164"/>
      <c r="O785" s="29" t="s">
        <v>504</v>
      </c>
      <c r="P785" s="133"/>
    </row>
    <row r="786" spans="1:16" hidden="1">
      <c r="A786" s="29" t="s">
        <v>493</v>
      </c>
      <c r="B786" s="29">
        <v>41509811</v>
      </c>
      <c r="C786" s="29"/>
      <c r="E786" s="29"/>
      <c r="F786" s="29" t="s">
        <v>129</v>
      </c>
      <c r="G786" s="29" t="s">
        <v>210</v>
      </c>
      <c r="H786" s="130">
        <v>45694</v>
      </c>
      <c r="I786" s="130">
        <f t="shared" si="4"/>
        <v>45699</v>
      </c>
      <c r="J786" s="130">
        <v>45729</v>
      </c>
      <c r="K786" s="158"/>
      <c r="L786" s="129" t="s">
        <v>414</v>
      </c>
      <c r="M786" s="158"/>
      <c r="N786" s="164"/>
      <c r="O786" s="29" t="s">
        <v>503</v>
      </c>
      <c r="P786" s="133"/>
    </row>
    <row r="787" spans="1:16" hidden="1">
      <c r="A787" s="29" t="s">
        <v>493</v>
      </c>
      <c r="B787" s="29">
        <v>41509791</v>
      </c>
      <c r="C787" s="29"/>
      <c r="E787" s="29"/>
      <c r="F787" s="29" t="s">
        <v>129</v>
      </c>
      <c r="G787" s="29" t="s">
        <v>210</v>
      </c>
      <c r="H787" s="130">
        <v>45694</v>
      </c>
      <c r="I787" s="130">
        <f t="shared" si="4"/>
        <v>45699</v>
      </c>
      <c r="J787" s="130">
        <v>45729</v>
      </c>
      <c r="K787" s="158"/>
      <c r="L787" s="129" t="s">
        <v>414</v>
      </c>
      <c r="M787" s="158"/>
      <c r="N787" s="164"/>
      <c r="O787" s="29" t="s">
        <v>502</v>
      </c>
      <c r="P787" s="133"/>
    </row>
    <row r="788" spans="1:16" hidden="1">
      <c r="A788" s="29" t="s">
        <v>482</v>
      </c>
      <c r="B788" s="29">
        <v>36501266</v>
      </c>
      <c r="C788" s="29"/>
      <c r="E788" s="29"/>
      <c r="F788" s="29" t="s">
        <v>129</v>
      </c>
      <c r="G788" s="29" t="s">
        <v>210</v>
      </c>
      <c r="H788" s="130">
        <v>45694</v>
      </c>
      <c r="I788" s="130">
        <f t="shared" si="4"/>
        <v>45699</v>
      </c>
      <c r="J788" s="130">
        <v>45729</v>
      </c>
      <c r="K788" s="158"/>
      <c r="L788" s="129" t="s">
        <v>414</v>
      </c>
      <c r="M788" s="158"/>
      <c r="N788" s="164"/>
      <c r="O788" s="29" t="s">
        <v>318</v>
      </c>
      <c r="P788" s="133"/>
    </row>
    <row r="789" spans="1:16" hidden="1">
      <c r="A789" s="29" t="s">
        <v>505</v>
      </c>
      <c r="B789" s="29">
        <v>39500386</v>
      </c>
      <c r="C789" s="29"/>
      <c r="E789" s="29"/>
      <c r="F789" s="29" t="s">
        <v>129</v>
      </c>
      <c r="G789" s="29" t="s">
        <v>506</v>
      </c>
      <c r="H789" s="130">
        <v>45694</v>
      </c>
      <c r="I789" s="130">
        <f t="shared" si="4"/>
        <v>45699</v>
      </c>
      <c r="J789" s="130">
        <v>45729</v>
      </c>
      <c r="K789" s="130"/>
      <c r="L789" s="129" t="s">
        <v>414</v>
      </c>
      <c r="M789" s="130"/>
      <c r="N789" s="145"/>
      <c r="O789" s="29" t="s">
        <v>507</v>
      </c>
      <c r="P789" s="133"/>
    </row>
    <row r="790" spans="1:16" hidden="1">
      <c r="A790" s="29" t="s">
        <v>505</v>
      </c>
      <c r="B790" s="29">
        <v>39500383</v>
      </c>
      <c r="C790" s="29"/>
      <c r="E790" s="29"/>
      <c r="F790" s="29" t="s">
        <v>129</v>
      </c>
      <c r="G790" s="29" t="s">
        <v>506</v>
      </c>
      <c r="H790" s="130">
        <v>45694</v>
      </c>
      <c r="I790" s="130">
        <f t="shared" si="4"/>
        <v>45699</v>
      </c>
      <c r="J790" s="130">
        <v>45729</v>
      </c>
      <c r="K790" s="130"/>
      <c r="L790" s="129" t="s">
        <v>414</v>
      </c>
      <c r="M790" s="130"/>
      <c r="N790" s="145"/>
      <c r="O790" s="29" t="s">
        <v>508</v>
      </c>
      <c r="P790" s="133"/>
    </row>
    <row r="791" spans="1:16" hidden="1">
      <c r="A791" s="29" t="s">
        <v>505</v>
      </c>
      <c r="B791" s="29">
        <v>39500377</v>
      </c>
      <c r="C791" s="29"/>
      <c r="E791" s="29"/>
      <c r="F791" s="29" t="s">
        <v>129</v>
      </c>
      <c r="G791" s="29" t="s">
        <v>506</v>
      </c>
      <c r="H791" s="130">
        <v>45694</v>
      </c>
      <c r="I791" s="130">
        <f t="shared" si="4"/>
        <v>45699</v>
      </c>
      <c r="J791" s="130">
        <v>45729</v>
      </c>
      <c r="K791" s="130"/>
      <c r="L791" s="129" t="s">
        <v>414</v>
      </c>
      <c r="M791" s="130"/>
      <c r="N791" s="145"/>
      <c r="O791" s="29" t="s">
        <v>509</v>
      </c>
      <c r="P791" s="133"/>
    </row>
    <row r="792" spans="1:16" hidden="1">
      <c r="A792" s="29" t="s">
        <v>510</v>
      </c>
      <c r="B792" s="29">
        <v>38505536</v>
      </c>
      <c r="C792" s="29"/>
      <c r="E792" s="29"/>
      <c r="F792" s="29" t="s">
        <v>129</v>
      </c>
      <c r="G792" s="29" t="s">
        <v>385</v>
      </c>
      <c r="H792" s="130">
        <v>45695</v>
      </c>
      <c r="I792" s="130">
        <f t="shared" si="4"/>
        <v>45700</v>
      </c>
      <c r="J792" s="130"/>
      <c r="K792" s="130"/>
      <c r="L792" s="129" t="s">
        <v>414</v>
      </c>
      <c r="M792" s="130"/>
      <c r="N792" s="145"/>
      <c r="O792" s="29" t="s">
        <v>511</v>
      </c>
      <c r="P792" s="133"/>
    </row>
    <row r="793" spans="1:16" hidden="1">
      <c r="A793" s="29" t="s">
        <v>510</v>
      </c>
      <c r="B793" s="29">
        <v>38505300</v>
      </c>
      <c r="C793" s="29"/>
      <c r="E793" s="29"/>
      <c r="F793" s="29" t="s">
        <v>129</v>
      </c>
      <c r="G793" s="29" t="s">
        <v>385</v>
      </c>
      <c r="H793" s="130">
        <v>45695</v>
      </c>
      <c r="I793" s="130">
        <f t="shared" si="4"/>
        <v>45700</v>
      </c>
      <c r="J793" s="130"/>
      <c r="K793" s="130"/>
      <c r="L793" s="129" t="s">
        <v>414</v>
      </c>
      <c r="M793" s="130"/>
      <c r="N793" s="145"/>
      <c r="O793" s="29" t="s">
        <v>511</v>
      </c>
      <c r="P793" s="133"/>
    </row>
    <row r="794" spans="1:16" hidden="1">
      <c r="A794" s="29" t="s">
        <v>510</v>
      </c>
      <c r="B794" s="29">
        <v>38505266</v>
      </c>
      <c r="C794" s="29"/>
      <c r="E794" s="29"/>
      <c r="F794" s="29" t="s">
        <v>129</v>
      </c>
      <c r="G794" s="29" t="s">
        <v>385</v>
      </c>
      <c r="H794" s="130">
        <v>45695</v>
      </c>
      <c r="I794" s="130">
        <f t="shared" si="4"/>
        <v>45700</v>
      </c>
      <c r="J794" s="130"/>
      <c r="K794" s="130"/>
      <c r="L794" s="129" t="s">
        <v>414</v>
      </c>
      <c r="M794" s="130"/>
      <c r="N794" s="145"/>
      <c r="O794" s="29" t="s">
        <v>511</v>
      </c>
      <c r="P794" s="133"/>
    </row>
    <row r="795" spans="1:16" hidden="1">
      <c r="A795" s="29" t="s">
        <v>510</v>
      </c>
      <c r="B795" s="29">
        <v>38505238</v>
      </c>
      <c r="C795" s="29"/>
      <c r="E795" s="29"/>
      <c r="F795" s="29" t="s">
        <v>129</v>
      </c>
      <c r="G795" s="29" t="s">
        <v>385</v>
      </c>
      <c r="H795" s="130">
        <v>45695</v>
      </c>
      <c r="I795" s="130">
        <f t="shared" si="4"/>
        <v>45700</v>
      </c>
      <c r="J795" s="130"/>
      <c r="K795" s="130"/>
      <c r="L795" s="129" t="s">
        <v>414</v>
      </c>
      <c r="M795" s="130"/>
      <c r="N795" s="145"/>
      <c r="O795" s="29" t="s">
        <v>511</v>
      </c>
      <c r="P795" s="133"/>
    </row>
    <row r="796" spans="1:16" hidden="1">
      <c r="A796" s="29" t="s">
        <v>510</v>
      </c>
      <c r="B796" s="29">
        <v>38505158</v>
      </c>
      <c r="C796" s="29"/>
      <c r="E796" s="29"/>
      <c r="F796" s="29" t="s">
        <v>129</v>
      </c>
      <c r="G796" s="29" t="s">
        <v>385</v>
      </c>
      <c r="H796" s="130">
        <v>45695</v>
      </c>
      <c r="I796" s="130">
        <f t="shared" si="4"/>
        <v>45700</v>
      </c>
      <c r="J796" s="130"/>
      <c r="K796" s="130"/>
      <c r="L796" s="129" t="s">
        <v>414</v>
      </c>
      <c r="M796" s="130"/>
      <c r="N796" s="145"/>
      <c r="O796" s="29" t="s">
        <v>512</v>
      </c>
      <c r="P796" s="133"/>
    </row>
    <row r="797" spans="1:16" hidden="1">
      <c r="A797" s="29" t="s">
        <v>510</v>
      </c>
      <c r="B797" s="29">
        <v>38505119</v>
      </c>
      <c r="C797" s="29"/>
      <c r="E797" s="29"/>
      <c r="F797" s="29" t="s">
        <v>129</v>
      </c>
      <c r="G797" s="29" t="s">
        <v>385</v>
      </c>
      <c r="H797" s="130">
        <v>45695</v>
      </c>
      <c r="I797" s="130">
        <f t="shared" si="4"/>
        <v>45700</v>
      </c>
      <c r="J797" s="130"/>
      <c r="K797" s="130"/>
      <c r="L797" s="129" t="s">
        <v>414</v>
      </c>
      <c r="M797" s="130"/>
      <c r="N797" s="145"/>
      <c r="O797" s="29" t="s">
        <v>513</v>
      </c>
      <c r="P797" s="133"/>
    </row>
    <row r="798" spans="1:16" hidden="1">
      <c r="A798" s="29" t="s">
        <v>510</v>
      </c>
      <c r="B798" s="29">
        <v>38505007</v>
      </c>
      <c r="C798" s="29"/>
      <c r="E798" s="29"/>
      <c r="F798" s="29" t="s">
        <v>129</v>
      </c>
      <c r="G798" s="29" t="s">
        <v>385</v>
      </c>
      <c r="H798" s="130">
        <v>45695</v>
      </c>
      <c r="I798" s="130">
        <f t="shared" si="4"/>
        <v>45700</v>
      </c>
      <c r="J798" s="130"/>
      <c r="K798" s="130"/>
      <c r="L798" s="129" t="s">
        <v>414</v>
      </c>
      <c r="M798" s="130"/>
      <c r="N798" s="145"/>
      <c r="O798" s="29" t="s">
        <v>514</v>
      </c>
      <c r="P798" s="133"/>
    </row>
    <row r="799" spans="1:16" hidden="1">
      <c r="A799" s="29" t="s">
        <v>510</v>
      </c>
      <c r="B799" s="29">
        <v>38504963</v>
      </c>
      <c r="C799" s="29"/>
      <c r="E799" s="29"/>
      <c r="F799" s="29" t="s">
        <v>129</v>
      </c>
      <c r="G799" s="29" t="s">
        <v>385</v>
      </c>
      <c r="H799" s="130">
        <v>45695</v>
      </c>
      <c r="I799" s="130">
        <f t="shared" si="4"/>
        <v>45700</v>
      </c>
      <c r="J799" s="130"/>
      <c r="K799" s="130"/>
      <c r="L799" s="129" t="s">
        <v>414</v>
      </c>
      <c r="M799" s="130"/>
      <c r="N799" s="145"/>
      <c r="O799" s="29" t="s">
        <v>515</v>
      </c>
      <c r="P799" s="133"/>
    </row>
    <row r="800" spans="1:16" hidden="1">
      <c r="A800" s="29" t="s">
        <v>510</v>
      </c>
      <c r="B800" s="29">
        <v>38504886</v>
      </c>
      <c r="C800" s="29"/>
      <c r="E800" s="29"/>
      <c r="F800" s="29" t="s">
        <v>129</v>
      </c>
      <c r="G800" s="29" t="s">
        <v>385</v>
      </c>
      <c r="H800" s="130">
        <v>45695</v>
      </c>
      <c r="I800" s="130">
        <f t="shared" si="4"/>
        <v>45700</v>
      </c>
      <c r="J800" s="130"/>
      <c r="K800" s="130"/>
      <c r="L800" s="129" t="s">
        <v>414</v>
      </c>
      <c r="M800" s="130"/>
      <c r="N800" s="145"/>
      <c r="O800" s="29" t="s">
        <v>516</v>
      </c>
      <c r="P800" s="133"/>
    </row>
    <row r="801" spans="1:16" hidden="1">
      <c r="A801" s="29" t="s">
        <v>510</v>
      </c>
      <c r="B801" s="29">
        <v>38504796</v>
      </c>
      <c r="C801" s="29"/>
      <c r="E801" s="29"/>
      <c r="F801" s="29" t="s">
        <v>129</v>
      </c>
      <c r="G801" s="29" t="s">
        <v>385</v>
      </c>
      <c r="H801" s="130">
        <v>45695</v>
      </c>
      <c r="I801" s="130">
        <f t="shared" si="4"/>
        <v>45700</v>
      </c>
      <c r="J801" s="130"/>
      <c r="K801" s="130"/>
      <c r="L801" s="129" t="s">
        <v>414</v>
      </c>
      <c r="M801" s="130"/>
      <c r="N801" s="145"/>
      <c r="O801" s="29" t="s">
        <v>517</v>
      </c>
      <c r="P801" s="133"/>
    </row>
    <row r="802" spans="1:16" hidden="1">
      <c r="A802" s="29" t="s">
        <v>510</v>
      </c>
      <c r="B802" s="29">
        <v>38504725</v>
      </c>
      <c r="C802" s="29"/>
      <c r="E802" s="29"/>
      <c r="F802" s="29" t="s">
        <v>129</v>
      </c>
      <c r="G802" s="29" t="s">
        <v>385</v>
      </c>
      <c r="H802" s="130">
        <v>45695</v>
      </c>
      <c r="I802" s="130">
        <f t="shared" si="4"/>
        <v>45700</v>
      </c>
      <c r="J802" s="130"/>
      <c r="K802" s="130"/>
      <c r="L802" s="129" t="s">
        <v>414</v>
      </c>
      <c r="M802" s="130"/>
      <c r="N802" s="145"/>
      <c r="O802" s="29" t="s">
        <v>518</v>
      </c>
      <c r="P802" s="133"/>
    </row>
    <row r="803" spans="1:16" hidden="1">
      <c r="A803" s="29" t="s">
        <v>510</v>
      </c>
      <c r="B803" s="29">
        <v>38504674</v>
      </c>
      <c r="C803" s="29"/>
      <c r="E803" s="29"/>
      <c r="F803" s="29" t="s">
        <v>129</v>
      </c>
      <c r="G803" s="29" t="s">
        <v>385</v>
      </c>
      <c r="H803" s="130">
        <v>45695</v>
      </c>
      <c r="I803" s="130">
        <f t="shared" si="4"/>
        <v>45700</v>
      </c>
      <c r="J803" s="130"/>
      <c r="K803" s="130"/>
      <c r="L803" s="129" t="s">
        <v>414</v>
      </c>
      <c r="M803" s="130"/>
      <c r="N803" s="145"/>
      <c r="O803" s="29" t="s">
        <v>519</v>
      </c>
      <c r="P803" s="133"/>
    </row>
    <row r="804" spans="1:16" hidden="1">
      <c r="A804" s="29" t="s">
        <v>510</v>
      </c>
      <c r="B804" s="29">
        <v>38504585</v>
      </c>
      <c r="C804" s="29"/>
      <c r="E804" s="29"/>
      <c r="F804" s="29" t="s">
        <v>129</v>
      </c>
      <c r="G804" s="29" t="s">
        <v>385</v>
      </c>
      <c r="H804" s="130">
        <v>45695</v>
      </c>
      <c r="I804" s="130">
        <f t="shared" si="4"/>
        <v>45700</v>
      </c>
      <c r="J804" s="130"/>
      <c r="K804" s="130"/>
      <c r="L804" s="129" t="s">
        <v>414</v>
      </c>
      <c r="M804" s="130"/>
      <c r="N804" s="145"/>
      <c r="O804" s="29" t="s">
        <v>520</v>
      </c>
      <c r="P804" s="133"/>
    </row>
    <row r="805" spans="1:16" hidden="1">
      <c r="A805" s="29" t="s">
        <v>521</v>
      </c>
      <c r="B805" s="29">
        <v>38503182</v>
      </c>
      <c r="C805" s="29"/>
      <c r="E805" s="29"/>
      <c r="F805" s="29" t="s">
        <v>129</v>
      </c>
      <c r="G805" s="29" t="s">
        <v>506</v>
      </c>
      <c r="H805" s="130">
        <v>45694</v>
      </c>
      <c r="I805" s="130">
        <f t="shared" si="4"/>
        <v>45699</v>
      </c>
      <c r="J805" s="130">
        <v>45723</v>
      </c>
      <c r="K805" s="130"/>
      <c r="L805" s="129" t="s">
        <v>522</v>
      </c>
      <c r="M805" s="130"/>
      <c r="N805" s="145"/>
      <c r="O805" s="29" t="s">
        <v>523</v>
      </c>
      <c r="P805" s="133"/>
    </row>
    <row r="806" spans="1:16" hidden="1">
      <c r="A806" s="29" t="s">
        <v>521</v>
      </c>
      <c r="B806" s="29">
        <v>38503161</v>
      </c>
      <c r="C806" s="29"/>
      <c r="E806" s="29"/>
      <c r="F806" s="29" t="s">
        <v>129</v>
      </c>
      <c r="G806" s="29" t="s">
        <v>506</v>
      </c>
      <c r="H806" s="130">
        <v>45694</v>
      </c>
      <c r="I806" s="130">
        <f t="shared" si="4"/>
        <v>45699</v>
      </c>
      <c r="J806" s="130">
        <v>45723</v>
      </c>
      <c r="K806" s="130"/>
      <c r="L806" s="129" t="s">
        <v>522</v>
      </c>
      <c r="M806" s="130"/>
      <c r="N806" s="145"/>
      <c r="O806" s="29" t="s">
        <v>524</v>
      </c>
      <c r="P806" s="133"/>
    </row>
    <row r="807" spans="1:16" hidden="1">
      <c r="A807" s="29" t="s">
        <v>521</v>
      </c>
      <c r="B807" s="29">
        <v>38503146</v>
      </c>
      <c r="C807" s="29"/>
      <c r="E807" s="29"/>
      <c r="F807" s="29" t="s">
        <v>129</v>
      </c>
      <c r="G807" s="29" t="s">
        <v>506</v>
      </c>
      <c r="H807" s="130">
        <v>45694</v>
      </c>
      <c r="I807" s="130">
        <f t="shared" si="4"/>
        <v>45699</v>
      </c>
      <c r="J807" s="130">
        <v>45723</v>
      </c>
      <c r="K807" s="130"/>
      <c r="L807" s="129" t="s">
        <v>522</v>
      </c>
      <c r="M807" s="130"/>
      <c r="N807" s="145"/>
      <c r="O807" s="29" t="s">
        <v>525</v>
      </c>
      <c r="P807" s="133"/>
    </row>
    <row r="808" spans="1:16" hidden="1">
      <c r="A808" s="29" t="s">
        <v>521</v>
      </c>
      <c r="B808" s="165">
        <v>57508208</v>
      </c>
      <c r="C808" s="165"/>
      <c r="E808" s="165"/>
      <c r="F808" s="29" t="s">
        <v>129</v>
      </c>
      <c r="G808" s="29" t="s">
        <v>526</v>
      </c>
      <c r="H808" s="130">
        <v>45694</v>
      </c>
      <c r="I808" s="130">
        <f t="shared" si="4"/>
        <v>45699</v>
      </c>
      <c r="J808" s="130">
        <v>45723</v>
      </c>
      <c r="K808" s="130"/>
      <c r="L808" s="129" t="s">
        <v>522</v>
      </c>
      <c r="M808" s="130"/>
      <c r="N808" s="145"/>
      <c r="O808" s="29" t="s">
        <v>525</v>
      </c>
      <c r="P808" s="133"/>
    </row>
    <row r="809" spans="1:16" hidden="1">
      <c r="A809" s="29" t="s">
        <v>521</v>
      </c>
      <c r="B809" s="165">
        <v>57508119</v>
      </c>
      <c r="C809" s="165"/>
      <c r="E809" s="165"/>
      <c r="F809" s="29" t="s">
        <v>129</v>
      </c>
      <c r="G809" s="29" t="s">
        <v>526</v>
      </c>
      <c r="H809" s="130">
        <v>45694</v>
      </c>
      <c r="I809" s="130">
        <f t="shared" si="4"/>
        <v>45699</v>
      </c>
      <c r="J809" s="130">
        <v>45723</v>
      </c>
      <c r="K809" s="130"/>
      <c r="L809" s="129" t="s">
        <v>522</v>
      </c>
      <c r="M809" s="130"/>
      <c r="N809" s="145"/>
      <c r="O809" s="29" t="s">
        <v>527</v>
      </c>
      <c r="P809" s="133"/>
    </row>
    <row r="810" spans="1:16" hidden="1">
      <c r="A810" s="29" t="s">
        <v>521</v>
      </c>
      <c r="B810" s="165">
        <v>57508133</v>
      </c>
      <c r="C810" s="165"/>
      <c r="E810" s="165"/>
      <c r="F810" s="29" t="s">
        <v>129</v>
      </c>
      <c r="G810" s="29" t="s">
        <v>526</v>
      </c>
      <c r="H810" s="130">
        <v>45694</v>
      </c>
      <c r="I810" s="130">
        <f t="shared" si="4"/>
        <v>45699</v>
      </c>
      <c r="J810" s="130">
        <v>45723</v>
      </c>
      <c r="K810" s="130"/>
      <c r="L810" s="129" t="s">
        <v>522</v>
      </c>
      <c r="M810" s="130"/>
      <c r="N810" s="145"/>
      <c r="O810" s="29" t="s">
        <v>528</v>
      </c>
      <c r="P810" s="133"/>
    </row>
    <row r="811" spans="1:16" hidden="1">
      <c r="A811" s="29" t="s">
        <v>521</v>
      </c>
      <c r="B811" s="165">
        <v>57508152</v>
      </c>
      <c r="C811" s="165"/>
      <c r="E811" s="165"/>
      <c r="F811" s="29" t="s">
        <v>129</v>
      </c>
      <c r="G811" s="29" t="s">
        <v>526</v>
      </c>
      <c r="H811" s="130">
        <v>45694</v>
      </c>
      <c r="I811" s="130">
        <f t="shared" si="4"/>
        <v>45699</v>
      </c>
      <c r="J811" s="130">
        <v>45723</v>
      </c>
      <c r="K811" s="130"/>
      <c r="L811" s="129" t="s">
        <v>522</v>
      </c>
      <c r="M811" s="130"/>
      <c r="N811" s="145"/>
      <c r="O811" s="29" t="s">
        <v>529</v>
      </c>
      <c r="P811" s="133"/>
    </row>
    <row r="812" spans="1:16" hidden="1">
      <c r="A812" s="29" t="s">
        <v>521</v>
      </c>
      <c r="B812" s="165">
        <v>57508179</v>
      </c>
      <c r="C812" s="165"/>
      <c r="E812" s="165"/>
      <c r="F812" s="29" t="s">
        <v>129</v>
      </c>
      <c r="G812" s="29" t="s">
        <v>526</v>
      </c>
      <c r="H812" s="130">
        <v>45694</v>
      </c>
      <c r="I812" s="130">
        <f t="shared" si="4"/>
        <v>45699</v>
      </c>
      <c r="J812" s="130">
        <v>45723</v>
      </c>
      <c r="K812" s="130"/>
      <c r="L812" s="129" t="s">
        <v>522</v>
      </c>
      <c r="M812" s="130"/>
      <c r="N812" s="145"/>
      <c r="O812" s="29" t="s">
        <v>529</v>
      </c>
      <c r="P812" s="133"/>
    </row>
    <row r="813" spans="1:16" hidden="1">
      <c r="A813" s="29" t="s">
        <v>336</v>
      </c>
      <c r="B813" s="29">
        <v>36508918</v>
      </c>
      <c r="C813" s="29"/>
      <c r="E813" s="29"/>
      <c r="F813" s="29" t="s">
        <v>129</v>
      </c>
      <c r="G813" s="157" t="s">
        <v>337</v>
      </c>
      <c r="H813" s="130">
        <v>45694</v>
      </c>
      <c r="I813" s="130">
        <f t="shared" si="4"/>
        <v>45699</v>
      </c>
      <c r="J813" s="130"/>
      <c r="K813" s="130"/>
      <c r="L813" s="129" t="s">
        <v>414</v>
      </c>
      <c r="M813" s="130"/>
      <c r="N813" s="145"/>
      <c r="O813" s="29" t="s">
        <v>530</v>
      </c>
      <c r="P813" s="133"/>
    </row>
    <row r="814" spans="1:16" hidden="1">
      <c r="A814" s="29" t="s">
        <v>336</v>
      </c>
      <c r="B814" s="29">
        <v>37508575</v>
      </c>
      <c r="C814" s="29"/>
      <c r="E814" s="29"/>
      <c r="F814" s="29" t="s">
        <v>129</v>
      </c>
      <c r="G814" s="157" t="s">
        <v>337</v>
      </c>
      <c r="H814" s="130">
        <v>45694</v>
      </c>
      <c r="I814" s="130">
        <f t="shared" si="4"/>
        <v>45699</v>
      </c>
      <c r="J814" s="130"/>
      <c r="K814" s="130"/>
      <c r="L814" s="129" t="s">
        <v>414</v>
      </c>
      <c r="M814" s="130"/>
      <c r="N814" s="145"/>
      <c r="O814" s="29" t="s">
        <v>339</v>
      </c>
      <c r="P814" s="133"/>
    </row>
    <row r="815" spans="1:16" hidden="1">
      <c r="A815" s="29" t="s">
        <v>336</v>
      </c>
      <c r="B815" s="29">
        <v>37508561</v>
      </c>
      <c r="C815" s="29"/>
      <c r="E815" s="29"/>
      <c r="F815" s="29" t="s">
        <v>129</v>
      </c>
      <c r="G815" s="157" t="s">
        <v>337</v>
      </c>
      <c r="H815" s="130">
        <v>45694</v>
      </c>
      <c r="I815" s="130">
        <f t="shared" si="4"/>
        <v>45699</v>
      </c>
      <c r="J815" s="130"/>
      <c r="K815" s="130"/>
      <c r="L815" s="129" t="s">
        <v>414</v>
      </c>
      <c r="M815" s="130"/>
      <c r="N815" s="145"/>
      <c r="O815" s="29" t="s">
        <v>338</v>
      </c>
      <c r="P815" s="133"/>
    </row>
    <row r="816" spans="1:16" hidden="1">
      <c r="A816" s="29" t="s">
        <v>336</v>
      </c>
      <c r="B816" s="29">
        <v>37508541</v>
      </c>
      <c r="C816" s="29"/>
      <c r="E816" s="29"/>
      <c r="F816" s="29" t="s">
        <v>129</v>
      </c>
      <c r="G816" s="157" t="s">
        <v>337</v>
      </c>
      <c r="H816" s="130">
        <v>45694</v>
      </c>
      <c r="I816" s="130">
        <f t="shared" si="4"/>
        <v>45699</v>
      </c>
      <c r="J816" s="130"/>
      <c r="K816" s="130"/>
      <c r="L816" s="129" t="s">
        <v>414</v>
      </c>
      <c r="M816" s="130"/>
      <c r="N816" s="145"/>
      <c r="O816" s="29" t="s">
        <v>530</v>
      </c>
      <c r="P816" s="133"/>
    </row>
    <row r="817" spans="1:16" hidden="1">
      <c r="A817" s="29" t="s">
        <v>336</v>
      </c>
      <c r="B817" s="29">
        <v>37508522</v>
      </c>
      <c r="C817" s="29"/>
      <c r="E817" s="29"/>
      <c r="F817" s="29" t="s">
        <v>129</v>
      </c>
      <c r="G817" s="157" t="s">
        <v>337</v>
      </c>
      <c r="H817" s="130">
        <v>45694</v>
      </c>
      <c r="I817" s="130">
        <f t="shared" si="4"/>
        <v>45699</v>
      </c>
      <c r="J817" s="130"/>
      <c r="K817" s="130"/>
      <c r="L817" s="129" t="s">
        <v>414</v>
      </c>
      <c r="M817" s="130"/>
      <c r="N817" s="145"/>
      <c r="O817" s="29" t="s">
        <v>342</v>
      </c>
      <c r="P817" s="133"/>
    </row>
    <row r="818" spans="1:16" hidden="1">
      <c r="A818" s="29" t="s">
        <v>144</v>
      </c>
      <c r="B818" s="29">
        <v>37508488</v>
      </c>
      <c r="C818" s="29"/>
      <c r="E818" s="29"/>
      <c r="F818" s="29" t="s">
        <v>129</v>
      </c>
      <c r="G818" s="29" t="s">
        <v>145</v>
      </c>
      <c r="H818" s="130">
        <v>45694</v>
      </c>
      <c r="I818" s="130">
        <f t="shared" si="4"/>
        <v>45699</v>
      </c>
      <c r="J818" s="130"/>
      <c r="K818" s="130">
        <v>45701</v>
      </c>
      <c r="L818" s="129" t="s">
        <v>10</v>
      </c>
      <c r="M818" s="162"/>
      <c r="N818" s="163"/>
      <c r="O818" s="29" t="s">
        <v>531</v>
      </c>
      <c r="P818" s="133"/>
    </row>
    <row r="819" spans="1:16" hidden="1">
      <c r="A819" s="29" t="s">
        <v>336</v>
      </c>
      <c r="B819" s="29">
        <v>37508476</v>
      </c>
      <c r="C819" s="29"/>
      <c r="E819" s="29"/>
      <c r="F819" s="29" t="s">
        <v>129</v>
      </c>
      <c r="G819" s="157" t="s">
        <v>337</v>
      </c>
      <c r="H819" s="130">
        <v>45694</v>
      </c>
      <c r="I819" s="130">
        <f t="shared" si="4"/>
        <v>45699</v>
      </c>
      <c r="J819" s="130"/>
      <c r="K819" s="130"/>
      <c r="L819" s="129" t="s">
        <v>414</v>
      </c>
      <c r="M819" s="130"/>
      <c r="N819" s="145"/>
      <c r="O819" s="29" t="s">
        <v>343</v>
      </c>
      <c r="P819" s="133"/>
    </row>
    <row r="820" spans="1:16" hidden="1">
      <c r="A820" s="41" t="s">
        <v>452</v>
      </c>
      <c r="B820" s="41">
        <v>35505986</v>
      </c>
      <c r="C820" s="41"/>
      <c r="E820" s="41"/>
      <c r="F820" s="29" t="s">
        <v>129</v>
      </c>
      <c r="G820" s="157" t="s">
        <v>119</v>
      </c>
      <c r="H820" s="158">
        <v>45695</v>
      </c>
      <c r="I820" s="130">
        <f t="shared" si="4"/>
        <v>45700</v>
      </c>
      <c r="J820" s="158"/>
      <c r="K820" s="130">
        <v>45698</v>
      </c>
      <c r="L820" s="129" t="s">
        <v>10</v>
      </c>
      <c r="M820" s="162"/>
      <c r="N820" s="163"/>
      <c r="O820" s="159"/>
      <c r="P820" s="133"/>
    </row>
    <row r="821" spans="1:16" hidden="1">
      <c r="A821" s="41" t="s">
        <v>452</v>
      </c>
      <c r="B821" s="41">
        <v>35506054</v>
      </c>
      <c r="C821" s="41"/>
      <c r="E821" s="41"/>
      <c r="F821" s="29" t="s">
        <v>129</v>
      </c>
      <c r="G821" s="157" t="s">
        <v>119</v>
      </c>
      <c r="H821" s="158">
        <v>45695</v>
      </c>
      <c r="I821" s="130">
        <f t="shared" si="4"/>
        <v>45700</v>
      </c>
      <c r="J821" s="158"/>
      <c r="K821" s="130">
        <v>45698</v>
      </c>
      <c r="L821" s="129" t="s">
        <v>10</v>
      </c>
      <c r="M821" s="162"/>
      <c r="N821" s="163"/>
      <c r="O821" s="159"/>
      <c r="P821" s="133"/>
    </row>
    <row r="822" spans="1:16" hidden="1">
      <c r="A822" s="41" t="s">
        <v>452</v>
      </c>
      <c r="B822" s="41">
        <v>35506111</v>
      </c>
      <c r="C822" s="41"/>
      <c r="E822" s="41"/>
      <c r="F822" s="29" t="s">
        <v>129</v>
      </c>
      <c r="G822" s="157" t="s">
        <v>119</v>
      </c>
      <c r="H822" s="158">
        <v>45695</v>
      </c>
      <c r="I822" s="130">
        <f t="shared" si="4"/>
        <v>45700</v>
      </c>
      <c r="J822" s="158"/>
      <c r="K822" s="158">
        <v>45717</v>
      </c>
      <c r="L822" s="129" t="s">
        <v>10</v>
      </c>
      <c r="M822" s="162"/>
      <c r="N822" s="163"/>
      <c r="O822" s="159"/>
      <c r="P822" s="133"/>
    </row>
    <row r="823" spans="1:16" hidden="1">
      <c r="A823" s="41" t="s">
        <v>452</v>
      </c>
      <c r="B823" s="41">
        <v>35506159</v>
      </c>
      <c r="C823" s="41"/>
      <c r="E823" s="41"/>
      <c r="F823" s="29" t="s">
        <v>129</v>
      </c>
      <c r="G823" s="157" t="s">
        <v>119</v>
      </c>
      <c r="H823" s="158">
        <v>45695</v>
      </c>
      <c r="I823" s="130">
        <f t="shared" si="4"/>
        <v>45700</v>
      </c>
      <c r="J823" s="158"/>
      <c r="K823" s="130">
        <v>45701</v>
      </c>
      <c r="L823" s="129" t="s">
        <v>10</v>
      </c>
      <c r="M823" s="162"/>
      <c r="N823" s="163"/>
      <c r="O823" s="159"/>
      <c r="P823" s="133"/>
    </row>
    <row r="824" spans="1:16" hidden="1">
      <c r="A824" s="41" t="s">
        <v>452</v>
      </c>
      <c r="B824" s="41">
        <v>35506199</v>
      </c>
      <c r="C824" s="41"/>
      <c r="E824" s="41"/>
      <c r="F824" s="29" t="s">
        <v>129</v>
      </c>
      <c r="G824" s="157" t="s">
        <v>119</v>
      </c>
      <c r="H824" s="158">
        <v>45695</v>
      </c>
      <c r="I824" s="130">
        <f t="shared" si="4"/>
        <v>45700</v>
      </c>
      <c r="J824" s="158"/>
      <c r="K824" s="130">
        <v>45701</v>
      </c>
      <c r="L824" s="129" t="s">
        <v>10</v>
      </c>
      <c r="M824" s="162"/>
      <c r="N824" s="163"/>
      <c r="O824" s="159"/>
      <c r="P824" s="133"/>
    </row>
    <row r="825" spans="1:16" hidden="1">
      <c r="A825" s="41" t="s">
        <v>452</v>
      </c>
      <c r="B825" s="41">
        <v>35506238</v>
      </c>
      <c r="C825" s="41"/>
      <c r="E825" s="41"/>
      <c r="F825" s="29" t="s">
        <v>129</v>
      </c>
      <c r="G825" s="157" t="s">
        <v>119</v>
      </c>
      <c r="H825" s="158">
        <v>45695</v>
      </c>
      <c r="I825" s="130">
        <f t="shared" si="4"/>
        <v>45700</v>
      </c>
      <c r="J825" s="158"/>
      <c r="K825" s="130">
        <v>45698</v>
      </c>
      <c r="L825" s="129" t="s">
        <v>10</v>
      </c>
      <c r="M825" s="162"/>
      <c r="N825" s="163"/>
      <c r="O825" s="159"/>
      <c r="P825" s="133"/>
    </row>
    <row r="826" spans="1:16" hidden="1">
      <c r="A826" s="41" t="s">
        <v>510</v>
      </c>
      <c r="B826" s="41">
        <v>38504585</v>
      </c>
      <c r="C826" s="41"/>
      <c r="E826" s="41"/>
      <c r="F826" s="29" t="s">
        <v>129</v>
      </c>
      <c r="G826" s="157" t="s">
        <v>337</v>
      </c>
      <c r="H826" s="158">
        <v>45695</v>
      </c>
      <c r="I826" s="130">
        <f t="shared" si="4"/>
        <v>45700</v>
      </c>
      <c r="J826" s="158"/>
      <c r="K826" s="158"/>
      <c r="L826" s="129" t="s">
        <v>414</v>
      </c>
      <c r="M826" s="158"/>
      <c r="N826" s="164"/>
      <c r="O826" s="159"/>
      <c r="P826" s="133"/>
    </row>
    <row r="827" spans="1:16" hidden="1">
      <c r="A827" s="41" t="s">
        <v>510</v>
      </c>
      <c r="B827" s="41">
        <v>38504674</v>
      </c>
      <c r="C827" s="41"/>
      <c r="E827" s="41"/>
      <c r="F827" s="29" t="s">
        <v>129</v>
      </c>
      <c r="G827" s="157" t="s">
        <v>337</v>
      </c>
      <c r="H827" s="158">
        <v>45695</v>
      </c>
      <c r="I827" s="130">
        <f t="shared" si="4"/>
        <v>45700</v>
      </c>
      <c r="J827" s="158"/>
      <c r="K827" s="158"/>
      <c r="L827" s="129" t="s">
        <v>414</v>
      </c>
      <c r="M827" s="158"/>
      <c r="N827" s="164"/>
      <c r="O827" s="159"/>
      <c r="P827" s="133"/>
    </row>
    <row r="828" spans="1:16" hidden="1">
      <c r="A828" s="41" t="s">
        <v>510</v>
      </c>
      <c r="B828" s="41">
        <v>38504725</v>
      </c>
      <c r="C828" s="41"/>
      <c r="E828" s="41"/>
      <c r="F828" s="29" t="s">
        <v>129</v>
      </c>
      <c r="G828" s="157" t="s">
        <v>337</v>
      </c>
      <c r="H828" s="158">
        <v>45695</v>
      </c>
      <c r="I828" s="130">
        <f t="shared" si="4"/>
        <v>45700</v>
      </c>
      <c r="J828" s="158"/>
      <c r="K828" s="158"/>
      <c r="L828" s="129" t="s">
        <v>414</v>
      </c>
      <c r="M828" s="158"/>
      <c r="N828" s="164"/>
      <c r="O828" s="159"/>
      <c r="P828" s="133"/>
    </row>
    <row r="829" spans="1:16" hidden="1">
      <c r="A829" s="41" t="s">
        <v>510</v>
      </c>
      <c r="B829" s="41">
        <v>38504796</v>
      </c>
      <c r="C829" s="41"/>
      <c r="E829" s="41"/>
      <c r="F829" s="29" t="s">
        <v>129</v>
      </c>
      <c r="G829" s="157" t="s">
        <v>337</v>
      </c>
      <c r="H829" s="158">
        <v>45695</v>
      </c>
      <c r="I829" s="130">
        <f t="shared" si="4"/>
        <v>45700</v>
      </c>
      <c r="J829" s="158"/>
      <c r="K829" s="158"/>
      <c r="L829" s="129" t="s">
        <v>414</v>
      </c>
      <c r="M829" s="158"/>
      <c r="N829" s="164"/>
      <c r="O829" s="159"/>
      <c r="P829" s="133"/>
    </row>
    <row r="830" spans="1:16" hidden="1">
      <c r="A830" s="41" t="s">
        <v>510</v>
      </c>
      <c r="B830" s="41">
        <v>38504886</v>
      </c>
      <c r="C830" s="41"/>
      <c r="E830" s="41"/>
      <c r="F830" s="29" t="s">
        <v>129</v>
      </c>
      <c r="G830" s="157" t="s">
        <v>337</v>
      </c>
      <c r="H830" s="158">
        <v>45695</v>
      </c>
      <c r="I830" s="130">
        <f t="shared" si="4"/>
        <v>45700</v>
      </c>
      <c r="J830" s="158"/>
      <c r="K830" s="158"/>
      <c r="L830" s="129" t="s">
        <v>414</v>
      </c>
      <c r="M830" s="158"/>
      <c r="N830" s="164"/>
      <c r="O830" s="159"/>
      <c r="P830" s="133"/>
    </row>
    <row r="831" spans="1:16" hidden="1">
      <c r="A831" s="41" t="s">
        <v>510</v>
      </c>
      <c r="B831" s="41">
        <v>38504963</v>
      </c>
      <c r="C831" s="41"/>
      <c r="E831" s="41"/>
      <c r="F831" s="29" t="s">
        <v>129</v>
      </c>
      <c r="G831" s="157" t="s">
        <v>337</v>
      </c>
      <c r="H831" s="158">
        <v>45695</v>
      </c>
      <c r="I831" s="130">
        <f t="shared" si="4"/>
        <v>45700</v>
      </c>
      <c r="J831" s="158"/>
      <c r="K831" s="158"/>
      <c r="L831" s="129" t="s">
        <v>414</v>
      </c>
      <c r="M831" s="158"/>
      <c r="N831" s="164"/>
      <c r="O831" s="159"/>
      <c r="P831" s="133"/>
    </row>
    <row r="832" spans="1:16" hidden="1">
      <c r="A832" s="41" t="s">
        <v>510</v>
      </c>
      <c r="B832" s="41">
        <v>38505007</v>
      </c>
      <c r="C832" s="41"/>
      <c r="E832" s="41"/>
      <c r="F832" s="29" t="s">
        <v>129</v>
      </c>
      <c r="G832" s="157" t="s">
        <v>337</v>
      </c>
      <c r="H832" s="158">
        <v>45695</v>
      </c>
      <c r="I832" s="130">
        <f t="shared" si="4"/>
        <v>45700</v>
      </c>
      <c r="J832" s="158"/>
      <c r="K832" s="158"/>
      <c r="L832" s="129" t="s">
        <v>414</v>
      </c>
      <c r="M832" s="158"/>
      <c r="N832" s="164"/>
      <c r="O832" s="159"/>
      <c r="P832" s="133"/>
    </row>
    <row r="833" spans="1:16" hidden="1">
      <c r="A833" s="41" t="s">
        <v>510</v>
      </c>
      <c r="B833" s="41">
        <v>38505119</v>
      </c>
      <c r="C833" s="41"/>
      <c r="E833" s="41"/>
      <c r="F833" s="29" t="s">
        <v>129</v>
      </c>
      <c r="G833" s="157" t="s">
        <v>337</v>
      </c>
      <c r="H833" s="158">
        <v>45695</v>
      </c>
      <c r="I833" s="130">
        <f t="shared" si="4"/>
        <v>45700</v>
      </c>
      <c r="J833" s="158"/>
      <c r="K833" s="158"/>
      <c r="L833" s="129" t="s">
        <v>414</v>
      </c>
      <c r="M833" s="158"/>
      <c r="N833" s="164"/>
      <c r="O833" s="159"/>
      <c r="P833" s="133"/>
    </row>
    <row r="834" spans="1:16" hidden="1">
      <c r="A834" s="41" t="s">
        <v>510</v>
      </c>
      <c r="B834" s="41">
        <v>38505158</v>
      </c>
      <c r="C834" s="41"/>
      <c r="E834" s="41"/>
      <c r="F834" s="29" t="s">
        <v>129</v>
      </c>
      <c r="G834" s="157" t="s">
        <v>337</v>
      </c>
      <c r="H834" s="158">
        <v>45695</v>
      </c>
      <c r="I834" s="130">
        <f t="shared" si="4"/>
        <v>45700</v>
      </c>
      <c r="J834" s="158"/>
      <c r="K834" s="158"/>
      <c r="L834" s="129" t="s">
        <v>414</v>
      </c>
      <c r="M834" s="158"/>
      <c r="N834" s="164"/>
      <c r="O834" s="159"/>
      <c r="P834" s="133"/>
    </row>
    <row r="835" spans="1:16" hidden="1">
      <c r="A835" s="41" t="s">
        <v>510</v>
      </c>
      <c r="B835" s="41">
        <v>38505238</v>
      </c>
      <c r="C835" s="41"/>
      <c r="E835" s="41"/>
      <c r="F835" s="29" t="s">
        <v>129</v>
      </c>
      <c r="G835" s="157" t="s">
        <v>337</v>
      </c>
      <c r="H835" s="158">
        <v>45695</v>
      </c>
      <c r="I835" s="130">
        <f t="shared" si="4"/>
        <v>45700</v>
      </c>
      <c r="J835" s="158"/>
      <c r="K835" s="158"/>
      <c r="L835" s="129" t="s">
        <v>414</v>
      </c>
      <c r="M835" s="158"/>
      <c r="N835" s="164"/>
      <c r="O835" s="159"/>
      <c r="P835" s="133"/>
    </row>
    <row r="836" spans="1:16" hidden="1">
      <c r="A836" s="41" t="s">
        <v>510</v>
      </c>
      <c r="B836" s="41">
        <v>38505266</v>
      </c>
      <c r="C836" s="41"/>
      <c r="E836" s="41"/>
      <c r="F836" s="29" t="s">
        <v>129</v>
      </c>
      <c r="G836" s="157" t="s">
        <v>337</v>
      </c>
      <c r="H836" s="158">
        <v>45695</v>
      </c>
      <c r="I836" s="130">
        <f t="shared" si="4"/>
        <v>45700</v>
      </c>
      <c r="J836" s="158"/>
      <c r="K836" s="158"/>
      <c r="L836" s="129" t="s">
        <v>414</v>
      </c>
      <c r="M836" s="158"/>
      <c r="N836" s="164"/>
      <c r="O836" s="159"/>
      <c r="P836" s="133"/>
    </row>
    <row r="837" spans="1:16" hidden="1">
      <c r="A837" s="41" t="s">
        <v>510</v>
      </c>
      <c r="B837" s="41">
        <v>38505300</v>
      </c>
      <c r="C837" s="41"/>
      <c r="E837" s="41"/>
      <c r="F837" s="29" t="s">
        <v>129</v>
      </c>
      <c r="G837" s="157" t="s">
        <v>337</v>
      </c>
      <c r="H837" s="158">
        <v>45695</v>
      </c>
      <c r="I837" s="130">
        <f t="shared" si="4"/>
        <v>45700</v>
      </c>
      <c r="J837" s="158"/>
      <c r="K837" s="158"/>
      <c r="L837" s="129" t="s">
        <v>414</v>
      </c>
      <c r="M837" s="158"/>
      <c r="N837" s="164"/>
      <c r="O837" s="159"/>
      <c r="P837" s="133"/>
    </row>
    <row r="838" spans="1:16" hidden="1">
      <c r="A838" s="41" t="s">
        <v>510</v>
      </c>
      <c r="B838" s="41">
        <v>38505536</v>
      </c>
      <c r="C838" s="41"/>
      <c r="E838" s="41"/>
      <c r="F838" s="29" t="s">
        <v>129</v>
      </c>
      <c r="G838" s="157" t="s">
        <v>337</v>
      </c>
      <c r="H838" s="158">
        <v>45695</v>
      </c>
      <c r="I838" s="130">
        <f t="shared" si="4"/>
        <v>45700</v>
      </c>
      <c r="J838" s="158"/>
      <c r="K838" s="158"/>
      <c r="L838" s="129" t="s">
        <v>414</v>
      </c>
      <c r="M838" s="158"/>
      <c r="N838" s="164"/>
      <c r="O838" s="159"/>
      <c r="P838" s="133"/>
    </row>
    <row r="839" spans="1:16" hidden="1">
      <c r="A839" s="29" t="s">
        <v>481</v>
      </c>
      <c r="B839" s="29">
        <v>36504907</v>
      </c>
      <c r="C839" s="29"/>
      <c r="E839" s="29"/>
      <c r="F839" s="29" t="s">
        <v>118</v>
      </c>
      <c r="G839" s="29" t="s">
        <v>127</v>
      </c>
      <c r="H839" s="130">
        <v>45695</v>
      </c>
      <c r="I839" s="130">
        <f t="shared" si="4"/>
        <v>45700</v>
      </c>
      <c r="J839" s="130"/>
      <c r="K839" s="130"/>
      <c r="L839" s="129" t="s">
        <v>414</v>
      </c>
      <c r="M839" s="130"/>
      <c r="N839" s="145"/>
      <c r="O839" s="29" t="s">
        <v>532</v>
      </c>
      <c r="P839" s="133"/>
    </row>
    <row r="840" spans="1:16" hidden="1">
      <c r="A840" s="29" t="s">
        <v>481</v>
      </c>
      <c r="B840" s="29">
        <v>36504718</v>
      </c>
      <c r="C840" s="29"/>
      <c r="E840" s="29"/>
      <c r="F840" s="29" t="s">
        <v>118</v>
      </c>
      <c r="G840" s="29" t="s">
        <v>127</v>
      </c>
      <c r="H840" s="130">
        <v>45695</v>
      </c>
      <c r="I840" s="130">
        <f t="shared" si="4"/>
        <v>45700</v>
      </c>
      <c r="J840" s="130"/>
      <c r="K840" s="130"/>
      <c r="L840" s="129" t="s">
        <v>414</v>
      </c>
      <c r="M840" s="130"/>
      <c r="N840" s="145"/>
      <c r="O840" s="29" t="s">
        <v>533</v>
      </c>
      <c r="P840" s="133"/>
    </row>
    <row r="841" spans="1:16" hidden="1">
      <c r="A841" s="29" t="s">
        <v>481</v>
      </c>
      <c r="B841" s="29">
        <v>36504651</v>
      </c>
      <c r="C841" s="29"/>
      <c r="E841" s="29"/>
      <c r="F841" s="29" t="s">
        <v>118</v>
      </c>
      <c r="G841" s="29" t="s">
        <v>127</v>
      </c>
      <c r="H841" s="130">
        <v>45695</v>
      </c>
      <c r="I841" s="130">
        <f t="shared" si="4"/>
        <v>45700</v>
      </c>
      <c r="J841" s="130"/>
      <c r="K841" s="130"/>
      <c r="L841" s="129" t="s">
        <v>414</v>
      </c>
      <c r="M841" s="130"/>
      <c r="N841" s="145"/>
      <c r="O841" s="29" t="s">
        <v>533</v>
      </c>
      <c r="P841" s="133"/>
    </row>
    <row r="842" spans="1:16" hidden="1">
      <c r="A842" s="29" t="s">
        <v>481</v>
      </c>
      <c r="B842" s="29">
        <v>36504549</v>
      </c>
      <c r="C842" s="29"/>
      <c r="E842" s="29"/>
      <c r="F842" s="29" t="s">
        <v>118</v>
      </c>
      <c r="G842" s="29" t="s">
        <v>127</v>
      </c>
      <c r="H842" s="130">
        <v>45695</v>
      </c>
      <c r="I842" s="130">
        <f t="shared" si="4"/>
        <v>45700</v>
      </c>
      <c r="J842" s="130"/>
      <c r="K842" s="130"/>
      <c r="L842" s="129" t="s">
        <v>414</v>
      </c>
      <c r="M842" s="130"/>
      <c r="N842" s="145"/>
      <c r="O842" s="29" t="s">
        <v>395</v>
      </c>
      <c r="P842" s="133"/>
    </row>
    <row r="843" spans="1:16" hidden="1">
      <c r="A843" s="29" t="s">
        <v>481</v>
      </c>
      <c r="B843" s="29">
        <v>36504493</v>
      </c>
      <c r="C843" s="29"/>
      <c r="E843" s="29"/>
      <c r="F843" s="29" t="s">
        <v>118</v>
      </c>
      <c r="G843" s="29" t="s">
        <v>127</v>
      </c>
      <c r="H843" s="130">
        <v>45695</v>
      </c>
      <c r="I843" s="130">
        <f t="shared" si="4"/>
        <v>45700</v>
      </c>
      <c r="J843" s="130"/>
      <c r="K843" s="130"/>
      <c r="L843" s="129" t="s">
        <v>414</v>
      </c>
      <c r="M843" s="130"/>
      <c r="N843" s="145"/>
      <c r="O843" s="29" t="s">
        <v>534</v>
      </c>
      <c r="P843" s="133"/>
    </row>
    <row r="844" spans="1:16" hidden="1">
      <c r="A844" s="29" t="s">
        <v>481</v>
      </c>
      <c r="B844" s="29">
        <v>36504399</v>
      </c>
      <c r="C844" s="29"/>
      <c r="E844" s="29"/>
      <c r="F844" s="29" t="s">
        <v>118</v>
      </c>
      <c r="G844" s="29" t="s">
        <v>127</v>
      </c>
      <c r="H844" s="130">
        <v>45695</v>
      </c>
      <c r="I844" s="130">
        <f t="shared" ref="I844:I907" si="5">WORKDAY(H844, 3)</f>
        <v>45700</v>
      </c>
      <c r="J844" s="130"/>
      <c r="K844" s="130"/>
      <c r="L844" s="129" t="s">
        <v>414</v>
      </c>
      <c r="M844" s="130"/>
      <c r="N844" s="145"/>
      <c r="O844" s="29" t="s">
        <v>535</v>
      </c>
      <c r="P844" s="133"/>
    </row>
    <row r="845" spans="1:16" hidden="1">
      <c r="A845" s="29" t="s">
        <v>481</v>
      </c>
      <c r="B845" s="29">
        <v>36504303</v>
      </c>
      <c r="C845" s="29"/>
      <c r="E845" s="29"/>
      <c r="F845" s="29" t="s">
        <v>118</v>
      </c>
      <c r="G845" s="29" t="s">
        <v>127</v>
      </c>
      <c r="H845" s="130">
        <v>45695</v>
      </c>
      <c r="I845" s="130">
        <f t="shared" si="5"/>
        <v>45700</v>
      </c>
      <c r="J845" s="130"/>
      <c r="K845" s="130"/>
      <c r="L845" s="129" t="s">
        <v>414</v>
      </c>
      <c r="M845" s="130"/>
      <c r="N845" s="145"/>
      <c r="O845" s="29" t="s">
        <v>536</v>
      </c>
      <c r="P845" s="133"/>
    </row>
    <row r="846" spans="1:16" hidden="1">
      <c r="A846" s="29" t="s">
        <v>481</v>
      </c>
      <c r="B846" s="29">
        <v>36504194</v>
      </c>
      <c r="C846" s="29"/>
      <c r="E846" s="29"/>
      <c r="F846" s="29" t="s">
        <v>118</v>
      </c>
      <c r="G846" s="29" t="s">
        <v>127</v>
      </c>
      <c r="H846" s="130">
        <v>45695</v>
      </c>
      <c r="I846" s="130">
        <f t="shared" si="5"/>
        <v>45700</v>
      </c>
      <c r="J846" s="130"/>
      <c r="K846" s="130"/>
      <c r="L846" s="129" t="s">
        <v>414</v>
      </c>
      <c r="M846" s="130"/>
      <c r="N846" s="145"/>
      <c r="O846" s="29" t="s">
        <v>387</v>
      </c>
      <c r="P846" s="133"/>
    </row>
    <row r="847" spans="1:16" hidden="1">
      <c r="A847" s="29" t="s">
        <v>481</v>
      </c>
      <c r="B847" s="29">
        <v>36504135</v>
      </c>
      <c r="C847" s="29"/>
      <c r="E847" s="29"/>
      <c r="F847" s="29" t="s">
        <v>118</v>
      </c>
      <c r="G847" s="29" t="s">
        <v>127</v>
      </c>
      <c r="H847" s="130">
        <v>45695</v>
      </c>
      <c r="I847" s="130">
        <f t="shared" si="5"/>
        <v>45700</v>
      </c>
      <c r="J847" s="130"/>
      <c r="K847" s="130"/>
      <c r="L847" s="129" t="s">
        <v>414</v>
      </c>
      <c r="M847" s="130"/>
      <c r="N847" s="145"/>
      <c r="O847" s="29" t="s">
        <v>388</v>
      </c>
      <c r="P847" s="133"/>
    </row>
    <row r="848" spans="1:16" hidden="1">
      <c r="A848" s="29" t="s">
        <v>481</v>
      </c>
      <c r="B848" s="29">
        <v>36504066</v>
      </c>
      <c r="C848" s="29"/>
      <c r="E848" s="29"/>
      <c r="F848" s="29" t="s">
        <v>118</v>
      </c>
      <c r="G848" s="29" t="s">
        <v>127</v>
      </c>
      <c r="H848" s="130">
        <v>45695</v>
      </c>
      <c r="I848" s="130">
        <f t="shared" si="5"/>
        <v>45700</v>
      </c>
      <c r="J848" s="130"/>
      <c r="K848" s="130"/>
      <c r="L848" s="129" t="s">
        <v>414</v>
      </c>
      <c r="M848" s="130"/>
      <c r="N848" s="145"/>
      <c r="O848" s="29" t="s">
        <v>388</v>
      </c>
      <c r="P848" s="133"/>
    </row>
    <row r="849" spans="1:16" hidden="1">
      <c r="A849" s="29" t="s">
        <v>481</v>
      </c>
      <c r="B849" s="29">
        <v>36503985</v>
      </c>
      <c r="C849" s="29"/>
      <c r="E849" s="29"/>
      <c r="F849" s="29" t="s">
        <v>118</v>
      </c>
      <c r="G849" s="29" t="s">
        <v>127</v>
      </c>
      <c r="H849" s="130">
        <v>45695</v>
      </c>
      <c r="I849" s="130">
        <f t="shared" si="5"/>
        <v>45700</v>
      </c>
      <c r="J849" s="130"/>
      <c r="K849" s="130"/>
      <c r="L849" s="129" t="s">
        <v>414</v>
      </c>
      <c r="M849" s="130"/>
      <c r="N849" s="145"/>
      <c r="O849" s="29" t="s">
        <v>389</v>
      </c>
      <c r="P849" s="133"/>
    </row>
    <row r="850" spans="1:16" hidden="1">
      <c r="A850" s="29" t="s">
        <v>481</v>
      </c>
      <c r="B850" s="29">
        <v>36503232</v>
      </c>
      <c r="C850" s="29"/>
      <c r="E850" s="29"/>
      <c r="F850" s="29" t="s">
        <v>118</v>
      </c>
      <c r="G850" s="29" t="s">
        <v>127</v>
      </c>
      <c r="H850" s="130">
        <v>45695</v>
      </c>
      <c r="I850" s="130">
        <f t="shared" si="5"/>
        <v>45700</v>
      </c>
      <c r="J850" s="130"/>
      <c r="K850" s="130"/>
      <c r="L850" s="129" t="s">
        <v>414</v>
      </c>
      <c r="M850" s="130"/>
      <c r="N850" s="145"/>
      <c r="O850" s="29" t="s">
        <v>537</v>
      </c>
      <c r="P850" s="133"/>
    </row>
    <row r="851" spans="1:16" hidden="1">
      <c r="A851" s="29" t="s">
        <v>481</v>
      </c>
      <c r="B851" s="29">
        <v>36503199</v>
      </c>
      <c r="C851" s="29"/>
      <c r="E851" s="29"/>
      <c r="F851" s="29" t="s">
        <v>118</v>
      </c>
      <c r="G851" s="29" t="s">
        <v>127</v>
      </c>
      <c r="H851" s="130">
        <v>45695</v>
      </c>
      <c r="I851" s="130">
        <f t="shared" si="5"/>
        <v>45700</v>
      </c>
      <c r="J851" s="130"/>
      <c r="K851" s="130"/>
      <c r="L851" s="129" t="s">
        <v>414</v>
      </c>
      <c r="M851" s="130"/>
      <c r="N851" s="145"/>
      <c r="O851" s="29" t="s">
        <v>538</v>
      </c>
      <c r="P851" s="133"/>
    </row>
    <row r="852" spans="1:16" hidden="1">
      <c r="A852" s="29" t="s">
        <v>481</v>
      </c>
      <c r="B852" s="29">
        <v>36503116</v>
      </c>
      <c r="C852" s="29"/>
      <c r="E852" s="29"/>
      <c r="F852" s="29" t="s">
        <v>118</v>
      </c>
      <c r="G852" s="29" t="s">
        <v>127</v>
      </c>
      <c r="H852" s="130">
        <v>45695</v>
      </c>
      <c r="I852" s="130">
        <f t="shared" si="5"/>
        <v>45700</v>
      </c>
      <c r="J852" s="130"/>
      <c r="K852" s="130"/>
      <c r="L852" s="129" t="s">
        <v>414</v>
      </c>
      <c r="M852" s="130"/>
      <c r="N852" s="145"/>
      <c r="O852" s="29" t="s">
        <v>539</v>
      </c>
      <c r="P852" s="133"/>
    </row>
    <row r="853" spans="1:16" hidden="1">
      <c r="A853" s="29" t="s">
        <v>481</v>
      </c>
      <c r="B853" s="29">
        <v>36503061</v>
      </c>
      <c r="C853" s="29"/>
      <c r="E853" s="29"/>
      <c r="F853" s="29" t="s">
        <v>118</v>
      </c>
      <c r="G853" s="29" t="s">
        <v>127</v>
      </c>
      <c r="H853" s="130">
        <v>45695</v>
      </c>
      <c r="I853" s="130">
        <f t="shared" si="5"/>
        <v>45700</v>
      </c>
      <c r="J853" s="130"/>
      <c r="K853" s="130"/>
      <c r="L853" s="129" t="s">
        <v>414</v>
      </c>
      <c r="M853" s="130"/>
      <c r="N853" s="145"/>
      <c r="O853" s="29" t="s">
        <v>540</v>
      </c>
      <c r="P853" s="133"/>
    </row>
    <row r="854" spans="1:16" hidden="1">
      <c r="A854" s="29" t="s">
        <v>481</v>
      </c>
      <c r="B854" s="29">
        <v>36502983</v>
      </c>
      <c r="C854" s="29"/>
      <c r="E854" s="29"/>
      <c r="F854" s="29" t="s">
        <v>118</v>
      </c>
      <c r="G854" s="29" t="s">
        <v>127</v>
      </c>
      <c r="H854" s="130">
        <v>45695</v>
      </c>
      <c r="I854" s="130">
        <f t="shared" si="5"/>
        <v>45700</v>
      </c>
      <c r="J854" s="130"/>
      <c r="K854" s="130"/>
      <c r="L854" s="129" t="s">
        <v>414</v>
      </c>
      <c r="M854" s="130"/>
      <c r="N854" s="145"/>
      <c r="O854" s="29" t="s">
        <v>541</v>
      </c>
      <c r="P854" s="133"/>
    </row>
    <row r="855" spans="1:16" hidden="1">
      <c r="A855" s="29" t="s">
        <v>481</v>
      </c>
      <c r="B855" s="29">
        <v>36502894</v>
      </c>
      <c r="C855" s="29"/>
      <c r="E855" s="29"/>
      <c r="F855" s="29" t="s">
        <v>118</v>
      </c>
      <c r="G855" s="29" t="s">
        <v>127</v>
      </c>
      <c r="H855" s="130">
        <v>45695</v>
      </c>
      <c r="I855" s="130">
        <f t="shared" si="5"/>
        <v>45700</v>
      </c>
      <c r="J855" s="130"/>
      <c r="K855" s="130"/>
      <c r="L855" s="129" t="s">
        <v>414</v>
      </c>
      <c r="M855" s="130"/>
      <c r="N855" s="145"/>
      <c r="O855" s="29" t="s">
        <v>542</v>
      </c>
      <c r="P855" s="133"/>
    </row>
    <row r="856" spans="1:16" hidden="1">
      <c r="A856" s="29" t="s">
        <v>481</v>
      </c>
      <c r="B856" s="29">
        <v>36502627</v>
      </c>
      <c r="C856" s="29"/>
      <c r="E856" s="29"/>
      <c r="F856" s="29" t="s">
        <v>118</v>
      </c>
      <c r="G856" s="29" t="s">
        <v>127</v>
      </c>
      <c r="H856" s="130">
        <v>45695</v>
      </c>
      <c r="I856" s="130">
        <f t="shared" si="5"/>
        <v>45700</v>
      </c>
      <c r="J856" s="130"/>
      <c r="K856" s="130"/>
      <c r="L856" s="129" t="s">
        <v>414</v>
      </c>
      <c r="M856" s="130"/>
      <c r="N856" s="145"/>
      <c r="O856" s="29" t="s">
        <v>543</v>
      </c>
      <c r="P856" s="133"/>
    </row>
    <row r="857" spans="1:16" hidden="1">
      <c r="A857" s="29" t="s">
        <v>481</v>
      </c>
      <c r="B857" s="29">
        <v>36502464</v>
      </c>
      <c r="C857" s="29"/>
      <c r="E857" s="29"/>
      <c r="F857" s="29" t="s">
        <v>118</v>
      </c>
      <c r="G857" s="29" t="s">
        <v>127</v>
      </c>
      <c r="H857" s="130">
        <v>45695</v>
      </c>
      <c r="I857" s="130">
        <f t="shared" si="5"/>
        <v>45700</v>
      </c>
      <c r="J857" s="130"/>
      <c r="K857" s="130"/>
      <c r="L857" s="129" t="s">
        <v>414</v>
      </c>
      <c r="M857" s="130"/>
      <c r="N857" s="145"/>
      <c r="O857" s="29" t="s">
        <v>544</v>
      </c>
      <c r="P857" s="133"/>
    </row>
    <row r="858" spans="1:16" hidden="1">
      <c r="A858" s="29" t="s">
        <v>481</v>
      </c>
      <c r="B858" s="29">
        <v>36502169</v>
      </c>
      <c r="C858" s="29"/>
      <c r="E858" s="29"/>
      <c r="F858" s="29" t="s">
        <v>118</v>
      </c>
      <c r="G858" s="29" t="s">
        <v>127</v>
      </c>
      <c r="H858" s="130">
        <v>45695</v>
      </c>
      <c r="I858" s="130">
        <f t="shared" si="5"/>
        <v>45700</v>
      </c>
      <c r="J858" s="130"/>
      <c r="K858" s="130"/>
      <c r="L858" s="129" t="s">
        <v>414</v>
      </c>
      <c r="M858" s="130"/>
      <c r="N858" s="145"/>
      <c r="O858" s="29" t="s">
        <v>545</v>
      </c>
      <c r="P858" s="133"/>
    </row>
    <row r="859" spans="1:16" hidden="1">
      <c r="A859" s="29" t="s">
        <v>481</v>
      </c>
      <c r="B859" s="29">
        <v>36501980</v>
      </c>
      <c r="C859" s="29"/>
      <c r="E859" s="29"/>
      <c r="F859" s="29" t="s">
        <v>118</v>
      </c>
      <c r="G859" s="29" t="s">
        <v>127</v>
      </c>
      <c r="H859" s="130">
        <v>45695</v>
      </c>
      <c r="I859" s="130">
        <f t="shared" si="5"/>
        <v>45700</v>
      </c>
      <c r="J859" s="130"/>
      <c r="K859" s="130"/>
      <c r="L859" s="129" t="s">
        <v>414</v>
      </c>
      <c r="M859" s="130"/>
      <c r="N859" s="145"/>
      <c r="O859" s="29" t="s">
        <v>546</v>
      </c>
      <c r="P859" s="133"/>
    </row>
    <row r="860" spans="1:16" hidden="1">
      <c r="A860" s="29" t="s">
        <v>481</v>
      </c>
      <c r="B860" s="29">
        <v>36501811</v>
      </c>
      <c r="C860" s="29"/>
      <c r="E860" s="29"/>
      <c r="F860" s="29" t="s">
        <v>118</v>
      </c>
      <c r="G860" s="29" t="s">
        <v>127</v>
      </c>
      <c r="H860" s="130">
        <v>45695</v>
      </c>
      <c r="I860" s="130">
        <f t="shared" si="5"/>
        <v>45700</v>
      </c>
      <c r="J860" s="130"/>
      <c r="K860" s="130"/>
      <c r="L860" s="129" t="s">
        <v>414</v>
      </c>
      <c r="M860" s="130"/>
      <c r="N860" s="145"/>
      <c r="O860" s="29" t="s">
        <v>547</v>
      </c>
      <c r="P860" s="133"/>
    </row>
    <row r="861" spans="1:16" hidden="1">
      <c r="A861" s="29" t="s">
        <v>481</v>
      </c>
      <c r="B861" s="29">
        <v>36501705</v>
      </c>
      <c r="C861" s="29"/>
      <c r="E861" s="29"/>
      <c r="F861" s="29" t="s">
        <v>118</v>
      </c>
      <c r="G861" s="29" t="s">
        <v>127</v>
      </c>
      <c r="H861" s="130">
        <v>45695</v>
      </c>
      <c r="I861" s="130">
        <f t="shared" si="5"/>
        <v>45700</v>
      </c>
      <c r="J861" s="130"/>
      <c r="K861" s="130"/>
      <c r="L861" s="129" t="s">
        <v>414</v>
      </c>
      <c r="M861" s="130"/>
      <c r="N861" s="145"/>
      <c r="O861" s="29" t="s">
        <v>548</v>
      </c>
      <c r="P861" s="133"/>
    </row>
    <row r="862" spans="1:16" hidden="1">
      <c r="A862" s="29" t="s">
        <v>481</v>
      </c>
      <c r="B862" s="29">
        <v>36501290</v>
      </c>
      <c r="C862" s="29"/>
      <c r="E862" s="29"/>
      <c r="F862" s="29" t="s">
        <v>118</v>
      </c>
      <c r="G862" s="29" t="s">
        <v>127</v>
      </c>
      <c r="H862" s="130">
        <v>45695</v>
      </c>
      <c r="I862" s="130">
        <f t="shared" si="5"/>
        <v>45700</v>
      </c>
      <c r="J862" s="130"/>
      <c r="K862" s="130"/>
      <c r="L862" s="129" t="s">
        <v>414</v>
      </c>
      <c r="M862" s="130"/>
      <c r="N862" s="145"/>
      <c r="O862" s="29" t="s">
        <v>549</v>
      </c>
      <c r="P862" s="133"/>
    </row>
    <row r="863" spans="1:16" hidden="1">
      <c r="A863" s="29" t="s">
        <v>481</v>
      </c>
      <c r="B863" s="29">
        <v>36501232</v>
      </c>
      <c r="C863" s="29"/>
      <c r="E863" s="29"/>
      <c r="F863" s="29" t="s">
        <v>118</v>
      </c>
      <c r="G863" s="29" t="s">
        <v>127</v>
      </c>
      <c r="H863" s="130">
        <v>45695</v>
      </c>
      <c r="I863" s="130">
        <f t="shared" si="5"/>
        <v>45700</v>
      </c>
      <c r="J863" s="130"/>
      <c r="K863" s="130"/>
      <c r="L863" s="129" t="s">
        <v>414</v>
      </c>
      <c r="M863" s="130"/>
      <c r="N863" s="145"/>
      <c r="O863" s="29" t="s">
        <v>550</v>
      </c>
      <c r="P863" s="133"/>
    </row>
    <row r="864" spans="1:16" hidden="1">
      <c r="A864" s="29" t="s">
        <v>481</v>
      </c>
      <c r="B864" s="29">
        <v>36501131</v>
      </c>
      <c r="C864" s="29"/>
      <c r="E864" s="29"/>
      <c r="F864" s="29" t="s">
        <v>118</v>
      </c>
      <c r="G864" s="29" t="s">
        <v>127</v>
      </c>
      <c r="H864" s="130">
        <v>45695</v>
      </c>
      <c r="I864" s="130">
        <f t="shared" si="5"/>
        <v>45700</v>
      </c>
      <c r="J864" s="130"/>
      <c r="K864" s="130"/>
      <c r="L864" s="129" t="s">
        <v>414</v>
      </c>
      <c r="M864" s="130"/>
      <c r="N864" s="145"/>
      <c r="O864" s="29" t="s">
        <v>549</v>
      </c>
      <c r="P864" s="133"/>
    </row>
    <row r="865" spans="1:16" hidden="1">
      <c r="A865" s="29" t="s">
        <v>481</v>
      </c>
      <c r="B865" s="29">
        <v>36501011</v>
      </c>
      <c r="C865" s="29"/>
      <c r="E865" s="29"/>
      <c r="F865" s="29" t="s">
        <v>118</v>
      </c>
      <c r="G865" s="29" t="s">
        <v>127</v>
      </c>
      <c r="H865" s="130">
        <v>45695</v>
      </c>
      <c r="I865" s="130">
        <f t="shared" si="5"/>
        <v>45700</v>
      </c>
      <c r="J865" s="130"/>
      <c r="K865" s="130"/>
      <c r="L865" s="129" t="s">
        <v>414</v>
      </c>
      <c r="M865" s="130"/>
      <c r="N865" s="145"/>
      <c r="O865" s="29" t="s">
        <v>389</v>
      </c>
      <c r="P865" s="133"/>
    </row>
    <row r="866" spans="1:16" hidden="1">
      <c r="A866" s="29" t="s">
        <v>481</v>
      </c>
      <c r="B866" s="29">
        <v>36504907</v>
      </c>
      <c r="C866" s="29"/>
      <c r="E866" s="29"/>
      <c r="F866" s="29" t="s">
        <v>118</v>
      </c>
      <c r="G866" s="29" t="s">
        <v>127</v>
      </c>
      <c r="H866" s="130">
        <v>45695</v>
      </c>
      <c r="I866" s="130">
        <f t="shared" si="5"/>
        <v>45700</v>
      </c>
      <c r="J866" s="130"/>
      <c r="K866" s="130"/>
      <c r="L866" s="129" t="s">
        <v>414</v>
      </c>
      <c r="M866" s="130"/>
      <c r="N866" s="145"/>
      <c r="O866" s="29" t="s">
        <v>532</v>
      </c>
      <c r="P866" s="133"/>
    </row>
    <row r="867" spans="1:16" hidden="1">
      <c r="A867" s="29" t="s">
        <v>481</v>
      </c>
      <c r="B867" s="29">
        <v>36504718</v>
      </c>
      <c r="C867" s="29"/>
      <c r="E867" s="29"/>
      <c r="F867" s="29" t="s">
        <v>118</v>
      </c>
      <c r="G867" s="29" t="s">
        <v>127</v>
      </c>
      <c r="H867" s="130">
        <v>45695</v>
      </c>
      <c r="I867" s="130">
        <f t="shared" si="5"/>
        <v>45700</v>
      </c>
      <c r="J867" s="130"/>
      <c r="K867" s="130"/>
      <c r="L867" s="129" t="s">
        <v>414</v>
      </c>
      <c r="M867" s="130"/>
      <c r="N867" s="145"/>
      <c r="O867" s="29" t="s">
        <v>533</v>
      </c>
      <c r="P867" s="133"/>
    </row>
    <row r="868" spans="1:16" hidden="1">
      <c r="A868" s="29" t="s">
        <v>481</v>
      </c>
      <c r="B868" s="29">
        <v>36504651</v>
      </c>
      <c r="C868" s="29"/>
      <c r="E868" s="29"/>
      <c r="F868" s="29" t="s">
        <v>118</v>
      </c>
      <c r="G868" s="29" t="s">
        <v>127</v>
      </c>
      <c r="H868" s="130">
        <v>45695</v>
      </c>
      <c r="I868" s="130">
        <f t="shared" si="5"/>
        <v>45700</v>
      </c>
      <c r="J868" s="130"/>
      <c r="K868" s="130"/>
      <c r="L868" s="129" t="s">
        <v>414</v>
      </c>
      <c r="M868" s="130"/>
      <c r="N868" s="145"/>
      <c r="O868" s="29" t="s">
        <v>533</v>
      </c>
      <c r="P868" s="133"/>
    </row>
    <row r="869" spans="1:16" hidden="1">
      <c r="A869" s="29" t="s">
        <v>481</v>
      </c>
      <c r="B869" s="29">
        <v>36504549</v>
      </c>
      <c r="C869" s="29"/>
      <c r="E869" s="29"/>
      <c r="F869" s="29" t="s">
        <v>118</v>
      </c>
      <c r="G869" s="29" t="s">
        <v>127</v>
      </c>
      <c r="H869" s="130">
        <v>45695</v>
      </c>
      <c r="I869" s="130">
        <f t="shared" si="5"/>
        <v>45700</v>
      </c>
      <c r="J869" s="130"/>
      <c r="K869" s="130"/>
      <c r="L869" s="129" t="s">
        <v>414</v>
      </c>
      <c r="M869" s="130"/>
      <c r="N869" s="145"/>
      <c r="O869" s="29" t="s">
        <v>395</v>
      </c>
      <c r="P869" s="133"/>
    </row>
    <row r="870" spans="1:16" hidden="1">
      <c r="A870" s="29" t="s">
        <v>481</v>
      </c>
      <c r="B870" s="29">
        <v>36504493</v>
      </c>
      <c r="C870" s="29"/>
      <c r="E870" s="29"/>
      <c r="F870" s="29" t="s">
        <v>118</v>
      </c>
      <c r="G870" s="29" t="s">
        <v>127</v>
      </c>
      <c r="H870" s="130">
        <v>45695</v>
      </c>
      <c r="I870" s="130">
        <f t="shared" si="5"/>
        <v>45700</v>
      </c>
      <c r="J870" s="130"/>
      <c r="K870" s="130"/>
      <c r="L870" s="129" t="s">
        <v>414</v>
      </c>
      <c r="M870" s="130"/>
      <c r="N870" s="145"/>
      <c r="O870" s="29" t="s">
        <v>534</v>
      </c>
      <c r="P870" s="133"/>
    </row>
    <row r="871" spans="1:16" hidden="1">
      <c r="A871" s="29" t="s">
        <v>481</v>
      </c>
      <c r="B871" s="29">
        <v>36504399</v>
      </c>
      <c r="C871" s="29"/>
      <c r="E871" s="29"/>
      <c r="F871" s="29" t="s">
        <v>118</v>
      </c>
      <c r="G871" s="29" t="s">
        <v>127</v>
      </c>
      <c r="H871" s="130">
        <v>45695</v>
      </c>
      <c r="I871" s="130">
        <f t="shared" si="5"/>
        <v>45700</v>
      </c>
      <c r="J871" s="130"/>
      <c r="K871" s="130"/>
      <c r="L871" s="129" t="s">
        <v>414</v>
      </c>
      <c r="M871" s="130"/>
      <c r="N871" s="145"/>
      <c r="O871" s="29" t="s">
        <v>535</v>
      </c>
      <c r="P871" s="133"/>
    </row>
    <row r="872" spans="1:16" hidden="1">
      <c r="A872" s="29" t="s">
        <v>481</v>
      </c>
      <c r="B872" s="29">
        <v>36504194</v>
      </c>
      <c r="C872" s="29"/>
      <c r="E872" s="29"/>
      <c r="F872" s="29" t="s">
        <v>118</v>
      </c>
      <c r="G872" s="29" t="s">
        <v>127</v>
      </c>
      <c r="H872" s="130">
        <v>45695</v>
      </c>
      <c r="I872" s="130">
        <f t="shared" si="5"/>
        <v>45700</v>
      </c>
      <c r="J872" s="130"/>
      <c r="K872" s="130"/>
      <c r="L872" s="129" t="s">
        <v>414</v>
      </c>
      <c r="M872" s="130"/>
      <c r="N872" s="145"/>
      <c r="O872" s="29" t="s">
        <v>387</v>
      </c>
      <c r="P872" s="133"/>
    </row>
    <row r="873" spans="1:16" hidden="1">
      <c r="A873" s="29" t="s">
        <v>481</v>
      </c>
      <c r="B873" s="29">
        <v>36504135</v>
      </c>
      <c r="C873" s="29"/>
      <c r="E873" s="29"/>
      <c r="F873" s="29" t="s">
        <v>118</v>
      </c>
      <c r="G873" s="29" t="s">
        <v>127</v>
      </c>
      <c r="H873" s="130">
        <v>45695</v>
      </c>
      <c r="I873" s="130">
        <f t="shared" si="5"/>
        <v>45700</v>
      </c>
      <c r="J873" s="130"/>
      <c r="K873" s="130"/>
      <c r="L873" s="129" t="s">
        <v>414</v>
      </c>
      <c r="M873" s="130"/>
      <c r="N873" s="145"/>
      <c r="O873" s="29" t="s">
        <v>388</v>
      </c>
      <c r="P873" s="133"/>
    </row>
    <row r="874" spans="1:16" hidden="1">
      <c r="A874" s="29" t="s">
        <v>481</v>
      </c>
      <c r="B874" s="29">
        <v>36504066</v>
      </c>
      <c r="C874" s="29"/>
      <c r="E874" s="29"/>
      <c r="F874" s="29" t="s">
        <v>118</v>
      </c>
      <c r="G874" s="29" t="s">
        <v>127</v>
      </c>
      <c r="H874" s="130">
        <v>45695</v>
      </c>
      <c r="I874" s="130">
        <f t="shared" si="5"/>
        <v>45700</v>
      </c>
      <c r="J874" s="130"/>
      <c r="K874" s="130"/>
      <c r="L874" s="129" t="s">
        <v>414</v>
      </c>
      <c r="M874" s="130"/>
      <c r="N874" s="145"/>
      <c r="O874" s="29" t="s">
        <v>388</v>
      </c>
      <c r="P874" s="133"/>
    </row>
    <row r="875" spans="1:16" hidden="1">
      <c r="A875" s="29" t="s">
        <v>481</v>
      </c>
      <c r="B875" s="29">
        <v>36503985</v>
      </c>
      <c r="C875" s="29"/>
      <c r="E875" s="29"/>
      <c r="F875" s="29" t="s">
        <v>118</v>
      </c>
      <c r="G875" s="29" t="s">
        <v>127</v>
      </c>
      <c r="H875" s="130">
        <v>45695</v>
      </c>
      <c r="I875" s="130">
        <f t="shared" si="5"/>
        <v>45700</v>
      </c>
      <c r="J875" s="130"/>
      <c r="K875" s="130"/>
      <c r="L875" s="129" t="s">
        <v>414</v>
      </c>
      <c r="M875" s="130"/>
      <c r="N875" s="145"/>
      <c r="O875" s="29" t="s">
        <v>389</v>
      </c>
      <c r="P875" s="133"/>
    </row>
    <row r="876" spans="1:16" hidden="1">
      <c r="A876" s="29" t="s">
        <v>481</v>
      </c>
      <c r="B876" s="29">
        <v>36503232</v>
      </c>
      <c r="C876" s="29"/>
      <c r="E876" s="29"/>
      <c r="F876" s="29" t="s">
        <v>118</v>
      </c>
      <c r="G876" s="29" t="s">
        <v>127</v>
      </c>
      <c r="H876" s="130">
        <v>45695</v>
      </c>
      <c r="I876" s="130">
        <f t="shared" si="5"/>
        <v>45700</v>
      </c>
      <c r="J876" s="130"/>
      <c r="K876" s="130"/>
      <c r="L876" s="129" t="s">
        <v>414</v>
      </c>
      <c r="M876" s="130"/>
      <c r="N876" s="145"/>
      <c r="O876" s="29" t="s">
        <v>537</v>
      </c>
      <c r="P876" s="133"/>
    </row>
    <row r="877" spans="1:16" hidden="1">
      <c r="A877" s="29" t="s">
        <v>481</v>
      </c>
      <c r="B877" s="29">
        <v>36503199</v>
      </c>
      <c r="C877" s="29"/>
      <c r="E877" s="29"/>
      <c r="F877" s="29" t="s">
        <v>118</v>
      </c>
      <c r="G877" s="29" t="s">
        <v>127</v>
      </c>
      <c r="H877" s="130">
        <v>45695</v>
      </c>
      <c r="I877" s="130">
        <f t="shared" si="5"/>
        <v>45700</v>
      </c>
      <c r="J877" s="130"/>
      <c r="K877" s="130"/>
      <c r="L877" s="129" t="s">
        <v>414</v>
      </c>
      <c r="M877" s="130"/>
      <c r="N877" s="145"/>
      <c r="O877" s="29" t="s">
        <v>538</v>
      </c>
      <c r="P877" s="133"/>
    </row>
    <row r="878" spans="1:16" hidden="1">
      <c r="A878" s="29" t="s">
        <v>481</v>
      </c>
      <c r="B878" s="29">
        <v>36503116</v>
      </c>
      <c r="C878" s="29"/>
      <c r="E878" s="29"/>
      <c r="F878" s="29" t="s">
        <v>118</v>
      </c>
      <c r="G878" s="29" t="s">
        <v>127</v>
      </c>
      <c r="H878" s="130">
        <v>45695</v>
      </c>
      <c r="I878" s="130">
        <f t="shared" si="5"/>
        <v>45700</v>
      </c>
      <c r="J878" s="130"/>
      <c r="K878" s="130"/>
      <c r="L878" s="129" t="s">
        <v>414</v>
      </c>
      <c r="M878" s="130"/>
      <c r="N878" s="145"/>
      <c r="O878" s="29" t="s">
        <v>539</v>
      </c>
      <c r="P878" s="133"/>
    </row>
    <row r="879" spans="1:16" hidden="1">
      <c r="A879" s="29" t="s">
        <v>481</v>
      </c>
      <c r="B879" s="29">
        <v>36503061</v>
      </c>
      <c r="C879" s="29"/>
      <c r="E879" s="29"/>
      <c r="F879" s="29" t="s">
        <v>118</v>
      </c>
      <c r="G879" s="29" t="s">
        <v>127</v>
      </c>
      <c r="H879" s="130">
        <v>45695</v>
      </c>
      <c r="I879" s="130">
        <f t="shared" si="5"/>
        <v>45700</v>
      </c>
      <c r="J879" s="130"/>
      <c r="K879" s="130"/>
      <c r="L879" s="129" t="s">
        <v>414</v>
      </c>
      <c r="M879" s="130"/>
      <c r="N879" s="145"/>
      <c r="O879" s="29" t="s">
        <v>540</v>
      </c>
      <c r="P879" s="133"/>
    </row>
    <row r="880" spans="1:16" hidden="1">
      <c r="A880" s="29" t="s">
        <v>481</v>
      </c>
      <c r="B880" s="29">
        <v>36502983</v>
      </c>
      <c r="C880" s="29"/>
      <c r="E880" s="29"/>
      <c r="F880" s="29" t="s">
        <v>118</v>
      </c>
      <c r="G880" s="29" t="s">
        <v>127</v>
      </c>
      <c r="H880" s="130">
        <v>45695</v>
      </c>
      <c r="I880" s="130">
        <f t="shared" si="5"/>
        <v>45700</v>
      </c>
      <c r="J880" s="130"/>
      <c r="K880" s="130"/>
      <c r="L880" s="129" t="s">
        <v>414</v>
      </c>
      <c r="M880" s="130"/>
      <c r="N880" s="145"/>
      <c r="O880" s="29" t="s">
        <v>541</v>
      </c>
      <c r="P880" s="133"/>
    </row>
    <row r="881" spans="1:16" hidden="1">
      <c r="A881" s="29" t="s">
        <v>481</v>
      </c>
      <c r="B881" s="29">
        <v>36502894</v>
      </c>
      <c r="C881" s="29"/>
      <c r="E881" s="29"/>
      <c r="F881" s="29" t="s">
        <v>118</v>
      </c>
      <c r="G881" s="29" t="s">
        <v>127</v>
      </c>
      <c r="H881" s="130">
        <v>45695</v>
      </c>
      <c r="I881" s="130">
        <f t="shared" si="5"/>
        <v>45700</v>
      </c>
      <c r="J881" s="130"/>
      <c r="K881" s="130"/>
      <c r="L881" s="129" t="s">
        <v>414</v>
      </c>
      <c r="M881" s="130"/>
      <c r="N881" s="145"/>
      <c r="O881" s="29" t="s">
        <v>542</v>
      </c>
      <c r="P881" s="133"/>
    </row>
    <row r="882" spans="1:16" hidden="1">
      <c r="A882" s="29" t="s">
        <v>481</v>
      </c>
      <c r="B882" s="29">
        <v>36502627</v>
      </c>
      <c r="C882" s="29"/>
      <c r="E882" s="29"/>
      <c r="F882" s="29" t="s">
        <v>118</v>
      </c>
      <c r="G882" s="29" t="s">
        <v>127</v>
      </c>
      <c r="H882" s="130">
        <v>45695</v>
      </c>
      <c r="I882" s="130">
        <f t="shared" si="5"/>
        <v>45700</v>
      </c>
      <c r="J882" s="130"/>
      <c r="K882" s="130"/>
      <c r="L882" s="129" t="s">
        <v>414</v>
      </c>
      <c r="M882" s="130"/>
      <c r="N882" s="145"/>
      <c r="O882" s="29" t="s">
        <v>543</v>
      </c>
      <c r="P882" s="133"/>
    </row>
    <row r="883" spans="1:16" hidden="1">
      <c r="A883" s="29" t="s">
        <v>481</v>
      </c>
      <c r="B883" s="29">
        <v>36502464</v>
      </c>
      <c r="C883" s="29"/>
      <c r="E883" s="29"/>
      <c r="F883" s="29" t="s">
        <v>118</v>
      </c>
      <c r="G883" s="29" t="s">
        <v>127</v>
      </c>
      <c r="H883" s="130">
        <v>45695</v>
      </c>
      <c r="I883" s="130">
        <f t="shared" si="5"/>
        <v>45700</v>
      </c>
      <c r="J883" s="130"/>
      <c r="K883" s="130"/>
      <c r="L883" s="129" t="s">
        <v>414</v>
      </c>
      <c r="M883" s="130"/>
      <c r="N883" s="145"/>
      <c r="O883" s="29" t="s">
        <v>544</v>
      </c>
      <c r="P883" s="133"/>
    </row>
    <row r="884" spans="1:16" hidden="1">
      <c r="A884" s="29" t="s">
        <v>481</v>
      </c>
      <c r="B884" s="29">
        <v>36502169</v>
      </c>
      <c r="C884" s="29"/>
      <c r="E884" s="29"/>
      <c r="F884" s="29" t="s">
        <v>118</v>
      </c>
      <c r="G884" s="29" t="s">
        <v>127</v>
      </c>
      <c r="H884" s="130">
        <v>45695</v>
      </c>
      <c r="I884" s="130">
        <f t="shared" si="5"/>
        <v>45700</v>
      </c>
      <c r="J884" s="130"/>
      <c r="K884" s="130"/>
      <c r="L884" s="129" t="s">
        <v>414</v>
      </c>
      <c r="M884" s="130"/>
      <c r="N884" s="145"/>
      <c r="O884" s="29" t="s">
        <v>545</v>
      </c>
      <c r="P884" s="133"/>
    </row>
    <row r="885" spans="1:16" hidden="1">
      <c r="A885" s="29" t="s">
        <v>481</v>
      </c>
      <c r="B885" s="29">
        <v>36501980</v>
      </c>
      <c r="C885" s="29"/>
      <c r="E885" s="29"/>
      <c r="F885" s="29" t="s">
        <v>118</v>
      </c>
      <c r="G885" s="29" t="s">
        <v>127</v>
      </c>
      <c r="H885" s="130">
        <v>45695</v>
      </c>
      <c r="I885" s="130">
        <f t="shared" si="5"/>
        <v>45700</v>
      </c>
      <c r="J885" s="130"/>
      <c r="K885" s="130"/>
      <c r="L885" s="129" t="s">
        <v>414</v>
      </c>
      <c r="M885" s="130"/>
      <c r="N885" s="145"/>
      <c r="O885" s="29" t="s">
        <v>546</v>
      </c>
      <c r="P885" s="133"/>
    </row>
    <row r="886" spans="1:16" hidden="1">
      <c r="A886" s="29" t="s">
        <v>481</v>
      </c>
      <c r="B886" s="29">
        <v>36501811</v>
      </c>
      <c r="C886" s="29"/>
      <c r="E886" s="29"/>
      <c r="F886" s="29" t="s">
        <v>118</v>
      </c>
      <c r="G886" s="29" t="s">
        <v>127</v>
      </c>
      <c r="H886" s="130">
        <v>45695</v>
      </c>
      <c r="I886" s="130">
        <f t="shared" si="5"/>
        <v>45700</v>
      </c>
      <c r="J886" s="130"/>
      <c r="K886" s="130"/>
      <c r="L886" s="129" t="s">
        <v>414</v>
      </c>
      <c r="M886" s="130"/>
      <c r="N886" s="145"/>
      <c r="O886" s="29" t="s">
        <v>547</v>
      </c>
      <c r="P886" s="133"/>
    </row>
    <row r="887" spans="1:16" hidden="1">
      <c r="A887" s="29" t="s">
        <v>481</v>
      </c>
      <c r="B887" s="29">
        <v>36501705</v>
      </c>
      <c r="C887" s="29"/>
      <c r="E887" s="29"/>
      <c r="F887" s="29" t="s">
        <v>118</v>
      </c>
      <c r="G887" s="29" t="s">
        <v>127</v>
      </c>
      <c r="H887" s="130">
        <v>45695</v>
      </c>
      <c r="I887" s="130">
        <f t="shared" si="5"/>
        <v>45700</v>
      </c>
      <c r="J887" s="130"/>
      <c r="K887" s="130"/>
      <c r="L887" s="129" t="s">
        <v>414</v>
      </c>
      <c r="M887" s="130"/>
      <c r="N887" s="145"/>
      <c r="O887" s="29" t="s">
        <v>548</v>
      </c>
      <c r="P887" s="133"/>
    </row>
    <row r="888" spans="1:16" hidden="1">
      <c r="A888" s="29" t="s">
        <v>481</v>
      </c>
      <c r="B888" s="29">
        <v>36501290</v>
      </c>
      <c r="C888" s="29"/>
      <c r="E888" s="29"/>
      <c r="F888" s="29" t="s">
        <v>118</v>
      </c>
      <c r="G888" s="29" t="s">
        <v>127</v>
      </c>
      <c r="H888" s="130">
        <v>45695</v>
      </c>
      <c r="I888" s="130">
        <f t="shared" si="5"/>
        <v>45700</v>
      </c>
      <c r="J888" s="130"/>
      <c r="K888" s="130"/>
      <c r="L888" s="129" t="s">
        <v>414</v>
      </c>
      <c r="M888" s="130"/>
      <c r="N888" s="145"/>
      <c r="O888" s="29" t="s">
        <v>549</v>
      </c>
      <c r="P888" s="133"/>
    </row>
    <row r="889" spans="1:16" hidden="1">
      <c r="A889" s="29" t="s">
        <v>481</v>
      </c>
      <c r="B889" s="29">
        <v>36501232</v>
      </c>
      <c r="C889" s="29"/>
      <c r="E889" s="29"/>
      <c r="F889" s="29" t="s">
        <v>118</v>
      </c>
      <c r="G889" s="29" t="s">
        <v>127</v>
      </c>
      <c r="H889" s="130">
        <v>45695</v>
      </c>
      <c r="I889" s="130">
        <f t="shared" si="5"/>
        <v>45700</v>
      </c>
      <c r="J889" s="130"/>
      <c r="K889" s="130"/>
      <c r="L889" s="129" t="s">
        <v>414</v>
      </c>
      <c r="M889" s="130"/>
      <c r="N889" s="145"/>
      <c r="O889" s="29" t="s">
        <v>550</v>
      </c>
      <c r="P889" s="133"/>
    </row>
    <row r="890" spans="1:16" hidden="1">
      <c r="A890" s="29" t="s">
        <v>481</v>
      </c>
      <c r="B890" s="29">
        <v>36501131</v>
      </c>
      <c r="C890" s="29"/>
      <c r="E890" s="29"/>
      <c r="F890" s="29" t="s">
        <v>118</v>
      </c>
      <c r="G890" s="29" t="s">
        <v>127</v>
      </c>
      <c r="H890" s="130">
        <v>45695</v>
      </c>
      <c r="I890" s="130">
        <f t="shared" si="5"/>
        <v>45700</v>
      </c>
      <c r="J890" s="130"/>
      <c r="K890" s="130"/>
      <c r="L890" s="129" t="s">
        <v>414</v>
      </c>
      <c r="M890" s="130"/>
      <c r="N890" s="145"/>
      <c r="O890" s="29" t="s">
        <v>549</v>
      </c>
      <c r="P890" s="133"/>
    </row>
    <row r="891" spans="1:16" hidden="1">
      <c r="A891" s="29" t="s">
        <v>481</v>
      </c>
      <c r="B891" s="29">
        <v>36501011</v>
      </c>
      <c r="C891" s="29"/>
      <c r="E891" s="29"/>
      <c r="F891" s="29" t="s">
        <v>118</v>
      </c>
      <c r="G891" s="29" t="s">
        <v>127</v>
      </c>
      <c r="H891" s="130">
        <v>45695</v>
      </c>
      <c r="I891" s="130">
        <f t="shared" si="5"/>
        <v>45700</v>
      </c>
      <c r="J891" s="130"/>
      <c r="K891" s="130"/>
      <c r="L891" s="129" t="s">
        <v>414</v>
      </c>
      <c r="M891" s="130"/>
      <c r="N891" s="145"/>
      <c r="O891" s="29" t="s">
        <v>389</v>
      </c>
      <c r="P891" s="133"/>
    </row>
    <row r="892" spans="1:16" hidden="1">
      <c r="A892" s="29" t="s">
        <v>505</v>
      </c>
      <c r="B892" s="29">
        <v>39500389</v>
      </c>
      <c r="C892" s="29"/>
      <c r="E892" s="29"/>
      <c r="F892" s="29" t="s">
        <v>129</v>
      </c>
      <c r="G892" s="29" t="s">
        <v>506</v>
      </c>
      <c r="H892" s="130">
        <v>45696</v>
      </c>
      <c r="I892" s="130">
        <f t="shared" si="5"/>
        <v>45700</v>
      </c>
      <c r="J892" s="130"/>
      <c r="K892" s="130">
        <v>45720</v>
      </c>
      <c r="L892" s="129" t="s">
        <v>10</v>
      </c>
      <c r="M892" s="162"/>
      <c r="N892" s="163"/>
      <c r="O892" s="29" t="s">
        <v>551</v>
      </c>
      <c r="P892" s="133"/>
    </row>
    <row r="893" spans="1:16" hidden="1">
      <c r="A893" s="29" t="s">
        <v>505</v>
      </c>
      <c r="B893" s="29">
        <v>39500387</v>
      </c>
      <c r="C893" s="29"/>
      <c r="E893" s="29"/>
      <c r="F893" s="29" t="s">
        <v>129</v>
      </c>
      <c r="G893" s="29" t="s">
        <v>506</v>
      </c>
      <c r="H893" s="130">
        <v>45696</v>
      </c>
      <c r="I893" s="130">
        <f t="shared" si="5"/>
        <v>45700</v>
      </c>
      <c r="J893" s="130"/>
      <c r="K893" s="130">
        <v>45710</v>
      </c>
      <c r="L893" s="129" t="s">
        <v>10</v>
      </c>
      <c r="M893" s="162"/>
      <c r="N893" s="163"/>
      <c r="O893" s="29" t="s">
        <v>552</v>
      </c>
      <c r="P893" s="133"/>
    </row>
    <row r="894" spans="1:16" hidden="1">
      <c r="A894" s="29" t="s">
        <v>505</v>
      </c>
      <c r="B894" s="29">
        <v>39500392</v>
      </c>
      <c r="C894" s="29"/>
      <c r="E894" s="29"/>
      <c r="F894" s="29" t="s">
        <v>129</v>
      </c>
      <c r="G894" s="29" t="s">
        <v>506</v>
      </c>
      <c r="H894" s="130">
        <v>45696</v>
      </c>
      <c r="I894" s="130">
        <f t="shared" si="5"/>
        <v>45700</v>
      </c>
      <c r="J894" s="130"/>
      <c r="K894" s="130">
        <v>45710</v>
      </c>
      <c r="L894" s="129" t="s">
        <v>10</v>
      </c>
      <c r="M894" s="162"/>
      <c r="N894" s="163"/>
      <c r="O894" s="29" t="s">
        <v>552</v>
      </c>
      <c r="P894" s="133"/>
    </row>
    <row r="895" spans="1:16" hidden="1">
      <c r="A895" s="29" t="s">
        <v>505</v>
      </c>
      <c r="B895" s="29">
        <v>39500391</v>
      </c>
      <c r="C895" s="29"/>
      <c r="E895" s="29"/>
      <c r="F895" s="29" t="s">
        <v>129</v>
      </c>
      <c r="G895" s="29" t="s">
        <v>506</v>
      </c>
      <c r="H895" s="130">
        <v>45696</v>
      </c>
      <c r="I895" s="130">
        <f t="shared" si="5"/>
        <v>45700</v>
      </c>
      <c r="J895" s="130"/>
      <c r="K895" s="130">
        <v>45710</v>
      </c>
      <c r="L895" s="129" t="s">
        <v>10</v>
      </c>
      <c r="M895" s="162"/>
      <c r="N895" s="163"/>
      <c r="O895" s="29" t="s">
        <v>553</v>
      </c>
      <c r="P895" s="133"/>
    </row>
    <row r="896" spans="1:16" hidden="1">
      <c r="A896" s="29" t="s">
        <v>505</v>
      </c>
      <c r="B896" s="29">
        <v>39500395</v>
      </c>
      <c r="C896" s="29"/>
      <c r="E896" s="29"/>
      <c r="F896" s="29" t="s">
        <v>129</v>
      </c>
      <c r="G896" s="29" t="s">
        <v>506</v>
      </c>
      <c r="H896" s="130">
        <v>45696</v>
      </c>
      <c r="I896" s="130">
        <f t="shared" si="5"/>
        <v>45700</v>
      </c>
      <c r="J896" s="130"/>
      <c r="K896" s="130">
        <v>45719</v>
      </c>
      <c r="L896" s="129" t="s">
        <v>10</v>
      </c>
      <c r="M896" s="162"/>
      <c r="N896" s="163"/>
      <c r="O896" s="29" t="s">
        <v>554</v>
      </c>
      <c r="P896" s="133"/>
    </row>
    <row r="897" spans="1:16" hidden="1">
      <c r="A897" s="29" t="s">
        <v>505</v>
      </c>
      <c r="B897" s="29">
        <v>39500399</v>
      </c>
      <c r="C897" s="29"/>
      <c r="E897" s="29"/>
      <c r="F897" s="29" t="s">
        <v>129</v>
      </c>
      <c r="G897" s="29" t="s">
        <v>506</v>
      </c>
      <c r="H897" s="130">
        <v>45696</v>
      </c>
      <c r="I897" s="130">
        <f t="shared" si="5"/>
        <v>45700</v>
      </c>
      <c r="J897" s="130"/>
      <c r="K897" s="130">
        <v>45710</v>
      </c>
      <c r="L897" s="129" t="s">
        <v>10</v>
      </c>
      <c r="M897" s="162"/>
      <c r="N897" s="163"/>
      <c r="O897" s="29" t="s">
        <v>554</v>
      </c>
      <c r="P897" s="133"/>
    </row>
    <row r="898" spans="1:16" hidden="1">
      <c r="A898" s="29" t="s">
        <v>505</v>
      </c>
      <c r="B898" s="29">
        <v>39500402</v>
      </c>
      <c r="C898" s="29"/>
      <c r="E898" s="29"/>
      <c r="F898" s="29" t="s">
        <v>129</v>
      </c>
      <c r="G898" s="29" t="s">
        <v>506</v>
      </c>
      <c r="H898" s="130">
        <v>45696</v>
      </c>
      <c r="I898" s="130">
        <f t="shared" si="5"/>
        <v>45700</v>
      </c>
      <c r="J898" s="130"/>
      <c r="K898" s="130">
        <v>45709</v>
      </c>
      <c r="L898" s="129" t="s">
        <v>10</v>
      </c>
      <c r="M898" s="162"/>
      <c r="N898" s="163"/>
      <c r="O898" s="29" t="s">
        <v>555</v>
      </c>
      <c r="P898" s="133"/>
    </row>
    <row r="899" spans="1:16" hidden="1">
      <c r="A899" s="29" t="s">
        <v>505</v>
      </c>
      <c r="B899" s="29">
        <v>39500404</v>
      </c>
      <c r="C899" s="29"/>
      <c r="E899" s="29"/>
      <c r="F899" s="29" t="s">
        <v>129</v>
      </c>
      <c r="G899" s="29" t="s">
        <v>506</v>
      </c>
      <c r="H899" s="130">
        <v>45696</v>
      </c>
      <c r="I899" s="130">
        <f t="shared" si="5"/>
        <v>45700</v>
      </c>
      <c r="J899" s="130"/>
      <c r="K899" s="130">
        <v>45709</v>
      </c>
      <c r="L899" s="129" t="s">
        <v>10</v>
      </c>
      <c r="M899" s="162"/>
      <c r="N899" s="163"/>
      <c r="O899" s="29" t="s">
        <v>555</v>
      </c>
      <c r="P899" s="133"/>
    </row>
    <row r="900" spans="1:16" hidden="1">
      <c r="A900" s="29" t="s">
        <v>505</v>
      </c>
      <c r="B900" s="29">
        <v>39500405</v>
      </c>
      <c r="C900" s="29"/>
      <c r="E900" s="29"/>
      <c r="F900" s="29" t="s">
        <v>129</v>
      </c>
      <c r="G900" s="29" t="s">
        <v>506</v>
      </c>
      <c r="H900" s="130">
        <v>45696</v>
      </c>
      <c r="I900" s="130">
        <f t="shared" si="5"/>
        <v>45700</v>
      </c>
      <c r="J900" s="130"/>
      <c r="K900" s="130">
        <v>45709</v>
      </c>
      <c r="L900" s="129" t="s">
        <v>10</v>
      </c>
      <c r="M900" s="162"/>
      <c r="N900" s="163"/>
      <c r="O900" s="29" t="s">
        <v>556</v>
      </c>
      <c r="P900" s="133"/>
    </row>
    <row r="901" spans="1:16" hidden="1">
      <c r="A901" s="29" t="s">
        <v>505</v>
      </c>
      <c r="B901" s="29">
        <v>39500411</v>
      </c>
      <c r="C901" s="29"/>
      <c r="E901" s="29"/>
      <c r="F901" s="29" t="s">
        <v>129</v>
      </c>
      <c r="G901" s="29" t="s">
        <v>506</v>
      </c>
      <c r="H901" s="130">
        <v>45696</v>
      </c>
      <c r="I901" s="130">
        <f t="shared" si="5"/>
        <v>45700</v>
      </c>
      <c r="J901" s="130"/>
      <c r="K901" s="130">
        <v>45710</v>
      </c>
      <c r="L901" s="129" t="s">
        <v>10</v>
      </c>
      <c r="M901" s="162"/>
      <c r="N901" s="163"/>
      <c r="O901" s="29" t="s">
        <v>553</v>
      </c>
      <c r="P901" s="133"/>
    </row>
    <row r="902" spans="1:16" hidden="1">
      <c r="A902" s="29" t="s">
        <v>505</v>
      </c>
      <c r="B902" s="29">
        <v>39500408</v>
      </c>
      <c r="C902" s="29"/>
      <c r="E902" s="29"/>
      <c r="F902" s="29" t="s">
        <v>129</v>
      </c>
      <c r="G902" s="29" t="s">
        <v>506</v>
      </c>
      <c r="H902" s="130">
        <v>45696</v>
      </c>
      <c r="I902" s="130">
        <f t="shared" si="5"/>
        <v>45700</v>
      </c>
      <c r="J902" s="130"/>
      <c r="K902" s="130">
        <v>45710</v>
      </c>
      <c r="L902" s="129" t="s">
        <v>10</v>
      </c>
      <c r="M902" s="162"/>
      <c r="N902" s="163"/>
      <c r="O902" s="29" t="s">
        <v>555</v>
      </c>
      <c r="P902" s="133"/>
    </row>
    <row r="903" spans="1:16" hidden="1">
      <c r="A903" s="84" t="s">
        <v>510</v>
      </c>
      <c r="B903" s="41">
        <v>44504002</v>
      </c>
      <c r="C903" s="41"/>
      <c r="E903" s="41"/>
      <c r="F903" s="29" t="s">
        <v>129</v>
      </c>
      <c r="G903" s="29" t="s">
        <v>385</v>
      </c>
      <c r="H903" s="130">
        <v>45701</v>
      </c>
      <c r="I903" s="130">
        <f t="shared" si="5"/>
        <v>45706</v>
      </c>
      <c r="J903" s="130"/>
      <c r="K903" s="130"/>
      <c r="L903" s="129" t="s">
        <v>414</v>
      </c>
      <c r="M903" s="130"/>
      <c r="N903" s="145"/>
      <c r="O903" s="41" t="s">
        <v>168</v>
      </c>
      <c r="P903" s="133"/>
    </row>
    <row r="904" spans="1:16" hidden="1">
      <c r="A904" s="84" t="s">
        <v>510</v>
      </c>
      <c r="B904" s="41">
        <v>44504071</v>
      </c>
      <c r="C904" s="41"/>
      <c r="E904" s="41"/>
      <c r="F904" s="29" t="s">
        <v>129</v>
      </c>
      <c r="G904" s="29" t="s">
        <v>385</v>
      </c>
      <c r="H904" s="130">
        <v>45701</v>
      </c>
      <c r="I904" s="130">
        <f t="shared" si="5"/>
        <v>45706</v>
      </c>
      <c r="J904" s="130"/>
      <c r="K904" s="130"/>
      <c r="L904" s="129" t="s">
        <v>414</v>
      </c>
      <c r="M904" s="130"/>
      <c r="N904" s="145"/>
      <c r="O904" s="41" t="s">
        <v>168</v>
      </c>
      <c r="P904" s="133"/>
    </row>
    <row r="905" spans="1:16" hidden="1">
      <c r="A905" s="84" t="s">
        <v>510</v>
      </c>
      <c r="B905" s="41">
        <v>44504166</v>
      </c>
      <c r="C905" s="41"/>
      <c r="E905" s="41"/>
      <c r="F905" s="29" t="s">
        <v>129</v>
      </c>
      <c r="G905" s="29" t="s">
        <v>385</v>
      </c>
      <c r="H905" s="130">
        <v>45701</v>
      </c>
      <c r="I905" s="130">
        <f t="shared" si="5"/>
        <v>45706</v>
      </c>
      <c r="J905" s="130"/>
      <c r="K905" s="130"/>
      <c r="L905" s="129" t="s">
        <v>414</v>
      </c>
      <c r="M905" s="130"/>
      <c r="N905" s="145"/>
      <c r="O905" s="41" t="s">
        <v>168</v>
      </c>
      <c r="P905" s="133"/>
    </row>
    <row r="906" spans="1:16" hidden="1">
      <c r="A906" s="84" t="s">
        <v>510</v>
      </c>
      <c r="B906" s="41">
        <v>44504210</v>
      </c>
      <c r="C906" s="41"/>
      <c r="E906" s="41"/>
      <c r="F906" s="29" t="s">
        <v>129</v>
      </c>
      <c r="G906" s="29" t="s">
        <v>385</v>
      </c>
      <c r="H906" s="130">
        <v>45701</v>
      </c>
      <c r="I906" s="130">
        <f t="shared" si="5"/>
        <v>45706</v>
      </c>
      <c r="J906" s="130"/>
      <c r="K906" s="130"/>
      <c r="L906" s="129" t="s">
        <v>414</v>
      </c>
      <c r="M906" s="130"/>
      <c r="N906" s="145"/>
      <c r="O906" s="41" t="s">
        <v>557</v>
      </c>
      <c r="P906" s="133"/>
    </row>
    <row r="907" spans="1:16" hidden="1">
      <c r="A907" s="84" t="s">
        <v>510</v>
      </c>
      <c r="B907" s="41">
        <v>44504348</v>
      </c>
      <c r="C907" s="41"/>
      <c r="E907" s="41"/>
      <c r="F907" s="29" t="s">
        <v>129</v>
      </c>
      <c r="G907" s="29" t="s">
        <v>385</v>
      </c>
      <c r="H907" s="130">
        <v>45701</v>
      </c>
      <c r="I907" s="130">
        <f t="shared" si="5"/>
        <v>45706</v>
      </c>
      <c r="J907" s="130"/>
      <c r="K907" s="130"/>
      <c r="L907" s="129" t="s">
        <v>414</v>
      </c>
      <c r="M907" s="130"/>
      <c r="N907" s="145"/>
      <c r="O907" s="41" t="s">
        <v>168</v>
      </c>
      <c r="P907" s="133"/>
    </row>
    <row r="908" spans="1:16" hidden="1">
      <c r="A908" s="84" t="s">
        <v>510</v>
      </c>
      <c r="B908" s="41">
        <v>44504648</v>
      </c>
      <c r="C908" s="41"/>
      <c r="E908" s="41"/>
      <c r="F908" s="29" t="s">
        <v>129</v>
      </c>
      <c r="G908" s="29" t="s">
        <v>385</v>
      </c>
      <c r="H908" s="130">
        <v>45701</v>
      </c>
      <c r="I908" s="130">
        <f t="shared" ref="I908:I971" si="6">WORKDAY(H908, 3)</f>
        <v>45706</v>
      </c>
      <c r="J908" s="130"/>
      <c r="K908" s="130"/>
      <c r="L908" s="129" t="s">
        <v>414</v>
      </c>
      <c r="M908" s="130"/>
      <c r="N908" s="145"/>
      <c r="O908" s="41" t="s">
        <v>557</v>
      </c>
      <c r="P908" s="133"/>
    </row>
    <row r="909" spans="1:16" hidden="1">
      <c r="A909" s="84" t="s">
        <v>510</v>
      </c>
      <c r="B909" s="41">
        <v>44504605</v>
      </c>
      <c r="C909" s="41"/>
      <c r="E909" s="41"/>
      <c r="F909" s="29" t="s">
        <v>129</v>
      </c>
      <c r="G909" s="29" t="s">
        <v>385</v>
      </c>
      <c r="H909" s="130">
        <v>45701</v>
      </c>
      <c r="I909" s="130">
        <f t="shared" si="6"/>
        <v>45706</v>
      </c>
      <c r="J909" s="130"/>
      <c r="K909" s="130"/>
      <c r="L909" s="129" t="s">
        <v>414</v>
      </c>
      <c r="M909" s="130"/>
      <c r="N909" s="145"/>
      <c r="O909" s="41" t="s">
        <v>558</v>
      </c>
      <c r="P909" s="133"/>
    </row>
    <row r="910" spans="1:16" hidden="1">
      <c r="A910" s="41" t="s">
        <v>559</v>
      </c>
      <c r="B910" s="41">
        <v>49508930</v>
      </c>
      <c r="C910" s="41"/>
      <c r="E910" s="41"/>
      <c r="F910" s="29" t="s">
        <v>129</v>
      </c>
      <c r="G910" s="29" t="s">
        <v>145</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129</v>
      </c>
      <c r="G911" s="29" t="s">
        <v>145</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129</v>
      </c>
      <c r="G912" s="29" t="s">
        <v>145</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129</v>
      </c>
      <c r="G913" s="29" t="s">
        <v>145</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129</v>
      </c>
      <c r="G914" s="29" t="s">
        <v>145</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129</v>
      </c>
      <c r="G915" s="29" t="s">
        <v>145</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129</v>
      </c>
      <c r="G916" s="29" t="s">
        <v>145</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129</v>
      </c>
      <c r="G917" s="29" t="s">
        <v>145</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129</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129</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129</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129</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129</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129</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129</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129</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129</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129</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129</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129</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129</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129</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129</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129</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129</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129</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129</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129</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129</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129</v>
      </c>
      <c r="G939" s="29" t="s">
        <v>582</v>
      </c>
      <c r="H939" s="42">
        <v>45699</v>
      </c>
      <c r="I939" s="130">
        <f t="shared" si="6"/>
        <v>45702</v>
      </c>
      <c r="J939" s="42"/>
      <c r="K939" s="42">
        <v>45715</v>
      </c>
      <c r="L939" s="129" t="s">
        <v>10</v>
      </c>
      <c r="M939" s="162"/>
      <c r="N939" s="163"/>
      <c r="O939" s="41" t="s">
        <v>589</v>
      </c>
    </row>
    <row r="940" spans="1:16" hidden="1">
      <c r="A940" s="41" t="s">
        <v>144</v>
      </c>
      <c r="B940" s="41">
        <v>3506891</v>
      </c>
      <c r="C940" s="41"/>
      <c r="E940" s="41"/>
      <c r="F940" s="29" t="s">
        <v>129</v>
      </c>
      <c r="G940" s="29" t="s">
        <v>145</v>
      </c>
      <c r="H940" s="42">
        <v>45695</v>
      </c>
      <c r="I940" s="130">
        <f t="shared" si="6"/>
        <v>45700</v>
      </c>
      <c r="J940" s="42"/>
      <c r="K940" s="42"/>
      <c r="L940" s="129" t="s">
        <v>414</v>
      </c>
      <c r="M940" s="42"/>
      <c r="N940" s="146"/>
      <c r="O940" s="41" t="s">
        <v>185</v>
      </c>
    </row>
    <row r="941" spans="1:16" hidden="1">
      <c r="A941" s="41" t="s">
        <v>144</v>
      </c>
      <c r="B941" s="41">
        <v>35506896</v>
      </c>
      <c r="C941" s="41"/>
      <c r="E941" s="41"/>
      <c r="F941" s="29" t="s">
        <v>129</v>
      </c>
      <c r="G941" s="29" t="s">
        <v>145</v>
      </c>
      <c r="H941" s="42">
        <v>45695</v>
      </c>
      <c r="I941" s="130">
        <f t="shared" si="6"/>
        <v>45700</v>
      </c>
      <c r="J941" s="42"/>
      <c r="K941" s="42"/>
      <c r="L941" s="129" t="s">
        <v>414</v>
      </c>
      <c r="M941" s="42"/>
      <c r="N941" s="146"/>
      <c r="O941" s="41" t="s">
        <v>186</v>
      </c>
    </row>
    <row r="942" spans="1:16" hidden="1">
      <c r="A942" s="41" t="s">
        <v>559</v>
      </c>
      <c r="B942" s="41">
        <v>50508888</v>
      </c>
      <c r="C942" s="41"/>
      <c r="E942" s="41"/>
      <c r="F942" s="29" t="s">
        <v>129</v>
      </c>
      <c r="G942" s="29" t="s">
        <v>145</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129</v>
      </c>
      <c r="G943" s="29" t="s">
        <v>145</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129</v>
      </c>
      <c r="G944" s="29" t="s">
        <v>145</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129</v>
      </c>
      <c r="G945" s="29" t="s">
        <v>145</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129</v>
      </c>
      <c r="G946" s="29" t="s">
        <v>145</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129</v>
      </c>
      <c r="G947" s="29" t="s">
        <v>145</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129</v>
      </c>
      <c r="G948" s="29" t="s">
        <v>145</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129</v>
      </c>
      <c r="G949" s="29" t="s">
        <v>145</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129</v>
      </c>
      <c r="G950" s="29" t="s">
        <v>145</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129</v>
      </c>
      <c r="G951" s="29" t="s">
        <v>145</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129</v>
      </c>
      <c r="G952" s="29" t="s">
        <v>145</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129</v>
      </c>
      <c r="G953" s="29" t="s">
        <v>145</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129</v>
      </c>
      <c r="G954" s="29" t="s">
        <v>145</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129</v>
      </c>
      <c r="G955" s="29" t="s">
        <v>145</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129</v>
      </c>
      <c r="G956" s="29" t="s">
        <v>145</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129</v>
      </c>
      <c r="G957" s="29" t="s">
        <v>145</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129</v>
      </c>
      <c r="G958" s="29" t="s">
        <v>145</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129</v>
      </c>
      <c r="G959" s="29" t="s">
        <v>145</v>
      </c>
      <c r="H959" s="42">
        <v>45707</v>
      </c>
      <c r="I959" s="130">
        <f t="shared" si="6"/>
        <v>45712</v>
      </c>
      <c r="J959" s="42"/>
      <c r="K959" s="42">
        <v>45713</v>
      </c>
      <c r="L959" s="129" t="s">
        <v>10</v>
      </c>
      <c r="M959" s="162"/>
      <c r="N959" s="163"/>
      <c r="O959" s="41" t="s">
        <v>607</v>
      </c>
    </row>
    <row r="960" spans="1:15" hidden="1">
      <c r="A960" s="41" t="s">
        <v>510</v>
      </c>
      <c r="B960" s="41">
        <v>51502012</v>
      </c>
      <c r="C960" s="41"/>
      <c r="E960" s="41"/>
      <c r="F960" s="41" t="s">
        <v>129</v>
      </c>
      <c r="G960" s="41" t="s">
        <v>127</v>
      </c>
      <c r="H960" s="42">
        <v>45707</v>
      </c>
      <c r="I960" s="130">
        <f t="shared" si="6"/>
        <v>45712</v>
      </c>
      <c r="J960" s="42">
        <v>45729</v>
      </c>
      <c r="K960" s="42"/>
      <c r="L960" s="129" t="s">
        <v>414</v>
      </c>
      <c r="M960" s="42"/>
      <c r="N960" s="146"/>
      <c r="O960" s="41" t="s">
        <v>608</v>
      </c>
    </row>
    <row r="961" spans="1:15" hidden="1">
      <c r="A961" s="41" t="s">
        <v>510</v>
      </c>
      <c r="B961" s="41">
        <v>51501917</v>
      </c>
      <c r="C961" s="41"/>
      <c r="E961" s="41"/>
      <c r="F961" s="41" t="s">
        <v>129</v>
      </c>
      <c r="G961" s="41" t="s">
        <v>127</v>
      </c>
      <c r="H961" s="42">
        <v>45707</v>
      </c>
      <c r="I961" s="130">
        <f t="shared" si="6"/>
        <v>45712</v>
      </c>
      <c r="J961" s="42">
        <v>45729</v>
      </c>
      <c r="K961" s="42"/>
      <c r="L961" s="129" t="s">
        <v>414</v>
      </c>
      <c r="M961" s="42"/>
      <c r="N961" s="146"/>
      <c r="O961" s="41" t="s">
        <v>609</v>
      </c>
    </row>
    <row r="962" spans="1:15" hidden="1">
      <c r="A962" s="41" t="s">
        <v>510</v>
      </c>
      <c r="B962" s="41">
        <v>51501848</v>
      </c>
      <c r="C962" s="41"/>
      <c r="E962" s="41"/>
      <c r="F962" s="41" t="s">
        <v>129</v>
      </c>
      <c r="G962" s="41" t="s">
        <v>127</v>
      </c>
      <c r="H962" s="42">
        <v>45707</v>
      </c>
      <c r="I962" s="130">
        <f t="shared" si="6"/>
        <v>45712</v>
      </c>
      <c r="J962" s="42">
        <v>45729</v>
      </c>
      <c r="K962" s="42"/>
      <c r="L962" s="129" t="s">
        <v>414</v>
      </c>
      <c r="M962" s="42"/>
      <c r="N962" s="146"/>
      <c r="O962" s="41" t="s">
        <v>610</v>
      </c>
    </row>
    <row r="963" spans="1:15" hidden="1">
      <c r="A963" s="41" t="s">
        <v>510</v>
      </c>
      <c r="B963" s="41">
        <v>51501787</v>
      </c>
      <c r="C963" s="41"/>
      <c r="E963" s="41"/>
      <c r="F963" s="41" t="s">
        <v>129</v>
      </c>
      <c r="G963" s="41" t="s">
        <v>127</v>
      </c>
      <c r="H963" s="42">
        <v>45707</v>
      </c>
      <c r="I963" s="130">
        <f t="shared" si="6"/>
        <v>45712</v>
      </c>
      <c r="J963" s="42">
        <v>45729</v>
      </c>
      <c r="K963" s="42"/>
      <c r="L963" s="129" t="s">
        <v>414</v>
      </c>
      <c r="M963" s="42"/>
      <c r="N963" s="146"/>
      <c r="O963" s="41" t="s">
        <v>611</v>
      </c>
    </row>
    <row r="964" spans="1:15" hidden="1">
      <c r="A964" s="41" t="s">
        <v>510</v>
      </c>
      <c r="B964" s="41">
        <v>51501764</v>
      </c>
      <c r="C964" s="41"/>
      <c r="E964" s="41"/>
      <c r="F964" s="41" t="s">
        <v>129</v>
      </c>
      <c r="G964" s="41" t="s">
        <v>127</v>
      </c>
      <c r="H964" s="42">
        <v>45707</v>
      </c>
      <c r="I964" s="130">
        <f t="shared" si="6"/>
        <v>45712</v>
      </c>
      <c r="J964" s="42">
        <v>45729</v>
      </c>
      <c r="K964" s="42"/>
      <c r="L964" s="129" t="s">
        <v>414</v>
      </c>
      <c r="M964" s="42"/>
      <c r="N964" s="146"/>
      <c r="O964" s="41" t="s">
        <v>612</v>
      </c>
    </row>
    <row r="965" spans="1:15" hidden="1">
      <c r="A965" s="41" t="s">
        <v>510</v>
      </c>
      <c r="B965" s="41">
        <v>51501708</v>
      </c>
      <c r="C965" s="41"/>
      <c r="E965" s="41"/>
      <c r="F965" s="41" t="s">
        <v>129</v>
      </c>
      <c r="G965" s="41" t="s">
        <v>127</v>
      </c>
      <c r="H965" s="42">
        <v>45707</v>
      </c>
      <c r="I965" s="130">
        <f t="shared" si="6"/>
        <v>45712</v>
      </c>
      <c r="J965" s="42">
        <v>45729</v>
      </c>
      <c r="K965" s="42"/>
      <c r="L965" s="129" t="s">
        <v>414</v>
      </c>
      <c r="M965" s="42"/>
      <c r="N965" s="146"/>
      <c r="O965" s="41" t="s">
        <v>613</v>
      </c>
    </row>
    <row r="966" spans="1:15" hidden="1">
      <c r="A966" s="41" t="s">
        <v>510</v>
      </c>
      <c r="B966" s="41">
        <v>51501555</v>
      </c>
      <c r="C966" s="41"/>
      <c r="E966" s="41"/>
      <c r="F966" s="41" t="s">
        <v>129</v>
      </c>
      <c r="G966" s="41" t="s">
        <v>127</v>
      </c>
      <c r="H966" s="42">
        <v>45707</v>
      </c>
      <c r="I966" s="130">
        <f t="shared" si="6"/>
        <v>45712</v>
      </c>
      <c r="J966" s="42">
        <v>45729</v>
      </c>
      <c r="K966" s="42"/>
      <c r="L966" s="129" t="s">
        <v>414</v>
      </c>
      <c r="M966" s="42"/>
      <c r="N966" s="146"/>
      <c r="O966" s="41" t="s">
        <v>614</v>
      </c>
    </row>
    <row r="967" spans="1:15" hidden="1">
      <c r="A967" s="41" t="s">
        <v>510</v>
      </c>
      <c r="B967" s="41">
        <v>51501514</v>
      </c>
      <c r="C967" s="41"/>
      <c r="E967" s="41"/>
      <c r="F967" s="41" t="s">
        <v>129</v>
      </c>
      <c r="G967" s="41" t="s">
        <v>127</v>
      </c>
      <c r="H967" s="42">
        <v>45707</v>
      </c>
      <c r="I967" s="130">
        <f t="shared" si="6"/>
        <v>45712</v>
      </c>
      <c r="J967" s="42">
        <v>45729</v>
      </c>
      <c r="K967" s="42"/>
      <c r="L967" s="129" t="s">
        <v>414</v>
      </c>
      <c r="M967" s="42"/>
      <c r="N967" s="146"/>
      <c r="O967" s="41" t="s">
        <v>615</v>
      </c>
    </row>
    <row r="968" spans="1:15" hidden="1">
      <c r="A968" s="41" t="s">
        <v>510</v>
      </c>
      <c r="B968" s="41">
        <v>51501396</v>
      </c>
      <c r="C968" s="41"/>
      <c r="E968" s="41"/>
      <c r="F968" s="41" t="s">
        <v>129</v>
      </c>
      <c r="G968" s="41" t="s">
        <v>127</v>
      </c>
      <c r="H968" s="42">
        <v>45707</v>
      </c>
      <c r="I968" s="130">
        <f t="shared" si="6"/>
        <v>45712</v>
      </c>
      <c r="J968" s="42">
        <v>45729</v>
      </c>
      <c r="K968" s="42"/>
      <c r="L968" s="129" t="s">
        <v>414</v>
      </c>
      <c r="M968" s="42"/>
      <c r="N968" s="146"/>
      <c r="O968" s="41" t="s">
        <v>616</v>
      </c>
    </row>
    <row r="969" spans="1:15" hidden="1">
      <c r="A969" s="41" t="s">
        <v>510</v>
      </c>
      <c r="B969" s="41">
        <v>51501091</v>
      </c>
      <c r="C969" s="41"/>
      <c r="E969" s="41"/>
      <c r="F969" s="41" t="s">
        <v>129</v>
      </c>
      <c r="G969" s="41" t="s">
        <v>127</v>
      </c>
      <c r="H969" s="42">
        <v>45707</v>
      </c>
      <c r="I969" s="130">
        <f t="shared" si="6"/>
        <v>45712</v>
      </c>
      <c r="J969" s="42">
        <v>45729</v>
      </c>
      <c r="K969" s="42"/>
      <c r="L969" s="129" t="s">
        <v>414</v>
      </c>
      <c r="M969" s="42"/>
      <c r="N969" s="146"/>
      <c r="O969" s="41" t="s">
        <v>617</v>
      </c>
    </row>
    <row r="970" spans="1:15" hidden="1">
      <c r="A970" s="41" t="s">
        <v>510</v>
      </c>
      <c r="B970" s="41">
        <v>51501043</v>
      </c>
      <c r="C970" s="41"/>
      <c r="E970" s="41"/>
      <c r="F970" s="41" t="s">
        <v>129</v>
      </c>
      <c r="G970" s="41" t="s">
        <v>127</v>
      </c>
      <c r="H970" s="42">
        <v>45707</v>
      </c>
      <c r="I970" s="130">
        <f t="shared" si="6"/>
        <v>45712</v>
      </c>
      <c r="J970" s="42">
        <v>45729</v>
      </c>
      <c r="K970" s="42">
        <v>45714</v>
      </c>
      <c r="L970" s="129" t="s">
        <v>572</v>
      </c>
      <c r="M970" s="162"/>
      <c r="N970" s="163"/>
      <c r="O970" s="41" t="s">
        <v>618</v>
      </c>
    </row>
    <row r="971" spans="1:15" hidden="1">
      <c r="A971" s="41" t="s">
        <v>510</v>
      </c>
      <c r="B971" s="41">
        <v>51500986</v>
      </c>
      <c r="C971" s="41"/>
      <c r="E971" s="41"/>
      <c r="F971" s="41" t="s">
        <v>129</v>
      </c>
      <c r="G971" s="41" t="s">
        <v>127</v>
      </c>
      <c r="H971" s="42">
        <v>45707</v>
      </c>
      <c r="I971" s="130">
        <f t="shared" si="6"/>
        <v>45712</v>
      </c>
      <c r="J971" s="42"/>
      <c r="K971" s="42">
        <v>45714</v>
      </c>
      <c r="L971" s="129" t="s">
        <v>572</v>
      </c>
      <c r="M971" s="162"/>
      <c r="N971" s="163"/>
      <c r="O971" s="41" t="s">
        <v>619</v>
      </c>
    </row>
    <row r="972" spans="1:15" hidden="1">
      <c r="A972" s="41" t="s">
        <v>510</v>
      </c>
      <c r="B972" s="41">
        <v>51500941</v>
      </c>
      <c r="C972" s="41"/>
      <c r="E972" s="41"/>
      <c r="F972" s="41" t="s">
        <v>129</v>
      </c>
      <c r="G972" s="41" t="s">
        <v>127</v>
      </c>
      <c r="H972" s="42">
        <v>45707</v>
      </c>
      <c r="I972" s="130">
        <f t="shared" ref="I972:I1035" si="7">WORKDAY(H972, 3)</f>
        <v>45712</v>
      </c>
      <c r="J972" s="42">
        <v>45729</v>
      </c>
      <c r="K972" s="42"/>
      <c r="L972" s="129" t="s">
        <v>414</v>
      </c>
      <c r="M972" s="42"/>
      <c r="N972" s="146"/>
      <c r="O972" s="41" t="s">
        <v>620</v>
      </c>
    </row>
    <row r="973" spans="1:15" hidden="1">
      <c r="A973" s="41" t="s">
        <v>510</v>
      </c>
      <c r="B973" s="41">
        <v>51500845</v>
      </c>
      <c r="C973" s="41"/>
      <c r="E973" s="41"/>
      <c r="F973" s="41" t="s">
        <v>129</v>
      </c>
      <c r="G973" s="41" t="s">
        <v>127</v>
      </c>
      <c r="H973" s="42">
        <v>45707</v>
      </c>
      <c r="I973" s="130">
        <f t="shared" si="7"/>
        <v>45712</v>
      </c>
      <c r="J973" s="42"/>
      <c r="K973" s="42">
        <v>45713</v>
      </c>
      <c r="L973" s="129" t="s">
        <v>10</v>
      </c>
      <c r="M973" s="162"/>
      <c r="N973" s="163"/>
      <c r="O973" s="41" t="s">
        <v>621</v>
      </c>
    </row>
    <row r="974" spans="1:15" hidden="1">
      <c r="A974" s="41" t="s">
        <v>510</v>
      </c>
      <c r="B974" s="41">
        <v>51500819</v>
      </c>
      <c r="C974" s="41"/>
      <c r="E974" s="41"/>
      <c r="F974" s="41" t="s">
        <v>129</v>
      </c>
      <c r="G974" s="41" t="s">
        <v>127</v>
      </c>
      <c r="H974" s="42">
        <v>45707</v>
      </c>
      <c r="I974" s="130">
        <f t="shared" si="7"/>
        <v>45712</v>
      </c>
      <c r="J974" s="42"/>
      <c r="K974" s="42">
        <v>45713</v>
      </c>
      <c r="L974" s="129" t="s">
        <v>10</v>
      </c>
      <c r="M974" s="162"/>
      <c r="N974" s="163"/>
      <c r="O974" s="41" t="s">
        <v>622</v>
      </c>
    </row>
    <row r="975" spans="1:15" hidden="1">
      <c r="A975" s="41" t="s">
        <v>510</v>
      </c>
      <c r="B975" s="41">
        <v>51500770</v>
      </c>
      <c r="C975" s="41"/>
      <c r="E975" s="41"/>
      <c r="F975" s="41" t="s">
        <v>129</v>
      </c>
      <c r="G975" s="41" t="s">
        <v>127</v>
      </c>
      <c r="H975" s="42">
        <v>45707</v>
      </c>
      <c r="I975" s="130">
        <f t="shared" si="7"/>
        <v>45712</v>
      </c>
      <c r="J975" s="42"/>
      <c r="K975" s="42">
        <v>45714</v>
      </c>
      <c r="L975" s="129" t="s">
        <v>10</v>
      </c>
      <c r="M975" s="162"/>
      <c r="N975" s="163"/>
      <c r="O975" s="41" t="s">
        <v>623</v>
      </c>
    </row>
    <row r="976" spans="1:15" hidden="1">
      <c r="A976" s="157" t="s">
        <v>344</v>
      </c>
      <c r="B976" s="41">
        <v>51504010</v>
      </c>
      <c r="C976" s="41"/>
      <c r="E976" s="41"/>
      <c r="F976" s="41" t="s">
        <v>129</v>
      </c>
      <c r="G976" s="29" t="s">
        <v>213</v>
      </c>
      <c r="H976" s="42">
        <v>45708</v>
      </c>
      <c r="I976" s="130">
        <f t="shared" si="7"/>
        <v>45713</v>
      </c>
      <c r="J976" s="42"/>
      <c r="K976" s="42">
        <v>45714</v>
      </c>
      <c r="L976" s="129" t="s">
        <v>10</v>
      </c>
      <c r="M976" s="162"/>
      <c r="N976" s="163"/>
      <c r="O976" s="41" t="s">
        <v>624</v>
      </c>
    </row>
    <row r="977" spans="1:15" hidden="1">
      <c r="A977" s="157" t="s">
        <v>344</v>
      </c>
      <c r="B977" s="41">
        <v>51504029</v>
      </c>
      <c r="C977" s="41"/>
      <c r="E977" s="41"/>
      <c r="F977" s="41" t="s">
        <v>129</v>
      </c>
      <c r="G977" s="29" t="s">
        <v>213</v>
      </c>
      <c r="H977" s="42">
        <v>45708</v>
      </c>
      <c r="I977" s="130">
        <f t="shared" si="7"/>
        <v>45713</v>
      </c>
      <c r="J977" s="42"/>
      <c r="K977" s="42">
        <v>45714</v>
      </c>
      <c r="L977" s="129" t="s">
        <v>572</v>
      </c>
      <c r="M977" s="162"/>
      <c r="N977" s="163"/>
      <c r="O977" s="41" t="s">
        <v>625</v>
      </c>
    </row>
    <row r="978" spans="1:15" hidden="1">
      <c r="A978" s="157" t="s">
        <v>344</v>
      </c>
      <c r="B978" s="41">
        <v>51504084</v>
      </c>
      <c r="C978" s="41"/>
      <c r="E978" s="41"/>
      <c r="F978" s="41" t="s">
        <v>129</v>
      </c>
      <c r="G978" s="29" t="s">
        <v>213</v>
      </c>
      <c r="H978" s="42">
        <v>45708</v>
      </c>
      <c r="I978" s="130">
        <f t="shared" si="7"/>
        <v>45713</v>
      </c>
      <c r="J978" s="42"/>
      <c r="K978" s="42">
        <v>45714</v>
      </c>
      <c r="L978" s="129" t="s">
        <v>572</v>
      </c>
      <c r="M978" s="162"/>
      <c r="N978" s="163"/>
      <c r="O978" s="41" t="s">
        <v>626</v>
      </c>
    </row>
    <row r="979" spans="1:15" hidden="1">
      <c r="A979" s="157" t="s">
        <v>344</v>
      </c>
      <c r="B979" s="41">
        <v>51504102</v>
      </c>
      <c r="C979" s="41"/>
      <c r="E979" s="41"/>
      <c r="F979" s="41" t="s">
        <v>129</v>
      </c>
      <c r="G979" s="29" t="s">
        <v>213</v>
      </c>
      <c r="H979" s="42">
        <v>45708</v>
      </c>
      <c r="I979" s="130">
        <f t="shared" si="7"/>
        <v>45713</v>
      </c>
      <c r="J979" s="42"/>
      <c r="K979" s="42">
        <v>45720</v>
      </c>
      <c r="L979" s="129" t="s">
        <v>572</v>
      </c>
      <c r="M979" s="162"/>
      <c r="N979" s="163"/>
      <c r="O979" s="41" t="s">
        <v>359</v>
      </c>
    </row>
    <row r="980" spans="1:15" hidden="1">
      <c r="A980" s="157" t="s">
        <v>344</v>
      </c>
      <c r="B980" s="41">
        <v>51504117</v>
      </c>
      <c r="C980" s="41"/>
      <c r="E980" s="41"/>
      <c r="F980" s="41" t="s">
        <v>129</v>
      </c>
      <c r="G980" s="29" t="s">
        <v>213</v>
      </c>
      <c r="H980" s="42">
        <v>45708</v>
      </c>
      <c r="I980" s="130">
        <f t="shared" si="7"/>
        <v>45713</v>
      </c>
      <c r="J980" s="42"/>
      <c r="K980" s="42">
        <v>45714</v>
      </c>
      <c r="L980" s="129" t="s">
        <v>572</v>
      </c>
      <c r="M980" s="162"/>
      <c r="N980" s="163"/>
      <c r="O980" s="41" t="s">
        <v>360</v>
      </c>
    </row>
    <row r="981" spans="1:15" hidden="1">
      <c r="A981" s="157" t="s">
        <v>344</v>
      </c>
      <c r="B981" s="41">
        <v>51504128</v>
      </c>
      <c r="C981" s="41"/>
      <c r="E981" s="41"/>
      <c r="F981" s="41" t="s">
        <v>129</v>
      </c>
      <c r="G981" s="29" t="s">
        <v>213</v>
      </c>
      <c r="H981" s="42">
        <v>45708</v>
      </c>
      <c r="I981" s="130">
        <f t="shared" si="7"/>
        <v>45713</v>
      </c>
      <c r="J981" s="42"/>
      <c r="K981" s="42">
        <v>45714</v>
      </c>
      <c r="L981" s="129" t="s">
        <v>572</v>
      </c>
      <c r="M981" s="162"/>
      <c r="N981" s="163"/>
      <c r="O981" s="41" t="s">
        <v>361</v>
      </c>
    </row>
    <row r="982" spans="1:15" hidden="1">
      <c r="A982" s="157" t="s">
        <v>344</v>
      </c>
      <c r="B982" s="41">
        <v>51504144</v>
      </c>
      <c r="C982" s="41"/>
      <c r="E982" s="41"/>
      <c r="F982" s="41" t="s">
        <v>129</v>
      </c>
      <c r="G982" s="29" t="s">
        <v>213</v>
      </c>
      <c r="H982" s="42">
        <v>45708</v>
      </c>
      <c r="I982" s="130">
        <f t="shared" si="7"/>
        <v>45713</v>
      </c>
      <c r="J982" s="42">
        <v>45729</v>
      </c>
      <c r="K982" s="42"/>
      <c r="L982" s="129" t="s">
        <v>414</v>
      </c>
      <c r="M982" s="42"/>
      <c r="N982" s="146"/>
      <c r="O982" s="41" t="s">
        <v>362</v>
      </c>
    </row>
    <row r="983" spans="1:15" hidden="1">
      <c r="A983" s="157" t="s">
        <v>344</v>
      </c>
      <c r="B983" s="41">
        <v>51504155</v>
      </c>
      <c r="C983" s="41"/>
      <c r="E983" s="41"/>
      <c r="F983" s="41" t="s">
        <v>129</v>
      </c>
      <c r="G983" s="29" t="s">
        <v>213</v>
      </c>
      <c r="H983" s="42">
        <v>45708</v>
      </c>
      <c r="I983" s="130">
        <f t="shared" si="7"/>
        <v>45713</v>
      </c>
      <c r="J983" s="42">
        <v>45729</v>
      </c>
      <c r="K983" s="42"/>
      <c r="L983" s="129" t="s">
        <v>414</v>
      </c>
      <c r="M983" s="42"/>
      <c r="N983" s="146"/>
      <c r="O983" s="41" t="s">
        <v>363</v>
      </c>
    </row>
    <row r="984" spans="1:15" hidden="1">
      <c r="A984" s="157" t="s">
        <v>344</v>
      </c>
      <c r="B984" s="41">
        <v>51504170</v>
      </c>
      <c r="C984" s="41"/>
      <c r="E984" s="41"/>
      <c r="F984" s="41" t="s">
        <v>129</v>
      </c>
      <c r="G984" s="29" t="s">
        <v>213</v>
      </c>
      <c r="H984" s="42">
        <v>45708</v>
      </c>
      <c r="I984" s="130">
        <f t="shared" si="7"/>
        <v>45713</v>
      </c>
      <c r="J984" s="42"/>
      <c r="K984" s="42">
        <v>45715</v>
      </c>
      <c r="L984" s="129" t="s">
        <v>572</v>
      </c>
      <c r="M984" s="162"/>
      <c r="N984" s="163"/>
      <c r="O984" s="41" t="s">
        <v>364</v>
      </c>
    </row>
    <row r="985" spans="1:15" hidden="1">
      <c r="A985" s="41" t="s">
        <v>439</v>
      </c>
      <c r="B985" s="41">
        <v>51504891</v>
      </c>
      <c r="C985" s="41"/>
      <c r="E985" s="41"/>
      <c r="F985" s="41" t="s">
        <v>129</v>
      </c>
      <c r="G985" s="29" t="s">
        <v>213</v>
      </c>
      <c r="H985" s="42">
        <v>45708</v>
      </c>
      <c r="I985" s="130">
        <f t="shared" si="7"/>
        <v>45713</v>
      </c>
      <c r="J985" s="42"/>
      <c r="K985" s="42">
        <v>45719</v>
      </c>
      <c r="L985" s="129" t="s">
        <v>572</v>
      </c>
      <c r="M985" s="162"/>
      <c r="N985" s="163"/>
      <c r="O985" s="41" t="s">
        <v>627</v>
      </c>
    </row>
    <row r="986" spans="1:15" hidden="1">
      <c r="A986" s="41" t="s">
        <v>439</v>
      </c>
      <c r="B986" s="41">
        <v>51504936</v>
      </c>
      <c r="C986" s="41"/>
      <c r="E986" s="41"/>
      <c r="F986" s="41" t="s">
        <v>129</v>
      </c>
      <c r="G986" s="29" t="s">
        <v>213</v>
      </c>
      <c r="H986" s="42">
        <v>45708</v>
      </c>
      <c r="I986" s="130">
        <f t="shared" si="7"/>
        <v>45713</v>
      </c>
      <c r="J986" s="42"/>
      <c r="K986" s="42">
        <v>45719</v>
      </c>
      <c r="L986" s="129" t="s">
        <v>572</v>
      </c>
      <c r="M986" s="162"/>
      <c r="N986" s="163"/>
      <c r="O986" s="41" t="s">
        <v>628</v>
      </c>
    </row>
    <row r="987" spans="1:15" hidden="1">
      <c r="A987" s="41" t="s">
        <v>439</v>
      </c>
      <c r="B987" s="41">
        <v>51504989</v>
      </c>
      <c r="C987" s="41"/>
      <c r="E987" s="41"/>
      <c r="F987" s="41" t="s">
        <v>129</v>
      </c>
      <c r="G987" s="29" t="s">
        <v>213</v>
      </c>
      <c r="H987" s="42">
        <v>45708</v>
      </c>
      <c r="I987" s="130">
        <f t="shared" si="7"/>
        <v>45713</v>
      </c>
      <c r="J987" s="42"/>
      <c r="K987" s="42">
        <v>45719</v>
      </c>
      <c r="L987" s="129" t="s">
        <v>572</v>
      </c>
      <c r="M987" s="162"/>
      <c r="N987" s="163"/>
      <c r="O987" s="41" t="s">
        <v>629</v>
      </c>
    </row>
    <row r="988" spans="1:15" hidden="1">
      <c r="A988" s="41" t="s">
        <v>439</v>
      </c>
      <c r="B988" s="41">
        <v>51505022</v>
      </c>
      <c r="C988" s="41"/>
      <c r="E988" s="41"/>
      <c r="F988" s="41" t="s">
        <v>129</v>
      </c>
      <c r="G988" s="29" t="s">
        <v>213</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129</v>
      </c>
      <c r="G989" s="29" t="s">
        <v>213</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129</v>
      </c>
      <c r="G990" s="29" t="s">
        <v>213</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129</v>
      </c>
      <c r="G991" s="29" t="s">
        <v>213</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129</v>
      </c>
      <c r="G992" s="29" t="s">
        <v>213</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129</v>
      </c>
      <c r="G993" s="29" t="s">
        <v>213</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129</v>
      </c>
      <c r="G994" s="29" t="s">
        <v>213</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129</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129</v>
      </c>
      <c r="G996" s="29" t="s">
        <v>639</v>
      </c>
      <c r="H996" s="130">
        <v>45709</v>
      </c>
      <c r="I996" s="130">
        <f t="shared" si="7"/>
        <v>45714</v>
      </c>
      <c r="J996" s="130">
        <v>45729</v>
      </c>
      <c r="K996" s="130"/>
      <c r="L996" s="129" t="s">
        <v>414</v>
      </c>
      <c r="M996" s="130"/>
      <c r="N996" s="145"/>
      <c r="O996" s="41" t="s">
        <v>641</v>
      </c>
    </row>
    <row r="997" spans="1:15" hidden="1">
      <c r="A997" s="29" t="s">
        <v>638</v>
      </c>
      <c r="B997" s="41">
        <v>52502107</v>
      </c>
      <c r="C997" s="41"/>
      <c r="E997" s="41"/>
      <c r="F997" s="41" t="s">
        <v>129</v>
      </c>
      <c r="G997" s="29" t="s">
        <v>639</v>
      </c>
      <c r="H997" s="130">
        <v>45709</v>
      </c>
      <c r="I997" s="130">
        <f t="shared" si="7"/>
        <v>45714</v>
      </c>
      <c r="J997" s="130">
        <v>45729</v>
      </c>
      <c r="K997" s="130"/>
      <c r="L997" s="129" t="s">
        <v>414</v>
      </c>
      <c r="M997" s="130"/>
      <c r="N997" s="145"/>
      <c r="O997" s="41" t="s">
        <v>642</v>
      </c>
    </row>
    <row r="998" spans="1:15" hidden="1">
      <c r="A998" s="29" t="s">
        <v>638</v>
      </c>
      <c r="B998" s="41">
        <v>52501962</v>
      </c>
      <c r="C998" s="41"/>
      <c r="E998" s="41"/>
      <c r="F998" s="41" t="s">
        <v>129</v>
      </c>
      <c r="G998" s="29" t="s">
        <v>639</v>
      </c>
      <c r="H998" s="130">
        <v>45709</v>
      </c>
      <c r="I998" s="130">
        <f t="shared" si="7"/>
        <v>45714</v>
      </c>
      <c r="J998" s="130">
        <v>45729</v>
      </c>
      <c r="K998" s="130"/>
      <c r="L998" s="129" t="s">
        <v>414</v>
      </c>
      <c r="M998" s="130"/>
      <c r="N998" s="145"/>
      <c r="O998" s="41" t="s">
        <v>643</v>
      </c>
    </row>
    <row r="999" spans="1:15" hidden="1">
      <c r="A999" s="29" t="s">
        <v>638</v>
      </c>
      <c r="B999" s="41">
        <v>52501823</v>
      </c>
      <c r="C999" s="41"/>
      <c r="E999" s="41"/>
      <c r="F999" s="41" t="s">
        <v>129</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129</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129</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129</v>
      </c>
      <c r="G1002" s="29" t="s">
        <v>639</v>
      </c>
      <c r="H1002" s="130">
        <v>45709</v>
      </c>
      <c r="I1002" s="130">
        <f t="shared" si="7"/>
        <v>45714</v>
      </c>
      <c r="J1002" s="130">
        <v>45729</v>
      </c>
      <c r="K1002" s="130"/>
      <c r="L1002" s="129" t="s">
        <v>414</v>
      </c>
      <c r="M1002" s="130"/>
      <c r="N1002" s="145"/>
      <c r="O1002" s="41" t="s">
        <v>647</v>
      </c>
    </row>
    <row r="1003" spans="1:15" hidden="1">
      <c r="A1003" s="29" t="s">
        <v>638</v>
      </c>
      <c r="B1003" s="41">
        <v>52501559</v>
      </c>
      <c r="C1003" s="41"/>
      <c r="E1003" s="41"/>
      <c r="F1003" s="41" t="s">
        <v>129</v>
      </c>
      <c r="G1003" s="29" t="s">
        <v>639</v>
      </c>
      <c r="H1003" s="130">
        <v>45709</v>
      </c>
      <c r="I1003" s="130">
        <f t="shared" si="7"/>
        <v>45714</v>
      </c>
      <c r="J1003" s="130">
        <v>45729</v>
      </c>
      <c r="K1003" s="130"/>
      <c r="L1003" s="129" t="s">
        <v>414</v>
      </c>
      <c r="M1003" s="130"/>
      <c r="N1003" s="145"/>
      <c r="O1003" s="41" t="s">
        <v>648</v>
      </c>
    </row>
    <row r="1004" spans="1:15" hidden="1">
      <c r="A1004" s="29" t="s">
        <v>638</v>
      </c>
      <c r="B1004" s="41">
        <v>52501517</v>
      </c>
      <c r="C1004" s="41"/>
      <c r="E1004" s="41"/>
      <c r="F1004" s="41" t="s">
        <v>129</v>
      </c>
      <c r="G1004" s="29" t="s">
        <v>639</v>
      </c>
      <c r="H1004" s="130">
        <v>45709</v>
      </c>
      <c r="I1004" s="130">
        <f t="shared" si="7"/>
        <v>45714</v>
      </c>
      <c r="J1004" s="130">
        <v>45729</v>
      </c>
      <c r="K1004" s="130"/>
      <c r="L1004" s="129" t="s">
        <v>414</v>
      </c>
      <c r="M1004" s="130"/>
      <c r="N1004" s="145"/>
      <c r="O1004" s="41" t="s">
        <v>649</v>
      </c>
    </row>
    <row r="1005" spans="1:15" hidden="1">
      <c r="A1005" s="29" t="s">
        <v>638</v>
      </c>
      <c r="B1005" s="41">
        <v>52501492</v>
      </c>
      <c r="C1005" s="41"/>
      <c r="E1005" s="41"/>
      <c r="F1005" s="41" t="s">
        <v>129</v>
      </c>
      <c r="G1005" s="29" t="s">
        <v>639</v>
      </c>
      <c r="H1005" s="130">
        <v>45709</v>
      </c>
      <c r="I1005" s="130">
        <f t="shared" si="7"/>
        <v>45714</v>
      </c>
      <c r="J1005" s="130">
        <v>45729</v>
      </c>
      <c r="K1005" s="130"/>
      <c r="L1005" s="129" t="s">
        <v>414</v>
      </c>
      <c r="M1005" s="130"/>
      <c r="N1005" s="145"/>
      <c r="O1005" s="41" t="s">
        <v>650</v>
      </c>
    </row>
    <row r="1006" spans="1:15" hidden="1">
      <c r="A1006" s="29" t="s">
        <v>638</v>
      </c>
      <c r="B1006" s="41">
        <v>52501449</v>
      </c>
      <c r="C1006" s="41"/>
      <c r="E1006" s="41"/>
      <c r="F1006" s="41" t="s">
        <v>129</v>
      </c>
      <c r="G1006" s="29" t="s">
        <v>639</v>
      </c>
      <c r="H1006" s="130">
        <v>45709</v>
      </c>
      <c r="I1006" s="130">
        <f t="shared" si="7"/>
        <v>45714</v>
      </c>
      <c r="J1006" s="130">
        <v>45729</v>
      </c>
      <c r="K1006" s="130"/>
      <c r="L1006" s="129" t="s">
        <v>414</v>
      </c>
      <c r="M1006" s="130"/>
      <c r="N1006" s="145"/>
      <c r="O1006" s="41" t="s">
        <v>651</v>
      </c>
    </row>
    <row r="1007" spans="1:15" hidden="1">
      <c r="A1007" s="29" t="s">
        <v>638</v>
      </c>
      <c r="B1007" s="41">
        <v>52501324</v>
      </c>
      <c r="C1007" s="41"/>
      <c r="E1007" s="41"/>
      <c r="F1007" s="41" t="s">
        <v>129</v>
      </c>
      <c r="G1007" s="29" t="s">
        <v>639</v>
      </c>
      <c r="H1007" s="130">
        <v>45709</v>
      </c>
      <c r="I1007" s="130">
        <f t="shared" si="7"/>
        <v>45714</v>
      </c>
      <c r="J1007" s="130">
        <v>45729</v>
      </c>
      <c r="K1007" s="130"/>
      <c r="L1007" s="129" t="s">
        <v>414</v>
      </c>
      <c r="M1007" s="130"/>
      <c r="N1007" s="145"/>
      <c r="O1007" s="41" t="s">
        <v>652</v>
      </c>
    </row>
    <row r="1008" spans="1:15" hidden="1">
      <c r="A1008" s="29" t="s">
        <v>638</v>
      </c>
      <c r="B1008" s="41">
        <v>52501290</v>
      </c>
      <c r="C1008" s="41"/>
      <c r="E1008" s="41"/>
      <c r="F1008" s="41" t="s">
        <v>129</v>
      </c>
      <c r="G1008" s="29" t="s">
        <v>639</v>
      </c>
      <c r="H1008" s="130">
        <v>45709</v>
      </c>
      <c r="I1008" s="130">
        <f t="shared" si="7"/>
        <v>45714</v>
      </c>
      <c r="J1008" s="130">
        <v>45729</v>
      </c>
      <c r="K1008" s="130"/>
      <c r="L1008" s="129" t="s">
        <v>414</v>
      </c>
      <c r="M1008" s="130"/>
      <c r="N1008" s="145"/>
      <c r="O1008" s="41" t="s">
        <v>653</v>
      </c>
    </row>
    <row r="1009" spans="1:16" hidden="1">
      <c r="A1009" s="29" t="s">
        <v>638</v>
      </c>
      <c r="B1009" s="41">
        <v>52501199</v>
      </c>
      <c r="C1009" s="41"/>
      <c r="E1009" s="41"/>
      <c r="F1009" s="41" t="s">
        <v>129</v>
      </c>
      <c r="G1009" s="29" t="s">
        <v>639</v>
      </c>
      <c r="H1009" s="130">
        <v>45709</v>
      </c>
      <c r="I1009" s="130">
        <f t="shared" si="7"/>
        <v>45714</v>
      </c>
      <c r="J1009" s="130">
        <v>45729</v>
      </c>
      <c r="K1009" s="130"/>
      <c r="L1009" s="129" t="s">
        <v>414</v>
      </c>
      <c r="M1009" s="130"/>
      <c r="N1009" s="145"/>
      <c r="O1009" s="41" t="s">
        <v>654</v>
      </c>
    </row>
    <row r="1010" spans="1:16" hidden="1">
      <c r="A1010" s="29" t="s">
        <v>638</v>
      </c>
      <c r="B1010" s="41">
        <v>52501134</v>
      </c>
      <c r="C1010" s="41"/>
      <c r="E1010" s="41"/>
      <c r="F1010" s="41" t="s">
        <v>129</v>
      </c>
      <c r="G1010" s="29" t="s">
        <v>639</v>
      </c>
      <c r="H1010" s="130">
        <v>45709</v>
      </c>
      <c r="I1010" s="130">
        <f t="shared" si="7"/>
        <v>45714</v>
      </c>
      <c r="J1010" s="130">
        <v>45729</v>
      </c>
      <c r="K1010" s="130"/>
      <c r="L1010" s="129" t="s">
        <v>414</v>
      </c>
      <c r="M1010" s="130"/>
      <c r="N1010" s="145"/>
      <c r="O1010" s="41" t="s">
        <v>655</v>
      </c>
    </row>
    <row r="1011" spans="1:16" hidden="1">
      <c r="A1011" s="29" t="s">
        <v>638</v>
      </c>
      <c r="B1011" s="41">
        <v>52501076</v>
      </c>
      <c r="C1011" s="41"/>
      <c r="E1011" s="41"/>
      <c r="F1011" s="41" t="s">
        <v>129</v>
      </c>
      <c r="G1011" s="29" t="s">
        <v>639</v>
      </c>
      <c r="H1011" s="130">
        <v>45709</v>
      </c>
      <c r="I1011" s="130">
        <f t="shared" si="7"/>
        <v>45714</v>
      </c>
      <c r="J1011" s="130">
        <v>45729</v>
      </c>
      <c r="K1011" s="130"/>
      <c r="L1011" s="129" t="s">
        <v>414</v>
      </c>
      <c r="M1011" s="130"/>
      <c r="N1011" s="145"/>
      <c r="O1011" s="41" t="s">
        <v>656</v>
      </c>
    </row>
    <row r="1012" spans="1:16" hidden="1">
      <c r="A1012" s="29" t="s">
        <v>638</v>
      </c>
      <c r="B1012" s="41">
        <v>52500965</v>
      </c>
      <c r="C1012" s="41"/>
      <c r="E1012" s="41"/>
      <c r="F1012" s="41" t="s">
        <v>129</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129</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129</v>
      </c>
      <c r="G1014" s="88" t="s">
        <v>366</v>
      </c>
      <c r="H1014" s="85">
        <v>45712</v>
      </c>
      <c r="I1014" s="130">
        <f t="shared" si="7"/>
        <v>45715</v>
      </c>
      <c r="J1014" s="85"/>
      <c r="K1014" s="85"/>
      <c r="L1014" s="129" t="s">
        <v>414</v>
      </c>
      <c r="M1014" s="85"/>
      <c r="N1014" s="147"/>
      <c r="O1014" s="84" t="s">
        <v>659</v>
      </c>
    </row>
    <row r="1015" spans="1:16" hidden="1">
      <c r="A1015" s="84" t="s">
        <v>638</v>
      </c>
      <c r="B1015" s="84">
        <v>55502825</v>
      </c>
      <c r="C1015" s="84"/>
      <c r="E1015" s="84"/>
      <c r="F1015" s="84" t="s">
        <v>129</v>
      </c>
      <c r="G1015" s="88" t="s">
        <v>366</v>
      </c>
      <c r="H1015" s="85">
        <v>45712</v>
      </c>
      <c r="I1015" s="130">
        <f t="shared" si="7"/>
        <v>45715</v>
      </c>
      <c r="J1015" s="85"/>
      <c r="K1015" s="85"/>
      <c r="L1015" s="129" t="s">
        <v>414</v>
      </c>
      <c r="M1015" s="85"/>
      <c r="N1015" s="147"/>
      <c r="O1015" s="84" t="s">
        <v>660</v>
      </c>
    </row>
    <row r="1016" spans="1:16" hidden="1">
      <c r="A1016" s="84" t="s">
        <v>638</v>
      </c>
      <c r="B1016" s="84">
        <v>55502079</v>
      </c>
      <c r="C1016" s="84"/>
      <c r="E1016" s="84"/>
      <c r="F1016" s="84" t="s">
        <v>129</v>
      </c>
      <c r="G1016" s="88" t="s">
        <v>366</v>
      </c>
      <c r="H1016" s="85">
        <v>45712</v>
      </c>
      <c r="I1016" s="130">
        <f t="shared" si="7"/>
        <v>45715</v>
      </c>
      <c r="J1016" s="85"/>
      <c r="K1016" s="85"/>
      <c r="L1016" s="129" t="s">
        <v>414</v>
      </c>
      <c r="M1016" s="85"/>
      <c r="N1016" s="147"/>
      <c r="O1016" s="84" t="s">
        <v>661</v>
      </c>
    </row>
    <row r="1017" spans="1:16" hidden="1">
      <c r="A1017" s="84" t="s">
        <v>638</v>
      </c>
      <c r="B1017" s="84">
        <v>55502478</v>
      </c>
      <c r="C1017" s="84"/>
      <c r="E1017" s="84"/>
      <c r="F1017" s="84" t="s">
        <v>129</v>
      </c>
      <c r="G1017" s="88" t="s">
        <v>366</v>
      </c>
      <c r="H1017" s="85">
        <v>45712</v>
      </c>
      <c r="I1017" s="130">
        <f t="shared" si="7"/>
        <v>45715</v>
      </c>
      <c r="J1017" s="85"/>
      <c r="K1017" s="85"/>
      <c r="L1017" s="129" t="s">
        <v>414</v>
      </c>
      <c r="M1017" s="85"/>
      <c r="N1017" s="147"/>
      <c r="O1017" s="84" t="s">
        <v>662</v>
      </c>
    </row>
    <row r="1018" spans="1:16" hidden="1">
      <c r="A1018" s="41" t="s">
        <v>559</v>
      </c>
      <c r="B1018" s="41">
        <v>49508930</v>
      </c>
      <c r="C1018" s="41"/>
      <c r="E1018" s="41"/>
      <c r="F1018" s="84" t="s">
        <v>129</v>
      </c>
      <c r="G1018" s="29" t="s">
        <v>145</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129</v>
      </c>
      <c r="G1019" s="29" t="s">
        <v>145</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129</v>
      </c>
      <c r="G1020" s="29" t="s">
        <v>145</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129</v>
      </c>
      <c r="G1021" s="29" t="s">
        <v>145</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129</v>
      </c>
      <c r="G1022" s="29" t="s">
        <v>145</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129</v>
      </c>
      <c r="G1023" s="29" t="s">
        <v>145</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129</v>
      </c>
      <c r="G1024" s="29" t="s">
        <v>145</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129</v>
      </c>
      <c r="G1025" s="29" t="s">
        <v>145</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129</v>
      </c>
      <c r="G1026" s="29" t="s">
        <v>145</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129</v>
      </c>
      <c r="G1027" s="29" t="s">
        <v>145</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129</v>
      </c>
      <c r="G1028" s="29" t="s">
        <v>145</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129</v>
      </c>
      <c r="G1029" s="29" t="s">
        <v>145</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129</v>
      </c>
      <c r="G1030" s="29" t="s">
        <v>145</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129</v>
      </c>
      <c r="G1031" s="29" t="s">
        <v>145</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129</v>
      </c>
      <c r="G1032" s="29" t="s">
        <v>145</v>
      </c>
      <c r="H1032" s="42">
        <v>45707</v>
      </c>
      <c r="I1032" s="130">
        <f t="shared" si="7"/>
        <v>45712</v>
      </c>
      <c r="J1032" s="42"/>
      <c r="K1032" s="42"/>
      <c r="L1032" s="129" t="s">
        <v>414</v>
      </c>
      <c r="M1032" s="42"/>
      <c r="N1032" s="146"/>
      <c r="O1032" s="41" t="s">
        <v>596</v>
      </c>
      <c r="P1032" s="133"/>
    </row>
    <row r="1033" spans="1:16" hidden="1">
      <c r="A1033" s="41" t="s">
        <v>559</v>
      </c>
      <c r="B1033" s="41">
        <v>50508953</v>
      </c>
      <c r="C1033" s="41"/>
      <c r="E1033" s="41"/>
      <c r="F1033" s="84" t="s">
        <v>129</v>
      </c>
      <c r="G1033" s="29" t="s">
        <v>145</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129</v>
      </c>
      <c r="G1034" s="29" t="s">
        <v>145</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129</v>
      </c>
      <c r="G1035" s="29" t="s">
        <v>145</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129</v>
      </c>
      <c r="G1036" s="29" t="s">
        <v>145</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129</v>
      </c>
      <c r="G1037" s="29" t="s">
        <v>145</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129</v>
      </c>
      <c r="G1038" s="29" t="s">
        <v>145</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129</v>
      </c>
      <c r="G1039" s="29" t="s">
        <v>145</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129</v>
      </c>
      <c r="G1040" s="29" t="s">
        <v>145</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129</v>
      </c>
      <c r="G1041" s="29" t="s">
        <v>145</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129</v>
      </c>
      <c r="G1042" s="29" t="s">
        <v>145</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129</v>
      </c>
      <c r="G1043" s="29" t="s">
        <v>145</v>
      </c>
      <c r="H1043" s="42">
        <v>45707</v>
      </c>
      <c r="I1043" s="130">
        <f t="shared" si="8"/>
        <v>45712</v>
      </c>
      <c r="J1043" s="42"/>
      <c r="K1043" s="42">
        <v>45713</v>
      </c>
      <c r="L1043" s="129" t="s">
        <v>10</v>
      </c>
      <c r="M1043" s="162"/>
      <c r="N1043" s="163"/>
      <c r="O1043" s="41" t="s">
        <v>607</v>
      </c>
      <c r="P1043" s="133"/>
    </row>
    <row r="1044" spans="1:16" hidden="1">
      <c r="A1044" s="157" t="s">
        <v>430</v>
      </c>
      <c r="B1044" s="29">
        <v>56504026</v>
      </c>
      <c r="C1044" s="29"/>
      <c r="E1044" s="29"/>
      <c r="F1044" s="29" t="s">
        <v>118</v>
      </c>
      <c r="G1044" s="29" t="s">
        <v>22</v>
      </c>
      <c r="H1044" s="130">
        <v>45713</v>
      </c>
      <c r="I1044" s="130">
        <f t="shared" si="8"/>
        <v>45716</v>
      </c>
      <c r="J1044" s="130"/>
      <c r="K1044" s="130"/>
      <c r="L1044" s="129" t="s">
        <v>663</v>
      </c>
      <c r="M1044" s="130"/>
      <c r="N1044" s="145"/>
    </row>
    <row r="1045" spans="1:16" ht="15.75" hidden="1">
      <c r="A1045" s="157" t="s">
        <v>481</v>
      </c>
      <c r="B1045" s="131">
        <v>56503360</v>
      </c>
      <c r="C1045" s="131"/>
      <c r="E1045" s="131"/>
      <c r="F1045" s="29" t="s">
        <v>118</v>
      </c>
      <c r="G1045" s="29" t="s">
        <v>119</v>
      </c>
      <c r="H1045" s="130">
        <v>45713</v>
      </c>
      <c r="I1045" s="130">
        <f t="shared" si="8"/>
        <v>45716</v>
      </c>
      <c r="J1045" s="130"/>
      <c r="K1045" s="130"/>
      <c r="L1045" s="129" t="s">
        <v>414</v>
      </c>
      <c r="M1045" s="130"/>
      <c r="N1045" s="145"/>
      <c r="O1045" s="41" t="s">
        <v>664</v>
      </c>
    </row>
    <row r="1046" spans="1:16" ht="15.75" hidden="1">
      <c r="A1046" s="157" t="s">
        <v>481</v>
      </c>
      <c r="B1046" s="131">
        <v>56503412</v>
      </c>
      <c r="C1046" s="131"/>
      <c r="E1046" s="131"/>
      <c r="F1046" s="29" t="s">
        <v>118</v>
      </c>
      <c r="G1046" s="29" t="s">
        <v>119</v>
      </c>
      <c r="H1046" s="130">
        <v>45713</v>
      </c>
      <c r="I1046" s="130">
        <f t="shared" si="8"/>
        <v>45716</v>
      </c>
      <c r="J1046" s="130"/>
      <c r="K1046" s="130"/>
      <c r="L1046" s="129" t="s">
        <v>414</v>
      </c>
      <c r="M1046" s="130"/>
      <c r="N1046" s="145"/>
      <c r="O1046" s="41" t="s">
        <v>665</v>
      </c>
    </row>
    <row r="1047" spans="1:16" ht="15.75" hidden="1">
      <c r="A1047" s="157" t="s">
        <v>481</v>
      </c>
      <c r="B1047" s="131">
        <v>56503469</v>
      </c>
      <c r="C1047" s="131"/>
      <c r="E1047" s="131"/>
      <c r="F1047" s="29" t="s">
        <v>118</v>
      </c>
      <c r="G1047" s="29" t="s">
        <v>119</v>
      </c>
      <c r="H1047" s="130">
        <v>45713</v>
      </c>
      <c r="I1047" s="130">
        <f t="shared" si="8"/>
        <v>45716</v>
      </c>
      <c r="J1047" s="130"/>
      <c r="K1047" s="130"/>
      <c r="L1047" s="129" t="s">
        <v>414</v>
      </c>
      <c r="M1047" s="130"/>
      <c r="N1047" s="145"/>
      <c r="O1047" s="41" t="s">
        <v>532</v>
      </c>
    </row>
    <row r="1048" spans="1:16" ht="15.75" hidden="1">
      <c r="A1048" s="157" t="s">
        <v>481</v>
      </c>
      <c r="B1048" s="131">
        <v>56503520</v>
      </c>
      <c r="C1048" s="131"/>
      <c r="E1048" s="131"/>
      <c r="F1048" s="29" t="s">
        <v>118</v>
      </c>
      <c r="G1048" s="29" t="s">
        <v>119</v>
      </c>
      <c r="H1048" s="130">
        <v>45713</v>
      </c>
      <c r="I1048" s="130">
        <f t="shared" si="8"/>
        <v>45716</v>
      </c>
      <c r="J1048" s="130"/>
      <c r="K1048" s="130">
        <v>45720</v>
      </c>
      <c r="L1048" s="129" t="s">
        <v>10</v>
      </c>
      <c r="M1048" s="162"/>
      <c r="N1048" s="163"/>
      <c r="O1048" s="41" t="s">
        <v>383</v>
      </c>
    </row>
    <row r="1049" spans="1:16" ht="15.75" hidden="1">
      <c r="A1049" s="157" t="s">
        <v>481</v>
      </c>
      <c r="B1049" s="131">
        <v>56503584</v>
      </c>
      <c r="C1049" s="131"/>
      <c r="E1049" s="131"/>
      <c r="F1049" s="29" t="s">
        <v>118</v>
      </c>
      <c r="G1049" s="29" t="s">
        <v>119</v>
      </c>
      <c r="H1049" s="130">
        <v>45713</v>
      </c>
      <c r="I1049" s="130">
        <f t="shared" si="8"/>
        <v>45716</v>
      </c>
      <c r="J1049" s="130"/>
      <c r="K1049" s="130">
        <v>45720</v>
      </c>
      <c r="L1049" s="129" t="s">
        <v>10</v>
      </c>
      <c r="M1049" s="162"/>
      <c r="N1049" s="163"/>
      <c r="O1049" s="41" t="s">
        <v>666</v>
      </c>
    </row>
    <row r="1050" spans="1:16" ht="15.75" hidden="1">
      <c r="A1050" s="157" t="s">
        <v>481</v>
      </c>
      <c r="B1050" s="131">
        <v>56503639</v>
      </c>
      <c r="C1050" s="131"/>
      <c r="E1050" s="131"/>
      <c r="F1050" s="29" t="s">
        <v>118</v>
      </c>
      <c r="G1050" s="29" t="s">
        <v>119</v>
      </c>
      <c r="H1050" s="130">
        <v>45713</v>
      </c>
      <c r="I1050" s="130">
        <f t="shared" si="8"/>
        <v>45716</v>
      </c>
      <c r="J1050" s="130"/>
      <c r="K1050" s="130">
        <v>45719</v>
      </c>
      <c r="L1050" s="129" t="s">
        <v>10</v>
      </c>
      <c r="M1050" s="162"/>
      <c r="N1050" s="163"/>
      <c r="O1050" s="41" t="s">
        <v>384</v>
      </c>
    </row>
    <row r="1051" spans="1:16" hidden="1">
      <c r="A1051" s="29" t="s">
        <v>336</v>
      </c>
      <c r="B1051" s="29">
        <v>48507590</v>
      </c>
      <c r="C1051" s="29"/>
      <c r="E1051" s="29"/>
      <c r="F1051" s="29" t="s">
        <v>129</v>
      </c>
      <c r="G1051" s="29" t="s">
        <v>210</v>
      </c>
      <c r="H1051" s="130">
        <v>45705</v>
      </c>
      <c r="I1051" s="130">
        <f t="shared" si="8"/>
        <v>45708</v>
      </c>
      <c r="J1051" s="130"/>
      <c r="K1051" s="130"/>
      <c r="L1051" s="129" t="s">
        <v>414</v>
      </c>
      <c r="M1051" s="130"/>
      <c r="N1051" s="145"/>
      <c r="O1051" s="29" t="s">
        <v>667</v>
      </c>
    </row>
    <row r="1052" spans="1:16" hidden="1">
      <c r="A1052" s="29" t="s">
        <v>336</v>
      </c>
      <c r="B1052" s="29">
        <v>48507534</v>
      </c>
      <c r="C1052" s="29"/>
      <c r="E1052" s="29"/>
      <c r="F1052" s="29" t="s">
        <v>129</v>
      </c>
      <c r="G1052" s="29" t="s">
        <v>210</v>
      </c>
      <c r="H1052" s="130">
        <v>45705</v>
      </c>
      <c r="I1052" s="130">
        <f t="shared" si="8"/>
        <v>45708</v>
      </c>
      <c r="J1052" s="130"/>
      <c r="K1052" s="130"/>
      <c r="L1052" s="129" t="s">
        <v>414</v>
      </c>
      <c r="M1052" s="130"/>
      <c r="N1052" s="145"/>
      <c r="O1052" s="29" t="s">
        <v>668</v>
      </c>
    </row>
    <row r="1053" spans="1:16" hidden="1">
      <c r="A1053" s="29" t="s">
        <v>336</v>
      </c>
      <c r="B1053" s="29">
        <v>48507486</v>
      </c>
      <c r="C1053" s="29"/>
      <c r="E1053" s="29"/>
      <c r="F1053" s="29" t="s">
        <v>129</v>
      </c>
      <c r="G1053" s="29" t="s">
        <v>210</v>
      </c>
      <c r="H1053" s="130">
        <v>45705</v>
      </c>
      <c r="I1053" s="130">
        <f t="shared" si="8"/>
        <v>45708</v>
      </c>
      <c r="J1053" s="130"/>
      <c r="K1053" s="130"/>
      <c r="L1053" s="129" t="s">
        <v>414</v>
      </c>
      <c r="M1053" s="130"/>
      <c r="N1053" s="145"/>
      <c r="O1053" s="29" t="s">
        <v>669</v>
      </c>
    </row>
    <row r="1054" spans="1:16" hidden="1">
      <c r="A1054" s="29" t="s">
        <v>336</v>
      </c>
      <c r="B1054" s="29">
        <v>48507387</v>
      </c>
      <c r="C1054" s="29"/>
      <c r="E1054" s="29"/>
      <c r="F1054" s="29" t="s">
        <v>129</v>
      </c>
      <c r="G1054" s="29" t="s">
        <v>210</v>
      </c>
      <c r="H1054" s="130">
        <v>45705</v>
      </c>
      <c r="I1054" s="130">
        <f t="shared" si="8"/>
        <v>45708</v>
      </c>
      <c r="J1054" s="130"/>
      <c r="K1054" s="130"/>
      <c r="L1054" s="129" t="s">
        <v>414</v>
      </c>
      <c r="M1054" s="130"/>
      <c r="N1054" s="145"/>
      <c r="O1054" s="29" t="s">
        <v>670</v>
      </c>
    </row>
    <row r="1055" spans="1:16" hidden="1">
      <c r="A1055" s="29" t="s">
        <v>336</v>
      </c>
      <c r="B1055" s="29">
        <v>48507301</v>
      </c>
      <c r="C1055" s="29"/>
      <c r="E1055" s="29"/>
      <c r="F1055" s="29" t="s">
        <v>129</v>
      </c>
      <c r="G1055" s="29" t="s">
        <v>210</v>
      </c>
      <c r="H1055" s="130">
        <v>45705</v>
      </c>
      <c r="I1055" s="130">
        <f t="shared" si="8"/>
        <v>45708</v>
      </c>
      <c r="J1055" s="130"/>
      <c r="K1055" s="130"/>
      <c r="L1055" s="129" t="s">
        <v>414</v>
      </c>
      <c r="M1055" s="130"/>
      <c r="N1055" s="145"/>
      <c r="O1055" s="29" t="s">
        <v>671</v>
      </c>
    </row>
    <row r="1056" spans="1:16" hidden="1">
      <c r="A1056" s="29" t="s">
        <v>336</v>
      </c>
      <c r="B1056" s="29">
        <v>48507163</v>
      </c>
      <c r="C1056" s="29"/>
      <c r="E1056" s="29"/>
      <c r="F1056" s="29" t="s">
        <v>129</v>
      </c>
      <c r="G1056" s="29" t="s">
        <v>210</v>
      </c>
      <c r="H1056" s="130">
        <v>45705</v>
      </c>
      <c r="I1056" s="130">
        <f t="shared" si="8"/>
        <v>45708</v>
      </c>
      <c r="J1056" s="130"/>
      <c r="K1056" s="130"/>
      <c r="L1056" s="129" t="s">
        <v>414</v>
      </c>
      <c r="M1056" s="130"/>
      <c r="N1056" s="145"/>
      <c r="O1056" s="29" t="s">
        <v>672</v>
      </c>
    </row>
    <row r="1057" spans="1:15" hidden="1">
      <c r="A1057" s="29" t="s">
        <v>673</v>
      </c>
      <c r="B1057" s="29">
        <v>55503706</v>
      </c>
      <c r="C1057" s="29"/>
      <c r="E1057" s="29"/>
      <c r="F1057" s="29" t="s">
        <v>674</v>
      </c>
      <c r="G1057" s="29" t="s">
        <v>210</v>
      </c>
      <c r="H1057" s="130">
        <v>45709</v>
      </c>
      <c r="I1057" s="130">
        <f t="shared" si="8"/>
        <v>45714</v>
      </c>
      <c r="J1057" s="130"/>
      <c r="K1057" s="130"/>
      <c r="L1057" s="129" t="s">
        <v>414</v>
      </c>
      <c r="M1057" s="130"/>
      <c r="N1057" s="145"/>
      <c r="O1057" s="29" t="s">
        <v>675</v>
      </c>
    </row>
    <row r="1058" spans="1:15" hidden="1">
      <c r="A1058" s="29" t="s">
        <v>673</v>
      </c>
      <c r="B1058" s="29">
        <v>55503801</v>
      </c>
      <c r="C1058" s="29"/>
      <c r="E1058" s="29"/>
      <c r="F1058" s="29" t="s">
        <v>674</v>
      </c>
      <c r="G1058" s="29" t="s">
        <v>210</v>
      </c>
      <c r="H1058" s="130">
        <v>45709</v>
      </c>
      <c r="I1058" s="130">
        <f t="shared" si="8"/>
        <v>45714</v>
      </c>
      <c r="J1058" s="130"/>
      <c r="K1058" s="130"/>
      <c r="L1058" s="129" t="s">
        <v>414</v>
      </c>
      <c r="M1058" s="130"/>
      <c r="N1058" s="145"/>
      <c r="O1058" s="29" t="s">
        <v>676</v>
      </c>
    </row>
    <row r="1059" spans="1:15" hidden="1">
      <c r="A1059" s="29" t="s">
        <v>673</v>
      </c>
      <c r="B1059" s="29">
        <v>55503862</v>
      </c>
      <c r="C1059" s="29"/>
      <c r="E1059" s="29"/>
      <c r="F1059" s="29" t="s">
        <v>674</v>
      </c>
      <c r="G1059" s="29" t="s">
        <v>210</v>
      </c>
      <c r="H1059" s="130">
        <v>45709</v>
      </c>
      <c r="I1059" s="130">
        <f t="shared" si="8"/>
        <v>45714</v>
      </c>
      <c r="J1059" s="130"/>
      <c r="K1059" s="130"/>
      <c r="L1059" s="129" t="s">
        <v>414</v>
      </c>
      <c r="M1059" s="130"/>
      <c r="N1059" s="145"/>
      <c r="O1059" s="29" t="s">
        <v>677</v>
      </c>
    </row>
    <row r="1060" spans="1:15" hidden="1">
      <c r="A1060" s="29" t="s">
        <v>673</v>
      </c>
      <c r="B1060" s="29">
        <v>55503935</v>
      </c>
      <c r="C1060" s="29"/>
      <c r="E1060" s="29"/>
      <c r="F1060" s="29" t="s">
        <v>674</v>
      </c>
      <c r="G1060" s="29" t="s">
        <v>210</v>
      </c>
      <c r="H1060" s="130">
        <v>45709</v>
      </c>
      <c r="I1060" s="130">
        <f t="shared" si="8"/>
        <v>45714</v>
      </c>
      <c r="J1060" s="130"/>
      <c r="K1060" s="130"/>
      <c r="L1060" s="129" t="s">
        <v>414</v>
      </c>
      <c r="M1060" s="130"/>
      <c r="N1060" s="145"/>
      <c r="O1060" s="29" t="s">
        <v>678</v>
      </c>
    </row>
    <row r="1061" spans="1:15" hidden="1">
      <c r="A1061" s="29" t="s">
        <v>673</v>
      </c>
      <c r="B1061" s="29">
        <v>55503969</v>
      </c>
      <c r="C1061" s="29"/>
      <c r="E1061" s="29"/>
      <c r="F1061" s="29" t="s">
        <v>674</v>
      </c>
      <c r="G1061" s="29" t="s">
        <v>210</v>
      </c>
      <c r="H1061" s="130">
        <v>45709</v>
      </c>
      <c r="I1061" s="130">
        <f t="shared" si="8"/>
        <v>45714</v>
      </c>
      <c r="J1061" s="130"/>
      <c r="K1061" s="130"/>
      <c r="L1061" s="129" t="s">
        <v>414</v>
      </c>
      <c r="M1061" s="130"/>
      <c r="N1061" s="145"/>
      <c r="O1061" s="29" t="s">
        <v>679</v>
      </c>
    </row>
    <row r="1062" spans="1:15" hidden="1">
      <c r="A1062" s="29" t="s">
        <v>680</v>
      </c>
      <c r="B1062" s="29">
        <v>55504206</v>
      </c>
      <c r="C1062" s="29"/>
      <c r="E1062" s="29"/>
      <c r="F1062" s="29" t="s">
        <v>674</v>
      </c>
      <c r="G1062" s="29" t="s">
        <v>210</v>
      </c>
      <c r="H1062" s="130">
        <v>45709</v>
      </c>
      <c r="I1062" s="130">
        <f t="shared" si="8"/>
        <v>45714</v>
      </c>
      <c r="J1062" s="130"/>
      <c r="K1062" s="130"/>
      <c r="L1062" s="129" t="s">
        <v>414</v>
      </c>
      <c r="M1062" s="130"/>
      <c r="N1062" s="145"/>
      <c r="O1062" s="29" t="s">
        <v>681</v>
      </c>
    </row>
    <row r="1063" spans="1:15" hidden="1">
      <c r="A1063" s="29" t="s">
        <v>680</v>
      </c>
      <c r="B1063" s="29">
        <v>55504188</v>
      </c>
      <c r="C1063" s="29"/>
      <c r="E1063" s="29"/>
      <c r="F1063" s="29" t="s">
        <v>674</v>
      </c>
      <c r="G1063" s="29" t="s">
        <v>210</v>
      </c>
      <c r="H1063" s="130">
        <v>45709</v>
      </c>
      <c r="I1063" s="130">
        <f t="shared" si="8"/>
        <v>45714</v>
      </c>
      <c r="J1063" s="130"/>
      <c r="K1063" s="130"/>
      <c r="L1063" s="129" t="s">
        <v>414</v>
      </c>
      <c r="M1063" s="130"/>
      <c r="N1063" s="145"/>
      <c r="O1063" s="29" t="s">
        <v>682</v>
      </c>
    </row>
    <row r="1064" spans="1:15" hidden="1">
      <c r="A1064" s="29" t="s">
        <v>680</v>
      </c>
      <c r="B1064" s="29">
        <v>55504303</v>
      </c>
      <c r="C1064" s="29"/>
      <c r="E1064" s="29"/>
      <c r="F1064" s="29" t="s">
        <v>674</v>
      </c>
      <c r="G1064" s="29" t="s">
        <v>210</v>
      </c>
      <c r="H1064" s="130">
        <v>45709</v>
      </c>
      <c r="I1064" s="130">
        <f t="shared" si="8"/>
        <v>45714</v>
      </c>
      <c r="J1064" s="130"/>
      <c r="K1064" s="130"/>
      <c r="L1064" s="129" t="s">
        <v>414</v>
      </c>
      <c r="M1064" s="130"/>
      <c r="N1064" s="145"/>
      <c r="O1064" s="29" t="s">
        <v>683</v>
      </c>
    </row>
    <row r="1065" spans="1:15" hidden="1">
      <c r="A1065" s="29" t="s">
        <v>680</v>
      </c>
      <c r="B1065" s="29">
        <v>55504345</v>
      </c>
      <c r="C1065" s="29"/>
      <c r="E1065" s="29"/>
      <c r="F1065" s="29" t="s">
        <v>674</v>
      </c>
      <c r="G1065" s="29" t="s">
        <v>210</v>
      </c>
      <c r="H1065" s="130">
        <v>45709</v>
      </c>
      <c r="I1065" s="130">
        <f t="shared" si="8"/>
        <v>45714</v>
      </c>
      <c r="J1065" s="130"/>
      <c r="K1065" s="130"/>
      <c r="L1065" s="129" t="s">
        <v>414</v>
      </c>
      <c r="M1065" s="130"/>
      <c r="N1065" s="145"/>
      <c r="O1065" s="29" t="s">
        <v>684</v>
      </c>
    </row>
    <row r="1066" spans="1:15" hidden="1">
      <c r="A1066" s="29" t="s">
        <v>680</v>
      </c>
      <c r="B1066" s="29">
        <v>55504388</v>
      </c>
      <c r="C1066" s="29"/>
      <c r="E1066" s="29"/>
      <c r="F1066" s="29" t="s">
        <v>674</v>
      </c>
      <c r="G1066" s="29" t="s">
        <v>210</v>
      </c>
      <c r="H1066" s="130">
        <v>45709</v>
      </c>
      <c r="I1066" s="130">
        <f t="shared" si="8"/>
        <v>45714</v>
      </c>
      <c r="J1066" s="130"/>
      <c r="K1066" s="130"/>
      <c r="L1066" s="129" t="s">
        <v>414</v>
      </c>
      <c r="M1066" s="130"/>
      <c r="N1066" s="145"/>
      <c r="O1066" s="29" t="s">
        <v>685</v>
      </c>
    </row>
    <row r="1067" spans="1:15" hidden="1">
      <c r="A1067" s="29" t="s">
        <v>680</v>
      </c>
      <c r="B1067" s="29">
        <v>55504421</v>
      </c>
      <c r="C1067" s="29"/>
      <c r="E1067" s="29"/>
      <c r="F1067" s="29" t="s">
        <v>674</v>
      </c>
      <c r="G1067" s="29" t="s">
        <v>210</v>
      </c>
      <c r="H1067" s="130">
        <v>45709</v>
      </c>
      <c r="I1067" s="130">
        <f t="shared" si="8"/>
        <v>45714</v>
      </c>
      <c r="J1067" s="130"/>
      <c r="K1067" s="130"/>
      <c r="L1067" s="129" t="s">
        <v>414</v>
      </c>
      <c r="M1067" s="130"/>
      <c r="N1067" s="145"/>
      <c r="O1067" s="29" t="s">
        <v>686</v>
      </c>
    </row>
    <row r="1068" spans="1:15" hidden="1">
      <c r="A1068" s="29" t="s">
        <v>680</v>
      </c>
      <c r="B1068" s="29">
        <v>55504460</v>
      </c>
      <c r="C1068" s="29"/>
      <c r="E1068" s="29"/>
      <c r="F1068" s="29" t="s">
        <v>674</v>
      </c>
      <c r="G1068" s="29" t="s">
        <v>210</v>
      </c>
      <c r="H1068" s="130">
        <v>45709</v>
      </c>
      <c r="I1068" s="130">
        <f t="shared" si="8"/>
        <v>45714</v>
      </c>
      <c r="J1068" s="130"/>
      <c r="K1068" s="130"/>
      <c r="L1068" s="129" t="s">
        <v>414</v>
      </c>
      <c r="M1068" s="130"/>
      <c r="N1068" s="145"/>
      <c r="O1068" s="29" t="s">
        <v>675</v>
      </c>
    </row>
    <row r="1069" spans="1:15" hidden="1">
      <c r="A1069" s="157" t="s">
        <v>687</v>
      </c>
      <c r="B1069" s="67">
        <v>51507839</v>
      </c>
      <c r="C1069" s="67"/>
      <c r="E1069" s="67"/>
      <c r="F1069" s="29" t="s">
        <v>129</v>
      </c>
      <c r="G1069" s="29" t="s">
        <v>210</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129</v>
      </c>
      <c r="G1070" s="29" t="s">
        <v>210</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129</v>
      </c>
      <c r="G1071" s="29" t="s">
        <v>210</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129</v>
      </c>
      <c r="G1072" s="29" t="s">
        <v>210</v>
      </c>
      <c r="H1072" s="130">
        <v>45713</v>
      </c>
      <c r="I1072" s="130">
        <f t="shared" si="8"/>
        <v>45716</v>
      </c>
      <c r="J1072" s="130">
        <v>45729</v>
      </c>
      <c r="K1072" s="130"/>
      <c r="L1072" s="129" t="s">
        <v>414</v>
      </c>
      <c r="M1072" s="130"/>
      <c r="N1072" s="145"/>
      <c r="O1072" s="67" t="s">
        <v>690</v>
      </c>
    </row>
    <row r="1073" spans="1:15" hidden="1">
      <c r="A1073" s="157" t="s">
        <v>687</v>
      </c>
      <c r="B1073" s="67">
        <v>52505674</v>
      </c>
      <c r="C1073" s="67"/>
      <c r="E1073" s="67"/>
      <c r="F1073" s="29" t="s">
        <v>129</v>
      </c>
      <c r="G1073" s="29" t="s">
        <v>210</v>
      </c>
      <c r="H1073" s="130">
        <v>45713</v>
      </c>
      <c r="I1073" s="130">
        <f t="shared" si="8"/>
        <v>45716</v>
      </c>
      <c r="J1073" s="130">
        <v>45729</v>
      </c>
      <c r="K1073" s="130"/>
      <c r="L1073" s="129" t="s">
        <v>414</v>
      </c>
      <c r="M1073" s="130"/>
      <c r="N1073" s="145"/>
      <c r="O1073" s="67" t="s">
        <v>691</v>
      </c>
    </row>
    <row r="1074" spans="1:15" hidden="1">
      <c r="A1074" s="157" t="s">
        <v>687</v>
      </c>
      <c r="B1074" s="67">
        <v>51507828</v>
      </c>
      <c r="C1074" s="67"/>
      <c r="E1074" s="67"/>
      <c r="F1074" s="29" t="s">
        <v>129</v>
      </c>
      <c r="G1074" s="29" t="s">
        <v>210</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118</v>
      </c>
      <c r="G1075" s="29" t="s">
        <v>127</v>
      </c>
      <c r="H1075" s="130">
        <v>45714</v>
      </c>
      <c r="I1075" s="130">
        <f t="shared" si="8"/>
        <v>45719</v>
      </c>
      <c r="J1075" s="130"/>
      <c r="K1075" s="130"/>
      <c r="L1075" s="129" t="s">
        <v>414</v>
      </c>
      <c r="M1075" s="130"/>
      <c r="N1075" s="145"/>
    </row>
    <row r="1076" spans="1:15" ht="15.75" hidden="1">
      <c r="A1076" s="157" t="s">
        <v>693</v>
      </c>
      <c r="B1076" s="131">
        <v>52505244</v>
      </c>
      <c r="C1076" s="131"/>
      <c r="E1076" s="131"/>
      <c r="F1076" s="29" t="s">
        <v>118</v>
      </c>
      <c r="G1076" s="29" t="s">
        <v>127</v>
      </c>
      <c r="H1076" s="130">
        <v>45709</v>
      </c>
      <c r="I1076" s="130">
        <f t="shared" si="8"/>
        <v>45714</v>
      </c>
      <c r="J1076" s="130"/>
      <c r="K1076" s="130"/>
      <c r="L1076" s="129" t="s">
        <v>414</v>
      </c>
      <c r="M1076" s="130"/>
      <c r="N1076" s="145"/>
    </row>
    <row r="1077" spans="1:15" ht="15.75" hidden="1">
      <c r="A1077" s="157" t="s">
        <v>693</v>
      </c>
      <c r="B1077" s="132">
        <v>52505439</v>
      </c>
      <c r="C1077" s="132"/>
      <c r="E1077" s="132"/>
      <c r="F1077" s="29" t="s">
        <v>118</v>
      </c>
      <c r="G1077" s="29" t="s">
        <v>127</v>
      </c>
      <c r="H1077" s="130">
        <v>45709</v>
      </c>
      <c r="I1077" s="130">
        <f t="shared" si="8"/>
        <v>45714</v>
      </c>
      <c r="J1077" s="130"/>
      <c r="K1077" s="130"/>
      <c r="L1077" s="129" t="s">
        <v>414</v>
      </c>
      <c r="M1077" s="130"/>
      <c r="N1077" s="145"/>
    </row>
    <row r="1078" spans="1:15" ht="15.75" hidden="1">
      <c r="A1078" s="157" t="s">
        <v>693</v>
      </c>
      <c r="B1078" s="132">
        <v>52505467</v>
      </c>
      <c r="C1078" s="132"/>
      <c r="E1078" s="132"/>
      <c r="F1078" s="29" t="s">
        <v>118</v>
      </c>
      <c r="G1078" s="29" t="s">
        <v>127</v>
      </c>
      <c r="H1078" s="130">
        <v>45709</v>
      </c>
      <c r="I1078" s="130">
        <f t="shared" si="8"/>
        <v>45714</v>
      </c>
      <c r="J1078" s="130"/>
      <c r="K1078" s="130"/>
      <c r="L1078" s="129" t="s">
        <v>414</v>
      </c>
      <c r="M1078" s="130"/>
      <c r="N1078" s="145"/>
    </row>
    <row r="1079" spans="1:15" hidden="1">
      <c r="A1079" s="157" t="s">
        <v>452</v>
      </c>
      <c r="B1079" s="29">
        <v>58500131</v>
      </c>
      <c r="C1079" s="29"/>
      <c r="E1079" s="29"/>
      <c r="F1079" s="29" t="s">
        <v>129</v>
      </c>
      <c r="G1079" s="29" t="s">
        <v>213</v>
      </c>
      <c r="H1079" s="130">
        <v>45715</v>
      </c>
      <c r="I1079" s="130">
        <f t="shared" si="8"/>
        <v>45720</v>
      </c>
      <c r="J1079" s="130"/>
      <c r="K1079" s="130">
        <v>45719</v>
      </c>
      <c r="L1079" s="129" t="s">
        <v>10</v>
      </c>
      <c r="M1079" s="162"/>
      <c r="N1079" s="163"/>
      <c r="O1079" s="29" t="s">
        <v>694</v>
      </c>
    </row>
    <row r="1080" spans="1:15" hidden="1">
      <c r="A1080" s="157" t="s">
        <v>452</v>
      </c>
      <c r="B1080" s="29">
        <v>58500140</v>
      </c>
      <c r="C1080" s="29"/>
      <c r="E1080" s="29"/>
      <c r="F1080" s="29" t="s">
        <v>129</v>
      </c>
      <c r="G1080" s="29" t="s">
        <v>213</v>
      </c>
      <c r="H1080" s="130">
        <v>45715</v>
      </c>
      <c r="I1080" s="130">
        <f t="shared" si="8"/>
        <v>45720</v>
      </c>
      <c r="J1080" s="130"/>
      <c r="K1080" s="130">
        <v>45719</v>
      </c>
      <c r="L1080" s="129" t="s">
        <v>10</v>
      </c>
      <c r="M1080" s="162"/>
      <c r="N1080" s="163"/>
      <c r="O1080" s="29" t="s">
        <v>695</v>
      </c>
    </row>
    <row r="1081" spans="1:15" hidden="1">
      <c r="A1081" s="157" t="s">
        <v>452</v>
      </c>
      <c r="B1081" s="29">
        <v>58500144</v>
      </c>
      <c r="C1081" s="29"/>
      <c r="E1081" s="29"/>
      <c r="F1081" s="29" t="s">
        <v>129</v>
      </c>
      <c r="G1081" s="29" t="s">
        <v>213</v>
      </c>
      <c r="H1081" s="130">
        <v>45715</v>
      </c>
      <c r="I1081" s="130">
        <f t="shared" si="8"/>
        <v>45720</v>
      </c>
      <c r="J1081" s="130"/>
      <c r="K1081" s="130">
        <v>45719</v>
      </c>
      <c r="L1081" s="129" t="s">
        <v>10</v>
      </c>
      <c r="M1081" s="162"/>
      <c r="N1081" s="163"/>
      <c r="O1081" s="29" t="s">
        <v>696</v>
      </c>
    </row>
    <row r="1082" spans="1:15" hidden="1">
      <c r="A1082" s="157" t="s">
        <v>452</v>
      </c>
      <c r="B1082" s="29">
        <v>58500147</v>
      </c>
      <c r="C1082" s="29"/>
      <c r="E1082" s="29"/>
      <c r="F1082" s="29" t="s">
        <v>129</v>
      </c>
      <c r="G1082" s="29" t="s">
        <v>213</v>
      </c>
      <c r="H1082" s="130">
        <v>45715</v>
      </c>
      <c r="I1082" s="130">
        <f t="shared" si="8"/>
        <v>45720</v>
      </c>
      <c r="J1082" s="130"/>
      <c r="K1082" s="130">
        <v>45719</v>
      </c>
      <c r="L1082" s="129" t="s">
        <v>10</v>
      </c>
      <c r="M1082" s="162"/>
      <c r="N1082" s="163"/>
      <c r="O1082" s="29" t="s">
        <v>697</v>
      </c>
    </row>
    <row r="1083" spans="1:15" hidden="1">
      <c r="A1083" s="157" t="s">
        <v>452</v>
      </c>
      <c r="B1083" s="29">
        <v>58500151</v>
      </c>
      <c r="C1083" s="29"/>
      <c r="E1083" s="29"/>
      <c r="F1083" s="29" t="s">
        <v>129</v>
      </c>
      <c r="G1083" s="29" t="s">
        <v>213</v>
      </c>
      <c r="H1083" s="130">
        <v>45715</v>
      </c>
      <c r="I1083" s="130">
        <f t="shared" si="8"/>
        <v>45720</v>
      </c>
      <c r="J1083" s="130"/>
      <c r="K1083" s="130">
        <v>45719</v>
      </c>
      <c r="L1083" s="129" t="s">
        <v>10</v>
      </c>
      <c r="M1083" s="162"/>
      <c r="N1083" s="163"/>
      <c r="O1083" s="29" t="s">
        <v>698</v>
      </c>
    </row>
    <row r="1084" spans="1:15" hidden="1">
      <c r="A1084" s="157" t="s">
        <v>452</v>
      </c>
      <c r="B1084" s="29">
        <v>58500155</v>
      </c>
      <c r="C1084" s="29"/>
      <c r="E1084" s="29"/>
      <c r="F1084" s="29" t="s">
        <v>129</v>
      </c>
      <c r="G1084" s="29" t="s">
        <v>213</v>
      </c>
      <c r="H1084" s="130">
        <v>45715</v>
      </c>
      <c r="I1084" s="130">
        <f t="shared" si="8"/>
        <v>45720</v>
      </c>
      <c r="J1084" s="130"/>
      <c r="K1084" s="130">
        <v>45719</v>
      </c>
      <c r="L1084" s="129" t="s">
        <v>10</v>
      </c>
      <c r="M1084" s="162"/>
      <c r="N1084" s="163"/>
      <c r="O1084" s="29" t="s">
        <v>699</v>
      </c>
    </row>
    <row r="1085" spans="1:15" hidden="1">
      <c r="A1085" s="157" t="s">
        <v>452</v>
      </c>
      <c r="B1085" s="29">
        <v>58500158</v>
      </c>
      <c r="C1085" s="29"/>
      <c r="E1085" s="29"/>
      <c r="F1085" s="29" t="s">
        <v>129</v>
      </c>
      <c r="G1085" s="29" t="s">
        <v>213</v>
      </c>
      <c r="H1085" s="130">
        <v>45715</v>
      </c>
      <c r="I1085" s="130">
        <f t="shared" si="8"/>
        <v>45720</v>
      </c>
      <c r="J1085" s="130"/>
      <c r="K1085" s="130">
        <v>45725</v>
      </c>
      <c r="L1085" s="129" t="s">
        <v>10</v>
      </c>
      <c r="M1085" s="162"/>
      <c r="N1085" s="163"/>
      <c r="O1085" s="29" t="s">
        <v>700</v>
      </c>
    </row>
    <row r="1086" spans="1:15" hidden="1">
      <c r="A1086" s="157" t="s">
        <v>452</v>
      </c>
      <c r="B1086" s="29">
        <v>58500162</v>
      </c>
      <c r="C1086" s="29"/>
      <c r="E1086" s="29"/>
      <c r="F1086" s="29" t="s">
        <v>129</v>
      </c>
      <c r="G1086" s="29" t="s">
        <v>213</v>
      </c>
      <c r="H1086" s="130">
        <v>45715</v>
      </c>
      <c r="I1086" s="130">
        <f t="shared" si="8"/>
        <v>45720</v>
      </c>
      <c r="J1086" s="130"/>
      <c r="K1086" s="130">
        <v>45725</v>
      </c>
      <c r="L1086" s="129" t="s">
        <v>10</v>
      </c>
      <c r="M1086" s="162"/>
      <c r="N1086" s="163"/>
      <c r="O1086" s="29" t="s">
        <v>701</v>
      </c>
    </row>
    <row r="1087" spans="1:15" hidden="1">
      <c r="A1087" s="157" t="s">
        <v>452</v>
      </c>
      <c r="B1087" s="29">
        <v>58500167</v>
      </c>
      <c r="C1087" s="29"/>
      <c r="E1087" s="29"/>
      <c r="F1087" s="29" t="s">
        <v>129</v>
      </c>
      <c r="G1087" s="29" t="s">
        <v>213</v>
      </c>
      <c r="H1087" s="130">
        <v>45715</v>
      </c>
      <c r="I1087" s="130">
        <f t="shared" si="8"/>
        <v>45720</v>
      </c>
      <c r="J1087" s="130"/>
      <c r="K1087" s="130">
        <v>45720</v>
      </c>
      <c r="L1087" s="129" t="s">
        <v>10</v>
      </c>
      <c r="M1087" s="162"/>
      <c r="N1087" s="163"/>
      <c r="O1087" s="29" t="s">
        <v>699</v>
      </c>
    </row>
    <row r="1088" spans="1:15" hidden="1">
      <c r="A1088" s="157" t="s">
        <v>452</v>
      </c>
      <c r="B1088" s="29">
        <v>58500173</v>
      </c>
      <c r="C1088" s="29"/>
      <c r="E1088" s="29"/>
      <c r="F1088" s="29" t="s">
        <v>129</v>
      </c>
      <c r="G1088" s="29" t="s">
        <v>213</v>
      </c>
      <c r="H1088" s="130">
        <v>45715</v>
      </c>
      <c r="I1088" s="130">
        <f t="shared" si="8"/>
        <v>45720</v>
      </c>
      <c r="J1088" s="130"/>
      <c r="K1088" s="130">
        <v>45720</v>
      </c>
      <c r="L1088" s="129" t="s">
        <v>10</v>
      </c>
      <c r="M1088" s="162"/>
      <c r="N1088" s="163"/>
      <c r="O1088" s="29" t="s">
        <v>460</v>
      </c>
    </row>
    <row r="1089" spans="1:16" hidden="1">
      <c r="A1089" s="157" t="s">
        <v>452</v>
      </c>
      <c r="B1089" s="29">
        <v>58500175</v>
      </c>
      <c r="C1089" s="29"/>
      <c r="E1089" s="29"/>
      <c r="F1089" s="29" t="s">
        <v>129</v>
      </c>
      <c r="G1089" s="29" t="s">
        <v>213</v>
      </c>
      <c r="H1089" s="130">
        <v>45715</v>
      </c>
      <c r="I1089" s="130">
        <f t="shared" si="8"/>
        <v>45720</v>
      </c>
      <c r="J1089" s="130"/>
      <c r="K1089" s="130">
        <v>45720</v>
      </c>
      <c r="L1089" s="129" t="s">
        <v>10</v>
      </c>
      <c r="M1089" s="162"/>
      <c r="N1089" s="163"/>
      <c r="O1089" s="29" t="s">
        <v>459</v>
      </c>
    </row>
    <row r="1090" spans="1:16" hidden="1">
      <c r="A1090" s="157" t="s">
        <v>452</v>
      </c>
      <c r="B1090" s="29">
        <v>58500180</v>
      </c>
      <c r="C1090" s="29"/>
      <c r="E1090" s="29"/>
      <c r="F1090" s="29" t="s">
        <v>129</v>
      </c>
      <c r="G1090" s="29" t="s">
        <v>213</v>
      </c>
      <c r="H1090" s="130">
        <v>45715</v>
      </c>
      <c r="I1090" s="130">
        <f t="shared" si="8"/>
        <v>45720</v>
      </c>
      <c r="J1090" s="130"/>
      <c r="K1090" s="130">
        <v>45720</v>
      </c>
      <c r="L1090" s="129" t="s">
        <v>10</v>
      </c>
      <c r="M1090" s="162"/>
      <c r="N1090" s="163"/>
      <c r="O1090" s="29" t="s">
        <v>702</v>
      </c>
    </row>
    <row r="1091" spans="1:16" hidden="1">
      <c r="A1091" s="157" t="s">
        <v>452</v>
      </c>
      <c r="B1091" s="29">
        <v>58500184</v>
      </c>
      <c r="C1091" s="29"/>
      <c r="E1091" s="29"/>
      <c r="F1091" s="29" t="s">
        <v>129</v>
      </c>
      <c r="G1091" s="29" t="s">
        <v>213</v>
      </c>
      <c r="H1091" s="130">
        <v>45715</v>
      </c>
      <c r="I1091" s="130">
        <f t="shared" si="8"/>
        <v>45720</v>
      </c>
      <c r="J1091" s="130"/>
      <c r="K1091" s="130">
        <v>45720</v>
      </c>
      <c r="L1091" s="129" t="s">
        <v>10</v>
      </c>
      <c r="M1091" s="162"/>
      <c r="N1091" s="163"/>
      <c r="O1091" s="29" t="s">
        <v>702</v>
      </c>
    </row>
    <row r="1092" spans="1:16" hidden="1">
      <c r="A1092" s="157" t="s">
        <v>452</v>
      </c>
      <c r="B1092" s="29">
        <v>58500190</v>
      </c>
      <c r="C1092" s="29"/>
      <c r="E1092" s="29"/>
      <c r="F1092" s="29" t="s">
        <v>129</v>
      </c>
      <c r="G1092" s="29" t="s">
        <v>213</v>
      </c>
      <c r="H1092" s="130">
        <v>45715</v>
      </c>
      <c r="I1092" s="130">
        <f t="shared" si="8"/>
        <v>45720</v>
      </c>
      <c r="J1092" s="130"/>
      <c r="K1092" s="130">
        <v>45720</v>
      </c>
      <c r="L1092" s="129" t="s">
        <v>10</v>
      </c>
      <c r="M1092" s="162"/>
      <c r="N1092" s="163"/>
      <c r="O1092" s="29" t="s">
        <v>457</v>
      </c>
    </row>
    <row r="1093" spans="1:16" hidden="1">
      <c r="A1093" s="157" t="s">
        <v>452</v>
      </c>
      <c r="B1093" s="29">
        <v>58500197</v>
      </c>
      <c r="C1093" s="29"/>
      <c r="E1093" s="29"/>
      <c r="F1093" s="29" t="s">
        <v>129</v>
      </c>
      <c r="G1093" s="29" t="s">
        <v>213</v>
      </c>
      <c r="H1093" s="130">
        <v>45715</v>
      </c>
      <c r="I1093" s="130">
        <f t="shared" si="8"/>
        <v>45720</v>
      </c>
      <c r="J1093" s="130"/>
      <c r="K1093" s="130">
        <v>45721</v>
      </c>
      <c r="L1093" s="129" t="s">
        <v>10</v>
      </c>
      <c r="M1093" s="162"/>
      <c r="N1093" s="163"/>
      <c r="O1093" s="29" t="s">
        <v>456</v>
      </c>
    </row>
    <row r="1094" spans="1:16" hidden="1">
      <c r="A1094" s="157" t="s">
        <v>452</v>
      </c>
      <c r="B1094" s="29">
        <v>58500200</v>
      </c>
      <c r="C1094" s="29"/>
      <c r="E1094" s="29"/>
      <c r="F1094" s="29" t="s">
        <v>129</v>
      </c>
      <c r="G1094" s="29" t="s">
        <v>213</v>
      </c>
      <c r="H1094" s="130">
        <v>45715</v>
      </c>
      <c r="I1094" s="130">
        <f t="shared" si="8"/>
        <v>45720</v>
      </c>
      <c r="J1094" s="130"/>
      <c r="K1094" s="130">
        <v>45720</v>
      </c>
      <c r="L1094" s="129" t="s">
        <v>10</v>
      </c>
      <c r="M1094" s="162"/>
      <c r="N1094" s="163"/>
      <c r="O1094" s="29" t="s">
        <v>703</v>
      </c>
    </row>
    <row r="1095" spans="1:16" hidden="1">
      <c r="A1095" s="157" t="s">
        <v>452</v>
      </c>
      <c r="B1095" s="29">
        <v>58500204</v>
      </c>
      <c r="C1095" s="29"/>
      <c r="E1095" s="29"/>
      <c r="F1095" s="29" t="s">
        <v>129</v>
      </c>
      <c r="G1095" s="29" t="s">
        <v>213</v>
      </c>
      <c r="H1095" s="130">
        <v>45715</v>
      </c>
      <c r="I1095" s="130">
        <f t="shared" si="8"/>
        <v>45720</v>
      </c>
      <c r="J1095" s="130"/>
      <c r="K1095" s="130">
        <v>45721</v>
      </c>
      <c r="L1095" s="129" t="s">
        <v>10</v>
      </c>
      <c r="M1095" s="162"/>
      <c r="N1095" s="163"/>
      <c r="O1095" s="29" t="s">
        <v>699</v>
      </c>
    </row>
    <row r="1096" spans="1:16" hidden="1">
      <c r="A1096" s="157" t="s">
        <v>452</v>
      </c>
      <c r="B1096" s="29">
        <v>58500206</v>
      </c>
      <c r="C1096" s="29"/>
      <c r="E1096" s="29"/>
      <c r="F1096" s="29" t="s">
        <v>129</v>
      </c>
      <c r="G1096" s="29" t="s">
        <v>213</v>
      </c>
      <c r="H1096" s="130">
        <v>45715</v>
      </c>
      <c r="I1096" s="130">
        <f t="shared" si="8"/>
        <v>45720</v>
      </c>
      <c r="J1096" s="130"/>
      <c r="K1096" s="130">
        <v>45721</v>
      </c>
      <c r="L1096" s="129" t="s">
        <v>10</v>
      </c>
      <c r="M1096" s="162"/>
      <c r="N1096" s="163"/>
      <c r="O1096" s="29" t="s">
        <v>454</v>
      </c>
    </row>
    <row r="1097" spans="1:16" hidden="1">
      <c r="A1097" s="157" t="s">
        <v>452</v>
      </c>
      <c r="B1097" s="29">
        <v>58500211</v>
      </c>
      <c r="C1097" s="29"/>
      <c r="E1097" s="29"/>
      <c r="F1097" s="29" t="s">
        <v>129</v>
      </c>
      <c r="G1097" s="29" t="s">
        <v>213</v>
      </c>
      <c r="H1097" s="130">
        <v>45715</v>
      </c>
      <c r="I1097" s="130">
        <f t="shared" si="8"/>
        <v>45720</v>
      </c>
      <c r="J1097" s="130"/>
      <c r="K1097" s="130">
        <v>45720</v>
      </c>
      <c r="L1097" s="129" t="s">
        <v>10</v>
      </c>
      <c r="M1097" s="162"/>
      <c r="N1097" s="163"/>
      <c r="O1097" s="29" t="s">
        <v>453</v>
      </c>
    </row>
    <row r="1098" spans="1:16" hidden="1">
      <c r="A1098" s="41" t="s">
        <v>117</v>
      </c>
      <c r="B1098" s="41">
        <v>38505194</v>
      </c>
      <c r="C1098" s="41"/>
      <c r="E1098" s="41"/>
      <c r="F1098" s="29" t="s">
        <v>118</v>
      </c>
      <c r="G1098" s="29" t="s">
        <v>123</v>
      </c>
      <c r="H1098" s="130">
        <v>45695</v>
      </c>
      <c r="I1098" s="130">
        <f t="shared" si="8"/>
        <v>45700</v>
      </c>
      <c r="J1098" s="130"/>
      <c r="K1098" s="42">
        <v>45705</v>
      </c>
      <c r="L1098" s="129" t="s">
        <v>10</v>
      </c>
      <c r="M1098" s="162"/>
      <c r="N1098" s="163"/>
      <c r="O1098" s="41" t="s">
        <v>120</v>
      </c>
      <c r="P1098" s="133"/>
    </row>
    <row r="1099" spans="1:16" hidden="1">
      <c r="A1099" s="41" t="s">
        <v>117</v>
      </c>
      <c r="B1099" s="41">
        <v>38505213</v>
      </c>
      <c r="C1099" s="41"/>
      <c r="E1099" s="41"/>
      <c r="F1099" s="29" t="s">
        <v>118</v>
      </c>
      <c r="G1099" s="29" t="s">
        <v>123</v>
      </c>
      <c r="H1099" s="130">
        <v>45695</v>
      </c>
      <c r="I1099" s="130">
        <f t="shared" si="8"/>
        <v>45700</v>
      </c>
      <c r="J1099" s="130"/>
      <c r="K1099" s="42">
        <v>45705</v>
      </c>
      <c r="L1099" s="129" t="s">
        <v>10</v>
      </c>
      <c r="M1099" s="162"/>
      <c r="N1099" s="163"/>
      <c r="O1099" s="41" t="s">
        <v>121</v>
      </c>
      <c r="P1099" s="133"/>
    </row>
    <row r="1100" spans="1:16" hidden="1">
      <c r="A1100" s="41" t="s">
        <v>481</v>
      </c>
      <c r="B1100" s="41">
        <v>56503360</v>
      </c>
      <c r="C1100" s="41"/>
      <c r="E1100" s="41"/>
      <c r="F1100" s="29" t="s">
        <v>118</v>
      </c>
      <c r="G1100" s="29" t="s">
        <v>123</v>
      </c>
      <c r="H1100" s="42">
        <v>45713</v>
      </c>
      <c r="I1100" s="130">
        <f t="shared" ref="I1100:I1163" si="9">WORKDAY(H1100, 3)</f>
        <v>45716</v>
      </c>
      <c r="J1100" s="42">
        <v>45729</v>
      </c>
      <c r="K1100" s="130"/>
      <c r="L1100" s="129" t="s">
        <v>414</v>
      </c>
      <c r="M1100" s="130"/>
      <c r="N1100" s="145"/>
      <c r="O1100" s="41" t="s">
        <v>664</v>
      </c>
      <c r="P1100" s="133"/>
    </row>
    <row r="1101" spans="1:16" hidden="1">
      <c r="A1101" s="41" t="s">
        <v>481</v>
      </c>
      <c r="B1101" s="41">
        <v>56503639</v>
      </c>
      <c r="C1101" s="41"/>
      <c r="E1101" s="41"/>
      <c r="F1101" s="29" t="s">
        <v>118</v>
      </c>
      <c r="G1101" s="29" t="s">
        <v>123</v>
      </c>
      <c r="H1101" s="42">
        <v>45713</v>
      </c>
      <c r="I1101" s="130">
        <f t="shared" si="9"/>
        <v>45716</v>
      </c>
      <c r="J1101" s="42">
        <v>45729</v>
      </c>
      <c r="K1101" s="130">
        <v>45730</v>
      </c>
      <c r="L1101" s="129" t="s">
        <v>10</v>
      </c>
      <c r="M1101" s="130"/>
      <c r="N1101" s="145"/>
      <c r="O1101" s="41" t="s">
        <v>384</v>
      </c>
      <c r="P1101" s="133"/>
    </row>
    <row r="1102" spans="1:16" hidden="1">
      <c r="A1102" s="41" t="s">
        <v>481</v>
      </c>
      <c r="B1102" s="41">
        <v>56503584</v>
      </c>
      <c r="C1102" s="41"/>
      <c r="E1102" s="41"/>
      <c r="F1102" s="29" t="s">
        <v>118</v>
      </c>
      <c r="G1102" s="29" t="s">
        <v>123</v>
      </c>
      <c r="H1102" s="42">
        <v>45713</v>
      </c>
      <c r="I1102" s="130">
        <f t="shared" si="9"/>
        <v>45716</v>
      </c>
      <c r="J1102" s="42"/>
      <c r="K1102" s="42">
        <v>45720</v>
      </c>
      <c r="L1102" s="129" t="s">
        <v>10</v>
      </c>
      <c r="M1102" s="162"/>
      <c r="N1102" s="163"/>
      <c r="O1102" s="41" t="s">
        <v>666</v>
      </c>
      <c r="P1102" s="133"/>
    </row>
    <row r="1103" spans="1:16" hidden="1">
      <c r="A1103" s="41" t="s">
        <v>481</v>
      </c>
      <c r="B1103" s="41">
        <v>56503520</v>
      </c>
      <c r="C1103" s="41"/>
      <c r="E1103" s="41"/>
      <c r="F1103" s="29" t="s">
        <v>118</v>
      </c>
      <c r="G1103" s="29" t="s">
        <v>123</v>
      </c>
      <c r="H1103" s="42">
        <v>45713</v>
      </c>
      <c r="I1103" s="130">
        <f t="shared" si="9"/>
        <v>45716</v>
      </c>
      <c r="J1103" s="42"/>
      <c r="K1103" s="42">
        <v>45719</v>
      </c>
      <c r="L1103" s="129" t="s">
        <v>10</v>
      </c>
      <c r="M1103" s="162"/>
      <c r="N1103" s="163"/>
      <c r="O1103" s="41" t="s">
        <v>383</v>
      </c>
      <c r="P1103" s="133"/>
    </row>
    <row r="1104" spans="1:16" hidden="1">
      <c r="A1104" s="41" t="s">
        <v>481</v>
      </c>
      <c r="B1104" s="41">
        <v>56503469</v>
      </c>
      <c r="C1104" s="41"/>
      <c r="E1104" s="41"/>
      <c r="F1104" s="29" t="s">
        <v>118</v>
      </c>
      <c r="G1104" s="29" t="s">
        <v>123</v>
      </c>
      <c r="H1104" s="42">
        <v>45713</v>
      </c>
      <c r="I1104" s="130">
        <f t="shared" si="9"/>
        <v>45716</v>
      </c>
      <c r="J1104" s="42">
        <v>45729</v>
      </c>
      <c r="K1104" s="130"/>
      <c r="L1104" s="129" t="s">
        <v>414</v>
      </c>
      <c r="M1104" s="130"/>
      <c r="N1104" s="145"/>
      <c r="O1104" s="41" t="s">
        <v>532</v>
      </c>
      <c r="P1104" s="133"/>
    </row>
    <row r="1105" spans="1:16" hidden="1">
      <c r="A1105" s="41" t="s">
        <v>481</v>
      </c>
      <c r="B1105" s="41">
        <v>56503412</v>
      </c>
      <c r="C1105" s="41"/>
      <c r="E1105" s="41"/>
      <c r="F1105" s="29" t="s">
        <v>118</v>
      </c>
      <c r="G1105" s="29" t="s">
        <v>123</v>
      </c>
      <c r="H1105" s="42">
        <v>45713</v>
      </c>
      <c r="I1105" s="130">
        <f t="shared" si="9"/>
        <v>45716</v>
      </c>
      <c r="J1105" s="42">
        <v>45729</v>
      </c>
      <c r="K1105" s="130"/>
      <c r="L1105" s="129" t="s">
        <v>414</v>
      </c>
      <c r="M1105" s="130"/>
      <c r="N1105" s="145"/>
      <c r="O1105" s="41" t="s">
        <v>665</v>
      </c>
      <c r="P1105" s="133"/>
    </row>
    <row r="1106" spans="1:16" hidden="1">
      <c r="A1106" s="41" t="s">
        <v>704</v>
      </c>
      <c r="B1106" s="41">
        <v>58504145</v>
      </c>
      <c r="C1106" s="41"/>
      <c r="E1106" s="41"/>
      <c r="F1106" s="29" t="s">
        <v>118</v>
      </c>
      <c r="G1106" s="29" t="s">
        <v>123</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118</v>
      </c>
      <c r="G1107" s="29" t="s">
        <v>123</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118</v>
      </c>
      <c r="G1108" s="29" t="s">
        <v>123</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118</v>
      </c>
      <c r="G1109" s="29" t="s">
        <v>123</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414</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414</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129</v>
      </c>
      <c r="G1115" s="29" t="s">
        <v>145</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129</v>
      </c>
      <c r="G1116" s="29" t="s">
        <v>145</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129</v>
      </c>
      <c r="G1117" s="29" t="s">
        <v>145</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129</v>
      </c>
      <c r="G1118" s="29" t="s">
        <v>145</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129</v>
      </c>
      <c r="G1119" s="29" t="s">
        <v>145</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129</v>
      </c>
      <c r="G1120" s="29" t="s">
        <v>145</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129</v>
      </c>
      <c r="G1121" s="29" t="s">
        <v>145</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129</v>
      </c>
      <c r="G1122" s="29" t="s">
        <v>145</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129</v>
      </c>
      <c r="G1123" s="29" t="s">
        <v>145</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129</v>
      </c>
      <c r="G1124" s="29" t="s">
        <v>145</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129</v>
      </c>
      <c r="G1125" s="29" t="s">
        <v>145</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129</v>
      </c>
      <c r="G1126" s="29" t="s">
        <v>145</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129</v>
      </c>
      <c r="G1127" s="29" t="s">
        <v>145</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129</v>
      </c>
      <c r="G1128" s="29" t="s">
        <v>145</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129</v>
      </c>
      <c r="G1129" s="29" t="s">
        <v>145</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129</v>
      </c>
      <c r="G1130" s="29" t="s">
        <v>145</v>
      </c>
      <c r="H1130" s="42">
        <v>45720</v>
      </c>
      <c r="I1130" s="130">
        <f t="shared" si="9"/>
        <v>45723</v>
      </c>
      <c r="J1130" s="42"/>
      <c r="K1130" s="42">
        <v>45723</v>
      </c>
      <c r="L1130" s="129" t="s">
        <v>10</v>
      </c>
      <c r="M1130" s="162"/>
      <c r="N1130" s="163"/>
      <c r="O1130" s="41" t="s">
        <v>729</v>
      </c>
    </row>
    <row r="1131" spans="1:15" hidden="1">
      <c r="A1131" s="41" t="s">
        <v>439</v>
      </c>
      <c r="B1131" s="29">
        <v>63508545</v>
      </c>
      <c r="C1131" s="29"/>
      <c r="E1131" s="29"/>
      <c r="F1131" s="84" t="s">
        <v>129</v>
      </c>
      <c r="G1131" s="29" t="s">
        <v>213</v>
      </c>
      <c r="H1131" s="42">
        <v>45720</v>
      </c>
      <c r="I1131" s="130">
        <f t="shared" si="9"/>
        <v>45723</v>
      </c>
      <c r="J1131" s="42"/>
      <c r="K1131" s="42">
        <v>45723</v>
      </c>
      <c r="L1131" s="129" t="s">
        <v>10</v>
      </c>
      <c r="M1131" s="162"/>
      <c r="N1131" s="163"/>
      <c r="O1131" s="29" t="s">
        <v>730</v>
      </c>
    </row>
    <row r="1132" spans="1:15" hidden="1">
      <c r="A1132" s="41" t="s">
        <v>439</v>
      </c>
      <c r="B1132" s="29">
        <v>63508556</v>
      </c>
      <c r="C1132" s="29"/>
      <c r="E1132" s="29"/>
      <c r="F1132" s="84" t="s">
        <v>129</v>
      </c>
      <c r="G1132" s="29" t="s">
        <v>213</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129</v>
      </c>
      <c r="G1133" s="29" t="s">
        <v>213</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129</v>
      </c>
      <c r="G1134" s="29" t="s">
        <v>213</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129</v>
      </c>
      <c r="G1135" s="29" t="s">
        <v>213</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129</v>
      </c>
      <c r="G1136" s="29" t="s">
        <v>213</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129</v>
      </c>
      <c r="G1137" s="29" t="s">
        <v>213</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129</v>
      </c>
      <c r="G1138" s="29" t="s">
        <v>213</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129</v>
      </c>
      <c r="G1139" s="29" t="s">
        <v>213</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129</v>
      </c>
      <c r="G1140" s="29" t="s">
        <v>213</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129</v>
      </c>
      <c r="G1141" s="29" t="s">
        <v>213</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129</v>
      </c>
      <c r="G1142" s="29" t="s">
        <v>213</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129</v>
      </c>
      <c r="G1143" s="29" t="s">
        <v>213</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129</v>
      </c>
      <c r="G1144" s="29" t="s">
        <v>213</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129</v>
      </c>
      <c r="G1145" s="29" t="s">
        <v>213</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129</v>
      </c>
      <c r="G1146" s="29" t="s">
        <v>213</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129</v>
      </c>
      <c r="G1147" s="29" t="s">
        <v>213</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129</v>
      </c>
      <c r="G1148" s="29" t="s">
        <v>213</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129</v>
      </c>
      <c r="G1149" s="29" t="s">
        <v>213</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129</v>
      </c>
      <c r="G1150" s="29" t="s">
        <v>213</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129</v>
      </c>
      <c r="G1151" s="29" t="s">
        <v>213</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129</v>
      </c>
      <c r="G1152" s="29" t="s">
        <v>213</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129</v>
      </c>
      <c r="G1153" s="29" t="s">
        <v>213</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129</v>
      </c>
      <c r="G1154" s="29" t="s">
        <v>213</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129</v>
      </c>
      <c r="G1155" s="29" t="s">
        <v>213</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129</v>
      </c>
      <c r="G1156" s="29" t="s">
        <v>213</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129</v>
      </c>
      <c r="G1157" s="29" t="s">
        <v>213</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129</v>
      </c>
      <c r="G1158" s="29" t="s">
        <v>213</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129</v>
      </c>
      <c r="G1159" s="29" t="s">
        <v>213</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129</v>
      </c>
      <c r="G1160" s="29" t="s">
        <v>213</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129</v>
      </c>
      <c r="G1161" s="29" t="s">
        <v>213</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129</v>
      </c>
      <c r="G1162" s="29" t="s">
        <v>213</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129</v>
      </c>
      <c r="G1165" s="29" t="s">
        <v>213</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129</v>
      </c>
      <c r="G1166" s="29" t="s">
        <v>213</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129</v>
      </c>
      <c r="G1167" s="29" t="s">
        <v>213</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129</v>
      </c>
      <c r="G1168" s="29" t="s">
        <v>213</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129</v>
      </c>
      <c r="G1169" s="29" t="s">
        <v>213</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129</v>
      </c>
      <c r="G1170" s="29" t="s">
        <v>213</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129</v>
      </c>
      <c r="G1171" s="29" t="s">
        <v>213</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129</v>
      </c>
      <c r="G1172" s="29" t="s">
        <v>213</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129</v>
      </c>
      <c r="G1173" s="29" t="s">
        <v>213</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129</v>
      </c>
      <c r="G1174" s="29" t="s">
        <v>213</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129</v>
      </c>
      <c r="G1175" s="29" t="s">
        <v>213</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129</v>
      </c>
      <c r="G1176" s="29" t="s">
        <v>213</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129</v>
      </c>
      <c r="G1177" s="29" t="s">
        <v>213</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129</v>
      </c>
      <c r="G1178" s="29" t="s">
        <v>213</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129</v>
      </c>
      <c r="G1179" s="29" t="s">
        <v>213</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129</v>
      </c>
      <c r="G1180" s="29" t="s">
        <v>213</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129</v>
      </c>
      <c r="G1181" s="29" t="s">
        <v>213</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129</v>
      </c>
      <c r="G1182" s="29" t="s">
        <v>213</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129</v>
      </c>
      <c r="G1183" s="29" t="s">
        <v>213</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129</v>
      </c>
      <c r="G1184" s="29" t="s">
        <v>213</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129</v>
      </c>
      <c r="G1185" s="29" t="s">
        <v>213</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129</v>
      </c>
      <c r="G1186" s="29" t="s">
        <v>213</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129</v>
      </c>
      <c r="G1187" s="29" t="s">
        <v>213</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129</v>
      </c>
      <c r="G1188" s="29" t="s">
        <v>213</v>
      </c>
      <c r="H1188" s="42">
        <v>45722</v>
      </c>
      <c r="I1188" s="130">
        <f t="shared" si="10"/>
        <v>45727</v>
      </c>
      <c r="J1188" s="29"/>
      <c r="K1188" s="29"/>
      <c r="L1188" s="129" t="s">
        <v>483</v>
      </c>
      <c r="M1188" s="29"/>
      <c r="N1188" s="81"/>
      <c r="O1188" s="41" t="s">
        <v>792</v>
      </c>
    </row>
    <row r="1189" spans="1:15" hidden="1">
      <c r="A1189" s="41" t="s">
        <v>782</v>
      </c>
      <c r="B1189" s="41">
        <v>65505591</v>
      </c>
      <c r="C1189" s="41"/>
      <c r="E1189" s="41"/>
      <c r="F1189" s="84" t="s">
        <v>129</v>
      </c>
      <c r="G1189" s="29" t="s">
        <v>213</v>
      </c>
      <c r="H1189" s="42">
        <v>45722</v>
      </c>
      <c r="I1189" s="130">
        <f t="shared" si="10"/>
        <v>45727</v>
      </c>
      <c r="J1189" s="29"/>
      <c r="K1189" s="29"/>
      <c r="L1189" s="129" t="s">
        <v>483</v>
      </c>
      <c r="M1189" s="29"/>
      <c r="N1189" s="81"/>
      <c r="O1189" s="41" t="s">
        <v>793</v>
      </c>
    </row>
    <row r="1190" spans="1:15" hidden="1">
      <c r="A1190" s="41" t="s">
        <v>782</v>
      </c>
      <c r="B1190" s="41">
        <v>65505650</v>
      </c>
      <c r="C1190" s="41"/>
      <c r="E1190" s="41"/>
      <c r="F1190" s="84" t="s">
        <v>129</v>
      </c>
      <c r="G1190" s="29" t="s">
        <v>213</v>
      </c>
      <c r="H1190" s="42">
        <v>45722</v>
      </c>
      <c r="I1190" s="130">
        <f t="shared" si="10"/>
        <v>45727</v>
      </c>
      <c r="J1190" s="29"/>
      <c r="K1190" s="29"/>
      <c r="L1190" s="129" t="s">
        <v>483</v>
      </c>
      <c r="M1190" s="29"/>
      <c r="N1190" s="81"/>
      <c r="O1190" s="41" t="s">
        <v>794</v>
      </c>
    </row>
    <row r="1191" spans="1:15" hidden="1">
      <c r="A1191" s="41" t="s">
        <v>782</v>
      </c>
      <c r="B1191" s="41">
        <v>65505682</v>
      </c>
      <c r="C1191" s="41"/>
      <c r="E1191" s="41"/>
      <c r="F1191" s="84" t="s">
        <v>129</v>
      </c>
      <c r="G1191" s="29" t="s">
        <v>213</v>
      </c>
      <c r="H1191" s="42">
        <v>45722</v>
      </c>
      <c r="I1191" s="130">
        <f t="shared" si="10"/>
        <v>45727</v>
      </c>
      <c r="J1191" s="29"/>
      <c r="K1191" s="29"/>
      <c r="L1191" s="129" t="s">
        <v>483</v>
      </c>
      <c r="M1191" s="29"/>
      <c r="N1191" s="81"/>
      <c r="O1191" s="41" t="s">
        <v>795</v>
      </c>
    </row>
    <row r="1192" spans="1:15" hidden="1">
      <c r="A1192" s="41" t="s">
        <v>782</v>
      </c>
      <c r="B1192" s="41">
        <v>65505696</v>
      </c>
      <c r="C1192" s="41"/>
      <c r="E1192" s="41"/>
      <c r="F1192" s="84" t="s">
        <v>129</v>
      </c>
      <c r="G1192" s="29" t="s">
        <v>213</v>
      </c>
      <c r="H1192" s="42">
        <v>45722</v>
      </c>
      <c r="I1192" s="130">
        <f t="shared" si="10"/>
        <v>45727</v>
      </c>
      <c r="J1192" s="29"/>
      <c r="K1192" s="29"/>
      <c r="L1192" s="129" t="s">
        <v>483</v>
      </c>
      <c r="M1192" s="29"/>
      <c r="N1192" s="81"/>
      <c r="O1192" s="41" t="s">
        <v>796</v>
      </c>
    </row>
    <row r="1193" spans="1:15" hidden="1">
      <c r="A1193" s="41" t="s">
        <v>782</v>
      </c>
      <c r="B1193" s="41">
        <v>65505728</v>
      </c>
      <c r="C1193" s="41"/>
      <c r="E1193" s="41"/>
      <c r="F1193" s="84" t="s">
        <v>129</v>
      </c>
      <c r="G1193" s="29" t="s">
        <v>213</v>
      </c>
      <c r="H1193" s="42">
        <v>45722</v>
      </c>
      <c r="I1193" s="130">
        <f t="shared" si="10"/>
        <v>45727</v>
      </c>
      <c r="J1193" s="29"/>
      <c r="K1193" s="29"/>
      <c r="L1193" s="129" t="s">
        <v>483</v>
      </c>
      <c r="M1193" s="29"/>
      <c r="N1193" s="81"/>
      <c r="O1193" s="41" t="s">
        <v>797</v>
      </c>
    </row>
    <row r="1194" spans="1:15" hidden="1">
      <c r="A1194" s="41" t="s">
        <v>782</v>
      </c>
      <c r="B1194" s="41">
        <v>65505750</v>
      </c>
      <c r="C1194" s="41"/>
      <c r="E1194" s="41"/>
      <c r="F1194" s="84" t="s">
        <v>129</v>
      </c>
      <c r="G1194" s="29" t="s">
        <v>213</v>
      </c>
      <c r="H1194" s="42">
        <v>45722</v>
      </c>
      <c r="I1194" s="130">
        <f t="shared" si="10"/>
        <v>45727</v>
      </c>
      <c r="J1194" s="29"/>
      <c r="K1194" s="29"/>
      <c r="L1194" s="129" t="s">
        <v>483</v>
      </c>
      <c r="M1194" s="29"/>
      <c r="N1194" s="81"/>
      <c r="O1194" s="41" t="s">
        <v>798</v>
      </c>
    </row>
    <row r="1195" spans="1:15" hidden="1">
      <c r="A1195" s="41" t="s">
        <v>782</v>
      </c>
      <c r="B1195" s="41">
        <v>65505814</v>
      </c>
      <c r="C1195" s="41"/>
      <c r="E1195" s="41"/>
      <c r="F1195" s="84" t="s">
        <v>129</v>
      </c>
      <c r="G1195" s="29" t="s">
        <v>213</v>
      </c>
      <c r="H1195" s="42">
        <v>45722</v>
      </c>
      <c r="I1195" s="130">
        <f t="shared" si="10"/>
        <v>45727</v>
      </c>
      <c r="J1195" s="29"/>
      <c r="K1195" s="29"/>
      <c r="L1195" s="129" t="s">
        <v>483</v>
      </c>
      <c r="M1195" s="29"/>
      <c r="N1195" s="81"/>
      <c r="O1195" s="41" t="s">
        <v>799</v>
      </c>
    </row>
    <row r="1196" spans="1:15" hidden="1">
      <c r="A1196" s="41" t="s">
        <v>782</v>
      </c>
      <c r="B1196" s="41">
        <v>65505831</v>
      </c>
      <c r="C1196" s="41"/>
      <c r="E1196" s="41"/>
      <c r="F1196" s="84" t="s">
        <v>129</v>
      </c>
      <c r="G1196" s="29" t="s">
        <v>213</v>
      </c>
      <c r="H1196" s="42">
        <v>45722</v>
      </c>
      <c r="I1196" s="130">
        <f t="shared" si="10"/>
        <v>45727</v>
      </c>
      <c r="J1196" s="29"/>
      <c r="K1196" s="29"/>
      <c r="L1196" s="129" t="s">
        <v>483</v>
      </c>
      <c r="M1196" s="29"/>
      <c r="N1196" s="81"/>
      <c r="O1196" s="41" t="s">
        <v>800</v>
      </c>
    </row>
    <row r="1197" spans="1:15" hidden="1">
      <c r="A1197" s="41" t="s">
        <v>782</v>
      </c>
      <c r="B1197" s="41">
        <v>65505876</v>
      </c>
      <c r="C1197" s="41"/>
      <c r="E1197" s="41"/>
      <c r="F1197" s="84" t="s">
        <v>129</v>
      </c>
      <c r="G1197" s="29" t="s">
        <v>213</v>
      </c>
      <c r="H1197" s="42">
        <v>45722</v>
      </c>
      <c r="I1197" s="130">
        <f t="shared" si="10"/>
        <v>45727</v>
      </c>
      <c r="J1197" s="29"/>
      <c r="K1197" s="29"/>
      <c r="L1197" s="129" t="s">
        <v>483</v>
      </c>
      <c r="M1197" s="29"/>
      <c r="N1197" s="81"/>
      <c r="O1197" s="41" t="s">
        <v>801</v>
      </c>
    </row>
    <row r="1198" spans="1:15" hidden="1">
      <c r="A1198" s="41" t="s">
        <v>782</v>
      </c>
      <c r="B1198" s="41">
        <v>65505913</v>
      </c>
      <c r="C1198" s="41"/>
      <c r="E1198" s="41"/>
      <c r="F1198" s="84" t="s">
        <v>129</v>
      </c>
      <c r="G1198" s="29" t="s">
        <v>213</v>
      </c>
      <c r="H1198" s="42">
        <v>45722</v>
      </c>
      <c r="I1198" s="130">
        <f t="shared" si="10"/>
        <v>45727</v>
      </c>
      <c r="J1198" s="29"/>
      <c r="K1198" s="29"/>
      <c r="L1198" s="129" t="s">
        <v>483</v>
      </c>
      <c r="M1198" s="29"/>
      <c r="N1198" s="81"/>
      <c r="O1198" s="41" t="s">
        <v>802</v>
      </c>
    </row>
    <row r="1199" spans="1:15" hidden="1">
      <c r="A1199" s="157" t="s">
        <v>344</v>
      </c>
      <c r="B1199" s="41">
        <v>64502509</v>
      </c>
      <c r="C1199" s="41"/>
      <c r="E1199" s="41"/>
      <c r="F1199" s="84" t="s">
        <v>129</v>
      </c>
      <c r="G1199" s="29" t="s">
        <v>213</v>
      </c>
      <c r="H1199" s="42">
        <v>45722</v>
      </c>
      <c r="I1199" s="130">
        <f t="shared" si="10"/>
        <v>45727</v>
      </c>
      <c r="J1199" s="29"/>
      <c r="K1199" s="29"/>
      <c r="L1199" s="129" t="s">
        <v>414</v>
      </c>
      <c r="M1199" s="29"/>
      <c r="N1199" s="81"/>
    </row>
    <row r="1200" spans="1:15" hidden="1">
      <c r="A1200" s="157" t="s">
        <v>344</v>
      </c>
      <c r="B1200" s="41">
        <v>64502261</v>
      </c>
      <c r="C1200" s="41"/>
      <c r="E1200" s="41"/>
      <c r="F1200" s="84" t="s">
        <v>129</v>
      </c>
      <c r="G1200" s="29" t="s">
        <v>213</v>
      </c>
      <c r="H1200" s="42">
        <v>45722</v>
      </c>
      <c r="I1200" s="130">
        <f t="shared" si="10"/>
        <v>45727</v>
      </c>
      <c r="J1200" s="29"/>
      <c r="K1200" s="29"/>
      <c r="L1200" s="129" t="s">
        <v>414</v>
      </c>
      <c r="M1200" s="29"/>
      <c r="N1200" s="81"/>
    </row>
    <row r="1201" spans="1:14" hidden="1">
      <c r="A1201" s="157" t="s">
        <v>344</v>
      </c>
      <c r="B1201" s="41">
        <v>64503084</v>
      </c>
      <c r="C1201" s="41"/>
      <c r="E1201" s="41"/>
      <c r="F1201" s="84" t="s">
        <v>129</v>
      </c>
      <c r="G1201" s="29" t="s">
        <v>213</v>
      </c>
      <c r="H1201" s="42">
        <v>45722</v>
      </c>
      <c r="I1201" s="130">
        <f t="shared" si="10"/>
        <v>45727</v>
      </c>
      <c r="J1201" s="29"/>
      <c r="K1201" s="29"/>
      <c r="L1201" s="129" t="s">
        <v>414</v>
      </c>
      <c r="M1201" s="29"/>
      <c r="N1201" s="81"/>
    </row>
    <row r="1202" spans="1:14" hidden="1">
      <c r="A1202" s="157" t="s">
        <v>344</v>
      </c>
      <c r="B1202" s="41">
        <v>64506391</v>
      </c>
      <c r="C1202" s="41"/>
      <c r="E1202" s="41"/>
      <c r="F1202" s="84" t="s">
        <v>129</v>
      </c>
      <c r="G1202" s="29" t="s">
        <v>213</v>
      </c>
      <c r="H1202" s="42">
        <v>45722</v>
      </c>
      <c r="I1202" s="130">
        <f t="shared" si="10"/>
        <v>45727</v>
      </c>
      <c r="J1202" s="29"/>
      <c r="K1202" s="29"/>
      <c r="L1202" s="129" t="s">
        <v>414</v>
      </c>
      <c r="M1202" s="29"/>
      <c r="N1202" s="81"/>
    </row>
    <row r="1203" spans="1:14" hidden="1">
      <c r="A1203" s="157" t="s">
        <v>344</v>
      </c>
      <c r="B1203" s="41">
        <v>64507864</v>
      </c>
      <c r="C1203" s="41"/>
      <c r="E1203" s="41"/>
      <c r="F1203" s="84" t="s">
        <v>129</v>
      </c>
      <c r="G1203" s="29" t="s">
        <v>213</v>
      </c>
      <c r="H1203" s="42">
        <v>45722</v>
      </c>
      <c r="I1203" s="130">
        <f t="shared" si="10"/>
        <v>45727</v>
      </c>
      <c r="J1203" s="29"/>
      <c r="K1203" s="29"/>
      <c r="L1203" s="129" t="s">
        <v>414</v>
      </c>
      <c r="M1203" s="29"/>
      <c r="N1203" s="81"/>
    </row>
    <row r="1204" spans="1:14" hidden="1">
      <c r="A1204" s="157" t="s">
        <v>336</v>
      </c>
      <c r="B1204" s="41">
        <v>71508202</v>
      </c>
      <c r="C1204" s="41"/>
      <c r="E1204" s="41"/>
      <c r="F1204" s="84" t="s">
        <v>129</v>
      </c>
      <c r="G1204" s="29" t="s">
        <v>213</v>
      </c>
      <c r="H1204" s="42">
        <v>45728</v>
      </c>
      <c r="I1204" s="130">
        <f t="shared" si="10"/>
        <v>45733</v>
      </c>
      <c r="J1204" s="42">
        <v>45727</v>
      </c>
      <c r="K1204" s="130">
        <v>45737</v>
      </c>
      <c r="L1204" s="129" t="s">
        <v>803</v>
      </c>
      <c r="M1204" s="29"/>
      <c r="N1204" s="81"/>
    </row>
    <row r="1205" spans="1:14" hidden="1">
      <c r="A1205" s="157" t="s">
        <v>336</v>
      </c>
      <c r="B1205" s="41">
        <v>62506684</v>
      </c>
      <c r="C1205" s="41"/>
      <c r="E1205" s="41"/>
      <c r="F1205" s="84" t="s">
        <v>129</v>
      </c>
      <c r="G1205" s="29" t="s">
        <v>127</v>
      </c>
      <c r="H1205" s="42">
        <v>45721</v>
      </c>
      <c r="I1205" s="130">
        <f t="shared" si="10"/>
        <v>45726</v>
      </c>
      <c r="J1205" s="42">
        <v>45727</v>
      </c>
      <c r="K1205" s="130">
        <v>45734</v>
      </c>
      <c r="L1205" s="129" t="s">
        <v>10</v>
      </c>
      <c r="M1205" s="29"/>
      <c r="N1205" s="81"/>
    </row>
    <row r="1206" spans="1:14" hidden="1">
      <c r="A1206" s="157" t="s">
        <v>336</v>
      </c>
      <c r="B1206" s="29">
        <v>62506609</v>
      </c>
      <c r="C1206" s="29"/>
      <c r="E1206" s="29"/>
      <c r="F1206" s="84" t="s">
        <v>129</v>
      </c>
      <c r="G1206" s="29" t="s">
        <v>127</v>
      </c>
      <c r="H1206" s="42">
        <v>45721</v>
      </c>
      <c r="I1206" s="130">
        <f t="shared" si="10"/>
        <v>45726</v>
      </c>
      <c r="J1206" s="29"/>
      <c r="K1206" s="130">
        <v>45728</v>
      </c>
      <c r="L1206" s="129" t="s">
        <v>10</v>
      </c>
      <c r="M1206" s="162"/>
      <c r="N1206" s="163"/>
    </row>
    <row r="1207" spans="1:14" hidden="1">
      <c r="A1207" s="157" t="s">
        <v>336</v>
      </c>
      <c r="B1207" s="29">
        <v>62506512</v>
      </c>
      <c r="C1207" s="29"/>
      <c r="E1207" s="29"/>
      <c r="F1207" s="84" t="s">
        <v>129</v>
      </c>
      <c r="G1207" s="29" t="s">
        <v>127</v>
      </c>
      <c r="H1207" s="42">
        <v>45721</v>
      </c>
      <c r="I1207" s="130">
        <f t="shared" si="10"/>
        <v>45726</v>
      </c>
      <c r="J1207" s="29"/>
      <c r="K1207" s="130">
        <v>45723</v>
      </c>
      <c r="L1207" s="129" t="s">
        <v>10</v>
      </c>
      <c r="M1207" s="162"/>
      <c r="N1207" s="163"/>
    </row>
    <row r="1208" spans="1:14" hidden="1">
      <c r="A1208" s="157" t="s">
        <v>336</v>
      </c>
      <c r="B1208" s="29">
        <v>62506411</v>
      </c>
      <c r="C1208" s="29"/>
      <c r="E1208" s="29"/>
      <c r="F1208" s="84" t="s">
        <v>129</v>
      </c>
      <c r="G1208" s="29" t="s">
        <v>127</v>
      </c>
      <c r="H1208" s="42">
        <v>45721</v>
      </c>
      <c r="I1208" s="130">
        <f t="shared" si="10"/>
        <v>45726</v>
      </c>
      <c r="J1208" s="29"/>
      <c r="K1208" s="130">
        <v>45727</v>
      </c>
      <c r="L1208" s="129" t="s">
        <v>10</v>
      </c>
      <c r="M1208" s="162"/>
      <c r="N1208" s="163"/>
    </row>
    <row r="1209" spans="1:14" hidden="1">
      <c r="A1209" s="157" t="s">
        <v>336</v>
      </c>
      <c r="B1209" s="29">
        <v>62506215</v>
      </c>
      <c r="C1209" s="29"/>
      <c r="E1209" s="29"/>
      <c r="F1209" s="84" t="s">
        <v>129</v>
      </c>
      <c r="G1209" s="29" t="s">
        <v>127</v>
      </c>
      <c r="H1209" s="42">
        <v>45721</v>
      </c>
      <c r="I1209" s="130">
        <f t="shared" si="10"/>
        <v>45726</v>
      </c>
      <c r="J1209" s="29"/>
      <c r="K1209" s="130">
        <v>45723</v>
      </c>
      <c r="L1209" s="129" t="s">
        <v>10</v>
      </c>
      <c r="M1209" s="162"/>
      <c r="N1209" s="163"/>
    </row>
    <row r="1210" spans="1:14" hidden="1">
      <c r="A1210" s="157" t="s">
        <v>336</v>
      </c>
      <c r="B1210" s="29">
        <v>62506126</v>
      </c>
      <c r="C1210" s="29"/>
      <c r="E1210" s="29"/>
      <c r="F1210" s="84" t="s">
        <v>129</v>
      </c>
      <c r="G1210" s="29" t="s">
        <v>127</v>
      </c>
      <c r="H1210" s="42">
        <v>45721</v>
      </c>
      <c r="I1210" s="130">
        <f t="shared" si="10"/>
        <v>45726</v>
      </c>
      <c r="J1210" s="29"/>
      <c r="K1210" s="130">
        <v>45723</v>
      </c>
      <c r="L1210" s="129" t="s">
        <v>10</v>
      </c>
      <c r="M1210" s="162"/>
      <c r="N1210" s="163"/>
    </row>
    <row r="1211" spans="1:14" hidden="1">
      <c r="A1211" s="157" t="s">
        <v>336</v>
      </c>
      <c r="B1211" s="29">
        <v>62505967</v>
      </c>
      <c r="C1211" s="29"/>
      <c r="E1211" s="29"/>
      <c r="F1211" s="84" t="s">
        <v>129</v>
      </c>
      <c r="G1211" s="29" t="s">
        <v>127</v>
      </c>
      <c r="H1211" s="42">
        <v>45721</v>
      </c>
      <c r="I1211" s="130">
        <f t="shared" si="10"/>
        <v>45726</v>
      </c>
      <c r="J1211" s="29"/>
      <c r="K1211" s="130">
        <v>45723</v>
      </c>
      <c r="L1211" s="129" t="s">
        <v>10</v>
      </c>
      <c r="M1211" s="162"/>
      <c r="N1211" s="163"/>
    </row>
    <row r="1212" spans="1:14" hidden="1">
      <c r="A1212" s="157" t="s">
        <v>336</v>
      </c>
      <c r="B1212" s="29">
        <v>62505391</v>
      </c>
      <c r="C1212" s="29"/>
      <c r="E1212" s="29"/>
      <c r="F1212" s="84" t="s">
        <v>129</v>
      </c>
      <c r="G1212" s="29" t="s">
        <v>127</v>
      </c>
      <c r="H1212" s="42">
        <v>45721</v>
      </c>
      <c r="I1212" s="130">
        <f t="shared" si="10"/>
        <v>45726</v>
      </c>
      <c r="J1212" s="29"/>
      <c r="K1212" s="130">
        <v>45727</v>
      </c>
      <c r="L1212" s="129" t="s">
        <v>10</v>
      </c>
      <c r="M1212" s="162"/>
      <c r="N1212" s="163"/>
    </row>
    <row r="1213" spans="1:14" hidden="1">
      <c r="A1213" s="157" t="s">
        <v>137</v>
      </c>
      <c r="B1213" s="29" t="s">
        <v>804</v>
      </c>
      <c r="C1213" s="29"/>
      <c r="E1213" s="29"/>
      <c r="F1213" s="84" t="s">
        <v>129</v>
      </c>
      <c r="G1213" s="29" t="s">
        <v>127</v>
      </c>
      <c r="H1213" s="130">
        <v>45726</v>
      </c>
      <c r="I1213" s="130">
        <f t="shared" si="10"/>
        <v>45729</v>
      </c>
      <c r="J1213" s="42">
        <v>45727</v>
      </c>
      <c r="K1213" s="130">
        <v>45740</v>
      </c>
      <c r="L1213" s="129" t="s">
        <v>803</v>
      </c>
      <c r="M1213" s="29"/>
      <c r="N1213" s="81"/>
    </row>
    <row r="1214" spans="1:14" hidden="1">
      <c r="A1214" s="157" t="s">
        <v>344</v>
      </c>
      <c r="B1214" s="29">
        <v>70500979</v>
      </c>
      <c r="C1214" s="29"/>
      <c r="E1214" s="29"/>
      <c r="F1214" s="29" t="s">
        <v>129</v>
      </c>
      <c r="G1214" s="29" t="s">
        <v>127</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129</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129</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129</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129</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129</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129</v>
      </c>
      <c r="G1220" s="29" t="s">
        <v>127</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414</v>
      </c>
      <c r="M1221" s="29"/>
      <c r="N1221" s="81"/>
    </row>
    <row r="1222" spans="1:15" hidden="1">
      <c r="A1222" s="157" t="s">
        <v>344</v>
      </c>
      <c r="B1222" s="29">
        <v>70502443</v>
      </c>
      <c r="C1222" s="29"/>
      <c r="E1222" s="29"/>
      <c r="F1222" s="29" t="s">
        <v>129</v>
      </c>
      <c r="G1222" s="29" t="s">
        <v>127</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129</v>
      </c>
      <c r="G1223" s="29" t="s">
        <v>145</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129</v>
      </c>
      <c r="G1224" s="29" t="s">
        <v>145</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129</v>
      </c>
      <c r="G1225" s="29" t="s">
        <v>145</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129</v>
      </c>
      <c r="G1226" s="29" t="s">
        <v>145</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129</v>
      </c>
      <c r="G1227" s="29" t="s">
        <v>145</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129</v>
      </c>
      <c r="G1228" s="29" t="s">
        <v>145</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129</v>
      </c>
      <c r="G1229" s="29" t="s">
        <v>145</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129</v>
      </c>
      <c r="G1230" s="29" t="s">
        <v>145</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129</v>
      </c>
      <c r="G1231" s="29" t="s">
        <v>145</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129</v>
      </c>
      <c r="G1232" s="29" t="s">
        <v>145</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129</v>
      </c>
      <c r="G1233" s="29" t="s">
        <v>145</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129</v>
      </c>
      <c r="G1234" s="29" t="s">
        <v>145</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129</v>
      </c>
      <c r="G1235" s="29" t="s">
        <v>145</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129</v>
      </c>
      <c r="G1236" s="29" t="s">
        <v>145</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129</v>
      </c>
      <c r="G1237" s="29" t="s">
        <v>145</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129</v>
      </c>
      <c r="G1238" s="29" t="s">
        <v>145</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129</v>
      </c>
      <c r="G1239" s="29" t="s">
        <v>145</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129</v>
      </c>
      <c r="G1240" s="29" t="s">
        <v>145</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129</v>
      </c>
      <c r="G1241" s="29" t="s">
        <v>145</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129</v>
      </c>
      <c r="G1242" s="29" t="s">
        <v>145</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129</v>
      </c>
      <c r="G1243" s="29" t="s">
        <v>145</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129</v>
      </c>
      <c r="G1244" s="29" t="s">
        <v>145</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129</v>
      </c>
      <c r="G1245" s="29" t="s">
        <v>145</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129</v>
      </c>
      <c r="G1246" s="29" t="s">
        <v>145</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129</v>
      </c>
      <c r="G1247" s="29" t="s">
        <v>145</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129</v>
      </c>
      <c r="G1248" s="29" t="s">
        <v>145</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129</v>
      </c>
      <c r="G1249" s="29" t="s">
        <v>145</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129</v>
      </c>
      <c r="G1250" s="29" t="s">
        <v>145</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129</v>
      </c>
      <c r="G1251" s="29" t="s">
        <v>145</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129</v>
      </c>
      <c r="G1252" s="29" t="s">
        <v>145</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129</v>
      </c>
      <c r="G1253" s="29" t="s">
        <v>145</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129</v>
      </c>
      <c r="G1254" s="29" t="s">
        <v>145</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129</v>
      </c>
      <c r="G1255" s="29" t="s">
        <v>145</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129</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129</v>
      </c>
      <c r="G1257" s="29" t="s">
        <v>213</v>
      </c>
      <c r="H1257" s="42">
        <v>45726</v>
      </c>
      <c r="I1257" s="130">
        <f t="shared" si="11"/>
        <v>45729</v>
      </c>
      <c r="J1257" s="130"/>
      <c r="K1257" s="29"/>
      <c r="L1257" s="129" t="s">
        <v>483</v>
      </c>
      <c r="M1257" s="29"/>
      <c r="N1257" s="81"/>
      <c r="O1257" s="41"/>
    </row>
    <row r="1258" spans="1:15" hidden="1">
      <c r="A1258" s="157" t="s">
        <v>842</v>
      </c>
      <c r="B1258" s="29">
        <v>69504323</v>
      </c>
      <c r="C1258" s="29"/>
      <c r="E1258" s="29"/>
      <c r="F1258" s="29" t="s">
        <v>129</v>
      </c>
      <c r="G1258" s="29" t="s">
        <v>213</v>
      </c>
      <c r="H1258" s="42">
        <v>45726</v>
      </c>
      <c r="I1258" s="130">
        <f t="shared" si="11"/>
        <v>45729</v>
      </c>
      <c r="J1258" s="130"/>
      <c r="K1258" s="29"/>
      <c r="L1258" s="129" t="s">
        <v>483</v>
      </c>
      <c r="M1258" s="29"/>
      <c r="N1258" s="81"/>
    </row>
    <row r="1259" spans="1:15" hidden="1">
      <c r="A1259" s="157" t="s">
        <v>842</v>
      </c>
      <c r="B1259" s="29">
        <v>69504366</v>
      </c>
      <c r="C1259" s="29"/>
      <c r="E1259" s="29"/>
      <c r="F1259" s="29" t="s">
        <v>129</v>
      </c>
      <c r="G1259" s="29" t="s">
        <v>213</v>
      </c>
      <c r="H1259" s="42">
        <v>45726</v>
      </c>
      <c r="I1259" s="130">
        <f t="shared" si="11"/>
        <v>45729</v>
      </c>
      <c r="J1259" s="130"/>
      <c r="K1259" s="29"/>
      <c r="L1259" s="129" t="s">
        <v>483</v>
      </c>
      <c r="M1259" s="29"/>
      <c r="N1259" s="81"/>
    </row>
    <row r="1260" spans="1:15" hidden="1">
      <c r="A1260" s="157" t="s">
        <v>842</v>
      </c>
      <c r="B1260" s="29">
        <v>69504496</v>
      </c>
      <c r="C1260" s="29"/>
      <c r="E1260" s="29"/>
      <c r="F1260" s="29" t="s">
        <v>129</v>
      </c>
      <c r="G1260" s="29" t="s">
        <v>213</v>
      </c>
      <c r="H1260" s="42">
        <v>45726</v>
      </c>
      <c r="I1260" s="130">
        <f t="shared" si="11"/>
        <v>45729</v>
      </c>
      <c r="J1260" s="130"/>
      <c r="K1260" s="29"/>
      <c r="L1260" s="129" t="s">
        <v>483</v>
      </c>
      <c r="M1260" s="29"/>
      <c r="N1260" s="81"/>
    </row>
    <row r="1261" spans="1:15" hidden="1">
      <c r="A1261" s="157" t="s">
        <v>842</v>
      </c>
      <c r="B1261" s="29">
        <v>69504544</v>
      </c>
      <c r="C1261" s="29"/>
      <c r="E1261" s="29"/>
      <c r="F1261" s="29" t="s">
        <v>129</v>
      </c>
      <c r="G1261" s="29" t="s">
        <v>213</v>
      </c>
      <c r="H1261" s="42">
        <v>45726</v>
      </c>
      <c r="I1261" s="130">
        <f t="shared" si="11"/>
        <v>45729</v>
      </c>
      <c r="J1261" s="130"/>
      <c r="K1261" s="29"/>
      <c r="L1261" s="129" t="s">
        <v>483</v>
      </c>
      <c r="M1261" s="29"/>
      <c r="N1261" s="81"/>
    </row>
    <row r="1262" spans="1:15" hidden="1">
      <c r="A1262" s="157" t="s">
        <v>842</v>
      </c>
      <c r="B1262" s="29">
        <v>69504584</v>
      </c>
      <c r="C1262" s="29"/>
      <c r="E1262" s="29"/>
      <c r="F1262" s="29" t="s">
        <v>129</v>
      </c>
      <c r="G1262" s="29" t="s">
        <v>213</v>
      </c>
      <c r="H1262" s="42">
        <v>45726</v>
      </c>
      <c r="I1262" s="130">
        <f t="shared" si="11"/>
        <v>45729</v>
      </c>
      <c r="J1262" s="130"/>
      <c r="K1262" s="29"/>
      <c r="L1262" s="129" t="s">
        <v>483</v>
      </c>
      <c r="M1262" s="29"/>
      <c r="N1262" s="81"/>
    </row>
    <row r="1263" spans="1:15" hidden="1">
      <c r="A1263" s="157" t="s">
        <v>842</v>
      </c>
      <c r="B1263" s="29">
        <v>69504655</v>
      </c>
      <c r="C1263" s="29"/>
      <c r="E1263" s="29"/>
      <c r="F1263" s="29" t="s">
        <v>129</v>
      </c>
      <c r="G1263" s="29" t="s">
        <v>213</v>
      </c>
      <c r="H1263" s="42">
        <v>45726</v>
      </c>
      <c r="I1263" s="130">
        <f t="shared" si="11"/>
        <v>45729</v>
      </c>
      <c r="J1263" s="130"/>
      <c r="K1263" s="29"/>
      <c r="L1263" s="129" t="s">
        <v>483</v>
      </c>
      <c r="M1263" s="29"/>
      <c r="N1263" s="81"/>
    </row>
    <row r="1264" spans="1:15" hidden="1">
      <c r="A1264" s="157" t="s">
        <v>842</v>
      </c>
      <c r="B1264" s="29">
        <v>69504677</v>
      </c>
      <c r="C1264" s="29"/>
      <c r="E1264" s="29"/>
      <c r="F1264" s="29" t="s">
        <v>129</v>
      </c>
      <c r="G1264" s="29" t="s">
        <v>213</v>
      </c>
      <c r="H1264" s="42">
        <v>45726</v>
      </c>
      <c r="I1264" s="130">
        <f t="shared" si="11"/>
        <v>45729</v>
      </c>
      <c r="J1264" s="130"/>
      <c r="K1264" s="29"/>
      <c r="L1264" s="129" t="s">
        <v>483</v>
      </c>
      <c r="M1264" s="29"/>
      <c r="N1264" s="81"/>
    </row>
    <row r="1265" spans="1:14" hidden="1">
      <c r="A1265" s="157" t="s">
        <v>842</v>
      </c>
      <c r="B1265" s="29">
        <v>69504766</v>
      </c>
      <c r="C1265" s="29"/>
      <c r="E1265" s="29"/>
      <c r="F1265" s="29" t="s">
        <v>129</v>
      </c>
      <c r="G1265" s="29" t="s">
        <v>213</v>
      </c>
      <c r="H1265" s="42">
        <v>45726</v>
      </c>
      <c r="I1265" s="130">
        <f t="shared" si="11"/>
        <v>45729</v>
      </c>
      <c r="J1265" s="130"/>
      <c r="K1265" s="29"/>
      <c r="L1265" s="129" t="s">
        <v>483</v>
      </c>
      <c r="M1265" s="29"/>
      <c r="N1265" s="81"/>
    </row>
    <row r="1266" spans="1:14" hidden="1">
      <c r="A1266" s="157" t="s">
        <v>842</v>
      </c>
      <c r="B1266" s="41">
        <v>69504800</v>
      </c>
      <c r="C1266" s="41"/>
      <c r="E1266" s="41"/>
      <c r="F1266" s="29" t="s">
        <v>129</v>
      </c>
      <c r="G1266" s="29" t="s">
        <v>213</v>
      </c>
      <c r="H1266" s="42">
        <v>45726</v>
      </c>
      <c r="I1266" s="130">
        <f t="shared" si="11"/>
        <v>45729</v>
      </c>
      <c r="J1266" s="130"/>
      <c r="K1266" s="29"/>
      <c r="L1266" s="129" t="s">
        <v>483</v>
      </c>
      <c r="M1266" s="29"/>
      <c r="N1266" s="81"/>
    </row>
    <row r="1267" spans="1:14" hidden="1">
      <c r="A1267" s="157" t="s">
        <v>842</v>
      </c>
      <c r="B1267" s="41">
        <v>69504839</v>
      </c>
      <c r="C1267" s="41"/>
      <c r="E1267" s="41"/>
      <c r="F1267" s="29" t="s">
        <v>129</v>
      </c>
      <c r="G1267" s="29" t="s">
        <v>213</v>
      </c>
      <c r="H1267" s="42">
        <v>45726</v>
      </c>
      <c r="I1267" s="130">
        <f t="shared" si="11"/>
        <v>45729</v>
      </c>
      <c r="J1267" s="130"/>
      <c r="K1267" s="29"/>
      <c r="L1267" s="129" t="s">
        <v>483</v>
      </c>
      <c r="M1267" s="29"/>
      <c r="N1267" s="81"/>
    </row>
    <row r="1268" spans="1:14" hidden="1">
      <c r="A1268" s="157" t="s">
        <v>842</v>
      </c>
      <c r="B1268" s="41">
        <v>69504876</v>
      </c>
      <c r="C1268" s="41"/>
      <c r="E1268" s="41"/>
      <c r="F1268" s="29" t="s">
        <v>129</v>
      </c>
      <c r="G1268" s="29" t="s">
        <v>213</v>
      </c>
      <c r="H1268" s="42">
        <v>45726</v>
      </c>
      <c r="I1268" s="130">
        <f t="shared" si="11"/>
        <v>45729</v>
      </c>
      <c r="J1268" s="130"/>
      <c r="K1268" s="29"/>
      <c r="L1268" s="129" t="s">
        <v>483</v>
      </c>
      <c r="M1268" s="29"/>
      <c r="N1268" s="81"/>
    </row>
    <row r="1269" spans="1:14" hidden="1">
      <c r="A1269" s="157" t="s">
        <v>842</v>
      </c>
      <c r="B1269" s="41">
        <v>69504911</v>
      </c>
      <c r="C1269" s="41"/>
      <c r="E1269" s="41"/>
      <c r="F1269" s="29" t="s">
        <v>129</v>
      </c>
      <c r="G1269" s="29" t="s">
        <v>213</v>
      </c>
      <c r="H1269" s="42">
        <v>45726</v>
      </c>
      <c r="I1269" s="130">
        <f t="shared" si="11"/>
        <v>45729</v>
      </c>
      <c r="J1269" s="130"/>
      <c r="K1269" s="29"/>
      <c r="L1269" s="129" t="s">
        <v>483</v>
      </c>
      <c r="M1269" s="29"/>
      <c r="N1269" s="81"/>
    </row>
    <row r="1270" spans="1:14" hidden="1">
      <c r="A1270" s="157" t="s">
        <v>842</v>
      </c>
      <c r="B1270" s="41">
        <v>69505012</v>
      </c>
      <c r="C1270" s="41"/>
      <c r="E1270" s="41"/>
      <c r="F1270" s="29" t="s">
        <v>129</v>
      </c>
      <c r="G1270" s="29" t="s">
        <v>213</v>
      </c>
      <c r="H1270" s="42">
        <v>45726</v>
      </c>
      <c r="I1270" s="130">
        <f t="shared" si="11"/>
        <v>45729</v>
      </c>
      <c r="J1270" s="130"/>
      <c r="K1270" s="29"/>
      <c r="L1270" s="129" t="s">
        <v>483</v>
      </c>
      <c r="M1270" s="29"/>
      <c r="N1270" s="81"/>
    </row>
    <row r="1271" spans="1:14" hidden="1">
      <c r="A1271" s="157" t="s">
        <v>842</v>
      </c>
      <c r="B1271" s="29">
        <v>69505057</v>
      </c>
      <c r="C1271" s="29"/>
      <c r="E1271" s="29"/>
      <c r="F1271" s="29" t="s">
        <v>129</v>
      </c>
      <c r="G1271" s="29" t="s">
        <v>213</v>
      </c>
      <c r="H1271" s="42">
        <v>45726</v>
      </c>
      <c r="I1271" s="130">
        <f t="shared" si="11"/>
        <v>45729</v>
      </c>
      <c r="J1271" s="130"/>
      <c r="K1271" s="29"/>
      <c r="L1271" s="129" t="s">
        <v>483</v>
      </c>
      <c r="M1271" s="29"/>
      <c r="N1271" s="81"/>
    </row>
    <row r="1272" spans="1:14" hidden="1">
      <c r="A1272" s="157" t="s">
        <v>842</v>
      </c>
      <c r="B1272" s="29">
        <v>69505106</v>
      </c>
      <c r="C1272" s="29"/>
      <c r="E1272" s="29"/>
      <c r="F1272" s="29" t="s">
        <v>129</v>
      </c>
      <c r="G1272" s="29" t="s">
        <v>213</v>
      </c>
      <c r="H1272" s="42">
        <v>45726</v>
      </c>
      <c r="I1272" s="130">
        <f t="shared" si="11"/>
        <v>45729</v>
      </c>
      <c r="J1272" s="130"/>
      <c r="K1272" s="29"/>
      <c r="L1272" s="129" t="s">
        <v>483</v>
      </c>
      <c r="M1272" s="29"/>
      <c r="N1272" s="81"/>
    </row>
    <row r="1273" spans="1:14" hidden="1">
      <c r="A1273" s="157" t="s">
        <v>842</v>
      </c>
      <c r="B1273" s="29">
        <v>69505132</v>
      </c>
      <c r="C1273" s="29"/>
      <c r="E1273" s="29"/>
      <c r="F1273" s="29" t="s">
        <v>129</v>
      </c>
      <c r="G1273" s="29" t="s">
        <v>213</v>
      </c>
      <c r="H1273" s="42">
        <v>45726</v>
      </c>
      <c r="I1273" s="130">
        <f t="shared" si="11"/>
        <v>45729</v>
      </c>
      <c r="J1273" s="130"/>
      <c r="K1273" s="29"/>
      <c r="L1273" s="129" t="s">
        <v>483</v>
      </c>
      <c r="M1273" s="29"/>
      <c r="N1273" s="81"/>
    </row>
    <row r="1274" spans="1:14" hidden="1">
      <c r="A1274" s="157" t="s">
        <v>842</v>
      </c>
      <c r="B1274" s="29">
        <v>69505169</v>
      </c>
      <c r="C1274" s="29"/>
      <c r="E1274" s="29"/>
      <c r="F1274" s="29" t="s">
        <v>129</v>
      </c>
      <c r="G1274" s="29" t="s">
        <v>213</v>
      </c>
      <c r="H1274" s="42">
        <v>45726</v>
      </c>
      <c r="I1274" s="130">
        <f t="shared" si="11"/>
        <v>45729</v>
      </c>
      <c r="J1274" s="130"/>
      <c r="K1274" s="29"/>
      <c r="L1274" s="129" t="s">
        <v>483</v>
      </c>
      <c r="M1274" s="29"/>
      <c r="N1274" s="81"/>
    </row>
    <row r="1275" spans="1:14" hidden="1">
      <c r="A1275" s="157" t="s">
        <v>842</v>
      </c>
      <c r="B1275" s="29">
        <v>69505250</v>
      </c>
      <c r="C1275" s="29"/>
      <c r="E1275" s="29"/>
      <c r="F1275" s="29" t="s">
        <v>129</v>
      </c>
      <c r="G1275" s="29" t="s">
        <v>213</v>
      </c>
      <c r="H1275" s="42">
        <v>45726</v>
      </c>
      <c r="I1275" s="130">
        <f t="shared" si="11"/>
        <v>45729</v>
      </c>
      <c r="J1275" s="130"/>
      <c r="K1275" s="29"/>
      <c r="L1275" s="129" t="s">
        <v>483</v>
      </c>
      <c r="M1275" s="29"/>
      <c r="N1275" s="81"/>
    </row>
    <row r="1276" spans="1:14" hidden="1">
      <c r="A1276" s="157" t="s">
        <v>842</v>
      </c>
      <c r="B1276" s="29">
        <v>69505312</v>
      </c>
      <c r="C1276" s="29"/>
      <c r="E1276" s="29"/>
      <c r="F1276" s="29" t="s">
        <v>129</v>
      </c>
      <c r="G1276" s="29" t="s">
        <v>213</v>
      </c>
      <c r="H1276" s="42">
        <v>45726</v>
      </c>
      <c r="I1276" s="130">
        <f t="shared" si="11"/>
        <v>45729</v>
      </c>
      <c r="J1276" s="130"/>
      <c r="K1276" s="29"/>
      <c r="L1276" s="129" t="s">
        <v>483</v>
      </c>
      <c r="M1276" s="29"/>
      <c r="N1276" s="81"/>
    </row>
    <row r="1277" spans="1:14" hidden="1">
      <c r="A1277" s="157" t="s">
        <v>842</v>
      </c>
      <c r="B1277" s="29">
        <v>69505370</v>
      </c>
      <c r="C1277" s="29"/>
      <c r="E1277" s="29"/>
      <c r="F1277" s="29" t="s">
        <v>129</v>
      </c>
      <c r="G1277" s="29" t="s">
        <v>213</v>
      </c>
      <c r="H1277" s="42">
        <v>45726</v>
      </c>
      <c r="I1277" s="130">
        <f t="shared" si="11"/>
        <v>45729</v>
      </c>
      <c r="J1277" s="130"/>
      <c r="K1277" s="29"/>
      <c r="L1277" s="129" t="s">
        <v>483</v>
      </c>
      <c r="M1277" s="29"/>
      <c r="N1277" s="81"/>
    </row>
    <row r="1278" spans="1:14" hidden="1">
      <c r="A1278" s="157" t="s">
        <v>842</v>
      </c>
      <c r="B1278" s="29">
        <v>69505384</v>
      </c>
      <c r="C1278" s="29"/>
      <c r="E1278" s="29"/>
      <c r="F1278" s="29" t="s">
        <v>129</v>
      </c>
      <c r="G1278" s="29" t="s">
        <v>213</v>
      </c>
      <c r="H1278" s="42">
        <v>45726</v>
      </c>
      <c r="I1278" s="130">
        <f t="shared" si="11"/>
        <v>45729</v>
      </c>
      <c r="J1278" s="130"/>
      <c r="K1278" s="29"/>
      <c r="L1278" s="129" t="s">
        <v>483</v>
      </c>
      <c r="M1278" s="29"/>
      <c r="N1278" s="81"/>
    </row>
    <row r="1279" spans="1:14" hidden="1">
      <c r="A1279" s="157" t="s">
        <v>842</v>
      </c>
      <c r="B1279" s="29">
        <v>69505416</v>
      </c>
      <c r="C1279" s="29"/>
      <c r="E1279" s="29"/>
      <c r="F1279" s="29" t="s">
        <v>129</v>
      </c>
      <c r="G1279" s="29" t="s">
        <v>213</v>
      </c>
      <c r="H1279" s="42">
        <v>45726</v>
      </c>
      <c r="I1279" s="130">
        <f t="shared" si="11"/>
        <v>45729</v>
      </c>
      <c r="J1279" s="130"/>
      <c r="K1279" s="29"/>
      <c r="L1279" s="129" t="s">
        <v>483</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483</v>
      </c>
      <c r="M1284" s="29"/>
      <c r="N1284" s="81"/>
      <c r="O1284" s="41"/>
    </row>
    <row r="1285" spans="1:15" hidden="1">
      <c r="A1285" s="157" t="s">
        <v>631</v>
      </c>
      <c r="B1285" s="29">
        <v>71506823</v>
      </c>
      <c r="C1285" s="29"/>
      <c r="E1285" s="29"/>
      <c r="F1285" s="29" t="s">
        <v>129</v>
      </c>
      <c r="G1285" s="29" t="s">
        <v>844</v>
      </c>
      <c r="H1285" s="42">
        <v>45728</v>
      </c>
      <c r="I1285" s="130">
        <f t="shared" si="11"/>
        <v>45733</v>
      </c>
      <c r="J1285" s="130">
        <v>45730</v>
      </c>
      <c r="K1285" s="29"/>
      <c r="L1285" s="129" t="s">
        <v>483</v>
      </c>
      <c r="M1285" s="29"/>
      <c r="N1285" s="81"/>
      <c r="O1285" s="41"/>
    </row>
    <row r="1286" spans="1:15" hidden="1">
      <c r="A1286" s="157" t="s">
        <v>782</v>
      </c>
      <c r="B1286" s="29">
        <v>70508491</v>
      </c>
      <c r="C1286" s="29"/>
      <c r="E1286" s="29"/>
      <c r="F1286" s="29" t="s">
        <v>129</v>
      </c>
      <c r="G1286" s="29" t="s">
        <v>123</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129</v>
      </c>
      <c r="G1287" s="29" t="s">
        <v>123</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129</v>
      </c>
      <c r="G1288" s="29" t="s">
        <v>123</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129</v>
      </c>
      <c r="G1289" s="29" t="s">
        <v>123</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129</v>
      </c>
      <c r="G1290" s="29" t="s">
        <v>123</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129</v>
      </c>
      <c r="G1291" s="29" t="s">
        <v>123</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129</v>
      </c>
      <c r="G1292" s="29" t="s">
        <v>123</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129</v>
      </c>
      <c r="G1293" s="29" t="s">
        <v>123</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129</v>
      </c>
      <c r="G1294" s="29" t="s">
        <v>123</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129</v>
      </c>
      <c r="G1295" s="29" t="s">
        <v>123</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129</v>
      </c>
      <c r="G1296" s="29" t="s">
        <v>123</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129</v>
      </c>
      <c r="G1297" s="29" t="s">
        <v>123</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129</v>
      </c>
      <c r="G1298" s="29" t="s">
        <v>123</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129</v>
      </c>
      <c r="G1299" s="29" t="s">
        <v>123</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129</v>
      </c>
      <c r="G1300" s="29" t="s">
        <v>123</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129</v>
      </c>
      <c r="G1301" s="29" t="s">
        <v>123</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129</v>
      </c>
      <c r="G1302" s="29" t="s">
        <v>123</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129</v>
      </c>
      <c r="G1303" s="29" t="s">
        <v>123</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129</v>
      </c>
      <c r="G1304" s="29" t="s">
        <v>123</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129</v>
      </c>
      <c r="G1305" s="29" t="s">
        <v>123</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129</v>
      </c>
      <c r="G1306" s="29" t="s">
        <v>123</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129</v>
      </c>
      <c r="G1307" s="29" t="s">
        <v>123</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129</v>
      </c>
      <c r="G1308" s="29" t="s">
        <v>123</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483</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483</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483</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483</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483</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483</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483</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483</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483</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483</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483</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483</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483</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483</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483</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483</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483</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483</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483</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483</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483</v>
      </c>
      <c r="M1336" s="29"/>
      <c r="N1336" s="81"/>
    </row>
    <row r="1337" spans="1:15" hidden="1">
      <c r="A1337" s="144" t="s">
        <v>873</v>
      </c>
      <c r="B1337" s="29">
        <v>72502083</v>
      </c>
      <c r="C1337" s="29"/>
      <c r="E1337" s="29" t="s">
        <v>874</v>
      </c>
      <c r="F1337" s="29" t="s">
        <v>118</v>
      </c>
      <c r="G1337" s="29" t="s">
        <v>123</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118</v>
      </c>
      <c r="G1338" s="29" t="s">
        <v>123</v>
      </c>
      <c r="H1338" s="42">
        <v>45729</v>
      </c>
      <c r="I1338" s="130">
        <f t="shared" si="12"/>
        <v>45734</v>
      </c>
      <c r="J1338" s="130">
        <v>45730</v>
      </c>
      <c r="K1338" s="29"/>
      <c r="L1338" s="129" t="s">
        <v>483</v>
      </c>
      <c r="M1338" s="29"/>
      <c r="N1338" s="81">
        <v>1100</v>
      </c>
      <c r="O1338" s="129" t="s">
        <v>876</v>
      </c>
    </row>
    <row r="1339" spans="1:15" hidden="1">
      <c r="A1339" s="144" t="s">
        <v>873</v>
      </c>
      <c r="B1339" s="29">
        <v>72502007</v>
      </c>
      <c r="C1339" s="29"/>
      <c r="E1339" s="29" t="s">
        <v>874</v>
      </c>
      <c r="F1339" s="29" t="s">
        <v>118</v>
      </c>
      <c r="G1339" s="29" t="s">
        <v>123</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483</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483</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483</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483</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483</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483</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483</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483</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483</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483</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483</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483</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483</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483</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483</v>
      </c>
      <c r="M1357" s="29"/>
      <c r="N1357" s="81"/>
    </row>
    <row r="1358" spans="1:14" hidden="1">
      <c r="A1358" s="144" t="s">
        <v>687</v>
      </c>
      <c r="B1358" s="29">
        <v>73500775</v>
      </c>
      <c r="C1358" s="29"/>
      <c r="E1358" s="29" t="s">
        <v>871</v>
      </c>
      <c r="F1358" s="29" t="s">
        <v>129</v>
      </c>
      <c r="G1358" s="29" t="s">
        <v>38</v>
      </c>
      <c r="H1358" s="42">
        <v>45730</v>
      </c>
      <c r="I1358" s="130">
        <f t="shared" si="13"/>
        <v>45735</v>
      </c>
      <c r="J1358" s="130">
        <v>45730</v>
      </c>
      <c r="K1358" s="130">
        <v>45734</v>
      </c>
      <c r="L1358" s="129" t="s">
        <v>663</v>
      </c>
    </row>
    <row r="1359" spans="1:14" hidden="1">
      <c r="A1359" s="144" t="s">
        <v>521</v>
      </c>
      <c r="B1359" s="29">
        <v>73502529</v>
      </c>
      <c r="C1359" s="29"/>
      <c r="E1359" s="29" t="s">
        <v>871</v>
      </c>
      <c r="F1359" s="29" t="s">
        <v>129</v>
      </c>
      <c r="G1359" s="29" t="s">
        <v>38</v>
      </c>
      <c r="H1359" s="42">
        <v>45730</v>
      </c>
      <c r="I1359" s="130">
        <f t="shared" si="13"/>
        <v>45735</v>
      </c>
      <c r="J1359" s="130">
        <v>45730</v>
      </c>
      <c r="K1359" s="130"/>
      <c r="L1359" s="129" t="s">
        <v>483</v>
      </c>
    </row>
    <row r="1360" spans="1:14" hidden="1">
      <c r="A1360" s="144" t="s">
        <v>521</v>
      </c>
      <c r="B1360" s="29">
        <v>73502860</v>
      </c>
      <c r="C1360" s="29"/>
      <c r="E1360" s="29" t="s">
        <v>871</v>
      </c>
      <c r="F1360" s="29" t="s">
        <v>129</v>
      </c>
      <c r="G1360" s="29" t="s">
        <v>38</v>
      </c>
      <c r="H1360" s="42">
        <v>45730</v>
      </c>
      <c r="I1360" s="130">
        <f t="shared" si="13"/>
        <v>45735</v>
      </c>
      <c r="J1360" s="130">
        <v>45730</v>
      </c>
      <c r="K1360" s="130"/>
      <c r="L1360" s="129" t="s">
        <v>483</v>
      </c>
    </row>
    <row r="1361" spans="1:14" hidden="1">
      <c r="A1361" s="144" t="s">
        <v>521</v>
      </c>
      <c r="B1361" s="29">
        <v>73502906</v>
      </c>
      <c r="C1361" s="29"/>
      <c r="E1361" s="29" t="s">
        <v>871</v>
      </c>
      <c r="F1361" s="29" t="s">
        <v>129</v>
      </c>
      <c r="G1361" s="29" t="s">
        <v>38</v>
      </c>
      <c r="H1361" s="42">
        <v>45730</v>
      </c>
      <c r="I1361" s="130">
        <f t="shared" si="13"/>
        <v>45735</v>
      </c>
      <c r="J1361" s="130">
        <v>45730</v>
      </c>
      <c r="K1361" s="130"/>
      <c r="L1361" s="129" t="s">
        <v>483</v>
      </c>
    </row>
    <row r="1362" spans="1:14" hidden="1">
      <c r="A1362" s="144" t="s">
        <v>521</v>
      </c>
      <c r="B1362" s="29">
        <v>73502928</v>
      </c>
      <c r="C1362" s="29"/>
      <c r="E1362" s="29" t="s">
        <v>871</v>
      </c>
      <c r="F1362" s="29" t="s">
        <v>129</v>
      </c>
      <c r="G1362" s="29" t="s">
        <v>38</v>
      </c>
      <c r="H1362" s="42">
        <v>45730</v>
      </c>
      <c r="I1362" s="130">
        <f t="shared" si="13"/>
        <v>45735</v>
      </c>
      <c r="J1362" s="130">
        <v>45730</v>
      </c>
      <c r="K1362" s="130"/>
      <c r="L1362" s="129" t="s">
        <v>483</v>
      </c>
    </row>
    <row r="1363" spans="1:14" hidden="1">
      <c r="A1363" s="144" t="s">
        <v>521</v>
      </c>
      <c r="B1363" s="29">
        <v>73502946</v>
      </c>
      <c r="C1363" s="29"/>
      <c r="E1363" s="29" t="s">
        <v>871</v>
      </c>
      <c r="F1363" s="29" t="s">
        <v>129</v>
      </c>
      <c r="G1363" s="29" t="s">
        <v>38</v>
      </c>
      <c r="H1363" s="42">
        <v>45730</v>
      </c>
      <c r="I1363" s="130">
        <f t="shared" si="13"/>
        <v>45735</v>
      </c>
      <c r="J1363" s="130">
        <v>45730</v>
      </c>
      <c r="K1363" s="130"/>
      <c r="L1363" s="129" t="s">
        <v>483</v>
      </c>
    </row>
    <row r="1364" spans="1:14" hidden="1">
      <c r="A1364" s="144" t="s">
        <v>878</v>
      </c>
      <c r="B1364" s="29">
        <v>71509589</v>
      </c>
      <c r="C1364" s="29"/>
      <c r="E1364" s="29" t="s">
        <v>879</v>
      </c>
      <c r="F1364" s="29" t="s">
        <v>129</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129</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129</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129</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129</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129</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129</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129</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129</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129</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129</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129</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129</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129</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129</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129</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129</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129</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129</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129</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129</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129</v>
      </c>
      <c r="G1385" s="29" t="s">
        <v>145</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129</v>
      </c>
      <c r="G1386" s="29" t="s">
        <v>145</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129</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129</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129</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129</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129</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129</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129</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129</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129</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129</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129</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129</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129</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129</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129</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129</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129</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129</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129</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129</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129</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129</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129</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129</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129</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129</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129</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129</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129</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129</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129</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129</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129</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129</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129</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129</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129</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129</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129</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129</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129</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129</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129</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129</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129</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129</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129</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129</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129</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129</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129</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129</v>
      </c>
      <c r="G1438" s="29" t="s">
        <v>891</v>
      </c>
      <c r="H1438" s="130">
        <v>45737</v>
      </c>
      <c r="I1438" s="130">
        <f t="shared" si="14"/>
        <v>45742</v>
      </c>
      <c r="J1438" s="130">
        <v>45741</v>
      </c>
      <c r="K1438" s="29"/>
      <c r="L1438" s="129" t="s">
        <v>483</v>
      </c>
      <c r="M1438" s="29"/>
      <c r="N1438" s="81">
        <v>820</v>
      </c>
    </row>
    <row r="1439" spans="1:14" hidden="1">
      <c r="A1439" s="144" t="s">
        <v>889</v>
      </c>
      <c r="B1439" s="29">
        <v>80503689</v>
      </c>
      <c r="C1439" s="29"/>
      <c r="E1439" s="29" t="s">
        <v>890</v>
      </c>
      <c r="F1439" s="29" t="s">
        <v>129</v>
      </c>
      <c r="G1439" s="29" t="s">
        <v>891</v>
      </c>
      <c r="H1439" s="130">
        <v>45737</v>
      </c>
      <c r="I1439" s="130">
        <f t="shared" si="14"/>
        <v>45742</v>
      </c>
      <c r="J1439" s="130">
        <v>45741</v>
      </c>
      <c r="K1439" s="29"/>
      <c r="L1439" s="129" t="s">
        <v>483</v>
      </c>
      <c r="M1439" s="29"/>
      <c r="N1439" s="81">
        <v>620</v>
      </c>
    </row>
    <row r="1440" spans="1:14" hidden="1">
      <c r="A1440" s="144" t="s">
        <v>889</v>
      </c>
      <c r="B1440" s="29">
        <v>80503775</v>
      </c>
      <c r="C1440" s="29"/>
      <c r="E1440" s="29" t="s">
        <v>890</v>
      </c>
      <c r="F1440" s="29" t="s">
        <v>129</v>
      </c>
      <c r="G1440" s="29" t="s">
        <v>891</v>
      </c>
      <c r="H1440" s="130">
        <v>45737</v>
      </c>
      <c r="I1440" s="130">
        <f t="shared" si="14"/>
        <v>45742</v>
      </c>
      <c r="J1440" s="130">
        <v>45741</v>
      </c>
      <c r="K1440" s="29"/>
      <c r="L1440" s="129" t="s">
        <v>483</v>
      </c>
      <c r="M1440" s="29"/>
      <c r="N1440" s="81">
        <v>160</v>
      </c>
    </row>
    <row r="1441" spans="1:15" hidden="1">
      <c r="A1441" s="144" t="s">
        <v>889</v>
      </c>
      <c r="B1441" s="29">
        <v>80503775</v>
      </c>
      <c r="C1441" s="29"/>
      <c r="E1441" s="29" t="s">
        <v>890</v>
      </c>
      <c r="F1441" s="29" t="s">
        <v>129</v>
      </c>
      <c r="G1441" s="29" t="s">
        <v>891</v>
      </c>
      <c r="H1441" s="130">
        <v>45737</v>
      </c>
      <c r="I1441" s="130">
        <f t="shared" si="14"/>
        <v>45742</v>
      </c>
      <c r="J1441" s="130">
        <v>45741</v>
      </c>
      <c r="K1441" s="29"/>
      <c r="L1441" s="129" t="s">
        <v>483</v>
      </c>
      <c r="M1441" s="29"/>
      <c r="N1441" s="81">
        <v>160</v>
      </c>
    </row>
    <row r="1442" spans="1:15" hidden="1">
      <c r="A1442" s="144" t="s">
        <v>889</v>
      </c>
      <c r="B1442" s="29">
        <v>80503935</v>
      </c>
      <c r="C1442" s="29"/>
      <c r="E1442" s="29" t="s">
        <v>890</v>
      </c>
      <c r="F1442" s="29" t="s">
        <v>129</v>
      </c>
      <c r="G1442" s="29" t="s">
        <v>891</v>
      </c>
      <c r="H1442" s="130">
        <v>45737</v>
      </c>
      <c r="I1442" s="130">
        <f t="shared" si="14"/>
        <v>45742</v>
      </c>
      <c r="J1442" s="130">
        <v>45741</v>
      </c>
      <c r="K1442" s="29"/>
      <c r="L1442" s="129" t="s">
        <v>483</v>
      </c>
      <c r="M1442" s="29"/>
      <c r="N1442" s="81">
        <v>90</v>
      </c>
    </row>
    <row r="1443" spans="1:15" hidden="1">
      <c r="A1443" s="144" t="s">
        <v>889</v>
      </c>
      <c r="B1443" s="29">
        <v>80503980</v>
      </c>
      <c r="C1443" s="29"/>
      <c r="E1443" s="29" t="s">
        <v>890</v>
      </c>
      <c r="F1443" s="29" t="s">
        <v>129</v>
      </c>
      <c r="G1443" s="29" t="s">
        <v>891</v>
      </c>
      <c r="H1443" s="130">
        <v>45737</v>
      </c>
      <c r="I1443" s="130">
        <f t="shared" si="14"/>
        <v>45742</v>
      </c>
      <c r="J1443" s="130">
        <v>45741</v>
      </c>
      <c r="K1443" s="29"/>
      <c r="L1443" s="129" t="s">
        <v>483</v>
      </c>
      <c r="M1443" s="29"/>
      <c r="N1443" s="81">
        <v>240</v>
      </c>
    </row>
    <row r="1444" spans="1:15" hidden="1">
      <c r="A1444" s="144" t="s">
        <v>889</v>
      </c>
      <c r="B1444" s="29">
        <v>80504143</v>
      </c>
      <c r="C1444" s="29"/>
      <c r="E1444" s="29" t="s">
        <v>890</v>
      </c>
      <c r="F1444" s="29" t="s">
        <v>129</v>
      </c>
      <c r="G1444" s="29" t="s">
        <v>891</v>
      </c>
      <c r="H1444" s="130">
        <v>45737</v>
      </c>
      <c r="I1444" s="130">
        <f t="shared" si="14"/>
        <v>45742</v>
      </c>
      <c r="J1444" s="130">
        <v>45741</v>
      </c>
      <c r="K1444" s="29"/>
      <c r="L1444" s="129" t="s">
        <v>483</v>
      </c>
      <c r="M1444" s="29"/>
      <c r="N1444" s="81">
        <v>220</v>
      </c>
    </row>
    <row r="1445" spans="1:15" hidden="1">
      <c r="A1445" s="144" t="s">
        <v>889</v>
      </c>
      <c r="B1445" s="29">
        <v>80504238</v>
      </c>
      <c r="C1445" s="29"/>
      <c r="E1445" s="29" t="s">
        <v>890</v>
      </c>
      <c r="F1445" s="29" t="s">
        <v>129</v>
      </c>
      <c r="G1445" s="29" t="s">
        <v>891</v>
      </c>
      <c r="H1445" s="130">
        <v>45737</v>
      </c>
      <c r="I1445" s="130">
        <f t="shared" si="14"/>
        <v>45742</v>
      </c>
      <c r="J1445" s="130">
        <v>45741</v>
      </c>
      <c r="K1445" s="29"/>
      <c r="L1445" s="129" t="s">
        <v>483</v>
      </c>
      <c r="M1445" s="29"/>
      <c r="N1445" s="81">
        <v>180</v>
      </c>
    </row>
    <row r="1446" spans="1:15" hidden="1">
      <c r="A1446" s="144" t="s">
        <v>889</v>
      </c>
      <c r="B1446" s="29">
        <v>80504318</v>
      </c>
      <c r="C1446" s="29"/>
      <c r="E1446" s="29" t="s">
        <v>890</v>
      </c>
      <c r="F1446" s="29" t="s">
        <v>129</v>
      </c>
      <c r="G1446" s="29" t="s">
        <v>891</v>
      </c>
      <c r="H1446" s="130">
        <v>45737</v>
      </c>
      <c r="I1446" s="130">
        <f t="shared" si="14"/>
        <v>45742</v>
      </c>
      <c r="J1446" s="130">
        <v>45741</v>
      </c>
      <c r="K1446" s="29"/>
      <c r="L1446" s="129" t="s">
        <v>483</v>
      </c>
      <c r="M1446" s="29"/>
      <c r="N1446" s="81">
        <v>630</v>
      </c>
    </row>
    <row r="1447" spans="1:15" hidden="1">
      <c r="A1447" s="144" t="s">
        <v>889</v>
      </c>
      <c r="B1447" s="29">
        <v>80504405</v>
      </c>
      <c r="C1447" s="29"/>
      <c r="E1447" s="29" t="s">
        <v>890</v>
      </c>
      <c r="F1447" s="29" t="s">
        <v>129</v>
      </c>
      <c r="G1447" s="29" t="s">
        <v>891</v>
      </c>
      <c r="H1447" s="130">
        <v>45737</v>
      </c>
      <c r="I1447" s="130">
        <f t="shared" si="14"/>
        <v>45742</v>
      </c>
      <c r="J1447" s="130">
        <v>45741</v>
      </c>
      <c r="K1447" s="29"/>
      <c r="L1447" s="129" t="s">
        <v>483</v>
      </c>
      <c r="M1447" s="29"/>
      <c r="N1447" s="81">
        <v>220</v>
      </c>
    </row>
    <row r="1448" spans="1:15" hidden="1">
      <c r="A1448" s="144" t="s">
        <v>889</v>
      </c>
      <c r="B1448" s="29">
        <v>80504463</v>
      </c>
      <c r="C1448" s="29"/>
      <c r="E1448" s="29" t="s">
        <v>890</v>
      </c>
      <c r="F1448" s="29" t="s">
        <v>129</v>
      </c>
      <c r="G1448" s="29" t="s">
        <v>891</v>
      </c>
      <c r="H1448" s="130">
        <v>45737</v>
      </c>
      <c r="I1448" s="130">
        <f t="shared" si="14"/>
        <v>45742</v>
      </c>
      <c r="J1448" s="130">
        <v>45741</v>
      </c>
      <c r="K1448" s="29"/>
      <c r="L1448" s="129" t="s">
        <v>483</v>
      </c>
      <c r="M1448" s="29"/>
      <c r="N1448" s="81">
        <v>660</v>
      </c>
    </row>
    <row r="1449" spans="1:15" hidden="1">
      <c r="A1449" s="144" t="s">
        <v>889</v>
      </c>
      <c r="B1449" s="29">
        <v>80504369</v>
      </c>
      <c r="C1449" s="29"/>
      <c r="E1449" s="29" t="s">
        <v>890</v>
      </c>
      <c r="F1449" s="29" t="s">
        <v>129</v>
      </c>
      <c r="G1449" s="29" t="s">
        <v>891</v>
      </c>
      <c r="H1449" s="130">
        <v>45737</v>
      </c>
      <c r="I1449" s="130">
        <f t="shared" si="14"/>
        <v>45742</v>
      </c>
      <c r="J1449" s="130">
        <v>45741</v>
      </c>
      <c r="K1449" s="29"/>
      <c r="L1449" s="129" t="s">
        <v>483</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483</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483</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483</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483</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483</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483</v>
      </c>
      <c r="M1457" s="29"/>
      <c r="N1457" s="81"/>
    </row>
    <row r="1458" spans="1:15">
      <c r="A1458" s="144" t="s">
        <v>107</v>
      </c>
      <c r="B1458" s="29">
        <v>91510182</v>
      </c>
      <c r="C1458" s="29"/>
      <c r="E1458" s="29" t="s">
        <v>881</v>
      </c>
      <c r="F1458" s="29" t="s">
        <v>129</v>
      </c>
      <c r="G1458" s="130" t="s">
        <v>893</v>
      </c>
      <c r="H1458" s="130">
        <v>45748</v>
      </c>
      <c r="I1458" s="130">
        <f t="shared" si="14"/>
        <v>45751</v>
      </c>
      <c r="J1458" s="130"/>
      <c r="K1458" s="29"/>
      <c r="L1458" s="129" t="s">
        <v>483</v>
      </c>
      <c r="M1458" s="29"/>
      <c r="N1458" s="81">
        <v>270</v>
      </c>
      <c r="O1458" s="129" t="s">
        <v>894</v>
      </c>
    </row>
    <row r="1459" spans="1:15">
      <c r="A1459" s="144" t="s">
        <v>107</v>
      </c>
      <c r="B1459" s="29">
        <v>91510193</v>
      </c>
      <c r="C1459" s="29"/>
      <c r="E1459" s="29" t="s">
        <v>881</v>
      </c>
      <c r="F1459" s="29" t="s">
        <v>129</v>
      </c>
      <c r="G1459" s="130" t="s">
        <v>893</v>
      </c>
      <c r="H1459" s="130">
        <v>45748</v>
      </c>
      <c r="I1459" s="130">
        <f t="shared" si="14"/>
        <v>45751</v>
      </c>
      <c r="J1459" s="130"/>
      <c r="K1459" s="29"/>
      <c r="L1459" s="129" t="s">
        <v>483</v>
      </c>
      <c r="M1459" s="29"/>
      <c r="N1459" s="81">
        <v>48</v>
      </c>
      <c r="O1459" s="129" t="s">
        <v>895</v>
      </c>
    </row>
    <row r="1460" spans="1:15">
      <c r="A1460" s="144" t="s">
        <v>107</v>
      </c>
      <c r="B1460" s="29">
        <v>91510213</v>
      </c>
      <c r="C1460" s="29"/>
      <c r="E1460" s="29" t="s">
        <v>881</v>
      </c>
      <c r="F1460" s="29" t="s">
        <v>129</v>
      </c>
      <c r="G1460" s="130" t="s">
        <v>893</v>
      </c>
      <c r="H1460" s="130">
        <v>45748</v>
      </c>
      <c r="I1460" s="130">
        <f t="shared" si="14"/>
        <v>45751</v>
      </c>
      <c r="J1460" s="130"/>
      <c r="K1460" s="29"/>
      <c r="L1460" s="129" t="s">
        <v>483</v>
      </c>
      <c r="M1460" s="29"/>
      <c r="N1460" s="81">
        <v>48</v>
      </c>
      <c r="O1460" s="129" t="s">
        <v>896</v>
      </c>
    </row>
    <row r="1461" spans="1:15">
      <c r="A1461" s="144" t="s">
        <v>107</v>
      </c>
      <c r="B1461" s="29">
        <v>91510227</v>
      </c>
      <c r="C1461" s="29"/>
      <c r="E1461" s="29" t="s">
        <v>881</v>
      </c>
      <c r="F1461" s="29" t="s">
        <v>129</v>
      </c>
      <c r="G1461" s="130" t="s">
        <v>893</v>
      </c>
      <c r="H1461" s="130">
        <v>45748</v>
      </c>
      <c r="I1461" s="130">
        <f t="shared" si="14"/>
        <v>45751</v>
      </c>
      <c r="J1461" s="130"/>
      <c r="K1461" s="29"/>
      <c r="L1461" s="129" t="s">
        <v>483</v>
      </c>
      <c r="M1461" s="29"/>
      <c r="N1461" s="81">
        <v>580</v>
      </c>
      <c r="O1461" s="129" t="s">
        <v>897</v>
      </c>
    </row>
    <row r="1462" spans="1:15">
      <c r="A1462" s="144" t="s">
        <v>107</v>
      </c>
      <c r="B1462" s="29">
        <v>91510239</v>
      </c>
      <c r="C1462" s="29"/>
      <c r="E1462" s="29" t="s">
        <v>881</v>
      </c>
      <c r="F1462" s="29" t="s">
        <v>129</v>
      </c>
      <c r="G1462" s="130" t="s">
        <v>893</v>
      </c>
      <c r="H1462" s="130">
        <v>45748</v>
      </c>
      <c r="I1462" s="130">
        <f t="shared" si="14"/>
        <v>45751</v>
      </c>
      <c r="J1462" s="130"/>
      <c r="K1462" s="29"/>
      <c r="L1462" s="129" t="s">
        <v>483</v>
      </c>
      <c r="M1462" s="29"/>
      <c r="N1462" s="81">
        <v>45</v>
      </c>
      <c r="O1462" s="129" t="s">
        <v>898</v>
      </c>
    </row>
    <row r="1463" spans="1:15">
      <c r="A1463" s="144" t="s">
        <v>107</v>
      </c>
      <c r="B1463" s="29">
        <v>91510252</v>
      </c>
      <c r="C1463" s="29"/>
      <c r="E1463" s="29" t="s">
        <v>881</v>
      </c>
      <c r="F1463" s="29" t="s">
        <v>129</v>
      </c>
      <c r="G1463" s="130" t="s">
        <v>893</v>
      </c>
      <c r="H1463" s="130">
        <v>45748</v>
      </c>
      <c r="I1463" s="130">
        <f t="shared" si="14"/>
        <v>45751</v>
      </c>
      <c r="J1463" s="29"/>
      <c r="K1463" s="29"/>
      <c r="L1463" s="129" t="s">
        <v>483</v>
      </c>
      <c r="M1463" s="29"/>
      <c r="N1463" s="81">
        <v>270</v>
      </c>
      <c r="O1463" s="129" t="s">
        <v>899</v>
      </c>
    </row>
    <row r="1464" spans="1:15">
      <c r="A1464" s="144" t="s">
        <v>107</v>
      </c>
      <c r="B1464" s="29">
        <v>91510264</v>
      </c>
      <c r="C1464" s="29"/>
      <c r="E1464" s="29" t="s">
        <v>881</v>
      </c>
      <c r="F1464" s="29" t="s">
        <v>129</v>
      </c>
      <c r="G1464" s="130" t="s">
        <v>893</v>
      </c>
      <c r="H1464" s="130">
        <v>45748</v>
      </c>
      <c r="I1464" s="130">
        <f t="shared" si="14"/>
        <v>45751</v>
      </c>
      <c r="J1464" s="29"/>
      <c r="K1464" s="29"/>
      <c r="L1464" s="129" t="s">
        <v>483</v>
      </c>
      <c r="M1464" s="29"/>
      <c r="N1464" s="81">
        <v>300</v>
      </c>
      <c r="O1464" s="129" t="s">
        <v>900</v>
      </c>
    </row>
    <row r="1465" spans="1:15">
      <c r="A1465" s="144" t="s">
        <v>107</v>
      </c>
      <c r="B1465" s="29">
        <v>91510271</v>
      </c>
      <c r="C1465" s="29"/>
      <c r="E1465" s="29" t="s">
        <v>881</v>
      </c>
      <c r="F1465" s="29" t="s">
        <v>129</v>
      </c>
      <c r="G1465" s="130" t="s">
        <v>893</v>
      </c>
      <c r="H1465" s="130">
        <v>45748</v>
      </c>
      <c r="I1465" s="130">
        <f t="shared" si="14"/>
        <v>45751</v>
      </c>
      <c r="J1465" s="29"/>
      <c r="K1465" s="29"/>
      <c r="L1465" s="129" t="s">
        <v>483</v>
      </c>
      <c r="M1465" s="29"/>
      <c r="N1465" s="81">
        <v>45</v>
      </c>
      <c r="O1465" s="129" t="s">
        <v>901</v>
      </c>
    </row>
    <row r="1466" spans="1:15">
      <c r="A1466" s="144" t="s">
        <v>107</v>
      </c>
      <c r="B1466" s="29">
        <v>91510276</v>
      </c>
      <c r="C1466" s="29"/>
      <c r="E1466" s="29" t="s">
        <v>881</v>
      </c>
      <c r="F1466" s="29" t="s">
        <v>129</v>
      </c>
      <c r="G1466" s="130" t="s">
        <v>893</v>
      </c>
      <c r="H1466" s="130">
        <v>45748</v>
      </c>
      <c r="I1466" s="130">
        <f t="shared" si="14"/>
        <v>45751</v>
      </c>
      <c r="J1466" s="29"/>
      <c r="K1466" s="29"/>
      <c r="L1466" s="129" t="s">
        <v>483</v>
      </c>
      <c r="M1466" s="29"/>
      <c r="N1466" s="81">
        <v>150</v>
      </c>
      <c r="O1466" s="129" t="s">
        <v>902</v>
      </c>
    </row>
    <row r="1467" spans="1:15">
      <c r="A1467" s="144" t="s">
        <v>107</v>
      </c>
      <c r="B1467" s="29">
        <v>91510280</v>
      </c>
      <c r="C1467" s="29"/>
      <c r="E1467" s="29" t="s">
        <v>881</v>
      </c>
      <c r="F1467" s="29" t="s">
        <v>129</v>
      </c>
      <c r="G1467" s="130" t="s">
        <v>893</v>
      </c>
      <c r="H1467" s="130">
        <v>45748</v>
      </c>
      <c r="I1467" s="130">
        <f t="shared" si="14"/>
        <v>45751</v>
      </c>
      <c r="J1467" s="29"/>
      <c r="K1467" s="29"/>
      <c r="L1467" s="129" t="s">
        <v>483</v>
      </c>
      <c r="M1467" s="29"/>
      <c r="N1467" s="81">
        <v>44</v>
      </c>
      <c r="O1467" s="129" t="s">
        <v>903</v>
      </c>
    </row>
    <row r="1468" spans="1:15">
      <c r="A1468" s="144" t="s">
        <v>107</v>
      </c>
      <c r="B1468" s="29">
        <v>91510286</v>
      </c>
      <c r="C1468" s="29"/>
      <c r="E1468" s="29" t="s">
        <v>881</v>
      </c>
      <c r="F1468" s="29" t="s">
        <v>129</v>
      </c>
      <c r="G1468" s="130" t="s">
        <v>893</v>
      </c>
      <c r="H1468" s="130">
        <v>45748</v>
      </c>
      <c r="I1468" s="130">
        <f t="shared" si="14"/>
        <v>45751</v>
      </c>
      <c r="J1468" s="29"/>
      <c r="K1468" s="29"/>
      <c r="L1468" s="129" t="s">
        <v>483</v>
      </c>
      <c r="M1468" s="29"/>
      <c r="N1468" s="81">
        <v>125</v>
      </c>
      <c r="O1468" s="129" t="s">
        <v>904</v>
      </c>
    </row>
    <row r="1469" spans="1:15">
      <c r="A1469" s="144" t="s">
        <v>107</v>
      </c>
      <c r="B1469" s="29">
        <v>91510291</v>
      </c>
      <c r="C1469" s="29"/>
      <c r="E1469" s="29" t="s">
        <v>881</v>
      </c>
      <c r="F1469" s="29" t="s">
        <v>129</v>
      </c>
      <c r="G1469" s="130" t="s">
        <v>893</v>
      </c>
      <c r="H1469" s="130">
        <v>45748</v>
      </c>
      <c r="I1469" s="130">
        <f t="shared" si="14"/>
        <v>45751</v>
      </c>
      <c r="J1469" s="29"/>
      <c r="K1469" s="29"/>
      <c r="L1469" s="129" t="s">
        <v>483</v>
      </c>
      <c r="M1469" s="29"/>
      <c r="N1469" s="81">
        <v>375</v>
      </c>
      <c r="O1469" s="129" t="s">
        <v>905</v>
      </c>
    </row>
    <row r="1470" spans="1:15">
      <c r="A1470" s="144" t="s">
        <v>107</v>
      </c>
      <c r="B1470" s="29">
        <v>91510296</v>
      </c>
      <c r="C1470" s="29"/>
      <c r="E1470" s="29" t="s">
        <v>881</v>
      </c>
      <c r="F1470" s="29" t="s">
        <v>129</v>
      </c>
      <c r="G1470" s="130" t="s">
        <v>893</v>
      </c>
      <c r="H1470" s="130">
        <v>45748</v>
      </c>
      <c r="I1470" s="130">
        <f t="shared" si="14"/>
        <v>45751</v>
      </c>
      <c r="J1470" s="29"/>
      <c r="K1470" s="29"/>
      <c r="L1470" s="129" t="s">
        <v>483</v>
      </c>
      <c r="M1470" s="29"/>
      <c r="N1470" s="81">
        <v>150</v>
      </c>
      <c r="O1470" s="129" t="s">
        <v>906</v>
      </c>
    </row>
    <row r="1471" spans="1:15">
      <c r="A1471" s="144" t="s">
        <v>107</v>
      </c>
      <c r="B1471" s="29">
        <v>91510303</v>
      </c>
      <c r="C1471" s="29"/>
      <c r="E1471" s="29" t="s">
        <v>881</v>
      </c>
      <c r="F1471" s="29" t="s">
        <v>129</v>
      </c>
      <c r="G1471" s="130" t="s">
        <v>893</v>
      </c>
      <c r="H1471" s="130">
        <v>45748</v>
      </c>
      <c r="I1471" s="130">
        <f t="shared" si="14"/>
        <v>45751</v>
      </c>
      <c r="J1471" s="29"/>
      <c r="K1471" s="29"/>
      <c r="L1471" s="129" t="s">
        <v>483</v>
      </c>
      <c r="M1471" s="29"/>
      <c r="N1471" s="81">
        <v>45</v>
      </c>
      <c r="O1471" s="129" t="s">
        <v>907</v>
      </c>
    </row>
    <row r="1472" spans="1:15">
      <c r="A1472" s="144" t="s">
        <v>107</v>
      </c>
      <c r="B1472" s="29">
        <v>91510312</v>
      </c>
      <c r="C1472" s="29"/>
      <c r="E1472" s="29" t="s">
        <v>881</v>
      </c>
      <c r="F1472" s="29" t="s">
        <v>129</v>
      </c>
      <c r="G1472" s="130" t="s">
        <v>893</v>
      </c>
      <c r="H1472" s="130">
        <v>45748</v>
      </c>
      <c r="I1472" s="130">
        <f t="shared" si="14"/>
        <v>45751</v>
      </c>
      <c r="J1472" s="29"/>
      <c r="K1472" s="29"/>
      <c r="L1472" s="129" t="s">
        <v>483</v>
      </c>
      <c r="M1472" s="29"/>
      <c r="N1472" s="81">
        <v>245</v>
      </c>
      <c r="O1472" s="129" t="s">
        <v>908</v>
      </c>
    </row>
    <row r="1473" spans="1:15">
      <c r="A1473" s="144" t="s">
        <v>107</v>
      </c>
      <c r="B1473" s="29">
        <v>91510317</v>
      </c>
      <c r="C1473" s="29"/>
      <c r="E1473" s="29" t="s">
        <v>881</v>
      </c>
      <c r="F1473" s="29" t="s">
        <v>129</v>
      </c>
      <c r="G1473" s="130" t="s">
        <v>893</v>
      </c>
      <c r="H1473" s="130">
        <v>45748</v>
      </c>
      <c r="I1473" s="130">
        <f t="shared" si="14"/>
        <v>45751</v>
      </c>
      <c r="J1473" s="29"/>
      <c r="K1473" s="29"/>
      <c r="L1473" s="129" t="s">
        <v>483</v>
      </c>
      <c r="M1473" s="29"/>
      <c r="N1473" s="81">
        <v>48</v>
      </c>
      <c r="O1473" s="129" t="s">
        <v>909</v>
      </c>
    </row>
    <row r="1474" spans="1:15">
      <c r="A1474" s="144" t="s">
        <v>107</v>
      </c>
      <c r="B1474" s="29">
        <v>91510319</v>
      </c>
      <c r="C1474" s="29"/>
      <c r="E1474" s="29" t="s">
        <v>881</v>
      </c>
      <c r="F1474" s="29" t="s">
        <v>129</v>
      </c>
      <c r="G1474" s="130" t="s">
        <v>893</v>
      </c>
      <c r="H1474" s="130">
        <v>45748</v>
      </c>
      <c r="I1474" s="130">
        <f t="shared" si="14"/>
        <v>45751</v>
      </c>
      <c r="J1474" s="29"/>
      <c r="K1474" s="29"/>
      <c r="L1474" s="129" t="s">
        <v>483</v>
      </c>
      <c r="M1474" s="29"/>
      <c r="N1474" s="81">
        <v>48</v>
      </c>
      <c r="O1474" s="129" t="s">
        <v>910</v>
      </c>
    </row>
    <row r="1475" spans="1:15">
      <c r="A1475" s="144" t="s">
        <v>107</v>
      </c>
      <c r="B1475" s="29">
        <v>91510326</v>
      </c>
      <c r="C1475" s="29"/>
      <c r="E1475" s="29" t="s">
        <v>881</v>
      </c>
      <c r="F1475" s="29" t="s">
        <v>129</v>
      </c>
      <c r="G1475" s="130" t="s">
        <v>893</v>
      </c>
      <c r="H1475" s="130">
        <v>45748</v>
      </c>
      <c r="I1475" s="130">
        <f t="shared" si="14"/>
        <v>45751</v>
      </c>
      <c r="J1475" s="29"/>
      <c r="K1475" s="29"/>
      <c r="L1475" s="129" t="s">
        <v>483</v>
      </c>
      <c r="M1475" s="29"/>
      <c r="N1475" s="81">
        <v>90</v>
      </c>
      <c r="O1475" s="129" t="s">
        <v>911</v>
      </c>
    </row>
    <row r="1476" spans="1:15">
      <c r="A1476" s="144" t="s">
        <v>107</v>
      </c>
      <c r="B1476" s="29">
        <v>91510335</v>
      </c>
      <c r="C1476" s="29"/>
      <c r="E1476" s="29" t="s">
        <v>881</v>
      </c>
      <c r="F1476" s="29" t="s">
        <v>129</v>
      </c>
      <c r="G1476" s="130" t="s">
        <v>893</v>
      </c>
      <c r="H1476" s="130">
        <v>45748</v>
      </c>
      <c r="I1476" s="130">
        <f t="shared" si="14"/>
        <v>45751</v>
      </c>
      <c r="J1476" s="29"/>
      <c r="K1476" s="29"/>
      <c r="L1476" s="129" t="s">
        <v>483</v>
      </c>
      <c r="M1476" s="29"/>
      <c r="N1476" s="81">
        <v>225</v>
      </c>
      <c r="O1476" s="129" t="s">
        <v>912</v>
      </c>
    </row>
    <row r="1477" spans="1:15">
      <c r="A1477" s="144" t="s">
        <v>107</v>
      </c>
      <c r="B1477" s="29">
        <v>91510364</v>
      </c>
      <c r="C1477" s="29"/>
      <c r="E1477" s="29" t="s">
        <v>881</v>
      </c>
      <c r="F1477" s="29" t="s">
        <v>129</v>
      </c>
      <c r="G1477" s="130" t="s">
        <v>893</v>
      </c>
      <c r="H1477" s="130">
        <v>45748</v>
      </c>
      <c r="I1477" s="130">
        <f t="shared" si="14"/>
        <v>45751</v>
      </c>
      <c r="J1477" s="29"/>
      <c r="K1477" s="29"/>
      <c r="L1477" s="129" t="s">
        <v>483</v>
      </c>
      <c r="M1477" s="29"/>
      <c r="N1477" s="81">
        <v>195</v>
      </c>
      <c r="O1477" s="129" t="s">
        <v>913</v>
      </c>
    </row>
    <row r="1478" spans="1:15">
      <c r="A1478" s="144" t="s">
        <v>107</v>
      </c>
      <c r="B1478" s="29">
        <v>91510386</v>
      </c>
      <c r="C1478" s="29"/>
      <c r="E1478" s="29" t="s">
        <v>881</v>
      </c>
      <c r="F1478" s="29" t="s">
        <v>129</v>
      </c>
      <c r="G1478" s="130" t="s">
        <v>893</v>
      </c>
      <c r="H1478" s="130">
        <v>45748</v>
      </c>
      <c r="I1478" s="130">
        <f t="shared" si="14"/>
        <v>45751</v>
      </c>
      <c r="J1478" s="29"/>
      <c r="K1478" s="29"/>
      <c r="L1478" s="129" t="s">
        <v>483</v>
      </c>
      <c r="M1478" s="29"/>
      <c r="N1478" s="81">
        <v>55</v>
      </c>
      <c r="O1478" s="129" t="s">
        <v>914</v>
      </c>
    </row>
    <row r="1479" spans="1:15">
      <c r="A1479" s="144" t="s">
        <v>107</v>
      </c>
      <c r="B1479" s="29">
        <v>91510397</v>
      </c>
      <c r="C1479" s="29"/>
      <c r="E1479" s="29" t="s">
        <v>881</v>
      </c>
      <c r="F1479" s="29" t="s">
        <v>129</v>
      </c>
      <c r="G1479" s="130" t="s">
        <v>893</v>
      </c>
      <c r="H1479" s="130">
        <v>45748</v>
      </c>
      <c r="I1479" s="130">
        <f t="shared" si="14"/>
        <v>45751</v>
      </c>
      <c r="J1479" s="29"/>
      <c r="K1479" s="29"/>
      <c r="L1479" s="129" t="s">
        <v>483</v>
      </c>
      <c r="M1479" s="29"/>
      <c r="N1479" s="81">
        <v>365</v>
      </c>
      <c r="O1479" s="129" t="s">
        <v>915</v>
      </c>
    </row>
    <row r="1480" spans="1:15">
      <c r="A1480" s="144" t="s">
        <v>107</v>
      </c>
      <c r="B1480" s="29">
        <v>91510400</v>
      </c>
      <c r="C1480" s="29"/>
      <c r="E1480" s="29" t="s">
        <v>881</v>
      </c>
      <c r="F1480" s="29" t="s">
        <v>129</v>
      </c>
      <c r="G1480" s="130" t="s">
        <v>893</v>
      </c>
      <c r="H1480" s="130">
        <v>45748</v>
      </c>
      <c r="I1480" s="130">
        <f t="shared" si="14"/>
        <v>45751</v>
      </c>
      <c r="J1480" s="29"/>
      <c r="K1480" s="29"/>
      <c r="L1480" s="129" t="s">
        <v>483</v>
      </c>
      <c r="M1480" s="29"/>
      <c r="N1480" s="81">
        <v>51</v>
      </c>
      <c r="O1480" s="129" t="s">
        <v>916</v>
      </c>
    </row>
    <row r="1481" spans="1:15">
      <c r="A1481" s="144" t="s">
        <v>107</v>
      </c>
      <c r="B1481" s="29">
        <v>91510406</v>
      </c>
      <c r="C1481" s="29"/>
      <c r="E1481" s="29" t="s">
        <v>881</v>
      </c>
      <c r="F1481" s="29" t="s">
        <v>129</v>
      </c>
      <c r="G1481" s="130" t="s">
        <v>893</v>
      </c>
      <c r="H1481" s="130">
        <v>45748</v>
      </c>
      <c r="I1481" s="130">
        <f t="shared" si="14"/>
        <v>45751</v>
      </c>
      <c r="J1481" s="29"/>
      <c r="K1481" s="29"/>
      <c r="L1481" s="129" t="s">
        <v>483</v>
      </c>
      <c r="M1481" s="29"/>
      <c r="N1481" s="81">
        <v>350</v>
      </c>
      <c r="O1481" s="129" t="s">
        <v>917</v>
      </c>
    </row>
    <row r="1482" spans="1:15">
      <c r="A1482" s="144" t="s">
        <v>107</v>
      </c>
      <c r="B1482" s="29">
        <v>91510408</v>
      </c>
      <c r="C1482" s="29"/>
      <c r="E1482" s="29" t="s">
        <v>881</v>
      </c>
      <c r="F1482" s="29" t="s">
        <v>129</v>
      </c>
      <c r="G1482" s="130" t="s">
        <v>893</v>
      </c>
      <c r="H1482" s="130">
        <v>45748</v>
      </c>
      <c r="I1482" s="130">
        <f t="shared" si="14"/>
        <v>45751</v>
      </c>
      <c r="J1482" s="29"/>
      <c r="K1482" s="29"/>
      <c r="L1482" s="129" t="s">
        <v>483</v>
      </c>
      <c r="M1482" s="29"/>
      <c r="N1482" s="81">
        <v>275</v>
      </c>
      <c r="O1482" s="129" t="s">
        <v>918</v>
      </c>
    </row>
    <row r="1483" spans="1:15">
      <c r="A1483" s="144" t="s">
        <v>107</v>
      </c>
      <c r="B1483" s="29">
        <v>91510416</v>
      </c>
      <c r="C1483" s="29"/>
      <c r="E1483" s="29" t="s">
        <v>881</v>
      </c>
      <c r="F1483" s="29" t="s">
        <v>129</v>
      </c>
      <c r="G1483" s="130" t="s">
        <v>893</v>
      </c>
      <c r="H1483" s="130">
        <v>45748</v>
      </c>
      <c r="I1483" s="130">
        <f t="shared" si="14"/>
        <v>45751</v>
      </c>
      <c r="J1483" s="29"/>
      <c r="K1483" s="29"/>
      <c r="L1483" s="129" t="s">
        <v>483</v>
      </c>
      <c r="M1483" s="29"/>
      <c r="N1483" s="81">
        <v>57</v>
      </c>
      <c r="O1483" s="129" t="s">
        <v>919</v>
      </c>
    </row>
    <row r="1484" spans="1:15">
      <c r="A1484" s="144" t="s">
        <v>107</v>
      </c>
      <c r="B1484" s="29">
        <v>91510430</v>
      </c>
      <c r="C1484" s="29"/>
      <c r="E1484" s="29" t="s">
        <v>881</v>
      </c>
      <c r="F1484" s="29" t="s">
        <v>129</v>
      </c>
      <c r="G1484" s="130" t="s">
        <v>893</v>
      </c>
      <c r="H1484" s="130">
        <v>45748</v>
      </c>
      <c r="I1484" s="130">
        <f t="shared" ref="I1484:I1547" si="15">WORKDAY(H1484, 3)</f>
        <v>45751</v>
      </c>
      <c r="J1484" s="29"/>
      <c r="K1484" s="29"/>
      <c r="L1484" s="129" t="s">
        <v>483</v>
      </c>
      <c r="M1484" s="29"/>
      <c r="N1484" s="81">
        <v>90</v>
      </c>
      <c r="O1484" s="129" t="s">
        <v>920</v>
      </c>
    </row>
    <row r="1485" spans="1:15">
      <c r="A1485" s="144" t="s">
        <v>107</v>
      </c>
      <c r="B1485" s="29">
        <v>91510428</v>
      </c>
      <c r="C1485" s="29"/>
      <c r="E1485" s="29" t="s">
        <v>881</v>
      </c>
      <c r="F1485" s="29" t="s">
        <v>129</v>
      </c>
      <c r="G1485" s="130" t="s">
        <v>893</v>
      </c>
      <c r="H1485" s="130">
        <v>45748</v>
      </c>
      <c r="I1485" s="130">
        <f t="shared" si="15"/>
        <v>45751</v>
      </c>
      <c r="J1485" s="29"/>
      <c r="K1485" s="29"/>
      <c r="L1485" s="129" t="s">
        <v>483</v>
      </c>
      <c r="M1485" s="29"/>
      <c r="N1485" s="81">
        <v>80</v>
      </c>
      <c r="O1485" s="129" t="s">
        <v>921</v>
      </c>
    </row>
    <row r="1486" spans="1:15">
      <c r="A1486" s="144" t="s">
        <v>107</v>
      </c>
      <c r="B1486" s="29">
        <v>91510432</v>
      </c>
      <c r="C1486" s="29"/>
      <c r="E1486" s="29" t="s">
        <v>881</v>
      </c>
      <c r="F1486" s="29" t="s">
        <v>129</v>
      </c>
      <c r="G1486" s="130" t="s">
        <v>893</v>
      </c>
      <c r="H1486" s="130">
        <v>45748</v>
      </c>
      <c r="I1486" s="130">
        <f t="shared" si="15"/>
        <v>45751</v>
      </c>
      <c r="J1486" s="29"/>
      <c r="K1486" s="29"/>
      <c r="L1486" s="129" t="s">
        <v>483</v>
      </c>
      <c r="M1486" s="29"/>
      <c r="N1486" s="81">
        <v>300</v>
      </c>
      <c r="O1486" s="129" t="s">
        <v>922</v>
      </c>
    </row>
    <row r="1487" spans="1:15">
      <c r="A1487" s="144" t="s">
        <v>107</v>
      </c>
      <c r="B1487" s="29">
        <v>91510437</v>
      </c>
      <c r="C1487" s="29"/>
      <c r="E1487" s="29" t="s">
        <v>881</v>
      </c>
      <c r="F1487" s="29" t="s">
        <v>129</v>
      </c>
      <c r="G1487" s="130" t="s">
        <v>893</v>
      </c>
      <c r="H1487" s="130">
        <v>45748</v>
      </c>
      <c r="I1487" s="130">
        <f t="shared" si="15"/>
        <v>45751</v>
      </c>
      <c r="J1487" s="29"/>
      <c r="K1487" s="29"/>
      <c r="L1487" s="129" t="s">
        <v>483</v>
      </c>
      <c r="M1487" s="29"/>
      <c r="N1487" s="81">
        <v>55</v>
      </c>
      <c r="O1487" s="129" t="s">
        <v>923</v>
      </c>
    </row>
    <row r="1488" spans="1:15">
      <c r="A1488" s="144" t="s">
        <v>107</v>
      </c>
      <c r="B1488" s="29">
        <v>91510440</v>
      </c>
      <c r="C1488" s="29"/>
      <c r="E1488" s="29" t="s">
        <v>881</v>
      </c>
      <c r="F1488" s="29" t="s">
        <v>129</v>
      </c>
      <c r="G1488" s="130" t="s">
        <v>893</v>
      </c>
      <c r="H1488" s="130">
        <v>45748</v>
      </c>
      <c r="I1488" s="130">
        <f t="shared" si="15"/>
        <v>45751</v>
      </c>
      <c r="J1488" s="29"/>
      <c r="K1488" s="29"/>
      <c r="L1488" s="129" t="s">
        <v>483</v>
      </c>
      <c r="M1488" s="29"/>
      <c r="N1488" s="81">
        <v>375</v>
      </c>
      <c r="O1488" s="129" t="s">
        <v>924</v>
      </c>
    </row>
    <row r="1489" spans="1:15">
      <c r="A1489" s="144" t="s">
        <v>107</v>
      </c>
      <c r="B1489" s="29">
        <v>91510444</v>
      </c>
      <c r="C1489" s="29"/>
      <c r="E1489" s="29" t="s">
        <v>881</v>
      </c>
      <c r="F1489" s="29" t="s">
        <v>129</v>
      </c>
      <c r="G1489" s="130" t="s">
        <v>893</v>
      </c>
      <c r="H1489" s="130">
        <v>45748</v>
      </c>
      <c r="I1489" s="130">
        <f t="shared" si="15"/>
        <v>45751</v>
      </c>
      <c r="J1489" s="29"/>
      <c r="K1489" s="29"/>
      <c r="L1489" s="129" t="s">
        <v>483</v>
      </c>
      <c r="M1489" s="29"/>
      <c r="N1489" s="81">
        <v>53</v>
      </c>
      <c r="O1489" s="129" t="s">
        <v>925</v>
      </c>
    </row>
    <row r="1490" spans="1:15">
      <c r="A1490" s="144" t="s">
        <v>107</v>
      </c>
      <c r="B1490" s="29">
        <v>91510448</v>
      </c>
      <c r="C1490" s="29"/>
      <c r="E1490" s="29" t="s">
        <v>881</v>
      </c>
      <c r="F1490" s="29" t="s">
        <v>129</v>
      </c>
      <c r="G1490" s="130" t="s">
        <v>893</v>
      </c>
      <c r="H1490" s="130">
        <v>45748</v>
      </c>
      <c r="I1490" s="130">
        <f t="shared" si="15"/>
        <v>45751</v>
      </c>
      <c r="J1490" s="29"/>
      <c r="K1490" s="29"/>
      <c r="L1490" s="129" t="s">
        <v>483</v>
      </c>
      <c r="M1490" s="29"/>
      <c r="N1490" s="81">
        <v>450</v>
      </c>
      <c r="O1490" s="129" t="s">
        <v>926</v>
      </c>
    </row>
    <row r="1491" spans="1:15">
      <c r="A1491" s="144" t="s">
        <v>107</v>
      </c>
      <c r="B1491" s="29">
        <v>91510449</v>
      </c>
      <c r="C1491" s="29"/>
      <c r="E1491" s="29" t="s">
        <v>881</v>
      </c>
      <c r="F1491" s="29" t="s">
        <v>129</v>
      </c>
      <c r="G1491" s="130" t="s">
        <v>893</v>
      </c>
      <c r="H1491" s="130">
        <v>45748</v>
      </c>
      <c r="I1491" s="130">
        <f t="shared" si="15"/>
        <v>45751</v>
      </c>
      <c r="J1491" s="29"/>
      <c r="K1491" s="29"/>
      <c r="L1491" s="129" t="s">
        <v>483</v>
      </c>
      <c r="M1491" s="29"/>
      <c r="N1491" s="81">
        <v>51</v>
      </c>
      <c r="O1491" s="129" t="s">
        <v>927</v>
      </c>
    </row>
    <row r="1492" spans="1:15">
      <c r="A1492" s="144" t="s">
        <v>107</v>
      </c>
      <c r="B1492" s="29">
        <v>91510454</v>
      </c>
      <c r="C1492" s="29"/>
      <c r="E1492" s="29" t="s">
        <v>881</v>
      </c>
      <c r="F1492" s="29" t="s">
        <v>129</v>
      </c>
      <c r="G1492" s="130" t="s">
        <v>893</v>
      </c>
      <c r="H1492" s="130">
        <v>45748</v>
      </c>
      <c r="I1492" s="130">
        <f t="shared" si="15"/>
        <v>45751</v>
      </c>
      <c r="J1492" s="29"/>
      <c r="K1492" s="29"/>
      <c r="L1492" s="129" t="s">
        <v>483</v>
      </c>
      <c r="M1492" s="29"/>
      <c r="N1492" s="81">
        <v>300</v>
      </c>
      <c r="O1492" s="129" t="s">
        <v>928</v>
      </c>
    </row>
    <row r="1493" spans="1:15" hidden="1">
      <c r="A1493" s="144" t="s">
        <v>929</v>
      </c>
      <c r="B1493" s="29">
        <v>92509562</v>
      </c>
      <c r="C1493" s="29"/>
      <c r="E1493" s="29" t="s">
        <v>881</v>
      </c>
      <c r="F1493" s="29" t="s">
        <v>129</v>
      </c>
      <c r="G1493" s="130" t="s">
        <v>893</v>
      </c>
      <c r="H1493" s="130">
        <v>45748</v>
      </c>
      <c r="I1493" s="130">
        <f t="shared" si="15"/>
        <v>45751</v>
      </c>
      <c r="J1493" s="29"/>
      <c r="K1493" s="29"/>
      <c r="L1493" s="129" t="s">
        <v>483</v>
      </c>
      <c r="M1493" s="29"/>
      <c r="N1493" s="81">
        <v>500</v>
      </c>
      <c r="O1493" s="129" t="s">
        <v>930</v>
      </c>
    </row>
    <row r="1494" spans="1:15" hidden="1">
      <c r="A1494" s="144" t="s">
        <v>929</v>
      </c>
      <c r="B1494" s="29">
        <v>92509564</v>
      </c>
      <c r="C1494" s="29"/>
      <c r="E1494" s="29" t="s">
        <v>881</v>
      </c>
      <c r="F1494" s="29" t="s">
        <v>129</v>
      </c>
      <c r="G1494" s="130" t="s">
        <v>893</v>
      </c>
      <c r="H1494" s="130">
        <v>45748</v>
      </c>
      <c r="I1494" s="130">
        <f t="shared" si="15"/>
        <v>45751</v>
      </c>
      <c r="J1494" s="29"/>
      <c r="K1494" s="29"/>
      <c r="L1494" s="129" t="s">
        <v>483</v>
      </c>
      <c r="M1494" s="29"/>
      <c r="N1494" s="81">
        <v>500</v>
      </c>
      <c r="O1494" s="129" t="s">
        <v>931</v>
      </c>
    </row>
    <row r="1495" spans="1:15" hidden="1">
      <c r="A1495" s="144" t="s">
        <v>929</v>
      </c>
      <c r="B1495" s="29">
        <v>92509681</v>
      </c>
      <c r="C1495" s="29"/>
      <c r="E1495" s="29" t="s">
        <v>881</v>
      </c>
      <c r="F1495" s="29" t="s">
        <v>129</v>
      </c>
      <c r="G1495" s="130" t="s">
        <v>893</v>
      </c>
      <c r="H1495" s="130">
        <v>45748</v>
      </c>
      <c r="I1495" s="130">
        <f t="shared" si="15"/>
        <v>45751</v>
      </c>
      <c r="J1495" s="29"/>
      <c r="K1495" s="29"/>
      <c r="L1495" s="129" t="s">
        <v>483</v>
      </c>
      <c r="M1495" s="29"/>
      <c r="N1495" s="81">
        <v>48</v>
      </c>
      <c r="O1495" s="129" t="s">
        <v>932</v>
      </c>
    </row>
    <row r="1496" spans="1:15" hidden="1">
      <c r="A1496" s="144" t="s">
        <v>929</v>
      </c>
      <c r="B1496" s="29">
        <v>92509598</v>
      </c>
      <c r="C1496" s="29"/>
      <c r="E1496" s="29" t="s">
        <v>881</v>
      </c>
      <c r="F1496" s="29" t="s">
        <v>129</v>
      </c>
      <c r="G1496" s="130" t="s">
        <v>893</v>
      </c>
      <c r="H1496" s="130">
        <v>45748</v>
      </c>
      <c r="I1496" s="130">
        <f t="shared" si="15"/>
        <v>45751</v>
      </c>
      <c r="J1496" s="29"/>
      <c r="K1496" s="29"/>
      <c r="L1496" s="129" t="s">
        <v>483</v>
      </c>
      <c r="M1496" s="29"/>
      <c r="N1496" s="81">
        <v>450</v>
      </c>
      <c r="O1496" s="129" t="s">
        <v>933</v>
      </c>
    </row>
    <row r="1497" spans="1:15" hidden="1">
      <c r="A1497" s="144" t="s">
        <v>929</v>
      </c>
      <c r="B1497" s="29">
        <v>92509606</v>
      </c>
      <c r="C1497" s="29"/>
      <c r="E1497" s="29" t="s">
        <v>881</v>
      </c>
      <c r="F1497" s="29" t="s">
        <v>129</v>
      </c>
      <c r="G1497" s="130" t="s">
        <v>893</v>
      </c>
      <c r="H1497" s="130">
        <v>45748</v>
      </c>
      <c r="I1497" s="130">
        <f t="shared" si="15"/>
        <v>45751</v>
      </c>
      <c r="J1497" s="29"/>
      <c r="K1497" s="29"/>
      <c r="L1497" s="129" t="s">
        <v>483</v>
      </c>
      <c r="M1497" s="29"/>
      <c r="N1497" s="81">
        <v>425</v>
      </c>
      <c r="O1497" s="129" t="s">
        <v>934</v>
      </c>
    </row>
    <row r="1498" spans="1:15" hidden="1">
      <c r="A1498" s="144" t="s">
        <v>929</v>
      </c>
      <c r="B1498" s="29">
        <v>92509685</v>
      </c>
      <c r="C1498" s="29"/>
      <c r="E1498" s="29" t="s">
        <v>881</v>
      </c>
      <c r="F1498" s="29" t="s">
        <v>129</v>
      </c>
      <c r="G1498" s="130" t="s">
        <v>893</v>
      </c>
      <c r="H1498" s="130">
        <v>45748</v>
      </c>
      <c r="I1498" s="130">
        <f t="shared" si="15"/>
        <v>45751</v>
      </c>
      <c r="J1498" s="29"/>
      <c r="K1498" s="29"/>
      <c r="L1498" s="129" t="s">
        <v>483</v>
      </c>
      <c r="M1498" s="29"/>
      <c r="N1498" s="81">
        <v>95</v>
      </c>
      <c r="O1498" s="129" t="s">
        <v>935</v>
      </c>
    </row>
    <row r="1499" spans="1:15" hidden="1">
      <c r="A1499" s="144" t="s">
        <v>929</v>
      </c>
      <c r="B1499" s="29">
        <v>92509628</v>
      </c>
      <c r="C1499" s="29"/>
      <c r="E1499" s="29" t="s">
        <v>881</v>
      </c>
      <c r="F1499" s="29" t="s">
        <v>129</v>
      </c>
      <c r="G1499" s="130" t="s">
        <v>893</v>
      </c>
      <c r="H1499" s="130">
        <v>45748</v>
      </c>
      <c r="I1499" s="130">
        <f t="shared" si="15"/>
        <v>45751</v>
      </c>
      <c r="J1499" s="29"/>
      <c r="K1499" s="29"/>
      <c r="L1499" s="129" t="s">
        <v>483</v>
      </c>
      <c r="M1499" s="29"/>
      <c r="N1499" s="81">
        <v>1150</v>
      </c>
      <c r="O1499" s="129" t="s">
        <v>936</v>
      </c>
    </row>
    <row r="1500" spans="1:15" hidden="1">
      <c r="A1500" s="144" t="s">
        <v>929</v>
      </c>
      <c r="B1500" s="29">
        <v>92509690</v>
      </c>
      <c r="C1500" s="29"/>
      <c r="E1500" s="29" t="s">
        <v>881</v>
      </c>
      <c r="F1500" s="29" t="s">
        <v>129</v>
      </c>
      <c r="G1500" s="130" t="s">
        <v>893</v>
      </c>
      <c r="H1500" s="130">
        <v>45748</v>
      </c>
      <c r="I1500" s="130">
        <f t="shared" si="15"/>
        <v>45751</v>
      </c>
      <c r="J1500" s="29"/>
      <c r="K1500" s="29"/>
      <c r="L1500" s="129" t="s">
        <v>483</v>
      </c>
      <c r="M1500" s="29"/>
      <c r="N1500" s="81">
        <v>47</v>
      </c>
      <c r="O1500" s="129" t="s">
        <v>937</v>
      </c>
    </row>
    <row r="1501" spans="1:15" hidden="1">
      <c r="A1501" s="144" t="s">
        <v>929</v>
      </c>
      <c r="B1501" s="29">
        <v>92509708</v>
      </c>
      <c r="C1501" s="29"/>
      <c r="E1501" s="29" t="s">
        <v>881</v>
      </c>
      <c r="F1501" s="29" t="s">
        <v>129</v>
      </c>
      <c r="G1501" s="130" t="s">
        <v>893</v>
      </c>
      <c r="H1501" s="130">
        <v>45748</v>
      </c>
      <c r="I1501" s="130">
        <f t="shared" si="15"/>
        <v>45751</v>
      </c>
      <c r="J1501" s="29"/>
      <c r="K1501" s="29"/>
      <c r="L1501" s="129" t="s">
        <v>483</v>
      </c>
      <c r="M1501" s="29"/>
      <c r="N1501" s="81">
        <v>53</v>
      </c>
      <c r="O1501" s="129" t="s">
        <v>938</v>
      </c>
    </row>
    <row r="1502" spans="1:15" hidden="1">
      <c r="A1502" s="144" t="s">
        <v>929</v>
      </c>
      <c r="B1502" s="29">
        <v>92509705</v>
      </c>
      <c r="C1502" s="29"/>
      <c r="E1502" s="29" t="s">
        <v>881</v>
      </c>
      <c r="F1502" s="29" t="s">
        <v>129</v>
      </c>
      <c r="G1502" s="130" t="s">
        <v>893</v>
      </c>
      <c r="H1502" s="130">
        <v>45748</v>
      </c>
      <c r="I1502" s="130">
        <f t="shared" si="15"/>
        <v>45751</v>
      </c>
      <c r="J1502" s="29"/>
      <c r="K1502" s="29"/>
      <c r="L1502" s="129" t="s">
        <v>483</v>
      </c>
      <c r="M1502" s="29"/>
      <c r="N1502" s="81">
        <v>57</v>
      </c>
      <c r="O1502" s="129" t="s">
        <v>938</v>
      </c>
    </row>
    <row r="1503" spans="1:15" hidden="1">
      <c r="A1503" s="144" t="s">
        <v>929</v>
      </c>
      <c r="B1503" s="29">
        <v>92509722</v>
      </c>
      <c r="C1503" s="29"/>
      <c r="E1503" s="29" t="s">
        <v>881</v>
      </c>
      <c r="F1503" s="29" t="s">
        <v>129</v>
      </c>
      <c r="G1503" s="130" t="s">
        <v>893</v>
      </c>
      <c r="H1503" s="130">
        <v>45748</v>
      </c>
      <c r="I1503" s="130">
        <f t="shared" si="15"/>
        <v>45751</v>
      </c>
      <c r="J1503" s="29"/>
      <c r="K1503" s="29"/>
      <c r="L1503" s="129" t="s">
        <v>483</v>
      </c>
      <c r="M1503" s="29"/>
      <c r="N1503" s="81">
        <v>250</v>
      </c>
      <c r="O1503" s="129" t="s">
        <v>939</v>
      </c>
    </row>
    <row r="1504" spans="1:15" hidden="1">
      <c r="A1504" s="144" t="s">
        <v>929</v>
      </c>
      <c r="B1504" s="29">
        <v>92509726</v>
      </c>
      <c r="C1504" s="29"/>
      <c r="E1504" s="29" t="s">
        <v>881</v>
      </c>
      <c r="F1504" s="29" t="s">
        <v>129</v>
      </c>
      <c r="G1504" s="130" t="s">
        <v>893</v>
      </c>
      <c r="H1504" s="130">
        <v>45748</v>
      </c>
      <c r="I1504" s="130">
        <f t="shared" si="15"/>
        <v>45751</v>
      </c>
      <c r="J1504" s="29"/>
      <c r="K1504" s="29"/>
      <c r="L1504" s="129" t="s">
        <v>483</v>
      </c>
      <c r="M1504" s="29"/>
      <c r="N1504" s="81">
        <v>57</v>
      </c>
      <c r="O1504" s="129" t="s">
        <v>940</v>
      </c>
    </row>
    <row r="1505" spans="1:15" hidden="1">
      <c r="A1505" s="144" t="s">
        <v>929</v>
      </c>
      <c r="B1505" s="29">
        <v>92509734</v>
      </c>
      <c r="C1505" s="29"/>
      <c r="E1505" s="29" t="s">
        <v>881</v>
      </c>
      <c r="F1505" s="29" t="s">
        <v>129</v>
      </c>
      <c r="G1505" s="130" t="s">
        <v>893</v>
      </c>
      <c r="H1505" s="130">
        <v>45748</v>
      </c>
      <c r="I1505" s="130">
        <f t="shared" si="15"/>
        <v>45751</v>
      </c>
      <c r="J1505" s="29"/>
      <c r="K1505" s="29"/>
      <c r="L1505" s="129" t="s">
        <v>483</v>
      </c>
      <c r="M1505" s="29"/>
      <c r="N1505" s="81">
        <v>51</v>
      </c>
      <c r="O1505" s="129" t="s">
        <v>941</v>
      </c>
    </row>
    <row r="1506" spans="1:15" hidden="1">
      <c r="A1506" s="144" t="s">
        <v>929</v>
      </c>
      <c r="B1506" s="29">
        <v>92509747</v>
      </c>
      <c r="C1506" s="29"/>
      <c r="E1506" s="29" t="s">
        <v>881</v>
      </c>
      <c r="F1506" s="29" t="s">
        <v>129</v>
      </c>
      <c r="G1506" s="130" t="s">
        <v>893</v>
      </c>
      <c r="H1506" s="130">
        <v>45748</v>
      </c>
      <c r="I1506" s="130">
        <f t="shared" si="15"/>
        <v>45751</v>
      </c>
      <c r="J1506" s="29"/>
      <c r="K1506" s="29"/>
      <c r="L1506" s="129" t="s">
        <v>483</v>
      </c>
      <c r="M1506" s="29"/>
      <c r="N1506" s="81">
        <v>100</v>
      </c>
      <c r="O1506" s="129" t="s">
        <v>942</v>
      </c>
    </row>
    <row r="1507" spans="1:15" hidden="1">
      <c r="A1507" s="144" t="s">
        <v>929</v>
      </c>
      <c r="B1507" s="29">
        <v>92509755</v>
      </c>
      <c r="C1507" s="29"/>
      <c r="E1507" s="29" t="s">
        <v>881</v>
      </c>
      <c r="F1507" s="29" t="s">
        <v>129</v>
      </c>
      <c r="G1507" s="130" t="s">
        <v>893</v>
      </c>
      <c r="H1507" s="130">
        <v>45748</v>
      </c>
      <c r="I1507" s="130">
        <f t="shared" si="15"/>
        <v>45751</v>
      </c>
      <c r="J1507" s="29"/>
      <c r="K1507" s="29"/>
      <c r="L1507" s="129" t="s">
        <v>483</v>
      </c>
      <c r="M1507" s="29"/>
      <c r="N1507" s="81">
        <v>250</v>
      </c>
      <c r="O1507" s="129" t="s">
        <v>943</v>
      </c>
    </row>
    <row r="1508" spans="1:15" hidden="1">
      <c r="A1508" s="144" t="s">
        <v>929</v>
      </c>
      <c r="B1508" s="29">
        <v>92509764</v>
      </c>
      <c r="C1508" s="29"/>
      <c r="E1508" s="29" t="s">
        <v>881</v>
      </c>
      <c r="F1508" s="29" t="s">
        <v>129</v>
      </c>
      <c r="G1508" s="130" t="s">
        <v>893</v>
      </c>
      <c r="H1508" s="130">
        <v>45748</v>
      </c>
      <c r="I1508" s="130">
        <f t="shared" si="15"/>
        <v>45751</v>
      </c>
      <c r="J1508" s="29"/>
      <c r="K1508" s="29"/>
      <c r="L1508" s="129" t="s">
        <v>483</v>
      </c>
      <c r="M1508" s="29"/>
      <c r="N1508" s="81">
        <v>57</v>
      </c>
      <c r="O1508" s="129" t="s">
        <v>944</v>
      </c>
    </row>
    <row r="1509" spans="1:15" hidden="1">
      <c r="A1509" s="144" t="s">
        <v>929</v>
      </c>
      <c r="B1509" s="29">
        <v>92509778</v>
      </c>
      <c r="C1509" s="29"/>
      <c r="E1509" s="29" t="s">
        <v>881</v>
      </c>
      <c r="F1509" s="29" t="s">
        <v>129</v>
      </c>
      <c r="G1509" s="130" t="s">
        <v>893</v>
      </c>
      <c r="H1509" s="130">
        <v>45748</v>
      </c>
      <c r="I1509" s="130">
        <f t="shared" si="15"/>
        <v>45751</v>
      </c>
      <c r="J1509" s="29"/>
      <c r="K1509" s="29"/>
      <c r="L1509" s="129" t="s">
        <v>483</v>
      </c>
      <c r="M1509" s="29"/>
      <c r="N1509" s="81">
        <v>250</v>
      </c>
      <c r="O1509" s="129" t="s">
        <v>945</v>
      </c>
    </row>
    <row r="1510" spans="1:15" hidden="1">
      <c r="A1510" s="144" t="s">
        <v>929</v>
      </c>
      <c r="B1510" s="29">
        <v>92509805</v>
      </c>
      <c r="C1510" s="29"/>
      <c r="E1510" s="29" t="s">
        <v>881</v>
      </c>
      <c r="F1510" s="29" t="s">
        <v>129</v>
      </c>
      <c r="G1510" s="130" t="s">
        <v>893</v>
      </c>
      <c r="H1510" s="130">
        <v>45748</v>
      </c>
      <c r="I1510" s="130">
        <f t="shared" si="15"/>
        <v>45751</v>
      </c>
      <c r="J1510" s="29"/>
      <c r="K1510" s="29"/>
      <c r="L1510" s="129" t="s">
        <v>483</v>
      </c>
      <c r="M1510" s="29"/>
      <c r="N1510" s="81">
        <v>250</v>
      </c>
      <c r="O1510" s="129" t="s">
        <v>946</v>
      </c>
    </row>
    <row r="1511" spans="1:15" hidden="1">
      <c r="A1511" s="144" t="s">
        <v>929</v>
      </c>
      <c r="B1511" s="29">
        <v>92509814</v>
      </c>
      <c r="C1511" s="29"/>
      <c r="E1511" s="29" t="s">
        <v>881</v>
      </c>
      <c r="F1511" s="29" t="s">
        <v>129</v>
      </c>
      <c r="G1511" s="130" t="s">
        <v>893</v>
      </c>
      <c r="H1511" s="130">
        <v>45748</v>
      </c>
      <c r="I1511" s="130">
        <f t="shared" si="15"/>
        <v>45751</v>
      </c>
      <c r="J1511" s="29"/>
      <c r="K1511" s="29"/>
      <c r="L1511" s="129" t="s">
        <v>483</v>
      </c>
      <c r="M1511" s="29"/>
      <c r="N1511" s="81">
        <v>300</v>
      </c>
      <c r="O1511" s="129" t="s">
        <v>947</v>
      </c>
    </row>
    <row r="1512" spans="1:15" hidden="1">
      <c r="A1512" s="144" t="s">
        <v>929</v>
      </c>
      <c r="B1512" s="29">
        <v>92509823</v>
      </c>
      <c r="C1512" s="29"/>
      <c r="E1512" s="29" t="s">
        <v>881</v>
      </c>
      <c r="F1512" s="29" t="s">
        <v>129</v>
      </c>
      <c r="G1512" s="130" t="s">
        <v>893</v>
      </c>
      <c r="H1512" s="130">
        <v>45748</v>
      </c>
      <c r="I1512" s="130">
        <f t="shared" si="15"/>
        <v>45751</v>
      </c>
      <c r="J1512" s="29"/>
      <c r="K1512" s="29"/>
      <c r="L1512" s="129" t="s">
        <v>483</v>
      </c>
      <c r="M1512" s="29"/>
      <c r="N1512" s="81">
        <v>375</v>
      </c>
      <c r="O1512" s="129" t="s">
        <v>948</v>
      </c>
    </row>
    <row r="1513" spans="1:15" hidden="1">
      <c r="A1513" s="144" t="s">
        <v>929</v>
      </c>
      <c r="B1513" s="29">
        <v>92509833</v>
      </c>
      <c r="C1513" s="29"/>
      <c r="E1513" s="29" t="s">
        <v>881</v>
      </c>
      <c r="F1513" s="29" t="s">
        <v>129</v>
      </c>
      <c r="G1513" s="130" t="s">
        <v>893</v>
      </c>
      <c r="H1513" s="130">
        <v>45748</v>
      </c>
      <c r="I1513" s="130">
        <f t="shared" si="15"/>
        <v>45751</v>
      </c>
      <c r="J1513" s="29"/>
      <c r="K1513" s="29"/>
      <c r="L1513" s="129" t="s">
        <v>483</v>
      </c>
      <c r="M1513" s="29"/>
      <c r="N1513" s="81">
        <v>46</v>
      </c>
      <c r="O1513" s="129" t="s">
        <v>949</v>
      </c>
    </row>
    <row r="1514" spans="1:15" hidden="1">
      <c r="A1514" s="144" t="s">
        <v>950</v>
      </c>
      <c r="B1514" s="29">
        <v>92509841</v>
      </c>
      <c r="C1514" s="29"/>
      <c r="E1514" s="29" t="s">
        <v>881</v>
      </c>
      <c r="F1514" s="29" t="s">
        <v>129</v>
      </c>
      <c r="G1514" s="130" t="s">
        <v>893</v>
      </c>
      <c r="H1514" s="130">
        <v>45748</v>
      </c>
      <c r="I1514" s="130">
        <f t="shared" si="15"/>
        <v>45751</v>
      </c>
      <c r="J1514" s="29"/>
      <c r="K1514" s="29"/>
      <c r="L1514" s="129" t="s">
        <v>483</v>
      </c>
      <c r="M1514" s="29"/>
      <c r="N1514" s="81">
        <v>250</v>
      </c>
      <c r="O1514" s="129" t="s">
        <v>951</v>
      </c>
    </row>
    <row r="1515" spans="1:15" hidden="1">
      <c r="A1515" s="144" t="s">
        <v>950</v>
      </c>
      <c r="B1515" s="29">
        <v>92509849</v>
      </c>
      <c r="C1515" s="29"/>
      <c r="E1515" s="29" t="s">
        <v>881</v>
      </c>
      <c r="F1515" s="29" t="s">
        <v>129</v>
      </c>
      <c r="G1515" s="130" t="s">
        <v>893</v>
      </c>
      <c r="H1515" s="130">
        <v>45748</v>
      </c>
      <c r="I1515" s="130">
        <f t="shared" si="15"/>
        <v>45751</v>
      </c>
      <c r="J1515" s="29"/>
      <c r="K1515" s="29"/>
      <c r="L1515" s="129" t="s">
        <v>483</v>
      </c>
      <c r="M1515" s="29"/>
      <c r="N1515" s="81">
        <v>48</v>
      </c>
      <c r="O1515" s="129" t="s">
        <v>952</v>
      </c>
    </row>
    <row r="1516" spans="1:15" hidden="1">
      <c r="A1516" s="144" t="s">
        <v>950</v>
      </c>
      <c r="B1516" s="29">
        <v>92509855</v>
      </c>
      <c r="C1516" s="29"/>
      <c r="E1516" s="29" t="s">
        <v>881</v>
      </c>
      <c r="F1516" s="29" t="s">
        <v>129</v>
      </c>
      <c r="G1516" s="130" t="s">
        <v>893</v>
      </c>
      <c r="H1516" s="130">
        <v>45748</v>
      </c>
      <c r="I1516" s="130">
        <f t="shared" si="15"/>
        <v>45751</v>
      </c>
      <c r="J1516" s="29"/>
      <c r="K1516" s="29"/>
      <c r="L1516" s="129" t="s">
        <v>483</v>
      </c>
      <c r="M1516" s="29"/>
      <c r="N1516" s="81">
        <v>365</v>
      </c>
      <c r="O1516" s="129" t="s">
        <v>953</v>
      </c>
    </row>
    <row r="1517" spans="1:15" hidden="1">
      <c r="A1517" s="144" t="s">
        <v>950</v>
      </c>
      <c r="B1517" s="29">
        <v>92509860</v>
      </c>
      <c r="C1517" s="29"/>
      <c r="E1517" s="29" t="s">
        <v>881</v>
      </c>
      <c r="F1517" s="29" t="s">
        <v>129</v>
      </c>
      <c r="G1517" s="130" t="s">
        <v>893</v>
      </c>
      <c r="H1517" s="130">
        <v>45748</v>
      </c>
      <c r="I1517" s="130">
        <f t="shared" si="15"/>
        <v>45751</v>
      </c>
      <c r="J1517" s="29"/>
      <c r="K1517" s="29"/>
      <c r="L1517" s="129" t="s">
        <v>483</v>
      </c>
      <c r="M1517" s="29"/>
      <c r="N1517" s="81">
        <v>48</v>
      </c>
      <c r="O1517" s="129" t="s">
        <v>954</v>
      </c>
    </row>
    <row r="1518" spans="1:15" hidden="1">
      <c r="A1518" s="144" t="s">
        <v>950</v>
      </c>
      <c r="B1518" s="29">
        <v>93500003</v>
      </c>
      <c r="C1518" s="29"/>
      <c r="E1518" s="29" t="s">
        <v>881</v>
      </c>
      <c r="F1518" s="29" t="s">
        <v>129</v>
      </c>
      <c r="G1518" s="130" t="s">
        <v>893</v>
      </c>
      <c r="H1518" s="130">
        <v>45748</v>
      </c>
      <c r="I1518" s="130">
        <f t="shared" si="15"/>
        <v>45751</v>
      </c>
      <c r="J1518" s="29"/>
      <c r="K1518" s="29"/>
      <c r="L1518" s="129" t="s">
        <v>483</v>
      </c>
      <c r="M1518" s="29"/>
      <c r="N1518" s="81">
        <v>250</v>
      </c>
      <c r="O1518" s="129" t="s">
        <v>955</v>
      </c>
    </row>
    <row r="1519" spans="1:15" hidden="1">
      <c r="A1519" s="144" t="s">
        <v>950</v>
      </c>
      <c r="B1519" s="29">
        <v>93500013</v>
      </c>
      <c r="C1519" s="29"/>
      <c r="E1519" s="29" t="s">
        <v>881</v>
      </c>
      <c r="F1519" s="29" t="s">
        <v>129</v>
      </c>
      <c r="G1519" s="130" t="s">
        <v>893</v>
      </c>
      <c r="H1519" s="130">
        <v>45748</v>
      </c>
      <c r="I1519" s="130">
        <f t="shared" si="15"/>
        <v>45751</v>
      </c>
      <c r="J1519" s="29"/>
      <c r="K1519" s="29"/>
      <c r="L1519" s="129" t="s">
        <v>483</v>
      </c>
      <c r="M1519" s="29"/>
      <c r="N1519" s="81">
        <v>67</v>
      </c>
      <c r="O1519" s="129" t="s">
        <v>956</v>
      </c>
    </row>
    <row r="1520" spans="1:15" hidden="1">
      <c r="A1520" s="144" t="s">
        <v>950</v>
      </c>
      <c r="B1520" s="29">
        <v>93500028</v>
      </c>
      <c r="C1520" s="29"/>
      <c r="E1520" s="29" t="s">
        <v>881</v>
      </c>
      <c r="F1520" s="29" t="s">
        <v>129</v>
      </c>
      <c r="G1520" s="130" t="s">
        <v>893</v>
      </c>
      <c r="H1520" s="130">
        <v>45748</v>
      </c>
      <c r="I1520" s="130">
        <f t="shared" si="15"/>
        <v>45751</v>
      </c>
      <c r="J1520" s="29"/>
      <c r="K1520" s="29"/>
      <c r="L1520" s="129" t="s">
        <v>483</v>
      </c>
      <c r="M1520" s="29"/>
      <c r="N1520" s="81">
        <v>40</v>
      </c>
      <c r="O1520" s="129" t="s">
        <v>957</v>
      </c>
    </row>
    <row r="1521" spans="1:15" hidden="1">
      <c r="A1521" s="144" t="s">
        <v>950</v>
      </c>
      <c r="B1521" s="29">
        <v>93500036</v>
      </c>
      <c r="C1521" s="29"/>
      <c r="E1521" s="29" t="s">
        <v>881</v>
      </c>
      <c r="F1521" s="29" t="s">
        <v>129</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129</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129</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129</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129</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129</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129</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129</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129</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129</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129</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129</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129</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129</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129</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129</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129</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129</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129</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129</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129</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129</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129</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129</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129</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129</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129</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129</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129</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129</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129</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129</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129</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129</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129</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129</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129</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129</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129</v>
      </c>
      <c r="G1559" s="29" t="s">
        <v>569</v>
      </c>
      <c r="H1559" s="130">
        <v>45744</v>
      </c>
      <c r="I1559" s="130">
        <f t="shared" si="16"/>
        <v>45749</v>
      </c>
      <c r="J1559" s="130">
        <v>45748</v>
      </c>
      <c r="K1559" s="29"/>
      <c r="L1559" s="129" t="s">
        <v>483</v>
      </c>
      <c r="M1559" s="29"/>
      <c r="N1559" s="81">
        <v>230</v>
      </c>
    </row>
    <row r="1560" spans="1:14" hidden="1">
      <c r="A1560" s="144" t="s">
        <v>968</v>
      </c>
      <c r="B1560" s="29">
        <v>87503872</v>
      </c>
      <c r="C1560" s="29"/>
      <c r="E1560" s="29" t="s">
        <v>890</v>
      </c>
      <c r="F1560" s="29" t="s">
        <v>129</v>
      </c>
      <c r="G1560" s="29" t="s">
        <v>569</v>
      </c>
      <c r="H1560" s="130">
        <v>45744</v>
      </c>
      <c r="I1560" s="130">
        <f t="shared" si="16"/>
        <v>45749</v>
      </c>
      <c r="J1560" s="130">
        <v>45748</v>
      </c>
      <c r="K1560" s="29"/>
      <c r="L1560" s="129" t="s">
        <v>483</v>
      </c>
      <c r="M1560" s="29"/>
      <c r="N1560" s="81">
        <v>530</v>
      </c>
    </row>
    <row r="1561" spans="1:14" hidden="1">
      <c r="A1561" s="144" t="s">
        <v>968</v>
      </c>
      <c r="B1561" s="29">
        <v>87503874</v>
      </c>
      <c r="C1561" s="29"/>
      <c r="E1561" s="29" t="s">
        <v>890</v>
      </c>
      <c r="F1561" s="29" t="s">
        <v>129</v>
      </c>
      <c r="G1561" s="29" t="s">
        <v>569</v>
      </c>
      <c r="H1561" s="130">
        <v>45744</v>
      </c>
      <c r="I1561" s="130">
        <f t="shared" si="16"/>
        <v>45749</v>
      </c>
      <c r="J1561" s="130">
        <v>45748</v>
      </c>
      <c r="K1561" s="29"/>
      <c r="L1561" s="129" t="s">
        <v>483</v>
      </c>
      <c r="M1561" s="29"/>
      <c r="N1561" s="81">
        <v>140</v>
      </c>
    </row>
    <row r="1562" spans="1:14" hidden="1">
      <c r="A1562" s="144" t="s">
        <v>968</v>
      </c>
      <c r="B1562" s="29">
        <v>87503884</v>
      </c>
      <c r="C1562" s="29"/>
      <c r="E1562" s="29" t="s">
        <v>890</v>
      </c>
      <c r="F1562" s="29" t="s">
        <v>129</v>
      </c>
      <c r="G1562" s="29" t="s">
        <v>569</v>
      </c>
      <c r="H1562" s="130">
        <v>45744</v>
      </c>
      <c r="I1562" s="130">
        <f t="shared" si="16"/>
        <v>45749</v>
      </c>
      <c r="J1562" s="130">
        <v>45748</v>
      </c>
      <c r="K1562" s="29"/>
      <c r="L1562" s="129" t="s">
        <v>483</v>
      </c>
      <c r="M1562" s="29"/>
      <c r="N1562" s="81">
        <v>100</v>
      </c>
    </row>
    <row r="1563" spans="1:14" hidden="1">
      <c r="A1563" s="144" t="s">
        <v>968</v>
      </c>
      <c r="B1563" s="29">
        <v>87503924</v>
      </c>
      <c r="C1563" s="29"/>
      <c r="E1563" s="29" t="s">
        <v>890</v>
      </c>
      <c r="F1563" s="29" t="s">
        <v>129</v>
      </c>
      <c r="G1563" s="29" t="s">
        <v>569</v>
      </c>
      <c r="H1563" s="130">
        <v>45744</v>
      </c>
      <c r="I1563" s="130">
        <f t="shared" si="16"/>
        <v>45749</v>
      </c>
      <c r="J1563" s="130">
        <v>45748</v>
      </c>
      <c r="K1563" s="29"/>
      <c r="L1563" s="129" t="s">
        <v>483</v>
      </c>
      <c r="M1563" s="29"/>
      <c r="N1563" s="81">
        <v>680</v>
      </c>
    </row>
    <row r="1564" spans="1:14" hidden="1">
      <c r="A1564" s="144" t="s">
        <v>968</v>
      </c>
      <c r="B1564" s="29">
        <v>87503932</v>
      </c>
      <c r="C1564" s="29"/>
      <c r="E1564" s="29" t="s">
        <v>890</v>
      </c>
      <c r="F1564" s="29" t="s">
        <v>129</v>
      </c>
      <c r="G1564" s="29" t="s">
        <v>569</v>
      </c>
      <c r="H1564" s="130">
        <v>45744</v>
      </c>
      <c r="I1564" s="130">
        <f t="shared" si="16"/>
        <v>45749</v>
      </c>
      <c r="J1564" s="130">
        <v>45748</v>
      </c>
      <c r="K1564" s="29"/>
      <c r="L1564" s="129" t="s">
        <v>483</v>
      </c>
      <c r="M1564" s="29"/>
      <c r="N1564" s="81">
        <v>350</v>
      </c>
    </row>
    <row r="1565" spans="1:14" hidden="1">
      <c r="A1565" s="144" t="s">
        <v>968</v>
      </c>
      <c r="B1565" s="29">
        <v>87503943</v>
      </c>
      <c r="C1565" s="29"/>
      <c r="E1565" s="29" t="s">
        <v>890</v>
      </c>
      <c r="F1565" s="29" t="s">
        <v>129</v>
      </c>
      <c r="G1565" s="29" t="s">
        <v>569</v>
      </c>
      <c r="H1565" s="130">
        <v>45744</v>
      </c>
      <c r="I1565" s="130">
        <f t="shared" si="16"/>
        <v>45749</v>
      </c>
      <c r="J1565" s="130">
        <v>45748</v>
      </c>
      <c r="K1565" s="29"/>
      <c r="L1565" s="129" t="s">
        <v>483</v>
      </c>
      <c r="M1565" s="29"/>
      <c r="N1565" s="81">
        <v>340</v>
      </c>
    </row>
    <row r="1566" spans="1:14" hidden="1">
      <c r="A1566" s="144" t="s">
        <v>968</v>
      </c>
      <c r="B1566" s="29">
        <v>87503951</v>
      </c>
      <c r="C1566" s="29"/>
      <c r="E1566" s="29" t="s">
        <v>890</v>
      </c>
      <c r="F1566" s="29" t="s">
        <v>129</v>
      </c>
      <c r="G1566" s="29" t="s">
        <v>569</v>
      </c>
      <c r="H1566" s="130">
        <v>45744</v>
      </c>
      <c r="I1566" s="130">
        <f t="shared" si="16"/>
        <v>45749</v>
      </c>
      <c r="J1566" s="130">
        <v>45748</v>
      </c>
      <c r="K1566" s="29"/>
      <c r="L1566" s="129" t="s">
        <v>483</v>
      </c>
      <c r="M1566" s="29"/>
      <c r="N1566" s="81">
        <v>160</v>
      </c>
    </row>
    <row r="1567" spans="1:14" hidden="1">
      <c r="A1567" s="144" t="s">
        <v>968</v>
      </c>
      <c r="B1567" s="29">
        <v>87503962</v>
      </c>
      <c r="C1567" s="29"/>
      <c r="E1567" s="29" t="s">
        <v>890</v>
      </c>
      <c r="F1567" s="29" t="s">
        <v>129</v>
      </c>
      <c r="G1567" s="29" t="s">
        <v>569</v>
      </c>
      <c r="H1567" s="130">
        <v>45744</v>
      </c>
      <c r="I1567" s="130">
        <f t="shared" si="16"/>
        <v>45749</v>
      </c>
      <c r="J1567" s="130">
        <v>45748</v>
      </c>
      <c r="K1567" s="29"/>
      <c r="L1567" s="129" t="s">
        <v>483</v>
      </c>
      <c r="M1567" s="29"/>
      <c r="N1567" s="81">
        <v>540</v>
      </c>
    </row>
    <row r="1568" spans="1:14" hidden="1">
      <c r="A1568" s="144" t="s">
        <v>968</v>
      </c>
      <c r="B1568" s="29">
        <v>87503962</v>
      </c>
      <c r="C1568" s="29"/>
      <c r="E1568" s="29" t="s">
        <v>890</v>
      </c>
      <c r="F1568" s="29" t="s">
        <v>129</v>
      </c>
      <c r="G1568" s="29" t="s">
        <v>569</v>
      </c>
      <c r="H1568" s="130">
        <v>45744</v>
      </c>
      <c r="I1568" s="130">
        <f t="shared" si="16"/>
        <v>45749</v>
      </c>
      <c r="J1568" s="130">
        <v>45748</v>
      </c>
      <c r="K1568" s="29"/>
      <c r="L1568" s="129" t="s">
        <v>483</v>
      </c>
      <c r="M1568" s="29"/>
      <c r="N1568" s="81">
        <v>130</v>
      </c>
    </row>
    <row r="1569" spans="1:15" hidden="1">
      <c r="A1569" s="144" t="s">
        <v>968</v>
      </c>
      <c r="B1569" s="29">
        <v>87503976</v>
      </c>
      <c r="C1569" s="29"/>
      <c r="E1569" s="29" t="s">
        <v>890</v>
      </c>
      <c r="F1569" s="29" t="s">
        <v>129</v>
      </c>
      <c r="G1569" s="29" t="s">
        <v>569</v>
      </c>
      <c r="H1569" s="130">
        <v>45744</v>
      </c>
      <c r="I1569" s="130">
        <f t="shared" si="16"/>
        <v>45749</v>
      </c>
      <c r="J1569" s="130">
        <v>45748</v>
      </c>
      <c r="K1569" s="29"/>
      <c r="L1569" s="129" t="s">
        <v>483</v>
      </c>
      <c r="M1569" s="29"/>
      <c r="N1569" s="81">
        <v>140</v>
      </c>
    </row>
    <row r="1570" spans="1:15" hidden="1">
      <c r="A1570" s="144" t="s">
        <v>968</v>
      </c>
      <c r="B1570" s="29">
        <v>87503989</v>
      </c>
      <c r="C1570" s="29"/>
      <c r="E1570" s="29" t="s">
        <v>890</v>
      </c>
      <c r="F1570" s="29" t="s">
        <v>129</v>
      </c>
      <c r="G1570" s="29" t="s">
        <v>569</v>
      </c>
      <c r="H1570" s="130">
        <v>45744</v>
      </c>
      <c r="I1570" s="130">
        <f t="shared" si="16"/>
        <v>45749</v>
      </c>
      <c r="J1570" s="130">
        <v>45748</v>
      </c>
      <c r="K1570" s="29"/>
      <c r="L1570" s="129" t="s">
        <v>483</v>
      </c>
      <c r="M1570" s="29"/>
      <c r="N1570" s="81">
        <v>140</v>
      </c>
    </row>
    <row r="1571" spans="1:15" hidden="1">
      <c r="A1571" s="144" t="s">
        <v>969</v>
      </c>
      <c r="B1571" s="29">
        <v>91503998</v>
      </c>
      <c r="C1571" s="29"/>
      <c r="E1571" s="29" t="s">
        <v>960</v>
      </c>
      <c r="F1571" s="29" t="s">
        <v>129</v>
      </c>
      <c r="G1571" s="29" t="s">
        <v>38</v>
      </c>
      <c r="H1571" s="130">
        <v>45748</v>
      </c>
      <c r="I1571" s="130">
        <f t="shared" si="16"/>
        <v>45751</v>
      </c>
      <c r="J1571" s="29"/>
      <c r="K1571" s="29"/>
      <c r="L1571" s="129" t="s">
        <v>483</v>
      </c>
      <c r="M1571" s="29"/>
      <c r="N1571" s="81"/>
      <c r="O1571" s="144" t="s">
        <v>961</v>
      </c>
    </row>
    <row r="1572" spans="1:15" hidden="1">
      <c r="A1572" s="144" t="s">
        <v>969</v>
      </c>
      <c r="B1572" s="29">
        <v>91504092</v>
      </c>
      <c r="C1572" s="29"/>
      <c r="E1572" s="29" t="s">
        <v>960</v>
      </c>
      <c r="F1572" s="29" t="s">
        <v>129</v>
      </c>
      <c r="G1572" s="29" t="s">
        <v>38</v>
      </c>
      <c r="H1572" s="130">
        <v>45748</v>
      </c>
      <c r="I1572" s="130">
        <f t="shared" si="16"/>
        <v>45751</v>
      </c>
      <c r="J1572" s="29"/>
      <c r="K1572" s="29"/>
      <c r="L1572" s="129" t="s">
        <v>483</v>
      </c>
      <c r="M1572" s="29"/>
      <c r="N1572" s="81"/>
      <c r="O1572" s="144" t="s">
        <v>961</v>
      </c>
    </row>
    <row r="1573" spans="1:15" hidden="1">
      <c r="A1573" s="144" t="s">
        <v>969</v>
      </c>
      <c r="B1573" s="29">
        <v>91504312</v>
      </c>
      <c r="C1573" s="29"/>
      <c r="E1573" s="29" t="s">
        <v>960</v>
      </c>
      <c r="F1573" s="29" t="s">
        <v>129</v>
      </c>
      <c r="G1573" s="29" t="s">
        <v>38</v>
      </c>
      <c r="H1573" s="130">
        <v>45748</v>
      </c>
      <c r="I1573" s="130">
        <f t="shared" si="16"/>
        <v>45751</v>
      </c>
      <c r="J1573" s="29"/>
      <c r="K1573" s="29"/>
      <c r="L1573" s="129" t="s">
        <v>483</v>
      </c>
      <c r="M1573" s="29"/>
      <c r="N1573" s="81"/>
      <c r="O1573" s="144" t="s">
        <v>961</v>
      </c>
    </row>
    <row r="1574" spans="1:15" hidden="1">
      <c r="A1574" s="144" t="s">
        <v>969</v>
      </c>
      <c r="B1574" s="29">
        <v>91504430</v>
      </c>
      <c r="C1574" s="29"/>
      <c r="E1574" s="29" t="s">
        <v>960</v>
      </c>
      <c r="F1574" s="29" t="s">
        <v>129</v>
      </c>
      <c r="G1574" s="29" t="s">
        <v>38</v>
      </c>
      <c r="H1574" s="130">
        <v>45748</v>
      </c>
      <c r="I1574" s="130">
        <f t="shared" si="16"/>
        <v>45751</v>
      </c>
      <c r="J1574" s="29"/>
      <c r="K1574" s="29"/>
      <c r="L1574" s="129" t="s">
        <v>483</v>
      </c>
      <c r="M1574" s="29"/>
      <c r="N1574" s="81"/>
      <c r="O1574" s="144" t="s">
        <v>961</v>
      </c>
    </row>
    <row r="1575" spans="1:15" hidden="1">
      <c r="A1575" s="144" t="s">
        <v>969</v>
      </c>
      <c r="B1575" s="29">
        <v>91504828</v>
      </c>
      <c r="C1575" s="29"/>
      <c r="E1575" s="29" t="s">
        <v>960</v>
      </c>
      <c r="F1575" s="29" t="s">
        <v>129</v>
      </c>
      <c r="G1575" s="29" t="s">
        <v>38</v>
      </c>
      <c r="H1575" s="130">
        <v>45748</v>
      </c>
      <c r="I1575" s="130">
        <f t="shared" si="16"/>
        <v>45751</v>
      </c>
      <c r="J1575" s="29"/>
      <c r="K1575" s="29"/>
      <c r="L1575" s="129" t="s">
        <v>483</v>
      </c>
      <c r="M1575" s="29"/>
      <c r="N1575" s="81"/>
      <c r="O1575" s="144" t="s">
        <v>961</v>
      </c>
    </row>
    <row r="1576" spans="1:15" hidden="1">
      <c r="A1576" s="144" t="s">
        <v>969</v>
      </c>
      <c r="B1576" s="29">
        <v>91505107</v>
      </c>
      <c r="C1576" s="29"/>
      <c r="E1576" s="29" t="s">
        <v>960</v>
      </c>
      <c r="F1576" s="29" t="s">
        <v>129</v>
      </c>
      <c r="G1576" s="29" t="s">
        <v>38</v>
      </c>
      <c r="H1576" s="130">
        <v>45748</v>
      </c>
      <c r="I1576" s="130">
        <f t="shared" si="16"/>
        <v>45751</v>
      </c>
      <c r="J1576" s="29"/>
      <c r="K1576" s="29"/>
      <c r="L1576" s="129" t="s">
        <v>483</v>
      </c>
      <c r="M1576" s="29"/>
      <c r="N1576" s="81"/>
      <c r="O1576" s="144" t="s">
        <v>961</v>
      </c>
    </row>
    <row r="1577" spans="1:15" hidden="1">
      <c r="A1577" s="144" t="s">
        <v>969</v>
      </c>
      <c r="B1577" s="29">
        <v>91505163</v>
      </c>
      <c r="C1577" s="29"/>
      <c r="E1577" s="29" t="s">
        <v>960</v>
      </c>
      <c r="F1577" s="29" t="s">
        <v>129</v>
      </c>
      <c r="G1577" s="29" t="s">
        <v>38</v>
      </c>
      <c r="H1577" s="130">
        <v>45748</v>
      </c>
      <c r="I1577" s="130">
        <f t="shared" si="16"/>
        <v>45751</v>
      </c>
      <c r="J1577" s="29"/>
      <c r="K1577" s="29"/>
      <c r="L1577" s="129" t="s">
        <v>483</v>
      </c>
      <c r="M1577" s="29"/>
      <c r="N1577" s="81"/>
      <c r="O1577" s="144" t="s">
        <v>961</v>
      </c>
    </row>
    <row r="1578" spans="1:15" hidden="1">
      <c r="A1578" s="144" t="s">
        <v>969</v>
      </c>
      <c r="B1578" s="29">
        <v>91505221</v>
      </c>
      <c r="C1578" s="29"/>
      <c r="E1578" s="29" t="s">
        <v>960</v>
      </c>
      <c r="F1578" s="29" t="s">
        <v>129</v>
      </c>
      <c r="G1578" s="29" t="s">
        <v>38</v>
      </c>
      <c r="H1578" s="130">
        <v>45748</v>
      </c>
      <c r="I1578" s="130">
        <f t="shared" si="16"/>
        <v>45751</v>
      </c>
      <c r="J1578" s="29"/>
      <c r="K1578" s="29"/>
      <c r="L1578" s="129" t="s">
        <v>483</v>
      </c>
      <c r="M1578" s="29"/>
      <c r="N1578" s="81"/>
      <c r="O1578" s="144" t="s">
        <v>961</v>
      </c>
    </row>
    <row r="1579" spans="1:15" hidden="1">
      <c r="A1579" s="144" t="s">
        <v>969</v>
      </c>
      <c r="B1579" s="29">
        <v>91505372</v>
      </c>
      <c r="C1579" s="29"/>
      <c r="E1579" s="29" t="s">
        <v>960</v>
      </c>
      <c r="F1579" s="29" t="s">
        <v>129</v>
      </c>
      <c r="G1579" s="29" t="s">
        <v>38</v>
      </c>
      <c r="H1579" s="130">
        <v>45748</v>
      </c>
      <c r="I1579" s="130">
        <f t="shared" si="16"/>
        <v>45751</v>
      </c>
      <c r="J1579" s="29"/>
      <c r="K1579" s="29"/>
      <c r="L1579" s="129" t="s">
        <v>483</v>
      </c>
      <c r="M1579" s="29"/>
      <c r="N1579" s="81"/>
      <c r="O1579" s="144" t="s">
        <v>961</v>
      </c>
    </row>
    <row r="1580" spans="1:15" hidden="1">
      <c r="A1580" s="144" t="s">
        <v>969</v>
      </c>
      <c r="B1580" s="29">
        <v>91505527</v>
      </c>
      <c r="C1580" s="29"/>
      <c r="E1580" s="29" t="s">
        <v>960</v>
      </c>
      <c r="F1580" s="29" t="s">
        <v>129</v>
      </c>
      <c r="G1580" s="29" t="s">
        <v>38</v>
      </c>
      <c r="H1580" s="130">
        <v>45748</v>
      </c>
      <c r="I1580" s="130">
        <f t="shared" si="16"/>
        <v>45751</v>
      </c>
      <c r="J1580" s="29"/>
      <c r="K1580" s="29"/>
      <c r="L1580" s="129" t="s">
        <v>483</v>
      </c>
      <c r="M1580" s="29"/>
      <c r="N1580" s="81"/>
      <c r="O1580" s="144" t="s">
        <v>961</v>
      </c>
    </row>
    <row r="1581" spans="1:15" hidden="1">
      <c r="A1581" s="144" t="s">
        <v>970</v>
      </c>
      <c r="B1581" s="29">
        <v>91504911</v>
      </c>
      <c r="C1581" s="29"/>
      <c r="E1581" s="29" t="s">
        <v>971</v>
      </c>
      <c r="F1581" s="29" t="s">
        <v>129</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129</v>
      </c>
      <c r="G1582" s="29" t="s">
        <v>888</v>
      </c>
      <c r="H1582" s="130">
        <v>45748</v>
      </c>
      <c r="I1582" s="130">
        <f t="shared" si="16"/>
        <v>45751</v>
      </c>
      <c r="J1582" s="130">
        <v>45754</v>
      </c>
      <c r="K1582" s="29"/>
      <c r="L1582" s="129" t="s">
        <v>483</v>
      </c>
      <c r="M1582" s="29"/>
      <c r="N1582" s="81">
        <v>175</v>
      </c>
    </row>
    <row r="1583" spans="1:15" hidden="1">
      <c r="A1583" s="144" t="s">
        <v>973</v>
      </c>
      <c r="B1583" s="29">
        <v>91510180</v>
      </c>
      <c r="C1583" s="29"/>
      <c r="E1583" s="29" t="s">
        <v>887</v>
      </c>
      <c r="F1583" s="29" t="s">
        <v>129</v>
      </c>
      <c r="G1583" s="29" t="s">
        <v>888</v>
      </c>
      <c r="H1583" s="130">
        <v>45748</v>
      </c>
      <c r="I1583" s="130">
        <f t="shared" si="16"/>
        <v>45751</v>
      </c>
      <c r="J1583" s="130">
        <v>45754</v>
      </c>
      <c r="K1583" s="29"/>
      <c r="L1583" s="129" t="s">
        <v>483</v>
      </c>
      <c r="M1583" s="29"/>
      <c r="N1583" s="81">
        <v>135</v>
      </c>
    </row>
    <row r="1584" spans="1:15" hidden="1">
      <c r="A1584" s="144" t="s">
        <v>973</v>
      </c>
      <c r="B1584" s="29">
        <v>91510185</v>
      </c>
      <c r="C1584" s="29"/>
      <c r="E1584" s="29" t="s">
        <v>887</v>
      </c>
      <c r="F1584" s="29" t="s">
        <v>129</v>
      </c>
      <c r="G1584" s="29" t="s">
        <v>888</v>
      </c>
      <c r="H1584" s="130">
        <v>45748</v>
      </c>
      <c r="I1584" s="130">
        <f t="shared" si="16"/>
        <v>45751</v>
      </c>
      <c r="J1584" s="130">
        <v>45754</v>
      </c>
      <c r="K1584" s="29"/>
      <c r="L1584" s="129" t="s">
        <v>483</v>
      </c>
      <c r="M1584" s="29"/>
      <c r="N1584" s="81">
        <v>75</v>
      </c>
    </row>
    <row r="1585" spans="1:15" hidden="1">
      <c r="A1585" s="144" t="s">
        <v>973</v>
      </c>
      <c r="B1585" s="29">
        <v>91510191</v>
      </c>
      <c r="C1585" s="29"/>
      <c r="E1585" s="29" t="s">
        <v>887</v>
      </c>
      <c r="F1585" s="29" t="s">
        <v>129</v>
      </c>
      <c r="G1585" s="29" t="s">
        <v>888</v>
      </c>
      <c r="H1585" s="130">
        <v>45748</v>
      </c>
      <c r="I1585" s="130">
        <f t="shared" si="16"/>
        <v>45751</v>
      </c>
      <c r="J1585" s="130">
        <v>45754</v>
      </c>
      <c r="K1585" s="29"/>
      <c r="L1585" s="129" t="s">
        <v>483</v>
      </c>
      <c r="M1585" s="29"/>
      <c r="N1585" s="81">
        <v>300</v>
      </c>
    </row>
    <row r="1586" spans="1:15" hidden="1">
      <c r="A1586" s="144" t="s">
        <v>973</v>
      </c>
      <c r="B1586" s="29">
        <v>91510198</v>
      </c>
      <c r="C1586" s="29"/>
      <c r="E1586" s="29" t="s">
        <v>887</v>
      </c>
      <c r="F1586" s="29" t="s">
        <v>129</v>
      </c>
      <c r="G1586" s="29" t="s">
        <v>888</v>
      </c>
      <c r="H1586" s="130">
        <v>45748</v>
      </c>
      <c r="I1586" s="130">
        <f t="shared" si="16"/>
        <v>45751</v>
      </c>
      <c r="J1586" s="130">
        <v>45754</v>
      </c>
      <c r="K1586" s="29"/>
      <c r="L1586" s="129" t="s">
        <v>483</v>
      </c>
      <c r="M1586" s="29"/>
      <c r="N1586" s="81">
        <v>700</v>
      </c>
    </row>
    <row r="1587" spans="1:15" hidden="1">
      <c r="A1587" s="144" t="s">
        <v>973</v>
      </c>
      <c r="B1587" s="29">
        <v>91510201</v>
      </c>
      <c r="C1587" s="29"/>
      <c r="E1587" s="29" t="s">
        <v>887</v>
      </c>
      <c r="F1587" s="29" t="s">
        <v>129</v>
      </c>
      <c r="G1587" s="29" t="s">
        <v>888</v>
      </c>
      <c r="H1587" s="130">
        <v>45748</v>
      </c>
      <c r="I1587" s="130">
        <f t="shared" si="16"/>
        <v>45751</v>
      </c>
      <c r="J1587" s="130">
        <v>45754</v>
      </c>
      <c r="K1587" s="29"/>
      <c r="L1587" s="129" t="s">
        <v>483</v>
      </c>
      <c r="M1587" s="29"/>
      <c r="N1587" s="81">
        <v>50</v>
      </c>
    </row>
    <row r="1588" spans="1:15" hidden="1">
      <c r="A1588" s="144" t="s">
        <v>973</v>
      </c>
      <c r="B1588" s="29">
        <v>91510205</v>
      </c>
      <c r="C1588" s="29"/>
      <c r="E1588" s="29" t="s">
        <v>887</v>
      </c>
      <c r="F1588" s="29" t="s">
        <v>129</v>
      </c>
      <c r="G1588" s="29" t="s">
        <v>888</v>
      </c>
      <c r="H1588" s="130">
        <v>45748</v>
      </c>
      <c r="I1588" s="130">
        <f t="shared" si="16"/>
        <v>45751</v>
      </c>
      <c r="J1588" s="130">
        <v>45754</v>
      </c>
      <c r="K1588" s="29"/>
      <c r="L1588" s="129" t="s">
        <v>483</v>
      </c>
      <c r="M1588" s="29"/>
      <c r="N1588" s="81">
        <v>625</v>
      </c>
    </row>
    <row r="1589" spans="1:15" hidden="1">
      <c r="A1589" s="144" t="s">
        <v>973</v>
      </c>
      <c r="B1589" s="29">
        <v>91510212</v>
      </c>
      <c r="C1589" s="29"/>
      <c r="E1589" s="29" t="s">
        <v>887</v>
      </c>
      <c r="F1589" s="29" t="s">
        <v>129</v>
      </c>
      <c r="G1589" s="29" t="s">
        <v>888</v>
      </c>
      <c r="H1589" s="130">
        <v>45748</v>
      </c>
      <c r="I1589" s="130">
        <f t="shared" si="16"/>
        <v>45751</v>
      </c>
      <c r="J1589" s="130">
        <v>45754</v>
      </c>
      <c r="K1589" s="29"/>
      <c r="L1589" s="129" t="s">
        <v>483</v>
      </c>
      <c r="M1589" s="29"/>
      <c r="N1589" s="81">
        <v>325</v>
      </c>
    </row>
    <row r="1590" spans="1:15" hidden="1">
      <c r="A1590" s="144" t="s">
        <v>973</v>
      </c>
      <c r="B1590" s="29">
        <v>91510219</v>
      </c>
      <c r="C1590" s="29"/>
      <c r="E1590" s="29" t="s">
        <v>887</v>
      </c>
      <c r="F1590" s="29" t="s">
        <v>129</v>
      </c>
      <c r="G1590" s="29" t="s">
        <v>888</v>
      </c>
      <c r="H1590" s="130">
        <v>45748</v>
      </c>
      <c r="I1590" s="130">
        <f t="shared" si="16"/>
        <v>45751</v>
      </c>
      <c r="J1590" s="130">
        <v>45754</v>
      </c>
      <c r="K1590" s="29"/>
      <c r="L1590" s="129" t="s">
        <v>483</v>
      </c>
      <c r="M1590" s="29"/>
      <c r="N1590" s="81">
        <v>50</v>
      </c>
    </row>
    <row r="1591" spans="1:15" hidden="1">
      <c r="A1591" s="144" t="s">
        <v>973</v>
      </c>
      <c r="B1591" s="29">
        <v>91510220</v>
      </c>
      <c r="C1591" s="29"/>
      <c r="E1591" s="29" t="s">
        <v>887</v>
      </c>
      <c r="F1591" s="29" t="s">
        <v>129</v>
      </c>
      <c r="G1591" s="29" t="s">
        <v>888</v>
      </c>
      <c r="H1591" s="130">
        <v>45748</v>
      </c>
      <c r="I1591" s="130">
        <f t="shared" si="16"/>
        <v>45751</v>
      </c>
      <c r="J1591" s="130">
        <v>45754</v>
      </c>
      <c r="K1591" s="29"/>
      <c r="L1591" s="129" t="s">
        <v>483</v>
      </c>
      <c r="M1591" s="29"/>
      <c r="N1591" s="81">
        <v>775</v>
      </c>
    </row>
    <row r="1592" spans="1:15" hidden="1">
      <c r="A1592" s="144" t="s">
        <v>973</v>
      </c>
      <c r="B1592" s="29">
        <v>91510228</v>
      </c>
      <c r="C1592" s="29"/>
      <c r="E1592" s="29" t="s">
        <v>887</v>
      </c>
      <c r="F1592" s="29" t="s">
        <v>129</v>
      </c>
      <c r="G1592" s="29" t="s">
        <v>888</v>
      </c>
      <c r="H1592" s="130">
        <v>45748</v>
      </c>
      <c r="I1592" s="130">
        <f t="shared" si="16"/>
        <v>45751</v>
      </c>
      <c r="J1592" s="130">
        <v>45754</v>
      </c>
      <c r="K1592" s="29"/>
      <c r="L1592" s="129" t="s">
        <v>483</v>
      </c>
      <c r="M1592" s="29"/>
      <c r="N1592" s="81">
        <v>50</v>
      </c>
    </row>
    <row r="1593" spans="1:15" hidden="1">
      <c r="A1593" s="144" t="s">
        <v>973</v>
      </c>
      <c r="B1593" s="29">
        <v>91510222</v>
      </c>
      <c r="C1593" s="29"/>
      <c r="E1593" s="29" t="s">
        <v>887</v>
      </c>
      <c r="F1593" s="29" t="s">
        <v>129</v>
      </c>
      <c r="G1593" s="29" t="s">
        <v>888</v>
      </c>
      <c r="H1593" s="130">
        <v>45748</v>
      </c>
      <c r="I1593" s="130">
        <f t="shared" si="16"/>
        <v>45751</v>
      </c>
      <c r="J1593" s="130">
        <v>45754</v>
      </c>
      <c r="K1593" s="29"/>
      <c r="L1593" s="129" t="s">
        <v>483</v>
      </c>
      <c r="M1593" s="29"/>
      <c r="N1593" s="81">
        <v>375</v>
      </c>
    </row>
    <row r="1594" spans="1:15" hidden="1">
      <c r="A1594" s="144" t="s">
        <v>973</v>
      </c>
      <c r="B1594" s="29">
        <v>91510230</v>
      </c>
      <c r="C1594" s="29"/>
      <c r="E1594" s="29" t="s">
        <v>887</v>
      </c>
      <c r="F1594" s="29" t="s">
        <v>129</v>
      </c>
      <c r="G1594" s="29" t="s">
        <v>888</v>
      </c>
      <c r="H1594" s="130">
        <v>45748</v>
      </c>
      <c r="I1594" s="130">
        <f t="shared" si="16"/>
        <v>45751</v>
      </c>
      <c r="J1594" s="130">
        <v>45754</v>
      </c>
      <c r="K1594" s="29"/>
      <c r="L1594" s="129" t="s">
        <v>483</v>
      </c>
      <c r="M1594" s="29"/>
      <c r="N1594" s="81">
        <v>575</v>
      </c>
    </row>
    <row r="1595" spans="1:15" hidden="1">
      <c r="A1595" s="144" t="s">
        <v>973</v>
      </c>
      <c r="B1595" s="29">
        <v>91510232</v>
      </c>
      <c r="C1595" s="29"/>
      <c r="E1595" s="29" t="s">
        <v>887</v>
      </c>
      <c r="F1595" s="29" t="s">
        <v>129</v>
      </c>
      <c r="G1595" s="29" t="s">
        <v>888</v>
      </c>
      <c r="H1595" s="130">
        <v>45748</v>
      </c>
      <c r="I1595" s="130">
        <f t="shared" si="16"/>
        <v>45751</v>
      </c>
      <c r="J1595" s="130">
        <v>45754</v>
      </c>
      <c r="K1595" s="29"/>
      <c r="L1595" s="129" t="s">
        <v>483</v>
      </c>
      <c r="M1595" s="29"/>
      <c r="N1595" s="81">
        <v>50</v>
      </c>
    </row>
    <row r="1596" spans="1:15" hidden="1">
      <c r="A1596" s="144" t="s">
        <v>973</v>
      </c>
      <c r="B1596" s="29">
        <v>91510236</v>
      </c>
      <c r="C1596" s="29"/>
      <c r="E1596" s="29" t="s">
        <v>887</v>
      </c>
      <c r="F1596" s="29" t="s">
        <v>129</v>
      </c>
      <c r="G1596" s="29" t="s">
        <v>888</v>
      </c>
      <c r="H1596" s="130">
        <v>45748</v>
      </c>
      <c r="I1596" s="130">
        <f t="shared" si="16"/>
        <v>45751</v>
      </c>
      <c r="J1596" s="130">
        <v>45754</v>
      </c>
      <c r="K1596" s="29"/>
      <c r="L1596" s="129" t="s">
        <v>483</v>
      </c>
      <c r="M1596" s="29"/>
      <c r="N1596" s="81">
        <v>165</v>
      </c>
    </row>
    <row r="1597" spans="1:15" hidden="1">
      <c r="A1597" s="144" t="s">
        <v>973</v>
      </c>
      <c r="B1597" s="29">
        <v>91510237</v>
      </c>
      <c r="C1597" s="29"/>
      <c r="E1597" s="29" t="s">
        <v>887</v>
      </c>
      <c r="F1597" s="29" t="s">
        <v>129</v>
      </c>
      <c r="G1597" s="29" t="s">
        <v>888</v>
      </c>
      <c r="H1597" s="130">
        <v>45748</v>
      </c>
      <c r="I1597" s="130">
        <f t="shared" si="16"/>
        <v>45751</v>
      </c>
      <c r="J1597" s="130">
        <v>45754</v>
      </c>
      <c r="K1597" s="29"/>
      <c r="L1597" s="129" t="s">
        <v>483</v>
      </c>
      <c r="M1597" s="29"/>
      <c r="N1597" s="81">
        <v>700</v>
      </c>
    </row>
    <row r="1598" spans="1:15" hidden="1">
      <c r="A1598" s="144" t="s">
        <v>973</v>
      </c>
      <c r="B1598" s="29">
        <v>91510241</v>
      </c>
      <c r="C1598" s="29"/>
      <c r="E1598" s="29" t="s">
        <v>887</v>
      </c>
      <c r="F1598" s="29" t="s">
        <v>129</v>
      </c>
      <c r="G1598" s="29" t="s">
        <v>888</v>
      </c>
      <c r="H1598" s="130">
        <v>45748</v>
      </c>
      <c r="I1598" s="130">
        <f t="shared" si="16"/>
        <v>45751</v>
      </c>
      <c r="J1598" s="130">
        <v>45754</v>
      </c>
      <c r="K1598" s="29"/>
      <c r="L1598" s="129" t="s">
        <v>483</v>
      </c>
      <c r="M1598" s="29"/>
      <c r="N1598" s="81">
        <v>50</v>
      </c>
    </row>
    <row r="1599" spans="1:15" hidden="1">
      <c r="A1599" s="144" t="s">
        <v>973</v>
      </c>
      <c r="B1599" s="29">
        <v>91510244</v>
      </c>
      <c r="C1599" s="29"/>
      <c r="E1599" s="29" t="s">
        <v>887</v>
      </c>
      <c r="F1599" s="29" t="s">
        <v>129</v>
      </c>
      <c r="G1599" s="29" t="s">
        <v>888</v>
      </c>
      <c r="H1599" s="130">
        <v>45748</v>
      </c>
      <c r="I1599" s="130">
        <f t="shared" si="16"/>
        <v>45751</v>
      </c>
      <c r="J1599" s="130">
        <v>45754</v>
      </c>
      <c r="K1599" s="29"/>
      <c r="L1599" s="129" t="s">
        <v>483</v>
      </c>
      <c r="M1599" s="29"/>
      <c r="N1599" s="81">
        <v>725</v>
      </c>
    </row>
    <row r="1600" spans="1:15" hidden="1">
      <c r="A1600" s="144" t="s">
        <v>963</v>
      </c>
      <c r="B1600" s="29">
        <v>92500131</v>
      </c>
      <c r="C1600" s="29"/>
      <c r="E1600" s="29" t="s">
        <v>960</v>
      </c>
      <c r="F1600" s="29" t="s">
        <v>129</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129</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129</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129</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129</v>
      </c>
      <c r="G1604" s="29" t="s">
        <v>38</v>
      </c>
      <c r="H1604" s="130">
        <v>45749</v>
      </c>
      <c r="I1604" s="130">
        <f t="shared" si="16"/>
        <v>45754</v>
      </c>
      <c r="J1604" s="130"/>
      <c r="K1604" s="29"/>
      <c r="L1604" s="129" t="s">
        <v>783</v>
      </c>
      <c r="M1604" s="29"/>
      <c r="N1604" s="81">
        <v>700</v>
      </c>
      <c r="O1604" s="144" t="s">
        <v>961</v>
      </c>
    </row>
    <row r="1605" spans="1:15" hidden="1">
      <c r="A1605" s="144" t="s">
        <v>344</v>
      </c>
      <c r="B1605" s="29">
        <v>105505465</v>
      </c>
      <c r="C1605" s="29"/>
      <c r="E1605" s="29" t="s">
        <v>960</v>
      </c>
      <c r="F1605" s="29" t="s">
        <v>129</v>
      </c>
      <c r="G1605" s="29" t="s">
        <v>38</v>
      </c>
      <c r="H1605" s="130">
        <v>45763</v>
      </c>
      <c r="I1605" s="130">
        <f t="shared" si="16"/>
        <v>45768</v>
      </c>
      <c r="J1605" s="29"/>
      <c r="K1605" s="29"/>
      <c r="L1605" s="129" t="s">
        <v>885</v>
      </c>
      <c r="M1605" s="29"/>
      <c r="N1605" s="81">
        <v>80</v>
      </c>
      <c r="O1605" s="144" t="s">
        <v>974</v>
      </c>
    </row>
    <row r="1606" spans="1:15" hidden="1">
      <c r="A1606" s="144" t="s">
        <v>344</v>
      </c>
      <c r="B1606" s="29">
        <v>106500966</v>
      </c>
      <c r="C1606" s="29"/>
      <c r="E1606" s="29" t="s">
        <v>960</v>
      </c>
      <c r="F1606" s="29" t="s">
        <v>129</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129</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129</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129</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129</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129</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129</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129</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129</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129</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129</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129</v>
      </c>
      <c r="G1617" s="29" t="s">
        <v>888</v>
      </c>
      <c r="H1617" s="130">
        <v>45744</v>
      </c>
      <c r="I1617" s="130">
        <f t="shared" si="17"/>
        <v>45749</v>
      </c>
      <c r="J1617" s="130">
        <v>45748</v>
      </c>
      <c r="K1617" s="29"/>
      <c r="L1617" s="129" t="s">
        <v>483</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483</v>
      </c>
      <c r="M1618" s="29"/>
      <c r="N1618" s="81">
        <v>280</v>
      </c>
      <c r="T1618" s="134" t="s">
        <v>978</v>
      </c>
    </row>
    <row r="1619" spans="1:20" hidden="1">
      <c r="A1619" s="144" t="s">
        <v>976</v>
      </c>
      <c r="B1619" s="29">
        <v>87500017</v>
      </c>
      <c r="C1619" s="29"/>
      <c r="E1619" s="29" t="s">
        <v>887</v>
      </c>
      <c r="F1619" s="29" t="s">
        <v>129</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129</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129</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129</v>
      </c>
      <c r="G1622" s="29" t="s">
        <v>980</v>
      </c>
      <c r="H1622" s="130">
        <v>45744</v>
      </c>
      <c r="I1622" s="130">
        <f t="shared" si="17"/>
        <v>45749</v>
      </c>
      <c r="J1622" s="130">
        <v>45748</v>
      </c>
      <c r="K1622" s="29"/>
      <c r="L1622" s="129" t="s">
        <v>483</v>
      </c>
      <c r="M1622" s="29"/>
      <c r="N1622" s="81"/>
    </row>
    <row r="1623" spans="1:20" hidden="1">
      <c r="A1623" s="144" t="s">
        <v>969</v>
      </c>
      <c r="B1623" s="29">
        <v>87504218</v>
      </c>
      <c r="C1623" s="29"/>
      <c r="E1623" s="29" t="s">
        <v>871</v>
      </c>
      <c r="F1623" s="29" t="s">
        <v>129</v>
      </c>
      <c r="G1623" s="29" t="s">
        <v>980</v>
      </c>
      <c r="H1623" s="130">
        <v>45744</v>
      </c>
      <c r="I1623" s="130">
        <f t="shared" si="17"/>
        <v>45749</v>
      </c>
      <c r="J1623" s="130">
        <v>45748</v>
      </c>
      <c r="K1623" s="29"/>
      <c r="L1623" s="129" t="s">
        <v>483</v>
      </c>
      <c r="M1623" s="29"/>
      <c r="N1623" s="81"/>
    </row>
    <row r="1624" spans="1:20" hidden="1">
      <c r="A1624" s="144" t="s">
        <v>981</v>
      </c>
      <c r="B1624" s="29">
        <v>86505581</v>
      </c>
      <c r="C1624" s="29"/>
      <c r="E1624" s="29" t="s">
        <v>879</v>
      </c>
      <c r="F1624" s="29" t="s">
        <v>129</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129</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129</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129</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129</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129</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129</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129</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129</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129</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129</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129</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129</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129</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129</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129</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129</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129</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129</v>
      </c>
      <c r="G1642" s="29" t="s">
        <v>980</v>
      </c>
      <c r="H1642" s="130">
        <v>45744</v>
      </c>
      <c r="I1642" s="130">
        <f t="shared" si="17"/>
        <v>45749</v>
      </c>
      <c r="J1642" s="130">
        <v>45748</v>
      </c>
      <c r="K1642" s="29"/>
      <c r="L1642" s="129" t="s">
        <v>483</v>
      </c>
      <c r="M1642" s="29"/>
      <c r="N1642" s="81"/>
    </row>
    <row r="1643" spans="1:15" hidden="1">
      <c r="A1643" s="144" t="s">
        <v>969</v>
      </c>
      <c r="B1643" s="29">
        <v>87503956</v>
      </c>
      <c r="C1643" s="29"/>
      <c r="E1643" s="29" t="s">
        <v>871</v>
      </c>
      <c r="F1643" s="29" t="s">
        <v>129</v>
      </c>
      <c r="G1643" s="29" t="s">
        <v>980</v>
      </c>
      <c r="H1643" s="130">
        <v>45744</v>
      </c>
      <c r="I1643" s="130">
        <f t="shared" si="17"/>
        <v>45749</v>
      </c>
      <c r="J1643" s="130">
        <v>45748</v>
      </c>
      <c r="K1643" s="29"/>
      <c r="L1643" s="129" t="s">
        <v>483</v>
      </c>
      <c r="M1643" s="29"/>
      <c r="N1643" s="81"/>
    </row>
    <row r="1644" spans="1:15" hidden="1">
      <c r="A1644" s="144" t="s">
        <v>969</v>
      </c>
      <c r="B1644" s="29">
        <v>87503988</v>
      </c>
      <c r="C1644" s="29"/>
      <c r="E1644" s="29" t="s">
        <v>871</v>
      </c>
      <c r="F1644" s="29" t="s">
        <v>129</v>
      </c>
      <c r="G1644" s="29" t="s">
        <v>980</v>
      </c>
      <c r="H1644" s="130">
        <v>45744</v>
      </c>
      <c r="I1644" s="130">
        <f t="shared" si="17"/>
        <v>45749</v>
      </c>
      <c r="J1644" s="130">
        <v>45748</v>
      </c>
      <c r="K1644" s="29"/>
      <c r="L1644" s="129" t="s">
        <v>483</v>
      </c>
      <c r="M1644" s="29"/>
      <c r="N1644" s="81"/>
    </row>
    <row r="1645" spans="1:15" hidden="1">
      <c r="A1645" s="144" t="s">
        <v>969</v>
      </c>
      <c r="B1645" s="29">
        <v>87504020</v>
      </c>
      <c r="C1645" s="29"/>
      <c r="E1645" s="29" t="s">
        <v>871</v>
      </c>
      <c r="F1645" s="29" t="s">
        <v>129</v>
      </c>
      <c r="G1645" s="29" t="s">
        <v>980</v>
      </c>
      <c r="H1645" s="130">
        <v>45744</v>
      </c>
      <c r="I1645" s="130">
        <f t="shared" si="17"/>
        <v>45749</v>
      </c>
      <c r="J1645" s="130">
        <v>45748</v>
      </c>
      <c r="K1645" s="29"/>
      <c r="L1645" s="129" t="s">
        <v>483</v>
      </c>
      <c r="M1645" s="29"/>
      <c r="N1645" s="81"/>
    </row>
    <row r="1646" spans="1:15" hidden="1">
      <c r="A1646" s="144" t="s">
        <v>969</v>
      </c>
      <c r="B1646" s="29">
        <v>87504036</v>
      </c>
      <c r="C1646" s="29"/>
      <c r="E1646" s="29" t="s">
        <v>871</v>
      </c>
      <c r="F1646" s="29" t="s">
        <v>129</v>
      </c>
      <c r="G1646" s="29" t="s">
        <v>980</v>
      </c>
      <c r="H1646" s="130">
        <v>45744</v>
      </c>
      <c r="I1646" s="130">
        <f t="shared" si="17"/>
        <v>45749</v>
      </c>
      <c r="J1646" s="130">
        <v>45748</v>
      </c>
      <c r="K1646" s="29"/>
      <c r="L1646" s="129" t="s">
        <v>483</v>
      </c>
      <c r="M1646" s="29"/>
      <c r="N1646" s="81"/>
    </row>
    <row r="1647" spans="1:15" hidden="1">
      <c r="A1647" s="144" t="s">
        <v>969</v>
      </c>
      <c r="B1647" s="29">
        <v>87503877</v>
      </c>
      <c r="C1647" s="29"/>
      <c r="E1647" s="29" t="s">
        <v>871</v>
      </c>
      <c r="F1647" s="29" t="s">
        <v>129</v>
      </c>
      <c r="G1647" s="29" t="s">
        <v>980</v>
      </c>
      <c r="H1647" s="130">
        <v>45744</v>
      </c>
      <c r="I1647" s="130">
        <f t="shared" si="17"/>
        <v>45749</v>
      </c>
      <c r="J1647" s="130">
        <v>45748</v>
      </c>
      <c r="K1647" s="29"/>
      <c r="L1647" s="129" t="s">
        <v>483</v>
      </c>
      <c r="M1647" s="29"/>
      <c r="N1647" s="81"/>
      <c r="O1647" s="144" t="s">
        <v>985</v>
      </c>
    </row>
    <row r="1648" spans="1:15" hidden="1">
      <c r="A1648" s="144" t="s">
        <v>986</v>
      </c>
      <c r="B1648" s="29">
        <v>63509931</v>
      </c>
      <c r="C1648" s="29"/>
      <c r="E1648" s="29" t="s">
        <v>887</v>
      </c>
      <c r="F1648" s="29" t="s">
        <v>129</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129</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129</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129</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129</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129</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129</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129</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129</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129</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129</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129</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129</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129</v>
      </c>
      <c r="G1661" s="29" t="s">
        <v>569</v>
      </c>
      <c r="H1661" s="130">
        <v>45762</v>
      </c>
      <c r="I1661" s="130">
        <f t="shared" si="17"/>
        <v>45765</v>
      </c>
      <c r="J1661" s="29"/>
      <c r="K1661" s="29"/>
      <c r="L1661" s="129" t="s">
        <v>483</v>
      </c>
      <c r="M1661" s="29"/>
      <c r="N1661" s="81">
        <v>650</v>
      </c>
      <c r="O1661" s="144" t="s">
        <v>989</v>
      </c>
    </row>
    <row r="1662" spans="1:15" hidden="1">
      <c r="A1662" s="144" t="s">
        <v>988</v>
      </c>
      <c r="B1662" s="29">
        <v>106501037</v>
      </c>
      <c r="C1662" s="29"/>
      <c r="E1662" s="29" t="s">
        <v>890</v>
      </c>
      <c r="F1662" s="29" t="s">
        <v>129</v>
      </c>
      <c r="G1662" s="29" t="s">
        <v>569</v>
      </c>
      <c r="H1662" s="130">
        <v>45762</v>
      </c>
      <c r="I1662" s="130">
        <f t="shared" si="17"/>
        <v>45765</v>
      </c>
      <c r="J1662" s="29"/>
      <c r="K1662" s="29"/>
      <c r="L1662" s="129" t="s">
        <v>483</v>
      </c>
      <c r="M1662" s="29"/>
      <c r="N1662" s="81">
        <v>320</v>
      </c>
      <c r="O1662" s="144" t="s">
        <v>989</v>
      </c>
    </row>
    <row r="1663" spans="1:15" hidden="1">
      <c r="A1663" s="144" t="s">
        <v>988</v>
      </c>
      <c r="B1663" s="29">
        <v>106501173</v>
      </c>
      <c r="C1663" s="29"/>
      <c r="E1663" s="29" t="s">
        <v>890</v>
      </c>
      <c r="F1663" s="29" t="s">
        <v>129</v>
      </c>
      <c r="G1663" s="29" t="s">
        <v>569</v>
      </c>
      <c r="H1663" s="130">
        <v>45762</v>
      </c>
      <c r="I1663" s="130">
        <f t="shared" si="17"/>
        <v>45765</v>
      </c>
      <c r="J1663" s="29"/>
      <c r="K1663" s="29"/>
      <c r="L1663" s="129" t="s">
        <v>483</v>
      </c>
      <c r="M1663" s="29"/>
      <c r="N1663" s="81">
        <v>630</v>
      </c>
      <c r="O1663" s="144" t="s">
        <v>989</v>
      </c>
    </row>
    <row r="1664" spans="1:15" hidden="1">
      <c r="A1664" s="144" t="s">
        <v>988</v>
      </c>
      <c r="B1664" s="29">
        <v>106501213</v>
      </c>
      <c r="C1664" s="29"/>
      <c r="E1664" s="29" t="s">
        <v>890</v>
      </c>
      <c r="F1664" s="29" t="s">
        <v>129</v>
      </c>
      <c r="G1664" s="29" t="s">
        <v>569</v>
      </c>
      <c r="H1664" s="130">
        <v>45762</v>
      </c>
      <c r="I1664" s="130">
        <f t="shared" si="17"/>
        <v>45765</v>
      </c>
      <c r="J1664" s="29"/>
      <c r="K1664" s="29"/>
      <c r="L1664" s="129" t="s">
        <v>483</v>
      </c>
      <c r="M1664" s="29"/>
      <c r="N1664" s="81">
        <v>280</v>
      </c>
      <c r="O1664" s="144" t="s">
        <v>990</v>
      </c>
    </row>
    <row r="1665" spans="1:15" hidden="1">
      <c r="A1665" s="144" t="s">
        <v>988</v>
      </c>
      <c r="B1665" s="29">
        <v>106501268</v>
      </c>
      <c r="C1665" s="29"/>
      <c r="E1665" s="29" t="s">
        <v>890</v>
      </c>
      <c r="F1665" s="29" t="s">
        <v>129</v>
      </c>
      <c r="G1665" s="29" t="s">
        <v>569</v>
      </c>
      <c r="H1665" s="130">
        <v>45762</v>
      </c>
      <c r="I1665" s="130">
        <f t="shared" si="17"/>
        <v>45765</v>
      </c>
      <c r="J1665" s="29"/>
      <c r="K1665" s="29"/>
      <c r="L1665" s="129" t="s">
        <v>483</v>
      </c>
      <c r="M1665" s="29"/>
      <c r="N1665" s="81">
        <v>360</v>
      </c>
      <c r="O1665" s="144" t="s">
        <v>990</v>
      </c>
    </row>
    <row r="1666" spans="1:15" hidden="1">
      <c r="A1666" s="144" t="s">
        <v>988</v>
      </c>
      <c r="B1666" s="29">
        <v>106501323</v>
      </c>
      <c r="C1666" s="29"/>
      <c r="E1666" s="29" t="s">
        <v>890</v>
      </c>
      <c r="F1666" s="29" t="s">
        <v>129</v>
      </c>
      <c r="G1666" s="29" t="s">
        <v>569</v>
      </c>
      <c r="H1666" s="130">
        <v>45762</v>
      </c>
      <c r="I1666" s="130">
        <f t="shared" si="17"/>
        <v>45765</v>
      </c>
      <c r="J1666" s="29"/>
      <c r="K1666" s="29"/>
      <c r="L1666" s="129" t="s">
        <v>483</v>
      </c>
      <c r="M1666" s="29"/>
      <c r="N1666" s="81">
        <v>760</v>
      </c>
      <c r="O1666" s="144" t="s">
        <v>989</v>
      </c>
    </row>
    <row r="1667" spans="1:15" hidden="1">
      <c r="A1667" s="144" t="s">
        <v>988</v>
      </c>
      <c r="B1667" s="29">
        <v>106501037</v>
      </c>
      <c r="C1667" s="29"/>
      <c r="E1667" s="29" t="s">
        <v>890</v>
      </c>
      <c r="F1667" s="29" t="s">
        <v>129</v>
      </c>
      <c r="G1667" s="29" t="s">
        <v>569</v>
      </c>
      <c r="H1667" s="130">
        <v>45762</v>
      </c>
      <c r="I1667" s="130">
        <f t="shared" si="17"/>
        <v>45765</v>
      </c>
      <c r="J1667" s="29"/>
      <c r="K1667" s="29"/>
      <c r="L1667" s="129" t="s">
        <v>483</v>
      </c>
      <c r="M1667" s="29"/>
      <c r="N1667" s="81">
        <v>310</v>
      </c>
      <c r="O1667" s="144" t="s">
        <v>989</v>
      </c>
    </row>
    <row r="1668" spans="1:15" hidden="1">
      <c r="A1668" s="144" t="s">
        <v>988</v>
      </c>
      <c r="B1668" s="29">
        <v>106501437</v>
      </c>
      <c r="C1668" s="29"/>
      <c r="E1668" s="29" t="s">
        <v>890</v>
      </c>
      <c r="F1668" s="29" t="s">
        <v>129</v>
      </c>
      <c r="G1668" s="29" t="s">
        <v>569</v>
      </c>
      <c r="H1668" s="130">
        <v>45762</v>
      </c>
      <c r="I1668" s="130">
        <f t="shared" si="17"/>
        <v>45765</v>
      </c>
      <c r="J1668" s="29"/>
      <c r="K1668" s="29"/>
      <c r="L1668" s="129" t="s">
        <v>483</v>
      </c>
      <c r="M1668" s="29"/>
      <c r="N1668" s="81">
        <v>540</v>
      </c>
      <c r="O1668" s="144" t="s">
        <v>989</v>
      </c>
    </row>
    <row r="1669" spans="1:15" hidden="1">
      <c r="A1669" s="144" t="s">
        <v>988</v>
      </c>
      <c r="B1669" s="29">
        <v>106501554</v>
      </c>
      <c r="C1669" s="29"/>
      <c r="E1669" s="29" t="s">
        <v>890</v>
      </c>
      <c r="F1669" s="29" t="s">
        <v>129</v>
      </c>
      <c r="G1669" s="29" t="s">
        <v>569</v>
      </c>
      <c r="H1669" s="130">
        <v>45762</v>
      </c>
      <c r="I1669" s="130">
        <f t="shared" si="17"/>
        <v>45765</v>
      </c>
      <c r="J1669" s="29"/>
      <c r="K1669" s="29"/>
      <c r="L1669" s="129" t="s">
        <v>483</v>
      </c>
      <c r="M1669" s="29"/>
      <c r="N1669" s="81">
        <v>320</v>
      </c>
      <c r="O1669" s="144" t="s">
        <v>991</v>
      </c>
    </row>
    <row r="1670" spans="1:15" hidden="1">
      <c r="A1670" s="144" t="s">
        <v>988</v>
      </c>
      <c r="B1670" s="29">
        <v>106501687</v>
      </c>
      <c r="C1670" s="29"/>
      <c r="E1670" s="29" t="s">
        <v>890</v>
      </c>
      <c r="F1670" s="29" t="s">
        <v>129</v>
      </c>
      <c r="G1670" s="29" t="s">
        <v>569</v>
      </c>
      <c r="H1670" s="130">
        <v>45762</v>
      </c>
      <c r="I1670" s="130">
        <f t="shared" si="17"/>
        <v>45765</v>
      </c>
      <c r="J1670" s="29"/>
      <c r="K1670" s="29"/>
      <c r="L1670" s="129" t="s">
        <v>483</v>
      </c>
      <c r="M1670" s="29"/>
      <c r="N1670" s="81">
        <v>110</v>
      </c>
      <c r="O1670" s="144" t="s">
        <v>990</v>
      </c>
    </row>
    <row r="1671" spans="1:15" hidden="1">
      <c r="A1671" s="144" t="s">
        <v>988</v>
      </c>
      <c r="B1671" s="29">
        <v>106501769</v>
      </c>
      <c r="C1671" s="29"/>
      <c r="E1671" s="29" t="s">
        <v>890</v>
      </c>
      <c r="F1671" s="29" t="s">
        <v>129</v>
      </c>
      <c r="G1671" s="29" t="s">
        <v>569</v>
      </c>
      <c r="H1671" s="130">
        <v>45762</v>
      </c>
      <c r="I1671" s="130">
        <f t="shared" si="17"/>
        <v>45765</v>
      </c>
      <c r="J1671" s="29"/>
      <c r="K1671" s="29"/>
      <c r="L1671" s="129" t="s">
        <v>483</v>
      </c>
      <c r="M1671" s="29"/>
      <c r="N1671" s="81">
        <v>410</v>
      </c>
    </row>
    <row r="1672" spans="1:15" hidden="1">
      <c r="A1672" s="144" t="s">
        <v>988</v>
      </c>
      <c r="B1672" s="29">
        <v>106501916</v>
      </c>
      <c r="C1672" s="29"/>
      <c r="E1672" s="29" t="s">
        <v>890</v>
      </c>
      <c r="F1672" s="29" t="s">
        <v>129</v>
      </c>
      <c r="G1672" s="29" t="s">
        <v>569</v>
      </c>
      <c r="H1672" s="130">
        <v>45762</v>
      </c>
      <c r="I1672" s="130">
        <f t="shared" si="17"/>
        <v>45765</v>
      </c>
      <c r="J1672" s="29"/>
      <c r="K1672" s="29"/>
      <c r="L1672" s="129" t="s">
        <v>483</v>
      </c>
      <c r="M1672" s="29"/>
      <c r="N1672" s="81">
        <v>270</v>
      </c>
    </row>
    <row r="1673" spans="1:15" hidden="1">
      <c r="A1673" s="144" t="s">
        <v>988</v>
      </c>
      <c r="B1673" s="29">
        <v>106501285</v>
      </c>
      <c r="C1673" s="29"/>
      <c r="E1673" s="29" t="s">
        <v>960</v>
      </c>
      <c r="F1673" s="29" t="s">
        <v>129</v>
      </c>
      <c r="G1673" s="29" t="s">
        <v>38</v>
      </c>
      <c r="H1673" s="130">
        <v>45763</v>
      </c>
      <c r="I1673" s="130">
        <f t="shared" si="17"/>
        <v>45768</v>
      </c>
      <c r="J1673" s="130">
        <v>45763</v>
      </c>
      <c r="K1673" s="29"/>
      <c r="L1673" s="129" t="s">
        <v>483</v>
      </c>
      <c r="M1673" s="29"/>
      <c r="N1673" s="81">
        <v>650</v>
      </c>
      <c r="O1673" s="144" t="s">
        <v>991</v>
      </c>
    </row>
    <row r="1674" spans="1:15" hidden="1">
      <c r="A1674" s="144" t="s">
        <v>976</v>
      </c>
      <c r="B1674" s="29">
        <v>87500009</v>
      </c>
      <c r="C1674" s="29"/>
      <c r="E1674" s="29" t="s">
        <v>887</v>
      </c>
      <c r="F1674" s="29" t="s">
        <v>129</v>
      </c>
      <c r="G1674" s="29" t="s">
        <v>888</v>
      </c>
      <c r="H1674" s="130">
        <v>45744</v>
      </c>
      <c r="I1674" s="130">
        <f t="shared" si="17"/>
        <v>45749</v>
      </c>
      <c r="J1674" s="130">
        <v>45748</v>
      </c>
      <c r="K1674" s="29"/>
      <c r="L1674" s="129" t="s">
        <v>483</v>
      </c>
      <c r="M1674" s="29"/>
      <c r="N1674" s="81">
        <v>250</v>
      </c>
    </row>
    <row r="1675" spans="1:15" hidden="1">
      <c r="A1675" s="144" t="s">
        <v>976</v>
      </c>
      <c r="B1675" s="29">
        <v>87500007</v>
      </c>
      <c r="C1675" s="29"/>
      <c r="E1675" s="29" t="s">
        <v>887</v>
      </c>
      <c r="F1675" s="29" t="s">
        <v>129</v>
      </c>
      <c r="G1675" s="29" t="s">
        <v>888</v>
      </c>
      <c r="H1675" s="130">
        <v>45744</v>
      </c>
      <c r="I1675" s="130">
        <f t="shared" si="17"/>
        <v>45749</v>
      </c>
      <c r="J1675" s="130">
        <v>45748</v>
      </c>
      <c r="K1675" s="29"/>
      <c r="L1675" s="129" t="s">
        <v>483</v>
      </c>
      <c r="M1675" s="29"/>
      <c r="N1675" s="81">
        <v>165</v>
      </c>
    </row>
    <row r="1676" spans="1:15" hidden="1">
      <c r="A1676" s="144" t="s">
        <v>976</v>
      </c>
      <c r="B1676" s="29">
        <v>87500002</v>
      </c>
      <c r="C1676" s="29"/>
      <c r="E1676" s="29" t="s">
        <v>887</v>
      </c>
      <c r="F1676" s="29" t="s">
        <v>129</v>
      </c>
      <c r="G1676" s="29" t="s">
        <v>888</v>
      </c>
      <c r="H1676" s="130">
        <v>45744</v>
      </c>
      <c r="I1676" s="130">
        <f t="shared" ref="I1676:I1739" si="18">WORKDAY(H1676, 3)</f>
        <v>45749</v>
      </c>
      <c r="J1676" s="130">
        <v>45748</v>
      </c>
      <c r="K1676" s="29"/>
      <c r="L1676" s="129" t="s">
        <v>483</v>
      </c>
      <c r="M1676" s="29"/>
      <c r="N1676" s="81">
        <v>350</v>
      </c>
    </row>
    <row r="1677" spans="1:15" hidden="1">
      <c r="A1677" s="144" t="s">
        <v>976</v>
      </c>
      <c r="B1677" s="29">
        <v>86509244</v>
      </c>
      <c r="C1677" s="29"/>
      <c r="E1677" s="29" t="s">
        <v>887</v>
      </c>
      <c r="F1677" s="29" t="s">
        <v>129</v>
      </c>
      <c r="G1677" s="29" t="s">
        <v>888</v>
      </c>
      <c r="H1677" s="130">
        <v>45743</v>
      </c>
      <c r="I1677" s="130">
        <f t="shared" si="18"/>
        <v>45748</v>
      </c>
      <c r="J1677" s="130">
        <v>45748</v>
      </c>
      <c r="K1677" s="130">
        <v>45752</v>
      </c>
      <c r="L1677" s="129" t="s">
        <v>483</v>
      </c>
      <c r="M1677" s="29"/>
      <c r="N1677" s="81">
        <v>50</v>
      </c>
    </row>
    <row r="1678" spans="1:15" hidden="1">
      <c r="A1678" s="144" t="s">
        <v>976</v>
      </c>
      <c r="B1678" s="29">
        <v>86509241</v>
      </c>
      <c r="C1678" s="29"/>
      <c r="E1678" s="29" t="s">
        <v>887</v>
      </c>
      <c r="F1678" s="29" t="s">
        <v>129</v>
      </c>
      <c r="G1678" s="29" t="s">
        <v>888</v>
      </c>
      <c r="H1678" s="130">
        <v>45743</v>
      </c>
      <c r="I1678" s="130">
        <f t="shared" si="18"/>
        <v>45748</v>
      </c>
      <c r="J1678" s="130">
        <v>45748</v>
      </c>
      <c r="K1678" s="29"/>
      <c r="L1678" s="129" t="s">
        <v>483</v>
      </c>
      <c r="M1678" s="29"/>
      <c r="N1678" s="81">
        <v>200</v>
      </c>
    </row>
    <row r="1679" spans="1:15" hidden="1">
      <c r="A1679" s="144" t="s">
        <v>976</v>
      </c>
      <c r="B1679" s="29">
        <v>86509238</v>
      </c>
      <c r="C1679" s="29"/>
      <c r="E1679" s="29" t="s">
        <v>887</v>
      </c>
      <c r="F1679" s="29" t="s">
        <v>129</v>
      </c>
      <c r="G1679" s="29" t="s">
        <v>888</v>
      </c>
      <c r="H1679" s="130">
        <v>45743</v>
      </c>
      <c r="I1679" s="130">
        <f t="shared" si="18"/>
        <v>45748</v>
      </c>
      <c r="J1679" s="130">
        <v>45748</v>
      </c>
      <c r="K1679" s="130">
        <v>45748</v>
      </c>
      <c r="L1679" s="129" t="s">
        <v>483</v>
      </c>
      <c r="M1679" s="29"/>
      <c r="N1679" s="81">
        <v>250</v>
      </c>
    </row>
    <row r="1680" spans="1:15" hidden="1">
      <c r="A1680" s="144" t="s">
        <v>976</v>
      </c>
      <c r="B1680" s="29">
        <v>86509236</v>
      </c>
      <c r="C1680" s="29"/>
      <c r="E1680" s="29" t="s">
        <v>887</v>
      </c>
      <c r="F1680" s="29" t="s">
        <v>129</v>
      </c>
      <c r="G1680" s="29" t="s">
        <v>888</v>
      </c>
      <c r="H1680" s="130">
        <v>45743</v>
      </c>
      <c r="I1680" s="130">
        <f t="shared" si="18"/>
        <v>45748</v>
      </c>
      <c r="J1680" s="130">
        <v>45748</v>
      </c>
      <c r="K1680" s="130">
        <v>45748</v>
      </c>
      <c r="L1680" s="129" t="s">
        <v>483</v>
      </c>
      <c r="M1680" s="29"/>
      <c r="N1680" s="81">
        <v>60</v>
      </c>
    </row>
    <row r="1681" spans="1:15" hidden="1">
      <c r="A1681" s="144" t="s">
        <v>976</v>
      </c>
      <c r="B1681" s="29">
        <v>86509235</v>
      </c>
      <c r="C1681" s="29"/>
      <c r="E1681" s="29" t="s">
        <v>887</v>
      </c>
      <c r="F1681" s="29" t="s">
        <v>129</v>
      </c>
      <c r="G1681" s="29" t="s">
        <v>888</v>
      </c>
      <c r="H1681" s="130">
        <v>45743</v>
      </c>
      <c r="I1681" s="130">
        <f t="shared" si="18"/>
        <v>45748</v>
      </c>
      <c r="J1681" s="130">
        <v>45748</v>
      </c>
      <c r="K1681" s="29"/>
      <c r="L1681" s="129" t="s">
        <v>483</v>
      </c>
      <c r="M1681" s="29"/>
      <c r="N1681" s="81">
        <v>500</v>
      </c>
    </row>
    <row r="1682" spans="1:15" hidden="1">
      <c r="A1682" s="144" t="s">
        <v>976</v>
      </c>
      <c r="B1682" s="29">
        <v>86509233</v>
      </c>
      <c r="C1682" s="29"/>
      <c r="E1682" s="29" t="s">
        <v>887</v>
      </c>
      <c r="F1682" s="29" t="s">
        <v>129</v>
      </c>
      <c r="G1682" s="29" t="s">
        <v>888</v>
      </c>
      <c r="H1682" s="130">
        <v>45743</v>
      </c>
      <c r="I1682" s="130">
        <f t="shared" si="18"/>
        <v>45748</v>
      </c>
      <c r="J1682" s="130">
        <v>45748</v>
      </c>
      <c r="K1682" s="130">
        <v>45751</v>
      </c>
      <c r="L1682" s="129" t="s">
        <v>483</v>
      </c>
      <c r="M1682" s="29"/>
      <c r="N1682" s="81">
        <v>250</v>
      </c>
    </row>
    <row r="1683" spans="1:15" hidden="1">
      <c r="A1683" s="144" t="s">
        <v>976</v>
      </c>
      <c r="B1683" s="29">
        <v>86509230</v>
      </c>
      <c r="C1683" s="29"/>
      <c r="E1683" s="29" t="s">
        <v>887</v>
      </c>
      <c r="F1683" s="29" t="s">
        <v>129</v>
      </c>
      <c r="G1683" s="29" t="s">
        <v>888</v>
      </c>
      <c r="H1683" s="130">
        <v>45743</v>
      </c>
      <c r="I1683" s="130">
        <f t="shared" si="18"/>
        <v>45748</v>
      </c>
      <c r="J1683" s="130">
        <v>45748</v>
      </c>
      <c r="K1683" s="130">
        <v>45751</v>
      </c>
      <c r="L1683" s="129" t="s">
        <v>483</v>
      </c>
      <c r="M1683" s="29"/>
      <c r="N1683" s="81">
        <v>85</v>
      </c>
    </row>
    <row r="1684" spans="1:15" hidden="1">
      <c r="A1684" s="144" t="s">
        <v>976</v>
      </c>
      <c r="B1684" s="29">
        <v>86509227</v>
      </c>
      <c r="C1684" s="29"/>
      <c r="E1684" s="29" t="s">
        <v>887</v>
      </c>
      <c r="F1684" s="29" t="s">
        <v>129</v>
      </c>
      <c r="G1684" s="29" t="s">
        <v>888</v>
      </c>
      <c r="H1684" s="130">
        <v>45743</v>
      </c>
      <c r="I1684" s="130">
        <f t="shared" si="18"/>
        <v>45748</v>
      </c>
      <c r="J1684" s="130">
        <v>45748</v>
      </c>
      <c r="K1684" s="130">
        <v>45749</v>
      </c>
      <c r="L1684" s="129" t="s">
        <v>483</v>
      </c>
      <c r="M1684" s="29"/>
      <c r="N1684" s="81">
        <v>450</v>
      </c>
    </row>
    <row r="1685" spans="1:15" hidden="1">
      <c r="A1685" s="144" t="s">
        <v>344</v>
      </c>
      <c r="B1685" s="29">
        <v>106500513</v>
      </c>
      <c r="C1685" s="29"/>
      <c r="E1685" s="29" t="s">
        <v>960</v>
      </c>
      <c r="F1685" s="29" t="s">
        <v>129</v>
      </c>
      <c r="G1685" s="29" t="s">
        <v>38</v>
      </c>
      <c r="H1685" s="130">
        <v>45763</v>
      </c>
      <c r="I1685" s="130">
        <f t="shared" si="18"/>
        <v>45768</v>
      </c>
      <c r="J1685" s="29"/>
      <c r="K1685" s="130">
        <v>45771</v>
      </c>
      <c r="L1685" s="129" t="s">
        <v>483</v>
      </c>
      <c r="M1685" s="29"/>
      <c r="N1685" s="81">
        <v>121</v>
      </c>
      <c r="O1685" s="144" t="s">
        <v>992</v>
      </c>
    </row>
    <row r="1686" spans="1:15" ht="15.75" hidden="1">
      <c r="A1686" s="136" t="s">
        <v>973</v>
      </c>
      <c r="B1686" s="29">
        <v>107508651</v>
      </c>
      <c r="C1686" s="29"/>
      <c r="E1686" s="29" t="s">
        <v>993</v>
      </c>
      <c r="F1686" s="29" t="s">
        <v>129</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129</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129</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129</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129</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129</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129</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129</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129</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129</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129</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129</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129</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129</v>
      </c>
      <c r="G1699" s="29" t="s">
        <v>966</v>
      </c>
      <c r="H1699" s="130">
        <v>45743</v>
      </c>
      <c r="I1699" s="130">
        <f t="shared" si="18"/>
        <v>45748</v>
      </c>
      <c r="J1699" s="130">
        <v>45748</v>
      </c>
      <c r="K1699" s="130">
        <v>45754</v>
      </c>
      <c r="L1699" s="129" t="s">
        <v>783</v>
      </c>
      <c r="M1699" s="29"/>
      <c r="N1699" s="81"/>
    </row>
    <row r="1700" spans="1:16" hidden="1">
      <c r="A1700" s="144" t="s">
        <v>344</v>
      </c>
      <c r="B1700" s="29">
        <v>113506868</v>
      </c>
      <c r="C1700" s="29"/>
      <c r="E1700" s="29" t="s">
        <v>960</v>
      </c>
      <c r="F1700" s="29" t="s">
        <v>129</v>
      </c>
      <c r="G1700" s="29" t="s">
        <v>38</v>
      </c>
      <c r="H1700" s="130">
        <v>45770</v>
      </c>
      <c r="I1700" s="130">
        <f t="shared" si="18"/>
        <v>45775</v>
      </c>
      <c r="J1700" s="29"/>
      <c r="K1700" s="29"/>
      <c r="L1700" s="129" t="s">
        <v>885</v>
      </c>
      <c r="M1700" s="29"/>
      <c r="N1700" s="81">
        <v>50</v>
      </c>
      <c r="O1700" s="144" t="s">
        <v>996</v>
      </c>
    </row>
    <row r="1701" spans="1:16" hidden="1">
      <c r="A1701" s="144" t="s">
        <v>344</v>
      </c>
      <c r="B1701" s="29">
        <v>113506906</v>
      </c>
      <c r="C1701" s="29"/>
      <c r="E1701" s="29" t="s">
        <v>960</v>
      </c>
      <c r="F1701" s="29" t="s">
        <v>129</v>
      </c>
      <c r="G1701" s="29" t="s">
        <v>38</v>
      </c>
      <c r="H1701" s="130">
        <v>45770</v>
      </c>
      <c r="I1701" s="130">
        <f t="shared" si="18"/>
        <v>45775</v>
      </c>
      <c r="J1701" s="29"/>
      <c r="K1701" s="29"/>
      <c r="L1701" s="129" t="s">
        <v>885</v>
      </c>
      <c r="M1701" s="29"/>
      <c r="N1701" s="81">
        <v>50</v>
      </c>
      <c r="O1701" s="144" t="s">
        <v>997</v>
      </c>
    </row>
    <row r="1702" spans="1:16" hidden="1">
      <c r="A1702" s="144" t="s">
        <v>344</v>
      </c>
      <c r="B1702" s="29">
        <v>78502828</v>
      </c>
      <c r="C1702" s="29"/>
      <c r="E1702" s="29" t="s">
        <v>871</v>
      </c>
      <c r="F1702" s="29" t="s">
        <v>129</v>
      </c>
      <c r="G1702" s="29" t="s">
        <v>38</v>
      </c>
      <c r="H1702" s="42">
        <v>45735</v>
      </c>
      <c r="I1702" s="130">
        <f t="shared" si="18"/>
        <v>45740</v>
      </c>
      <c r="J1702" s="130">
        <v>45737</v>
      </c>
      <c r="K1702" s="29"/>
      <c r="L1702" s="129" t="s">
        <v>998</v>
      </c>
      <c r="M1702" s="29"/>
      <c r="N1702" s="81"/>
      <c r="O1702" s="144" t="s">
        <v>999</v>
      </c>
    </row>
    <row r="1703" spans="1:16" hidden="1">
      <c r="A1703" s="144" t="s">
        <v>344</v>
      </c>
      <c r="B1703" s="29">
        <v>78504257</v>
      </c>
      <c r="C1703" s="29"/>
      <c r="E1703" s="29" t="s">
        <v>871</v>
      </c>
      <c r="F1703" s="29" t="s">
        <v>129</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129</v>
      </c>
      <c r="G1704" s="29" t="s">
        <v>38</v>
      </c>
      <c r="H1704" s="130">
        <v>45740</v>
      </c>
      <c r="I1704" s="130">
        <f t="shared" si="18"/>
        <v>45743</v>
      </c>
      <c r="J1704" s="130">
        <v>45743</v>
      </c>
      <c r="K1704" s="29"/>
      <c r="L1704" s="129" t="s">
        <v>998</v>
      </c>
      <c r="M1704" s="29"/>
      <c r="N1704" s="81">
        <v>135</v>
      </c>
      <c r="O1704" s="29" t="s">
        <v>1001</v>
      </c>
    </row>
    <row r="1705" spans="1:16" hidden="1">
      <c r="A1705" s="144" t="s">
        <v>336</v>
      </c>
      <c r="B1705" s="29">
        <v>86501288</v>
      </c>
      <c r="C1705" s="29"/>
      <c r="E1705" s="29" t="s">
        <v>871</v>
      </c>
      <c r="F1705" s="29" t="s">
        <v>129</v>
      </c>
      <c r="G1705" s="29" t="s">
        <v>38</v>
      </c>
      <c r="H1705" s="130">
        <v>45743</v>
      </c>
      <c r="I1705" s="130">
        <f t="shared" si="18"/>
        <v>45748</v>
      </c>
      <c r="J1705" s="29"/>
      <c r="K1705" s="29"/>
      <c r="L1705" s="129" t="s">
        <v>998</v>
      </c>
      <c r="M1705" s="29"/>
      <c r="N1705" s="81">
        <v>600</v>
      </c>
      <c r="O1705" s="144" t="s">
        <v>1002</v>
      </c>
    </row>
    <row r="1706" spans="1:16" hidden="1">
      <c r="A1706" s="144" t="s">
        <v>336</v>
      </c>
      <c r="B1706" s="29">
        <v>86501334</v>
      </c>
      <c r="C1706" s="29"/>
      <c r="E1706" s="29" t="s">
        <v>871</v>
      </c>
      <c r="F1706" s="29" t="s">
        <v>129</v>
      </c>
      <c r="G1706" s="29" t="s">
        <v>38</v>
      </c>
      <c r="H1706" s="130">
        <v>45743</v>
      </c>
      <c r="I1706" s="130">
        <f t="shared" si="18"/>
        <v>45748</v>
      </c>
      <c r="J1706" s="29"/>
      <c r="K1706" s="29"/>
      <c r="L1706" s="129" t="s">
        <v>998</v>
      </c>
      <c r="M1706" s="29"/>
      <c r="N1706" s="81">
        <v>45</v>
      </c>
      <c r="O1706" s="144" t="s">
        <v>1003</v>
      </c>
    </row>
    <row r="1707" spans="1:16" hidden="1">
      <c r="A1707" s="144" t="s">
        <v>336</v>
      </c>
      <c r="B1707" s="29">
        <v>86501357</v>
      </c>
      <c r="C1707" s="29"/>
      <c r="E1707" s="29" t="s">
        <v>871</v>
      </c>
      <c r="F1707" s="29" t="s">
        <v>129</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129</v>
      </c>
      <c r="G1708" s="29" t="s">
        <v>123</v>
      </c>
      <c r="H1708" s="130">
        <v>45747</v>
      </c>
      <c r="I1708" s="130">
        <f t="shared" si="18"/>
        <v>45750</v>
      </c>
      <c r="J1708" s="130">
        <v>45748</v>
      </c>
      <c r="K1708" s="29"/>
      <c r="L1708" s="129" t="s">
        <v>998</v>
      </c>
      <c r="M1708" s="29"/>
      <c r="N1708" s="81">
        <v>700</v>
      </c>
      <c r="O1708" s="144" t="s">
        <v>1005</v>
      </c>
      <c r="P1708" s="134" t="s">
        <v>129</v>
      </c>
    </row>
    <row r="1709" spans="1:16" hidden="1">
      <c r="A1709" s="144" t="s">
        <v>1004</v>
      </c>
      <c r="B1709" s="29">
        <v>90501601</v>
      </c>
      <c r="C1709" s="29"/>
      <c r="E1709" s="29" t="s">
        <v>874</v>
      </c>
      <c r="F1709" s="29" t="s">
        <v>129</v>
      </c>
      <c r="G1709" s="29" t="s">
        <v>123</v>
      </c>
      <c r="H1709" s="130">
        <v>45747</v>
      </c>
      <c r="I1709" s="130">
        <f t="shared" si="18"/>
        <v>45750</v>
      </c>
      <c r="J1709" s="130">
        <v>45748</v>
      </c>
      <c r="K1709" s="29"/>
      <c r="L1709" s="129" t="s">
        <v>998</v>
      </c>
      <c r="M1709" s="29"/>
      <c r="N1709" s="81">
        <v>700</v>
      </c>
      <c r="O1709" s="144" t="s">
        <v>1005</v>
      </c>
      <c r="P1709" s="134" t="s">
        <v>129</v>
      </c>
    </row>
    <row r="1710" spans="1:16" hidden="1">
      <c r="A1710" s="144" t="s">
        <v>1004</v>
      </c>
      <c r="B1710" s="29">
        <v>90501633</v>
      </c>
      <c r="C1710" s="29"/>
      <c r="E1710" s="29" t="s">
        <v>874</v>
      </c>
      <c r="F1710" s="29" t="s">
        <v>129</v>
      </c>
      <c r="G1710" s="29" t="s">
        <v>123</v>
      </c>
      <c r="H1710" s="130">
        <v>45747</v>
      </c>
      <c r="I1710" s="130">
        <f t="shared" si="18"/>
        <v>45750</v>
      </c>
      <c r="J1710" s="130">
        <v>45748</v>
      </c>
      <c r="K1710" s="29"/>
      <c r="L1710" s="129" t="s">
        <v>998</v>
      </c>
      <c r="M1710" s="29"/>
      <c r="N1710" s="81">
        <v>1300</v>
      </c>
      <c r="O1710" s="144" t="s">
        <v>1005</v>
      </c>
      <c r="P1710" s="134" t="s">
        <v>129</v>
      </c>
    </row>
    <row r="1711" spans="1:16" hidden="1">
      <c r="A1711" s="144" t="s">
        <v>1004</v>
      </c>
      <c r="B1711" s="29">
        <v>90501581</v>
      </c>
      <c r="C1711" s="29"/>
      <c r="E1711" s="29" t="s">
        <v>874</v>
      </c>
      <c r="F1711" s="29" t="s">
        <v>129</v>
      </c>
      <c r="G1711" s="29" t="s">
        <v>123</v>
      </c>
      <c r="H1711" s="130">
        <v>45747</v>
      </c>
      <c r="I1711" s="130">
        <f t="shared" si="18"/>
        <v>45750</v>
      </c>
      <c r="J1711" s="130">
        <v>45748</v>
      </c>
      <c r="K1711" s="29"/>
      <c r="L1711" s="129" t="s">
        <v>998</v>
      </c>
      <c r="M1711" s="29"/>
      <c r="N1711" s="81">
        <v>700</v>
      </c>
      <c r="O1711" s="144" t="s">
        <v>1005</v>
      </c>
      <c r="P1711" s="134" t="s">
        <v>129</v>
      </c>
    </row>
    <row r="1712" spans="1:16" hidden="1">
      <c r="A1712" s="144" t="s">
        <v>1004</v>
      </c>
      <c r="B1712" s="29">
        <v>90501656</v>
      </c>
      <c r="C1712" s="29"/>
      <c r="E1712" s="29" t="s">
        <v>874</v>
      </c>
      <c r="F1712" s="29" t="s">
        <v>129</v>
      </c>
      <c r="G1712" s="29" t="s">
        <v>123</v>
      </c>
      <c r="H1712" s="130">
        <v>45747</v>
      </c>
      <c r="I1712" s="130">
        <f t="shared" si="18"/>
        <v>45750</v>
      </c>
      <c r="J1712" s="130">
        <v>45748</v>
      </c>
      <c r="K1712" s="29"/>
      <c r="L1712" s="129" t="s">
        <v>998</v>
      </c>
      <c r="M1712" s="29"/>
      <c r="N1712" s="81">
        <v>600</v>
      </c>
      <c r="O1712" s="144" t="s">
        <v>1006</v>
      </c>
      <c r="P1712" s="134" t="s">
        <v>129</v>
      </c>
    </row>
    <row r="1713" spans="1:16" hidden="1">
      <c r="A1713" s="144" t="s">
        <v>1004</v>
      </c>
      <c r="B1713" s="29">
        <v>90501710</v>
      </c>
      <c r="C1713" s="29"/>
      <c r="E1713" s="29" t="s">
        <v>874</v>
      </c>
      <c r="F1713" s="29" t="s">
        <v>129</v>
      </c>
      <c r="G1713" s="29" t="s">
        <v>123</v>
      </c>
      <c r="H1713" s="130">
        <v>45747</v>
      </c>
      <c r="I1713" s="130">
        <f t="shared" si="18"/>
        <v>45750</v>
      </c>
      <c r="J1713" s="130">
        <v>45748</v>
      </c>
      <c r="K1713" s="29"/>
      <c r="L1713" s="129" t="s">
        <v>998</v>
      </c>
      <c r="M1713" s="29"/>
      <c r="N1713" s="81">
        <v>350</v>
      </c>
      <c r="O1713" s="144" t="s">
        <v>1005</v>
      </c>
      <c r="P1713" s="134" t="s">
        <v>129</v>
      </c>
    </row>
    <row r="1714" spans="1:16" hidden="1">
      <c r="A1714" s="144" t="s">
        <v>1004</v>
      </c>
      <c r="B1714" s="29">
        <v>90501750</v>
      </c>
      <c r="C1714" s="29"/>
      <c r="E1714" s="29" t="s">
        <v>874</v>
      </c>
      <c r="F1714" s="29" t="s">
        <v>129</v>
      </c>
      <c r="G1714" s="29" t="s">
        <v>123</v>
      </c>
      <c r="H1714" s="130">
        <v>45747</v>
      </c>
      <c r="I1714" s="130">
        <f t="shared" si="18"/>
        <v>45750</v>
      </c>
      <c r="J1714" s="130">
        <v>45748</v>
      </c>
      <c r="K1714" s="29"/>
      <c r="L1714" s="129" t="s">
        <v>998</v>
      </c>
      <c r="M1714" s="29"/>
      <c r="N1714" s="81">
        <v>700</v>
      </c>
      <c r="O1714" s="144" t="s">
        <v>1006</v>
      </c>
      <c r="P1714" s="134" t="s">
        <v>129</v>
      </c>
    </row>
    <row r="1715" spans="1:16" hidden="1">
      <c r="A1715" s="144" t="s">
        <v>970</v>
      </c>
      <c r="B1715" s="29">
        <v>91504897</v>
      </c>
      <c r="C1715" s="29"/>
      <c r="E1715" s="29" t="s">
        <v>971</v>
      </c>
      <c r="F1715" s="29" t="s">
        <v>129</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129</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129</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129</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129</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129</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129</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129</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129</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129</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129</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129</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129</v>
      </c>
      <c r="G1727" s="29" t="s">
        <v>891</v>
      </c>
      <c r="H1727" s="130">
        <v>45749</v>
      </c>
      <c r="I1727" s="130">
        <f t="shared" si="18"/>
        <v>45754</v>
      </c>
      <c r="J1727" s="130"/>
      <c r="K1727" s="29"/>
      <c r="L1727" s="129" t="s">
        <v>998</v>
      </c>
      <c r="M1727" s="29"/>
      <c r="N1727" s="81">
        <v>670</v>
      </c>
    </row>
    <row r="1728" spans="1:16" hidden="1">
      <c r="A1728" s="144" t="s">
        <v>344</v>
      </c>
      <c r="B1728" s="29">
        <v>78501166</v>
      </c>
      <c r="C1728" s="29"/>
      <c r="E1728" s="29" t="s">
        <v>960</v>
      </c>
      <c r="F1728" s="29" t="s">
        <v>129</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129</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129</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129</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129</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129</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129</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129</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129</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129</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129</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129</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129</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129</v>
      </c>
      <c r="G1741" s="29" t="s">
        <v>38</v>
      </c>
      <c r="H1741" s="130">
        <v>45779</v>
      </c>
      <c r="I1741" s="130">
        <f t="shared" si="19"/>
        <v>45784</v>
      </c>
      <c r="J1741" s="29"/>
      <c r="K1741" s="29"/>
      <c r="L1741" s="129" t="s">
        <v>483</v>
      </c>
      <c r="M1741" s="29"/>
      <c r="N1741" s="166">
        <v>1300</v>
      </c>
    </row>
    <row r="1742" spans="1:15" hidden="1">
      <c r="A1742" s="144" t="s">
        <v>1015</v>
      </c>
      <c r="B1742" s="29">
        <v>122501985</v>
      </c>
      <c r="C1742" s="29"/>
      <c r="E1742" s="29" t="s">
        <v>960</v>
      </c>
      <c r="F1742" s="29" t="s">
        <v>129</v>
      </c>
      <c r="G1742" s="29" t="s">
        <v>38</v>
      </c>
      <c r="H1742" s="130">
        <v>45779</v>
      </c>
      <c r="I1742" s="130">
        <f t="shared" si="19"/>
        <v>45784</v>
      </c>
      <c r="J1742" s="29"/>
      <c r="K1742" s="29"/>
      <c r="L1742" s="129" t="s">
        <v>483</v>
      </c>
      <c r="M1742" s="29"/>
      <c r="N1742" s="166">
        <v>1300</v>
      </c>
    </row>
    <row r="1743" spans="1:15" hidden="1">
      <c r="A1743" s="144" t="s">
        <v>673</v>
      </c>
      <c r="B1743" s="29">
        <v>122501749</v>
      </c>
      <c r="C1743" s="29"/>
      <c r="E1743" s="29" t="s">
        <v>960</v>
      </c>
      <c r="F1743" s="29" t="s">
        <v>129</v>
      </c>
      <c r="G1743" s="29" t="s">
        <v>38</v>
      </c>
      <c r="H1743" s="130">
        <v>45779</v>
      </c>
      <c r="I1743" s="130">
        <f t="shared" si="19"/>
        <v>45784</v>
      </c>
      <c r="J1743" s="29"/>
      <c r="K1743" s="29"/>
      <c r="L1743" s="129" t="s">
        <v>483</v>
      </c>
      <c r="M1743" s="29"/>
      <c r="N1743" s="166">
        <v>550</v>
      </c>
    </row>
    <row r="1744" spans="1:15" hidden="1">
      <c r="A1744" s="144" t="s">
        <v>673</v>
      </c>
      <c r="B1744" s="29">
        <v>122501783</v>
      </c>
      <c r="C1744" s="29"/>
      <c r="E1744" s="29" t="s">
        <v>960</v>
      </c>
      <c r="F1744" s="29" t="s">
        <v>129</v>
      </c>
      <c r="G1744" s="29" t="s">
        <v>38</v>
      </c>
      <c r="H1744" s="130">
        <v>45779</v>
      </c>
      <c r="I1744" s="130">
        <f t="shared" si="19"/>
        <v>45784</v>
      </c>
      <c r="J1744" s="29"/>
      <c r="K1744" s="29"/>
      <c r="L1744" s="129" t="s">
        <v>483</v>
      </c>
      <c r="M1744" s="29"/>
      <c r="N1744" s="166">
        <v>550</v>
      </c>
    </row>
    <row r="1745" spans="1:15" hidden="1">
      <c r="A1745" s="144" t="s">
        <v>673</v>
      </c>
      <c r="B1745" s="29">
        <v>122501790</v>
      </c>
      <c r="C1745" s="29"/>
      <c r="E1745" s="29" t="s">
        <v>960</v>
      </c>
      <c r="F1745" s="29" t="s">
        <v>129</v>
      </c>
      <c r="G1745" s="29" t="s">
        <v>38</v>
      </c>
      <c r="H1745" s="130">
        <v>45779</v>
      </c>
      <c r="I1745" s="130">
        <f t="shared" si="19"/>
        <v>45784</v>
      </c>
      <c r="J1745" s="29"/>
      <c r="K1745" s="29"/>
      <c r="L1745" s="129" t="s">
        <v>483</v>
      </c>
      <c r="M1745" s="29"/>
      <c r="N1745" s="166">
        <v>700</v>
      </c>
    </row>
    <row r="1746" spans="1:15" hidden="1">
      <c r="A1746" s="144" t="s">
        <v>673</v>
      </c>
      <c r="B1746" s="29">
        <v>122501808</v>
      </c>
      <c r="C1746" s="29"/>
      <c r="E1746" s="29" t="s">
        <v>960</v>
      </c>
      <c r="F1746" s="29" t="s">
        <v>129</v>
      </c>
      <c r="G1746" s="29" t="s">
        <v>38</v>
      </c>
      <c r="H1746" s="130">
        <v>45779</v>
      </c>
      <c r="I1746" s="130">
        <f t="shared" si="19"/>
        <v>45784</v>
      </c>
      <c r="J1746" s="29"/>
      <c r="K1746" s="29"/>
      <c r="L1746" s="129" t="s">
        <v>483</v>
      </c>
      <c r="M1746" s="29"/>
      <c r="N1746" s="166">
        <v>320</v>
      </c>
    </row>
    <row r="1747" spans="1:15" hidden="1">
      <c r="A1747" s="144" t="s">
        <v>969</v>
      </c>
      <c r="B1747" s="29">
        <v>87503873</v>
      </c>
      <c r="C1747" s="29"/>
      <c r="E1747" s="29" t="s">
        <v>871</v>
      </c>
      <c r="F1747" s="29" t="s">
        <v>129</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129</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129</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129</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129</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129</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129</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129</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129</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129</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129</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129</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129</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129</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129</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129</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129</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129</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129</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129</v>
      </c>
      <c r="G1768" s="29" t="s">
        <v>980</v>
      </c>
      <c r="H1768" s="130">
        <v>45744</v>
      </c>
      <c r="I1768" s="130">
        <f t="shared" si="19"/>
        <v>45749</v>
      </c>
      <c r="J1768" s="130">
        <v>45748</v>
      </c>
      <c r="K1768" s="130">
        <v>45754</v>
      </c>
      <c r="L1768" s="129" t="s">
        <v>783</v>
      </c>
      <c r="M1768" s="29"/>
      <c r="N1768" s="81">
        <v>230</v>
      </c>
      <c r="O1768" s="144" t="s">
        <v>961</v>
      </c>
    </row>
    <row r="1769" spans="1:15" hidden="1">
      <c r="A1769" s="144" t="s">
        <v>479</v>
      </c>
      <c r="B1769" s="29">
        <v>86501817</v>
      </c>
      <c r="C1769" s="29"/>
      <c r="E1769" s="29" t="s">
        <v>871</v>
      </c>
      <c r="F1769" s="29" t="s">
        <v>129</v>
      </c>
      <c r="G1769" s="29" t="s">
        <v>38</v>
      </c>
      <c r="H1769" s="130">
        <v>45743</v>
      </c>
      <c r="I1769" s="130">
        <f t="shared" si="19"/>
        <v>45748</v>
      </c>
      <c r="J1769" s="29"/>
      <c r="K1769" s="130">
        <v>45747</v>
      </c>
      <c r="L1769" s="129" t="s">
        <v>10</v>
      </c>
      <c r="M1769" s="29"/>
      <c r="N1769" s="81">
        <v>270</v>
      </c>
    </row>
    <row r="1770" spans="1:15" hidden="1">
      <c r="A1770" s="144" t="s">
        <v>479</v>
      </c>
      <c r="B1770" s="29">
        <v>86501837</v>
      </c>
      <c r="C1770" s="29"/>
      <c r="E1770" s="29" t="s">
        <v>871</v>
      </c>
      <c r="F1770" s="29" t="s">
        <v>129</v>
      </c>
      <c r="G1770" s="29" t="s">
        <v>38</v>
      </c>
      <c r="H1770" s="130">
        <v>45743</v>
      </c>
      <c r="I1770" s="130">
        <f t="shared" si="19"/>
        <v>45748</v>
      </c>
      <c r="J1770" s="29"/>
      <c r="K1770" s="130">
        <v>45747</v>
      </c>
      <c r="L1770" s="129" t="s">
        <v>10</v>
      </c>
      <c r="M1770" s="29"/>
      <c r="N1770" s="81">
        <v>200</v>
      </c>
    </row>
    <row r="1771" spans="1:15" hidden="1">
      <c r="A1771" s="144" t="s">
        <v>479</v>
      </c>
      <c r="B1771" s="29">
        <v>86501919</v>
      </c>
      <c r="C1771" s="29"/>
      <c r="E1771" s="29" t="s">
        <v>871</v>
      </c>
      <c r="F1771" s="29" t="s">
        <v>129</v>
      </c>
      <c r="G1771" s="29" t="s">
        <v>38</v>
      </c>
      <c r="H1771" s="130">
        <v>45743</v>
      </c>
      <c r="I1771" s="130">
        <f t="shared" si="19"/>
        <v>45748</v>
      </c>
      <c r="J1771" s="29"/>
      <c r="K1771" s="130">
        <v>45747</v>
      </c>
      <c r="L1771" s="129" t="s">
        <v>10</v>
      </c>
      <c r="M1771" s="29"/>
      <c r="N1771" s="81">
        <v>540</v>
      </c>
    </row>
    <row r="1772" spans="1:15" hidden="1">
      <c r="A1772" s="144" t="s">
        <v>479</v>
      </c>
      <c r="B1772" s="29">
        <v>86501972</v>
      </c>
      <c r="C1772" s="29"/>
      <c r="E1772" s="29" t="s">
        <v>871</v>
      </c>
      <c r="F1772" s="29" t="s">
        <v>129</v>
      </c>
      <c r="G1772" s="29" t="s">
        <v>38</v>
      </c>
      <c r="H1772" s="130">
        <v>45743</v>
      </c>
      <c r="I1772" s="130">
        <f t="shared" si="19"/>
        <v>45748</v>
      </c>
      <c r="J1772" s="29"/>
      <c r="K1772" s="130">
        <v>45749</v>
      </c>
      <c r="L1772" s="129" t="s">
        <v>663</v>
      </c>
      <c r="M1772" s="29"/>
      <c r="N1772" s="81">
        <v>415</v>
      </c>
    </row>
    <row r="1773" spans="1:15" hidden="1">
      <c r="A1773" s="144" t="s">
        <v>479</v>
      </c>
      <c r="B1773" s="29">
        <v>86502013</v>
      </c>
      <c r="C1773" s="29"/>
      <c r="E1773" s="29" t="s">
        <v>871</v>
      </c>
      <c r="F1773" s="29" t="s">
        <v>129</v>
      </c>
      <c r="G1773" s="29" t="s">
        <v>38</v>
      </c>
      <c r="H1773" s="130">
        <v>45743</v>
      </c>
      <c r="I1773" s="130">
        <f t="shared" si="19"/>
        <v>45748</v>
      </c>
      <c r="J1773" s="29"/>
      <c r="K1773" s="130">
        <v>45748</v>
      </c>
      <c r="L1773" s="129" t="s">
        <v>663</v>
      </c>
      <c r="M1773" s="29"/>
      <c r="N1773" s="81">
        <v>280</v>
      </c>
    </row>
    <row r="1774" spans="1:15" hidden="1">
      <c r="A1774" s="144" t="s">
        <v>479</v>
      </c>
      <c r="B1774" s="29">
        <v>86502143</v>
      </c>
      <c r="C1774" s="29"/>
      <c r="E1774" s="29" t="s">
        <v>871</v>
      </c>
      <c r="F1774" s="29" t="s">
        <v>129</v>
      </c>
      <c r="G1774" s="29" t="s">
        <v>38</v>
      </c>
      <c r="H1774" s="130">
        <v>45743</v>
      </c>
      <c r="I1774" s="130">
        <f t="shared" si="19"/>
        <v>45748</v>
      </c>
      <c r="J1774" s="29"/>
      <c r="K1774" s="130">
        <v>45748</v>
      </c>
      <c r="L1774" s="129" t="s">
        <v>663</v>
      </c>
      <c r="M1774" s="29"/>
      <c r="N1774" s="81">
        <v>290</v>
      </c>
    </row>
    <row r="1775" spans="1:15" hidden="1">
      <c r="A1775" s="144" t="s">
        <v>479</v>
      </c>
      <c r="B1775" s="29">
        <v>86502143</v>
      </c>
      <c r="C1775" s="29"/>
      <c r="E1775" s="29" t="s">
        <v>871</v>
      </c>
      <c r="F1775" s="29" t="s">
        <v>129</v>
      </c>
      <c r="G1775" s="29" t="s">
        <v>38</v>
      </c>
      <c r="H1775" s="130">
        <v>45743</v>
      </c>
      <c r="I1775" s="130">
        <f t="shared" si="19"/>
        <v>45748</v>
      </c>
      <c r="J1775" s="29"/>
      <c r="K1775" s="130">
        <v>45748</v>
      </c>
      <c r="L1775" s="129" t="s">
        <v>663</v>
      </c>
      <c r="M1775" s="29"/>
      <c r="N1775" s="81">
        <v>290</v>
      </c>
    </row>
    <row r="1776" spans="1:15" hidden="1">
      <c r="A1776" s="144" t="s">
        <v>479</v>
      </c>
      <c r="B1776" s="29">
        <v>86502329</v>
      </c>
      <c r="C1776" s="29"/>
      <c r="E1776" s="29" t="s">
        <v>871</v>
      </c>
      <c r="F1776" s="29" t="s">
        <v>129</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129</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129</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129</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129</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129</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129</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129</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129</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129</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129</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129</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129</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129</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129</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129</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129</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129</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129</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129</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129</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129</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129</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129</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129</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129</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129</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129</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129</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129</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129</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129</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129</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129</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129</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129</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129</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129</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129</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129</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129</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129</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129</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129</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129</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129</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129</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129</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129</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129</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129</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129</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129</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129</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129</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129</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129</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129</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129</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129</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129</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129</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129</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129</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129</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129</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129</v>
      </c>
      <c r="G1842" s="29" t="s">
        <v>1025</v>
      </c>
      <c r="H1842" s="130">
        <v>45744</v>
      </c>
      <c r="I1842" s="130">
        <f t="shared" si="20"/>
        <v>45749</v>
      </c>
      <c r="J1842" s="130">
        <v>45749</v>
      </c>
      <c r="K1842" s="130">
        <v>45754</v>
      </c>
      <c r="L1842" s="129" t="s">
        <v>663</v>
      </c>
      <c r="M1842" s="29"/>
      <c r="N1842" s="81">
        <v>249</v>
      </c>
      <c r="O1842" s="29" t="s">
        <v>1043</v>
      </c>
    </row>
    <row r="1843" spans="1:16" hidden="1">
      <c r="A1843" s="144" t="s">
        <v>521</v>
      </c>
      <c r="B1843" s="29">
        <v>92501215</v>
      </c>
      <c r="C1843" s="29"/>
      <c r="E1843" s="29" t="s">
        <v>960</v>
      </c>
      <c r="F1843" s="29" t="s">
        <v>129</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129</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129</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129</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129</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129</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129</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129</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129</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129</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129</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129</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129</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129</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129</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129</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129</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129</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129</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129</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129</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129</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129</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129</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129</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129</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129</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129</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129</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129</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129</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129</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129</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129</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129</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129</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129</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129</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129</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129</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129</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129</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129</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129</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129</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129</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129</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129</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129</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129</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129</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129</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129</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129</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129</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129</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129</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129</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129</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344</v>
      </c>
      <c r="B1905" s="29">
        <v>78500418</v>
      </c>
      <c r="C1905" s="29"/>
      <c r="E1905" s="29" t="s">
        <v>871</v>
      </c>
      <c r="F1905" s="29" t="s">
        <v>129</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344</v>
      </c>
      <c r="B1906" s="29">
        <v>78500507</v>
      </c>
      <c r="C1906" s="29"/>
      <c r="E1906" s="29" t="s">
        <v>871</v>
      </c>
      <c r="F1906" s="29" t="s">
        <v>129</v>
      </c>
      <c r="G1906" s="29" t="s">
        <v>38</v>
      </c>
      <c r="H1906" s="42">
        <v>45735</v>
      </c>
      <c r="I1906" s="130">
        <f t="shared" si="21"/>
        <v>45740</v>
      </c>
      <c r="J1906" s="130"/>
      <c r="K1906" s="130">
        <v>45737</v>
      </c>
      <c r="L1906" s="29" t="s">
        <v>663</v>
      </c>
      <c r="M1906" s="130"/>
      <c r="N1906" s="81"/>
      <c r="O1906" s="29"/>
      <c r="P1906" s="134" t="s">
        <v>1080</v>
      </c>
    </row>
    <row r="1907" spans="1:16" hidden="1">
      <c r="A1907" s="144" t="s">
        <v>344</v>
      </c>
      <c r="B1907" s="29">
        <v>78500816</v>
      </c>
      <c r="C1907" s="29"/>
      <c r="E1907" s="29" t="s">
        <v>871</v>
      </c>
      <c r="F1907" s="29" t="s">
        <v>129</v>
      </c>
      <c r="G1907" s="29" t="s">
        <v>38</v>
      </c>
      <c r="H1907" s="42">
        <v>45735</v>
      </c>
      <c r="I1907" s="130">
        <f t="shared" si="21"/>
        <v>45740</v>
      </c>
      <c r="J1907" s="130"/>
      <c r="K1907" s="130">
        <v>45737</v>
      </c>
      <c r="L1907" s="29" t="s">
        <v>663</v>
      </c>
      <c r="M1907" s="130"/>
      <c r="N1907" s="148"/>
      <c r="O1907" s="29"/>
      <c r="P1907" s="134" t="s">
        <v>1081</v>
      </c>
    </row>
    <row r="1908" spans="1:16" ht="43.5" hidden="1">
      <c r="A1908" s="144" t="s">
        <v>344</v>
      </c>
      <c r="B1908" s="29">
        <v>78500950</v>
      </c>
      <c r="C1908" s="29"/>
      <c r="E1908" s="29" t="s">
        <v>871</v>
      </c>
      <c r="F1908" s="29" t="s">
        <v>129</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344</v>
      </c>
      <c r="B1909" s="29">
        <v>78501022</v>
      </c>
      <c r="C1909" s="29"/>
      <c r="E1909" s="29" t="s">
        <v>871</v>
      </c>
      <c r="F1909" s="29" t="s">
        <v>129</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344</v>
      </c>
      <c r="B1910" s="29">
        <v>78501065</v>
      </c>
      <c r="C1910" s="29"/>
      <c r="E1910" s="29" t="s">
        <v>871</v>
      </c>
      <c r="F1910" s="29" t="s">
        <v>129</v>
      </c>
      <c r="G1910" s="29" t="s">
        <v>38</v>
      </c>
      <c r="H1910" s="42">
        <v>45735</v>
      </c>
      <c r="I1910" s="130">
        <f t="shared" si="21"/>
        <v>45740</v>
      </c>
      <c r="J1910" s="130"/>
      <c r="K1910" s="130">
        <v>45737</v>
      </c>
      <c r="L1910" s="29" t="s">
        <v>663</v>
      </c>
      <c r="M1910" s="130"/>
      <c r="N1910" s="81"/>
      <c r="O1910" s="29"/>
      <c r="P1910" s="134" t="s">
        <v>1085</v>
      </c>
    </row>
    <row r="1911" spans="1:16" hidden="1">
      <c r="A1911" s="144" t="s">
        <v>344</v>
      </c>
      <c r="B1911" s="29">
        <v>78501121</v>
      </c>
      <c r="C1911" s="29"/>
      <c r="E1911" s="29" t="s">
        <v>871</v>
      </c>
      <c r="F1911" s="29" t="s">
        <v>129</v>
      </c>
      <c r="G1911" s="29" t="s">
        <v>38</v>
      </c>
      <c r="H1911" s="42">
        <v>45735</v>
      </c>
      <c r="I1911" s="130">
        <f t="shared" si="21"/>
        <v>45740</v>
      </c>
      <c r="J1911" s="130"/>
      <c r="K1911" s="130">
        <v>45737</v>
      </c>
      <c r="L1911" s="29" t="s">
        <v>663</v>
      </c>
      <c r="M1911" s="130"/>
      <c r="N1911" s="81"/>
      <c r="O1911" s="29"/>
      <c r="P1911" s="134" t="s">
        <v>1086</v>
      </c>
    </row>
    <row r="1912" spans="1:16" hidden="1">
      <c r="A1912" s="144" t="s">
        <v>344</v>
      </c>
      <c r="B1912" s="29">
        <v>78501287</v>
      </c>
      <c r="C1912" s="29"/>
      <c r="E1912" s="29" t="s">
        <v>871</v>
      </c>
      <c r="F1912" s="29" t="s">
        <v>129</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344</v>
      </c>
      <c r="B1913" s="29">
        <v>78501322</v>
      </c>
      <c r="C1913" s="29"/>
      <c r="E1913" s="29" t="s">
        <v>871</v>
      </c>
      <c r="F1913" s="29" t="s">
        <v>129</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344</v>
      </c>
      <c r="B1914" s="29">
        <v>78501367</v>
      </c>
      <c r="C1914" s="29"/>
      <c r="E1914" s="29" t="s">
        <v>871</v>
      </c>
      <c r="F1914" s="29" t="s">
        <v>129</v>
      </c>
      <c r="G1914" s="29" t="s">
        <v>38</v>
      </c>
      <c r="H1914" s="42">
        <v>45735</v>
      </c>
      <c r="I1914" s="130">
        <f t="shared" si="21"/>
        <v>45740</v>
      </c>
      <c r="J1914" s="130"/>
      <c r="K1914" s="130">
        <v>45737</v>
      </c>
      <c r="L1914" s="29" t="s">
        <v>663</v>
      </c>
      <c r="M1914" s="130"/>
      <c r="N1914" s="81"/>
      <c r="O1914" s="29"/>
      <c r="P1914" s="134" t="s">
        <v>1091</v>
      </c>
    </row>
    <row r="1915" spans="1:16" hidden="1">
      <c r="A1915" s="144" t="s">
        <v>344</v>
      </c>
      <c r="B1915" s="29">
        <v>78501538</v>
      </c>
      <c r="C1915" s="29"/>
      <c r="E1915" s="29" t="s">
        <v>871</v>
      </c>
      <c r="F1915" s="29" t="s">
        <v>129</v>
      </c>
      <c r="G1915" s="29" t="s">
        <v>38</v>
      </c>
      <c r="H1915" s="42">
        <v>45735</v>
      </c>
      <c r="I1915" s="130">
        <f t="shared" si="21"/>
        <v>45740</v>
      </c>
      <c r="J1915" s="130"/>
      <c r="K1915" s="130">
        <v>45737</v>
      </c>
      <c r="L1915" s="29" t="s">
        <v>663</v>
      </c>
      <c r="M1915" s="130"/>
      <c r="N1915" s="81"/>
      <c r="O1915" s="29"/>
      <c r="P1915" s="134" t="s">
        <v>1092</v>
      </c>
    </row>
    <row r="1916" spans="1:16" hidden="1">
      <c r="A1916" s="144" t="s">
        <v>344</v>
      </c>
      <c r="B1916" s="29">
        <v>78501671</v>
      </c>
      <c r="C1916" s="29"/>
      <c r="E1916" s="29" t="s">
        <v>871</v>
      </c>
      <c r="F1916" s="29" t="s">
        <v>129</v>
      </c>
      <c r="G1916" s="29" t="s">
        <v>38</v>
      </c>
      <c r="H1916" s="42">
        <v>45735</v>
      </c>
      <c r="I1916" s="130">
        <f t="shared" si="21"/>
        <v>45740</v>
      </c>
      <c r="J1916" s="130"/>
      <c r="K1916" s="130">
        <v>45737</v>
      </c>
      <c r="L1916" s="29" t="s">
        <v>663</v>
      </c>
      <c r="M1916" s="130"/>
      <c r="N1916" s="81"/>
      <c r="O1916" s="29"/>
      <c r="P1916" s="134" t="s">
        <v>1093</v>
      </c>
    </row>
    <row r="1917" spans="1:16" hidden="1">
      <c r="A1917" s="144" t="s">
        <v>344</v>
      </c>
      <c r="B1917" s="29">
        <v>78501705</v>
      </c>
      <c r="C1917" s="29"/>
      <c r="E1917" s="29" t="s">
        <v>871</v>
      </c>
      <c r="F1917" s="29" t="s">
        <v>129</v>
      </c>
      <c r="G1917" s="29" t="s">
        <v>38</v>
      </c>
      <c r="H1917" s="42">
        <v>45735</v>
      </c>
      <c r="I1917" s="130">
        <f t="shared" si="21"/>
        <v>45740</v>
      </c>
      <c r="J1917" s="130"/>
      <c r="K1917" s="130">
        <v>45737</v>
      </c>
      <c r="L1917" s="29" t="s">
        <v>663</v>
      </c>
      <c r="M1917" s="130"/>
      <c r="N1917" s="81"/>
      <c r="O1917" s="29"/>
      <c r="P1917" s="134" t="s">
        <v>1094</v>
      </c>
    </row>
    <row r="1918" spans="1:16" hidden="1">
      <c r="A1918" s="144" t="s">
        <v>344</v>
      </c>
      <c r="B1918" s="29">
        <v>78501760</v>
      </c>
      <c r="C1918" s="29"/>
      <c r="E1918" s="29" t="s">
        <v>871</v>
      </c>
      <c r="F1918" s="29" t="s">
        <v>129</v>
      </c>
      <c r="G1918" s="29" t="s">
        <v>38</v>
      </c>
      <c r="H1918" s="42">
        <v>45735</v>
      </c>
      <c r="I1918" s="130">
        <f t="shared" si="21"/>
        <v>45740</v>
      </c>
      <c r="J1918" s="130"/>
      <c r="K1918" s="130">
        <v>45737</v>
      </c>
      <c r="L1918" s="29" t="s">
        <v>663</v>
      </c>
      <c r="M1918" s="130"/>
      <c r="N1918" s="81"/>
      <c r="O1918" s="29"/>
      <c r="P1918" s="134" t="s">
        <v>1095</v>
      </c>
    </row>
    <row r="1919" spans="1:16" hidden="1">
      <c r="A1919" s="144" t="s">
        <v>344</v>
      </c>
      <c r="B1919" s="29">
        <v>78501855</v>
      </c>
      <c r="C1919" s="29"/>
      <c r="E1919" s="29" t="s">
        <v>871</v>
      </c>
      <c r="F1919" s="29" t="s">
        <v>129</v>
      </c>
      <c r="G1919" s="29" t="s">
        <v>38</v>
      </c>
      <c r="H1919" s="42">
        <v>45735</v>
      </c>
      <c r="I1919" s="130">
        <f t="shared" si="21"/>
        <v>45740</v>
      </c>
      <c r="J1919" s="130"/>
      <c r="K1919" s="130">
        <v>45737</v>
      </c>
      <c r="L1919" s="29" t="s">
        <v>663</v>
      </c>
      <c r="M1919" s="130"/>
      <c r="N1919" s="81"/>
      <c r="O1919" s="29"/>
      <c r="P1919" s="134" t="s">
        <v>1096</v>
      </c>
    </row>
    <row r="1920" spans="1:16" hidden="1">
      <c r="A1920" s="144" t="s">
        <v>344</v>
      </c>
      <c r="B1920" s="29">
        <v>78502268</v>
      </c>
      <c r="C1920" s="29"/>
      <c r="E1920" s="29" t="s">
        <v>871</v>
      </c>
      <c r="F1920" s="29" t="s">
        <v>129</v>
      </c>
      <c r="G1920" s="29" t="s">
        <v>38</v>
      </c>
      <c r="H1920" s="42">
        <v>45735</v>
      </c>
      <c r="I1920" s="130">
        <f t="shared" si="21"/>
        <v>45740</v>
      </c>
      <c r="J1920" s="130"/>
      <c r="K1920" s="130">
        <v>45737</v>
      </c>
      <c r="L1920" s="29" t="s">
        <v>663</v>
      </c>
      <c r="M1920" s="130"/>
      <c r="N1920" s="81"/>
      <c r="O1920" s="29"/>
      <c r="P1920" s="134" t="s">
        <v>1097</v>
      </c>
    </row>
    <row r="1921" spans="1:16" hidden="1">
      <c r="A1921" s="144" t="s">
        <v>344</v>
      </c>
      <c r="B1921" s="29">
        <v>78502370</v>
      </c>
      <c r="C1921" s="29"/>
      <c r="E1921" s="29" t="s">
        <v>871</v>
      </c>
      <c r="F1921" s="29" t="s">
        <v>129</v>
      </c>
      <c r="G1921" s="29" t="s">
        <v>38</v>
      </c>
      <c r="H1921" s="42">
        <v>45735</v>
      </c>
      <c r="I1921" s="130">
        <f t="shared" si="21"/>
        <v>45740</v>
      </c>
      <c r="J1921" s="130"/>
      <c r="K1921" s="130">
        <v>45737</v>
      </c>
      <c r="L1921" s="29" t="s">
        <v>663</v>
      </c>
      <c r="M1921" s="130"/>
      <c r="N1921" s="81"/>
      <c r="O1921" s="29"/>
      <c r="P1921" s="134" t="s">
        <v>1098</v>
      </c>
    </row>
    <row r="1922" spans="1:16" hidden="1">
      <c r="A1922" s="144" t="s">
        <v>344</v>
      </c>
      <c r="B1922" s="29">
        <v>78502463</v>
      </c>
      <c r="C1922" s="29"/>
      <c r="E1922" s="29" t="s">
        <v>871</v>
      </c>
      <c r="F1922" s="29" t="s">
        <v>129</v>
      </c>
      <c r="G1922" s="29" t="s">
        <v>38</v>
      </c>
      <c r="H1922" s="42">
        <v>45735</v>
      </c>
      <c r="I1922" s="130">
        <f t="shared" si="21"/>
        <v>45740</v>
      </c>
      <c r="J1922" s="130"/>
      <c r="K1922" s="130">
        <v>45737</v>
      </c>
      <c r="L1922" s="29" t="s">
        <v>663</v>
      </c>
      <c r="M1922" s="130"/>
      <c r="N1922" s="81"/>
      <c r="O1922" s="29"/>
      <c r="P1922" s="134" t="s">
        <v>1099</v>
      </c>
    </row>
    <row r="1923" spans="1:16" hidden="1">
      <c r="A1923" s="144" t="s">
        <v>344</v>
      </c>
      <c r="B1923" s="29">
        <v>78502520</v>
      </c>
      <c r="C1923" s="29"/>
      <c r="E1923" s="29" t="s">
        <v>871</v>
      </c>
      <c r="F1923" s="29" t="s">
        <v>129</v>
      </c>
      <c r="G1923" s="29" t="s">
        <v>38</v>
      </c>
      <c r="H1923" s="42">
        <v>45735</v>
      </c>
      <c r="I1923" s="130">
        <f t="shared" si="21"/>
        <v>45740</v>
      </c>
      <c r="J1923" s="130"/>
      <c r="K1923" s="130">
        <v>45737</v>
      </c>
      <c r="L1923" s="29" t="s">
        <v>663</v>
      </c>
      <c r="M1923" s="130"/>
      <c r="N1923" s="81"/>
      <c r="O1923" s="29"/>
      <c r="P1923" s="134" t="s">
        <v>1100</v>
      </c>
    </row>
    <row r="1924" spans="1:16" hidden="1">
      <c r="A1924" s="144" t="s">
        <v>344</v>
      </c>
      <c r="B1924" s="29">
        <v>78502617</v>
      </c>
      <c r="C1924" s="29"/>
      <c r="E1924" s="29" t="s">
        <v>871</v>
      </c>
      <c r="F1924" s="29" t="s">
        <v>129</v>
      </c>
      <c r="G1924" s="29" t="s">
        <v>38</v>
      </c>
      <c r="H1924" s="42">
        <v>45735</v>
      </c>
      <c r="I1924" s="130">
        <f t="shared" si="21"/>
        <v>45740</v>
      </c>
      <c r="J1924" s="130"/>
      <c r="K1924" s="130">
        <v>45737</v>
      </c>
      <c r="L1924" s="29" t="s">
        <v>663</v>
      </c>
      <c r="M1924" s="130"/>
      <c r="N1924" s="81"/>
      <c r="O1924" s="29"/>
      <c r="P1924" s="134" t="s">
        <v>1101</v>
      </c>
    </row>
    <row r="1925" spans="1:16" ht="72.75" hidden="1">
      <c r="A1925" s="144" t="s">
        <v>344</v>
      </c>
      <c r="B1925" s="29">
        <v>78502827</v>
      </c>
      <c r="C1925" s="29"/>
      <c r="E1925" s="29" t="s">
        <v>871</v>
      </c>
      <c r="F1925" s="29" t="s">
        <v>129</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344</v>
      </c>
      <c r="B1926" s="29">
        <v>78503095</v>
      </c>
      <c r="C1926" s="29"/>
      <c r="E1926" s="29" t="s">
        <v>871</v>
      </c>
      <c r="F1926" s="29" t="s">
        <v>129</v>
      </c>
      <c r="G1926" s="29" t="s">
        <v>38</v>
      </c>
      <c r="H1926" s="42">
        <v>45735</v>
      </c>
      <c r="I1926" s="130">
        <f t="shared" si="21"/>
        <v>45740</v>
      </c>
      <c r="J1926" s="130"/>
      <c r="K1926" s="130">
        <v>45737</v>
      </c>
      <c r="L1926" s="29" t="s">
        <v>663</v>
      </c>
      <c r="M1926" s="130"/>
      <c r="N1926" s="81"/>
      <c r="O1926" s="29"/>
      <c r="P1926" s="134" t="s">
        <v>1104</v>
      </c>
    </row>
    <row r="1927" spans="1:16" hidden="1">
      <c r="A1927" s="144" t="s">
        <v>344</v>
      </c>
      <c r="B1927" s="29">
        <v>78503165</v>
      </c>
      <c r="C1927" s="29"/>
      <c r="E1927" s="29" t="s">
        <v>871</v>
      </c>
      <c r="F1927" s="29" t="s">
        <v>129</v>
      </c>
      <c r="G1927" s="29" t="s">
        <v>38</v>
      </c>
      <c r="H1927" s="42">
        <v>45735</v>
      </c>
      <c r="I1927" s="130">
        <f t="shared" si="21"/>
        <v>45740</v>
      </c>
      <c r="J1927" s="130"/>
      <c r="K1927" s="130">
        <v>45737</v>
      </c>
      <c r="L1927" s="29" t="s">
        <v>663</v>
      </c>
      <c r="M1927" s="130"/>
      <c r="N1927" s="81"/>
      <c r="O1927" s="29"/>
      <c r="P1927" s="134" t="s">
        <v>1105</v>
      </c>
    </row>
    <row r="1928" spans="1:16" hidden="1">
      <c r="A1928" s="144" t="s">
        <v>344</v>
      </c>
      <c r="B1928" s="29">
        <v>78503372</v>
      </c>
      <c r="C1928" s="29"/>
      <c r="E1928" s="29" t="s">
        <v>871</v>
      </c>
      <c r="F1928" s="29" t="s">
        <v>129</v>
      </c>
      <c r="G1928" s="29" t="s">
        <v>38</v>
      </c>
      <c r="H1928" s="42">
        <v>45735</v>
      </c>
      <c r="I1928" s="130">
        <f t="shared" si="21"/>
        <v>45740</v>
      </c>
      <c r="J1928" s="130"/>
      <c r="K1928" s="130">
        <v>45737</v>
      </c>
      <c r="L1928" s="29" t="s">
        <v>663</v>
      </c>
      <c r="M1928" s="130"/>
      <c r="N1928" s="81"/>
      <c r="O1928" s="29"/>
      <c r="P1928" s="134" t="s">
        <v>1106</v>
      </c>
    </row>
    <row r="1929" spans="1:16" hidden="1">
      <c r="A1929" s="144" t="s">
        <v>344</v>
      </c>
      <c r="B1929" s="29">
        <v>78503404</v>
      </c>
      <c r="C1929" s="29"/>
      <c r="E1929" s="29" t="s">
        <v>871</v>
      </c>
      <c r="F1929" s="29" t="s">
        <v>129</v>
      </c>
      <c r="G1929" s="29" t="s">
        <v>38</v>
      </c>
      <c r="H1929" s="42">
        <v>45735</v>
      </c>
      <c r="I1929" s="130">
        <f t="shared" si="21"/>
        <v>45740</v>
      </c>
      <c r="J1929" s="130"/>
      <c r="K1929" s="130">
        <v>45737</v>
      </c>
      <c r="L1929" s="29" t="s">
        <v>663</v>
      </c>
      <c r="M1929" s="130"/>
      <c r="N1929" s="81"/>
      <c r="O1929" s="29"/>
      <c r="P1929" s="134" t="s">
        <v>1107</v>
      </c>
    </row>
    <row r="1930" spans="1:16" hidden="1">
      <c r="A1930" s="144" t="s">
        <v>344</v>
      </c>
      <c r="B1930" s="29">
        <v>78503895</v>
      </c>
      <c r="C1930" s="29"/>
      <c r="E1930" s="29" t="s">
        <v>871</v>
      </c>
      <c r="F1930" s="29" t="s">
        <v>129</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344</v>
      </c>
      <c r="B1931" s="29">
        <v>78503944</v>
      </c>
      <c r="C1931" s="29"/>
      <c r="E1931" s="29" t="s">
        <v>871</v>
      </c>
      <c r="F1931" s="29" t="s">
        <v>129</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344</v>
      </c>
      <c r="B1932" s="29">
        <v>78504005</v>
      </c>
      <c r="C1932" s="29"/>
      <c r="E1932" s="29" t="s">
        <v>871</v>
      </c>
      <c r="F1932" s="29" t="s">
        <v>129</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344</v>
      </c>
      <c r="B1933" s="29">
        <v>78504026</v>
      </c>
      <c r="C1933" s="29"/>
      <c r="E1933" s="29" t="s">
        <v>871</v>
      </c>
      <c r="F1933" s="29" t="s">
        <v>129</v>
      </c>
      <c r="G1933" s="29" t="s">
        <v>38</v>
      </c>
      <c r="H1933" s="42">
        <v>45735</v>
      </c>
      <c r="I1933" s="130">
        <f t="shared" si="22"/>
        <v>45740</v>
      </c>
      <c r="J1933" s="130"/>
      <c r="K1933" s="130">
        <v>45737</v>
      </c>
      <c r="L1933" s="29" t="s">
        <v>663</v>
      </c>
      <c r="M1933" s="130"/>
      <c r="N1933" s="81"/>
      <c r="O1933" s="29"/>
      <c r="P1933" s="134" t="s">
        <v>1114</v>
      </c>
    </row>
    <row r="1934" spans="1:16" hidden="1">
      <c r="A1934" s="144" t="s">
        <v>344</v>
      </c>
      <c r="B1934" s="29">
        <v>78504105</v>
      </c>
      <c r="C1934" s="29"/>
      <c r="E1934" s="29" t="s">
        <v>871</v>
      </c>
      <c r="F1934" s="29" t="s">
        <v>129</v>
      </c>
      <c r="G1934" s="29" t="s">
        <v>38</v>
      </c>
      <c r="H1934" s="42">
        <v>45735</v>
      </c>
      <c r="I1934" s="130">
        <f t="shared" si="22"/>
        <v>45740</v>
      </c>
      <c r="J1934" s="130"/>
      <c r="K1934" s="130">
        <v>45737</v>
      </c>
      <c r="L1934" s="29" t="s">
        <v>663</v>
      </c>
      <c r="M1934" s="130"/>
      <c r="N1934" s="81"/>
      <c r="O1934" s="29"/>
      <c r="P1934" s="134" t="s">
        <v>1000</v>
      </c>
    </row>
    <row r="1935" spans="1:16" hidden="1">
      <c r="A1935" s="144" t="s">
        <v>344</v>
      </c>
      <c r="B1935" s="29">
        <v>78504276</v>
      </c>
      <c r="C1935" s="29"/>
      <c r="E1935" s="29" t="s">
        <v>871</v>
      </c>
      <c r="F1935" s="29" t="s">
        <v>129</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118</v>
      </c>
      <c r="G1936" s="29" t="s">
        <v>123</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118</v>
      </c>
      <c r="G1937" s="29" t="s">
        <v>123</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118</v>
      </c>
      <c r="G1938" s="29" t="s">
        <v>123</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118</v>
      </c>
      <c r="G1939" s="29" t="s">
        <v>123</v>
      </c>
      <c r="H1939" s="42">
        <v>45735</v>
      </c>
      <c r="I1939" s="130">
        <f t="shared" si="22"/>
        <v>45740</v>
      </c>
      <c r="J1939" s="130"/>
      <c r="K1939" s="130">
        <v>45742</v>
      </c>
      <c r="L1939" s="29" t="s">
        <v>663</v>
      </c>
      <c r="M1939" s="130"/>
      <c r="N1939" s="81"/>
      <c r="O1939" s="29"/>
    </row>
    <row r="1940" spans="1:16" hidden="1">
      <c r="A1940" s="144" t="s">
        <v>344</v>
      </c>
      <c r="B1940" s="29">
        <v>79505047</v>
      </c>
      <c r="C1940" s="29"/>
      <c r="E1940" s="29" t="s">
        <v>871</v>
      </c>
      <c r="F1940" s="29" t="s">
        <v>129</v>
      </c>
      <c r="G1940" s="29" t="s">
        <v>38</v>
      </c>
      <c r="H1940" s="130">
        <v>45736</v>
      </c>
      <c r="I1940" s="130">
        <f t="shared" si="22"/>
        <v>45741</v>
      </c>
      <c r="J1940" s="130"/>
      <c r="K1940" s="130">
        <v>45741</v>
      </c>
      <c r="L1940" s="29" t="s">
        <v>663</v>
      </c>
      <c r="M1940" s="130"/>
      <c r="N1940" s="81"/>
      <c r="O1940" s="29"/>
      <c r="P1940" s="134" t="s">
        <v>1117</v>
      </c>
    </row>
    <row r="1941" spans="1:16" hidden="1">
      <c r="A1941" s="144" t="s">
        <v>344</v>
      </c>
      <c r="B1941" s="29">
        <v>79505209</v>
      </c>
      <c r="C1941" s="29"/>
      <c r="E1941" s="29" t="s">
        <v>871</v>
      </c>
      <c r="F1941" s="29" t="s">
        <v>129</v>
      </c>
      <c r="G1941" s="29" t="s">
        <v>38</v>
      </c>
      <c r="H1941" s="130">
        <v>45736</v>
      </c>
      <c r="I1941" s="130">
        <f t="shared" si="22"/>
        <v>45741</v>
      </c>
      <c r="J1941" s="130"/>
      <c r="K1941" s="130">
        <v>45741</v>
      </c>
      <c r="L1941" s="29" t="s">
        <v>663</v>
      </c>
      <c r="M1941" s="130"/>
      <c r="N1941" s="81"/>
      <c r="O1941" s="29"/>
      <c r="P1941" s="134" t="s">
        <v>1118</v>
      </c>
    </row>
    <row r="1942" spans="1:16" hidden="1">
      <c r="A1942" s="144" t="s">
        <v>439</v>
      </c>
      <c r="B1942" s="29">
        <v>79505636</v>
      </c>
      <c r="C1942" s="29"/>
      <c r="E1942" s="29" t="s">
        <v>871</v>
      </c>
      <c r="F1942" s="29" t="s">
        <v>129</v>
      </c>
      <c r="G1942" s="29" t="s">
        <v>38</v>
      </c>
      <c r="H1942" s="130">
        <v>45736</v>
      </c>
      <c r="I1942" s="130">
        <f t="shared" si="22"/>
        <v>45741</v>
      </c>
      <c r="J1942" s="130"/>
      <c r="K1942" s="29"/>
      <c r="L1942" s="29" t="s">
        <v>663</v>
      </c>
      <c r="M1942" s="130"/>
      <c r="N1942" s="81"/>
      <c r="O1942" s="29"/>
    </row>
    <row r="1943" spans="1:16" hidden="1">
      <c r="A1943" s="144" t="s">
        <v>439</v>
      </c>
      <c r="B1943" s="29">
        <v>79505661</v>
      </c>
      <c r="C1943" s="29"/>
      <c r="E1943" s="29" t="s">
        <v>871</v>
      </c>
      <c r="F1943" s="29" t="s">
        <v>129</v>
      </c>
      <c r="G1943" s="29" t="s">
        <v>38</v>
      </c>
      <c r="H1943" s="130">
        <v>45736</v>
      </c>
      <c r="I1943" s="130">
        <f t="shared" si="22"/>
        <v>45741</v>
      </c>
      <c r="J1943" s="130"/>
      <c r="K1943" s="29"/>
      <c r="L1943" s="29" t="s">
        <v>663</v>
      </c>
      <c r="M1943" s="130"/>
      <c r="N1943" s="81"/>
      <c r="O1943" s="29"/>
    </row>
    <row r="1944" spans="1:16" hidden="1">
      <c r="A1944" s="144" t="s">
        <v>439</v>
      </c>
      <c r="B1944" s="29">
        <v>79505691</v>
      </c>
      <c r="C1944" s="29"/>
      <c r="E1944" s="29" t="s">
        <v>871</v>
      </c>
      <c r="F1944" s="29" t="s">
        <v>129</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129</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129</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129</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129</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129</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129</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129</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129</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129</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129</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129</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129</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129</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129</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129</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129</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129</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129</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129</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129</v>
      </c>
      <c r="G1964" s="29" t="s">
        <v>38</v>
      </c>
      <c r="H1964" s="130">
        <v>45740</v>
      </c>
      <c r="I1964" s="130">
        <f t="shared" si="23"/>
        <v>45743</v>
      </c>
      <c r="J1964" s="130"/>
      <c r="K1964" s="130">
        <v>45743</v>
      </c>
      <c r="L1964" s="29" t="s">
        <v>663</v>
      </c>
      <c r="M1964" s="130"/>
      <c r="N1964" s="81"/>
      <c r="O1964" s="29">
        <v>237</v>
      </c>
      <c r="P1964" s="133" t="s">
        <v>1122</v>
      </c>
    </row>
    <row r="1965" spans="1:16" hidden="1">
      <c r="A1965" s="144" t="s">
        <v>128</v>
      </c>
      <c r="B1965" s="29">
        <v>84501054</v>
      </c>
      <c r="C1965" s="29"/>
      <c r="E1965" s="29" t="s">
        <v>871</v>
      </c>
      <c r="F1965" s="29" t="s">
        <v>129</v>
      </c>
      <c r="G1965" s="29" t="s">
        <v>38</v>
      </c>
      <c r="H1965" s="130">
        <v>45741</v>
      </c>
      <c r="I1965" s="130">
        <f t="shared" si="23"/>
        <v>45744</v>
      </c>
      <c r="J1965" s="130"/>
      <c r="K1965" s="130">
        <v>45743</v>
      </c>
      <c r="L1965" s="29" t="s">
        <v>663</v>
      </c>
      <c r="M1965" s="130"/>
      <c r="N1965" s="81"/>
      <c r="O1965" s="29">
        <v>450</v>
      </c>
      <c r="P1965" s="133" t="s">
        <v>1123</v>
      </c>
    </row>
    <row r="1966" spans="1:16" hidden="1">
      <c r="A1966" s="144" t="s">
        <v>128</v>
      </c>
      <c r="B1966" s="29">
        <v>84501078</v>
      </c>
      <c r="C1966" s="29"/>
      <c r="E1966" s="29" t="s">
        <v>871</v>
      </c>
      <c r="F1966" s="29" t="s">
        <v>129</v>
      </c>
      <c r="G1966" s="29" t="s">
        <v>38</v>
      </c>
      <c r="H1966" s="130">
        <v>45741</v>
      </c>
      <c r="I1966" s="130">
        <f t="shared" si="23"/>
        <v>45744</v>
      </c>
      <c r="J1966" s="130"/>
      <c r="K1966" s="130">
        <v>45743</v>
      </c>
      <c r="L1966" s="29" t="s">
        <v>663</v>
      </c>
      <c r="M1966" s="130"/>
      <c r="N1966" s="81"/>
      <c r="O1966" s="29">
        <v>400</v>
      </c>
      <c r="P1966" s="133" t="s">
        <v>1123</v>
      </c>
    </row>
    <row r="1967" spans="1:16" hidden="1">
      <c r="A1967" s="144" t="s">
        <v>336</v>
      </c>
      <c r="B1967" s="29">
        <v>86501243</v>
      </c>
      <c r="C1967" s="29"/>
      <c r="E1967" s="29" t="s">
        <v>871</v>
      </c>
      <c r="F1967" s="29" t="s">
        <v>129</v>
      </c>
      <c r="G1967" s="29" t="s">
        <v>38</v>
      </c>
      <c r="H1967" s="130">
        <v>45743</v>
      </c>
      <c r="I1967" s="130">
        <f t="shared" si="23"/>
        <v>45748</v>
      </c>
      <c r="J1967" s="130"/>
      <c r="K1967" s="29"/>
      <c r="L1967" s="29" t="s">
        <v>10</v>
      </c>
      <c r="M1967" s="130"/>
      <c r="N1967" s="81"/>
      <c r="O1967" s="29">
        <v>435</v>
      </c>
    </row>
    <row r="1968" spans="1:16" hidden="1">
      <c r="A1968" s="144" t="s">
        <v>336</v>
      </c>
      <c r="B1968" s="29">
        <v>86501310</v>
      </c>
      <c r="C1968" s="29"/>
      <c r="E1968" s="29" t="s">
        <v>871</v>
      </c>
      <c r="F1968" s="29" t="s">
        <v>129</v>
      </c>
      <c r="G1968" s="29" t="s">
        <v>38</v>
      </c>
      <c r="H1968" s="130">
        <v>45743</v>
      </c>
      <c r="I1968" s="130">
        <f t="shared" si="23"/>
        <v>45748</v>
      </c>
      <c r="J1968" s="130"/>
      <c r="K1968" s="29"/>
      <c r="L1968" s="29" t="s">
        <v>10</v>
      </c>
      <c r="M1968" s="130"/>
      <c r="N1968" s="81"/>
      <c r="O1968" s="29">
        <v>390</v>
      </c>
    </row>
    <row r="1969" spans="1:15" hidden="1">
      <c r="A1969" s="144" t="s">
        <v>336</v>
      </c>
      <c r="B1969" s="29">
        <v>86501321</v>
      </c>
      <c r="C1969" s="29"/>
      <c r="E1969" s="29" t="s">
        <v>871</v>
      </c>
      <c r="F1969" s="29" t="s">
        <v>129</v>
      </c>
      <c r="G1969" s="29" t="s">
        <v>38</v>
      </c>
      <c r="H1969" s="130">
        <v>45743</v>
      </c>
      <c r="I1969" s="130">
        <f t="shared" si="23"/>
        <v>45748</v>
      </c>
      <c r="J1969" s="130"/>
      <c r="K1969" s="29"/>
      <c r="L1969" s="29" t="s">
        <v>663</v>
      </c>
      <c r="M1969" s="130"/>
      <c r="N1969" s="81"/>
      <c r="O1969" s="29">
        <v>300</v>
      </c>
    </row>
    <row r="1970" spans="1:15" hidden="1">
      <c r="A1970" s="144" t="s">
        <v>336</v>
      </c>
      <c r="B1970" s="29">
        <v>86501367</v>
      </c>
      <c r="C1970" s="29"/>
      <c r="E1970" s="29" t="s">
        <v>871</v>
      </c>
      <c r="F1970" s="29" t="s">
        <v>129</v>
      </c>
      <c r="G1970" s="29" t="s">
        <v>38</v>
      </c>
      <c r="H1970" s="130">
        <v>45743</v>
      </c>
      <c r="I1970" s="130">
        <f t="shared" si="23"/>
        <v>45748</v>
      </c>
      <c r="J1970" s="130"/>
      <c r="K1970" s="29"/>
      <c r="L1970" s="29" t="s">
        <v>10</v>
      </c>
      <c r="M1970" s="130"/>
      <c r="N1970" s="81"/>
      <c r="O1970" s="29">
        <v>725</v>
      </c>
    </row>
    <row r="1971" spans="1:15" hidden="1">
      <c r="A1971" s="144" t="s">
        <v>336</v>
      </c>
      <c r="B1971" s="29">
        <v>86501381</v>
      </c>
      <c r="C1971" s="29"/>
      <c r="E1971" s="29" t="s">
        <v>871</v>
      </c>
      <c r="F1971" s="29" t="s">
        <v>129</v>
      </c>
      <c r="G1971" s="29" t="s">
        <v>38</v>
      </c>
      <c r="H1971" s="130">
        <v>45743</v>
      </c>
      <c r="I1971" s="130">
        <f t="shared" si="23"/>
        <v>45748</v>
      </c>
      <c r="J1971" s="130"/>
      <c r="K1971" s="29"/>
      <c r="L1971" s="29" t="s">
        <v>10</v>
      </c>
      <c r="M1971" s="130"/>
      <c r="N1971" s="81"/>
      <c r="O1971" s="29">
        <v>1000</v>
      </c>
    </row>
    <row r="1972" spans="1:15" hidden="1">
      <c r="A1972" s="144" t="s">
        <v>479</v>
      </c>
      <c r="B1972" s="29">
        <v>86501792</v>
      </c>
      <c r="C1972" s="29"/>
      <c r="E1972" s="29" t="s">
        <v>871</v>
      </c>
      <c r="F1972" s="29" t="s">
        <v>129</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129</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129</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129</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129</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129</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129</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129</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129</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129</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129</v>
      </c>
      <c r="G1982" s="29" t="s">
        <v>123</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129</v>
      </c>
      <c r="G1983" s="29" t="s">
        <v>123</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129</v>
      </c>
      <c r="G1984" s="29" t="s">
        <v>123</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129</v>
      </c>
      <c r="G1985" s="29" t="s">
        <v>123</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129</v>
      </c>
      <c r="G1986" s="29" t="s">
        <v>123</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129</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129</v>
      </c>
      <c r="G1988" s="29" t="s">
        <v>123</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129</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129</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129</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129</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129</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129</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129</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129</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129</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129</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129</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129</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129</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129</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129</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129</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129</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129</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129</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129</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129</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129</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129</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129</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129</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129</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129</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129</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129</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129</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129</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129</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129</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129</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129</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129</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129</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129</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129</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129</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129</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129</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129</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129</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129</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129</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129</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129</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129</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129</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129</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129</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129</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129</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129</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129</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129</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129</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129</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129</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129</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129</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129</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129</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129</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129</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129</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129</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129</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129</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129</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129</v>
      </c>
      <c r="G2060" s="29" t="s">
        <v>569</v>
      </c>
      <c r="H2060" s="130">
        <v>45764</v>
      </c>
      <c r="I2060" s="130">
        <f t="shared" si="24"/>
        <v>45769</v>
      </c>
      <c r="J2060" s="130"/>
      <c r="K2060" s="29"/>
      <c r="L2060" s="29" t="s">
        <v>1163</v>
      </c>
      <c r="M2060" s="29"/>
      <c r="N2060" s="81"/>
      <c r="O2060" s="160">
        <v>670</v>
      </c>
      <c r="P2060" s="134" t="s">
        <v>1162</v>
      </c>
    </row>
    <row r="2061" spans="1:16" hidden="1">
      <c r="A2061" s="144" t="s">
        <v>344</v>
      </c>
      <c r="B2061" s="29">
        <v>106500474</v>
      </c>
      <c r="C2061" s="29"/>
      <c r="E2061" s="29" t="s">
        <v>960</v>
      </c>
      <c r="F2061" s="29" t="s">
        <v>129</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344</v>
      </c>
      <c r="B2062" s="29">
        <v>93500953</v>
      </c>
      <c r="C2062" s="29"/>
      <c r="E2062" s="29" t="s">
        <v>960</v>
      </c>
      <c r="F2062" s="29" t="s">
        <v>129</v>
      </c>
      <c r="G2062" s="29" t="s">
        <v>38</v>
      </c>
      <c r="H2062" s="130">
        <v>45750</v>
      </c>
      <c r="I2062" s="130">
        <f t="shared" si="24"/>
        <v>45755</v>
      </c>
      <c r="J2062" s="130"/>
      <c r="K2062" s="29"/>
      <c r="L2062" s="29" t="s">
        <v>663</v>
      </c>
      <c r="M2062" s="130"/>
      <c r="N2062" s="148" t="s">
        <v>1167</v>
      </c>
      <c r="O2062" s="29">
        <v>210</v>
      </c>
      <c r="P2062" s="134" t="s">
        <v>1168</v>
      </c>
    </row>
    <row r="2063" spans="1:16" hidden="1">
      <c r="A2063" s="144" t="s">
        <v>344</v>
      </c>
      <c r="B2063" s="29">
        <v>98505401</v>
      </c>
      <c r="C2063" s="29"/>
      <c r="E2063" s="29" t="s">
        <v>960</v>
      </c>
      <c r="F2063" s="29" t="s">
        <v>129</v>
      </c>
      <c r="G2063" s="29" t="s">
        <v>38</v>
      </c>
      <c r="H2063" s="130">
        <v>45755</v>
      </c>
      <c r="I2063" s="130">
        <f t="shared" si="24"/>
        <v>45758</v>
      </c>
      <c r="J2063" s="130"/>
      <c r="K2063" s="29"/>
      <c r="L2063" s="29" t="s">
        <v>663</v>
      </c>
      <c r="M2063" s="130"/>
      <c r="N2063" s="81"/>
      <c r="O2063" s="29">
        <v>70</v>
      </c>
      <c r="P2063" s="134" t="s">
        <v>1169</v>
      </c>
    </row>
    <row r="2064" spans="1:16" hidden="1">
      <c r="A2064" s="144" t="s">
        <v>344</v>
      </c>
      <c r="B2064" s="29">
        <v>98505823</v>
      </c>
      <c r="C2064" s="29"/>
      <c r="E2064" s="29" t="s">
        <v>960</v>
      </c>
      <c r="F2064" s="29" t="s">
        <v>129</v>
      </c>
      <c r="G2064" s="29" t="s">
        <v>38</v>
      </c>
      <c r="H2064" s="130">
        <v>45755</v>
      </c>
      <c r="I2064" s="130">
        <f t="shared" si="24"/>
        <v>45758</v>
      </c>
      <c r="J2064" s="130"/>
      <c r="K2064" s="29"/>
      <c r="L2064" s="29" t="s">
        <v>663</v>
      </c>
      <c r="M2064" s="130"/>
      <c r="N2064" s="81"/>
      <c r="O2064" s="29">
        <v>165</v>
      </c>
    </row>
    <row r="2065" spans="1:16" hidden="1">
      <c r="A2065" s="144" t="s">
        <v>344</v>
      </c>
      <c r="B2065" s="29">
        <v>99501174</v>
      </c>
      <c r="C2065" s="29"/>
      <c r="E2065" s="29" t="s">
        <v>960</v>
      </c>
      <c r="F2065" s="29" t="s">
        <v>129</v>
      </c>
      <c r="G2065" s="29" t="s">
        <v>38</v>
      </c>
      <c r="H2065" s="130">
        <v>45756</v>
      </c>
      <c r="I2065" s="130">
        <f t="shared" si="24"/>
        <v>45761</v>
      </c>
      <c r="J2065" s="130"/>
      <c r="K2065" s="29"/>
      <c r="L2065" s="29" t="s">
        <v>663</v>
      </c>
      <c r="M2065" s="130"/>
      <c r="N2065" s="81" t="s">
        <v>1170</v>
      </c>
      <c r="O2065" s="29">
        <v>320</v>
      </c>
      <c r="P2065" s="169" t="s">
        <v>1171</v>
      </c>
    </row>
    <row r="2066" spans="1:16" hidden="1">
      <c r="A2066" s="144" t="s">
        <v>344</v>
      </c>
      <c r="B2066" s="29">
        <v>101502482</v>
      </c>
      <c r="C2066" s="29"/>
      <c r="E2066" s="29" t="s">
        <v>960</v>
      </c>
      <c r="F2066" s="29" t="s">
        <v>129</v>
      </c>
      <c r="G2066" s="29" t="s">
        <v>38</v>
      </c>
      <c r="H2066" s="130">
        <v>45758</v>
      </c>
      <c r="I2066" s="130">
        <f t="shared" si="24"/>
        <v>45763</v>
      </c>
      <c r="J2066" s="130"/>
      <c r="K2066" s="29"/>
      <c r="L2066" s="29" t="s">
        <v>663</v>
      </c>
      <c r="M2066" s="130"/>
      <c r="N2066" s="81" t="s">
        <v>1172</v>
      </c>
      <c r="O2066" s="29">
        <v>200</v>
      </c>
      <c r="P2066" s="134" t="s">
        <v>1173</v>
      </c>
    </row>
    <row r="2067" spans="1:16" hidden="1">
      <c r="A2067" s="144" t="s">
        <v>344</v>
      </c>
      <c r="B2067" s="29">
        <v>101503453</v>
      </c>
      <c r="C2067" s="29"/>
      <c r="E2067" s="29" t="s">
        <v>960</v>
      </c>
      <c r="F2067" s="29" t="s">
        <v>129</v>
      </c>
      <c r="G2067" s="29" t="s">
        <v>38</v>
      </c>
      <c r="H2067" s="130">
        <v>45758</v>
      </c>
      <c r="I2067" s="130">
        <f t="shared" si="24"/>
        <v>45763</v>
      </c>
      <c r="J2067" s="130"/>
      <c r="K2067" s="29"/>
      <c r="L2067" s="29" t="s">
        <v>663</v>
      </c>
      <c r="M2067" s="130"/>
      <c r="N2067" s="81" t="s">
        <v>1174</v>
      </c>
      <c r="O2067" s="29">
        <v>330</v>
      </c>
      <c r="P2067" s="134" t="s">
        <v>1175</v>
      </c>
    </row>
    <row r="2068" spans="1:16" hidden="1">
      <c r="A2068" s="144" t="s">
        <v>344</v>
      </c>
      <c r="B2068" s="29">
        <v>101503999</v>
      </c>
      <c r="C2068" s="29"/>
      <c r="E2068" s="29" t="s">
        <v>960</v>
      </c>
      <c r="F2068" s="29" t="s">
        <v>129</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344</v>
      </c>
      <c r="B2069" s="29">
        <v>106500950</v>
      </c>
      <c r="C2069" s="29"/>
      <c r="E2069" s="29"/>
      <c r="F2069" s="29" t="s">
        <v>129</v>
      </c>
      <c r="G2069" s="29" t="s">
        <v>38</v>
      </c>
      <c r="H2069" s="130">
        <v>45763</v>
      </c>
      <c r="I2069" s="130">
        <f t="shared" si="24"/>
        <v>45768</v>
      </c>
      <c r="J2069" s="130"/>
      <c r="K2069" s="29"/>
      <c r="L2069" s="29" t="s">
        <v>663</v>
      </c>
      <c r="M2069" s="130"/>
      <c r="N2069" s="81" t="s">
        <v>1178</v>
      </c>
      <c r="O2069" s="29">
        <v>345</v>
      </c>
      <c r="P2069" s="134" t="s">
        <v>1179</v>
      </c>
    </row>
    <row r="2070" spans="1:16" hidden="1">
      <c r="A2070" s="144" t="s">
        <v>344</v>
      </c>
      <c r="B2070" s="29">
        <v>107501877</v>
      </c>
      <c r="C2070" s="29"/>
      <c r="E2070" s="29" t="s">
        <v>960</v>
      </c>
      <c r="F2070" s="29" t="s">
        <v>129</v>
      </c>
      <c r="G2070" s="29" t="s">
        <v>38</v>
      </c>
      <c r="H2070" s="130">
        <v>45764</v>
      </c>
      <c r="I2070" s="130">
        <f t="shared" si="24"/>
        <v>45769</v>
      </c>
      <c r="J2070" s="130"/>
      <c r="K2070" s="29"/>
      <c r="L2070" s="29" t="s">
        <v>663</v>
      </c>
      <c r="M2070" s="130"/>
      <c r="N2070" s="81"/>
      <c r="O2070" s="29">
        <v>250</v>
      </c>
      <c r="P2070" s="134" t="s">
        <v>1180</v>
      </c>
    </row>
    <row r="2071" spans="1:16" hidden="1">
      <c r="A2071" s="144" t="s">
        <v>344</v>
      </c>
      <c r="B2071" s="29">
        <v>107502240</v>
      </c>
      <c r="C2071" s="29"/>
      <c r="E2071" s="29" t="s">
        <v>960</v>
      </c>
      <c r="F2071" s="29" t="s">
        <v>129</v>
      </c>
      <c r="G2071" s="29" t="s">
        <v>38</v>
      </c>
      <c r="H2071" s="130">
        <v>45764</v>
      </c>
      <c r="I2071" s="130">
        <f t="shared" si="24"/>
        <v>45769</v>
      </c>
      <c r="J2071" s="130"/>
      <c r="K2071" s="29"/>
      <c r="L2071" s="29" t="s">
        <v>663</v>
      </c>
      <c r="M2071" s="130"/>
      <c r="N2071" s="81"/>
      <c r="O2071" s="29">
        <v>100</v>
      </c>
      <c r="P2071" s="134" t="s">
        <v>1103</v>
      </c>
    </row>
    <row r="2072" spans="1:16" hidden="1">
      <c r="A2072" s="144" t="s">
        <v>344</v>
      </c>
      <c r="B2072" s="29">
        <v>111500938</v>
      </c>
      <c r="C2072" s="29"/>
      <c r="E2072" s="29" t="s">
        <v>960</v>
      </c>
      <c r="F2072" s="29" t="s">
        <v>129</v>
      </c>
      <c r="G2072" s="29" t="s">
        <v>38</v>
      </c>
      <c r="H2072" s="130">
        <v>45768</v>
      </c>
      <c r="I2072" s="130">
        <f t="shared" si="24"/>
        <v>45771</v>
      </c>
      <c r="J2072" s="130"/>
      <c r="K2072" s="29"/>
      <c r="L2072" s="29" t="s">
        <v>663</v>
      </c>
      <c r="M2072" s="130"/>
      <c r="N2072" s="81" t="s">
        <v>1181</v>
      </c>
      <c r="O2072" s="29">
        <v>160</v>
      </c>
      <c r="P2072" s="134" t="s">
        <v>1182</v>
      </c>
    </row>
    <row r="2073" spans="1:16" hidden="1">
      <c r="A2073" s="144" t="s">
        <v>344</v>
      </c>
      <c r="B2073" s="29">
        <v>111506803</v>
      </c>
      <c r="C2073" s="29"/>
      <c r="E2073" s="29" t="s">
        <v>960</v>
      </c>
      <c r="F2073" s="29" t="s">
        <v>129</v>
      </c>
      <c r="G2073" s="29" t="s">
        <v>38</v>
      </c>
      <c r="H2073" s="130">
        <v>45768</v>
      </c>
      <c r="I2073" s="130">
        <f t="shared" si="24"/>
        <v>45771</v>
      </c>
      <c r="J2073" s="130"/>
      <c r="K2073" s="29"/>
      <c r="L2073" s="29" t="s">
        <v>663</v>
      </c>
      <c r="M2073" s="130"/>
      <c r="N2073" s="81" t="s">
        <v>1176</v>
      </c>
      <c r="O2073" s="29">
        <v>200</v>
      </c>
      <c r="P2073" s="134" t="s">
        <v>1183</v>
      </c>
    </row>
    <row r="2074" spans="1:16" hidden="1">
      <c r="A2074" s="144" t="s">
        <v>344</v>
      </c>
      <c r="B2074" s="29">
        <v>111506867</v>
      </c>
      <c r="C2074" s="29"/>
      <c r="E2074" s="29" t="s">
        <v>960</v>
      </c>
      <c r="F2074" s="29" t="s">
        <v>129</v>
      </c>
      <c r="G2074" s="29" t="s">
        <v>38</v>
      </c>
      <c r="H2074" s="130">
        <v>45768</v>
      </c>
      <c r="I2074" s="130">
        <f t="shared" si="24"/>
        <v>45771</v>
      </c>
      <c r="J2074" s="130"/>
      <c r="K2074" s="29"/>
      <c r="L2074" s="29" t="s">
        <v>663</v>
      </c>
      <c r="M2074" s="130"/>
      <c r="N2074" s="81"/>
      <c r="O2074" s="29">
        <v>120</v>
      </c>
      <c r="P2074" s="134" t="s">
        <v>1184</v>
      </c>
    </row>
    <row r="2075" spans="1:16" hidden="1">
      <c r="A2075" s="144" t="s">
        <v>344</v>
      </c>
      <c r="B2075" s="29">
        <v>111506944</v>
      </c>
      <c r="C2075" s="29"/>
      <c r="E2075" s="29" t="s">
        <v>960</v>
      </c>
      <c r="F2075" s="29" t="s">
        <v>129</v>
      </c>
      <c r="G2075" s="29" t="s">
        <v>38</v>
      </c>
      <c r="H2075" s="130">
        <v>45768</v>
      </c>
      <c r="I2075" s="130">
        <f t="shared" si="24"/>
        <v>45771</v>
      </c>
      <c r="J2075" s="130"/>
      <c r="K2075" s="29"/>
      <c r="L2075" s="29" t="s">
        <v>663</v>
      </c>
      <c r="M2075" s="130"/>
      <c r="N2075" s="81"/>
      <c r="O2075" s="29">
        <v>260</v>
      </c>
      <c r="P2075" s="134" t="s">
        <v>1184</v>
      </c>
    </row>
    <row r="2076" spans="1:16" hidden="1">
      <c r="A2076" s="144" t="s">
        <v>344</v>
      </c>
      <c r="B2076" s="29">
        <v>118500711</v>
      </c>
      <c r="C2076" s="29"/>
      <c r="E2076" s="29" t="s">
        <v>960</v>
      </c>
      <c r="F2076" s="29" t="s">
        <v>129</v>
      </c>
      <c r="G2076" s="29" t="s">
        <v>38</v>
      </c>
      <c r="H2076" s="130">
        <v>45772</v>
      </c>
      <c r="I2076" s="130">
        <f t="shared" si="24"/>
        <v>45777</v>
      </c>
      <c r="J2076" s="130"/>
      <c r="K2076" s="29"/>
      <c r="L2076" s="29" t="s">
        <v>663</v>
      </c>
      <c r="M2076" s="130"/>
      <c r="N2076" s="81"/>
      <c r="O2076" s="160">
        <v>90</v>
      </c>
    </row>
    <row r="2077" spans="1:16" hidden="1">
      <c r="A2077" s="144" t="s">
        <v>344</v>
      </c>
      <c r="B2077" s="29">
        <v>118500746</v>
      </c>
      <c r="C2077" s="29"/>
      <c r="E2077" s="29" t="s">
        <v>960</v>
      </c>
      <c r="F2077" s="29" t="s">
        <v>129</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129</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129</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129</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129</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129</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129</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129</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129</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129</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129</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129</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129</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129</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129</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129</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129</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129</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129</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129</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129</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129</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129</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129</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129</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129</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129</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129</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129</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129</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129</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129</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129</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129</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129</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129</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129</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129</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129</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129</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129</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129</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129</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129</v>
      </c>
      <c r="G2120" s="29" t="s">
        <v>38</v>
      </c>
      <c r="H2120" s="130">
        <v>45757</v>
      </c>
      <c r="I2120" s="130">
        <f t="shared" si="25"/>
        <v>45762</v>
      </c>
      <c r="J2120" s="130"/>
      <c r="K2120" s="130">
        <v>45762</v>
      </c>
      <c r="L2120" s="29" t="s">
        <v>663</v>
      </c>
      <c r="M2120" s="130"/>
      <c r="N2120" s="81"/>
      <c r="O2120" s="29">
        <v>950</v>
      </c>
      <c r="P2120" s="134" t="s">
        <v>413</v>
      </c>
    </row>
    <row r="2121" spans="1:16" hidden="1">
      <c r="A2121" s="144" t="s">
        <v>1185</v>
      </c>
      <c r="B2121" s="29">
        <v>100502739</v>
      </c>
      <c r="C2121" s="29"/>
      <c r="E2121" s="29" t="s">
        <v>960</v>
      </c>
      <c r="F2121" s="29" t="s">
        <v>129</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129</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129</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129</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129</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129</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129</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129</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129</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129</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129</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129</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129</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129</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129</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129</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129</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129</v>
      </c>
      <c r="G2138" s="29" t="s">
        <v>38</v>
      </c>
      <c r="H2138" s="130">
        <v>45763</v>
      </c>
      <c r="I2138" s="130">
        <f t="shared" si="25"/>
        <v>45768</v>
      </c>
      <c r="J2138" s="130"/>
      <c r="K2138" s="29"/>
      <c r="L2138" s="29" t="s">
        <v>1159</v>
      </c>
      <c r="M2138" s="29"/>
      <c r="N2138" s="81"/>
      <c r="O2138" s="29">
        <v>575</v>
      </c>
      <c r="P2138" s="134" t="s">
        <v>1188</v>
      </c>
    </row>
    <row r="2139" spans="1:16" hidden="1">
      <c r="A2139" s="144" t="s">
        <v>344</v>
      </c>
      <c r="B2139" s="29">
        <v>111500902</v>
      </c>
      <c r="C2139" s="29"/>
      <c r="E2139" s="29" t="s">
        <v>960</v>
      </c>
      <c r="F2139" s="29" t="s">
        <v>129</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129</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129</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129</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129</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129</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129</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129</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129</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129</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129</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129</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129</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129</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129</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129</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129</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129</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129</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129</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129</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129</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129</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129</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129</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129</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129</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129</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129</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129</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129</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129</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129</v>
      </c>
      <c r="G2171" s="29" t="s">
        <v>38</v>
      </c>
      <c r="H2171" s="130">
        <v>45768</v>
      </c>
      <c r="I2171" s="130">
        <f t="shared" si="26"/>
        <v>45771</v>
      </c>
      <c r="J2171" s="130"/>
      <c r="K2171" s="29"/>
      <c r="L2171" s="29" t="s">
        <v>1159</v>
      </c>
      <c r="M2171" s="29"/>
      <c r="N2171" s="81"/>
      <c r="O2171" s="29">
        <v>140</v>
      </c>
      <c r="P2171" s="134" t="s">
        <v>1189</v>
      </c>
    </row>
    <row r="2172" spans="1:16" hidden="1">
      <c r="A2172" s="144" t="s">
        <v>344</v>
      </c>
      <c r="B2172" s="29">
        <v>107502870</v>
      </c>
      <c r="C2172" s="29"/>
      <c r="E2172" s="29" t="s">
        <v>960</v>
      </c>
      <c r="F2172" s="29" t="s">
        <v>129</v>
      </c>
      <c r="G2172" s="29" t="s">
        <v>38</v>
      </c>
      <c r="H2172" s="130">
        <v>45764</v>
      </c>
      <c r="I2172" s="130">
        <f t="shared" si="26"/>
        <v>45769</v>
      </c>
      <c r="J2172" s="130"/>
      <c r="K2172" s="29"/>
      <c r="L2172" s="29" t="s">
        <v>1159</v>
      </c>
      <c r="M2172" s="29"/>
      <c r="N2172" s="81" t="s">
        <v>1201</v>
      </c>
      <c r="O2172" s="29">
        <v>150</v>
      </c>
      <c r="P2172" s="134" t="s">
        <v>1202</v>
      </c>
    </row>
    <row r="2173" spans="1:16" hidden="1">
      <c r="A2173" s="144" t="s">
        <v>439</v>
      </c>
      <c r="B2173" s="29">
        <v>135502167</v>
      </c>
      <c r="C2173" s="29"/>
      <c r="E2173" s="29" t="s">
        <v>1203</v>
      </c>
      <c r="F2173" s="29" t="s">
        <v>129</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129</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129</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129</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129</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129</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129</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129</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129</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129</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129</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129</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129</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129</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129</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129</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129</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129</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129</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129</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129</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129</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129</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129</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129</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129</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129</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129</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129</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129</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129</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129</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129</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129</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129</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129</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129</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129</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129</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129</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129</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129</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129</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129</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129</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129</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129</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129</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129</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129</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129</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129</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129</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129</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129</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129</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129</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129</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129</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129</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129</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129</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129</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129</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129</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129</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129</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129</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129</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129</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129</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129</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129</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129</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129</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129</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129</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129</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129</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129</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129</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129</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129</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129</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129</v>
      </c>
      <c r="G2257" s="29" t="s">
        <v>38</v>
      </c>
      <c r="H2257" s="130">
        <v>45761</v>
      </c>
      <c r="I2257" s="130">
        <f t="shared" si="27"/>
        <v>45764</v>
      </c>
      <c r="J2257" s="130">
        <v>45791</v>
      </c>
      <c r="K2257" s="130">
        <v>45763</v>
      </c>
      <c r="L2257" s="29" t="s">
        <v>663</v>
      </c>
      <c r="M2257" s="130"/>
      <c r="N2257" s="81"/>
      <c r="O2257" s="29">
        <v>230</v>
      </c>
    </row>
    <row r="2258" spans="1:15" hidden="1">
      <c r="A2258" s="144" t="s">
        <v>482</v>
      </c>
      <c r="B2258" s="29">
        <v>104502093</v>
      </c>
      <c r="C2258" s="29"/>
      <c r="E2258" s="29" t="s">
        <v>960</v>
      </c>
      <c r="F2258" s="29" t="s">
        <v>129</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129</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129</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129</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129</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129</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129</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129</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129</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129</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129</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129</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129</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129</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129</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129</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129</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129</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129</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129</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129</v>
      </c>
      <c r="G2294" s="29" t="s">
        <v>38</v>
      </c>
      <c r="H2294" s="130">
        <v>45768</v>
      </c>
      <c r="I2294" s="130">
        <f t="shared" si="28"/>
        <v>45771</v>
      </c>
      <c r="J2294" s="130">
        <v>45798</v>
      </c>
      <c r="K2294" s="29"/>
      <c r="L2294" s="29" t="s">
        <v>1204</v>
      </c>
      <c r="M2294" s="130"/>
      <c r="N2294" s="81">
        <v>300</v>
      </c>
      <c r="O2294" s="144" t="s">
        <v>1204</v>
      </c>
    </row>
    <row r="2295" spans="1:15" hidden="1">
      <c r="A2295" s="144" t="s">
        <v>336</v>
      </c>
      <c r="B2295" s="29">
        <v>111506703</v>
      </c>
      <c r="C2295" s="29">
        <v>141500347</v>
      </c>
      <c r="D2295" s="29"/>
      <c r="E2295" s="29" t="s">
        <v>960</v>
      </c>
      <c r="F2295" s="29" t="s">
        <v>129</v>
      </c>
      <c r="G2295" s="29" t="s">
        <v>38</v>
      </c>
      <c r="H2295" s="130">
        <v>45768</v>
      </c>
      <c r="I2295" s="130">
        <f t="shared" si="28"/>
        <v>45771</v>
      </c>
      <c r="J2295" s="130">
        <v>45798</v>
      </c>
      <c r="K2295" s="29"/>
      <c r="L2295" s="29" t="s">
        <v>803</v>
      </c>
      <c r="M2295" s="130"/>
      <c r="N2295" s="81">
        <v>500</v>
      </c>
      <c r="O2295" s="144" t="s">
        <v>1204</v>
      </c>
    </row>
    <row r="2296" spans="1:15" hidden="1">
      <c r="A2296" s="144" t="s">
        <v>336</v>
      </c>
      <c r="B2296" s="29">
        <v>113500840</v>
      </c>
      <c r="C2296" s="29"/>
      <c r="D2296" s="29"/>
      <c r="E2296" s="29" t="s">
        <v>960</v>
      </c>
      <c r="F2296" s="29" t="s">
        <v>129</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129</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129</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129</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129</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129</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129</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129</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129</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129</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129</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129</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129</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129</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129</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129</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129</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129</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129</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129</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129</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129</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129</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129</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129</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129</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129</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129</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129</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129</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129</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129</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129</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129</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129</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129</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129</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129</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129</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129</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129</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129</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129</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129</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129</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129</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129</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129</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129</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129</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129</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129</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129</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129</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129</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129</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129</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129</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129</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129</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129</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129</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129</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129</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129</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129</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129</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129</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129</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129</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129</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129</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129</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129</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129</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129</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129</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129</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129</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129</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129</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129</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129</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129</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129</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129</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129</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129</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129</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129</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129</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129</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129</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129</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129</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129</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129</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129</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129</v>
      </c>
      <c r="G2412" s="29" t="s">
        <v>38</v>
      </c>
      <c r="H2412" s="130">
        <v>45791</v>
      </c>
      <c r="I2412" s="130">
        <f t="shared" si="30"/>
        <v>45796</v>
      </c>
      <c r="J2412" s="130">
        <v>45822</v>
      </c>
      <c r="K2412" s="130">
        <v>45797</v>
      </c>
      <c r="L2412" s="29" t="s">
        <v>663</v>
      </c>
      <c r="M2412" s="130"/>
      <c r="N2412" s="166">
        <v>315</v>
      </c>
      <c r="O2412" s="144" t="s">
        <v>413</v>
      </c>
    </row>
    <row r="2413" spans="1:15" hidden="1">
      <c r="A2413" s="144" t="s">
        <v>976</v>
      </c>
      <c r="B2413" s="29">
        <v>134502005</v>
      </c>
      <c r="C2413" s="29"/>
      <c r="D2413" s="29"/>
      <c r="E2413" s="29" t="s">
        <v>960</v>
      </c>
      <c r="F2413" s="29" t="s">
        <v>129</v>
      </c>
      <c r="G2413" s="29" t="s">
        <v>38</v>
      </c>
      <c r="H2413" s="130">
        <v>45791</v>
      </c>
      <c r="I2413" s="130">
        <f t="shared" si="30"/>
        <v>45796</v>
      </c>
      <c r="J2413" s="130">
        <v>45822</v>
      </c>
      <c r="K2413" s="130">
        <v>45797</v>
      </c>
      <c r="L2413" s="29" t="s">
        <v>663</v>
      </c>
      <c r="M2413" s="130"/>
      <c r="N2413" s="166">
        <v>50</v>
      </c>
      <c r="O2413" s="144" t="s">
        <v>413</v>
      </c>
    </row>
    <row r="2414" spans="1:15" hidden="1">
      <c r="A2414" s="144" t="s">
        <v>976</v>
      </c>
      <c r="B2414" s="29">
        <v>134502258</v>
      </c>
      <c r="C2414" s="29"/>
      <c r="D2414" s="29"/>
      <c r="E2414" s="29" t="s">
        <v>960</v>
      </c>
      <c r="F2414" s="29" t="s">
        <v>129</v>
      </c>
      <c r="G2414" s="29" t="s">
        <v>38</v>
      </c>
      <c r="H2414" s="130">
        <v>45791</v>
      </c>
      <c r="I2414" s="130">
        <f t="shared" si="30"/>
        <v>45796</v>
      </c>
      <c r="J2414" s="130">
        <v>45822</v>
      </c>
      <c r="K2414" s="130">
        <v>45797</v>
      </c>
      <c r="L2414" s="29" t="s">
        <v>663</v>
      </c>
      <c r="M2414" s="130"/>
      <c r="N2414" s="166">
        <v>375</v>
      </c>
      <c r="O2414" s="144" t="s">
        <v>413</v>
      </c>
    </row>
    <row r="2415" spans="1:15" hidden="1">
      <c r="A2415" s="129" t="s">
        <v>968</v>
      </c>
      <c r="B2415" s="29">
        <v>135507443</v>
      </c>
      <c r="C2415" s="29"/>
      <c r="D2415" s="29"/>
      <c r="E2415" s="29" t="s">
        <v>1215</v>
      </c>
      <c r="F2415" s="29" t="s">
        <v>129</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129</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129</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129</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129</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129</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129</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129</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129</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129</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129</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129</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129</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129</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129</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129</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129</v>
      </c>
      <c r="G2431" s="29" t="s">
        <v>38</v>
      </c>
      <c r="H2431" s="130">
        <v>45793</v>
      </c>
      <c r="I2431" s="130">
        <f t="shared" si="30"/>
        <v>45798</v>
      </c>
      <c r="J2431" s="130">
        <v>45824</v>
      </c>
      <c r="K2431" s="130">
        <v>45797</v>
      </c>
      <c r="L2431" s="29" t="s">
        <v>1204</v>
      </c>
      <c r="M2431" s="29"/>
      <c r="N2431" s="166">
        <v>580</v>
      </c>
      <c r="O2431" s="144" t="s">
        <v>1188</v>
      </c>
    </row>
    <row r="2432" spans="1:15" hidden="1">
      <c r="A2432" s="144" t="s">
        <v>344</v>
      </c>
      <c r="B2432" s="29">
        <v>139507590</v>
      </c>
      <c r="C2432" s="29"/>
      <c r="D2432" s="29"/>
      <c r="E2432" s="29" t="s">
        <v>1203</v>
      </c>
      <c r="F2432" s="29" t="s">
        <v>129</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129</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129</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129</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129</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129</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129</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129</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129</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129</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129</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129</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129</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129</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129</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129</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129</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129</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129</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129</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129</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129</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129</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129</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129</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129</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129</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129</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129</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129</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129</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129</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129</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129</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129</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129</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129</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129</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129</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129</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129</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129</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129</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129</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129</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129</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129</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129</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129</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129</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129</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129</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129</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129</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129</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129</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129</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129</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129</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129</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129</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129</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129</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129</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129</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129</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129</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129</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129</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129</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129</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129</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129</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129</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129</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129</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129</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129</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129</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129</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129</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129</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129</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129</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129</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129</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129</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129</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129</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129</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129</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129</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129</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129</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129</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129</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129</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129</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129</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129</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129</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129</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129</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129</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129</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129</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129</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129</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129</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129</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129</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129</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129</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129</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129</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129</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129</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129</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129</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129</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129</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129</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129</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129</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129</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129</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129</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129</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129</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129</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129</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129</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129</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129</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129</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129</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129</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129</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129</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129</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129</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129</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129</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129</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129</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129</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129</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129</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129</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129</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129</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129</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129</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129</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129</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129</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129</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129</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129</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129</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129</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129</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129</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129</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129</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129</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129</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129</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129</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129</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129</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129</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129</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129</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129</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129</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129</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129</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129</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129</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129</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129</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129</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129</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129</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129</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129</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129</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129</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129</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129</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129</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129</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129</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129</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129</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129</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129</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129</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129</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129</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129</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129</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129</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129</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129</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129</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129</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129</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129</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129</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129</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129</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212</v>
      </c>
      <c r="B2662" s="29">
        <v>198501371</v>
      </c>
      <c r="C2662" s="29"/>
      <c r="D2662" s="29"/>
      <c r="E2662" s="29" t="s">
        <v>960</v>
      </c>
      <c r="F2662" s="29" t="s">
        <v>129</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129</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129</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129</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129</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129</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129</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129</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129</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129</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129</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129</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129</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129</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129</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129</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129</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129</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129</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129</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129</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129</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129</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129</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129</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129</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129</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129</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129</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129</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129</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129</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129</v>
      </c>
      <c r="G2694" s="29" t="s">
        <v>38</v>
      </c>
      <c r="H2694" s="130">
        <v>45862</v>
      </c>
      <c r="I2694" s="130">
        <f t="shared" si="34"/>
        <v>45867</v>
      </c>
      <c r="J2694" s="130">
        <v>45893</v>
      </c>
      <c r="K2694" s="29"/>
      <c r="L2694" s="29" t="s">
        <v>663</v>
      </c>
      <c r="M2694" s="130"/>
      <c r="N2694" s="166">
        <v>500</v>
      </c>
    </row>
    <row r="2695" spans="1:14" hidden="1">
      <c r="A2695" s="144" t="s">
        <v>144</v>
      </c>
      <c r="B2695" s="29">
        <v>206503010</v>
      </c>
      <c r="C2695" s="29"/>
      <c r="D2695" s="29"/>
      <c r="E2695" s="29" t="s">
        <v>960</v>
      </c>
      <c r="F2695" s="29" t="s">
        <v>129</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129</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129</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336</v>
      </c>
      <c r="B2744" s="29">
        <v>220501746</v>
      </c>
      <c r="C2744" s="29"/>
      <c r="D2744" s="29"/>
      <c r="E2744" s="29" t="s">
        <v>960</v>
      </c>
      <c r="F2744" s="29" t="s">
        <v>129</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129</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129</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129</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129</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129</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129</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129</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129</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129</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129</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129</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129</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129</v>
      </c>
      <c r="G2786" s="29" t="s">
        <v>38</v>
      </c>
      <c r="H2786" s="130">
        <v>45910</v>
      </c>
      <c r="I2786" s="130">
        <f t="shared" si="36"/>
        <v>45915</v>
      </c>
      <c r="J2786" s="130">
        <v>45940</v>
      </c>
      <c r="K2786" s="29"/>
      <c r="L2786" s="29" t="s">
        <v>483</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129</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129</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129</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129</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129</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129</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129</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129</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129</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129</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129</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129</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129</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129</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129</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129</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129</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129</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129</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129</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129</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129</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129</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129</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129</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129</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129</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129</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483</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483</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483</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483</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483</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129</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129</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129</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129</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129</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129</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129</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129</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129</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129</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129</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129</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129</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129</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129</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129</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129</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129</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129</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129</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129</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129</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129</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129</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129</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129</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129</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129</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129</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129</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129</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129</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129</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129</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129</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129</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129</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129</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129</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129</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129</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129</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129</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129</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129</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129</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129</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129</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129</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129</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129</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129</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129</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129</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129</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129</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129</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129</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129</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129</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129</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129</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129</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129</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129</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129</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129</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129</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129</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129</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129</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129</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129</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129</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118</v>
      </c>
      <c r="G3500" s="29" t="s">
        <v>119</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118</v>
      </c>
      <c r="G3501" s="29" t="s">
        <v>119</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118</v>
      </c>
      <c r="G3502" s="29" t="s">
        <v>119</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118</v>
      </c>
      <c r="G3503" s="29" t="s">
        <v>119</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129</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129</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129</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129</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129</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129</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129</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129</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129</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129</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129</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129</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129</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129</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129</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118</v>
      </c>
      <c r="G3576" s="29" t="s">
        <v>119</v>
      </c>
      <c r="H3576" s="29"/>
      <c r="I3576" s="29"/>
      <c r="J3576" s="29"/>
      <c r="K3576" s="29"/>
      <c r="L3576" s="29"/>
      <c r="M3576" s="29"/>
      <c r="N3576" s="166"/>
    </row>
    <row r="3577" spans="1:14" hidden="1">
      <c r="A3577" s="170" t="s">
        <v>1413</v>
      </c>
      <c r="B3577" s="88">
        <v>349501580</v>
      </c>
      <c r="C3577" s="29"/>
      <c r="D3577" s="29"/>
      <c r="E3577" s="29"/>
      <c r="F3577" s="29" t="s">
        <v>118</v>
      </c>
      <c r="G3577" s="29" t="s">
        <v>119</v>
      </c>
      <c r="H3577" s="29"/>
      <c r="I3577" s="29"/>
      <c r="J3577" s="29"/>
      <c r="K3577" s="29"/>
      <c r="L3577" s="29"/>
      <c r="M3577" s="29"/>
      <c r="N3577" s="166"/>
    </row>
    <row r="3578" spans="1:14" hidden="1">
      <c r="A3578" s="170" t="s">
        <v>1413</v>
      </c>
      <c r="B3578" s="88">
        <v>349501603</v>
      </c>
      <c r="C3578" s="29"/>
      <c r="D3578" s="29"/>
      <c r="E3578" s="29"/>
      <c r="F3578" s="29" t="s">
        <v>118</v>
      </c>
      <c r="G3578" s="29" t="s">
        <v>119</v>
      </c>
      <c r="H3578" s="29"/>
      <c r="I3578" s="29"/>
      <c r="J3578" s="29"/>
      <c r="K3578" s="29"/>
      <c r="L3578" s="29"/>
      <c r="M3578" s="29"/>
      <c r="N3578" s="166"/>
    </row>
    <row r="3579" spans="1:14" hidden="1">
      <c r="A3579" s="170" t="s">
        <v>1414</v>
      </c>
      <c r="B3579" s="174" t="s">
        <v>1415</v>
      </c>
      <c r="C3579" s="29"/>
      <c r="D3579" s="29"/>
      <c r="E3579" s="29"/>
      <c r="F3579" s="29" t="s">
        <v>118</v>
      </c>
      <c r="G3579" s="29" t="s">
        <v>119</v>
      </c>
      <c r="H3579" s="130">
        <v>46027</v>
      </c>
      <c r="I3579" s="130">
        <v>46031</v>
      </c>
      <c r="J3579" s="130">
        <v>46057</v>
      </c>
      <c r="K3579" s="29"/>
      <c r="L3579" s="29" t="s">
        <v>9</v>
      </c>
      <c r="M3579" s="130"/>
      <c r="N3579" s="166"/>
    </row>
    <row r="3580" spans="1:14" hidden="1">
      <c r="A3580" s="170" t="s">
        <v>1414</v>
      </c>
      <c r="B3580" s="88" t="s">
        <v>1416</v>
      </c>
      <c r="C3580" s="29"/>
      <c r="D3580" s="29"/>
      <c r="E3580" s="29"/>
      <c r="F3580" s="29" t="s">
        <v>118</v>
      </c>
      <c r="G3580" s="29" t="s">
        <v>119</v>
      </c>
      <c r="H3580" s="130">
        <v>46027</v>
      </c>
      <c r="I3580" s="130">
        <v>46031</v>
      </c>
      <c r="J3580" s="130">
        <v>46057</v>
      </c>
      <c r="K3580" s="29"/>
      <c r="L3580" s="29" t="s">
        <v>9</v>
      </c>
      <c r="M3580" s="130"/>
      <c r="N3580" s="166"/>
    </row>
    <row r="3581" spans="1:14" hidden="1">
      <c r="A3581" s="170" t="s">
        <v>1414</v>
      </c>
      <c r="B3581" s="88" t="s">
        <v>1417</v>
      </c>
      <c r="C3581" s="29"/>
      <c r="D3581" s="29"/>
      <c r="E3581" s="29"/>
      <c r="F3581" s="29" t="s">
        <v>118</v>
      </c>
      <c r="G3581" s="29" t="s">
        <v>119</v>
      </c>
      <c r="H3581" s="130">
        <v>46027</v>
      </c>
      <c r="I3581" s="130">
        <v>46031</v>
      </c>
      <c r="J3581" s="130">
        <v>46057</v>
      </c>
      <c r="K3581" s="29"/>
      <c r="L3581" s="29" t="s">
        <v>9</v>
      </c>
      <c r="M3581" s="130"/>
      <c r="N3581" s="166"/>
    </row>
    <row r="3582" spans="1:14" hidden="1">
      <c r="A3582" s="170" t="s">
        <v>1418</v>
      </c>
      <c r="B3582" s="88" t="s">
        <v>1419</v>
      </c>
      <c r="C3582" s="29"/>
      <c r="D3582" s="29"/>
      <c r="E3582" s="29"/>
      <c r="F3582" s="29" t="s">
        <v>118</v>
      </c>
      <c r="G3582" s="29" t="s">
        <v>119</v>
      </c>
      <c r="H3582" s="130">
        <v>46027</v>
      </c>
      <c r="I3582" s="130">
        <v>46031</v>
      </c>
      <c r="J3582" s="130">
        <v>46057</v>
      </c>
      <c r="K3582" s="29"/>
      <c r="L3582" s="29" t="s">
        <v>9</v>
      </c>
      <c r="M3582" s="130"/>
      <c r="N3582" s="166"/>
    </row>
    <row r="3583" spans="1:14" hidden="1">
      <c r="A3583" s="170" t="s">
        <v>1418</v>
      </c>
      <c r="B3583" s="88" t="s">
        <v>1420</v>
      </c>
      <c r="C3583" s="29"/>
      <c r="D3583" s="29"/>
      <c r="E3583" s="29"/>
      <c r="F3583" s="29" t="s">
        <v>118</v>
      </c>
      <c r="G3583" s="29" t="s">
        <v>119</v>
      </c>
      <c r="H3583" s="130">
        <v>46027</v>
      </c>
      <c r="I3583" s="130">
        <v>46031</v>
      </c>
      <c r="J3583" s="130">
        <v>46057</v>
      </c>
      <c r="K3583" s="29"/>
      <c r="L3583" s="29" t="s">
        <v>9</v>
      </c>
      <c r="M3583" s="130"/>
      <c r="N3583" s="166"/>
    </row>
    <row r="3584" spans="1:14" hidden="1">
      <c r="A3584" s="170" t="s">
        <v>1418</v>
      </c>
      <c r="B3584" s="88" t="s">
        <v>1421</v>
      </c>
      <c r="C3584" s="29"/>
      <c r="D3584" s="29"/>
      <c r="E3584" s="29"/>
      <c r="F3584" s="29" t="s">
        <v>118</v>
      </c>
      <c r="G3584" s="29" t="s">
        <v>119</v>
      </c>
      <c r="H3584" s="130">
        <v>46027</v>
      </c>
      <c r="I3584" s="130">
        <v>46031</v>
      </c>
      <c r="J3584" s="130">
        <v>46057</v>
      </c>
      <c r="K3584" s="29"/>
      <c r="L3584" s="29" t="s">
        <v>9</v>
      </c>
      <c r="M3584" s="130"/>
      <c r="N3584" s="166"/>
    </row>
    <row r="3585" spans="1:14" hidden="1">
      <c r="A3585" s="170" t="s">
        <v>1418</v>
      </c>
      <c r="B3585" s="88" t="s">
        <v>1422</v>
      </c>
      <c r="C3585" s="29"/>
      <c r="D3585" s="29"/>
      <c r="E3585" s="29"/>
      <c r="F3585" s="29" t="s">
        <v>118</v>
      </c>
      <c r="G3585" s="29" t="s">
        <v>119</v>
      </c>
      <c r="H3585" s="130">
        <v>46027</v>
      </c>
      <c r="I3585" s="130">
        <v>46031</v>
      </c>
      <c r="J3585" s="130">
        <v>46057</v>
      </c>
      <c r="K3585" s="29"/>
      <c r="L3585" s="29" t="s">
        <v>9</v>
      </c>
      <c r="M3585" s="130"/>
      <c r="N3585" s="166"/>
    </row>
    <row r="3586" spans="1:14" hidden="1">
      <c r="A3586" s="170" t="s">
        <v>1418</v>
      </c>
      <c r="B3586" s="88" t="s">
        <v>1423</v>
      </c>
      <c r="C3586" s="29"/>
      <c r="D3586" s="29"/>
      <c r="E3586" s="29"/>
      <c r="F3586" s="29" t="s">
        <v>118</v>
      </c>
      <c r="G3586" s="29" t="s">
        <v>119</v>
      </c>
      <c r="H3586" s="130">
        <v>46027</v>
      </c>
      <c r="I3586" s="130">
        <v>46031</v>
      </c>
      <c r="J3586" s="130">
        <v>46057</v>
      </c>
      <c r="K3586" s="29"/>
      <c r="L3586" s="29" t="s">
        <v>9</v>
      </c>
      <c r="M3586" s="130"/>
      <c r="N3586" s="166"/>
    </row>
    <row r="3587" spans="1:14" hidden="1">
      <c r="A3587" s="170" t="s">
        <v>1418</v>
      </c>
      <c r="B3587" s="88" t="s">
        <v>1424</v>
      </c>
      <c r="C3587" s="29"/>
      <c r="D3587" s="29"/>
      <c r="E3587" s="29"/>
      <c r="F3587" s="29" t="s">
        <v>118</v>
      </c>
      <c r="G3587" s="29" t="s">
        <v>119</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119</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119</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119</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119</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119</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129</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440</v>
      </c>
      <c r="B3625" s="88" t="s">
        <v>1468</v>
      </c>
      <c r="C3625" s="29"/>
      <c r="D3625" s="29"/>
      <c r="E3625" s="29" t="s">
        <v>59</v>
      </c>
      <c r="F3625" s="29" t="s">
        <v>129</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129</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129</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129</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129</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129</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129</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129</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129</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129</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129</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129</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129</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129</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129</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129</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129</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129</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129</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129</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129</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129</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129</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129</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129</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129</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129</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129</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129</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129</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129</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129</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129</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129</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129</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129</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129</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129</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129</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129</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129</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129</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129</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129</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129</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129</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129</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129</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129</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129</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129</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129</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129</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129</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129</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129</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129</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129</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129</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129</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129</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129</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129</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129</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129</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129</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129</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129</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129</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344</v>
      </c>
      <c r="B2" s="10">
        <v>10507009</v>
      </c>
      <c r="C2" s="10" t="s">
        <v>36</v>
      </c>
      <c r="D2" s="9">
        <v>45658</v>
      </c>
      <c r="E2" s="10" t="s">
        <v>304</v>
      </c>
      <c r="F2" s="8"/>
    </row>
    <row r="3" spans="1:6" ht="39.75" customHeight="1">
      <c r="A3" s="12" t="s">
        <v>344</v>
      </c>
      <c r="B3" s="10">
        <v>10507037</v>
      </c>
      <c r="C3" s="10" t="s">
        <v>36</v>
      </c>
      <c r="D3" s="9">
        <v>45658</v>
      </c>
      <c r="E3" s="10" t="s">
        <v>304</v>
      </c>
      <c r="F3" s="10"/>
    </row>
    <row r="4" spans="1:6" ht="39.75" customHeight="1">
      <c r="A4" s="12" t="s">
        <v>344</v>
      </c>
      <c r="B4" s="10">
        <v>10507027</v>
      </c>
      <c r="C4" s="10" t="s">
        <v>36</v>
      </c>
      <c r="D4" s="9">
        <v>45658</v>
      </c>
      <c r="E4" s="10" t="s">
        <v>304</v>
      </c>
      <c r="F4" s="10"/>
    </row>
    <row r="5" spans="1:6" ht="39.75" customHeight="1">
      <c r="A5" s="12" t="s">
        <v>344</v>
      </c>
      <c r="B5" s="10">
        <v>10507008</v>
      </c>
      <c r="C5" s="10" t="s">
        <v>36</v>
      </c>
      <c r="D5" s="9">
        <v>45658</v>
      </c>
      <c r="E5" s="10" t="s">
        <v>304</v>
      </c>
      <c r="F5" s="10"/>
    </row>
    <row r="6" spans="1:6" ht="39.75" customHeight="1">
      <c r="A6" s="12" t="s">
        <v>344</v>
      </c>
      <c r="B6" s="10">
        <v>10507102</v>
      </c>
      <c r="C6" s="10" t="s">
        <v>36</v>
      </c>
      <c r="D6" s="9">
        <v>45658</v>
      </c>
      <c r="E6" s="10" t="s">
        <v>304</v>
      </c>
      <c r="F6" s="10"/>
    </row>
    <row r="7" spans="1:6" ht="39.75" customHeight="1">
      <c r="A7" s="12" t="s">
        <v>344</v>
      </c>
      <c r="B7" s="10">
        <v>10507007</v>
      </c>
      <c r="C7" s="10" t="s">
        <v>36</v>
      </c>
      <c r="D7" s="9">
        <v>45658</v>
      </c>
      <c r="E7" s="10" t="s">
        <v>304</v>
      </c>
      <c r="F7" s="10"/>
    </row>
    <row r="8" spans="1:6" ht="39.75" customHeight="1">
      <c r="A8" s="12" t="s">
        <v>344</v>
      </c>
      <c r="B8" s="10">
        <v>10507014</v>
      </c>
      <c r="C8" s="10" t="s">
        <v>36</v>
      </c>
      <c r="D8" s="9">
        <v>45658</v>
      </c>
      <c r="E8" s="10" t="s">
        <v>304</v>
      </c>
      <c r="F8" s="10"/>
    </row>
    <row r="9" spans="1:6" ht="39.75" customHeight="1">
      <c r="A9" s="12" t="s">
        <v>344</v>
      </c>
      <c r="B9" s="10">
        <v>9504725</v>
      </c>
      <c r="C9" s="10" t="s">
        <v>36</v>
      </c>
      <c r="D9" s="9">
        <v>45666</v>
      </c>
      <c r="E9" s="13" t="s">
        <v>255</v>
      </c>
      <c r="F9" s="13" t="s">
        <v>416</v>
      </c>
    </row>
    <row r="10" spans="1:6" ht="39.75" customHeight="1">
      <c r="A10" s="12" t="s">
        <v>344</v>
      </c>
      <c r="B10" s="10">
        <v>9502380</v>
      </c>
      <c r="C10" s="10" t="s">
        <v>36</v>
      </c>
      <c r="D10" s="9">
        <v>45666</v>
      </c>
      <c r="E10" s="13" t="s">
        <v>255</v>
      </c>
      <c r="F10" s="13" t="s">
        <v>417</v>
      </c>
    </row>
    <row r="11" spans="1:6" ht="39.75" customHeight="1">
      <c r="A11" s="12" t="s">
        <v>344</v>
      </c>
      <c r="B11" s="10">
        <v>9501187</v>
      </c>
      <c r="C11" s="10" t="s">
        <v>36</v>
      </c>
      <c r="D11" s="9">
        <v>45666</v>
      </c>
      <c r="E11" s="13" t="s">
        <v>255</v>
      </c>
      <c r="F11" s="13" t="s">
        <v>418</v>
      </c>
    </row>
    <row r="12" spans="1:6" ht="39.75" customHeight="1">
      <c r="A12" s="12" t="s">
        <v>344</v>
      </c>
      <c r="B12" s="10">
        <v>10507009</v>
      </c>
      <c r="C12" s="10" t="s">
        <v>36</v>
      </c>
      <c r="D12" s="9">
        <v>45667</v>
      </c>
      <c r="E12" s="10" t="s">
        <v>304</v>
      </c>
      <c r="F12" s="10" t="s">
        <v>419</v>
      </c>
    </row>
    <row r="13" spans="1:6" ht="39.75" customHeight="1">
      <c r="A13" s="12" t="s">
        <v>344</v>
      </c>
      <c r="B13" s="10">
        <v>10507014</v>
      </c>
      <c r="C13" s="10" t="s">
        <v>36</v>
      </c>
      <c r="D13" s="9">
        <v>45667</v>
      </c>
      <c r="E13" s="10" t="s">
        <v>304</v>
      </c>
      <c r="F13" s="10" t="s">
        <v>419</v>
      </c>
    </row>
    <row r="14" spans="1:6" ht="39.75" customHeight="1">
      <c r="A14" s="12" t="s">
        <v>344</v>
      </c>
      <c r="B14" s="10">
        <v>10507027</v>
      </c>
      <c r="C14" s="10" t="s">
        <v>36</v>
      </c>
      <c r="D14" s="9">
        <v>45667</v>
      </c>
      <c r="E14" s="10" t="s">
        <v>304</v>
      </c>
      <c r="F14" s="10" t="s">
        <v>419</v>
      </c>
    </row>
    <row r="15" spans="1:6" ht="39.75" customHeight="1">
      <c r="A15" s="12" t="s">
        <v>344</v>
      </c>
      <c r="B15" s="10">
        <v>10507008</v>
      </c>
      <c r="C15" s="10" t="s">
        <v>36</v>
      </c>
      <c r="D15" s="9">
        <v>45667</v>
      </c>
      <c r="E15" s="10" t="s">
        <v>304</v>
      </c>
      <c r="F15" s="10" t="s">
        <v>419</v>
      </c>
    </row>
    <row r="16" spans="1:6" ht="39.75" customHeight="1">
      <c r="A16" s="12" t="s">
        <v>344</v>
      </c>
      <c r="B16" s="10">
        <v>10507003</v>
      </c>
      <c r="C16" s="10" t="s">
        <v>36</v>
      </c>
      <c r="D16" s="9">
        <v>45667</v>
      </c>
      <c r="E16" s="10" t="s">
        <v>304</v>
      </c>
      <c r="F16" s="10" t="s">
        <v>419</v>
      </c>
    </row>
    <row r="17" spans="1:6" ht="39.75" customHeight="1">
      <c r="A17" s="12" t="s">
        <v>344</v>
      </c>
      <c r="B17" s="10">
        <v>8509919</v>
      </c>
      <c r="C17" s="10" t="s">
        <v>36</v>
      </c>
      <c r="D17" s="9">
        <v>45668</v>
      </c>
      <c r="E17" s="13" t="s">
        <v>255</v>
      </c>
      <c r="F17" s="13" t="s">
        <v>420</v>
      </c>
    </row>
    <row r="18" spans="1:6" ht="39.75" customHeight="1">
      <c r="A18" s="12" t="s">
        <v>344</v>
      </c>
      <c r="B18" s="10">
        <v>8509573</v>
      </c>
      <c r="C18" s="10" t="s">
        <v>36</v>
      </c>
      <c r="D18" s="9">
        <v>45668</v>
      </c>
      <c r="E18" s="13" t="s">
        <v>255</v>
      </c>
      <c r="F18" s="13" t="s">
        <v>421</v>
      </c>
    </row>
    <row r="19" spans="1:6" ht="39.75" customHeight="1">
      <c r="A19" s="12" t="s">
        <v>344</v>
      </c>
      <c r="B19" s="10">
        <v>14509553</v>
      </c>
      <c r="C19" s="10" t="s">
        <v>36</v>
      </c>
      <c r="D19" s="9">
        <v>45671</v>
      </c>
      <c r="E19" s="13" t="s">
        <v>255</v>
      </c>
      <c r="F19" s="13" t="s">
        <v>422</v>
      </c>
    </row>
    <row r="20" spans="1:6" ht="39.75" customHeight="1">
      <c r="A20" s="12" t="s">
        <v>344</v>
      </c>
      <c r="B20" s="10">
        <v>14509533</v>
      </c>
      <c r="C20" s="10" t="s">
        <v>36</v>
      </c>
      <c r="D20" s="9">
        <v>45671</v>
      </c>
      <c r="E20" s="13" t="s">
        <v>255</v>
      </c>
      <c r="F20" s="13" t="s">
        <v>423</v>
      </c>
    </row>
    <row r="21" spans="1:6" ht="39.75" customHeight="1">
      <c r="A21" s="12" t="s">
        <v>344</v>
      </c>
      <c r="B21" s="10">
        <v>14509506</v>
      </c>
      <c r="C21" s="10" t="s">
        <v>36</v>
      </c>
      <c r="D21" s="9">
        <v>45671</v>
      </c>
      <c r="E21" s="13" t="s">
        <v>255</v>
      </c>
      <c r="F21" s="13" t="s">
        <v>424</v>
      </c>
    </row>
    <row r="22" spans="1:6" ht="39.75" customHeight="1">
      <c r="A22" s="12" t="s">
        <v>344</v>
      </c>
      <c r="B22" s="10">
        <v>14509481</v>
      </c>
      <c r="C22" s="10" t="s">
        <v>36</v>
      </c>
      <c r="D22" s="9">
        <v>45671</v>
      </c>
      <c r="E22" s="13" t="s">
        <v>255</v>
      </c>
      <c r="F22" s="13" t="s">
        <v>425</v>
      </c>
    </row>
    <row r="23" spans="1:6" ht="39.75" customHeight="1">
      <c r="A23" s="12" t="s">
        <v>344</v>
      </c>
      <c r="B23" s="10">
        <v>9504332</v>
      </c>
      <c r="C23" s="10" t="s">
        <v>36</v>
      </c>
      <c r="D23" s="9">
        <v>45671</v>
      </c>
      <c r="E23" s="13" t="s">
        <v>255</v>
      </c>
      <c r="F23" s="13" t="s">
        <v>426</v>
      </c>
    </row>
    <row r="24" spans="1:6" ht="39.75" customHeight="1">
      <c r="A24" s="12" t="s">
        <v>344</v>
      </c>
      <c r="B24" s="10">
        <v>14509608</v>
      </c>
      <c r="C24" s="10" t="s">
        <v>36</v>
      </c>
      <c r="D24" s="9">
        <v>45671</v>
      </c>
      <c r="E24" s="13" t="s">
        <v>255</v>
      </c>
      <c r="F24" s="13" t="s">
        <v>427</v>
      </c>
    </row>
    <row r="25" spans="1:6" ht="39.75" customHeight="1">
      <c r="A25" s="12" t="s">
        <v>344</v>
      </c>
      <c r="B25" s="10">
        <v>14509573</v>
      </c>
      <c r="C25" s="10" t="s">
        <v>36</v>
      </c>
      <c r="D25" s="9">
        <v>45671</v>
      </c>
      <c r="E25" s="13" t="s">
        <v>255</v>
      </c>
      <c r="F25" s="13" t="s">
        <v>428</v>
      </c>
    </row>
    <row r="26" spans="1:6" ht="39.75" customHeight="1">
      <c r="A26" s="12" t="s">
        <v>344</v>
      </c>
      <c r="B26" s="10">
        <v>14509450</v>
      </c>
      <c r="C26" s="10" t="s">
        <v>36</v>
      </c>
      <c r="D26" s="9">
        <v>45671</v>
      </c>
      <c r="E26" s="13" t="s">
        <v>255</v>
      </c>
      <c r="F26" s="13" t="s">
        <v>429</v>
      </c>
    </row>
    <row r="27" spans="1:6" ht="39.75" customHeight="1">
      <c r="A27" s="10" t="s">
        <v>344</v>
      </c>
      <c r="B27" s="10">
        <v>17507042</v>
      </c>
      <c r="C27" s="10" t="s">
        <v>1757</v>
      </c>
      <c r="D27" s="9">
        <v>45674</v>
      </c>
      <c r="E27" s="10" t="s">
        <v>437</v>
      </c>
      <c r="F27" s="10"/>
    </row>
    <row r="28" spans="1:6" ht="39.75" customHeight="1">
      <c r="A28" s="10" t="s">
        <v>344</v>
      </c>
      <c r="B28" s="10">
        <v>17507045</v>
      </c>
      <c r="C28" s="10" t="s">
        <v>1757</v>
      </c>
      <c r="D28" s="9">
        <v>45674</v>
      </c>
      <c r="E28" s="10" t="s">
        <v>437</v>
      </c>
      <c r="F28" s="10"/>
    </row>
    <row r="29" spans="1:6" ht="39.75" customHeight="1">
      <c r="A29" s="10" t="s">
        <v>344</v>
      </c>
      <c r="B29" s="10">
        <v>17507052</v>
      </c>
      <c r="C29" s="10" t="s">
        <v>1757</v>
      </c>
      <c r="D29" s="9">
        <v>45674</v>
      </c>
      <c r="E29" s="10" t="s">
        <v>437</v>
      </c>
      <c r="F29" s="10"/>
    </row>
    <row r="30" spans="1:6" ht="39.75" customHeight="1">
      <c r="A30" s="10" t="s">
        <v>344</v>
      </c>
      <c r="B30" s="10">
        <v>17507041</v>
      </c>
      <c r="C30" s="10" t="s">
        <v>1757</v>
      </c>
      <c r="D30" s="9">
        <v>45674</v>
      </c>
      <c r="E30" s="10" t="s">
        <v>437</v>
      </c>
      <c r="F30" s="10"/>
    </row>
    <row r="31" spans="1:6" ht="39.75" customHeight="1">
      <c r="A31" s="10" t="s">
        <v>344</v>
      </c>
      <c r="B31" s="10">
        <v>17507047</v>
      </c>
      <c r="C31" s="10" t="s">
        <v>1757</v>
      </c>
      <c r="D31" s="9">
        <v>45674</v>
      </c>
      <c r="E31" s="10" t="s">
        <v>437</v>
      </c>
      <c r="F31" s="10"/>
    </row>
    <row r="32" spans="1:6" ht="39.75" customHeight="1">
      <c r="A32" s="10" t="s">
        <v>344</v>
      </c>
      <c r="B32" s="10">
        <v>17507044</v>
      </c>
      <c r="C32" s="10" t="s">
        <v>1757</v>
      </c>
      <c r="D32" s="9">
        <v>45674</v>
      </c>
      <c r="E32" s="10" t="s">
        <v>437</v>
      </c>
      <c r="F32" s="10"/>
    </row>
    <row r="33" spans="1:6" ht="39.75" customHeight="1">
      <c r="A33" s="10" t="s">
        <v>344</v>
      </c>
      <c r="B33" s="10">
        <v>18500390</v>
      </c>
      <c r="C33" s="10" t="s">
        <v>1757</v>
      </c>
      <c r="D33" s="9">
        <v>45674</v>
      </c>
      <c r="E33" s="10" t="s">
        <v>437</v>
      </c>
      <c r="F33" s="10"/>
    </row>
    <row r="34" spans="1:6" ht="39.75" customHeight="1">
      <c r="A34" s="10" t="s">
        <v>344</v>
      </c>
      <c r="B34" s="10">
        <v>18500398</v>
      </c>
      <c r="C34" s="10" t="s">
        <v>1757</v>
      </c>
      <c r="D34" s="9">
        <v>45674</v>
      </c>
      <c r="E34" s="10" t="s">
        <v>437</v>
      </c>
      <c r="F34" s="10"/>
    </row>
    <row r="35" spans="1:6" ht="39.75" customHeight="1">
      <c r="A35" s="10" t="s">
        <v>344</v>
      </c>
      <c r="B35" s="10">
        <v>18500403</v>
      </c>
      <c r="C35" s="10" t="s">
        <v>1757</v>
      </c>
      <c r="D35" s="9">
        <v>45674</v>
      </c>
      <c r="E35" s="10" t="s">
        <v>437</v>
      </c>
      <c r="F35" s="10"/>
    </row>
    <row r="36" spans="1:6" ht="39.75" customHeight="1">
      <c r="A36" s="10" t="s">
        <v>254</v>
      </c>
      <c r="B36" s="10">
        <v>18500300</v>
      </c>
      <c r="C36" s="10" t="s">
        <v>1757</v>
      </c>
      <c r="D36" s="9">
        <v>45675</v>
      </c>
      <c r="E36" s="10" t="s">
        <v>255</v>
      </c>
      <c r="F36" s="10"/>
    </row>
    <row r="37" spans="1:6" ht="39.75" customHeight="1">
      <c r="A37" s="10" t="s">
        <v>254</v>
      </c>
      <c r="B37" s="10">
        <v>18500282</v>
      </c>
      <c r="C37" s="10" t="s">
        <v>1757</v>
      </c>
      <c r="D37" s="9">
        <v>45675</v>
      </c>
      <c r="E37" s="10" t="s">
        <v>255</v>
      </c>
      <c r="F37" s="10"/>
    </row>
    <row r="38" spans="1:6" ht="39.75" customHeight="1">
      <c r="A38" s="10" t="s">
        <v>254</v>
      </c>
      <c r="B38" s="10">
        <v>18500294</v>
      </c>
      <c r="C38" s="10" t="s">
        <v>1757</v>
      </c>
      <c r="D38" s="9">
        <v>45675</v>
      </c>
      <c r="E38" s="10" t="s">
        <v>255</v>
      </c>
      <c r="F38" s="10"/>
    </row>
    <row r="39" spans="1:6" ht="39.75" customHeight="1">
      <c r="A39" s="10" t="s">
        <v>254</v>
      </c>
      <c r="B39" s="10">
        <v>18500272</v>
      </c>
      <c r="C39" s="10" t="s">
        <v>1757</v>
      </c>
      <c r="D39" s="9">
        <v>45675</v>
      </c>
      <c r="E39" s="10" t="s">
        <v>255</v>
      </c>
      <c r="F39" s="10"/>
    </row>
    <row r="40" spans="1:6" ht="39.75" customHeight="1">
      <c r="A40" s="10" t="s">
        <v>254</v>
      </c>
      <c r="B40" s="10">
        <v>18500276</v>
      </c>
      <c r="C40" s="10" t="s">
        <v>1757</v>
      </c>
      <c r="D40" s="9">
        <v>45675</v>
      </c>
      <c r="E40" s="10" t="s">
        <v>255</v>
      </c>
      <c r="F40" s="10"/>
    </row>
    <row r="41" spans="1:6" ht="39.75" customHeight="1">
      <c r="A41" s="10" t="s">
        <v>438</v>
      </c>
      <c r="B41" s="10">
        <v>18500450</v>
      </c>
      <c r="C41" s="10" t="s">
        <v>1757</v>
      </c>
      <c r="D41" s="9">
        <v>45675</v>
      </c>
      <c r="E41" s="10" t="s">
        <v>255</v>
      </c>
      <c r="F41" s="10"/>
    </row>
    <row r="42" spans="1:6" ht="39.75" customHeight="1">
      <c r="A42" s="10" t="s">
        <v>438</v>
      </c>
      <c r="B42" s="10">
        <v>18500435</v>
      </c>
      <c r="C42" s="10" t="s">
        <v>1757</v>
      </c>
      <c r="D42" s="9">
        <v>45675</v>
      </c>
      <c r="E42" s="10" t="s">
        <v>255</v>
      </c>
      <c r="F42" s="10"/>
    </row>
    <row r="43" spans="1:6" ht="39.75" customHeight="1">
      <c r="A43" s="10" t="s">
        <v>438</v>
      </c>
      <c r="B43" s="10">
        <v>18500418</v>
      </c>
      <c r="C43" s="10" t="s">
        <v>1757</v>
      </c>
      <c r="D43" s="9">
        <v>45675</v>
      </c>
      <c r="E43" s="10" t="s">
        <v>255</v>
      </c>
      <c r="F43" s="10"/>
    </row>
    <row r="44" spans="1:6" ht="39.75" customHeight="1">
      <c r="A44" s="10" t="s">
        <v>438</v>
      </c>
      <c r="B44" s="10">
        <v>18500457</v>
      </c>
      <c r="C44" s="10" t="s">
        <v>1757</v>
      </c>
      <c r="D44" s="9">
        <v>45675</v>
      </c>
      <c r="E44" s="10" t="s">
        <v>255</v>
      </c>
      <c r="F44" s="10"/>
    </row>
    <row r="45" spans="1:6" ht="39.75" customHeight="1">
      <c r="A45" s="10" t="s">
        <v>344</v>
      </c>
      <c r="B45" s="10">
        <v>18500404</v>
      </c>
      <c r="C45" s="10" t="s">
        <v>1757</v>
      </c>
      <c r="D45" s="9">
        <v>45675</v>
      </c>
      <c r="E45" s="10" t="s">
        <v>437</v>
      </c>
      <c r="F45" s="10"/>
    </row>
    <row r="46" spans="1:6" ht="39.75" customHeight="1">
      <c r="A46" s="10" t="s">
        <v>344</v>
      </c>
      <c r="B46" s="10">
        <v>18500420</v>
      </c>
      <c r="C46" s="10" t="s">
        <v>1757</v>
      </c>
      <c r="D46" s="9">
        <v>45675</v>
      </c>
      <c r="E46" s="10" t="s">
        <v>437</v>
      </c>
      <c r="F46" s="10"/>
    </row>
    <row r="47" spans="1:6" ht="39.75" customHeight="1">
      <c r="A47" s="10" t="s">
        <v>344</v>
      </c>
      <c r="B47" s="10">
        <v>18500460</v>
      </c>
      <c r="C47" s="10" t="s">
        <v>1757</v>
      </c>
      <c r="D47" s="9">
        <v>45675</v>
      </c>
      <c r="E47" s="10" t="s">
        <v>437</v>
      </c>
      <c r="F47" s="10"/>
    </row>
    <row r="48" spans="1:6" ht="39.75" customHeight="1">
      <c r="A48" s="10" t="s">
        <v>344</v>
      </c>
      <c r="B48" s="10">
        <v>18500464</v>
      </c>
      <c r="C48" s="10" t="s">
        <v>1757</v>
      </c>
      <c r="D48" s="9">
        <v>45675</v>
      </c>
      <c r="E48" s="10" t="s">
        <v>437</v>
      </c>
      <c r="F48" s="10"/>
    </row>
    <row r="49" spans="1:6" ht="39.75" customHeight="1">
      <c r="A49" s="10" t="s">
        <v>344</v>
      </c>
      <c r="B49" s="10">
        <v>18500456</v>
      </c>
      <c r="C49" s="10" t="s">
        <v>1757</v>
      </c>
      <c r="D49" s="9">
        <v>45675</v>
      </c>
      <c r="E49" s="10" t="s">
        <v>437</v>
      </c>
      <c r="F49" s="10"/>
    </row>
    <row r="50" spans="1:6" ht="39.75" customHeight="1">
      <c r="A50" s="10" t="s">
        <v>439</v>
      </c>
      <c r="B50" s="10">
        <v>18500500</v>
      </c>
      <c r="C50" s="10" t="s">
        <v>1757</v>
      </c>
      <c r="D50" s="9">
        <v>45675</v>
      </c>
      <c r="E50" s="10" t="s">
        <v>437</v>
      </c>
      <c r="F50" s="10"/>
    </row>
    <row r="51" spans="1:6" ht="39.75" customHeight="1">
      <c r="A51" s="10" t="s">
        <v>439</v>
      </c>
      <c r="B51" s="10">
        <v>18500497</v>
      </c>
      <c r="C51" s="10" t="s">
        <v>1757</v>
      </c>
      <c r="D51" s="9">
        <v>45675</v>
      </c>
      <c r="E51" s="10" t="s">
        <v>437</v>
      </c>
      <c r="F51" s="10"/>
    </row>
    <row r="52" spans="1:6" ht="39.75" customHeight="1">
      <c r="A52" s="10" t="s">
        <v>439</v>
      </c>
      <c r="B52" s="10">
        <v>18500494</v>
      </c>
      <c r="C52" s="10" t="s">
        <v>1757</v>
      </c>
      <c r="D52" s="9">
        <v>45675</v>
      </c>
      <c r="E52" s="10" t="s">
        <v>437</v>
      </c>
      <c r="F52" s="10"/>
    </row>
    <row r="53" spans="1:6" ht="39.75" customHeight="1">
      <c r="A53" s="10" t="s">
        <v>439</v>
      </c>
      <c r="B53" s="10">
        <v>18500492</v>
      </c>
      <c r="C53" s="10" t="s">
        <v>1757</v>
      </c>
      <c r="D53" s="9">
        <v>45675</v>
      </c>
      <c r="E53" s="10" t="s">
        <v>437</v>
      </c>
      <c r="F53" s="10"/>
    </row>
    <row r="54" spans="1:6" ht="39.75" customHeight="1">
      <c r="A54" s="10" t="s">
        <v>439</v>
      </c>
      <c r="B54" s="10">
        <v>18500484</v>
      </c>
      <c r="C54" s="10" t="s">
        <v>1757</v>
      </c>
      <c r="D54" s="9">
        <v>45675</v>
      </c>
      <c r="E54" s="10" t="s">
        <v>437</v>
      </c>
      <c r="F54" s="10"/>
    </row>
    <row r="55" spans="1:6" ht="39.75" customHeight="1">
      <c r="A55" s="10" t="s">
        <v>439</v>
      </c>
      <c r="B55" s="10">
        <v>18500512</v>
      </c>
      <c r="C55" s="10" t="s">
        <v>1757</v>
      </c>
      <c r="D55" s="9">
        <v>45675</v>
      </c>
      <c r="E55" s="10" t="s">
        <v>437</v>
      </c>
      <c r="F55" s="10"/>
    </row>
    <row r="56" spans="1:6" ht="39.75" customHeight="1">
      <c r="A56" s="10" t="s">
        <v>439</v>
      </c>
      <c r="B56" s="10">
        <v>18500511</v>
      </c>
      <c r="C56" s="10" t="s">
        <v>1757</v>
      </c>
      <c r="D56" s="9">
        <v>45675</v>
      </c>
      <c r="E56" s="10" t="s">
        <v>437</v>
      </c>
      <c r="F56" s="10"/>
    </row>
    <row r="57" spans="1:6" ht="39.75" customHeight="1">
      <c r="A57" s="10" t="s">
        <v>439</v>
      </c>
      <c r="B57" s="10">
        <v>18500510</v>
      </c>
      <c r="C57" s="10" t="s">
        <v>1757</v>
      </c>
      <c r="D57" s="9">
        <v>45675</v>
      </c>
      <c r="E57" s="10" t="s">
        <v>437</v>
      </c>
      <c r="F57" s="10"/>
    </row>
    <row r="58" spans="1:6" ht="39.75" customHeight="1">
      <c r="A58" s="10" t="s">
        <v>439</v>
      </c>
      <c r="B58" s="10">
        <v>18500507</v>
      </c>
      <c r="C58" s="10" t="s">
        <v>1757</v>
      </c>
      <c r="D58" s="9">
        <v>45675</v>
      </c>
      <c r="E58" s="10" t="s">
        <v>437</v>
      </c>
      <c r="F58" s="10"/>
    </row>
    <row r="59" spans="1:6" ht="39.75" customHeight="1">
      <c r="A59" s="12" t="s">
        <v>440</v>
      </c>
      <c r="B59" s="10">
        <v>21507573</v>
      </c>
      <c r="C59" s="10" t="s">
        <v>1758</v>
      </c>
      <c r="D59" s="9">
        <v>45679</v>
      </c>
      <c r="E59" s="10" t="s">
        <v>255</v>
      </c>
      <c r="F59" s="10"/>
    </row>
    <row r="60" spans="1:6" ht="39.75" customHeight="1">
      <c r="A60" s="12" t="s">
        <v>440</v>
      </c>
      <c r="B60" s="10">
        <v>21507579</v>
      </c>
      <c r="C60" s="10" t="s">
        <v>1758</v>
      </c>
      <c r="D60" s="9">
        <v>45679</v>
      </c>
      <c r="E60" s="10" t="s">
        <v>255</v>
      </c>
      <c r="F60" s="10"/>
    </row>
    <row r="61" spans="1:6" ht="39.75" customHeight="1">
      <c r="A61" s="12" t="s">
        <v>440</v>
      </c>
      <c r="B61" s="10">
        <v>21507599</v>
      </c>
      <c r="C61" s="10" t="s">
        <v>1758</v>
      </c>
      <c r="D61" s="9">
        <v>45679</v>
      </c>
      <c r="E61" s="10" t="s">
        <v>255</v>
      </c>
      <c r="F61" s="10"/>
    </row>
    <row r="62" spans="1:6" ht="39.75" customHeight="1">
      <c r="A62" s="12" t="s">
        <v>440</v>
      </c>
      <c r="B62" s="10">
        <v>22500644</v>
      </c>
      <c r="C62" s="10" t="s">
        <v>1758</v>
      </c>
      <c r="D62" s="9">
        <v>45679</v>
      </c>
      <c r="E62" s="10" t="s">
        <v>255</v>
      </c>
      <c r="F62" s="10"/>
    </row>
    <row r="63" spans="1:6" ht="39.75" customHeight="1">
      <c r="A63" s="12" t="s">
        <v>254</v>
      </c>
      <c r="B63" s="10">
        <v>21507602</v>
      </c>
      <c r="C63" s="10" t="s">
        <v>1758</v>
      </c>
      <c r="D63" s="9">
        <v>45679</v>
      </c>
      <c r="E63" s="10" t="s">
        <v>1759</v>
      </c>
      <c r="F63" s="10"/>
    </row>
    <row r="64" spans="1:6" ht="39.75" customHeight="1">
      <c r="A64" s="12" t="s">
        <v>254</v>
      </c>
      <c r="B64" s="10">
        <v>22500600</v>
      </c>
      <c r="C64" s="10" t="s">
        <v>1758</v>
      </c>
      <c r="D64" s="9">
        <v>45679</v>
      </c>
      <c r="E64" s="10" t="s">
        <v>1759</v>
      </c>
      <c r="F64" s="10"/>
    </row>
    <row r="65" spans="1:6" ht="39.75" customHeight="1">
      <c r="A65" s="12" t="s">
        <v>254</v>
      </c>
      <c r="B65" s="10">
        <v>22500667</v>
      </c>
      <c r="C65" s="10" t="s">
        <v>1758</v>
      </c>
      <c r="D65" s="9">
        <v>45679</v>
      </c>
      <c r="E65" s="10" t="s">
        <v>1759</v>
      </c>
      <c r="F65" s="10"/>
    </row>
    <row r="66" spans="1:6" ht="39.75" customHeight="1">
      <c r="A66" s="12" t="s">
        <v>254</v>
      </c>
      <c r="B66" s="10">
        <v>22500718</v>
      </c>
      <c r="C66" s="10" t="s">
        <v>1758</v>
      </c>
      <c r="D66" s="9">
        <v>45679</v>
      </c>
      <c r="E66" s="10" t="s">
        <v>1759</v>
      </c>
      <c r="F66" s="10"/>
    </row>
    <row r="67" spans="1:6" ht="39.75" customHeight="1">
      <c r="A67" s="12" t="s">
        <v>344</v>
      </c>
      <c r="B67" s="14">
        <v>23507043</v>
      </c>
      <c r="C67" s="10" t="s">
        <v>1758</v>
      </c>
      <c r="D67" s="9">
        <v>45680</v>
      </c>
      <c r="E67" s="10" t="s">
        <v>1759</v>
      </c>
      <c r="F67" s="10"/>
    </row>
    <row r="68" spans="1:6" ht="39.75" customHeight="1">
      <c r="A68" s="12" t="s">
        <v>344</v>
      </c>
      <c r="B68" s="14">
        <v>23507048</v>
      </c>
      <c r="C68" s="10" t="s">
        <v>1758</v>
      </c>
      <c r="D68" s="9">
        <v>45680</v>
      </c>
      <c r="E68" s="10" t="s">
        <v>1759</v>
      </c>
      <c r="F68" s="10"/>
    </row>
    <row r="69" spans="1:6" ht="39.75" customHeight="1">
      <c r="A69" s="12" t="s">
        <v>344</v>
      </c>
      <c r="B69" s="14">
        <v>23507056</v>
      </c>
      <c r="C69" s="10" t="s">
        <v>1758</v>
      </c>
      <c r="D69" s="9">
        <v>45680</v>
      </c>
      <c r="E69" s="10" t="s">
        <v>1759</v>
      </c>
      <c r="F69" s="10"/>
    </row>
    <row r="70" spans="1:6" ht="39.75" customHeight="1">
      <c r="A70" s="12" t="s">
        <v>344</v>
      </c>
      <c r="B70" s="14">
        <v>23507059</v>
      </c>
      <c r="C70" s="10" t="s">
        <v>1758</v>
      </c>
      <c r="D70" s="9">
        <v>45680</v>
      </c>
      <c r="E70" s="10" t="s">
        <v>1759</v>
      </c>
      <c r="F70" s="10"/>
    </row>
    <row r="71" spans="1:6" ht="39.75" customHeight="1">
      <c r="A71" s="12" t="s">
        <v>344</v>
      </c>
      <c r="B71" s="14">
        <v>23507062</v>
      </c>
      <c r="C71" s="10" t="s">
        <v>1758</v>
      </c>
      <c r="D71" s="9">
        <v>45680</v>
      </c>
      <c r="E71" s="10" t="s">
        <v>1759</v>
      </c>
      <c r="F71" s="10"/>
    </row>
    <row r="72" spans="1:6" ht="39.75" customHeight="1">
      <c r="A72" s="12" t="s">
        <v>344</v>
      </c>
      <c r="B72" s="14">
        <v>23507159</v>
      </c>
      <c r="C72" s="10" t="s">
        <v>1758</v>
      </c>
      <c r="D72" s="9">
        <v>45680</v>
      </c>
      <c r="E72" s="10" t="s">
        <v>1759</v>
      </c>
      <c r="F72" s="10"/>
    </row>
    <row r="73" spans="1:6" ht="39.75" customHeight="1">
      <c r="A73" s="12" t="s">
        <v>344</v>
      </c>
      <c r="B73" s="14">
        <v>23507163</v>
      </c>
      <c r="C73" s="10" t="s">
        <v>1758</v>
      </c>
      <c r="D73" s="9">
        <v>45680</v>
      </c>
      <c r="E73" s="10" t="s">
        <v>1759</v>
      </c>
      <c r="F73" s="10"/>
    </row>
    <row r="74" spans="1:6" ht="39.75" customHeight="1">
      <c r="A74" s="12" t="s">
        <v>344</v>
      </c>
      <c r="B74" s="14">
        <v>23507171</v>
      </c>
      <c r="C74" s="10" t="s">
        <v>1758</v>
      </c>
      <c r="D74" s="9">
        <v>45680</v>
      </c>
      <c r="E74" s="10" t="s">
        <v>1759</v>
      </c>
      <c r="F74" s="10"/>
    </row>
    <row r="75" spans="1:6" ht="39.75" customHeight="1">
      <c r="A75" s="12" t="s">
        <v>344</v>
      </c>
      <c r="B75" s="14">
        <v>23507179</v>
      </c>
      <c r="C75" s="10" t="s">
        <v>1758</v>
      </c>
      <c r="D75" s="9">
        <v>45680</v>
      </c>
      <c r="E75" s="10" t="s">
        <v>1759</v>
      </c>
      <c r="F75" s="10"/>
    </row>
    <row r="76" spans="1:6" ht="39.75" customHeight="1">
      <c r="A76" s="12" t="s">
        <v>344</v>
      </c>
      <c r="B76" s="14">
        <v>23507191</v>
      </c>
      <c r="C76" s="10" t="s">
        <v>1758</v>
      </c>
      <c r="D76" s="9">
        <v>45680</v>
      </c>
      <c r="E76" s="10" t="s">
        <v>1759</v>
      </c>
      <c r="F76" s="10"/>
    </row>
    <row r="77" spans="1:6" ht="39.75" customHeight="1">
      <c r="A77" s="12" t="s">
        <v>344</v>
      </c>
      <c r="B77" s="14">
        <v>23507136</v>
      </c>
      <c r="C77" s="10" t="s">
        <v>1758</v>
      </c>
      <c r="D77" s="9">
        <v>45680</v>
      </c>
      <c r="E77" s="10" t="s">
        <v>1759</v>
      </c>
      <c r="F77" s="10"/>
    </row>
    <row r="78" spans="1:6" ht="39.75" customHeight="1">
      <c r="A78" s="12" t="s">
        <v>344</v>
      </c>
      <c r="B78" s="14">
        <v>23507151</v>
      </c>
      <c r="C78" s="10" t="s">
        <v>1758</v>
      </c>
      <c r="D78" s="9">
        <v>45680</v>
      </c>
      <c r="E78" s="10" t="s">
        <v>1759</v>
      </c>
      <c r="F78" s="10"/>
    </row>
    <row r="79" spans="1:6" ht="39.75" customHeight="1">
      <c r="A79" s="12" t="s">
        <v>344</v>
      </c>
      <c r="B79" s="14">
        <v>23507194</v>
      </c>
      <c r="C79" s="10" t="s">
        <v>1758</v>
      </c>
      <c r="D79" s="9">
        <v>45680</v>
      </c>
      <c r="E79" s="10" t="s">
        <v>1759</v>
      </c>
      <c r="F79" s="10"/>
    </row>
    <row r="80" spans="1:6" ht="39.75" customHeight="1">
      <c r="A80" s="12" t="s">
        <v>344</v>
      </c>
      <c r="B80" s="14">
        <v>23506914</v>
      </c>
      <c r="C80" s="10" t="s">
        <v>1758</v>
      </c>
      <c r="D80" s="9">
        <v>45680</v>
      </c>
      <c r="E80" s="10" t="s">
        <v>1759</v>
      </c>
      <c r="F80" s="10"/>
    </row>
    <row r="81" spans="1:6" ht="39.75" customHeight="1">
      <c r="A81" s="12" t="s">
        <v>344</v>
      </c>
      <c r="B81" s="14">
        <v>23506922</v>
      </c>
      <c r="C81" s="10" t="s">
        <v>1758</v>
      </c>
      <c r="D81" s="9">
        <v>45680</v>
      </c>
      <c r="E81" s="10" t="s">
        <v>1759</v>
      </c>
      <c r="F81" s="10"/>
    </row>
    <row r="82" spans="1:6" ht="39.75" customHeight="1">
      <c r="A82" s="12" t="s">
        <v>344</v>
      </c>
      <c r="B82" s="14">
        <v>23507031</v>
      </c>
      <c r="C82" s="10" t="s">
        <v>1758</v>
      </c>
      <c r="D82" s="9">
        <v>45680</v>
      </c>
      <c r="E82" s="10" t="s">
        <v>1759</v>
      </c>
      <c r="F82" s="10"/>
    </row>
    <row r="83" spans="1:6" ht="39.75" customHeight="1">
      <c r="A83" s="12" t="s">
        <v>344</v>
      </c>
      <c r="B83" s="14">
        <v>23506945</v>
      </c>
      <c r="C83" s="10" t="s">
        <v>1758</v>
      </c>
      <c r="D83" s="9">
        <v>45680</v>
      </c>
      <c r="E83" s="10" t="s">
        <v>1759</v>
      </c>
      <c r="F83" s="10"/>
    </row>
    <row r="84" spans="1:6" ht="39.75" customHeight="1">
      <c r="A84" s="12" t="s">
        <v>344</v>
      </c>
      <c r="B84" s="14">
        <v>23507034</v>
      </c>
      <c r="C84" s="10" t="s">
        <v>1758</v>
      </c>
      <c r="D84" s="9">
        <v>45680</v>
      </c>
      <c r="E84" s="10" t="s">
        <v>1759</v>
      </c>
      <c r="F84" s="10"/>
    </row>
    <row r="85" spans="1:6" ht="39.75" customHeight="1">
      <c r="A85" s="12" t="s">
        <v>344</v>
      </c>
      <c r="B85" s="14">
        <v>23507035</v>
      </c>
      <c r="C85" s="10" t="s">
        <v>1758</v>
      </c>
      <c r="D85" s="9">
        <v>45680</v>
      </c>
      <c r="E85" s="10" t="s">
        <v>1759</v>
      </c>
      <c r="F85" s="10"/>
    </row>
    <row r="86" spans="1:6" ht="39.75" customHeight="1">
      <c r="A86" s="12" t="s">
        <v>344</v>
      </c>
      <c r="B86" s="14">
        <v>23507066</v>
      </c>
      <c r="C86" s="10" t="s">
        <v>1758</v>
      </c>
      <c r="D86" s="9">
        <v>45680</v>
      </c>
      <c r="E86" s="10" t="s">
        <v>1759</v>
      </c>
      <c r="F86" s="10"/>
    </row>
    <row r="87" spans="1:6" ht="39.75" customHeight="1">
      <c r="A87" s="12" t="s">
        <v>344</v>
      </c>
      <c r="B87" s="14">
        <v>23507071</v>
      </c>
      <c r="C87" s="10" t="s">
        <v>1758</v>
      </c>
      <c r="D87" s="9">
        <v>45680</v>
      </c>
      <c r="E87" s="10" t="s">
        <v>1759</v>
      </c>
      <c r="F87" s="10"/>
    </row>
    <row r="88" spans="1:6" ht="39.75" customHeight="1">
      <c r="A88" s="12" t="s">
        <v>344</v>
      </c>
      <c r="B88" s="14">
        <v>23507082</v>
      </c>
      <c r="C88" s="10" t="s">
        <v>1758</v>
      </c>
      <c r="D88" s="9">
        <v>45680</v>
      </c>
      <c r="E88" s="10" t="s">
        <v>1759</v>
      </c>
      <c r="F88" s="10"/>
    </row>
    <row r="89" spans="1:6" ht="39.75" customHeight="1">
      <c r="A89" s="12" t="s">
        <v>344</v>
      </c>
      <c r="B89" s="14">
        <v>23507111</v>
      </c>
      <c r="C89" s="10" t="s">
        <v>1758</v>
      </c>
      <c r="D89" s="9">
        <v>45680</v>
      </c>
      <c r="E89" s="10" t="s">
        <v>1759</v>
      </c>
      <c r="F89" s="10"/>
    </row>
    <row r="90" spans="1:6" ht="39.75" customHeight="1">
      <c r="A90" s="12" t="s">
        <v>344</v>
      </c>
      <c r="B90" s="14">
        <v>23507030</v>
      </c>
      <c r="C90" s="10" t="s">
        <v>1758</v>
      </c>
      <c r="D90" s="9">
        <v>45680</v>
      </c>
      <c r="E90" s="10" t="s">
        <v>1759</v>
      </c>
      <c r="F90" s="10"/>
    </row>
    <row r="91" spans="1:6" ht="39.75" customHeight="1">
      <c r="A91" s="12" t="s">
        <v>344</v>
      </c>
      <c r="B91" s="14">
        <v>23507088</v>
      </c>
      <c r="C91" s="10" t="s">
        <v>1758</v>
      </c>
      <c r="D91" s="9">
        <v>45680</v>
      </c>
      <c r="E91" s="10" t="s">
        <v>1759</v>
      </c>
      <c r="F91" s="10"/>
    </row>
    <row r="92" spans="1:6" ht="39.75" customHeight="1">
      <c r="A92" s="12" t="s">
        <v>344</v>
      </c>
      <c r="B92" s="14">
        <v>23507092</v>
      </c>
      <c r="C92" s="10" t="s">
        <v>1758</v>
      </c>
      <c r="D92" s="9">
        <v>45680</v>
      </c>
      <c r="E92" s="10" t="s">
        <v>1759</v>
      </c>
      <c r="F92" s="10"/>
    </row>
    <row r="93" spans="1:6" ht="39.75" customHeight="1">
      <c r="A93" s="12" t="s">
        <v>344</v>
      </c>
      <c r="B93" s="14">
        <v>23507096</v>
      </c>
      <c r="C93" s="10" t="s">
        <v>1758</v>
      </c>
      <c r="D93" s="9">
        <v>45680</v>
      </c>
      <c r="E93" s="10" t="s">
        <v>1759</v>
      </c>
      <c r="F93" s="10"/>
    </row>
    <row r="94" spans="1:6" ht="39.75" customHeight="1">
      <c r="A94" s="12" t="s">
        <v>344</v>
      </c>
      <c r="B94" s="14">
        <v>23507104</v>
      </c>
      <c r="C94" s="10" t="s">
        <v>1758</v>
      </c>
      <c r="D94" s="9">
        <v>45680</v>
      </c>
      <c r="E94" s="10" t="s">
        <v>213</v>
      </c>
      <c r="F94" s="10"/>
    </row>
    <row r="95" spans="1:6" ht="39.75" customHeight="1">
      <c r="A95" s="10" t="s">
        <v>440</v>
      </c>
      <c r="B95" s="10">
        <v>29507354</v>
      </c>
      <c r="C95" s="10" t="s">
        <v>36</v>
      </c>
      <c r="D95" s="9">
        <v>45684</v>
      </c>
      <c r="E95" s="10" t="s">
        <v>127</v>
      </c>
      <c r="F95" s="10" t="s">
        <v>441</v>
      </c>
    </row>
    <row r="96" spans="1:6" ht="39.75" customHeight="1">
      <c r="A96" s="10" t="s">
        <v>440</v>
      </c>
      <c r="B96" s="10">
        <v>28507244</v>
      </c>
      <c r="C96" s="10" t="s">
        <v>36</v>
      </c>
      <c r="D96" s="9">
        <v>45684</v>
      </c>
      <c r="E96" s="10" t="s">
        <v>127</v>
      </c>
      <c r="F96" s="10" t="s">
        <v>442</v>
      </c>
    </row>
    <row r="97" spans="1:6" ht="39.75" customHeight="1">
      <c r="A97" s="10" t="s">
        <v>440</v>
      </c>
      <c r="B97" s="10">
        <v>28506894</v>
      </c>
      <c r="C97" s="10" t="s">
        <v>36</v>
      </c>
      <c r="D97" s="9">
        <v>45684</v>
      </c>
      <c r="E97" s="10" t="s">
        <v>127</v>
      </c>
      <c r="F97" s="10" t="s">
        <v>443</v>
      </c>
    </row>
    <row r="98" spans="1:6" ht="39.75" customHeight="1">
      <c r="A98" s="10" t="s">
        <v>440</v>
      </c>
      <c r="B98" s="10">
        <v>28506868</v>
      </c>
      <c r="C98" s="10" t="s">
        <v>36</v>
      </c>
      <c r="D98" s="9">
        <v>45684</v>
      </c>
      <c r="E98" s="10" t="s">
        <v>127</v>
      </c>
      <c r="F98" s="10" t="s">
        <v>444</v>
      </c>
    </row>
    <row r="99" spans="1:6" ht="39.75" customHeight="1">
      <c r="A99" s="10" t="s">
        <v>440</v>
      </c>
      <c r="B99" s="10">
        <v>28506849</v>
      </c>
      <c r="C99" s="10" t="s">
        <v>36</v>
      </c>
      <c r="D99" s="9">
        <v>45684</v>
      </c>
      <c r="E99" s="10" t="s">
        <v>127</v>
      </c>
      <c r="F99" s="10" t="s">
        <v>445</v>
      </c>
    </row>
    <row r="100" spans="1:6" ht="39.75" customHeight="1">
      <c r="A100" s="10" t="s">
        <v>440</v>
      </c>
      <c r="B100" s="10">
        <v>28506322</v>
      </c>
      <c r="C100" s="10" t="s">
        <v>36</v>
      </c>
      <c r="D100" s="9">
        <v>45684</v>
      </c>
      <c r="E100" s="10" t="s">
        <v>127</v>
      </c>
      <c r="F100" s="10" t="s">
        <v>445</v>
      </c>
    </row>
    <row r="101" spans="1:6" ht="39.75" customHeight="1">
      <c r="A101" s="10" t="s">
        <v>440</v>
      </c>
      <c r="B101" s="10">
        <v>28506204</v>
      </c>
      <c r="C101" s="10" t="s">
        <v>36</v>
      </c>
      <c r="D101" s="9">
        <v>45684</v>
      </c>
      <c r="E101" s="10" t="s">
        <v>127</v>
      </c>
      <c r="F101" s="10" t="s">
        <v>446</v>
      </c>
    </row>
    <row r="102" spans="1:6" ht="39.75" customHeight="1">
      <c r="A102" s="10" t="s">
        <v>440</v>
      </c>
      <c r="B102" s="10">
        <v>28506093</v>
      </c>
      <c r="C102" s="10" t="s">
        <v>36</v>
      </c>
      <c r="D102" s="9">
        <v>45684</v>
      </c>
      <c r="E102" s="10" t="s">
        <v>127</v>
      </c>
      <c r="F102" s="10" t="s">
        <v>447</v>
      </c>
    </row>
    <row r="103" spans="1:6" ht="39.75" customHeight="1">
      <c r="A103" s="10" t="s">
        <v>440</v>
      </c>
      <c r="B103" s="10">
        <v>28506035</v>
      </c>
      <c r="C103" s="10" t="s">
        <v>36</v>
      </c>
      <c r="D103" s="9">
        <v>45684</v>
      </c>
      <c r="E103" s="10" t="s">
        <v>127</v>
      </c>
      <c r="F103" s="10" t="s">
        <v>447</v>
      </c>
    </row>
    <row r="104" spans="1:6" ht="39.75" customHeight="1">
      <c r="A104" s="10" t="s">
        <v>440</v>
      </c>
      <c r="B104" s="10">
        <v>28505069</v>
      </c>
      <c r="C104" s="10" t="s">
        <v>36</v>
      </c>
      <c r="D104" s="9">
        <v>45684</v>
      </c>
      <c r="E104" s="10" t="s">
        <v>127</v>
      </c>
      <c r="F104" s="10" t="s">
        <v>448</v>
      </c>
    </row>
    <row r="105" spans="1:6" ht="39.75" customHeight="1">
      <c r="A105" s="10" t="s">
        <v>440</v>
      </c>
      <c r="B105" s="10">
        <v>28505038</v>
      </c>
      <c r="C105" s="10" t="s">
        <v>36</v>
      </c>
      <c r="D105" s="9">
        <v>45684</v>
      </c>
      <c r="E105" s="10" t="s">
        <v>127</v>
      </c>
      <c r="F105" s="10" t="s">
        <v>449</v>
      </c>
    </row>
    <row r="106" spans="1:6" ht="39.75" customHeight="1">
      <c r="A106" s="10" t="s">
        <v>440</v>
      </c>
      <c r="B106" s="10">
        <v>28504900</v>
      </c>
      <c r="C106" s="10" t="s">
        <v>36</v>
      </c>
      <c r="D106" s="9">
        <v>45684</v>
      </c>
      <c r="E106" s="10" t="s">
        <v>127</v>
      </c>
      <c r="F106" s="10" t="s">
        <v>450</v>
      </c>
    </row>
    <row r="107" spans="1:6" ht="39.75" customHeight="1">
      <c r="A107" s="10" t="s">
        <v>440</v>
      </c>
      <c r="B107" s="10">
        <v>28504725</v>
      </c>
      <c r="C107" s="10" t="s">
        <v>36</v>
      </c>
      <c r="D107" s="9">
        <v>45684</v>
      </c>
      <c r="E107" s="10" t="s">
        <v>127</v>
      </c>
      <c r="F107" s="10" t="s">
        <v>451</v>
      </c>
    </row>
    <row r="108" spans="1:6" ht="39.75" customHeight="1">
      <c r="A108" s="14" t="s">
        <v>128</v>
      </c>
      <c r="B108" s="10">
        <v>30503735</v>
      </c>
      <c r="C108" s="10" t="s">
        <v>36</v>
      </c>
      <c r="D108" s="9">
        <v>45686</v>
      </c>
      <c r="E108" s="10" t="s">
        <v>130</v>
      </c>
      <c r="F108" s="10" t="s">
        <v>131</v>
      </c>
    </row>
    <row r="109" spans="1:6" ht="39.75" customHeight="1">
      <c r="A109" s="14" t="s">
        <v>128</v>
      </c>
      <c r="B109" s="10">
        <v>30503776</v>
      </c>
      <c r="C109" s="10" t="s">
        <v>36</v>
      </c>
      <c r="D109" s="9">
        <v>45686</v>
      </c>
      <c r="E109" s="10" t="s">
        <v>130</v>
      </c>
      <c r="F109" s="10" t="s">
        <v>132</v>
      </c>
    </row>
    <row r="110" spans="1:6" ht="39.75" customHeight="1">
      <c r="A110" s="14" t="s">
        <v>128</v>
      </c>
      <c r="B110" s="10">
        <v>30503798</v>
      </c>
      <c r="C110" s="10" t="s">
        <v>36</v>
      </c>
      <c r="D110" s="9">
        <v>45686</v>
      </c>
      <c r="E110" s="10" t="s">
        <v>130</v>
      </c>
      <c r="F110" s="10" t="s">
        <v>133</v>
      </c>
    </row>
    <row r="111" spans="1:6" ht="39.75" customHeight="1">
      <c r="A111" s="14" t="s">
        <v>128</v>
      </c>
      <c r="B111" s="10">
        <v>30503821</v>
      </c>
      <c r="C111" s="10" t="s">
        <v>36</v>
      </c>
      <c r="D111" s="9">
        <v>45686</v>
      </c>
      <c r="E111" s="10" t="s">
        <v>130</v>
      </c>
      <c r="F111" s="10" t="s">
        <v>134</v>
      </c>
    </row>
    <row r="112" spans="1:6" ht="39.75" customHeight="1">
      <c r="A112" s="14" t="s">
        <v>128</v>
      </c>
      <c r="B112" s="10">
        <v>30503763</v>
      </c>
      <c r="C112" s="10" t="s">
        <v>36</v>
      </c>
      <c r="D112" s="9">
        <v>45686</v>
      </c>
      <c r="E112" s="10" t="s">
        <v>130</v>
      </c>
      <c r="F112" s="10" t="s">
        <v>135</v>
      </c>
    </row>
    <row r="113" spans="1:6" ht="39.75" customHeight="1">
      <c r="A113" s="10" t="s">
        <v>452</v>
      </c>
      <c r="B113" s="10">
        <v>30508309</v>
      </c>
      <c r="C113" s="10" t="s">
        <v>36</v>
      </c>
      <c r="D113" s="9">
        <v>45686</v>
      </c>
      <c r="E113" s="10" t="s">
        <v>213</v>
      </c>
      <c r="F113" s="10" t="s">
        <v>453</v>
      </c>
    </row>
    <row r="114" spans="1:6" ht="39.75" customHeight="1">
      <c r="A114" s="10" t="s">
        <v>452</v>
      </c>
      <c r="B114" s="10">
        <v>30508305</v>
      </c>
      <c r="C114" s="10" t="s">
        <v>36</v>
      </c>
      <c r="D114" s="9">
        <v>45686</v>
      </c>
      <c r="E114" s="10" t="s">
        <v>213</v>
      </c>
      <c r="F114" s="10" t="s">
        <v>454</v>
      </c>
    </row>
    <row r="115" spans="1:6" ht="39.75" customHeight="1">
      <c r="A115" s="10" t="s">
        <v>452</v>
      </c>
      <c r="B115" s="10">
        <v>30508300</v>
      </c>
      <c r="C115" s="10" t="s">
        <v>36</v>
      </c>
      <c r="D115" s="9">
        <v>45686</v>
      </c>
      <c r="E115" s="10" t="s">
        <v>213</v>
      </c>
      <c r="F115" s="10" t="s">
        <v>455</v>
      </c>
    </row>
    <row r="116" spans="1:6" ht="39.75" customHeight="1">
      <c r="A116" s="10" t="s">
        <v>452</v>
      </c>
      <c r="B116" s="10">
        <v>30508297</v>
      </c>
      <c r="C116" s="10" t="s">
        <v>36</v>
      </c>
      <c r="D116" s="9">
        <v>45686</v>
      </c>
      <c r="E116" s="10" t="s">
        <v>213</v>
      </c>
      <c r="F116" s="10" t="s">
        <v>455</v>
      </c>
    </row>
    <row r="117" spans="1:6" ht="39.75" customHeight="1">
      <c r="A117" s="10" t="s">
        <v>452</v>
      </c>
      <c r="B117" s="10">
        <v>30508294</v>
      </c>
      <c r="C117" s="10" t="s">
        <v>36</v>
      </c>
      <c r="D117" s="9">
        <v>45686</v>
      </c>
      <c r="E117" s="10" t="s">
        <v>213</v>
      </c>
      <c r="F117" s="10" t="s">
        <v>456</v>
      </c>
    </row>
    <row r="118" spans="1:6" ht="39.75" customHeight="1">
      <c r="A118" s="10" t="s">
        <v>452</v>
      </c>
      <c r="B118" s="10">
        <v>30508293</v>
      </c>
      <c r="C118" s="10" t="s">
        <v>36</v>
      </c>
      <c r="D118" s="9">
        <v>45686</v>
      </c>
      <c r="E118" s="10" t="s">
        <v>213</v>
      </c>
      <c r="F118" s="10" t="s">
        <v>457</v>
      </c>
    </row>
    <row r="119" spans="1:6" ht="39.75" customHeight="1">
      <c r="A119" s="10" t="s">
        <v>452</v>
      </c>
      <c r="B119" s="10">
        <v>30508290</v>
      </c>
      <c r="C119" s="10" t="s">
        <v>36</v>
      </c>
      <c r="D119" s="9">
        <v>45686</v>
      </c>
      <c r="E119" s="10" t="s">
        <v>213</v>
      </c>
      <c r="F119" s="10" t="s">
        <v>458</v>
      </c>
    </row>
    <row r="120" spans="1:6" ht="39.75" customHeight="1">
      <c r="A120" s="10" t="s">
        <v>452</v>
      </c>
      <c r="B120" s="10">
        <v>30508289</v>
      </c>
      <c r="C120" s="10" t="s">
        <v>36</v>
      </c>
      <c r="D120" s="9">
        <v>45686</v>
      </c>
      <c r="E120" s="10" t="s">
        <v>213</v>
      </c>
      <c r="F120" s="10" t="s">
        <v>458</v>
      </c>
    </row>
    <row r="121" spans="1:6" ht="39.75" customHeight="1">
      <c r="A121" s="10" t="s">
        <v>452</v>
      </c>
      <c r="B121" s="10">
        <v>30508284</v>
      </c>
      <c r="C121" s="10" t="s">
        <v>36</v>
      </c>
      <c r="D121" s="9">
        <v>45686</v>
      </c>
      <c r="E121" s="10" t="s">
        <v>213</v>
      </c>
      <c r="F121" s="10" t="s">
        <v>459</v>
      </c>
    </row>
    <row r="122" spans="1:6" ht="39.75" customHeight="1">
      <c r="A122" s="10" t="s">
        <v>452</v>
      </c>
      <c r="B122" s="10">
        <v>30508281</v>
      </c>
      <c r="C122" s="10" t="s">
        <v>36</v>
      </c>
      <c r="D122" s="9">
        <v>45686</v>
      </c>
      <c r="E122" s="10" t="s">
        <v>213</v>
      </c>
      <c r="F122" s="10" t="s">
        <v>460</v>
      </c>
    </row>
    <row r="123" spans="1:6" ht="39.75" customHeight="1">
      <c r="A123" s="10" t="s">
        <v>452</v>
      </c>
      <c r="B123" s="10">
        <v>30508277</v>
      </c>
      <c r="C123" s="10" t="s">
        <v>36</v>
      </c>
      <c r="D123" s="9">
        <v>45686</v>
      </c>
      <c r="E123" s="10" t="s">
        <v>213</v>
      </c>
      <c r="F123" s="10" t="s">
        <v>461</v>
      </c>
    </row>
    <row r="124" spans="1:6" ht="39.75" customHeight="1">
      <c r="A124" s="10" t="s">
        <v>452</v>
      </c>
      <c r="B124" s="10">
        <v>30508275</v>
      </c>
      <c r="C124" s="10" t="s">
        <v>36</v>
      </c>
      <c r="D124" s="9">
        <v>45686</v>
      </c>
      <c r="E124" s="10" t="s">
        <v>213</v>
      </c>
      <c r="F124" s="10" t="s">
        <v>461</v>
      </c>
    </row>
    <row r="125" spans="1:6" ht="39.75" customHeight="1">
      <c r="A125" s="10" t="s">
        <v>452</v>
      </c>
      <c r="B125" s="10">
        <v>30508271</v>
      </c>
      <c r="C125" s="10" t="s">
        <v>36</v>
      </c>
      <c r="D125" s="9">
        <v>45686</v>
      </c>
      <c r="E125" s="10" t="s">
        <v>213</v>
      </c>
      <c r="F125" s="10" t="s">
        <v>462</v>
      </c>
    </row>
    <row r="126" spans="1:6" ht="39.75" customHeight="1">
      <c r="A126" s="10" t="s">
        <v>452</v>
      </c>
      <c r="B126" s="10">
        <v>30508265</v>
      </c>
      <c r="C126" s="10" t="s">
        <v>36</v>
      </c>
      <c r="D126" s="9">
        <v>45686</v>
      </c>
      <c r="E126" s="10" t="s">
        <v>213</v>
      </c>
      <c r="F126" s="10" t="s">
        <v>461</v>
      </c>
    </row>
    <row r="127" spans="1:6" ht="39.75" customHeight="1">
      <c r="A127" s="10" t="s">
        <v>452</v>
      </c>
      <c r="B127" s="10">
        <v>30508261</v>
      </c>
      <c r="C127" s="10" t="s">
        <v>36</v>
      </c>
      <c r="D127" s="9">
        <v>45686</v>
      </c>
      <c r="E127" s="10" t="s">
        <v>213</v>
      </c>
      <c r="F127" s="10" t="s">
        <v>463</v>
      </c>
    </row>
    <row r="128" spans="1:6" ht="39.75" customHeight="1">
      <c r="A128" s="10" t="s">
        <v>452</v>
      </c>
      <c r="B128" s="10">
        <v>30508258</v>
      </c>
      <c r="C128" s="10" t="s">
        <v>36</v>
      </c>
      <c r="D128" s="9">
        <v>45686</v>
      </c>
      <c r="E128" s="10" t="s">
        <v>213</v>
      </c>
      <c r="F128" s="10" t="s">
        <v>464</v>
      </c>
    </row>
    <row r="129" spans="1:6" ht="39.75" customHeight="1">
      <c r="A129" s="10" t="s">
        <v>452</v>
      </c>
      <c r="B129" s="10">
        <v>30508255</v>
      </c>
      <c r="C129" s="10" t="s">
        <v>36</v>
      </c>
      <c r="D129" s="9">
        <v>45686</v>
      </c>
      <c r="E129" s="10" t="s">
        <v>213</v>
      </c>
      <c r="F129" s="10" t="s">
        <v>465</v>
      </c>
    </row>
    <row r="130" spans="1:6" ht="39.75" customHeight="1">
      <c r="A130" s="10" t="s">
        <v>452</v>
      </c>
      <c r="B130" s="10">
        <v>30508249</v>
      </c>
      <c r="C130" s="10" t="s">
        <v>36</v>
      </c>
      <c r="D130" s="9">
        <v>45686</v>
      </c>
      <c r="E130" s="10" t="s">
        <v>213</v>
      </c>
      <c r="F130" s="10" t="s">
        <v>466</v>
      </c>
    </row>
    <row r="131" spans="1:6" ht="39.75" customHeight="1">
      <c r="A131" s="10" t="s">
        <v>452</v>
      </c>
      <c r="B131" s="10">
        <v>30508244</v>
      </c>
      <c r="C131" s="10" t="s">
        <v>36</v>
      </c>
      <c r="D131" s="9">
        <v>45686</v>
      </c>
      <c r="E131" s="10" t="s">
        <v>213</v>
      </c>
      <c r="F131" s="10" t="s">
        <v>464</v>
      </c>
    </row>
    <row r="132" spans="1:6" ht="39.75" customHeight="1">
      <c r="A132" s="10" t="s">
        <v>452</v>
      </c>
      <c r="B132" s="10">
        <v>30508237</v>
      </c>
      <c r="C132" s="10" t="s">
        <v>36</v>
      </c>
      <c r="D132" s="9">
        <v>45686</v>
      </c>
      <c r="E132" s="10" t="s">
        <v>213</v>
      </c>
      <c r="F132" s="10" t="s">
        <v>467</v>
      </c>
    </row>
    <row r="133" spans="1:6" ht="39.75" customHeight="1">
      <c r="A133" s="10" t="s">
        <v>452</v>
      </c>
      <c r="B133" s="10">
        <v>30508222</v>
      </c>
      <c r="C133" s="10" t="s">
        <v>36</v>
      </c>
      <c r="D133" s="9">
        <v>45686</v>
      </c>
      <c r="E133" s="10" t="s">
        <v>213</v>
      </c>
      <c r="F133" s="10" t="s">
        <v>468</v>
      </c>
    </row>
    <row r="134" spans="1:6" ht="39.75" customHeight="1">
      <c r="A134" s="10" t="s">
        <v>452</v>
      </c>
      <c r="B134" s="10">
        <v>30508211</v>
      </c>
      <c r="C134" s="10" t="s">
        <v>36</v>
      </c>
      <c r="D134" s="9">
        <v>45686</v>
      </c>
      <c r="E134" s="10" t="s">
        <v>213</v>
      </c>
      <c r="F134" s="10" t="s">
        <v>469</v>
      </c>
    </row>
    <row r="135" spans="1:6" ht="39.75" customHeight="1">
      <c r="A135" s="10" t="s">
        <v>452</v>
      </c>
      <c r="B135" s="10">
        <v>30508208</v>
      </c>
      <c r="C135" s="10" t="s">
        <v>36</v>
      </c>
      <c r="D135" s="9">
        <v>45686</v>
      </c>
      <c r="E135" s="10" t="s">
        <v>213</v>
      </c>
      <c r="F135" s="10" t="s">
        <v>470</v>
      </c>
    </row>
    <row r="136" spans="1:6" ht="39.75" customHeight="1">
      <c r="A136" s="10" t="s">
        <v>452</v>
      </c>
      <c r="B136" s="10">
        <v>30508205</v>
      </c>
      <c r="C136" s="10" t="s">
        <v>36</v>
      </c>
      <c r="D136" s="9">
        <v>45686</v>
      </c>
      <c r="E136" s="10" t="s">
        <v>213</v>
      </c>
      <c r="F136" s="10" t="s">
        <v>471</v>
      </c>
    </row>
    <row r="137" spans="1:6" ht="39.75" customHeight="1">
      <c r="A137" s="10" t="s">
        <v>452</v>
      </c>
      <c r="B137" s="10">
        <v>30508203</v>
      </c>
      <c r="C137" s="10" t="s">
        <v>36</v>
      </c>
      <c r="D137" s="9">
        <v>45686</v>
      </c>
      <c r="E137" s="10" t="s">
        <v>213</v>
      </c>
      <c r="F137" s="10" t="s">
        <v>472</v>
      </c>
    </row>
    <row r="138" spans="1:6" ht="39.75" customHeight="1">
      <c r="A138" s="10" t="s">
        <v>452</v>
      </c>
      <c r="B138" s="10">
        <v>30508196</v>
      </c>
      <c r="C138" s="10" t="s">
        <v>36</v>
      </c>
      <c r="D138" s="9">
        <v>45686</v>
      </c>
      <c r="E138" s="10" t="s">
        <v>213</v>
      </c>
      <c r="F138" s="10" t="s">
        <v>473</v>
      </c>
    </row>
    <row r="139" spans="1:6" ht="39.75" customHeight="1">
      <c r="A139" s="10" t="s">
        <v>452</v>
      </c>
      <c r="B139" s="10">
        <v>30508192</v>
      </c>
      <c r="C139" s="10" t="s">
        <v>36</v>
      </c>
      <c r="D139" s="9">
        <v>45686</v>
      </c>
      <c r="E139" s="10" t="s">
        <v>213</v>
      </c>
      <c r="F139" s="10" t="s">
        <v>473</v>
      </c>
    </row>
    <row r="140" spans="1:6" ht="39.75" customHeight="1">
      <c r="A140" s="10" t="s">
        <v>371</v>
      </c>
      <c r="B140" s="10">
        <v>30504564</v>
      </c>
      <c r="C140" s="10" t="s">
        <v>36</v>
      </c>
      <c r="D140" s="9">
        <v>45686</v>
      </c>
      <c r="E140" s="10" t="s">
        <v>366</v>
      </c>
      <c r="F140" s="10" t="s">
        <v>379</v>
      </c>
    </row>
    <row r="141" spans="1:6" ht="39.75" customHeight="1">
      <c r="A141" s="10" t="s">
        <v>371</v>
      </c>
      <c r="B141" s="10">
        <v>30504222</v>
      </c>
      <c r="C141" s="10" t="s">
        <v>36</v>
      </c>
      <c r="D141" s="9">
        <v>45686</v>
      </c>
      <c r="E141" s="10" t="s">
        <v>366</v>
      </c>
      <c r="F141" s="10" t="s">
        <v>380</v>
      </c>
    </row>
    <row r="142" spans="1:6" ht="39.75" customHeight="1">
      <c r="A142" s="10" t="s">
        <v>440</v>
      </c>
      <c r="B142" s="10">
        <v>30503694</v>
      </c>
      <c r="C142" s="10" t="s">
        <v>36</v>
      </c>
      <c r="D142" s="9">
        <v>45686</v>
      </c>
      <c r="E142" s="10" t="s">
        <v>127</v>
      </c>
      <c r="F142" s="10" t="s">
        <v>474</v>
      </c>
    </row>
    <row r="143" spans="1:6" ht="39.75" customHeight="1">
      <c r="A143" s="10" t="s">
        <v>440</v>
      </c>
      <c r="B143" s="10">
        <v>30503155</v>
      </c>
      <c r="C143" s="10" t="s">
        <v>36</v>
      </c>
      <c r="D143" s="9">
        <v>45686</v>
      </c>
      <c r="E143" s="10" t="s">
        <v>127</v>
      </c>
      <c r="F143" s="10" t="s">
        <v>475</v>
      </c>
    </row>
    <row r="144" spans="1:6" ht="39.75" customHeight="1">
      <c r="A144" s="10" t="s">
        <v>440</v>
      </c>
      <c r="B144" s="10">
        <v>30502388</v>
      </c>
      <c r="C144" s="10" t="s">
        <v>36</v>
      </c>
      <c r="D144" s="9">
        <v>45686</v>
      </c>
      <c r="E144" s="10" t="s">
        <v>127</v>
      </c>
      <c r="F144" s="10" t="s">
        <v>476</v>
      </c>
    </row>
    <row r="145" spans="1:6" ht="39.75" customHeight="1">
      <c r="A145" s="10" t="s">
        <v>440</v>
      </c>
      <c r="B145" s="10">
        <v>30502328</v>
      </c>
      <c r="C145" s="10" t="s">
        <v>36</v>
      </c>
      <c r="D145" s="9">
        <v>45686</v>
      </c>
      <c r="E145" s="10" t="s">
        <v>127</v>
      </c>
      <c r="F145" s="10" t="s">
        <v>477</v>
      </c>
    </row>
    <row r="146" spans="1:6" ht="39.75" customHeight="1">
      <c r="A146" s="10" t="s">
        <v>440</v>
      </c>
      <c r="B146" s="10">
        <v>30502052</v>
      </c>
      <c r="C146" s="10" t="s">
        <v>36</v>
      </c>
      <c r="D146" s="9">
        <v>45686</v>
      </c>
      <c r="E146" s="10" t="s">
        <v>127</v>
      </c>
      <c r="F146" s="10" t="s">
        <v>478</v>
      </c>
    </row>
    <row r="147" spans="1:6" ht="39.75" customHeight="1">
      <c r="A147" s="12" t="s">
        <v>452</v>
      </c>
      <c r="B147" s="10">
        <v>31500021</v>
      </c>
      <c r="C147" s="10" t="s">
        <v>1758</v>
      </c>
      <c r="D147" s="9">
        <v>45688</v>
      </c>
      <c r="E147" s="10" t="s">
        <v>213</v>
      </c>
      <c r="F147" s="10"/>
    </row>
    <row r="148" spans="1:6" ht="39.75" customHeight="1">
      <c r="A148" s="12" t="s">
        <v>452</v>
      </c>
      <c r="B148" s="10">
        <v>31500022</v>
      </c>
      <c r="C148" s="10" t="s">
        <v>1758</v>
      </c>
      <c r="D148" s="9">
        <v>45688</v>
      </c>
      <c r="E148" s="10" t="s">
        <v>213</v>
      </c>
      <c r="F148" s="10"/>
    </row>
    <row r="149" spans="1:6" ht="39.75" customHeight="1">
      <c r="A149" s="12" t="s">
        <v>452</v>
      </c>
      <c r="B149" s="10">
        <v>31500023</v>
      </c>
      <c r="C149" s="10" t="s">
        <v>1758</v>
      </c>
      <c r="D149" s="9">
        <v>45688</v>
      </c>
      <c r="E149" s="10" t="s">
        <v>213</v>
      </c>
      <c r="F149" s="10"/>
    </row>
    <row r="150" spans="1:6" ht="39.75" customHeight="1">
      <c r="A150" s="12" t="s">
        <v>452</v>
      </c>
      <c r="B150" s="10">
        <v>31500025</v>
      </c>
      <c r="C150" s="10" t="s">
        <v>1758</v>
      </c>
      <c r="D150" s="9">
        <v>45688</v>
      </c>
      <c r="E150" s="10" t="s">
        <v>213</v>
      </c>
      <c r="F150" s="10"/>
    </row>
    <row r="151" spans="1:6" ht="39.75" customHeight="1">
      <c r="A151" s="12" t="s">
        <v>452</v>
      </c>
      <c r="B151" s="10">
        <v>31500028</v>
      </c>
      <c r="C151" s="10" t="s">
        <v>1758</v>
      </c>
      <c r="D151" s="9">
        <v>45688</v>
      </c>
      <c r="E151" s="10" t="s">
        <v>213</v>
      </c>
      <c r="F151" s="10"/>
    </row>
    <row r="152" spans="1:6" ht="39.75" customHeight="1">
      <c r="A152" s="12" t="s">
        <v>452</v>
      </c>
      <c r="B152" s="10">
        <v>31500031</v>
      </c>
      <c r="C152" s="10" t="s">
        <v>1758</v>
      </c>
      <c r="D152" s="9">
        <v>45688</v>
      </c>
      <c r="E152" s="10" t="s">
        <v>213</v>
      </c>
      <c r="F152" s="10"/>
    </row>
    <row r="153" spans="1:6" ht="39.75" customHeight="1">
      <c r="A153" s="12" t="s">
        <v>452</v>
      </c>
      <c r="B153" s="10">
        <v>31500033</v>
      </c>
      <c r="C153" s="10" t="s">
        <v>1758</v>
      </c>
      <c r="D153" s="9">
        <v>45688</v>
      </c>
      <c r="E153" s="10" t="s">
        <v>213</v>
      </c>
      <c r="F153" s="10"/>
    </row>
    <row r="154" spans="1:6" ht="39.75" customHeight="1">
      <c r="A154" s="12" t="s">
        <v>452</v>
      </c>
      <c r="B154" s="10">
        <v>31500035</v>
      </c>
      <c r="C154" s="10" t="s">
        <v>1758</v>
      </c>
      <c r="D154" s="9">
        <v>45688</v>
      </c>
      <c r="E154" s="10" t="s">
        <v>213</v>
      </c>
      <c r="F154" s="10"/>
    </row>
    <row r="155" spans="1:6" ht="39.75" customHeight="1">
      <c r="A155" s="12" t="s">
        <v>452</v>
      </c>
      <c r="B155" s="10">
        <v>31500036</v>
      </c>
      <c r="C155" s="10" t="s">
        <v>1758</v>
      </c>
      <c r="D155" s="9">
        <v>45688</v>
      </c>
      <c r="E155" s="10" t="s">
        <v>213</v>
      </c>
      <c r="F155" s="10"/>
    </row>
    <row r="156" spans="1:6" ht="39.75" customHeight="1">
      <c r="A156" s="12" t="s">
        <v>452</v>
      </c>
      <c r="B156" s="10">
        <v>31500037</v>
      </c>
      <c r="C156" s="10" t="s">
        <v>1758</v>
      </c>
      <c r="D156" s="9">
        <v>45688</v>
      </c>
      <c r="E156" s="10" t="s">
        <v>213</v>
      </c>
      <c r="F156" s="10"/>
    </row>
    <row r="157" spans="1:6" ht="39.75" customHeight="1">
      <c r="A157" s="12" t="s">
        <v>452</v>
      </c>
      <c r="B157" s="10">
        <v>31500038</v>
      </c>
      <c r="C157" s="10" t="s">
        <v>1758</v>
      </c>
      <c r="D157" s="9">
        <v>45688</v>
      </c>
      <c r="E157" s="10" t="s">
        <v>213</v>
      </c>
      <c r="F157" s="10"/>
    </row>
    <row r="158" spans="1:6" ht="39.75" customHeight="1">
      <c r="A158" s="12" t="s">
        <v>452</v>
      </c>
      <c r="B158" s="10">
        <v>31500039</v>
      </c>
      <c r="C158" s="10" t="s">
        <v>1758</v>
      </c>
      <c r="D158" s="9">
        <v>45688</v>
      </c>
      <c r="E158" s="10" t="s">
        <v>213</v>
      </c>
      <c r="F158" s="10"/>
    </row>
    <row r="159" spans="1:6" ht="39.75" customHeight="1">
      <c r="A159" s="12" t="s">
        <v>452</v>
      </c>
      <c r="B159" s="10">
        <v>31500040</v>
      </c>
      <c r="C159" s="10" t="s">
        <v>1758</v>
      </c>
      <c r="D159" s="9">
        <v>45688</v>
      </c>
      <c r="E159" s="10" t="s">
        <v>213</v>
      </c>
      <c r="F159" s="10"/>
    </row>
    <row r="160" spans="1:6" ht="39.75" customHeight="1">
      <c r="A160" s="12" t="s">
        <v>452</v>
      </c>
      <c r="B160" s="10">
        <v>31500041</v>
      </c>
      <c r="C160" s="10" t="s">
        <v>1758</v>
      </c>
      <c r="D160" s="9">
        <v>45688</v>
      </c>
      <c r="E160" s="10" t="s">
        <v>213</v>
      </c>
      <c r="F160" s="10"/>
    </row>
    <row r="161" spans="1:6" ht="39.75" customHeight="1">
      <c r="A161" s="12" t="s">
        <v>452</v>
      </c>
      <c r="B161" s="10">
        <v>31500042</v>
      </c>
      <c r="C161" s="10" t="s">
        <v>1758</v>
      </c>
      <c r="D161" s="9">
        <v>45688</v>
      </c>
      <c r="E161" s="10" t="s">
        <v>213</v>
      </c>
      <c r="F161" s="10"/>
    </row>
    <row r="162" spans="1:6" ht="39.75" customHeight="1">
      <c r="A162" s="12" t="s">
        <v>452</v>
      </c>
      <c r="B162" s="10">
        <v>31500043</v>
      </c>
      <c r="C162" s="10" t="s">
        <v>1758</v>
      </c>
      <c r="D162" s="9">
        <v>45688</v>
      </c>
      <c r="E162" s="10" t="s">
        <v>213</v>
      </c>
      <c r="F162" s="10"/>
    </row>
    <row r="163" spans="1:6" ht="39.75" customHeight="1">
      <c r="A163" s="12" t="s">
        <v>452</v>
      </c>
      <c r="B163" s="10">
        <v>31500044</v>
      </c>
      <c r="C163" s="10" t="s">
        <v>1758</v>
      </c>
      <c r="D163" s="9">
        <v>45688</v>
      </c>
      <c r="E163" s="10" t="s">
        <v>213</v>
      </c>
      <c r="F163" s="10"/>
    </row>
    <row r="164" spans="1:6" ht="39.75" customHeight="1">
      <c r="A164" s="12" t="s">
        <v>452</v>
      </c>
      <c r="B164" s="10">
        <v>31500045</v>
      </c>
      <c r="C164" s="10" t="s">
        <v>1758</v>
      </c>
      <c r="D164" s="9">
        <v>45688</v>
      </c>
      <c r="E164" s="10" t="s">
        <v>213</v>
      </c>
      <c r="F164" s="10"/>
    </row>
    <row r="165" spans="1:6" ht="39.75" customHeight="1">
      <c r="A165" s="12" t="s">
        <v>452</v>
      </c>
      <c r="B165" s="10">
        <v>31500046</v>
      </c>
      <c r="C165" s="10" t="s">
        <v>1758</v>
      </c>
      <c r="D165" s="9">
        <v>45688</v>
      </c>
      <c r="E165" s="10" t="s">
        <v>213</v>
      </c>
      <c r="F165" s="10"/>
    </row>
    <row r="166" spans="1:6" ht="39.75" customHeight="1">
      <c r="A166" s="12" t="s">
        <v>452</v>
      </c>
      <c r="B166" s="10">
        <v>31500047</v>
      </c>
      <c r="C166" s="10" t="s">
        <v>1758</v>
      </c>
      <c r="D166" s="9">
        <v>45688</v>
      </c>
      <c r="E166" s="10" t="s">
        <v>213</v>
      </c>
      <c r="F166" s="10"/>
    </row>
    <row r="167" spans="1:6" ht="39.75" customHeight="1">
      <c r="A167" s="12" t="s">
        <v>452</v>
      </c>
      <c r="B167" s="10">
        <v>31500048</v>
      </c>
      <c r="C167" s="10" t="s">
        <v>1758</v>
      </c>
      <c r="D167" s="9">
        <v>45688</v>
      </c>
      <c r="E167" s="10" t="s">
        <v>213</v>
      </c>
      <c r="F167" s="10"/>
    </row>
    <row r="168" spans="1:6" ht="39.75" customHeight="1">
      <c r="A168" s="12" t="s">
        <v>452</v>
      </c>
      <c r="B168" s="10">
        <v>31500049</v>
      </c>
      <c r="C168" s="10" t="s">
        <v>1758</v>
      </c>
      <c r="D168" s="9">
        <v>45688</v>
      </c>
      <c r="E168" s="10" t="s">
        <v>213</v>
      </c>
      <c r="F168" s="10"/>
    </row>
    <row r="169" spans="1:6" ht="39.75" customHeight="1">
      <c r="A169" s="12" t="s">
        <v>452</v>
      </c>
      <c r="B169" s="10">
        <v>31500051</v>
      </c>
      <c r="C169" s="10" t="s">
        <v>1758</v>
      </c>
      <c r="D169" s="9">
        <v>45688</v>
      </c>
      <c r="E169" s="10" t="s">
        <v>213</v>
      </c>
      <c r="F169" s="10"/>
    </row>
    <row r="170" spans="1:6" ht="39.75" customHeight="1">
      <c r="A170" s="12" t="s">
        <v>452</v>
      </c>
      <c r="B170" s="10">
        <v>31500052</v>
      </c>
      <c r="C170" s="10" t="s">
        <v>1758</v>
      </c>
      <c r="D170" s="9">
        <v>45688</v>
      </c>
      <c r="E170" s="10" t="s">
        <v>213</v>
      </c>
      <c r="F170" s="10"/>
    </row>
    <row r="171" spans="1:6" ht="39.75" customHeight="1">
      <c r="A171" s="12" t="s">
        <v>452</v>
      </c>
      <c r="B171" s="10">
        <v>31500053</v>
      </c>
      <c r="C171" s="10" t="s">
        <v>1758</v>
      </c>
      <c r="D171" s="9">
        <v>45688</v>
      </c>
      <c r="E171" s="10" t="s">
        <v>213</v>
      </c>
      <c r="F171" s="10"/>
    </row>
    <row r="172" spans="1:6" ht="39.75" customHeight="1">
      <c r="A172" s="12" t="s">
        <v>452</v>
      </c>
      <c r="B172" s="10">
        <v>31500054</v>
      </c>
      <c r="C172" s="10" t="s">
        <v>1758</v>
      </c>
      <c r="D172" s="9">
        <v>45688</v>
      </c>
      <c r="E172" s="10" t="s">
        <v>213</v>
      </c>
      <c r="F172" s="10"/>
    </row>
    <row r="173" spans="1:6" ht="39.75" customHeight="1">
      <c r="A173" s="12" t="s">
        <v>452</v>
      </c>
      <c r="B173" s="10">
        <v>31500055</v>
      </c>
      <c r="C173" s="10" t="s">
        <v>1758</v>
      </c>
      <c r="D173" s="9">
        <v>45688</v>
      </c>
      <c r="E173" s="10" t="s">
        <v>213</v>
      </c>
      <c r="F173" s="10"/>
    </row>
    <row r="174" spans="1:6" ht="39.75" customHeight="1">
      <c r="A174" s="10" t="s">
        <v>452</v>
      </c>
      <c r="B174" s="10">
        <v>31500054</v>
      </c>
      <c r="C174" s="10" t="s">
        <v>36</v>
      </c>
      <c r="D174" s="9">
        <v>45688</v>
      </c>
      <c r="E174" s="10" t="s">
        <v>213</v>
      </c>
      <c r="F174" s="10" t="s">
        <v>455</v>
      </c>
    </row>
    <row r="175" spans="1:6" ht="39.75" customHeight="1">
      <c r="A175" s="10" t="s">
        <v>452</v>
      </c>
      <c r="B175" s="10">
        <v>31500053</v>
      </c>
      <c r="C175" s="10" t="s">
        <v>36</v>
      </c>
      <c r="D175" s="9">
        <v>45688</v>
      </c>
      <c r="E175" s="10" t="s">
        <v>213</v>
      </c>
      <c r="F175" s="10" t="s">
        <v>454</v>
      </c>
    </row>
    <row r="176" spans="1:6" ht="39.75" customHeight="1">
      <c r="A176" s="10" t="s">
        <v>452</v>
      </c>
      <c r="B176" s="10">
        <v>31500052</v>
      </c>
      <c r="C176" s="10" t="s">
        <v>36</v>
      </c>
      <c r="D176" s="9">
        <v>45688</v>
      </c>
      <c r="E176" s="10" t="s">
        <v>213</v>
      </c>
      <c r="F176" s="10" t="s">
        <v>455</v>
      </c>
    </row>
    <row r="177" spans="1:6" ht="39.75" customHeight="1">
      <c r="A177" s="10" t="s">
        <v>452</v>
      </c>
      <c r="B177" s="10">
        <v>31500051</v>
      </c>
      <c r="C177" s="10" t="s">
        <v>36</v>
      </c>
      <c r="D177" s="9">
        <v>45688</v>
      </c>
      <c r="E177" s="10" t="s">
        <v>213</v>
      </c>
      <c r="F177" s="10" t="s">
        <v>456</v>
      </c>
    </row>
    <row r="178" spans="1:6" ht="39.75" customHeight="1">
      <c r="A178" s="10" t="s">
        <v>452</v>
      </c>
      <c r="B178" s="10">
        <v>31500049</v>
      </c>
      <c r="C178" s="10" t="s">
        <v>36</v>
      </c>
      <c r="D178" s="9">
        <v>45688</v>
      </c>
      <c r="E178" s="10" t="s">
        <v>213</v>
      </c>
      <c r="F178" s="10" t="s">
        <v>457</v>
      </c>
    </row>
    <row r="179" spans="1:6" ht="39.75" customHeight="1">
      <c r="A179" s="10" t="s">
        <v>452</v>
      </c>
      <c r="B179" s="10">
        <v>31500048</v>
      </c>
      <c r="C179" s="10" t="s">
        <v>36</v>
      </c>
      <c r="D179" s="9">
        <v>45688</v>
      </c>
      <c r="E179" s="10" t="s">
        <v>213</v>
      </c>
      <c r="F179" s="10" t="s">
        <v>458</v>
      </c>
    </row>
    <row r="180" spans="1:6" ht="39.75" customHeight="1">
      <c r="A180" s="10" t="s">
        <v>452</v>
      </c>
      <c r="B180" s="10">
        <v>31500047</v>
      </c>
      <c r="C180" s="10" t="s">
        <v>36</v>
      </c>
      <c r="D180" s="9">
        <v>45688</v>
      </c>
      <c r="E180" s="10" t="s">
        <v>213</v>
      </c>
      <c r="F180" s="10" t="s">
        <v>458</v>
      </c>
    </row>
    <row r="181" spans="1:6" ht="39.75" customHeight="1">
      <c r="A181" s="10" t="s">
        <v>452</v>
      </c>
      <c r="B181" s="10">
        <v>31500046</v>
      </c>
      <c r="C181" s="10" t="s">
        <v>36</v>
      </c>
      <c r="D181" s="9">
        <v>45688</v>
      </c>
      <c r="E181" s="10" t="s">
        <v>213</v>
      </c>
      <c r="F181" s="10" t="s">
        <v>459</v>
      </c>
    </row>
    <row r="182" spans="1:6" ht="39.75" customHeight="1">
      <c r="A182" s="10" t="s">
        <v>452</v>
      </c>
      <c r="B182" s="10">
        <v>31500045</v>
      </c>
      <c r="C182" s="10" t="s">
        <v>36</v>
      </c>
      <c r="D182" s="9">
        <v>45688</v>
      </c>
      <c r="E182" s="10" t="s">
        <v>213</v>
      </c>
      <c r="F182" s="10" t="s">
        <v>460</v>
      </c>
    </row>
    <row r="183" spans="1:6" ht="39.75" customHeight="1">
      <c r="A183" s="10" t="s">
        <v>452</v>
      </c>
      <c r="B183" s="10">
        <v>31500044</v>
      </c>
      <c r="C183" s="10" t="s">
        <v>36</v>
      </c>
      <c r="D183" s="9">
        <v>45688</v>
      </c>
      <c r="E183" s="10" t="s">
        <v>213</v>
      </c>
      <c r="F183" s="10" t="s">
        <v>461</v>
      </c>
    </row>
    <row r="184" spans="1:6" ht="39.75" customHeight="1">
      <c r="A184" s="10" t="s">
        <v>452</v>
      </c>
      <c r="B184" s="10">
        <v>31500043</v>
      </c>
      <c r="C184" s="10" t="s">
        <v>36</v>
      </c>
      <c r="D184" s="9">
        <v>45688</v>
      </c>
      <c r="E184" s="10" t="s">
        <v>213</v>
      </c>
      <c r="F184" s="10" t="s">
        <v>461</v>
      </c>
    </row>
    <row r="185" spans="1:6" ht="39.75" customHeight="1">
      <c r="A185" s="10" t="s">
        <v>452</v>
      </c>
      <c r="B185" s="10">
        <v>31500042</v>
      </c>
      <c r="C185" s="10" t="s">
        <v>36</v>
      </c>
      <c r="D185" s="9">
        <v>45688</v>
      </c>
      <c r="E185" s="10" t="s">
        <v>213</v>
      </c>
      <c r="F185" s="10" t="s">
        <v>466</v>
      </c>
    </row>
    <row r="186" spans="1:6" ht="39.75" customHeight="1">
      <c r="A186" s="10" t="s">
        <v>452</v>
      </c>
      <c r="B186" s="10">
        <v>31500041</v>
      </c>
      <c r="C186" s="10" t="s">
        <v>36</v>
      </c>
      <c r="D186" s="9">
        <v>45688</v>
      </c>
      <c r="E186" s="10" t="s">
        <v>213</v>
      </c>
      <c r="F186" s="10" t="s">
        <v>461</v>
      </c>
    </row>
    <row r="187" spans="1:6" ht="39.75" customHeight="1">
      <c r="A187" s="10" t="s">
        <v>452</v>
      </c>
      <c r="B187" s="10">
        <v>31500040</v>
      </c>
      <c r="C187" s="10" t="s">
        <v>36</v>
      </c>
      <c r="D187" s="9">
        <v>45688</v>
      </c>
      <c r="E187" s="10" t="s">
        <v>213</v>
      </c>
      <c r="F187" s="10" t="s">
        <v>463</v>
      </c>
    </row>
    <row r="188" spans="1:6" ht="39.75" customHeight="1">
      <c r="A188" s="10" t="s">
        <v>452</v>
      </c>
      <c r="B188" s="10">
        <v>31500039</v>
      </c>
      <c r="C188" s="10" t="s">
        <v>36</v>
      </c>
      <c r="D188" s="9">
        <v>45688</v>
      </c>
      <c r="E188" s="10" t="s">
        <v>213</v>
      </c>
      <c r="F188" s="10" t="s">
        <v>464</v>
      </c>
    </row>
    <row r="189" spans="1:6" ht="39.75" customHeight="1">
      <c r="A189" s="10" t="s">
        <v>452</v>
      </c>
      <c r="B189" s="10">
        <v>31500038</v>
      </c>
      <c r="C189" s="10" t="s">
        <v>36</v>
      </c>
      <c r="D189" s="9">
        <v>45688</v>
      </c>
      <c r="E189" s="10" t="s">
        <v>213</v>
      </c>
      <c r="F189" s="10" t="s">
        <v>465</v>
      </c>
    </row>
    <row r="190" spans="1:6" ht="39.75" customHeight="1">
      <c r="A190" s="10" t="s">
        <v>452</v>
      </c>
      <c r="B190" s="10">
        <v>31500037</v>
      </c>
      <c r="C190" s="10" t="s">
        <v>36</v>
      </c>
      <c r="D190" s="9">
        <v>45688</v>
      </c>
      <c r="E190" s="10" t="s">
        <v>213</v>
      </c>
      <c r="F190" s="10" t="s">
        <v>462</v>
      </c>
    </row>
    <row r="191" spans="1:6" ht="39.75" customHeight="1">
      <c r="A191" s="10" t="s">
        <v>452</v>
      </c>
      <c r="B191" s="10">
        <v>31500036</v>
      </c>
      <c r="C191" s="10" t="s">
        <v>36</v>
      </c>
      <c r="D191" s="9">
        <v>45688</v>
      </c>
      <c r="E191" s="10" t="s">
        <v>213</v>
      </c>
      <c r="F191" s="10" t="s">
        <v>464</v>
      </c>
    </row>
    <row r="192" spans="1:6" ht="39.75" customHeight="1">
      <c r="A192" s="10" t="s">
        <v>452</v>
      </c>
      <c r="B192" s="10">
        <v>31500035</v>
      </c>
      <c r="C192" s="10" t="s">
        <v>36</v>
      </c>
      <c r="D192" s="9">
        <v>45688</v>
      </c>
      <c r="E192" s="10" t="s">
        <v>213</v>
      </c>
      <c r="F192" s="10" t="s">
        <v>467</v>
      </c>
    </row>
    <row r="193" spans="1:6" ht="39.75" customHeight="1">
      <c r="A193" s="10" t="s">
        <v>452</v>
      </c>
      <c r="B193" s="10">
        <v>31500033</v>
      </c>
      <c r="C193" s="10" t="s">
        <v>36</v>
      </c>
      <c r="D193" s="9">
        <v>45688</v>
      </c>
      <c r="E193" s="10" t="s">
        <v>213</v>
      </c>
      <c r="F193" s="10" t="s">
        <v>468</v>
      </c>
    </row>
    <row r="194" spans="1:6" ht="39.75" customHeight="1">
      <c r="A194" s="10" t="s">
        <v>452</v>
      </c>
      <c r="B194" s="10">
        <v>31500031</v>
      </c>
      <c r="C194" s="10" t="s">
        <v>36</v>
      </c>
      <c r="D194" s="9">
        <v>45688</v>
      </c>
      <c r="E194" s="10" t="s">
        <v>213</v>
      </c>
      <c r="F194" s="10" t="s">
        <v>469</v>
      </c>
    </row>
    <row r="195" spans="1:6" ht="39.75" customHeight="1">
      <c r="A195" s="10" t="s">
        <v>452</v>
      </c>
      <c r="B195" s="10">
        <v>31500028</v>
      </c>
      <c r="C195" s="10" t="s">
        <v>36</v>
      </c>
      <c r="D195" s="9">
        <v>45688</v>
      </c>
      <c r="E195" s="10" t="s">
        <v>213</v>
      </c>
      <c r="F195" s="10" t="s">
        <v>470</v>
      </c>
    </row>
    <row r="196" spans="1:6" ht="39.75" customHeight="1">
      <c r="A196" s="10" t="s">
        <v>452</v>
      </c>
      <c r="B196" s="10">
        <v>31500025</v>
      </c>
      <c r="C196" s="10" t="s">
        <v>36</v>
      </c>
      <c r="D196" s="9">
        <v>45688</v>
      </c>
      <c r="E196" s="10" t="s">
        <v>213</v>
      </c>
      <c r="F196" s="10" t="s">
        <v>471</v>
      </c>
    </row>
    <row r="197" spans="1:6" ht="39.75" customHeight="1">
      <c r="A197" s="10" t="s">
        <v>452</v>
      </c>
      <c r="B197" s="10">
        <v>31500023</v>
      </c>
      <c r="C197" s="10" t="s">
        <v>36</v>
      </c>
      <c r="D197" s="9">
        <v>45688</v>
      </c>
      <c r="E197" s="10" t="s">
        <v>213</v>
      </c>
      <c r="F197" s="10" t="s">
        <v>472</v>
      </c>
    </row>
    <row r="198" spans="1:6" ht="39.75" customHeight="1">
      <c r="A198" s="10" t="s">
        <v>452</v>
      </c>
      <c r="B198" s="10">
        <v>31500022</v>
      </c>
      <c r="C198" s="10" t="s">
        <v>36</v>
      </c>
      <c r="D198" s="9">
        <v>45688</v>
      </c>
      <c r="E198" s="10" t="s">
        <v>213</v>
      </c>
      <c r="F198" s="10" t="s">
        <v>473</v>
      </c>
    </row>
    <row r="199" spans="1:6" ht="39.75" customHeight="1">
      <c r="A199" s="10" t="s">
        <v>452</v>
      </c>
      <c r="B199" s="10">
        <v>31500021</v>
      </c>
      <c r="C199" s="10" t="s">
        <v>36</v>
      </c>
      <c r="D199" s="9">
        <v>45688</v>
      </c>
      <c r="E199" s="10" t="s">
        <v>213</v>
      </c>
      <c r="F199" s="10" t="s">
        <v>473</v>
      </c>
    </row>
    <row r="200" spans="1:6" ht="39.75" customHeight="1">
      <c r="A200" s="10" t="s">
        <v>144</v>
      </c>
      <c r="B200" s="10">
        <v>37508590</v>
      </c>
      <c r="C200" s="10" t="s">
        <v>36</v>
      </c>
      <c r="D200" s="9">
        <v>45691</v>
      </c>
      <c r="E200" s="10" t="s">
        <v>145</v>
      </c>
      <c r="F200" s="10" t="s">
        <v>207</v>
      </c>
    </row>
    <row r="201" spans="1:6" ht="39.75" customHeight="1"/>
    <row r="202" spans="1:6" ht="39.75" customHeight="1"/>
    <row r="203" spans="1:6" ht="39.75" customHeight="1"/>
    <row r="204" spans="1:6" ht="39.75" customHeight="1">
      <c r="A204" s="10" t="s">
        <v>479</v>
      </c>
      <c r="B204" s="10">
        <v>35509586</v>
      </c>
      <c r="C204" s="10" t="s">
        <v>36</v>
      </c>
      <c r="D204" s="9">
        <v>45691</v>
      </c>
      <c r="E204" s="10" t="s">
        <v>210</v>
      </c>
      <c r="F204" s="10" t="s">
        <v>480</v>
      </c>
    </row>
    <row r="205" spans="1:6" ht="39.75" customHeight="1">
      <c r="A205" s="10" t="s">
        <v>144</v>
      </c>
      <c r="B205" s="10">
        <v>35510080</v>
      </c>
      <c r="C205" s="10" t="s">
        <v>36</v>
      </c>
      <c r="D205" s="9">
        <v>45691</v>
      </c>
      <c r="E205" s="10" t="s">
        <v>145</v>
      </c>
      <c r="F205" s="10" t="s">
        <v>146</v>
      </c>
    </row>
    <row r="206" spans="1:6" ht="39.75" customHeight="1">
      <c r="A206" s="10" t="s">
        <v>144</v>
      </c>
      <c r="B206" s="10">
        <v>35510070</v>
      </c>
      <c r="C206" s="10" t="s">
        <v>36</v>
      </c>
      <c r="D206" s="9">
        <v>45691</v>
      </c>
      <c r="E206" s="10" t="s">
        <v>145</v>
      </c>
      <c r="F206" s="10" t="s">
        <v>147</v>
      </c>
    </row>
    <row r="207" spans="1:6" ht="39.75" customHeight="1">
      <c r="A207" s="10" t="s">
        <v>144</v>
      </c>
      <c r="B207" s="10">
        <v>35510055</v>
      </c>
      <c r="C207" s="10" t="s">
        <v>36</v>
      </c>
      <c r="D207" s="9">
        <v>45691</v>
      </c>
      <c r="E207" s="10" t="s">
        <v>145</v>
      </c>
      <c r="F207" s="10" t="s">
        <v>148</v>
      </c>
    </row>
    <row r="208" spans="1:6" ht="39.75" customHeight="1">
      <c r="A208" s="10" t="s">
        <v>144</v>
      </c>
      <c r="B208" s="10">
        <v>35510045</v>
      </c>
      <c r="C208" s="10" t="s">
        <v>36</v>
      </c>
      <c r="D208" s="9">
        <v>45691</v>
      </c>
      <c r="E208" s="10" t="s">
        <v>145</v>
      </c>
      <c r="F208" s="10" t="s">
        <v>149</v>
      </c>
    </row>
    <row r="209" spans="1:6" ht="39.75" customHeight="1">
      <c r="A209" s="10" t="s">
        <v>144</v>
      </c>
      <c r="B209" s="10">
        <v>35510032</v>
      </c>
      <c r="C209" s="10" t="s">
        <v>36</v>
      </c>
      <c r="D209" s="9">
        <v>45691</v>
      </c>
      <c r="E209" s="10" t="s">
        <v>145</v>
      </c>
      <c r="F209" s="10" t="s">
        <v>150</v>
      </c>
    </row>
    <row r="210" spans="1:6" ht="39.75" customHeight="1">
      <c r="A210" s="10" t="s">
        <v>144</v>
      </c>
      <c r="B210" s="10">
        <v>35510022</v>
      </c>
      <c r="C210" s="10" t="s">
        <v>36</v>
      </c>
      <c r="D210" s="9">
        <v>45691</v>
      </c>
      <c r="E210" s="10" t="s">
        <v>145</v>
      </c>
      <c r="F210" s="10" t="s">
        <v>151</v>
      </c>
    </row>
    <row r="211" spans="1:6" ht="39.75" customHeight="1">
      <c r="A211" s="10" t="s">
        <v>144</v>
      </c>
      <c r="B211" s="10">
        <v>35510009</v>
      </c>
      <c r="C211" s="10" t="s">
        <v>36</v>
      </c>
      <c r="D211" s="9">
        <v>45691</v>
      </c>
      <c r="E211" s="10" t="s">
        <v>145</v>
      </c>
      <c r="F211" s="10" t="s">
        <v>152</v>
      </c>
    </row>
    <row r="212" spans="1:6" ht="39.75" customHeight="1">
      <c r="A212" s="10" t="s">
        <v>144</v>
      </c>
      <c r="B212" s="10">
        <v>35509989</v>
      </c>
      <c r="C212" s="10" t="s">
        <v>36</v>
      </c>
      <c r="D212" s="9">
        <v>45691</v>
      </c>
      <c r="E212" s="10" t="s">
        <v>145</v>
      </c>
      <c r="F212" s="10" t="s">
        <v>153</v>
      </c>
    </row>
    <row r="213" spans="1:6" ht="39.75" customHeight="1">
      <c r="A213" s="10" t="s">
        <v>303</v>
      </c>
      <c r="B213" s="10">
        <v>35509789</v>
      </c>
      <c r="C213" s="10" t="s">
        <v>36</v>
      </c>
      <c r="D213" s="9">
        <v>45691</v>
      </c>
      <c r="E213" s="10" t="s">
        <v>304</v>
      </c>
      <c r="F213" s="10" t="s">
        <v>312</v>
      </c>
    </row>
    <row r="214" spans="1:6" ht="39.75" customHeight="1">
      <c r="A214" s="10" t="s">
        <v>303</v>
      </c>
      <c r="B214" s="10">
        <v>35509780</v>
      </c>
      <c r="C214" s="10" t="s">
        <v>36</v>
      </c>
      <c r="D214" s="9">
        <v>45691</v>
      </c>
      <c r="E214" s="10" t="s">
        <v>304</v>
      </c>
      <c r="F214" s="10" t="s">
        <v>313</v>
      </c>
    </row>
    <row r="215" spans="1:6" ht="39.75" customHeight="1">
      <c r="A215" s="10" t="s">
        <v>303</v>
      </c>
      <c r="B215" s="10">
        <v>35509774</v>
      </c>
      <c r="C215" s="10" t="s">
        <v>36</v>
      </c>
      <c r="D215" s="9">
        <v>45691</v>
      </c>
      <c r="E215" s="10" t="s">
        <v>304</v>
      </c>
      <c r="F215" s="10" t="s">
        <v>313</v>
      </c>
    </row>
    <row r="216" spans="1:6" ht="39.75" customHeight="1">
      <c r="A216" s="10" t="s">
        <v>303</v>
      </c>
      <c r="B216" s="10">
        <v>35509764</v>
      </c>
      <c r="C216" s="10" t="s">
        <v>36</v>
      </c>
      <c r="D216" s="9">
        <v>45691</v>
      </c>
      <c r="E216" s="10" t="s">
        <v>304</v>
      </c>
      <c r="F216" s="10" t="s">
        <v>314</v>
      </c>
    </row>
    <row r="217" spans="1:6" ht="39.75" customHeight="1">
      <c r="A217" s="10" t="s">
        <v>303</v>
      </c>
      <c r="B217" s="10">
        <v>35509750</v>
      </c>
      <c r="C217" s="10" t="s">
        <v>36</v>
      </c>
      <c r="D217" s="9">
        <v>45691</v>
      </c>
      <c r="E217" s="10" t="s">
        <v>304</v>
      </c>
      <c r="F217" s="10" t="s">
        <v>315</v>
      </c>
    </row>
    <row r="218" spans="1:6" ht="39.75" customHeight="1">
      <c r="A218" s="14" t="s">
        <v>137</v>
      </c>
      <c r="B218" s="10">
        <v>35506238</v>
      </c>
      <c r="C218" s="10" t="s">
        <v>36</v>
      </c>
      <c r="D218" s="9">
        <v>45691</v>
      </c>
      <c r="E218" s="10" t="s">
        <v>130</v>
      </c>
      <c r="F218" s="10" t="s">
        <v>138</v>
      </c>
    </row>
    <row r="219" spans="1:6" ht="39.75" customHeight="1">
      <c r="A219" s="14" t="s">
        <v>137</v>
      </c>
      <c r="B219" s="10">
        <v>35506199</v>
      </c>
      <c r="C219" s="10" t="s">
        <v>36</v>
      </c>
      <c r="D219" s="9">
        <v>45691</v>
      </c>
      <c r="E219" s="10" t="s">
        <v>130</v>
      </c>
      <c r="F219" s="10" t="s">
        <v>139</v>
      </c>
    </row>
    <row r="220" spans="1:6" ht="39.75" customHeight="1">
      <c r="A220" s="14" t="s">
        <v>137</v>
      </c>
      <c r="B220" s="10">
        <v>35506159</v>
      </c>
      <c r="C220" s="10" t="s">
        <v>36</v>
      </c>
      <c r="D220" s="9">
        <v>45691</v>
      </c>
      <c r="E220" s="10" t="s">
        <v>130</v>
      </c>
      <c r="F220" s="10" t="s">
        <v>140</v>
      </c>
    </row>
    <row r="221" spans="1:6" ht="39.75" customHeight="1">
      <c r="A221" s="14" t="s">
        <v>137</v>
      </c>
      <c r="B221" s="10">
        <v>35506111</v>
      </c>
      <c r="C221" s="10" t="s">
        <v>36</v>
      </c>
      <c r="D221" s="9">
        <v>45691</v>
      </c>
      <c r="E221" s="10" t="s">
        <v>130</v>
      </c>
      <c r="F221" s="10" t="s">
        <v>141</v>
      </c>
    </row>
    <row r="222" spans="1:6" ht="39.75" customHeight="1">
      <c r="A222" s="14" t="s">
        <v>137</v>
      </c>
      <c r="B222" s="10">
        <v>35506054</v>
      </c>
      <c r="C222" s="10" t="s">
        <v>36</v>
      </c>
      <c r="D222" s="9">
        <v>45691</v>
      </c>
      <c r="E222" s="10" t="s">
        <v>130</v>
      </c>
      <c r="F222" s="10" t="s">
        <v>142</v>
      </c>
    </row>
    <row r="223" spans="1:6" ht="39.75" customHeight="1">
      <c r="A223" s="14" t="s">
        <v>137</v>
      </c>
      <c r="B223" s="10">
        <v>35505986</v>
      </c>
      <c r="C223" s="10" t="s">
        <v>36</v>
      </c>
      <c r="D223" s="9">
        <v>45691</v>
      </c>
      <c r="E223" s="10" t="s">
        <v>130</v>
      </c>
      <c r="F223" s="10" t="s">
        <v>143</v>
      </c>
    </row>
    <row r="224" spans="1:6" ht="39.75" customHeight="1">
      <c r="A224" s="14" t="s">
        <v>128</v>
      </c>
      <c r="B224" s="10">
        <v>35505134</v>
      </c>
      <c r="C224" s="10" t="s">
        <v>36</v>
      </c>
      <c r="D224" s="9">
        <v>45691</v>
      </c>
      <c r="E224" s="10" t="s">
        <v>130</v>
      </c>
      <c r="F224" s="10" t="s">
        <v>134</v>
      </c>
    </row>
    <row r="225" spans="1:6" ht="39.75" customHeight="1">
      <c r="A225" s="14" t="s">
        <v>128</v>
      </c>
      <c r="B225" s="10">
        <v>35505087</v>
      </c>
      <c r="C225" s="10" t="s">
        <v>36</v>
      </c>
      <c r="D225" s="9">
        <v>45691</v>
      </c>
      <c r="E225" s="10" t="s">
        <v>130</v>
      </c>
      <c r="F225" s="10" t="s">
        <v>133</v>
      </c>
    </row>
    <row r="226" spans="1:6" ht="39.75" customHeight="1">
      <c r="A226" s="14" t="s">
        <v>128</v>
      </c>
      <c r="B226" s="10">
        <v>35504960</v>
      </c>
      <c r="C226" s="10" t="s">
        <v>36</v>
      </c>
      <c r="D226" s="9">
        <v>45691</v>
      </c>
      <c r="E226" s="10" t="s">
        <v>130</v>
      </c>
      <c r="F226" s="10" t="s">
        <v>136</v>
      </c>
    </row>
    <row r="227" spans="1:6" ht="39.75" customHeight="1">
      <c r="A227" s="14" t="s">
        <v>128</v>
      </c>
      <c r="B227" s="10">
        <v>35504929</v>
      </c>
      <c r="C227" s="10" t="s">
        <v>36</v>
      </c>
      <c r="D227" s="9">
        <v>45691</v>
      </c>
      <c r="E227" s="10" t="s">
        <v>130</v>
      </c>
      <c r="F227" s="10" t="s">
        <v>131</v>
      </c>
    </row>
    <row r="228" spans="1:6" ht="39.75" customHeight="1">
      <c r="A228" s="14" t="s">
        <v>128</v>
      </c>
      <c r="B228" s="10">
        <v>35504891</v>
      </c>
      <c r="C228" s="10" t="s">
        <v>36</v>
      </c>
      <c r="D228" s="9">
        <v>45691</v>
      </c>
      <c r="E228" s="10" t="s">
        <v>130</v>
      </c>
      <c r="F228" s="10" t="s">
        <v>132</v>
      </c>
    </row>
    <row r="229" spans="1:6" ht="39.75" customHeight="1">
      <c r="A229" s="14" t="s">
        <v>128</v>
      </c>
      <c r="B229" s="10">
        <v>35504415</v>
      </c>
      <c r="C229" s="10" t="s">
        <v>36</v>
      </c>
      <c r="D229" s="9">
        <v>45691</v>
      </c>
      <c r="E229" s="10" t="s">
        <v>130</v>
      </c>
      <c r="F229" s="10" t="s">
        <v>135</v>
      </c>
    </row>
    <row r="230" spans="1:6" ht="39.75" customHeight="1">
      <c r="A230" s="14" t="s">
        <v>212</v>
      </c>
      <c r="B230" s="10">
        <v>35501743</v>
      </c>
      <c r="C230" s="10" t="s">
        <v>36</v>
      </c>
      <c r="D230" s="9">
        <v>45691</v>
      </c>
      <c r="E230" s="10" t="s">
        <v>213</v>
      </c>
      <c r="F230" s="10" t="s">
        <v>214</v>
      </c>
    </row>
    <row r="231" spans="1:6" ht="39.75" customHeight="1">
      <c r="A231" s="14" t="s">
        <v>212</v>
      </c>
      <c r="B231" s="10">
        <v>35501713</v>
      </c>
      <c r="C231" s="10" t="s">
        <v>36</v>
      </c>
      <c r="D231" s="9">
        <v>45691</v>
      </c>
      <c r="E231" s="10" t="s">
        <v>213</v>
      </c>
      <c r="F231" s="10" t="s">
        <v>214</v>
      </c>
    </row>
    <row r="232" spans="1:6" ht="39.75" customHeight="1">
      <c r="A232" s="14" t="s">
        <v>212</v>
      </c>
      <c r="B232" s="10">
        <v>35501673</v>
      </c>
      <c r="C232" s="10" t="s">
        <v>36</v>
      </c>
      <c r="D232" s="9">
        <v>45691</v>
      </c>
      <c r="E232" s="10" t="s">
        <v>213</v>
      </c>
      <c r="F232" s="10" t="s">
        <v>215</v>
      </c>
    </row>
    <row r="233" spans="1:6" ht="39.75" customHeight="1">
      <c r="A233" s="14" t="s">
        <v>212</v>
      </c>
      <c r="B233" s="10">
        <v>35501638</v>
      </c>
      <c r="C233" s="10" t="s">
        <v>36</v>
      </c>
      <c r="D233" s="9">
        <v>45691</v>
      </c>
      <c r="E233" s="10" t="s">
        <v>213</v>
      </c>
      <c r="F233" s="10" t="s">
        <v>216</v>
      </c>
    </row>
    <row r="234" spans="1:6" ht="39.75" customHeight="1">
      <c r="A234" s="14" t="s">
        <v>212</v>
      </c>
      <c r="B234" s="10">
        <v>35501580</v>
      </c>
      <c r="C234" s="10" t="s">
        <v>36</v>
      </c>
      <c r="D234" s="9">
        <v>45691</v>
      </c>
      <c r="E234" s="10" t="s">
        <v>213</v>
      </c>
      <c r="F234" s="10" t="s">
        <v>214</v>
      </c>
    </row>
    <row r="235" spans="1:6" ht="39.75" customHeight="1">
      <c r="A235" s="14" t="s">
        <v>212</v>
      </c>
      <c r="B235" s="10">
        <v>35501515</v>
      </c>
      <c r="C235" s="10" t="s">
        <v>36</v>
      </c>
      <c r="D235" s="9">
        <v>45691</v>
      </c>
      <c r="E235" s="10" t="s">
        <v>213</v>
      </c>
      <c r="F235" s="10" t="s">
        <v>217</v>
      </c>
    </row>
    <row r="236" spans="1:6" ht="39.75" customHeight="1">
      <c r="A236" s="14" t="s">
        <v>212</v>
      </c>
      <c r="B236" s="10">
        <v>35501463</v>
      </c>
      <c r="C236" s="10" t="s">
        <v>36</v>
      </c>
      <c r="D236" s="9">
        <v>45691</v>
      </c>
      <c r="E236" s="10" t="s">
        <v>213</v>
      </c>
      <c r="F236" s="10" t="s">
        <v>218</v>
      </c>
    </row>
    <row r="237" spans="1:6" ht="39.75" customHeight="1">
      <c r="A237" s="14" t="s">
        <v>212</v>
      </c>
      <c r="B237" s="10">
        <v>35501422</v>
      </c>
      <c r="C237" s="10" t="s">
        <v>36</v>
      </c>
      <c r="D237" s="9">
        <v>45691</v>
      </c>
      <c r="E237" s="10" t="s">
        <v>213</v>
      </c>
      <c r="F237" s="10" t="s">
        <v>219</v>
      </c>
    </row>
    <row r="238" spans="1:6" ht="39.75" customHeight="1">
      <c r="A238" s="14" t="s">
        <v>212</v>
      </c>
      <c r="B238" s="10">
        <v>35501396</v>
      </c>
      <c r="C238" s="10" t="s">
        <v>36</v>
      </c>
      <c r="D238" s="9">
        <v>45691</v>
      </c>
      <c r="E238" s="10" t="s">
        <v>213</v>
      </c>
      <c r="F238" s="10" t="s">
        <v>219</v>
      </c>
    </row>
    <row r="239" spans="1:6" ht="39.75" customHeight="1">
      <c r="A239" s="14" t="s">
        <v>212</v>
      </c>
      <c r="B239" s="10">
        <v>35501337</v>
      </c>
      <c r="C239" s="10" t="s">
        <v>36</v>
      </c>
      <c r="D239" s="9">
        <v>45691</v>
      </c>
      <c r="E239" s="10" t="s">
        <v>213</v>
      </c>
      <c r="F239" s="10" t="s">
        <v>218</v>
      </c>
    </row>
    <row r="240" spans="1:6" ht="39.75" customHeight="1">
      <c r="A240" s="14" t="s">
        <v>212</v>
      </c>
      <c r="B240" s="10">
        <v>35501254</v>
      </c>
      <c r="C240" s="10" t="s">
        <v>36</v>
      </c>
      <c r="D240" s="9">
        <v>45691</v>
      </c>
      <c r="E240" s="10" t="s">
        <v>213</v>
      </c>
      <c r="F240" s="10" t="s">
        <v>220</v>
      </c>
    </row>
    <row r="241" spans="1:6" ht="39.75" customHeight="1">
      <c r="A241" s="14" t="s">
        <v>212</v>
      </c>
      <c r="B241" s="10">
        <v>35501215</v>
      </c>
      <c r="C241" s="10" t="s">
        <v>36</v>
      </c>
      <c r="D241" s="9">
        <v>45691</v>
      </c>
      <c r="E241" s="10" t="s">
        <v>213</v>
      </c>
      <c r="F241" s="10" t="s">
        <v>221</v>
      </c>
    </row>
    <row r="242" spans="1:6" ht="39.75" customHeight="1">
      <c r="A242" s="14" t="s">
        <v>212</v>
      </c>
      <c r="B242" s="10">
        <v>35501170</v>
      </c>
      <c r="C242" s="10" t="s">
        <v>36</v>
      </c>
      <c r="D242" s="9">
        <v>45691</v>
      </c>
      <c r="E242" s="10" t="s">
        <v>213</v>
      </c>
      <c r="F242" s="10" t="s">
        <v>222</v>
      </c>
    </row>
    <row r="243" spans="1:6" ht="39.75" customHeight="1">
      <c r="A243" s="14" t="s">
        <v>212</v>
      </c>
      <c r="B243" s="10">
        <v>35501116</v>
      </c>
      <c r="C243" s="10" t="s">
        <v>36</v>
      </c>
      <c r="D243" s="9">
        <v>45691</v>
      </c>
      <c r="E243" s="10" t="s">
        <v>213</v>
      </c>
      <c r="F243" s="10" t="s">
        <v>223</v>
      </c>
    </row>
    <row r="244" spans="1:6" ht="39.75" customHeight="1">
      <c r="A244" s="14" t="s">
        <v>212</v>
      </c>
      <c r="B244" s="10">
        <v>35501047</v>
      </c>
      <c r="C244" s="10" t="s">
        <v>36</v>
      </c>
      <c r="D244" s="9">
        <v>45691</v>
      </c>
      <c r="E244" s="10" t="s">
        <v>213</v>
      </c>
      <c r="F244" s="10" t="s">
        <v>224</v>
      </c>
    </row>
    <row r="245" spans="1:6" ht="39.75" customHeight="1">
      <c r="A245" s="14" t="s">
        <v>212</v>
      </c>
      <c r="B245" s="10">
        <v>35501040</v>
      </c>
      <c r="C245" s="10" t="s">
        <v>36</v>
      </c>
      <c r="D245" s="9">
        <v>45691</v>
      </c>
      <c r="E245" s="10" t="s">
        <v>213</v>
      </c>
      <c r="F245" s="10" t="s">
        <v>225</v>
      </c>
    </row>
    <row r="246" spans="1:6" ht="39.75" customHeight="1">
      <c r="A246" s="14" t="s">
        <v>212</v>
      </c>
      <c r="B246" s="10">
        <v>35501016</v>
      </c>
      <c r="C246" s="10" t="s">
        <v>36</v>
      </c>
      <c r="D246" s="9">
        <v>45691</v>
      </c>
      <c r="E246" s="10" t="s">
        <v>213</v>
      </c>
      <c r="F246" s="10" t="s">
        <v>226</v>
      </c>
    </row>
    <row r="247" spans="1:6" ht="39.75" customHeight="1">
      <c r="A247" s="14" t="s">
        <v>212</v>
      </c>
      <c r="B247" s="10">
        <v>35500932</v>
      </c>
      <c r="C247" s="10" t="s">
        <v>36</v>
      </c>
      <c r="D247" s="9">
        <v>45691</v>
      </c>
      <c r="E247" s="10" t="s">
        <v>213</v>
      </c>
      <c r="F247" s="10" t="s">
        <v>227</v>
      </c>
    </row>
    <row r="248" spans="1:6" ht="39.75" customHeight="1">
      <c r="A248" s="14" t="s">
        <v>212</v>
      </c>
      <c r="B248" s="10">
        <v>35500884</v>
      </c>
      <c r="C248" s="10" t="s">
        <v>36</v>
      </c>
      <c r="D248" s="9">
        <v>45691</v>
      </c>
      <c r="E248" s="10" t="s">
        <v>213</v>
      </c>
      <c r="F248" s="10" t="s">
        <v>228</v>
      </c>
    </row>
    <row r="249" spans="1:6" ht="39.75" customHeight="1">
      <c r="A249" s="14" t="s">
        <v>212</v>
      </c>
      <c r="B249" s="10">
        <v>35500859</v>
      </c>
      <c r="C249" s="10" t="s">
        <v>36</v>
      </c>
      <c r="D249" s="9">
        <v>45691</v>
      </c>
      <c r="E249" s="10" t="s">
        <v>213</v>
      </c>
      <c r="F249" s="10" t="s">
        <v>229</v>
      </c>
    </row>
    <row r="250" spans="1:6" ht="39.75" customHeight="1">
      <c r="A250" s="14" t="s">
        <v>212</v>
      </c>
      <c r="B250" s="10">
        <v>35500813</v>
      </c>
      <c r="C250" s="10" t="s">
        <v>36</v>
      </c>
      <c r="D250" s="9">
        <v>45691</v>
      </c>
      <c r="E250" s="10" t="s">
        <v>213</v>
      </c>
      <c r="F250" s="10" t="s">
        <v>230</v>
      </c>
    </row>
    <row r="251" spans="1:6" ht="39.75" customHeight="1">
      <c r="A251" s="14" t="s">
        <v>212</v>
      </c>
      <c r="B251" s="10">
        <v>35500760</v>
      </c>
      <c r="C251" s="10" t="s">
        <v>36</v>
      </c>
      <c r="D251" s="9">
        <v>45691</v>
      </c>
      <c r="E251" s="10" t="s">
        <v>213</v>
      </c>
      <c r="F251" s="10" t="s">
        <v>231</v>
      </c>
    </row>
    <row r="252" spans="1:6" ht="39.75" customHeight="1">
      <c r="A252" s="14" t="s">
        <v>212</v>
      </c>
      <c r="B252" s="10">
        <v>35500721</v>
      </c>
      <c r="C252" s="10" t="s">
        <v>36</v>
      </c>
      <c r="D252" s="9">
        <v>45691</v>
      </c>
      <c r="E252" s="10" t="s">
        <v>213</v>
      </c>
      <c r="F252" s="10" t="s">
        <v>228</v>
      </c>
    </row>
    <row r="253" spans="1:6" ht="39.75" customHeight="1">
      <c r="A253" s="10" t="s">
        <v>452</v>
      </c>
      <c r="B253" s="10">
        <v>31500055</v>
      </c>
      <c r="C253" s="10" t="s">
        <v>36</v>
      </c>
      <c r="D253" s="9">
        <v>45691</v>
      </c>
      <c r="E253" s="10" t="s">
        <v>213</v>
      </c>
      <c r="F253" s="10" t="s">
        <v>453</v>
      </c>
    </row>
    <row r="254" spans="1:6" ht="39.75" customHeight="1">
      <c r="A254" s="12" t="s">
        <v>212</v>
      </c>
      <c r="B254" s="10">
        <v>35501396</v>
      </c>
      <c r="C254" s="10" t="s">
        <v>1758</v>
      </c>
      <c r="D254" s="16">
        <v>45692</v>
      </c>
      <c r="E254" s="10" t="s">
        <v>213</v>
      </c>
      <c r="F254" s="17" t="s">
        <v>232</v>
      </c>
    </row>
    <row r="255" spans="1:6" ht="39.75" customHeight="1">
      <c r="A255" s="12" t="s">
        <v>212</v>
      </c>
      <c r="B255" s="10">
        <v>35501422</v>
      </c>
      <c r="C255" s="10" t="s">
        <v>1758</v>
      </c>
      <c r="D255" s="16">
        <v>45692</v>
      </c>
      <c r="E255" s="10" t="s">
        <v>213</v>
      </c>
      <c r="F255" s="17" t="s">
        <v>233</v>
      </c>
    </row>
    <row r="256" spans="1:6" ht="39.75" customHeight="1">
      <c r="A256" s="12" t="s">
        <v>212</v>
      </c>
      <c r="B256" s="10">
        <v>35501463</v>
      </c>
      <c r="C256" s="10" t="s">
        <v>1758</v>
      </c>
      <c r="D256" s="16">
        <v>45692</v>
      </c>
      <c r="E256" s="10" t="s">
        <v>213</v>
      </c>
      <c r="F256" s="17" t="s">
        <v>234</v>
      </c>
    </row>
    <row r="257" spans="1:6" ht="39.75" customHeight="1">
      <c r="A257" s="12" t="s">
        <v>212</v>
      </c>
      <c r="B257" s="10">
        <v>35500721</v>
      </c>
      <c r="C257" s="10" t="s">
        <v>1758</v>
      </c>
      <c r="D257" s="16">
        <v>45692</v>
      </c>
      <c r="E257" s="10" t="s">
        <v>213</v>
      </c>
      <c r="F257" s="17" t="s">
        <v>235</v>
      </c>
    </row>
    <row r="258" spans="1:6" ht="39.75" customHeight="1">
      <c r="A258" s="12" t="s">
        <v>212</v>
      </c>
      <c r="B258" s="10">
        <v>35500760</v>
      </c>
      <c r="C258" s="10" t="s">
        <v>1758</v>
      </c>
      <c r="D258" s="16">
        <v>45692</v>
      </c>
      <c r="E258" s="10" t="s">
        <v>213</v>
      </c>
      <c r="F258" s="17" t="s">
        <v>236</v>
      </c>
    </row>
    <row r="259" spans="1:6" ht="39.75" customHeight="1">
      <c r="A259" s="12" t="s">
        <v>212</v>
      </c>
      <c r="B259" s="10">
        <v>35500813</v>
      </c>
      <c r="C259" s="10" t="s">
        <v>1758</v>
      </c>
      <c r="D259" s="16">
        <v>45692</v>
      </c>
      <c r="E259" s="10" t="s">
        <v>213</v>
      </c>
      <c r="F259" s="17" t="s">
        <v>237</v>
      </c>
    </row>
    <row r="260" spans="1:6" ht="39.75" customHeight="1">
      <c r="A260" s="12" t="s">
        <v>212</v>
      </c>
      <c r="B260" s="10">
        <v>35500859</v>
      </c>
      <c r="C260" s="10" t="s">
        <v>1758</v>
      </c>
      <c r="D260" s="16">
        <v>45692</v>
      </c>
      <c r="E260" s="10" t="s">
        <v>213</v>
      </c>
      <c r="F260" s="17" t="s">
        <v>238</v>
      </c>
    </row>
    <row r="261" spans="1:6" ht="39.75" customHeight="1">
      <c r="A261" s="12" t="s">
        <v>212</v>
      </c>
      <c r="B261" s="10">
        <v>35500884</v>
      </c>
      <c r="C261" s="10" t="s">
        <v>1758</v>
      </c>
      <c r="D261" s="16">
        <v>45692</v>
      </c>
      <c r="E261" s="10" t="s">
        <v>213</v>
      </c>
      <c r="F261" s="17" t="s">
        <v>239</v>
      </c>
    </row>
    <row r="262" spans="1:6" ht="39.75" customHeight="1">
      <c r="A262" s="12" t="s">
        <v>212</v>
      </c>
      <c r="B262" s="10">
        <v>35500932</v>
      </c>
      <c r="C262" s="10" t="s">
        <v>1758</v>
      </c>
      <c r="D262" s="16">
        <v>45692</v>
      </c>
      <c r="E262" s="10" t="s">
        <v>213</v>
      </c>
      <c r="F262" s="17" t="s">
        <v>240</v>
      </c>
    </row>
    <row r="263" spans="1:6" ht="39.75" customHeight="1">
      <c r="A263" s="12" t="s">
        <v>212</v>
      </c>
      <c r="B263" s="10">
        <v>35501016</v>
      </c>
      <c r="C263" s="10" t="s">
        <v>1758</v>
      </c>
      <c r="D263" s="16">
        <v>45692</v>
      </c>
      <c r="E263" s="10" t="s">
        <v>213</v>
      </c>
      <c r="F263" s="17" t="s">
        <v>241</v>
      </c>
    </row>
    <row r="264" spans="1:6" ht="39.75" customHeight="1">
      <c r="A264" s="12" t="s">
        <v>212</v>
      </c>
      <c r="B264" s="10">
        <v>35501040</v>
      </c>
      <c r="C264" s="10" t="s">
        <v>1758</v>
      </c>
      <c r="D264" s="16">
        <v>45692</v>
      </c>
      <c r="E264" s="10" t="s">
        <v>213</v>
      </c>
      <c r="F264" s="17" t="s">
        <v>242</v>
      </c>
    </row>
    <row r="265" spans="1:6" ht="39.75" customHeight="1">
      <c r="A265" s="12" t="s">
        <v>212</v>
      </c>
      <c r="B265" s="10">
        <v>35501047</v>
      </c>
      <c r="C265" s="10" t="s">
        <v>1758</v>
      </c>
      <c r="D265" s="16">
        <v>45692</v>
      </c>
      <c r="E265" s="10" t="s">
        <v>213</v>
      </c>
      <c r="F265" s="17" t="s">
        <v>243</v>
      </c>
    </row>
    <row r="266" spans="1:6" ht="39.75" customHeight="1">
      <c r="A266" s="12" t="s">
        <v>212</v>
      </c>
      <c r="B266" s="10">
        <v>35501116</v>
      </c>
      <c r="C266" s="10" t="s">
        <v>1758</v>
      </c>
      <c r="D266" s="16">
        <v>45692</v>
      </c>
      <c r="E266" s="10" t="s">
        <v>213</v>
      </c>
      <c r="F266" s="17" t="s">
        <v>244</v>
      </c>
    </row>
    <row r="267" spans="1:6" ht="39.75" customHeight="1">
      <c r="A267" s="12" t="s">
        <v>212</v>
      </c>
      <c r="B267" s="10">
        <v>35501170</v>
      </c>
      <c r="C267" s="10" t="s">
        <v>1758</v>
      </c>
      <c r="D267" s="16">
        <v>45692</v>
      </c>
      <c r="E267" s="10" t="s">
        <v>213</v>
      </c>
      <c r="F267" s="17" t="s">
        <v>245</v>
      </c>
    </row>
    <row r="268" spans="1:6" ht="39.75" customHeight="1">
      <c r="A268" s="12" t="s">
        <v>212</v>
      </c>
      <c r="B268" s="10">
        <v>35501215</v>
      </c>
      <c r="C268" s="10" t="s">
        <v>1758</v>
      </c>
      <c r="D268" s="16">
        <v>45692</v>
      </c>
      <c r="E268" s="10" t="s">
        <v>213</v>
      </c>
      <c r="F268" s="17" t="s">
        <v>246</v>
      </c>
    </row>
    <row r="269" spans="1:6" ht="39.75" customHeight="1">
      <c r="A269" s="12" t="s">
        <v>212</v>
      </c>
      <c r="B269" s="10">
        <v>35501254</v>
      </c>
      <c r="C269" s="10" t="s">
        <v>1758</v>
      </c>
      <c r="D269" s="16">
        <v>45692</v>
      </c>
      <c r="E269" s="10" t="s">
        <v>213</v>
      </c>
      <c r="F269" s="17" t="s">
        <v>247</v>
      </c>
    </row>
    <row r="270" spans="1:6" ht="39.75" customHeight="1">
      <c r="A270" s="12" t="s">
        <v>212</v>
      </c>
      <c r="B270" s="10">
        <v>35501337</v>
      </c>
      <c r="C270" s="10" t="s">
        <v>1758</v>
      </c>
      <c r="D270" s="16">
        <v>45692</v>
      </c>
      <c r="E270" s="10" t="s">
        <v>213</v>
      </c>
      <c r="F270" s="17" t="s">
        <v>248</v>
      </c>
    </row>
    <row r="271" spans="1:6" ht="39.75" customHeight="1">
      <c r="A271" s="12" t="s">
        <v>212</v>
      </c>
      <c r="B271" s="10">
        <v>35501515</v>
      </c>
      <c r="C271" s="10" t="s">
        <v>1758</v>
      </c>
      <c r="D271" s="16">
        <v>45692</v>
      </c>
      <c r="E271" s="10" t="s">
        <v>213</v>
      </c>
      <c r="F271" s="17" t="s">
        <v>249</v>
      </c>
    </row>
    <row r="272" spans="1:6" ht="39.75" customHeight="1">
      <c r="A272" s="12" t="s">
        <v>212</v>
      </c>
      <c r="B272" s="10">
        <v>35501713</v>
      </c>
      <c r="C272" s="10" t="s">
        <v>1758</v>
      </c>
      <c r="D272" s="16">
        <v>45692</v>
      </c>
      <c r="E272" s="10" t="s">
        <v>213</v>
      </c>
      <c r="F272" s="17" t="s">
        <v>250</v>
      </c>
    </row>
    <row r="273" spans="1:6" ht="39.75" customHeight="1">
      <c r="A273" s="12" t="s">
        <v>212</v>
      </c>
      <c r="B273" s="10">
        <v>35501638</v>
      </c>
      <c r="C273" s="10" t="s">
        <v>1758</v>
      </c>
      <c r="D273" s="16">
        <v>45692</v>
      </c>
      <c r="E273" s="10" t="s">
        <v>213</v>
      </c>
      <c r="F273" s="17" t="s">
        <v>251</v>
      </c>
    </row>
    <row r="274" spans="1:6" ht="39.75" customHeight="1">
      <c r="A274" s="12" t="s">
        <v>212</v>
      </c>
      <c r="B274" s="10">
        <v>35501673</v>
      </c>
      <c r="C274" s="10" t="s">
        <v>1758</v>
      </c>
      <c r="D274" s="16">
        <v>45692</v>
      </c>
      <c r="E274" s="10" t="s">
        <v>213</v>
      </c>
      <c r="F274" s="17" t="s">
        <v>252</v>
      </c>
    </row>
    <row r="275" spans="1:6" ht="39.75" customHeight="1">
      <c r="A275" s="12" t="s">
        <v>212</v>
      </c>
      <c r="B275" s="10">
        <v>35501743</v>
      </c>
      <c r="C275" s="10" t="s">
        <v>1758</v>
      </c>
      <c r="D275" s="16">
        <v>45692</v>
      </c>
      <c r="E275" s="10" t="s">
        <v>213</v>
      </c>
      <c r="F275" s="17" t="s">
        <v>253</v>
      </c>
    </row>
    <row r="276" spans="1:6" ht="39.75" customHeight="1">
      <c r="A276" s="10" t="s">
        <v>482</v>
      </c>
      <c r="B276" s="10">
        <v>36501666</v>
      </c>
      <c r="C276" s="10" t="s">
        <v>36</v>
      </c>
      <c r="D276" s="9">
        <v>45692</v>
      </c>
      <c r="E276" s="10" t="s">
        <v>210</v>
      </c>
      <c r="F276" s="10" t="s">
        <v>317</v>
      </c>
    </row>
    <row r="277" spans="1:6" ht="39.75" customHeight="1">
      <c r="A277" s="10" t="s">
        <v>482</v>
      </c>
      <c r="B277" s="10">
        <v>36501547</v>
      </c>
      <c r="C277" s="10" t="s">
        <v>36</v>
      </c>
      <c r="D277" s="9">
        <v>45692</v>
      </c>
      <c r="E277" s="10" t="s">
        <v>210</v>
      </c>
      <c r="F277" s="10" t="s">
        <v>484</v>
      </c>
    </row>
    <row r="278" spans="1:6" ht="39.75" customHeight="1">
      <c r="A278" s="10" t="s">
        <v>482</v>
      </c>
      <c r="B278" s="10">
        <v>36501450</v>
      </c>
      <c r="C278" s="10" t="s">
        <v>36</v>
      </c>
      <c r="D278" s="9">
        <v>45692</v>
      </c>
      <c r="E278" s="10" t="s">
        <v>210</v>
      </c>
      <c r="F278" s="10" t="s">
        <v>485</v>
      </c>
    </row>
    <row r="279" spans="1:6" ht="39.75" customHeight="1">
      <c r="A279" s="10" t="s">
        <v>482</v>
      </c>
      <c r="B279" s="10">
        <v>36501361</v>
      </c>
      <c r="C279" s="10" t="s">
        <v>36</v>
      </c>
      <c r="D279" s="9">
        <v>45692</v>
      </c>
      <c r="E279" s="10" t="s">
        <v>210</v>
      </c>
      <c r="F279" s="10" t="s">
        <v>486</v>
      </c>
    </row>
    <row r="280" spans="1:6" ht="39.75" customHeight="1">
      <c r="A280" s="10" t="s">
        <v>482</v>
      </c>
      <c r="B280" s="10">
        <v>35509604</v>
      </c>
      <c r="C280" s="10" t="s">
        <v>36</v>
      </c>
      <c r="D280" s="9">
        <v>45692</v>
      </c>
      <c r="E280" s="10" t="s">
        <v>210</v>
      </c>
      <c r="F280" s="10" t="s">
        <v>480</v>
      </c>
    </row>
    <row r="325" spans="1:6" ht="39.75" customHeight="1">
      <c r="A325" s="12" t="s">
        <v>336</v>
      </c>
      <c r="B325" s="15">
        <v>37508603</v>
      </c>
      <c r="C325" s="10" t="s">
        <v>1758</v>
      </c>
      <c r="D325" s="16">
        <v>45694</v>
      </c>
      <c r="E325" s="12" t="s">
        <v>337</v>
      </c>
      <c r="F325" s="17" t="s">
        <v>487</v>
      </c>
    </row>
    <row r="326" spans="1:6" ht="39.75" customHeight="1">
      <c r="A326" s="12" t="s">
        <v>336</v>
      </c>
      <c r="B326" s="15">
        <v>37508593</v>
      </c>
      <c r="C326" s="10" t="s">
        <v>1758</v>
      </c>
      <c r="D326" s="16">
        <v>45694</v>
      </c>
      <c r="E326" s="12" t="s">
        <v>337</v>
      </c>
      <c r="F326" s="17" t="s">
        <v>488</v>
      </c>
    </row>
    <row r="327" spans="1:6" ht="39.75" customHeight="1">
      <c r="A327" s="12" t="s">
        <v>336</v>
      </c>
      <c r="B327" s="15">
        <v>37508575</v>
      </c>
      <c r="C327" s="10" t="s">
        <v>1758</v>
      </c>
      <c r="D327" s="16">
        <v>45694</v>
      </c>
      <c r="E327" s="12" t="s">
        <v>337</v>
      </c>
      <c r="F327" s="17" t="s">
        <v>489</v>
      </c>
    </row>
    <row r="328" spans="1:6" ht="39.75" customHeight="1">
      <c r="A328" s="12" t="s">
        <v>336</v>
      </c>
      <c r="B328" s="15">
        <v>37508561</v>
      </c>
      <c r="C328" s="10" t="s">
        <v>1758</v>
      </c>
      <c r="D328" s="16">
        <v>45694</v>
      </c>
      <c r="E328" s="12" t="s">
        <v>337</v>
      </c>
      <c r="F328" s="17" t="s">
        <v>490</v>
      </c>
    </row>
    <row r="329" spans="1:6" ht="39.75" customHeight="1">
      <c r="A329" s="12" t="s">
        <v>336</v>
      </c>
      <c r="B329" s="15">
        <v>37508541</v>
      </c>
      <c r="C329" s="10" t="s">
        <v>1758</v>
      </c>
      <c r="D329" s="16">
        <v>45694</v>
      </c>
      <c r="E329" s="12" t="s">
        <v>337</v>
      </c>
      <c r="F329" s="17" t="s">
        <v>491</v>
      </c>
    </row>
    <row r="330" spans="1:6" ht="39.75" customHeight="1">
      <c r="A330" s="12" t="s">
        <v>336</v>
      </c>
      <c r="B330" s="15">
        <v>37508522</v>
      </c>
      <c r="C330" s="10" t="s">
        <v>1758</v>
      </c>
      <c r="D330" s="16">
        <v>45694</v>
      </c>
      <c r="E330" s="12" t="s">
        <v>337</v>
      </c>
      <c r="F330" s="17" t="s">
        <v>492</v>
      </c>
    </row>
    <row r="331" spans="1:6" ht="39.75" customHeight="1">
      <c r="A331" s="10" t="s">
        <v>144</v>
      </c>
      <c r="B331" s="10">
        <v>41510494</v>
      </c>
      <c r="C331" s="10" t="s">
        <v>36</v>
      </c>
      <c r="D331" s="9">
        <v>45694</v>
      </c>
      <c r="E331" s="10" t="s">
        <v>145</v>
      </c>
      <c r="F331" s="10" t="s">
        <v>162</v>
      </c>
    </row>
    <row r="332" spans="1:6" ht="39.75" customHeight="1">
      <c r="A332" s="10" t="s">
        <v>144</v>
      </c>
      <c r="B332" s="10">
        <v>41510481</v>
      </c>
      <c r="C332" s="10" t="s">
        <v>36</v>
      </c>
      <c r="D332" s="9">
        <v>45694</v>
      </c>
      <c r="E332" s="10" t="s">
        <v>145</v>
      </c>
      <c r="F332" s="10" t="s">
        <v>163</v>
      </c>
    </row>
    <row r="333" spans="1:6" ht="39.75" customHeight="1">
      <c r="A333" s="10" t="s">
        <v>144</v>
      </c>
      <c r="B333" s="10">
        <v>41510470</v>
      </c>
      <c r="C333" s="10" t="s">
        <v>36</v>
      </c>
      <c r="D333" s="9">
        <v>45694</v>
      </c>
      <c r="E333" s="10" t="s">
        <v>145</v>
      </c>
      <c r="F333" s="10" t="s">
        <v>164</v>
      </c>
    </row>
    <row r="334" spans="1:6" ht="39.75" customHeight="1">
      <c r="A334" s="10" t="s">
        <v>144</v>
      </c>
      <c r="B334" s="10">
        <v>41510452</v>
      </c>
      <c r="C334" s="10" t="s">
        <v>36</v>
      </c>
      <c r="D334" s="9">
        <v>45694</v>
      </c>
      <c r="E334" s="10" t="s">
        <v>145</v>
      </c>
      <c r="F334" s="10" t="s">
        <v>165</v>
      </c>
    </row>
    <row r="335" spans="1:6" ht="39.75" customHeight="1">
      <c r="A335" s="10" t="s">
        <v>144</v>
      </c>
      <c r="B335" s="10">
        <v>41510441</v>
      </c>
      <c r="C335" s="10" t="s">
        <v>36</v>
      </c>
      <c r="D335" s="9">
        <v>45694</v>
      </c>
      <c r="E335" s="10" t="s">
        <v>145</v>
      </c>
      <c r="F335" s="10" t="s">
        <v>166</v>
      </c>
    </row>
    <row r="336" spans="1:6" ht="39.75" customHeight="1">
      <c r="A336" s="10" t="s">
        <v>144</v>
      </c>
      <c r="B336" s="10">
        <v>41510437</v>
      </c>
      <c r="C336" s="10" t="s">
        <v>36</v>
      </c>
      <c r="D336" s="9">
        <v>45694</v>
      </c>
      <c r="E336" s="10" t="s">
        <v>145</v>
      </c>
      <c r="F336" s="10" t="s">
        <v>167</v>
      </c>
    </row>
    <row r="337" spans="1:6" ht="39.75" customHeight="1">
      <c r="A337" s="10" t="s">
        <v>144</v>
      </c>
      <c r="B337" s="10">
        <v>41510416</v>
      </c>
      <c r="C337" s="10" t="s">
        <v>36</v>
      </c>
      <c r="D337" s="9">
        <v>45694</v>
      </c>
      <c r="E337" s="10" t="s">
        <v>145</v>
      </c>
      <c r="F337" s="10" t="s">
        <v>168</v>
      </c>
    </row>
    <row r="338" spans="1:6" ht="39.75" customHeight="1">
      <c r="A338" s="10" t="s">
        <v>144</v>
      </c>
      <c r="B338" s="10">
        <v>41510403</v>
      </c>
      <c r="C338" s="10" t="s">
        <v>36</v>
      </c>
      <c r="D338" s="9">
        <v>45694</v>
      </c>
      <c r="E338" s="10" t="s">
        <v>145</v>
      </c>
      <c r="F338" s="10" t="s">
        <v>169</v>
      </c>
    </row>
    <row r="339" spans="1:6" ht="39.75" customHeight="1">
      <c r="A339" s="10" t="s">
        <v>144</v>
      </c>
      <c r="B339" s="10">
        <v>41510390</v>
      </c>
      <c r="C339" s="10" t="s">
        <v>36</v>
      </c>
      <c r="D339" s="9">
        <v>45694</v>
      </c>
      <c r="E339" s="10" t="s">
        <v>145</v>
      </c>
      <c r="F339" s="10" t="s">
        <v>170</v>
      </c>
    </row>
    <row r="340" spans="1:6" ht="39.75" customHeight="1">
      <c r="A340" s="10" t="s">
        <v>144</v>
      </c>
      <c r="B340" s="10">
        <v>41510380</v>
      </c>
      <c r="C340" s="10" t="s">
        <v>36</v>
      </c>
      <c r="D340" s="9">
        <v>45694</v>
      </c>
      <c r="E340" s="10" t="s">
        <v>145</v>
      </c>
      <c r="F340" s="10" t="s">
        <v>171</v>
      </c>
    </row>
    <row r="341" spans="1:6" ht="39.75" customHeight="1">
      <c r="A341" s="10" t="s">
        <v>144</v>
      </c>
      <c r="B341" s="10">
        <v>41510370</v>
      </c>
      <c r="C341" s="10" t="s">
        <v>36</v>
      </c>
      <c r="D341" s="9">
        <v>45694</v>
      </c>
      <c r="E341" s="10" t="s">
        <v>145</v>
      </c>
      <c r="F341" s="10" t="s">
        <v>172</v>
      </c>
    </row>
    <row r="342" spans="1:6" ht="39.75" customHeight="1">
      <c r="A342" s="10" t="s">
        <v>144</v>
      </c>
      <c r="B342" s="10">
        <v>41510351</v>
      </c>
      <c r="C342" s="10" t="s">
        <v>36</v>
      </c>
      <c r="D342" s="9">
        <v>45694</v>
      </c>
      <c r="E342" s="10" t="s">
        <v>145</v>
      </c>
      <c r="F342" s="10" t="s">
        <v>173</v>
      </c>
    </row>
    <row r="343" spans="1:6" ht="39.75" customHeight="1">
      <c r="A343" s="10" t="s">
        <v>144</v>
      </c>
      <c r="B343" s="10">
        <v>41510329</v>
      </c>
      <c r="C343" s="10" t="s">
        <v>36</v>
      </c>
      <c r="D343" s="9">
        <v>45694</v>
      </c>
      <c r="E343" s="10" t="s">
        <v>145</v>
      </c>
      <c r="F343" s="10" t="s">
        <v>174</v>
      </c>
    </row>
    <row r="344" spans="1:6" ht="39.75" customHeight="1">
      <c r="A344" s="10" t="s">
        <v>493</v>
      </c>
      <c r="B344" s="10">
        <v>41510040</v>
      </c>
      <c r="C344" s="10" t="s">
        <v>36</v>
      </c>
      <c r="D344" s="9">
        <v>45694</v>
      </c>
      <c r="E344" s="10" t="s">
        <v>210</v>
      </c>
      <c r="F344" s="10" t="s">
        <v>494</v>
      </c>
    </row>
    <row r="345" spans="1:6" ht="39.75" customHeight="1">
      <c r="A345" s="10" t="s">
        <v>493</v>
      </c>
      <c r="B345" s="10">
        <v>41510026</v>
      </c>
      <c r="C345" s="10" t="s">
        <v>36</v>
      </c>
      <c r="D345" s="9">
        <v>45694</v>
      </c>
      <c r="E345" s="10" t="s">
        <v>210</v>
      </c>
      <c r="F345" s="10" t="s">
        <v>495</v>
      </c>
    </row>
    <row r="346" spans="1:6" ht="39.75" customHeight="1">
      <c r="A346" s="10" t="s">
        <v>493</v>
      </c>
      <c r="B346" s="10">
        <v>41510021</v>
      </c>
      <c r="C346" s="10" t="s">
        <v>36</v>
      </c>
      <c r="D346" s="9">
        <v>45694</v>
      </c>
      <c r="E346" s="10" t="s">
        <v>210</v>
      </c>
      <c r="F346" s="10" t="s">
        <v>496</v>
      </c>
    </row>
    <row r="347" spans="1:6" ht="39.75" customHeight="1">
      <c r="A347" s="10" t="s">
        <v>493</v>
      </c>
      <c r="B347" s="10">
        <v>41510011</v>
      </c>
      <c r="C347" s="10" t="s">
        <v>36</v>
      </c>
      <c r="D347" s="9">
        <v>45694</v>
      </c>
      <c r="E347" s="10" t="s">
        <v>210</v>
      </c>
      <c r="F347" s="10" t="s">
        <v>497</v>
      </c>
    </row>
    <row r="348" spans="1:6" ht="39.75" customHeight="1">
      <c r="A348" s="10" t="s">
        <v>493</v>
      </c>
      <c r="B348" s="10">
        <v>41510009</v>
      </c>
      <c r="C348" s="10" t="s">
        <v>36</v>
      </c>
      <c r="D348" s="9">
        <v>45694</v>
      </c>
      <c r="E348" s="10" t="s">
        <v>210</v>
      </c>
      <c r="F348" s="10" t="s">
        <v>498</v>
      </c>
    </row>
    <row r="349" spans="1:6" ht="39.75" customHeight="1">
      <c r="A349" s="10" t="s">
        <v>493</v>
      </c>
      <c r="B349" s="10">
        <v>41509998</v>
      </c>
      <c r="C349" s="10" t="s">
        <v>36</v>
      </c>
      <c r="D349" s="9">
        <v>45694</v>
      </c>
      <c r="E349" s="10" t="s">
        <v>210</v>
      </c>
      <c r="F349" s="10" t="s">
        <v>497</v>
      </c>
    </row>
    <row r="350" spans="1:6" ht="39.75" customHeight="1">
      <c r="A350" s="10" t="s">
        <v>493</v>
      </c>
      <c r="B350" s="10">
        <v>41509965</v>
      </c>
      <c r="C350" s="10" t="s">
        <v>36</v>
      </c>
      <c r="D350" s="9">
        <v>45694</v>
      </c>
      <c r="E350" s="10" t="s">
        <v>210</v>
      </c>
      <c r="F350" s="10" t="s">
        <v>499</v>
      </c>
    </row>
    <row r="351" spans="1:6" ht="39.75" customHeight="1">
      <c r="A351" s="10" t="s">
        <v>493</v>
      </c>
      <c r="B351" s="10">
        <v>41509943</v>
      </c>
      <c r="C351" s="10" t="s">
        <v>36</v>
      </c>
      <c r="D351" s="9">
        <v>45694</v>
      </c>
      <c r="E351" s="10" t="s">
        <v>210</v>
      </c>
      <c r="F351" s="10" t="s">
        <v>500</v>
      </c>
    </row>
    <row r="352" spans="1:6" ht="39.75" customHeight="1">
      <c r="A352" s="10" t="s">
        <v>493</v>
      </c>
      <c r="B352" s="10">
        <v>41509932</v>
      </c>
      <c r="C352" s="10" t="s">
        <v>36</v>
      </c>
      <c r="D352" s="9">
        <v>45694</v>
      </c>
      <c r="E352" s="10" t="s">
        <v>210</v>
      </c>
      <c r="F352" s="10" t="s">
        <v>501</v>
      </c>
    </row>
    <row r="353" spans="1:6" ht="39.75" customHeight="1">
      <c r="A353" s="10" t="s">
        <v>493</v>
      </c>
      <c r="B353" s="10">
        <v>41509914</v>
      </c>
      <c r="C353" s="10" t="s">
        <v>36</v>
      </c>
      <c r="D353" s="9">
        <v>45694</v>
      </c>
      <c r="E353" s="10" t="s">
        <v>210</v>
      </c>
      <c r="F353" s="10" t="s">
        <v>502</v>
      </c>
    </row>
    <row r="354" spans="1:6" ht="39.75" customHeight="1">
      <c r="A354" s="10" t="s">
        <v>493</v>
      </c>
      <c r="B354" s="10">
        <v>41509898</v>
      </c>
      <c r="C354" s="10" t="s">
        <v>36</v>
      </c>
      <c r="D354" s="9">
        <v>45694</v>
      </c>
      <c r="E354" s="10" t="s">
        <v>210</v>
      </c>
      <c r="F354" s="10" t="s">
        <v>503</v>
      </c>
    </row>
    <row r="355" spans="1:6" ht="39.75" customHeight="1">
      <c r="A355" s="10" t="s">
        <v>493</v>
      </c>
      <c r="B355" s="10">
        <v>41509893</v>
      </c>
      <c r="C355" s="10" t="s">
        <v>36</v>
      </c>
      <c r="D355" s="9">
        <v>45694</v>
      </c>
      <c r="E355" s="10" t="s">
        <v>210</v>
      </c>
      <c r="F355" s="10" t="s">
        <v>504</v>
      </c>
    </row>
    <row r="356" spans="1:6" ht="39.75" customHeight="1">
      <c r="A356" s="10" t="s">
        <v>493</v>
      </c>
      <c r="B356" s="10">
        <v>41509884</v>
      </c>
      <c r="C356" s="10" t="s">
        <v>36</v>
      </c>
      <c r="D356" s="9">
        <v>45694</v>
      </c>
      <c r="E356" s="10" t="s">
        <v>210</v>
      </c>
      <c r="F356" s="10" t="s">
        <v>500</v>
      </c>
    </row>
    <row r="357" spans="1:6" ht="39.75" customHeight="1">
      <c r="A357" s="10" t="s">
        <v>493</v>
      </c>
      <c r="B357" s="10">
        <v>41509879</v>
      </c>
      <c r="C357" s="10" t="s">
        <v>36</v>
      </c>
      <c r="D357" s="9">
        <v>45694</v>
      </c>
      <c r="E357" s="10" t="s">
        <v>210</v>
      </c>
      <c r="F357" s="10" t="s">
        <v>500</v>
      </c>
    </row>
    <row r="358" spans="1:6" ht="39.75" customHeight="1">
      <c r="A358" s="10" t="s">
        <v>493</v>
      </c>
      <c r="B358" s="10">
        <v>41509833</v>
      </c>
      <c r="C358" s="10" t="s">
        <v>36</v>
      </c>
      <c r="D358" s="9">
        <v>45694</v>
      </c>
      <c r="E358" s="10" t="s">
        <v>210</v>
      </c>
      <c r="F358" s="10" t="s">
        <v>504</v>
      </c>
    </row>
    <row r="359" spans="1:6" ht="39.75" customHeight="1">
      <c r="A359" s="10" t="s">
        <v>493</v>
      </c>
      <c r="B359" s="10">
        <v>41509811</v>
      </c>
      <c r="C359" s="10" t="s">
        <v>36</v>
      </c>
      <c r="D359" s="9">
        <v>45694</v>
      </c>
      <c r="E359" s="10" t="s">
        <v>210</v>
      </c>
      <c r="F359" s="10" t="s">
        <v>503</v>
      </c>
    </row>
    <row r="360" spans="1:6" ht="39.75" customHeight="1">
      <c r="A360" s="10" t="s">
        <v>493</v>
      </c>
      <c r="B360" s="10">
        <v>41509791</v>
      </c>
      <c r="C360" s="10" t="s">
        <v>36</v>
      </c>
      <c r="D360" s="9">
        <v>45694</v>
      </c>
      <c r="E360" s="10" t="s">
        <v>210</v>
      </c>
      <c r="F360" s="10" t="s">
        <v>502</v>
      </c>
    </row>
    <row r="361" spans="1:6" ht="39.75" customHeight="1">
      <c r="A361" s="10" t="s">
        <v>482</v>
      </c>
      <c r="B361" s="10">
        <v>36501266</v>
      </c>
      <c r="C361" s="10" t="s">
        <v>36</v>
      </c>
      <c r="D361" s="9">
        <v>45694</v>
      </c>
      <c r="E361" s="10" t="s">
        <v>210</v>
      </c>
      <c r="F361" s="10" t="s">
        <v>318</v>
      </c>
    </row>
    <row r="362" spans="1:6" ht="39.75" hidden="1" customHeight="1">
      <c r="A362" s="10" t="s">
        <v>505</v>
      </c>
      <c r="B362" s="10">
        <v>39500386</v>
      </c>
      <c r="C362" s="10" t="s">
        <v>36</v>
      </c>
      <c r="D362" s="9">
        <v>45694</v>
      </c>
      <c r="E362" s="10" t="s">
        <v>506</v>
      </c>
      <c r="F362" s="10" t="s">
        <v>507</v>
      </c>
    </row>
    <row r="363" spans="1:6" ht="39.75" hidden="1" customHeight="1">
      <c r="A363" s="10" t="s">
        <v>505</v>
      </c>
      <c r="B363" s="10">
        <v>39500383</v>
      </c>
      <c r="C363" s="10" t="s">
        <v>36</v>
      </c>
      <c r="D363" s="9">
        <v>45694</v>
      </c>
      <c r="E363" s="10" t="s">
        <v>506</v>
      </c>
      <c r="F363" s="10" t="s">
        <v>508</v>
      </c>
    </row>
    <row r="364" spans="1:6" ht="39.75" hidden="1" customHeight="1">
      <c r="A364" s="10" t="s">
        <v>505</v>
      </c>
      <c r="B364" s="10">
        <v>39500377</v>
      </c>
      <c r="C364" s="10" t="s">
        <v>36</v>
      </c>
      <c r="D364" s="9">
        <v>45694</v>
      </c>
      <c r="E364" s="10" t="s">
        <v>506</v>
      </c>
      <c r="F364" s="10" t="s">
        <v>509</v>
      </c>
    </row>
    <row r="365" spans="1:6" ht="39.75" hidden="1" customHeight="1">
      <c r="A365" s="10" t="s">
        <v>144</v>
      </c>
      <c r="B365" s="10">
        <v>38506913</v>
      </c>
      <c r="C365" s="10" t="s">
        <v>36</v>
      </c>
      <c r="D365" s="9">
        <v>45694</v>
      </c>
      <c r="E365" s="10" t="s">
        <v>145</v>
      </c>
      <c r="F365" s="10" t="s">
        <v>207</v>
      </c>
    </row>
    <row r="366" spans="1:6" ht="39.75" hidden="1" customHeight="1">
      <c r="A366" s="10" t="s">
        <v>144</v>
      </c>
      <c r="B366" s="10">
        <v>38506910</v>
      </c>
      <c r="C366" s="10" t="s">
        <v>36</v>
      </c>
      <c r="D366" s="9">
        <v>45694</v>
      </c>
      <c r="E366" s="10" t="s">
        <v>145</v>
      </c>
      <c r="F366" s="10" t="s">
        <v>154</v>
      </c>
    </row>
    <row r="367" spans="1:6" ht="39.75" hidden="1" customHeight="1">
      <c r="A367" s="10" t="s">
        <v>144</v>
      </c>
      <c r="B367" s="10">
        <v>38506907</v>
      </c>
      <c r="C367" s="10" t="s">
        <v>36</v>
      </c>
      <c r="D367" s="9">
        <v>45694</v>
      </c>
      <c r="E367" s="10" t="s">
        <v>145</v>
      </c>
      <c r="F367" s="10" t="s">
        <v>156</v>
      </c>
    </row>
    <row r="368" spans="1:6" ht="39.75" hidden="1" customHeight="1">
      <c r="A368" s="10" t="s">
        <v>144</v>
      </c>
      <c r="B368" s="10">
        <v>38506904</v>
      </c>
      <c r="C368" s="10" t="s">
        <v>36</v>
      </c>
      <c r="D368" s="9">
        <v>45694</v>
      </c>
      <c r="E368" s="10" t="s">
        <v>145</v>
      </c>
      <c r="F368" s="10" t="s">
        <v>155</v>
      </c>
    </row>
    <row r="369" spans="1:6" ht="39.75" hidden="1" customHeight="1">
      <c r="A369" s="10" t="s">
        <v>144</v>
      </c>
      <c r="B369" s="10">
        <v>38506900</v>
      </c>
      <c r="C369" s="10" t="s">
        <v>36</v>
      </c>
      <c r="D369" s="9">
        <v>45694</v>
      </c>
      <c r="E369" s="10" t="s">
        <v>145</v>
      </c>
      <c r="F369" s="10" t="s">
        <v>158</v>
      </c>
    </row>
    <row r="370" spans="1:6" ht="39.75" hidden="1" customHeight="1">
      <c r="A370" s="10" t="s">
        <v>144</v>
      </c>
      <c r="B370" s="10">
        <v>38506896</v>
      </c>
      <c r="C370" s="10" t="s">
        <v>36</v>
      </c>
      <c r="D370" s="9">
        <v>45694</v>
      </c>
      <c r="E370" s="10" t="s">
        <v>145</v>
      </c>
      <c r="F370" s="10" t="s">
        <v>157</v>
      </c>
    </row>
    <row r="371" spans="1:6" ht="39.75" hidden="1" customHeight="1">
      <c r="A371" s="10" t="s">
        <v>144</v>
      </c>
      <c r="B371" s="10">
        <v>38506891</v>
      </c>
      <c r="C371" s="10" t="s">
        <v>36</v>
      </c>
      <c r="D371" s="9">
        <v>45694</v>
      </c>
      <c r="E371" s="10" t="s">
        <v>145</v>
      </c>
      <c r="F371" s="10" t="s">
        <v>159</v>
      </c>
    </row>
    <row r="372" spans="1:6" ht="39.75" hidden="1" customHeight="1">
      <c r="A372" s="10" t="s">
        <v>144</v>
      </c>
      <c r="B372" s="10">
        <v>38506877</v>
      </c>
      <c r="C372" s="10" t="s">
        <v>36</v>
      </c>
      <c r="D372" s="9">
        <v>45694</v>
      </c>
      <c r="E372" s="10" t="s">
        <v>145</v>
      </c>
      <c r="F372" s="10" t="s">
        <v>160</v>
      </c>
    </row>
    <row r="373" spans="1:6" ht="39.75" hidden="1" customHeight="1">
      <c r="A373" s="10" t="s">
        <v>144</v>
      </c>
      <c r="B373" s="10">
        <v>38506867</v>
      </c>
      <c r="C373" s="10" t="s">
        <v>36</v>
      </c>
      <c r="D373" s="9">
        <v>45694</v>
      </c>
      <c r="E373" s="10" t="s">
        <v>145</v>
      </c>
      <c r="F373" s="10" t="s">
        <v>161</v>
      </c>
    </row>
    <row r="374" spans="1:6" ht="39.75" hidden="1" customHeight="1">
      <c r="A374" s="10" t="s">
        <v>1760</v>
      </c>
      <c r="B374" s="10">
        <v>38505536</v>
      </c>
      <c r="C374" s="10" t="s">
        <v>36</v>
      </c>
      <c r="D374" s="9">
        <v>45694</v>
      </c>
      <c r="E374" s="10" t="s">
        <v>385</v>
      </c>
      <c r="F374" s="10" t="s">
        <v>511</v>
      </c>
    </row>
    <row r="375" spans="1:6" ht="39.75" hidden="1" customHeight="1">
      <c r="A375" s="10" t="s">
        <v>1760</v>
      </c>
      <c r="B375" s="10">
        <v>38505300</v>
      </c>
      <c r="C375" s="10" t="s">
        <v>36</v>
      </c>
      <c r="D375" s="9">
        <v>45694</v>
      </c>
      <c r="E375" s="10" t="s">
        <v>385</v>
      </c>
      <c r="F375" s="10" t="s">
        <v>511</v>
      </c>
    </row>
    <row r="376" spans="1:6" ht="39.75" hidden="1" customHeight="1">
      <c r="A376" s="10" t="s">
        <v>1760</v>
      </c>
      <c r="B376" s="10">
        <v>38505266</v>
      </c>
      <c r="C376" s="10" t="s">
        <v>36</v>
      </c>
      <c r="D376" s="9">
        <v>45694</v>
      </c>
      <c r="E376" s="10" t="s">
        <v>385</v>
      </c>
      <c r="F376" s="10" t="s">
        <v>511</v>
      </c>
    </row>
    <row r="377" spans="1:6" ht="39.75" hidden="1" customHeight="1">
      <c r="A377" s="10" t="s">
        <v>1760</v>
      </c>
      <c r="B377" s="10">
        <v>38505238</v>
      </c>
      <c r="C377" s="10" t="s">
        <v>36</v>
      </c>
      <c r="D377" s="9">
        <v>45694</v>
      </c>
      <c r="E377" s="10" t="s">
        <v>385</v>
      </c>
      <c r="F377" s="10" t="s">
        <v>511</v>
      </c>
    </row>
    <row r="378" spans="1:6" ht="39.75" hidden="1" customHeight="1">
      <c r="A378" s="10" t="s">
        <v>1760</v>
      </c>
      <c r="B378" s="10">
        <v>38505158</v>
      </c>
      <c r="C378" s="10" t="s">
        <v>36</v>
      </c>
      <c r="D378" s="9">
        <v>45694</v>
      </c>
      <c r="E378" s="10" t="s">
        <v>385</v>
      </c>
      <c r="F378" s="10" t="s">
        <v>512</v>
      </c>
    </row>
    <row r="379" spans="1:6" ht="39.75" hidden="1" customHeight="1">
      <c r="A379" s="10" t="s">
        <v>1760</v>
      </c>
      <c r="B379" s="10">
        <v>38505119</v>
      </c>
      <c r="C379" s="10" t="s">
        <v>36</v>
      </c>
      <c r="D379" s="9">
        <v>45694</v>
      </c>
      <c r="E379" s="10" t="s">
        <v>385</v>
      </c>
      <c r="F379" s="10" t="s">
        <v>513</v>
      </c>
    </row>
    <row r="380" spans="1:6" ht="39.75" hidden="1" customHeight="1">
      <c r="A380" s="10" t="s">
        <v>1760</v>
      </c>
      <c r="B380" s="10">
        <v>38505007</v>
      </c>
      <c r="C380" s="10" t="s">
        <v>36</v>
      </c>
      <c r="D380" s="9">
        <v>45694</v>
      </c>
      <c r="E380" s="10" t="s">
        <v>385</v>
      </c>
      <c r="F380" s="10" t="s">
        <v>514</v>
      </c>
    </row>
    <row r="381" spans="1:6" ht="39.75" hidden="1" customHeight="1">
      <c r="A381" s="10" t="s">
        <v>1760</v>
      </c>
      <c r="B381" s="10">
        <v>38504963</v>
      </c>
      <c r="C381" s="10" t="s">
        <v>36</v>
      </c>
      <c r="D381" s="9">
        <v>45694</v>
      </c>
      <c r="E381" s="10" t="s">
        <v>385</v>
      </c>
      <c r="F381" s="10" t="s">
        <v>515</v>
      </c>
    </row>
    <row r="382" spans="1:6" ht="39.75" hidden="1" customHeight="1">
      <c r="A382" s="10" t="s">
        <v>1760</v>
      </c>
      <c r="B382" s="10">
        <v>38504886</v>
      </c>
      <c r="C382" s="10" t="s">
        <v>36</v>
      </c>
      <c r="D382" s="9">
        <v>45694</v>
      </c>
      <c r="E382" s="10" t="s">
        <v>385</v>
      </c>
      <c r="F382" s="10" t="s">
        <v>516</v>
      </c>
    </row>
    <row r="383" spans="1:6" ht="39.75" hidden="1" customHeight="1">
      <c r="A383" s="10" t="s">
        <v>1760</v>
      </c>
      <c r="B383" s="10">
        <v>38504796</v>
      </c>
      <c r="C383" s="10" t="s">
        <v>36</v>
      </c>
      <c r="D383" s="9">
        <v>45694</v>
      </c>
      <c r="E383" s="10" t="s">
        <v>385</v>
      </c>
      <c r="F383" s="10" t="s">
        <v>517</v>
      </c>
    </row>
    <row r="384" spans="1:6" ht="39.75" hidden="1" customHeight="1">
      <c r="A384" s="10" t="s">
        <v>1760</v>
      </c>
      <c r="B384" s="10">
        <v>38504725</v>
      </c>
      <c r="C384" s="10" t="s">
        <v>36</v>
      </c>
      <c r="D384" s="9">
        <v>45694</v>
      </c>
      <c r="E384" s="10" t="s">
        <v>385</v>
      </c>
      <c r="F384" s="10" t="s">
        <v>518</v>
      </c>
    </row>
    <row r="385" spans="1:6" ht="39.75" hidden="1" customHeight="1">
      <c r="A385" s="10" t="s">
        <v>1760</v>
      </c>
      <c r="B385" s="10">
        <v>38504674</v>
      </c>
      <c r="C385" s="10" t="s">
        <v>36</v>
      </c>
      <c r="D385" s="9">
        <v>45694</v>
      </c>
      <c r="E385" s="10" t="s">
        <v>385</v>
      </c>
      <c r="F385" s="10" t="s">
        <v>519</v>
      </c>
    </row>
    <row r="386" spans="1:6" ht="39.75" hidden="1" customHeight="1">
      <c r="A386" s="10" t="s">
        <v>1760</v>
      </c>
      <c r="B386" s="10">
        <v>38504585</v>
      </c>
      <c r="C386" s="10" t="s">
        <v>36</v>
      </c>
      <c r="D386" s="9">
        <v>45694</v>
      </c>
      <c r="E386" s="10" t="s">
        <v>385</v>
      </c>
      <c r="F386" s="10" t="s">
        <v>520</v>
      </c>
    </row>
    <row r="387" spans="1:6" ht="39.75" hidden="1" customHeight="1">
      <c r="A387" s="10" t="s">
        <v>521</v>
      </c>
      <c r="B387" s="10">
        <v>38503182</v>
      </c>
      <c r="C387" s="10" t="s">
        <v>36</v>
      </c>
      <c r="D387" s="9">
        <v>45694</v>
      </c>
      <c r="E387" s="10" t="s">
        <v>506</v>
      </c>
      <c r="F387" s="10" t="s">
        <v>523</v>
      </c>
    </row>
    <row r="388" spans="1:6" ht="39.75" hidden="1" customHeight="1">
      <c r="A388" s="10" t="s">
        <v>521</v>
      </c>
      <c r="B388" s="10">
        <v>38503161</v>
      </c>
      <c r="C388" s="10" t="s">
        <v>36</v>
      </c>
      <c r="D388" s="9">
        <v>45694</v>
      </c>
      <c r="E388" s="10" t="s">
        <v>506</v>
      </c>
      <c r="F388" s="10" t="s">
        <v>524</v>
      </c>
    </row>
    <row r="389" spans="1:6" ht="39.75" hidden="1" customHeight="1">
      <c r="A389" s="10" t="s">
        <v>521</v>
      </c>
      <c r="B389" s="10">
        <v>38503146</v>
      </c>
      <c r="C389" s="10" t="s">
        <v>36</v>
      </c>
      <c r="D389" s="9">
        <v>45694</v>
      </c>
      <c r="E389" s="10" t="s">
        <v>506</v>
      </c>
      <c r="F389" s="10" t="s">
        <v>525</v>
      </c>
    </row>
    <row r="390" spans="1:6" ht="39.75" hidden="1" customHeight="1">
      <c r="A390" s="10" t="s">
        <v>521</v>
      </c>
      <c r="B390" s="10">
        <v>38503134</v>
      </c>
      <c r="C390" s="10" t="s">
        <v>36</v>
      </c>
      <c r="D390" s="9">
        <v>45694</v>
      </c>
      <c r="E390" s="10" t="s">
        <v>506</v>
      </c>
      <c r="F390" s="10" t="s">
        <v>525</v>
      </c>
    </row>
    <row r="391" spans="1:6" ht="39.75" hidden="1" customHeight="1">
      <c r="A391" s="10" t="s">
        <v>521</v>
      </c>
      <c r="B391" s="10">
        <v>38503113</v>
      </c>
      <c r="C391" s="10" t="s">
        <v>36</v>
      </c>
      <c r="D391" s="9">
        <v>45694</v>
      </c>
      <c r="E391" s="10" t="s">
        <v>506</v>
      </c>
      <c r="F391" s="10" t="s">
        <v>527</v>
      </c>
    </row>
    <row r="392" spans="1:6" ht="39.75" hidden="1" customHeight="1">
      <c r="A392" s="10" t="s">
        <v>521</v>
      </c>
      <c r="B392" s="10">
        <v>38503050</v>
      </c>
      <c r="C392" s="10" t="s">
        <v>36</v>
      </c>
      <c r="D392" s="9">
        <v>45694</v>
      </c>
      <c r="E392" s="10" t="s">
        <v>506</v>
      </c>
      <c r="F392" s="10" t="s">
        <v>528</v>
      </c>
    </row>
    <row r="393" spans="1:6" ht="39.75" hidden="1" customHeight="1">
      <c r="A393" s="10" t="s">
        <v>521</v>
      </c>
      <c r="B393" s="10">
        <v>38503025</v>
      </c>
      <c r="C393" s="10" t="s">
        <v>36</v>
      </c>
      <c r="D393" s="9">
        <v>45694</v>
      </c>
      <c r="E393" s="10" t="s">
        <v>506</v>
      </c>
      <c r="F393" s="10" t="s">
        <v>529</v>
      </c>
    </row>
    <row r="394" spans="1:6" ht="39.75" hidden="1" customHeight="1">
      <c r="A394" s="10" t="s">
        <v>521</v>
      </c>
      <c r="B394" s="10">
        <v>38502985</v>
      </c>
      <c r="C394" s="10" t="s">
        <v>36</v>
      </c>
      <c r="D394" s="9">
        <v>45694</v>
      </c>
      <c r="E394" s="10" t="s">
        <v>506</v>
      </c>
      <c r="F394" s="10" t="s">
        <v>529</v>
      </c>
    </row>
    <row r="395" spans="1:6" ht="39.75" hidden="1" customHeight="1">
      <c r="A395" s="10" t="s">
        <v>336</v>
      </c>
      <c r="B395" s="10">
        <v>36508918</v>
      </c>
      <c r="C395" s="10" t="s">
        <v>36</v>
      </c>
      <c r="D395" s="9">
        <v>45694</v>
      </c>
      <c r="E395" s="12" t="s">
        <v>337</v>
      </c>
      <c r="F395" s="10" t="s">
        <v>530</v>
      </c>
    </row>
    <row r="396" spans="1:6" ht="39.75" hidden="1" customHeight="1">
      <c r="A396" s="10" t="s">
        <v>336</v>
      </c>
      <c r="B396" s="10">
        <v>37508575</v>
      </c>
      <c r="C396" s="10" t="s">
        <v>36</v>
      </c>
      <c r="D396" s="9">
        <v>45694</v>
      </c>
      <c r="E396" s="12" t="s">
        <v>337</v>
      </c>
      <c r="F396" s="10" t="s">
        <v>339</v>
      </c>
    </row>
    <row r="397" spans="1:6" ht="39.75" hidden="1" customHeight="1">
      <c r="A397" s="10" t="s">
        <v>144</v>
      </c>
      <c r="B397" s="10">
        <v>37508574</v>
      </c>
      <c r="C397" s="10" t="s">
        <v>36</v>
      </c>
      <c r="D397" s="9">
        <v>45694</v>
      </c>
      <c r="E397" s="10" t="s">
        <v>145</v>
      </c>
      <c r="F397" s="10" t="s">
        <v>208</v>
      </c>
    </row>
    <row r="398" spans="1:6" ht="39.75" hidden="1" customHeight="1">
      <c r="A398" s="10" t="s">
        <v>144</v>
      </c>
      <c r="B398" s="10">
        <v>37508571</v>
      </c>
      <c r="C398" s="10" t="s">
        <v>36</v>
      </c>
      <c r="D398" s="9">
        <v>45694</v>
      </c>
      <c r="E398" s="10" t="s">
        <v>145</v>
      </c>
      <c r="F398" s="10" t="s">
        <v>208</v>
      </c>
    </row>
    <row r="399" spans="1:6" ht="39.75" hidden="1" customHeight="1">
      <c r="A399" s="10" t="s">
        <v>336</v>
      </c>
      <c r="B399" s="10">
        <v>37508561</v>
      </c>
      <c r="C399" s="10" t="s">
        <v>36</v>
      </c>
      <c r="D399" s="9">
        <v>45694</v>
      </c>
      <c r="E399" s="12" t="s">
        <v>337</v>
      </c>
      <c r="F399" s="10" t="s">
        <v>338</v>
      </c>
    </row>
    <row r="400" spans="1:6" ht="39.75" hidden="1" customHeight="1">
      <c r="A400" s="10" t="s">
        <v>336</v>
      </c>
      <c r="B400" s="10">
        <v>37508541</v>
      </c>
      <c r="C400" s="10" t="s">
        <v>36</v>
      </c>
      <c r="D400" s="9">
        <v>45694</v>
      </c>
      <c r="E400" s="12" t="s">
        <v>337</v>
      </c>
      <c r="F400" s="10" t="s">
        <v>530</v>
      </c>
    </row>
    <row r="401" spans="1:6" ht="39.75" hidden="1" customHeight="1">
      <c r="A401" s="10" t="s">
        <v>336</v>
      </c>
      <c r="B401" s="10">
        <v>37508522</v>
      </c>
      <c r="C401" s="10" t="s">
        <v>36</v>
      </c>
      <c r="D401" s="9">
        <v>45694</v>
      </c>
      <c r="E401" s="12" t="s">
        <v>337</v>
      </c>
      <c r="F401" s="10" t="s">
        <v>342</v>
      </c>
    </row>
    <row r="402" spans="1:6" ht="39.75" hidden="1" customHeight="1">
      <c r="A402" s="10" t="s">
        <v>144</v>
      </c>
      <c r="B402" s="10">
        <v>37508488</v>
      </c>
      <c r="C402" s="10" t="s">
        <v>36</v>
      </c>
      <c r="D402" s="9">
        <v>45694</v>
      </c>
      <c r="E402" s="10" t="s">
        <v>145</v>
      </c>
      <c r="F402" s="10" t="s">
        <v>531</v>
      </c>
    </row>
    <row r="403" spans="1:6" ht="39.75" hidden="1" customHeight="1">
      <c r="A403" s="10" t="s">
        <v>336</v>
      </c>
      <c r="B403" s="10">
        <v>37508476</v>
      </c>
      <c r="C403" s="10" t="s">
        <v>36</v>
      </c>
      <c r="D403" s="9">
        <v>45694</v>
      </c>
      <c r="E403" s="12" t="s">
        <v>337</v>
      </c>
      <c r="F403" s="10" t="s">
        <v>343</v>
      </c>
    </row>
    <row r="434" spans="1:6" ht="39.75" hidden="1" customHeight="1">
      <c r="A434" s="18" t="s">
        <v>452</v>
      </c>
      <c r="B434" s="18">
        <v>35505986</v>
      </c>
      <c r="C434" s="10" t="s">
        <v>1758</v>
      </c>
      <c r="D434" s="16">
        <v>45695</v>
      </c>
      <c r="E434" s="12" t="s">
        <v>119</v>
      </c>
      <c r="F434" s="17"/>
    </row>
    <row r="435" spans="1:6" ht="39.75" hidden="1" customHeight="1">
      <c r="A435" s="18" t="s">
        <v>452</v>
      </c>
      <c r="B435" s="18">
        <v>35506054</v>
      </c>
      <c r="C435" s="10" t="s">
        <v>1758</v>
      </c>
      <c r="D435" s="16">
        <v>45695</v>
      </c>
      <c r="E435" s="12" t="s">
        <v>119</v>
      </c>
      <c r="F435" s="17"/>
    </row>
    <row r="436" spans="1:6" ht="39.75" hidden="1" customHeight="1">
      <c r="A436" s="18" t="s">
        <v>452</v>
      </c>
      <c r="B436" s="18">
        <v>35506111</v>
      </c>
      <c r="C436" s="10" t="s">
        <v>1758</v>
      </c>
      <c r="D436" s="16">
        <v>45695</v>
      </c>
      <c r="E436" s="12" t="s">
        <v>119</v>
      </c>
      <c r="F436" s="17"/>
    </row>
    <row r="437" spans="1:6" ht="39.75" hidden="1" customHeight="1">
      <c r="A437" s="18" t="s">
        <v>452</v>
      </c>
      <c r="B437" s="18">
        <v>35506159</v>
      </c>
      <c r="C437" s="10" t="s">
        <v>1758</v>
      </c>
      <c r="D437" s="16">
        <v>45695</v>
      </c>
      <c r="E437" s="12" t="s">
        <v>119</v>
      </c>
      <c r="F437" s="17"/>
    </row>
    <row r="438" spans="1:6" ht="39.75" hidden="1" customHeight="1">
      <c r="A438" s="18" t="s">
        <v>452</v>
      </c>
      <c r="B438" s="18">
        <v>35506199</v>
      </c>
      <c r="C438" s="10" t="s">
        <v>1758</v>
      </c>
      <c r="D438" s="16">
        <v>45695</v>
      </c>
      <c r="E438" s="12" t="s">
        <v>119</v>
      </c>
      <c r="F438" s="17"/>
    </row>
    <row r="439" spans="1:6" ht="39.75" hidden="1" customHeight="1">
      <c r="A439" s="18" t="s">
        <v>452</v>
      </c>
      <c r="B439" s="18">
        <v>35506238</v>
      </c>
      <c r="C439" s="10" t="s">
        <v>1758</v>
      </c>
      <c r="D439" s="16">
        <v>45695</v>
      </c>
      <c r="E439" s="12" t="s">
        <v>119</v>
      </c>
      <c r="F439" s="17"/>
    </row>
    <row r="440" spans="1:6" ht="39.75" hidden="1" customHeight="1">
      <c r="A440" s="18" t="s">
        <v>510</v>
      </c>
      <c r="B440" s="18">
        <v>38504585</v>
      </c>
      <c r="C440" s="10" t="s">
        <v>1758</v>
      </c>
      <c r="D440" s="16">
        <v>45695</v>
      </c>
      <c r="E440" s="12" t="s">
        <v>337</v>
      </c>
      <c r="F440" s="17"/>
    </row>
    <row r="441" spans="1:6" ht="39.75" hidden="1" customHeight="1">
      <c r="A441" s="18" t="s">
        <v>510</v>
      </c>
      <c r="B441" s="18">
        <v>38504674</v>
      </c>
      <c r="C441" s="10" t="s">
        <v>1758</v>
      </c>
      <c r="D441" s="16">
        <v>45695</v>
      </c>
      <c r="E441" s="12" t="s">
        <v>337</v>
      </c>
      <c r="F441" s="17"/>
    </row>
    <row r="442" spans="1:6" ht="39.75" hidden="1" customHeight="1">
      <c r="A442" s="18" t="s">
        <v>510</v>
      </c>
      <c r="B442" s="18">
        <v>38504725</v>
      </c>
      <c r="C442" s="10" t="s">
        <v>1758</v>
      </c>
      <c r="D442" s="16">
        <v>45695</v>
      </c>
      <c r="E442" s="12" t="s">
        <v>337</v>
      </c>
      <c r="F442" s="17"/>
    </row>
    <row r="443" spans="1:6" ht="39.75" hidden="1" customHeight="1">
      <c r="A443" s="18" t="s">
        <v>510</v>
      </c>
      <c r="B443" s="18">
        <v>38504796</v>
      </c>
      <c r="C443" s="10" t="s">
        <v>1758</v>
      </c>
      <c r="D443" s="16">
        <v>45695</v>
      </c>
      <c r="E443" s="12" t="s">
        <v>337</v>
      </c>
      <c r="F443" s="17"/>
    </row>
    <row r="444" spans="1:6" ht="39.75" hidden="1" customHeight="1">
      <c r="A444" s="18" t="s">
        <v>510</v>
      </c>
      <c r="B444" s="18">
        <v>38504886</v>
      </c>
      <c r="C444" s="10" t="s">
        <v>1758</v>
      </c>
      <c r="D444" s="16">
        <v>45695</v>
      </c>
      <c r="E444" s="12" t="s">
        <v>337</v>
      </c>
      <c r="F444" s="17"/>
    </row>
    <row r="445" spans="1:6" ht="39.75" hidden="1" customHeight="1">
      <c r="A445" s="18" t="s">
        <v>510</v>
      </c>
      <c r="B445" s="18">
        <v>38504963</v>
      </c>
      <c r="C445" s="10" t="s">
        <v>1758</v>
      </c>
      <c r="D445" s="16">
        <v>45695</v>
      </c>
      <c r="E445" s="12" t="s">
        <v>337</v>
      </c>
      <c r="F445" s="17"/>
    </row>
    <row r="446" spans="1:6" ht="39.75" hidden="1" customHeight="1">
      <c r="A446" s="18" t="s">
        <v>510</v>
      </c>
      <c r="B446" s="18">
        <v>38505007</v>
      </c>
      <c r="C446" s="10" t="s">
        <v>1758</v>
      </c>
      <c r="D446" s="16">
        <v>45695</v>
      </c>
      <c r="E446" s="12" t="s">
        <v>337</v>
      </c>
      <c r="F446" s="17"/>
    </row>
    <row r="447" spans="1:6" ht="39.75" hidden="1" customHeight="1">
      <c r="A447" s="18" t="s">
        <v>510</v>
      </c>
      <c r="B447" s="18">
        <v>38505119</v>
      </c>
      <c r="C447" s="10" t="s">
        <v>1758</v>
      </c>
      <c r="D447" s="16">
        <v>45695</v>
      </c>
      <c r="E447" s="12" t="s">
        <v>337</v>
      </c>
      <c r="F447" s="17"/>
    </row>
    <row r="448" spans="1:6" ht="39.75" hidden="1" customHeight="1">
      <c r="A448" s="18" t="s">
        <v>510</v>
      </c>
      <c r="B448" s="18">
        <v>38505158</v>
      </c>
      <c r="C448" s="10" t="s">
        <v>1758</v>
      </c>
      <c r="D448" s="16">
        <v>45695</v>
      </c>
      <c r="E448" s="12" t="s">
        <v>337</v>
      </c>
      <c r="F448" s="17"/>
    </row>
    <row r="449" spans="1:6" ht="39.75" hidden="1" customHeight="1">
      <c r="A449" s="18" t="s">
        <v>510</v>
      </c>
      <c r="B449" s="18">
        <v>38505238</v>
      </c>
      <c r="C449" s="10" t="s">
        <v>1758</v>
      </c>
      <c r="D449" s="16">
        <v>45695</v>
      </c>
      <c r="E449" s="12" t="s">
        <v>337</v>
      </c>
      <c r="F449" s="17"/>
    </row>
    <row r="450" spans="1:6" ht="39.75" hidden="1" customHeight="1">
      <c r="A450" s="18" t="s">
        <v>510</v>
      </c>
      <c r="B450" s="18">
        <v>38505266</v>
      </c>
      <c r="C450" s="10" t="s">
        <v>1758</v>
      </c>
      <c r="D450" s="16">
        <v>45695</v>
      </c>
      <c r="E450" s="12" t="s">
        <v>337</v>
      </c>
      <c r="F450" s="17"/>
    </row>
    <row r="451" spans="1:6" ht="39.75" hidden="1" customHeight="1">
      <c r="A451" s="18" t="s">
        <v>510</v>
      </c>
      <c r="B451" s="18">
        <v>38505300</v>
      </c>
      <c r="C451" s="10" t="s">
        <v>1758</v>
      </c>
      <c r="D451" s="16">
        <v>45695</v>
      </c>
      <c r="E451" s="12" t="s">
        <v>337</v>
      </c>
      <c r="F451" s="17"/>
    </row>
    <row r="452" spans="1:6" ht="39.75" hidden="1" customHeight="1">
      <c r="A452" s="18" t="s">
        <v>510</v>
      </c>
      <c r="B452" s="18">
        <v>38505536</v>
      </c>
      <c r="C452" s="10" t="s">
        <v>1758</v>
      </c>
      <c r="D452" s="16">
        <v>45695</v>
      </c>
      <c r="E452" s="12" t="s">
        <v>337</v>
      </c>
      <c r="F452" s="17"/>
    </row>
    <row r="453" spans="1:6" ht="39.75" hidden="1" customHeight="1">
      <c r="A453" s="14" t="s">
        <v>505</v>
      </c>
      <c r="B453" s="14">
        <v>39500389</v>
      </c>
      <c r="C453" s="10" t="s">
        <v>36</v>
      </c>
      <c r="D453" s="9">
        <v>45696</v>
      </c>
      <c r="E453" s="10" t="s">
        <v>506</v>
      </c>
      <c r="F453" s="14" t="s">
        <v>551</v>
      </c>
    </row>
    <row r="454" spans="1:6" ht="39.75" hidden="1" customHeight="1">
      <c r="A454" s="14" t="s">
        <v>505</v>
      </c>
      <c r="B454" s="14">
        <v>39500387</v>
      </c>
      <c r="C454" s="10" t="s">
        <v>36</v>
      </c>
      <c r="D454" s="9">
        <v>45696</v>
      </c>
      <c r="E454" s="10" t="s">
        <v>506</v>
      </c>
      <c r="F454" s="14" t="s">
        <v>552</v>
      </c>
    </row>
    <row r="455" spans="1:6" ht="39.75" hidden="1" customHeight="1">
      <c r="A455" s="14" t="s">
        <v>505</v>
      </c>
      <c r="B455" s="14">
        <v>39500392</v>
      </c>
      <c r="C455" s="10" t="s">
        <v>36</v>
      </c>
      <c r="D455" s="9">
        <v>45696</v>
      </c>
      <c r="E455" s="10" t="s">
        <v>506</v>
      </c>
      <c r="F455" s="14" t="s">
        <v>552</v>
      </c>
    </row>
    <row r="456" spans="1:6" ht="39.75" hidden="1" customHeight="1">
      <c r="A456" s="14" t="s">
        <v>505</v>
      </c>
      <c r="B456" s="14">
        <v>39500391</v>
      </c>
      <c r="C456" s="10" t="s">
        <v>36</v>
      </c>
      <c r="D456" s="9">
        <v>45696</v>
      </c>
      <c r="E456" s="10" t="s">
        <v>506</v>
      </c>
      <c r="F456" s="14" t="s">
        <v>553</v>
      </c>
    </row>
    <row r="457" spans="1:6" ht="39.75" hidden="1" customHeight="1">
      <c r="A457" s="14" t="s">
        <v>505</v>
      </c>
      <c r="B457" s="14">
        <v>39500395</v>
      </c>
      <c r="C457" s="10" t="s">
        <v>36</v>
      </c>
      <c r="D457" s="9">
        <v>45696</v>
      </c>
      <c r="E457" s="10" t="s">
        <v>506</v>
      </c>
      <c r="F457" s="14" t="s">
        <v>554</v>
      </c>
    </row>
    <row r="458" spans="1:6" ht="39.75" hidden="1" customHeight="1">
      <c r="A458" s="14" t="s">
        <v>505</v>
      </c>
      <c r="B458" s="14">
        <v>39500399</v>
      </c>
      <c r="C458" s="10" t="s">
        <v>36</v>
      </c>
      <c r="D458" s="9">
        <v>45696</v>
      </c>
      <c r="E458" s="10" t="s">
        <v>506</v>
      </c>
      <c r="F458" s="14" t="s">
        <v>554</v>
      </c>
    </row>
    <row r="459" spans="1:6" ht="39.75" hidden="1" customHeight="1">
      <c r="A459" s="14" t="s">
        <v>505</v>
      </c>
      <c r="B459" s="14">
        <v>39500402</v>
      </c>
      <c r="C459" s="10" t="s">
        <v>36</v>
      </c>
      <c r="D459" s="9">
        <v>45696</v>
      </c>
      <c r="E459" s="10" t="s">
        <v>506</v>
      </c>
      <c r="F459" s="14" t="s">
        <v>555</v>
      </c>
    </row>
    <row r="460" spans="1:6" ht="39.75" hidden="1" customHeight="1">
      <c r="A460" s="14" t="s">
        <v>505</v>
      </c>
      <c r="B460" s="14">
        <v>39500404</v>
      </c>
      <c r="C460" s="10" t="s">
        <v>36</v>
      </c>
      <c r="D460" s="9">
        <v>45696</v>
      </c>
      <c r="E460" s="10" t="s">
        <v>506</v>
      </c>
      <c r="F460" s="14" t="s">
        <v>555</v>
      </c>
    </row>
    <row r="461" spans="1:6" ht="39.75" hidden="1" customHeight="1">
      <c r="A461" s="14" t="s">
        <v>505</v>
      </c>
      <c r="B461" s="14">
        <v>39500405</v>
      </c>
      <c r="C461" s="10" t="s">
        <v>36</v>
      </c>
      <c r="D461" s="9">
        <v>45696</v>
      </c>
      <c r="E461" s="10" t="s">
        <v>506</v>
      </c>
      <c r="F461" s="14" t="s">
        <v>556</v>
      </c>
    </row>
    <row r="462" spans="1:6" ht="39.75" hidden="1" customHeight="1">
      <c r="A462" s="14" t="s">
        <v>505</v>
      </c>
      <c r="B462" s="14">
        <v>39500411</v>
      </c>
      <c r="C462" s="10" t="s">
        <v>36</v>
      </c>
      <c r="D462" s="9">
        <v>45696</v>
      </c>
      <c r="E462" s="10" t="s">
        <v>506</v>
      </c>
      <c r="F462" s="14" t="s">
        <v>553</v>
      </c>
    </row>
    <row r="463" spans="1:6" ht="39.75" hidden="1" customHeight="1">
      <c r="A463" s="14" t="s">
        <v>505</v>
      </c>
      <c r="B463" s="14">
        <v>39500408</v>
      </c>
      <c r="C463" s="10" t="s">
        <v>36</v>
      </c>
      <c r="D463" s="9">
        <v>45696</v>
      </c>
      <c r="E463" s="10" t="s">
        <v>506</v>
      </c>
      <c r="F463" s="14" t="s">
        <v>555</v>
      </c>
    </row>
    <row r="464" spans="1:6" ht="39.75" hidden="1" customHeight="1">
      <c r="A464" s="6" t="s">
        <v>254</v>
      </c>
      <c r="B464" s="31">
        <v>48503822</v>
      </c>
      <c r="C464" s="3" t="s">
        <v>36</v>
      </c>
      <c r="D464" s="35">
        <v>45705</v>
      </c>
      <c r="E464" s="4" t="s">
        <v>213</v>
      </c>
      <c r="F464" s="47" t="s">
        <v>256</v>
      </c>
    </row>
    <row r="465" spans="1:6" ht="39.75" hidden="1" customHeight="1">
      <c r="A465" s="6" t="s">
        <v>254</v>
      </c>
      <c r="B465" s="32">
        <v>48503862</v>
      </c>
      <c r="C465" s="3" t="s">
        <v>36</v>
      </c>
      <c r="D465" s="36">
        <v>45705</v>
      </c>
      <c r="E465" s="4" t="s">
        <v>213</v>
      </c>
      <c r="F465" s="48" t="s">
        <v>257</v>
      </c>
    </row>
    <row r="466" spans="1:6" ht="39.75" hidden="1" customHeight="1">
      <c r="A466" s="6" t="s">
        <v>254</v>
      </c>
      <c r="B466" s="32">
        <v>48503899</v>
      </c>
      <c r="C466" s="3" t="s">
        <v>36</v>
      </c>
      <c r="D466" s="36">
        <v>45705</v>
      </c>
      <c r="E466" s="4" t="s">
        <v>213</v>
      </c>
      <c r="F466" s="48" t="s">
        <v>258</v>
      </c>
    </row>
    <row r="467" spans="1:6" ht="39.75" hidden="1" customHeight="1">
      <c r="A467" s="6" t="s">
        <v>254</v>
      </c>
      <c r="B467" s="32">
        <v>48503938</v>
      </c>
      <c r="C467" s="3" t="s">
        <v>36</v>
      </c>
      <c r="D467" s="36">
        <v>45705</v>
      </c>
      <c r="E467" s="4" t="s">
        <v>213</v>
      </c>
      <c r="F467" s="48" t="s">
        <v>259</v>
      </c>
    </row>
    <row r="468" spans="1:6" ht="39.75" hidden="1" customHeight="1">
      <c r="A468" s="6" t="s">
        <v>254</v>
      </c>
      <c r="B468" s="32">
        <v>48504049</v>
      </c>
      <c r="C468" s="3" t="s">
        <v>36</v>
      </c>
      <c r="D468" s="36">
        <v>45705</v>
      </c>
      <c r="E468" s="4" t="s">
        <v>213</v>
      </c>
      <c r="F468" s="48" t="s">
        <v>260</v>
      </c>
    </row>
    <row r="469" spans="1:6" ht="39.75" hidden="1" customHeight="1">
      <c r="A469" s="6" t="s">
        <v>254</v>
      </c>
      <c r="B469" s="32">
        <v>48504019</v>
      </c>
      <c r="C469" s="3" t="s">
        <v>36</v>
      </c>
      <c r="D469" s="36">
        <v>45705</v>
      </c>
      <c r="E469" s="4" t="s">
        <v>213</v>
      </c>
      <c r="F469" s="48" t="s">
        <v>261</v>
      </c>
    </row>
    <row r="470" spans="1:6" ht="39.75" hidden="1" customHeight="1">
      <c r="A470" s="6" t="s">
        <v>254</v>
      </c>
      <c r="B470" s="32">
        <v>48504110</v>
      </c>
      <c r="C470" s="3" t="s">
        <v>36</v>
      </c>
      <c r="D470" s="36">
        <v>45705</v>
      </c>
      <c r="E470" s="4" t="s">
        <v>213</v>
      </c>
      <c r="F470" s="48" t="s">
        <v>262</v>
      </c>
    </row>
    <row r="471" spans="1:6" ht="39.75" hidden="1" customHeight="1">
      <c r="A471" s="6" t="s">
        <v>254</v>
      </c>
      <c r="B471" s="32">
        <v>48504133</v>
      </c>
      <c r="C471" s="3" t="s">
        <v>36</v>
      </c>
      <c r="D471" s="36">
        <v>45705</v>
      </c>
      <c r="E471" s="4" t="s">
        <v>213</v>
      </c>
      <c r="F471" s="48" t="s">
        <v>263</v>
      </c>
    </row>
    <row r="472" spans="1:6" ht="39.75" hidden="1" customHeight="1">
      <c r="A472" s="6" t="s">
        <v>254</v>
      </c>
      <c r="B472" s="32">
        <v>48504220</v>
      </c>
      <c r="C472" s="3" t="s">
        <v>36</v>
      </c>
      <c r="D472" s="36">
        <v>45705</v>
      </c>
      <c r="E472" s="4" t="s">
        <v>213</v>
      </c>
      <c r="F472" s="48" t="s">
        <v>264</v>
      </c>
    </row>
    <row r="473" spans="1:6" ht="39.75" hidden="1" customHeight="1">
      <c r="A473" s="6" t="s">
        <v>254</v>
      </c>
      <c r="B473" s="32">
        <v>48504325</v>
      </c>
      <c r="C473" s="3" t="s">
        <v>36</v>
      </c>
      <c r="D473" s="36">
        <v>45705</v>
      </c>
      <c r="E473" s="4" t="s">
        <v>213</v>
      </c>
      <c r="F473" s="48" t="s">
        <v>265</v>
      </c>
    </row>
    <row r="474" spans="1:6" ht="39.75" hidden="1" customHeight="1">
      <c r="A474" s="6" t="s">
        <v>254</v>
      </c>
      <c r="B474" s="32">
        <v>48504378</v>
      </c>
      <c r="C474" s="3" t="s">
        <v>36</v>
      </c>
      <c r="D474" s="36">
        <v>45705</v>
      </c>
      <c r="E474" s="4" t="s">
        <v>213</v>
      </c>
      <c r="F474" s="48" t="s">
        <v>266</v>
      </c>
    </row>
    <row r="475" spans="1:6" ht="39.75" hidden="1" customHeight="1">
      <c r="A475" s="6" t="s">
        <v>254</v>
      </c>
      <c r="B475" s="32">
        <v>48504399</v>
      </c>
      <c r="C475" s="3" t="s">
        <v>36</v>
      </c>
      <c r="D475" s="36">
        <v>45705</v>
      </c>
      <c r="E475" s="4" t="s">
        <v>213</v>
      </c>
      <c r="F475" s="48" t="s">
        <v>267</v>
      </c>
    </row>
    <row r="476" spans="1:6" ht="39.75" hidden="1" customHeight="1">
      <c r="A476" s="6" t="s">
        <v>254</v>
      </c>
      <c r="B476" s="32">
        <v>48504525</v>
      </c>
      <c r="C476" s="3" t="s">
        <v>36</v>
      </c>
      <c r="D476" s="36">
        <v>45705</v>
      </c>
      <c r="E476" s="4" t="s">
        <v>213</v>
      </c>
      <c r="F476" s="48" t="s">
        <v>268</v>
      </c>
    </row>
    <row r="477" spans="1:6" ht="39.75" hidden="1" customHeight="1">
      <c r="A477" s="6" t="s">
        <v>254</v>
      </c>
      <c r="B477" s="32">
        <v>48504593</v>
      </c>
      <c r="C477" s="3" t="s">
        <v>36</v>
      </c>
      <c r="D477" s="36">
        <v>45705</v>
      </c>
      <c r="E477" s="4" t="s">
        <v>213</v>
      </c>
      <c r="F477" s="48" t="s">
        <v>269</v>
      </c>
    </row>
    <row r="478" spans="1:6" ht="39.75" hidden="1" customHeight="1">
      <c r="A478" s="6" t="s">
        <v>254</v>
      </c>
      <c r="B478" s="32">
        <v>48504635</v>
      </c>
      <c r="C478" s="3" t="s">
        <v>36</v>
      </c>
      <c r="D478" s="36">
        <v>45705</v>
      </c>
      <c r="E478" s="4" t="s">
        <v>213</v>
      </c>
      <c r="F478" s="48" t="s">
        <v>270</v>
      </c>
    </row>
    <row r="479" spans="1:6" ht="39.75" hidden="1" customHeight="1">
      <c r="A479" s="6" t="s">
        <v>254</v>
      </c>
      <c r="B479" s="32">
        <v>48504665</v>
      </c>
      <c r="C479" s="3" t="s">
        <v>36</v>
      </c>
      <c r="D479" s="36">
        <v>45705</v>
      </c>
      <c r="E479" s="4" t="s">
        <v>213</v>
      </c>
      <c r="F479" s="48" t="s">
        <v>271</v>
      </c>
    </row>
    <row r="480" spans="1:6" ht="39.75" hidden="1" customHeight="1">
      <c r="A480" s="6" t="s">
        <v>272</v>
      </c>
      <c r="B480" s="31">
        <v>48505497</v>
      </c>
      <c r="C480" s="3" t="s">
        <v>36</v>
      </c>
      <c r="D480" s="36">
        <v>45705</v>
      </c>
      <c r="E480" s="4" t="s">
        <v>213</v>
      </c>
      <c r="F480" s="31" t="s">
        <v>273</v>
      </c>
    </row>
    <row r="481" spans="1:6" ht="39.75" hidden="1" customHeight="1">
      <c r="A481" s="6" t="s">
        <v>272</v>
      </c>
      <c r="B481" s="32">
        <v>48505550</v>
      </c>
      <c r="C481" s="3" t="s">
        <v>36</v>
      </c>
      <c r="D481" s="36">
        <v>45705</v>
      </c>
      <c r="E481" s="4" t="s">
        <v>213</v>
      </c>
      <c r="F481" s="32" t="s">
        <v>274</v>
      </c>
    </row>
    <row r="482" spans="1:6" ht="39.75" hidden="1" customHeight="1">
      <c r="A482" s="6" t="s">
        <v>272</v>
      </c>
      <c r="B482" s="32">
        <v>48505605</v>
      </c>
      <c r="C482" s="3" t="s">
        <v>36</v>
      </c>
      <c r="D482" s="36">
        <v>45705</v>
      </c>
      <c r="E482" s="4" t="s">
        <v>213</v>
      </c>
      <c r="F482" s="32" t="s">
        <v>275</v>
      </c>
    </row>
    <row r="483" spans="1:6" ht="39.75" hidden="1" customHeight="1">
      <c r="A483" s="6" t="s">
        <v>272</v>
      </c>
      <c r="B483" s="32">
        <v>48505643</v>
      </c>
      <c r="C483" s="3" t="s">
        <v>36</v>
      </c>
      <c r="D483" s="36">
        <v>45705</v>
      </c>
      <c r="E483" s="4" t="s">
        <v>213</v>
      </c>
      <c r="F483" s="32" t="s">
        <v>276</v>
      </c>
    </row>
    <row r="484" spans="1:6" ht="39.75" hidden="1" customHeight="1">
      <c r="A484" s="6" t="s">
        <v>272</v>
      </c>
      <c r="B484" s="32">
        <v>48505714</v>
      </c>
      <c r="C484" s="3" t="s">
        <v>36</v>
      </c>
      <c r="D484" s="36">
        <v>45705</v>
      </c>
      <c r="E484" s="4" t="s">
        <v>213</v>
      </c>
      <c r="F484" s="32" t="s">
        <v>277</v>
      </c>
    </row>
    <row r="485" spans="1:6" ht="39.75" hidden="1" customHeight="1">
      <c r="A485" s="6" t="s">
        <v>272</v>
      </c>
      <c r="B485" s="32">
        <v>48506000</v>
      </c>
      <c r="C485" s="3" t="s">
        <v>36</v>
      </c>
      <c r="D485" s="36">
        <v>45705</v>
      </c>
      <c r="E485" s="4" t="s">
        <v>213</v>
      </c>
      <c r="F485" s="32" t="s">
        <v>278</v>
      </c>
    </row>
    <row r="486" spans="1:6" ht="39.75" hidden="1" customHeight="1">
      <c r="A486" s="6" t="s">
        <v>272</v>
      </c>
      <c r="B486" s="32">
        <v>48506074</v>
      </c>
      <c r="C486" s="3" t="s">
        <v>36</v>
      </c>
      <c r="D486" s="36">
        <v>45705</v>
      </c>
      <c r="E486" s="4" t="s">
        <v>213</v>
      </c>
      <c r="F486" s="32" t="s">
        <v>279</v>
      </c>
    </row>
    <row r="487" spans="1:6" ht="39.75" hidden="1" customHeight="1">
      <c r="A487" s="6" t="s">
        <v>272</v>
      </c>
      <c r="B487" s="32">
        <v>48506121</v>
      </c>
      <c r="C487" s="3" t="s">
        <v>36</v>
      </c>
      <c r="D487" s="36">
        <v>45705</v>
      </c>
      <c r="E487" s="4" t="s">
        <v>213</v>
      </c>
      <c r="F487" s="32" t="s">
        <v>280</v>
      </c>
    </row>
    <row r="488" spans="1:6" ht="39.75" hidden="1" customHeight="1">
      <c r="A488" s="6" t="s">
        <v>272</v>
      </c>
      <c r="B488" s="32">
        <v>48506146</v>
      </c>
      <c r="C488" s="3" t="s">
        <v>36</v>
      </c>
      <c r="D488" s="36">
        <v>45705</v>
      </c>
      <c r="E488" s="4" t="s">
        <v>213</v>
      </c>
      <c r="F488" s="32" t="s">
        <v>281</v>
      </c>
    </row>
    <row r="489" spans="1:6" ht="39.75" hidden="1" customHeight="1">
      <c r="A489" s="6" t="s">
        <v>272</v>
      </c>
      <c r="B489" s="32">
        <v>48506167</v>
      </c>
      <c r="C489" s="3" t="s">
        <v>36</v>
      </c>
      <c r="D489" s="36">
        <v>45705</v>
      </c>
      <c r="E489" s="4" t="s">
        <v>213</v>
      </c>
      <c r="F489" s="32" t="s">
        <v>282</v>
      </c>
    </row>
    <row r="490" spans="1:6" ht="39.75" hidden="1" customHeight="1">
      <c r="A490" s="6" t="s">
        <v>272</v>
      </c>
      <c r="B490" s="32">
        <v>48506275</v>
      </c>
      <c r="C490" s="3" t="s">
        <v>36</v>
      </c>
      <c r="D490" s="36">
        <v>45705</v>
      </c>
      <c r="E490" s="4" t="s">
        <v>213</v>
      </c>
      <c r="F490" s="32" t="s">
        <v>283</v>
      </c>
    </row>
    <row r="491" spans="1:6" ht="39.75" hidden="1" customHeight="1">
      <c r="A491" s="6" t="s">
        <v>272</v>
      </c>
      <c r="B491" s="32">
        <v>48506238</v>
      </c>
      <c r="C491" s="3" t="s">
        <v>36</v>
      </c>
      <c r="D491" s="36">
        <v>45705</v>
      </c>
      <c r="E491" s="4" t="s">
        <v>213</v>
      </c>
      <c r="F491" s="32" t="s">
        <v>284</v>
      </c>
    </row>
    <row r="492" spans="1:6" ht="39.75" hidden="1" customHeight="1">
      <c r="A492" s="6" t="s">
        <v>272</v>
      </c>
      <c r="B492" s="32">
        <v>48506312</v>
      </c>
      <c r="C492" s="3" t="s">
        <v>36</v>
      </c>
      <c r="D492" s="36">
        <v>45705</v>
      </c>
      <c r="E492" s="4" t="s">
        <v>213</v>
      </c>
      <c r="F492" s="32" t="s">
        <v>285</v>
      </c>
    </row>
    <row r="493" spans="1:6" ht="39.75" hidden="1" customHeight="1">
      <c r="A493" s="6" t="s">
        <v>272</v>
      </c>
      <c r="B493" s="32">
        <v>48506380</v>
      </c>
      <c r="C493" s="3" t="s">
        <v>36</v>
      </c>
      <c r="D493" s="36">
        <v>45705</v>
      </c>
      <c r="E493" s="4" t="s">
        <v>213</v>
      </c>
      <c r="F493" s="32" t="s">
        <v>286</v>
      </c>
    </row>
    <row r="494" spans="1:6" ht="39.75" hidden="1" customHeight="1">
      <c r="A494" s="6" t="s">
        <v>272</v>
      </c>
      <c r="B494" s="32">
        <v>48506402</v>
      </c>
      <c r="C494" s="3" t="s">
        <v>36</v>
      </c>
      <c r="D494" s="36">
        <v>45705</v>
      </c>
      <c r="E494" s="4" t="s">
        <v>213</v>
      </c>
      <c r="F494" s="32" t="s">
        <v>287</v>
      </c>
    </row>
    <row r="495" spans="1:6" ht="39.75" hidden="1" customHeight="1">
      <c r="A495" s="6" t="s">
        <v>272</v>
      </c>
      <c r="B495" s="32">
        <v>48506447</v>
      </c>
      <c r="C495" s="3" t="s">
        <v>36</v>
      </c>
      <c r="D495" s="36">
        <v>45705</v>
      </c>
      <c r="E495" s="4" t="s">
        <v>213</v>
      </c>
      <c r="F495" s="32" t="s">
        <v>288</v>
      </c>
    </row>
    <row r="496" spans="1:6" ht="39.75" hidden="1" customHeight="1">
      <c r="A496" s="6" t="s">
        <v>272</v>
      </c>
      <c r="B496" s="32">
        <v>48506473</v>
      </c>
      <c r="C496" s="3" t="s">
        <v>36</v>
      </c>
      <c r="D496" s="36">
        <v>45705</v>
      </c>
      <c r="E496" s="4" t="s">
        <v>213</v>
      </c>
      <c r="F496" s="32" t="s">
        <v>289</v>
      </c>
    </row>
    <row r="497" spans="1:6" ht="39.75" hidden="1" customHeight="1">
      <c r="A497" s="6" t="s">
        <v>272</v>
      </c>
      <c r="B497" s="32">
        <v>48506598</v>
      </c>
      <c r="C497" s="3" t="s">
        <v>36</v>
      </c>
      <c r="D497" s="36">
        <v>45705</v>
      </c>
      <c r="E497" s="4" t="s">
        <v>213</v>
      </c>
      <c r="F497" s="32" t="s">
        <v>290</v>
      </c>
    </row>
    <row r="498" spans="1:6" ht="39.75" hidden="1" customHeight="1">
      <c r="A498" s="6" t="s">
        <v>272</v>
      </c>
      <c r="B498" s="32">
        <v>48506685</v>
      </c>
      <c r="C498" s="3" t="s">
        <v>36</v>
      </c>
      <c r="D498" s="36">
        <v>45705</v>
      </c>
      <c r="E498" s="4" t="s">
        <v>213</v>
      </c>
      <c r="F498" s="32" t="s">
        <v>291</v>
      </c>
    </row>
    <row r="499" spans="1:6" ht="39.75" hidden="1" customHeight="1">
      <c r="A499" s="6" t="s">
        <v>272</v>
      </c>
      <c r="B499" s="32">
        <v>48506703</v>
      </c>
      <c r="C499" s="3" t="s">
        <v>36</v>
      </c>
      <c r="D499" s="36">
        <v>45705</v>
      </c>
      <c r="E499" s="4" t="s">
        <v>213</v>
      </c>
      <c r="F499" s="32" t="s">
        <v>292</v>
      </c>
    </row>
    <row r="500" spans="1:6" ht="39.75" hidden="1" customHeight="1">
      <c r="A500" s="6" t="s">
        <v>272</v>
      </c>
      <c r="B500" s="32">
        <v>48506738</v>
      </c>
      <c r="C500" s="3" t="s">
        <v>36</v>
      </c>
      <c r="D500" s="36">
        <v>45705</v>
      </c>
      <c r="E500" s="4" t="s">
        <v>213</v>
      </c>
      <c r="F500" s="32" t="s">
        <v>293</v>
      </c>
    </row>
    <row r="501" spans="1:6" ht="39.75" hidden="1" customHeight="1">
      <c r="A501" s="6" t="s">
        <v>272</v>
      </c>
      <c r="B501" s="32">
        <v>48506819</v>
      </c>
      <c r="C501" s="3" t="s">
        <v>36</v>
      </c>
      <c r="D501" s="36">
        <v>45705</v>
      </c>
      <c r="E501" s="4" t="s">
        <v>213</v>
      </c>
      <c r="F501" s="32" t="s">
        <v>294</v>
      </c>
    </row>
    <row r="502" spans="1:6" ht="39.75" hidden="1" customHeight="1">
      <c r="A502" s="6" t="s">
        <v>272</v>
      </c>
      <c r="B502" s="32">
        <v>48506880</v>
      </c>
      <c r="C502" s="3" t="s">
        <v>36</v>
      </c>
      <c r="D502" s="36">
        <v>45705</v>
      </c>
      <c r="E502" s="4" t="s">
        <v>213</v>
      </c>
      <c r="F502" s="32" t="s">
        <v>295</v>
      </c>
    </row>
    <row r="503" spans="1:6" ht="39.75" hidden="1" customHeight="1">
      <c r="A503" s="6" t="s">
        <v>272</v>
      </c>
      <c r="B503" s="32">
        <v>48506900</v>
      </c>
      <c r="C503" s="3" t="s">
        <v>36</v>
      </c>
      <c r="D503" s="36">
        <v>45705</v>
      </c>
      <c r="E503" s="4" t="s">
        <v>213</v>
      </c>
      <c r="F503" s="32" t="s">
        <v>296</v>
      </c>
    </row>
    <row r="504" spans="1:6" ht="39.75" hidden="1" customHeight="1">
      <c r="A504" s="6" t="s">
        <v>272</v>
      </c>
      <c r="B504" s="32">
        <v>48506952</v>
      </c>
      <c r="C504" s="3" t="s">
        <v>36</v>
      </c>
      <c r="D504" s="36">
        <v>45705</v>
      </c>
      <c r="E504" s="4" t="s">
        <v>213</v>
      </c>
      <c r="F504" s="32" t="s">
        <v>297</v>
      </c>
    </row>
    <row r="505" spans="1:6" ht="39.75" hidden="1" customHeight="1">
      <c r="A505" s="6" t="s">
        <v>272</v>
      </c>
      <c r="B505" s="32">
        <v>48506994</v>
      </c>
      <c r="C505" s="3" t="s">
        <v>36</v>
      </c>
      <c r="D505" s="36">
        <v>45705</v>
      </c>
      <c r="E505" s="4" t="s">
        <v>213</v>
      </c>
      <c r="F505" s="32" t="s">
        <v>298</v>
      </c>
    </row>
    <row r="506" spans="1:6" ht="39.75" hidden="1" customHeight="1">
      <c r="A506" s="6" t="s">
        <v>272</v>
      </c>
      <c r="B506" s="32">
        <v>48507054</v>
      </c>
      <c r="C506" s="3" t="s">
        <v>36</v>
      </c>
      <c r="D506" s="36">
        <v>45705</v>
      </c>
      <c r="E506" s="4" t="s">
        <v>213</v>
      </c>
      <c r="F506" s="32" t="s">
        <v>299</v>
      </c>
    </row>
    <row r="507" spans="1:6" ht="39.75" hidden="1" customHeight="1">
      <c r="A507" s="6" t="s">
        <v>272</v>
      </c>
      <c r="B507" s="32">
        <v>48507104</v>
      </c>
      <c r="C507" s="3" t="s">
        <v>36</v>
      </c>
      <c r="D507" s="36">
        <v>45705</v>
      </c>
      <c r="E507" s="4" t="s">
        <v>213</v>
      </c>
      <c r="F507" s="32" t="s">
        <v>298</v>
      </c>
    </row>
    <row r="508" spans="1:6" ht="39.75" hidden="1" customHeight="1">
      <c r="A508" s="6" t="s">
        <v>272</v>
      </c>
      <c r="B508" s="32">
        <v>48507121</v>
      </c>
      <c r="C508" s="3" t="s">
        <v>36</v>
      </c>
      <c r="D508" s="36">
        <v>45705</v>
      </c>
      <c r="E508" s="4" t="s">
        <v>213</v>
      </c>
      <c r="F508" s="32" t="s">
        <v>299</v>
      </c>
    </row>
    <row r="509" spans="1:6" ht="39.75" hidden="1" customHeight="1">
      <c r="A509" s="6" t="s">
        <v>272</v>
      </c>
      <c r="B509" s="32">
        <v>48507149</v>
      </c>
      <c r="C509" s="3" t="s">
        <v>36</v>
      </c>
      <c r="D509" s="36">
        <v>45705</v>
      </c>
      <c r="E509" s="4" t="s">
        <v>213</v>
      </c>
      <c r="F509" s="32" t="s">
        <v>300</v>
      </c>
    </row>
    <row r="510" spans="1:6" ht="39.75" hidden="1" customHeight="1">
      <c r="A510" s="6" t="s">
        <v>272</v>
      </c>
      <c r="B510" s="32">
        <v>48507171</v>
      </c>
      <c r="C510" s="3" t="s">
        <v>36</v>
      </c>
      <c r="D510" s="36">
        <v>45705</v>
      </c>
      <c r="E510" s="4" t="s">
        <v>213</v>
      </c>
      <c r="F510" s="32" t="s">
        <v>301</v>
      </c>
    </row>
    <row r="511" spans="1:6" ht="39.75" hidden="1" customHeight="1">
      <c r="A511" s="6" t="s">
        <v>272</v>
      </c>
      <c r="B511" s="32">
        <v>48507195</v>
      </c>
      <c r="C511" s="3" t="s">
        <v>36</v>
      </c>
      <c r="D511" s="36">
        <v>45705</v>
      </c>
      <c r="E511" s="4" t="s">
        <v>213</v>
      </c>
      <c r="F511" s="32" t="s">
        <v>302</v>
      </c>
    </row>
    <row r="512" spans="1:6" ht="39.75" hidden="1" customHeight="1">
      <c r="A512" s="33" t="s">
        <v>510</v>
      </c>
      <c r="B512" s="31">
        <v>44504002</v>
      </c>
      <c r="C512" s="10" t="s">
        <v>1758</v>
      </c>
      <c r="D512" s="9">
        <v>45701</v>
      </c>
      <c r="E512" s="11" t="s">
        <v>385</v>
      </c>
      <c r="F512" s="31" t="s">
        <v>168</v>
      </c>
    </row>
    <row r="513" spans="1:6" ht="39.75" hidden="1" customHeight="1">
      <c r="A513" s="34" t="s">
        <v>510</v>
      </c>
      <c r="B513" s="32">
        <v>44504071</v>
      </c>
      <c r="C513" s="10" t="s">
        <v>1758</v>
      </c>
      <c r="D513" s="9">
        <v>45701</v>
      </c>
      <c r="E513" s="11" t="s">
        <v>385</v>
      </c>
      <c r="F513" s="32" t="s">
        <v>168</v>
      </c>
    </row>
    <row r="514" spans="1:6" ht="39.75" hidden="1" customHeight="1">
      <c r="A514" s="34" t="s">
        <v>510</v>
      </c>
      <c r="B514" s="32">
        <v>44504166</v>
      </c>
      <c r="C514" s="10" t="s">
        <v>1758</v>
      </c>
      <c r="D514" s="9">
        <v>45701</v>
      </c>
      <c r="E514" s="11" t="s">
        <v>385</v>
      </c>
      <c r="F514" s="32" t="s">
        <v>168</v>
      </c>
    </row>
    <row r="515" spans="1:6" ht="39.75" hidden="1" customHeight="1">
      <c r="A515" s="34" t="s">
        <v>510</v>
      </c>
      <c r="B515" s="32">
        <v>44504210</v>
      </c>
      <c r="C515" s="10" t="s">
        <v>1758</v>
      </c>
      <c r="D515" s="9">
        <v>45701</v>
      </c>
      <c r="E515" s="11" t="s">
        <v>385</v>
      </c>
      <c r="F515" s="32" t="s">
        <v>557</v>
      </c>
    </row>
    <row r="516" spans="1:6" ht="39.75" hidden="1" customHeight="1">
      <c r="A516" s="34" t="s">
        <v>510</v>
      </c>
      <c r="B516" s="32">
        <v>44504348</v>
      </c>
      <c r="C516" s="10" t="s">
        <v>1758</v>
      </c>
      <c r="D516" s="9">
        <v>45701</v>
      </c>
      <c r="E516" s="11" t="s">
        <v>385</v>
      </c>
      <c r="F516" s="32" t="s">
        <v>168</v>
      </c>
    </row>
    <row r="517" spans="1:6" ht="39.75" hidden="1" customHeight="1">
      <c r="A517" s="34" t="s">
        <v>510</v>
      </c>
      <c r="B517" s="32">
        <v>44504648</v>
      </c>
      <c r="C517" s="10" t="s">
        <v>1758</v>
      </c>
      <c r="D517" s="9">
        <v>45701</v>
      </c>
      <c r="E517" s="11" t="s">
        <v>385</v>
      </c>
      <c r="F517" s="32" t="s">
        <v>557</v>
      </c>
    </row>
    <row r="518" spans="1:6" ht="39.75" hidden="1" customHeight="1">
      <c r="A518" s="34" t="s">
        <v>510</v>
      </c>
      <c r="B518" s="32">
        <v>44504605</v>
      </c>
      <c r="C518" s="10" t="s">
        <v>1758</v>
      </c>
      <c r="D518" s="9">
        <v>45701</v>
      </c>
      <c r="E518" s="11" t="s">
        <v>385</v>
      </c>
      <c r="F518" s="32" t="s">
        <v>558</v>
      </c>
    </row>
    <row r="519" spans="1:6" ht="39.75" hidden="1" customHeight="1">
      <c r="A519" s="41" t="s">
        <v>559</v>
      </c>
      <c r="B519" s="63">
        <v>49508930</v>
      </c>
      <c r="C519" s="10" t="s">
        <v>36</v>
      </c>
      <c r="D519" s="42">
        <v>45706</v>
      </c>
      <c r="E519" s="10" t="s">
        <v>145</v>
      </c>
      <c r="F519" s="41" t="s">
        <v>560</v>
      </c>
    </row>
    <row r="520" spans="1:6" ht="39.75" hidden="1" customHeight="1">
      <c r="A520" s="41" t="s">
        <v>559</v>
      </c>
      <c r="B520" s="41">
        <v>49508942</v>
      </c>
      <c r="C520" s="10" t="s">
        <v>36</v>
      </c>
      <c r="D520" s="42">
        <v>45706</v>
      </c>
      <c r="E520" s="10" t="s">
        <v>145</v>
      </c>
      <c r="F520" s="41" t="s">
        <v>561</v>
      </c>
    </row>
    <row r="521" spans="1:6" ht="39.75" hidden="1" customHeight="1">
      <c r="A521" s="41" t="s">
        <v>559</v>
      </c>
      <c r="B521" s="41">
        <v>49508945</v>
      </c>
      <c r="C521" s="10" t="s">
        <v>36</v>
      </c>
      <c r="D521" s="42">
        <v>45706</v>
      </c>
      <c r="E521" s="10" t="s">
        <v>145</v>
      </c>
      <c r="F521" s="41" t="s">
        <v>562</v>
      </c>
    </row>
    <row r="522" spans="1:6" ht="39.75" hidden="1" customHeight="1">
      <c r="A522" s="41" t="s">
        <v>559</v>
      </c>
      <c r="B522" s="41">
        <v>49508956</v>
      </c>
      <c r="C522" s="10" t="s">
        <v>36</v>
      </c>
      <c r="D522" s="42">
        <v>45706</v>
      </c>
      <c r="E522" s="10" t="s">
        <v>145</v>
      </c>
      <c r="F522" s="41" t="s">
        <v>563</v>
      </c>
    </row>
    <row r="523" spans="1:6" ht="39.75" hidden="1" customHeight="1">
      <c r="A523" s="41" t="s">
        <v>559</v>
      </c>
      <c r="B523" s="41">
        <v>49508966</v>
      </c>
      <c r="C523" s="10" t="s">
        <v>36</v>
      </c>
      <c r="D523" s="42">
        <v>45706</v>
      </c>
      <c r="E523" s="10" t="s">
        <v>145</v>
      </c>
      <c r="F523" s="41" t="s">
        <v>564</v>
      </c>
    </row>
    <row r="524" spans="1:6" ht="39.75" hidden="1" customHeight="1">
      <c r="A524" s="41" t="s">
        <v>559</v>
      </c>
      <c r="B524" s="41">
        <v>49508974</v>
      </c>
      <c r="C524" s="10" t="s">
        <v>36</v>
      </c>
      <c r="D524" s="42">
        <v>45706</v>
      </c>
      <c r="E524" s="10" t="s">
        <v>145</v>
      </c>
      <c r="F524" s="41" t="s">
        <v>565</v>
      </c>
    </row>
    <row r="525" spans="1:6" ht="39.75" hidden="1" customHeight="1">
      <c r="A525" s="41" t="s">
        <v>559</v>
      </c>
      <c r="B525" s="41">
        <v>49508978</v>
      </c>
      <c r="C525" s="10" t="s">
        <v>36</v>
      </c>
      <c r="D525" s="42">
        <v>45706</v>
      </c>
      <c r="E525" s="10" t="s">
        <v>145</v>
      </c>
      <c r="F525" s="41" t="s">
        <v>566</v>
      </c>
    </row>
    <row r="526" spans="1:6" ht="39.75" hidden="1" customHeight="1">
      <c r="A526" s="41" t="s">
        <v>559</v>
      </c>
      <c r="B526" s="41">
        <v>49508987</v>
      </c>
      <c r="C526" s="10" t="s">
        <v>36</v>
      </c>
      <c r="D526" s="42">
        <v>45706</v>
      </c>
      <c r="E526" s="10" t="s">
        <v>145</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144</v>
      </c>
      <c r="B556" s="41">
        <v>3506891</v>
      </c>
      <c r="C556" s="10" t="s">
        <v>36</v>
      </c>
      <c r="D556" s="42">
        <v>45695</v>
      </c>
      <c r="E556" s="3" t="s">
        <v>145</v>
      </c>
      <c r="F556" s="41" t="s">
        <v>185</v>
      </c>
    </row>
    <row r="557" spans="1:6" ht="39.75" hidden="1" customHeight="1">
      <c r="A557" s="41" t="s">
        <v>144</v>
      </c>
      <c r="B557" s="41">
        <v>35506896</v>
      </c>
      <c r="C557" s="10" t="s">
        <v>36</v>
      </c>
      <c r="D557" s="42">
        <v>45695</v>
      </c>
      <c r="E557" s="3" t="s">
        <v>145</v>
      </c>
      <c r="F557" s="41" t="s">
        <v>186</v>
      </c>
    </row>
    <row r="558" spans="1:6" ht="39.75" hidden="1" customHeight="1">
      <c r="A558" s="41" t="s">
        <v>559</v>
      </c>
      <c r="B558" s="82">
        <v>50508888</v>
      </c>
      <c r="C558" s="10" t="s">
        <v>36</v>
      </c>
      <c r="D558" s="42">
        <v>45707</v>
      </c>
      <c r="E558" s="3" t="s">
        <v>145</v>
      </c>
      <c r="F558" s="41" t="s">
        <v>590</v>
      </c>
    </row>
    <row r="559" spans="1:6" ht="39.75" hidden="1" customHeight="1">
      <c r="A559" s="41" t="s">
        <v>559</v>
      </c>
      <c r="B559" s="82">
        <v>50508898</v>
      </c>
      <c r="C559" s="10" t="s">
        <v>36</v>
      </c>
      <c r="D559" s="42">
        <v>45707</v>
      </c>
      <c r="E559" s="3" t="s">
        <v>145</v>
      </c>
      <c r="F559" s="41" t="s">
        <v>591</v>
      </c>
    </row>
    <row r="560" spans="1:6" ht="39.75" hidden="1" customHeight="1">
      <c r="A560" s="41" t="s">
        <v>559</v>
      </c>
      <c r="B560" s="82">
        <v>50508905</v>
      </c>
      <c r="C560" s="10" t="s">
        <v>36</v>
      </c>
      <c r="D560" s="42">
        <v>45707</v>
      </c>
      <c r="E560" s="3" t="s">
        <v>145</v>
      </c>
      <c r="F560" s="41" t="s">
        <v>592</v>
      </c>
    </row>
    <row r="561" spans="1:6" ht="39.75" hidden="1" customHeight="1">
      <c r="A561" s="41" t="s">
        <v>559</v>
      </c>
      <c r="B561" s="82">
        <v>50508914</v>
      </c>
      <c r="C561" s="10" t="s">
        <v>36</v>
      </c>
      <c r="D561" s="42">
        <v>45707</v>
      </c>
      <c r="E561" s="3" t="s">
        <v>145</v>
      </c>
      <c r="F561" s="41" t="s">
        <v>593</v>
      </c>
    </row>
    <row r="562" spans="1:6" ht="39.75" hidden="1" customHeight="1">
      <c r="A562" s="41" t="s">
        <v>559</v>
      </c>
      <c r="B562" s="82">
        <v>50508924</v>
      </c>
      <c r="C562" s="10" t="s">
        <v>36</v>
      </c>
      <c r="D562" s="42">
        <v>45707</v>
      </c>
      <c r="E562" s="3" t="s">
        <v>145</v>
      </c>
      <c r="F562" s="41" t="s">
        <v>594</v>
      </c>
    </row>
    <row r="563" spans="1:6" ht="39.75" hidden="1" customHeight="1">
      <c r="A563" s="41" t="s">
        <v>559</v>
      </c>
      <c r="B563" s="82">
        <v>50508932</v>
      </c>
      <c r="C563" s="10" t="s">
        <v>36</v>
      </c>
      <c r="D563" s="42">
        <v>45707</v>
      </c>
      <c r="E563" s="3" t="s">
        <v>145</v>
      </c>
      <c r="F563" s="41" t="s">
        <v>595</v>
      </c>
    </row>
    <row r="564" spans="1:6" ht="39.75" hidden="1" customHeight="1">
      <c r="A564" s="41" t="s">
        <v>559</v>
      </c>
      <c r="B564" s="82">
        <v>50508942</v>
      </c>
      <c r="C564" s="10" t="s">
        <v>36</v>
      </c>
      <c r="D564" s="42">
        <v>45707</v>
      </c>
      <c r="E564" s="3" t="s">
        <v>145</v>
      </c>
      <c r="F564" s="41" t="s">
        <v>596</v>
      </c>
    </row>
    <row r="565" spans="1:6" ht="39.75" hidden="1" customHeight="1">
      <c r="A565" s="41" t="s">
        <v>559</v>
      </c>
      <c r="B565" s="82">
        <v>50508953</v>
      </c>
      <c r="C565" s="10" t="s">
        <v>36</v>
      </c>
      <c r="D565" s="42">
        <v>45707</v>
      </c>
      <c r="E565" s="3" t="s">
        <v>145</v>
      </c>
      <c r="F565" s="41" t="s">
        <v>597</v>
      </c>
    </row>
    <row r="566" spans="1:6" ht="39.75" hidden="1" customHeight="1">
      <c r="A566" s="41" t="s">
        <v>559</v>
      </c>
      <c r="B566" s="82">
        <v>50508962</v>
      </c>
      <c r="C566" s="10" t="s">
        <v>36</v>
      </c>
      <c r="D566" s="42">
        <v>45707</v>
      </c>
      <c r="E566" s="3" t="s">
        <v>145</v>
      </c>
      <c r="F566" s="41" t="s">
        <v>598</v>
      </c>
    </row>
    <row r="567" spans="1:6" ht="39.75" hidden="1" customHeight="1">
      <c r="A567" s="41" t="s">
        <v>559</v>
      </c>
      <c r="B567" s="82">
        <v>50508981</v>
      </c>
      <c r="C567" s="10" t="s">
        <v>36</v>
      </c>
      <c r="D567" s="42">
        <v>45707</v>
      </c>
      <c r="E567" s="3" t="s">
        <v>145</v>
      </c>
      <c r="F567" s="41" t="s">
        <v>599</v>
      </c>
    </row>
    <row r="568" spans="1:6" ht="39.75" hidden="1" customHeight="1">
      <c r="A568" s="41" t="s">
        <v>559</v>
      </c>
      <c r="B568" s="82">
        <v>50508993</v>
      </c>
      <c r="C568" s="10" t="s">
        <v>36</v>
      </c>
      <c r="D568" s="42">
        <v>45707</v>
      </c>
      <c r="E568" s="3" t="s">
        <v>145</v>
      </c>
      <c r="F568" s="41" t="s">
        <v>600</v>
      </c>
    </row>
    <row r="569" spans="1:6" ht="39.75" hidden="1" customHeight="1">
      <c r="A569" s="41" t="s">
        <v>559</v>
      </c>
      <c r="B569" s="82">
        <v>50509004</v>
      </c>
      <c r="C569" s="10" t="s">
        <v>36</v>
      </c>
      <c r="D569" s="42">
        <v>45707</v>
      </c>
      <c r="E569" s="3" t="s">
        <v>145</v>
      </c>
      <c r="F569" s="41" t="s">
        <v>601</v>
      </c>
    </row>
    <row r="570" spans="1:6" ht="39.75" hidden="1" customHeight="1">
      <c r="A570" s="41" t="s">
        <v>559</v>
      </c>
      <c r="B570" s="82">
        <v>50509019</v>
      </c>
      <c r="C570" s="10" t="s">
        <v>36</v>
      </c>
      <c r="D570" s="42">
        <v>45707</v>
      </c>
      <c r="E570" s="3" t="s">
        <v>145</v>
      </c>
      <c r="F570" s="41" t="s">
        <v>602</v>
      </c>
    </row>
    <row r="571" spans="1:6" ht="39.75" hidden="1" customHeight="1">
      <c r="A571" s="41" t="s">
        <v>559</v>
      </c>
      <c r="B571" s="82">
        <v>50509030</v>
      </c>
      <c r="C571" s="10" t="s">
        <v>36</v>
      </c>
      <c r="D571" s="42">
        <v>45707</v>
      </c>
      <c r="E571" s="3" t="s">
        <v>145</v>
      </c>
      <c r="F571" s="41" t="s">
        <v>603</v>
      </c>
    </row>
    <row r="572" spans="1:6" ht="39.75" hidden="1" customHeight="1">
      <c r="A572" s="41" t="s">
        <v>559</v>
      </c>
      <c r="B572" s="82">
        <v>50509040</v>
      </c>
      <c r="C572" s="10" t="s">
        <v>36</v>
      </c>
      <c r="D572" s="42">
        <v>45707</v>
      </c>
      <c r="E572" s="3" t="s">
        <v>145</v>
      </c>
      <c r="F572" s="41" t="s">
        <v>604</v>
      </c>
    </row>
    <row r="573" spans="1:6" ht="39.75" hidden="1" customHeight="1">
      <c r="A573" s="41" t="s">
        <v>559</v>
      </c>
      <c r="B573" s="82">
        <v>50509042</v>
      </c>
      <c r="C573" s="10" t="s">
        <v>36</v>
      </c>
      <c r="D573" s="42">
        <v>45707</v>
      </c>
      <c r="E573" s="3" t="s">
        <v>145</v>
      </c>
      <c r="F573" s="41" t="s">
        <v>605</v>
      </c>
    </row>
    <row r="574" spans="1:6" ht="39.75" hidden="1" customHeight="1">
      <c r="A574" s="41" t="s">
        <v>559</v>
      </c>
      <c r="B574" s="82">
        <v>50509051</v>
      </c>
      <c r="C574" s="10" t="s">
        <v>36</v>
      </c>
      <c r="D574" s="42">
        <v>45707</v>
      </c>
      <c r="E574" s="3" t="s">
        <v>145</v>
      </c>
      <c r="F574" s="41" t="s">
        <v>606</v>
      </c>
    </row>
    <row r="575" spans="1:6" ht="39.75" hidden="1" customHeight="1">
      <c r="A575" s="43" t="s">
        <v>559</v>
      </c>
      <c r="B575" s="83">
        <v>50509057</v>
      </c>
      <c r="C575" s="19" t="s">
        <v>36</v>
      </c>
      <c r="D575" s="44">
        <v>45707</v>
      </c>
      <c r="E575" s="45" t="s">
        <v>145</v>
      </c>
      <c r="F575" s="43" t="s">
        <v>607</v>
      </c>
    </row>
    <row r="576" spans="1:6" ht="39.75" hidden="1" customHeight="1">
      <c r="A576" s="51" t="s">
        <v>510</v>
      </c>
      <c r="B576" s="41">
        <v>51502012</v>
      </c>
      <c r="C576" s="49" t="s">
        <v>36</v>
      </c>
      <c r="D576" s="50">
        <v>45707</v>
      </c>
      <c r="E576" s="51" t="s">
        <v>127</v>
      </c>
      <c r="F576" s="41" t="s">
        <v>608</v>
      </c>
    </row>
    <row r="577" spans="1:6" ht="39.75" hidden="1" customHeight="1">
      <c r="A577" s="51" t="s">
        <v>510</v>
      </c>
      <c r="B577" s="41">
        <v>51501917</v>
      </c>
      <c r="C577" s="49" t="s">
        <v>36</v>
      </c>
      <c r="D577" s="50">
        <v>45707</v>
      </c>
      <c r="E577" s="51" t="s">
        <v>127</v>
      </c>
      <c r="F577" s="41" t="s">
        <v>609</v>
      </c>
    </row>
    <row r="578" spans="1:6" ht="39.75" hidden="1" customHeight="1">
      <c r="A578" s="51" t="s">
        <v>510</v>
      </c>
      <c r="B578" s="41">
        <v>51501848</v>
      </c>
      <c r="C578" s="49" t="s">
        <v>36</v>
      </c>
      <c r="D578" s="50">
        <v>45707</v>
      </c>
      <c r="E578" s="51" t="s">
        <v>127</v>
      </c>
      <c r="F578" s="41" t="s">
        <v>610</v>
      </c>
    </row>
    <row r="579" spans="1:6" ht="39.75" hidden="1" customHeight="1">
      <c r="A579" s="51" t="s">
        <v>510</v>
      </c>
      <c r="B579" s="41">
        <v>51501787</v>
      </c>
      <c r="C579" s="49" t="s">
        <v>36</v>
      </c>
      <c r="D579" s="50">
        <v>45707</v>
      </c>
      <c r="E579" s="51" t="s">
        <v>127</v>
      </c>
      <c r="F579" s="41" t="s">
        <v>611</v>
      </c>
    </row>
    <row r="580" spans="1:6" ht="39.75" hidden="1" customHeight="1">
      <c r="A580" s="51" t="s">
        <v>510</v>
      </c>
      <c r="B580" s="41">
        <v>51501764</v>
      </c>
      <c r="C580" s="49" t="s">
        <v>36</v>
      </c>
      <c r="D580" s="50">
        <v>45707</v>
      </c>
      <c r="E580" s="51" t="s">
        <v>127</v>
      </c>
      <c r="F580" s="41" t="s">
        <v>612</v>
      </c>
    </row>
    <row r="581" spans="1:6" ht="39.75" hidden="1" customHeight="1">
      <c r="A581" s="51" t="s">
        <v>510</v>
      </c>
      <c r="B581" s="41">
        <v>51501708</v>
      </c>
      <c r="C581" s="49" t="s">
        <v>36</v>
      </c>
      <c r="D581" s="50">
        <v>45707</v>
      </c>
      <c r="E581" s="51" t="s">
        <v>127</v>
      </c>
      <c r="F581" s="41" t="s">
        <v>613</v>
      </c>
    </row>
    <row r="582" spans="1:6" ht="39.75" hidden="1" customHeight="1">
      <c r="A582" s="51" t="s">
        <v>510</v>
      </c>
      <c r="B582" s="41">
        <v>51501555</v>
      </c>
      <c r="C582" s="49" t="s">
        <v>36</v>
      </c>
      <c r="D582" s="50">
        <v>45707</v>
      </c>
      <c r="E582" s="51" t="s">
        <v>127</v>
      </c>
      <c r="F582" s="41" t="s">
        <v>614</v>
      </c>
    </row>
    <row r="583" spans="1:6" ht="39.75" hidden="1" customHeight="1">
      <c r="A583" s="51" t="s">
        <v>510</v>
      </c>
      <c r="B583" s="41">
        <v>51501514</v>
      </c>
      <c r="C583" s="49" t="s">
        <v>36</v>
      </c>
      <c r="D583" s="50">
        <v>45707</v>
      </c>
      <c r="E583" s="51" t="s">
        <v>127</v>
      </c>
      <c r="F583" s="41" t="s">
        <v>615</v>
      </c>
    </row>
    <row r="584" spans="1:6" ht="39.75" hidden="1" customHeight="1">
      <c r="A584" s="51" t="s">
        <v>510</v>
      </c>
      <c r="B584" s="41">
        <v>51501396</v>
      </c>
      <c r="C584" s="49" t="s">
        <v>36</v>
      </c>
      <c r="D584" s="50">
        <v>45707</v>
      </c>
      <c r="E584" s="51" t="s">
        <v>127</v>
      </c>
      <c r="F584" s="41" t="s">
        <v>616</v>
      </c>
    </row>
    <row r="585" spans="1:6" ht="39.75" hidden="1" customHeight="1">
      <c r="A585" s="51" t="s">
        <v>510</v>
      </c>
      <c r="B585" s="41">
        <v>51501091</v>
      </c>
      <c r="C585" s="49" t="s">
        <v>36</v>
      </c>
      <c r="D585" s="50">
        <v>45707</v>
      </c>
      <c r="E585" s="51" t="s">
        <v>127</v>
      </c>
      <c r="F585" s="41" t="s">
        <v>617</v>
      </c>
    </row>
    <row r="586" spans="1:6" ht="39.75" hidden="1" customHeight="1">
      <c r="A586" s="51" t="s">
        <v>510</v>
      </c>
      <c r="B586" s="41">
        <v>51501043</v>
      </c>
      <c r="C586" s="49" t="s">
        <v>36</v>
      </c>
      <c r="D586" s="50">
        <v>45707</v>
      </c>
      <c r="E586" s="51" t="s">
        <v>127</v>
      </c>
      <c r="F586" s="41" t="s">
        <v>618</v>
      </c>
    </row>
    <row r="587" spans="1:6" ht="39.75" hidden="1" customHeight="1">
      <c r="A587" s="51" t="s">
        <v>510</v>
      </c>
      <c r="B587" s="41">
        <v>51500986</v>
      </c>
      <c r="C587" s="49" t="s">
        <v>36</v>
      </c>
      <c r="D587" s="50">
        <v>45707</v>
      </c>
      <c r="E587" s="51" t="s">
        <v>127</v>
      </c>
      <c r="F587" s="41" t="s">
        <v>619</v>
      </c>
    </row>
    <row r="588" spans="1:6" ht="39.75" hidden="1" customHeight="1">
      <c r="A588" s="51" t="s">
        <v>510</v>
      </c>
      <c r="B588" s="41">
        <v>51500941</v>
      </c>
      <c r="C588" s="49" t="s">
        <v>36</v>
      </c>
      <c r="D588" s="50">
        <v>45707</v>
      </c>
      <c r="E588" s="51" t="s">
        <v>127</v>
      </c>
      <c r="F588" s="41" t="s">
        <v>620</v>
      </c>
    </row>
    <row r="589" spans="1:6" ht="39.75" hidden="1" customHeight="1">
      <c r="A589" s="51" t="s">
        <v>510</v>
      </c>
      <c r="B589" s="41">
        <v>51500845</v>
      </c>
      <c r="C589" s="49" t="s">
        <v>36</v>
      </c>
      <c r="D589" s="50">
        <v>45707</v>
      </c>
      <c r="E589" s="51" t="s">
        <v>127</v>
      </c>
      <c r="F589" s="41" t="s">
        <v>621</v>
      </c>
    </row>
    <row r="590" spans="1:6" ht="39.75" hidden="1" customHeight="1">
      <c r="A590" s="51" t="s">
        <v>510</v>
      </c>
      <c r="B590" s="41">
        <v>51500819</v>
      </c>
      <c r="C590" s="49" t="s">
        <v>36</v>
      </c>
      <c r="D590" s="50">
        <v>45707</v>
      </c>
      <c r="E590" s="51" t="s">
        <v>127</v>
      </c>
      <c r="F590" s="41" t="s">
        <v>622</v>
      </c>
    </row>
    <row r="591" spans="1:6" ht="39.75" hidden="1" customHeight="1">
      <c r="A591" s="52" t="s">
        <v>510</v>
      </c>
      <c r="B591" s="43">
        <v>51500770</v>
      </c>
      <c r="C591" s="53" t="s">
        <v>36</v>
      </c>
      <c r="D591" s="54">
        <v>45707</v>
      </c>
      <c r="E591" s="52" t="s">
        <v>127</v>
      </c>
      <c r="F591" s="43" t="s">
        <v>623</v>
      </c>
    </row>
    <row r="592" spans="1:6" ht="39.75" hidden="1" customHeight="1">
      <c r="A592" s="6" t="s">
        <v>344</v>
      </c>
      <c r="B592" s="41">
        <v>51504010</v>
      </c>
      <c r="C592" s="51" t="s">
        <v>36</v>
      </c>
      <c r="D592" s="42">
        <v>45708</v>
      </c>
      <c r="E592" s="3" t="s">
        <v>213</v>
      </c>
      <c r="F592" s="41" t="s">
        <v>624</v>
      </c>
    </row>
    <row r="593" spans="1:6" ht="39.75" hidden="1" customHeight="1">
      <c r="A593" s="6" t="s">
        <v>344</v>
      </c>
      <c r="B593" s="41">
        <v>51504029</v>
      </c>
      <c r="C593" s="51" t="s">
        <v>36</v>
      </c>
      <c r="D593" s="42">
        <v>45708</v>
      </c>
      <c r="E593" s="3" t="s">
        <v>213</v>
      </c>
      <c r="F593" s="41" t="s">
        <v>625</v>
      </c>
    </row>
    <row r="594" spans="1:6" ht="39.75" hidden="1" customHeight="1">
      <c r="A594" s="6" t="s">
        <v>344</v>
      </c>
      <c r="B594" s="41">
        <v>51504084</v>
      </c>
      <c r="C594" s="51" t="s">
        <v>36</v>
      </c>
      <c r="D594" s="42">
        <v>45708</v>
      </c>
      <c r="E594" s="3" t="s">
        <v>213</v>
      </c>
      <c r="F594" s="41" t="s">
        <v>626</v>
      </c>
    </row>
    <row r="595" spans="1:6" ht="39.75" hidden="1" customHeight="1">
      <c r="A595" s="6" t="s">
        <v>344</v>
      </c>
      <c r="B595" s="41">
        <v>51504102</v>
      </c>
      <c r="C595" s="51" t="s">
        <v>36</v>
      </c>
      <c r="D595" s="42">
        <v>45708</v>
      </c>
      <c r="E595" s="3" t="s">
        <v>213</v>
      </c>
      <c r="F595" s="41" t="s">
        <v>359</v>
      </c>
    </row>
    <row r="596" spans="1:6" ht="39.75" hidden="1" customHeight="1">
      <c r="A596" s="6" t="s">
        <v>344</v>
      </c>
      <c r="B596" s="41">
        <v>51504117</v>
      </c>
      <c r="C596" s="51" t="s">
        <v>36</v>
      </c>
      <c r="D596" s="42">
        <v>45708</v>
      </c>
      <c r="E596" s="3" t="s">
        <v>213</v>
      </c>
      <c r="F596" s="41" t="s">
        <v>360</v>
      </c>
    </row>
    <row r="597" spans="1:6" ht="39.75" hidden="1" customHeight="1">
      <c r="A597" s="6" t="s">
        <v>344</v>
      </c>
      <c r="B597" s="41">
        <v>51504128</v>
      </c>
      <c r="C597" s="51" t="s">
        <v>36</v>
      </c>
      <c r="D597" s="42">
        <v>45708</v>
      </c>
      <c r="E597" s="3" t="s">
        <v>213</v>
      </c>
      <c r="F597" s="41" t="s">
        <v>361</v>
      </c>
    </row>
    <row r="598" spans="1:6" ht="39.75" hidden="1" customHeight="1">
      <c r="A598" s="6" t="s">
        <v>344</v>
      </c>
      <c r="B598" s="41">
        <v>51504144</v>
      </c>
      <c r="C598" s="51" t="s">
        <v>36</v>
      </c>
      <c r="D598" s="42">
        <v>45708</v>
      </c>
      <c r="E598" s="3" t="s">
        <v>213</v>
      </c>
      <c r="F598" s="41" t="s">
        <v>362</v>
      </c>
    </row>
    <row r="599" spans="1:6" ht="39.75" hidden="1" customHeight="1">
      <c r="A599" s="6" t="s">
        <v>344</v>
      </c>
      <c r="B599" s="41">
        <v>51504155</v>
      </c>
      <c r="C599" s="51" t="s">
        <v>36</v>
      </c>
      <c r="D599" s="42">
        <v>45708</v>
      </c>
      <c r="E599" s="3" t="s">
        <v>213</v>
      </c>
      <c r="F599" s="41" t="s">
        <v>363</v>
      </c>
    </row>
    <row r="600" spans="1:6" ht="39.75" hidden="1" customHeight="1">
      <c r="A600" s="6" t="s">
        <v>344</v>
      </c>
      <c r="B600" s="41">
        <v>51504170</v>
      </c>
      <c r="C600" s="51" t="s">
        <v>36</v>
      </c>
      <c r="D600" s="42">
        <v>45708</v>
      </c>
      <c r="E600" s="3" t="s">
        <v>213</v>
      </c>
      <c r="F600" s="41" t="s">
        <v>364</v>
      </c>
    </row>
    <row r="601" spans="1:6" ht="39.75" hidden="1" customHeight="1">
      <c r="A601" s="41" t="s">
        <v>439</v>
      </c>
      <c r="B601" s="41">
        <v>51504891</v>
      </c>
      <c r="C601" s="51" t="s">
        <v>36</v>
      </c>
      <c r="D601" s="42">
        <v>45708</v>
      </c>
      <c r="E601" s="3" t="s">
        <v>213</v>
      </c>
      <c r="F601" s="41" t="s">
        <v>627</v>
      </c>
    </row>
    <row r="602" spans="1:6" ht="39.75" hidden="1" customHeight="1">
      <c r="A602" s="41" t="s">
        <v>439</v>
      </c>
      <c r="B602" s="41">
        <v>51504936</v>
      </c>
      <c r="C602" s="51" t="s">
        <v>36</v>
      </c>
      <c r="D602" s="42">
        <v>45708</v>
      </c>
      <c r="E602" s="3" t="s">
        <v>213</v>
      </c>
      <c r="F602" s="41" t="s">
        <v>628</v>
      </c>
    </row>
    <row r="603" spans="1:6" ht="39.75" hidden="1" customHeight="1">
      <c r="A603" s="41" t="s">
        <v>439</v>
      </c>
      <c r="B603" s="41">
        <v>51504989</v>
      </c>
      <c r="C603" s="51" t="s">
        <v>36</v>
      </c>
      <c r="D603" s="42">
        <v>45708</v>
      </c>
      <c r="E603" s="3" t="s">
        <v>213</v>
      </c>
      <c r="F603" s="41" t="s">
        <v>629</v>
      </c>
    </row>
    <row r="604" spans="1:6" ht="39.75" hidden="1" customHeight="1">
      <c r="A604" s="41" t="s">
        <v>439</v>
      </c>
      <c r="B604" s="41">
        <v>51505022</v>
      </c>
      <c r="C604" s="51" t="s">
        <v>36</v>
      </c>
      <c r="D604" s="42">
        <v>45708</v>
      </c>
      <c r="E604" s="3" t="s">
        <v>213</v>
      </c>
      <c r="F604" s="41" t="s">
        <v>630</v>
      </c>
    </row>
    <row r="605" spans="1:6" ht="39.75" hidden="1" customHeight="1">
      <c r="A605" s="41" t="s">
        <v>631</v>
      </c>
      <c r="B605" s="41">
        <v>51505508</v>
      </c>
      <c r="C605" s="51" t="s">
        <v>36</v>
      </c>
      <c r="D605" s="42">
        <v>45708</v>
      </c>
      <c r="E605" s="3" t="s">
        <v>213</v>
      </c>
      <c r="F605" s="41" t="s">
        <v>632</v>
      </c>
    </row>
    <row r="606" spans="1:6" ht="39.75" hidden="1" customHeight="1">
      <c r="A606" s="41" t="s">
        <v>631</v>
      </c>
      <c r="B606" s="41">
        <v>51505584</v>
      </c>
      <c r="C606" s="51" t="s">
        <v>36</v>
      </c>
      <c r="D606" s="42">
        <v>45708</v>
      </c>
      <c r="E606" s="3" t="s">
        <v>213</v>
      </c>
      <c r="F606" s="41" t="s">
        <v>633</v>
      </c>
    </row>
    <row r="607" spans="1:6" ht="39.75" hidden="1" customHeight="1">
      <c r="A607" s="41" t="s">
        <v>631</v>
      </c>
      <c r="B607" s="41">
        <v>51505645</v>
      </c>
      <c r="C607" s="51" t="s">
        <v>36</v>
      </c>
      <c r="D607" s="42">
        <v>45708</v>
      </c>
      <c r="E607" s="3" t="s">
        <v>213</v>
      </c>
      <c r="F607" s="41" t="s">
        <v>634</v>
      </c>
    </row>
    <row r="608" spans="1:6" ht="39.75" hidden="1" customHeight="1">
      <c r="A608" s="41" t="s">
        <v>631</v>
      </c>
      <c r="B608" s="41">
        <v>51505767</v>
      </c>
      <c r="C608" s="51" t="s">
        <v>36</v>
      </c>
      <c r="D608" s="42">
        <v>45708</v>
      </c>
      <c r="E608" s="3" t="s">
        <v>213</v>
      </c>
      <c r="F608" s="41" t="s">
        <v>635</v>
      </c>
    </row>
    <row r="609" spans="1:6" ht="39.75" hidden="1" customHeight="1">
      <c r="A609" s="41" t="s">
        <v>631</v>
      </c>
      <c r="B609" s="41">
        <v>51505825</v>
      </c>
      <c r="C609" s="51" t="s">
        <v>36</v>
      </c>
      <c r="D609" s="42">
        <v>45708</v>
      </c>
      <c r="E609" s="3" t="s">
        <v>213</v>
      </c>
      <c r="F609" s="41" t="s">
        <v>636</v>
      </c>
    </row>
    <row r="610" spans="1:6" ht="39.75" hidden="1" customHeight="1">
      <c r="A610" s="41" t="s">
        <v>631</v>
      </c>
      <c r="B610" s="41">
        <v>51505873</v>
      </c>
      <c r="C610" s="51" t="s">
        <v>36</v>
      </c>
      <c r="D610" s="42">
        <v>45708</v>
      </c>
      <c r="E610" s="3" t="s">
        <v>213</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371</v>
      </c>
      <c r="B630" s="84">
        <v>18500302</v>
      </c>
      <c r="C630" s="56" t="s">
        <v>36</v>
      </c>
      <c r="D630" s="85">
        <v>45675</v>
      </c>
      <c r="E630" s="58" t="s">
        <v>366</v>
      </c>
      <c r="F630" s="84" t="s">
        <v>372</v>
      </c>
    </row>
    <row r="631" spans="1:6" s="57" customFormat="1" ht="39.75" hidden="1" customHeight="1">
      <c r="A631" s="84" t="s">
        <v>371</v>
      </c>
      <c r="B631" s="84">
        <v>18500307</v>
      </c>
      <c r="C631" s="56" t="s">
        <v>36</v>
      </c>
      <c r="D631" s="85">
        <v>45675</v>
      </c>
      <c r="E631" s="58" t="s">
        <v>366</v>
      </c>
      <c r="F631" s="84" t="s">
        <v>373</v>
      </c>
    </row>
    <row r="632" spans="1:6" s="57" customFormat="1" ht="39.75" hidden="1" customHeight="1">
      <c r="A632" s="84" t="s">
        <v>371</v>
      </c>
      <c r="B632" s="84">
        <v>18500310</v>
      </c>
      <c r="C632" s="56" t="s">
        <v>36</v>
      </c>
      <c r="D632" s="85">
        <v>45675</v>
      </c>
      <c r="E632" s="58" t="s">
        <v>366</v>
      </c>
      <c r="F632" s="84" t="s">
        <v>374</v>
      </c>
    </row>
    <row r="633" spans="1:6" s="57" customFormat="1" ht="39.75" hidden="1" customHeight="1">
      <c r="A633" s="84" t="s">
        <v>371</v>
      </c>
      <c r="B633" s="84">
        <v>18500314</v>
      </c>
      <c r="C633" s="56" t="s">
        <v>36</v>
      </c>
      <c r="D633" s="85">
        <v>45675</v>
      </c>
      <c r="E633" s="58" t="s">
        <v>366</v>
      </c>
      <c r="F633" s="84" t="s">
        <v>375</v>
      </c>
    </row>
    <row r="634" spans="1:6" s="57" customFormat="1" ht="39.75" hidden="1" customHeight="1">
      <c r="A634" s="84" t="s">
        <v>371</v>
      </c>
      <c r="B634" s="84">
        <v>18500316</v>
      </c>
      <c r="C634" s="56" t="s">
        <v>36</v>
      </c>
      <c r="D634" s="85">
        <v>45675</v>
      </c>
      <c r="E634" s="58" t="s">
        <v>366</v>
      </c>
      <c r="F634" s="84" t="s">
        <v>376</v>
      </c>
    </row>
    <row r="635" spans="1:6" s="57" customFormat="1" ht="39.75" hidden="1" customHeight="1">
      <c r="A635" s="84" t="s">
        <v>371</v>
      </c>
      <c r="B635" s="84">
        <v>18500318</v>
      </c>
      <c r="C635" s="56" t="s">
        <v>36</v>
      </c>
      <c r="D635" s="85">
        <v>45675</v>
      </c>
      <c r="E635" s="58" t="s">
        <v>366</v>
      </c>
      <c r="F635" s="84" t="s">
        <v>377</v>
      </c>
    </row>
    <row r="636" spans="1:6" s="57" customFormat="1" ht="39.75" hidden="1" customHeight="1">
      <c r="A636" s="86" t="s">
        <v>371</v>
      </c>
      <c r="B636" s="86">
        <v>18500320</v>
      </c>
      <c r="C636" s="61" t="s">
        <v>36</v>
      </c>
      <c r="D636" s="87">
        <v>45675</v>
      </c>
      <c r="E636" s="62" t="s">
        <v>366</v>
      </c>
      <c r="F636" s="86" t="s">
        <v>378</v>
      </c>
    </row>
    <row r="637" spans="1:6" s="57" customFormat="1" ht="39.75" hidden="1" customHeight="1">
      <c r="A637" s="84" t="s">
        <v>365</v>
      </c>
      <c r="B637" s="84">
        <v>34509810</v>
      </c>
      <c r="C637" s="56" t="s">
        <v>36</v>
      </c>
      <c r="D637" s="85">
        <v>45691</v>
      </c>
      <c r="E637" s="58" t="s">
        <v>366</v>
      </c>
      <c r="F637" s="84" t="s">
        <v>367</v>
      </c>
    </row>
    <row r="638" spans="1:6" s="57" customFormat="1" ht="39.75" hidden="1" customHeight="1">
      <c r="A638" s="84" t="s">
        <v>365</v>
      </c>
      <c r="B638" s="84">
        <v>34509844</v>
      </c>
      <c r="C638" s="56" t="s">
        <v>36</v>
      </c>
      <c r="D638" s="85">
        <v>45691</v>
      </c>
      <c r="E638" s="58" t="s">
        <v>366</v>
      </c>
      <c r="F638" s="84" t="s">
        <v>368</v>
      </c>
    </row>
    <row r="639" spans="1:6" s="57" customFormat="1" ht="39.75" hidden="1" customHeight="1">
      <c r="A639" s="84" t="s">
        <v>365</v>
      </c>
      <c r="B639" s="84">
        <v>34509930</v>
      </c>
      <c r="C639" s="56" t="s">
        <v>36</v>
      </c>
      <c r="D639" s="85">
        <v>45691</v>
      </c>
      <c r="E639" s="58" t="s">
        <v>366</v>
      </c>
      <c r="F639" s="84" t="s">
        <v>369</v>
      </c>
    </row>
    <row r="640" spans="1:6" s="57" customFormat="1" ht="39.75" hidden="1" customHeight="1">
      <c r="A640" s="86" t="s">
        <v>365</v>
      </c>
      <c r="B640" s="86">
        <v>34509957</v>
      </c>
      <c r="C640" s="61" t="s">
        <v>36</v>
      </c>
      <c r="D640" s="87">
        <v>45691</v>
      </c>
      <c r="E640" s="62" t="s">
        <v>366</v>
      </c>
      <c r="F640" s="86" t="s">
        <v>370</v>
      </c>
    </row>
    <row r="641" spans="1:6" s="57" customFormat="1" ht="39.75" hidden="1" customHeight="1">
      <c r="A641" s="84" t="s">
        <v>638</v>
      </c>
      <c r="B641" s="84">
        <v>55502302</v>
      </c>
      <c r="C641" s="56" t="s">
        <v>36</v>
      </c>
      <c r="D641" s="85">
        <v>45712</v>
      </c>
      <c r="E641" s="58" t="s">
        <v>366</v>
      </c>
      <c r="F641" s="84" t="s">
        <v>659</v>
      </c>
    </row>
    <row r="642" spans="1:6" s="57" customFormat="1" ht="39.75" hidden="1" customHeight="1">
      <c r="A642" s="84" t="s">
        <v>638</v>
      </c>
      <c r="B642" s="84">
        <v>55502825</v>
      </c>
      <c r="C642" s="56" t="s">
        <v>36</v>
      </c>
      <c r="D642" s="85">
        <v>45712</v>
      </c>
      <c r="E642" s="58" t="s">
        <v>366</v>
      </c>
      <c r="F642" s="84" t="s">
        <v>660</v>
      </c>
    </row>
    <row r="643" spans="1:6" s="57" customFormat="1" ht="39.75" hidden="1" customHeight="1">
      <c r="A643" s="84" t="s">
        <v>638</v>
      </c>
      <c r="B643" s="84">
        <v>55502079</v>
      </c>
      <c r="C643" s="56" t="s">
        <v>36</v>
      </c>
      <c r="D643" s="85">
        <v>45712</v>
      </c>
      <c r="E643" s="58" t="s">
        <v>366</v>
      </c>
      <c r="F643" s="84" t="s">
        <v>661</v>
      </c>
    </row>
    <row r="644" spans="1:6" s="57" customFormat="1" ht="39.75" hidden="1" customHeight="1">
      <c r="A644" s="86" t="s">
        <v>638</v>
      </c>
      <c r="B644" s="86">
        <v>55502478</v>
      </c>
      <c r="C644" s="61" t="s">
        <v>36</v>
      </c>
      <c r="D644" s="87">
        <v>45712</v>
      </c>
      <c r="E644" s="62" t="s">
        <v>366</v>
      </c>
      <c r="F644" s="86" t="s">
        <v>662</v>
      </c>
    </row>
    <row r="645" spans="1:6" ht="39.75" customHeight="1">
      <c r="A645" s="10" t="s">
        <v>336</v>
      </c>
      <c r="B645" s="3">
        <v>48507590</v>
      </c>
      <c r="C645" s="10" t="s">
        <v>36</v>
      </c>
      <c r="D645" s="55">
        <v>45705</v>
      </c>
      <c r="E645" s="3" t="s">
        <v>210</v>
      </c>
      <c r="F645" s="3" t="s">
        <v>667</v>
      </c>
    </row>
    <row r="646" spans="1:6" ht="39.75" customHeight="1">
      <c r="A646" s="10" t="s">
        <v>336</v>
      </c>
      <c r="B646" s="3">
        <v>48507534</v>
      </c>
      <c r="C646" s="10" t="s">
        <v>36</v>
      </c>
      <c r="D646" s="55">
        <v>45705</v>
      </c>
      <c r="E646" s="3" t="s">
        <v>210</v>
      </c>
      <c r="F646" s="3" t="s">
        <v>668</v>
      </c>
    </row>
    <row r="647" spans="1:6" ht="39.75" customHeight="1">
      <c r="A647" s="10" t="s">
        <v>336</v>
      </c>
      <c r="B647" s="3">
        <v>48507486</v>
      </c>
      <c r="C647" s="10" t="s">
        <v>36</v>
      </c>
      <c r="D647" s="55">
        <v>45705</v>
      </c>
      <c r="E647" s="3" t="s">
        <v>210</v>
      </c>
      <c r="F647" s="3" t="s">
        <v>669</v>
      </c>
    </row>
    <row r="648" spans="1:6" ht="39.75" customHeight="1">
      <c r="A648" s="10" t="s">
        <v>336</v>
      </c>
      <c r="B648" s="3">
        <v>48507387</v>
      </c>
      <c r="C648" s="10" t="s">
        <v>36</v>
      </c>
      <c r="D648" s="55">
        <v>45705</v>
      </c>
      <c r="E648" s="3" t="s">
        <v>210</v>
      </c>
      <c r="F648" s="3" t="s">
        <v>670</v>
      </c>
    </row>
    <row r="649" spans="1:6" ht="39.75" customHeight="1">
      <c r="A649" s="10" t="s">
        <v>336</v>
      </c>
      <c r="B649" s="3">
        <v>48507301</v>
      </c>
      <c r="C649" s="10" t="s">
        <v>36</v>
      </c>
      <c r="D649" s="55">
        <v>45705</v>
      </c>
      <c r="E649" s="3" t="s">
        <v>210</v>
      </c>
      <c r="F649" s="3" t="s">
        <v>671</v>
      </c>
    </row>
    <row r="650" spans="1:6" ht="39.75" customHeight="1">
      <c r="A650" s="10" t="s">
        <v>336</v>
      </c>
      <c r="B650" s="3">
        <v>48507163</v>
      </c>
      <c r="C650" s="10" t="s">
        <v>36</v>
      </c>
      <c r="D650" s="55">
        <v>45705</v>
      </c>
      <c r="E650" s="3" t="s">
        <v>210</v>
      </c>
      <c r="F650" s="3" t="s">
        <v>672</v>
      </c>
    </row>
    <row r="651" spans="1:6">
      <c r="A651" s="3" t="s">
        <v>1767</v>
      </c>
      <c r="B651" s="4">
        <v>55503706</v>
      </c>
      <c r="C651" s="3" t="s">
        <v>674</v>
      </c>
      <c r="D651" s="65">
        <v>45709</v>
      </c>
      <c r="E651" s="3" t="s">
        <v>210</v>
      </c>
      <c r="F651" s="3" t="s">
        <v>675</v>
      </c>
    </row>
    <row r="652" spans="1:6">
      <c r="A652" s="3" t="s">
        <v>1767</v>
      </c>
      <c r="B652" s="4">
        <v>55503801</v>
      </c>
      <c r="C652" s="3" t="s">
        <v>674</v>
      </c>
      <c r="D652" s="65">
        <v>45709</v>
      </c>
      <c r="E652" s="3" t="s">
        <v>210</v>
      </c>
      <c r="F652" s="3" t="s">
        <v>676</v>
      </c>
    </row>
    <row r="653" spans="1:6">
      <c r="A653" s="3" t="s">
        <v>1767</v>
      </c>
      <c r="B653" s="4">
        <v>55503862</v>
      </c>
      <c r="C653" s="3" t="s">
        <v>674</v>
      </c>
      <c r="D653" s="65">
        <v>45709</v>
      </c>
      <c r="E653" s="3" t="s">
        <v>210</v>
      </c>
      <c r="F653" s="3" t="s">
        <v>677</v>
      </c>
    </row>
    <row r="654" spans="1:6">
      <c r="A654" s="3" t="s">
        <v>1767</v>
      </c>
      <c r="B654" s="4">
        <v>55503935</v>
      </c>
      <c r="C654" s="3" t="s">
        <v>674</v>
      </c>
      <c r="D654" s="65">
        <v>45709</v>
      </c>
      <c r="E654" s="3" t="s">
        <v>210</v>
      </c>
      <c r="F654" s="3" t="s">
        <v>678</v>
      </c>
    </row>
    <row r="655" spans="1:6">
      <c r="A655" s="3" t="s">
        <v>1767</v>
      </c>
      <c r="B655" s="64">
        <v>55503969</v>
      </c>
      <c r="C655" s="45" t="s">
        <v>674</v>
      </c>
      <c r="D655" s="66">
        <v>45709</v>
      </c>
      <c r="E655" s="45" t="s">
        <v>210</v>
      </c>
      <c r="F655" s="45" t="s">
        <v>679</v>
      </c>
    </row>
    <row r="656" spans="1:6">
      <c r="A656" s="3" t="s">
        <v>1768</v>
      </c>
      <c r="B656" s="3">
        <v>55504206</v>
      </c>
      <c r="C656" s="3" t="s">
        <v>674</v>
      </c>
      <c r="D656" s="55">
        <v>45709</v>
      </c>
      <c r="E656" s="3" t="s">
        <v>210</v>
      </c>
      <c r="F656" s="3" t="s">
        <v>681</v>
      </c>
    </row>
    <row r="657" spans="1:6">
      <c r="A657" s="3" t="s">
        <v>1768</v>
      </c>
      <c r="B657" s="3">
        <v>55504188</v>
      </c>
      <c r="C657" s="3" t="s">
        <v>674</v>
      </c>
      <c r="D657" s="55">
        <v>45709</v>
      </c>
      <c r="E657" s="3" t="s">
        <v>210</v>
      </c>
      <c r="F657" s="3" t="s">
        <v>682</v>
      </c>
    </row>
    <row r="658" spans="1:6">
      <c r="A658" s="3" t="s">
        <v>1768</v>
      </c>
      <c r="B658" s="3">
        <v>55504303</v>
      </c>
      <c r="C658" s="3" t="s">
        <v>674</v>
      </c>
      <c r="D658" s="55">
        <v>45709</v>
      </c>
      <c r="E658" s="3" t="s">
        <v>210</v>
      </c>
      <c r="F658" s="3" t="s">
        <v>683</v>
      </c>
    </row>
    <row r="659" spans="1:6">
      <c r="A659" s="3" t="s">
        <v>1768</v>
      </c>
      <c r="B659" s="3">
        <v>55504345</v>
      </c>
      <c r="C659" s="3" t="s">
        <v>674</v>
      </c>
      <c r="D659" s="55">
        <v>45709</v>
      </c>
      <c r="E659" s="3" t="s">
        <v>210</v>
      </c>
      <c r="F659" s="3" t="s">
        <v>684</v>
      </c>
    </row>
    <row r="660" spans="1:6">
      <c r="A660" s="3" t="s">
        <v>1768</v>
      </c>
      <c r="B660" s="3">
        <v>55504388</v>
      </c>
      <c r="C660" s="3" t="s">
        <v>674</v>
      </c>
      <c r="D660" s="55">
        <v>45709</v>
      </c>
      <c r="E660" s="3" t="s">
        <v>210</v>
      </c>
      <c r="F660" s="3" t="s">
        <v>685</v>
      </c>
    </row>
    <row r="661" spans="1:6">
      <c r="A661" s="3" t="s">
        <v>1768</v>
      </c>
      <c r="B661" s="3">
        <v>55504421</v>
      </c>
      <c r="C661" s="3" t="s">
        <v>674</v>
      </c>
      <c r="D661" s="55">
        <v>45709</v>
      </c>
      <c r="E661" s="3" t="s">
        <v>210</v>
      </c>
      <c r="F661" s="3" t="s">
        <v>686</v>
      </c>
    </row>
    <row r="662" spans="1:6">
      <c r="A662" s="3" t="s">
        <v>1768</v>
      </c>
      <c r="B662" s="3">
        <v>55504460</v>
      </c>
      <c r="C662" s="3" t="s">
        <v>674</v>
      </c>
      <c r="D662" s="55">
        <v>45709</v>
      </c>
      <c r="E662" s="3" t="s">
        <v>210</v>
      </c>
      <c r="F662" s="3" t="s">
        <v>675</v>
      </c>
    </row>
    <row r="663" spans="1:6">
      <c r="A663" s="6" t="s">
        <v>687</v>
      </c>
      <c r="B663" s="67">
        <v>51507839</v>
      </c>
      <c r="C663" s="10" t="s">
        <v>36</v>
      </c>
      <c r="D663" s="55">
        <v>45713</v>
      </c>
      <c r="E663" s="11" t="s">
        <v>210</v>
      </c>
      <c r="F663" s="68" t="s">
        <v>688</v>
      </c>
    </row>
    <row r="664" spans="1:6">
      <c r="A664" s="6" t="s">
        <v>687</v>
      </c>
      <c r="B664" s="67">
        <v>51507845</v>
      </c>
      <c r="C664" s="10" t="s">
        <v>36</v>
      </c>
      <c r="D664" s="55">
        <v>45713</v>
      </c>
      <c r="E664" s="11" t="s">
        <v>210</v>
      </c>
      <c r="F664" s="68" t="s">
        <v>689</v>
      </c>
    </row>
    <row r="665" spans="1:6">
      <c r="A665" s="6" t="s">
        <v>687</v>
      </c>
      <c r="B665" s="67">
        <v>51507850</v>
      </c>
      <c r="C665" s="10" t="s">
        <v>36</v>
      </c>
      <c r="D665" s="55">
        <v>45713</v>
      </c>
      <c r="E665" s="11" t="s">
        <v>210</v>
      </c>
      <c r="F665" s="68" t="s">
        <v>688</v>
      </c>
    </row>
    <row r="666" spans="1:6">
      <c r="A666" s="6" t="s">
        <v>687</v>
      </c>
      <c r="B666" s="67">
        <v>52505611</v>
      </c>
      <c r="C666" s="10" t="s">
        <v>36</v>
      </c>
      <c r="D666" s="55">
        <v>45713</v>
      </c>
      <c r="E666" s="11" t="s">
        <v>210</v>
      </c>
      <c r="F666" s="68" t="s">
        <v>690</v>
      </c>
    </row>
    <row r="667" spans="1:6">
      <c r="A667" s="6" t="s">
        <v>687</v>
      </c>
      <c r="B667" s="67">
        <v>52505674</v>
      </c>
      <c r="C667" s="10" t="s">
        <v>36</v>
      </c>
      <c r="D667" s="55">
        <v>45713</v>
      </c>
      <c r="E667" s="11" t="s">
        <v>210</v>
      </c>
      <c r="F667" s="68" t="s">
        <v>691</v>
      </c>
    </row>
    <row r="668" spans="1:6">
      <c r="A668" s="6" t="s">
        <v>687</v>
      </c>
      <c r="B668" s="67">
        <v>51507828</v>
      </c>
      <c r="C668" s="10" t="s">
        <v>36</v>
      </c>
      <c r="D668" s="55">
        <v>45713</v>
      </c>
      <c r="E668" s="11" t="s">
        <v>210</v>
      </c>
      <c r="F668" s="68" t="s">
        <v>689</v>
      </c>
    </row>
    <row r="669" spans="1:6" hidden="1">
      <c r="A669" s="6" t="s">
        <v>452</v>
      </c>
      <c r="B669" s="29">
        <v>58500131</v>
      </c>
      <c r="C669" s="8" t="s">
        <v>36</v>
      </c>
      <c r="D669" s="55">
        <v>45715</v>
      </c>
      <c r="E669" s="3" t="s">
        <v>213</v>
      </c>
      <c r="F669" s="3" t="s">
        <v>694</v>
      </c>
    </row>
    <row r="670" spans="1:6" hidden="1">
      <c r="A670" s="6" t="s">
        <v>452</v>
      </c>
      <c r="B670" s="29">
        <v>58500140</v>
      </c>
      <c r="C670" s="8" t="s">
        <v>36</v>
      </c>
      <c r="D670" s="55">
        <v>45715</v>
      </c>
      <c r="E670" s="3" t="s">
        <v>213</v>
      </c>
      <c r="F670" s="3" t="s">
        <v>695</v>
      </c>
    </row>
    <row r="671" spans="1:6" hidden="1">
      <c r="A671" s="6" t="s">
        <v>452</v>
      </c>
      <c r="B671" s="29">
        <v>58500144</v>
      </c>
      <c r="C671" s="8" t="s">
        <v>36</v>
      </c>
      <c r="D671" s="55">
        <v>45715</v>
      </c>
      <c r="E671" s="3" t="s">
        <v>213</v>
      </c>
      <c r="F671" s="3" t="s">
        <v>696</v>
      </c>
    </row>
    <row r="672" spans="1:6" hidden="1">
      <c r="A672" s="6" t="s">
        <v>452</v>
      </c>
      <c r="B672" s="29">
        <v>58500147</v>
      </c>
      <c r="C672" s="8" t="s">
        <v>36</v>
      </c>
      <c r="D672" s="55">
        <v>45715</v>
      </c>
      <c r="E672" s="3" t="s">
        <v>213</v>
      </c>
      <c r="F672" s="3" t="s">
        <v>697</v>
      </c>
    </row>
    <row r="673" spans="1:6" hidden="1">
      <c r="A673" s="6" t="s">
        <v>452</v>
      </c>
      <c r="B673" s="29">
        <v>58500151</v>
      </c>
      <c r="C673" s="8" t="s">
        <v>36</v>
      </c>
      <c r="D673" s="55">
        <v>45715</v>
      </c>
      <c r="E673" s="3" t="s">
        <v>213</v>
      </c>
      <c r="F673" s="3" t="s">
        <v>698</v>
      </c>
    </row>
    <row r="674" spans="1:6" hidden="1">
      <c r="A674" s="6" t="s">
        <v>452</v>
      </c>
      <c r="B674" s="29">
        <v>58500155</v>
      </c>
      <c r="C674" s="8" t="s">
        <v>36</v>
      </c>
      <c r="D674" s="55">
        <v>45715</v>
      </c>
      <c r="E674" s="3" t="s">
        <v>213</v>
      </c>
      <c r="F674" s="3" t="s">
        <v>699</v>
      </c>
    </row>
    <row r="675" spans="1:6" hidden="1">
      <c r="A675" s="6" t="s">
        <v>452</v>
      </c>
      <c r="B675" s="29">
        <v>58500158</v>
      </c>
      <c r="C675" s="8" t="s">
        <v>36</v>
      </c>
      <c r="D675" s="55">
        <v>45715</v>
      </c>
      <c r="E675" s="3" t="s">
        <v>213</v>
      </c>
      <c r="F675" s="3" t="s">
        <v>700</v>
      </c>
    </row>
    <row r="676" spans="1:6" hidden="1">
      <c r="A676" s="6" t="s">
        <v>452</v>
      </c>
      <c r="B676" s="29">
        <v>58500162</v>
      </c>
      <c r="C676" s="8" t="s">
        <v>36</v>
      </c>
      <c r="D676" s="55">
        <v>45715</v>
      </c>
      <c r="E676" s="3" t="s">
        <v>213</v>
      </c>
      <c r="F676" s="3" t="s">
        <v>701</v>
      </c>
    </row>
    <row r="677" spans="1:6" hidden="1">
      <c r="A677" s="6" t="s">
        <v>452</v>
      </c>
      <c r="B677" s="29">
        <v>58500167</v>
      </c>
      <c r="C677" s="8" t="s">
        <v>36</v>
      </c>
      <c r="D677" s="55">
        <v>45715</v>
      </c>
      <c r="E677" s="3" t="s">
        <v>213</v>
      </c>
      <c r="F677" s="3" t="s">
        <v>699</v>
      </c>
    </row>
    <row r="678" spans="1:6" hidden="1">
      <c r="A678" s="6" t="s">
        <v>452</v>
      </c>
      <c r="B678" s="29">
        <v>58500173</v>
      </c>
      <c r="C678" s="8" t="s">
        <v>36</v>
      </c>
      <c r="D678" s="55">
        <v>45715</v>
      </c>
      <c r="E678" s="3" t="s">
        <v>213</v>
      </c>
      <c r="F678" s="3" t="s">
        <v>460</v>
      </c>
    </row>
    <row r="679" spans="1:6" hidden="1">
      <c r="A679" s="6" t="s">
        <v>452</v>
      </c>
      <c r="B679" s="29">
        <v>58500175</v>
      </c>
      <c r="C679" s="8" t="s">
        <v>36</v>
      </c>
      <c r="D679" s="55">
        <v>45715</v>
      </c>
      <c r="E679" s="3" t="s">
        <v>213</v>
      </c>
      <c r="F679" s="3" t="s">
        <v>459</v>
      </c>
    </row>
    <row r="680" spans="1:6" hidden="1">
      <c r="A680" s="6" t="s">
        <v>452</v>
      </c>
      <c r="B680" s="29">
        <v>58500180</v>
      </c>
      <c r="C680" s="8" t="s">
        <v>36</v>
      </c>
      <c r="D680" s="55">
        <v>45715</v>
      </c>
      <c r="E680" s="3" t="s">
        <v>213</v>
      </c>
      <c r="F680" s="3" t="s">
        <v>702</v>
      </c>
    </row>
    <row r="681" spans="1:6" hidden="1">
      <c r="A681" s="6" t="s">
        <v>452</v>
      </c>
      <c r="B681" s="29">
        <v>58500184</v>
      </c>
      <c r="C681" s="8" t="s">
        <v>36</v>
      </c>
      <c r="D681" s="55">
        <v>45715</v>
      </c>
      <c r="E681" s="3" t="s">
        <v>213</v>
      </c>
      <c r="F681" s="3" t="s">
        <v>702</v>
      </c>
    </row>
    <row r="682" spans="1:6" hidden="1">
      <c r="A682" s="6" t="s">
        <v>452</v>
      </c>
      <c r="B682" s="29">
        <v>58500190</v>
      </c>
      <c r="C682" s="8" t="s">
        <v>36</v>
      </c>
      <c r="D682" s="55">
        <v>45715</v>
      </c>
      <c r="E682" s="3" t="s">
        <v>213</v>
      </c>
      <c r="F682" s="3" t="s">
        <v>457</v>
      </c>
    </row>
    <row r="683" spans="1:6" hidden="1">
      <c r="A683" s="6" t="s">
        <v>452</v>
      </c>
      <c r="B683" s="29">
        <v>58500197</v>
      </c>
      <c r="C683" s="8" t="s">
        <v>36</v>
      </c>
      <c r="D683" s="55">
        <v>45715</v>
      </c>
      <c r="E683" s="3" t="s">
        <v>213</v>
      </c>
      <c r="F683" s="3" t="s">
        <v>456</v>
      </c>
    </row>
    <row r="684" spans="1:6" hidden="1">
      <c r="A684" s="6" t="s">
        <v>452</v>
      </c>
      <c r="B684" s="29">
        <v>58500200</v>
      </c>
      <c r="C684" s="8" t="s">
        <v>36</v>
      </c>
      <c r="D684" s="55">
        <v>45715</v>
      </c>
      <c r="E684" s="3" t="s">
        <v>213</v>
      </c>
      <c r="F684" s="3" t="s">
        <v>703</v>
      </c>
    </row>
    <row r="685" spans="1:6" hidden="1">
      <c r="A685" s="6" t="s">
        <v>452</v>
      </c>
      <c r="B685" s="29">
        <v>58500204</v>
      </c>
      <c r="C685" s="8" t="s">
        <v>36</v>
      </c>
      <c r="D685" s="55">
        <v>45715</v>
      </c>
      <c r="E685" s="3" t="s">
        <v>213</v>
      </c>
      <c r="F685" s="3" t="s">
        <v>699</v>
      </c>
    </row>
    <row r="686" spans="1:6" hidden="1">
      <c r="A686" s="6" t="s">
        <v>452</v>
      </c>
      <c r="B686" s="29">
        <v>58500206</v>
      </c>
      <c r="C686" s="8" t="s">
        <v>36</v>
      </c>
      <c r="D686" s="55">
        <v>45715</v>
      </c>
      <c r="E686" s="3" t="s">
        <v>213</v>
      </c>
      <c r="F686" s="3" t="s">
        <v>454</v>
      </c>
    </row>
    <row r="687" spans="1:6" hidden="1">
      <c r="A687" s="6" t="s">
        <v>452</v>
      </c>
      <c r="B687" s="29">
        <v>58500211</v>
      </c>
      <c r="C687" s="8" t="s">
        <v>36</v>
      </c>
      <c r="D687" s="55">
        <v>45715</v>
      </c>
      <c r="E687" s="3" t="s">
        <v>213</v>
      </c>
      <c r="F687" s="3" t="s">
        <v>453</v>
      </c>
    </row>
    <row r="688" spans="1:6" hidden="1">
      <c r="A688" s="73" t="s">
        <v>559</v>
      </c>
      <c r="B688" s="41">
        <v>59506815</v>
      </c>
      <c r="C688" s="56" t="s">
        <v>36</v>
      </c>
      <c r="D688" s="20">
        <v>45716</v>
      </c>
      <c r="E688" s="4" t="s">
        <v>145</v>
      </c>
      <c r="F688" s="41" t="s">
        <v>713</v>
      </c>
    </row>
    <row r="689" spans="1:6" hidden="1">
      <c r="A689" s="73" t="s">
        <v>559</v>
      </c>
      <c r="B689" s="41">
        <v>59506821</v>
      </c>
      <c r="C689" s="56" t="s">
        <v>36</v>
      </c>
      <c r="D689" s="20">
        <v>45716</v>
      </c>
      <c r="E689" s="4" t="s">
        <v>145</v>
      </c>
      <c r="F689" s="41" t="s">
        <v>714</v>
      </c>
    </row>
    <row r="690" spans="1:6" hidden="1">
      <c r="A690" s="73" t="s">
        <v>559</v>
      </c>
      <c r="B690" s="41">
        <v>59506828</v>
      </c>
      <c r="C690" s="56" t="s">
        <v>36</v>
      </c>
      <c r="D690" s="20">
        <v>45716</v>
      </c>
      <c r="E690" s="4" t="s">
        <v>145</v>
      </c>
      <c r="F690" s="41" t="s">
        <v>715</v>
      </c>
    </row>
    <row r="691" spans="1:6" hidden="1">
      <c r="A691" s="41" t="s">
        <v>559</v>
      </c>
      <c r="B691" s="41">
        <v>62510624</v>
      </c>
      <c r="C691" s="56" t="s">
        <v>36</v>
      </c>
      <c r="D691" s="20">
        <v>45719</v>
      </c>
      <c r="E691" s="3" t="s">
        <v>145</v>
      </c>
      <c r="F691" s="41" t="s">
        <v>716</v>
      </c>
    </row>
    <row r="692" spans="1:6" hidden="1">
      <c r="A692" s="41" t="s">
        <v>559</v>
      </c>
      <c r="B692" s="41">
        <v>62510633</v>
      </c>
      <c r="C692" s="56" t="s">
        <v>36</v>
      </c>
      <c r="D692" s="20">
        <v>45719</v>
      </c>
      <c r="E692" s="3" t="s">
        <v>145</v>
      </c>
      <c r="F692" s="41" t="s">
        <v>717</v>
      </c>
    </row>
    <row r="693" spans="1:6" hidden="1">
      <c r="A693" s="43" t="s">
        <v>559</v>
      </c>
      <c r="B693" s="43">
        <v>62510650</v>
      </c>
      <c r="C693" s="61" t="s">
        <v>36</v>
      </c>
      <c r="D693" s="21">
        <v>45719</v>
      </c>
      <c r="E693" s="45" t="s">
        <v>145</v>
      </c>
      <c r="F693" s="43" t="s">
        <v>718</v>
      </c>
    </row>
    <row r="694" spans="1:6" hidden="1">
      <c r="A694" s="41" t="s">
        <v>719</v>
      </c>
      <c r="B694" s="41">
        <v>63506713</v>
      </c>
      <c r="C694" s="56" t="s">
        <v>36</v>
      </c>
      <c r="D694" s="42">
        <v>45720</v>
      </c>
      <c r="E694" s="3" t="s">
        <v>145</v>
      </c>
      <c r="F694" s="41" t="s">
        <v>720</v>
      </c>
    </row>
    <row r="695" spans="1:6" hidden="1">
      <c r="A695" s="41" t="s">
        <v>719</v>
      </c>
      <c r="B695" s="41">
        <v>63506798</v>
      </c>
      <c r="C695" s="56" t="s">
        <v>36</v>
      </c>
      <c r="D695" s="42">
        <v>45720</v>
      </c>
      <c r="E695" s="3" t="s">
        <v>145</v>
      </c>
      <c r="F695" s="41" t="s">
        <v>721</v>
      </c>
    </row>
    <row r="696" spans="1:6" hidden="1">
      <c r="A696" s="41" t="s">
        <v>719</v>
      </c>
      <c r="B696" s="41">
        <v>63506835</v>
      </c>
      <c r="C696" s="56" t="s">
        <v>36</v>
      </c>
      <c r="D696" s="42">
        <v>45720</v>
      </c>
      <c r="E696" s="3" t="s">
        <v>145</v>
      </c>
      <c r="F696" s="41" t="s">
        <v>722</v>
      </c>
    </row>
    <row r="697" spans="1:6" hidden="1">
      <c r="A697" s="41" t="s">
        <v>719</v>
      </c>
      <c r="B697" s="41">
        <v>63506882</v>
      </c>
      <c r="C697" s="56" t="s">
        <v>36</v>
      </c>
      <c r="D697" s="42">
        <v>45720</v>
      </c>
      <c r="E697" s="3" t="s">
        <v>145</v>
      </c>
      <c r="F697" s="41" t="s">
        <v>723</v>
      </c>
    </row>
    <row r="698" spans="1:6" hidden="1">
      <c r="A698" s="41" t="s">
        <v>719</v>
      </c>
      <c r="B698" s="41">
        <v>63506927</v>
      </c>
      <c r="C698" s="56" t="s">
        <v>36</v>
      </c>
      <c r="D698" s="42">
        <v>45720</v>
      </c>
      <c r="E698" s="3" t="s">
        <v>145</v>
      </c>
      <c r="F698" s="41" t="s">
        <v>724</v>
      </c>
    </row>
    <row r="699" spans="1:6" hidden="1">
      <c r="A699" s="41" t="s">
        <v>719</v>
      </c>
      <c r="B699" s="41">
        <v>63506990</v>
      </c>
      <c r="C699" s="56" t="s">
        <v>36</v>
      </c>
      <c r="D699" s="42">
        <v>45720</v>
      </c>
      <c r="E699" s="3" t="s">
        <v>145</v>
      </c>
      <c r="F699" s="41" t="s">
        <v>725</v>
      </c>
    </row>
    <row r="700" spans="1:6" hidden="1">
      <c r="A700" s="41" t="s">
        <v>719</v>
      </c>
      <c r="B700" s="41">
        <v>63507052</v>
      </c>
      <c r="C700" s="56" t="s">
        <v>36</v>
      </c>
      <c r="D700" s="42">
        <v>45720</v>
      </c>
      <c r="E700" s="3" t="s">
        <v>145</v>
      </c>
      <c r="F700" s="41" t="s">
        <v>726</v>
      </c>
    </row>
    <row r="701" spans="1:6" hidden="1">
      <c r="A701" s="41" t="s">
        <v>719</v>
      </c>
      <c r="B701" s="41">
        <v>63507110</v>
      </c>
      <c r="C701" s="56" t="s">
        <v>36</v>
      </c>
      <c r="D701" s="42">
        <v>45720</v>
      </c>
      <c r="E701" s="3" t="s">
        <v>145</v>
      </c>
      <c r="F701" s="41" t="s">
        <v>727</v>
      </c>
    </row>
    <row r="702" spans="1:6" hidden="1">
      <c r="A702" s="41" t="s">
        <v>719</v>
      </c>
      <c r="B702" s="41">
        <v>63507170</v>
      </c>
      <c r="C702" s="56" t="s">
        <v>36</v>
      </c>
      <c r="D702" s="42">
        <v>45720</v>
      </c>
      <c r="E702" s="3" t="s">
        <v>145</v>
      </c>
      <c r="F702" s="41" t="s">
        <v>728</v>
      </c>
    </row>
    <row r="703" spans="1:6" hidden="1">
      <c r="A703" s="41" t="s">
        <v>719</v>
      </c>
      <c r="B703" s="41">
        <v>63507263</v>
      </c>
      <c r="C703" s="56" t="s">
        <v>36</v>
      </c>
      <c r="D703" s="42">
        <v>45720</v>
      </c>
      <c r="E703" s="3" t="s">
        <v>145</v>
      </c>
      <c r="F703" s="41" t="s">
        <v>729</v>
      </c>
    </row>
    <row r="704" spans="1:6" hidden="1">
      <c r="A704" s="41" t="s">
        <v>439</v>
      </c>
      <c r="B704" s="29">
        <v>63508545</v>
      </c>
      <c r="C704" s="56" t="s">
        <v>36</v>
      </c>
      <c r="D704" s="42">
        <v>45720</v>
      </c>
      <c r="E704" s="3" t="s">
        <v>213</v>
      </c>
      <c r="F704" s="3" t="s">
        <v>730</v>
      </c>
    </row>
    <row r="705" spans="1:6" hidden="1">
      <c r="A705" s="41" t="s">
        <v>439</v>
      </c>
      <c r="B705" s="29">
        <v>63508556</v>
      </c>
      <c r="C705" s="56" t="s">
        <v>36</v>
      </c>
      <c r="D705" s="42">
        <v>45720</v>
      </c>
      <c r="E705" s="3" t="s">
        <v>213</v>
      </c>
      <c r="F705" s="3" t="s">
        <v>730</v>
      </c>
    </row>
    <row r="706" spans="1:6" hidden="1">
      <c r="A706" s="69" t="s">
        <v>731</v>
      </c>
      <c r="B706" s="71">
        <v>63509146</v>
      </c>
      <c r="C706" s="56" t="s">
        <v>36</v>
      </c>
      <c r="D706" s="42">
        <v>45720</v>
      </c>
      <c r="E706" s="3" t="s">
        <v>213</v>
      </c>
      <c r="F706" s="60" t="s">
        <v>732</v>
      </c>
    </row>
    <row r="707" spans="1:6" hidden="1">
      <c r="A707" s="41" t="s">
        <v>731</v>
      </c>
      <c r="B707" s="74">
        <v>63509173</v>
      </c>
      <c r="C707" s="56" t="s">
        <v>36</v>
      </c>
      <c r="D707" s="42">
        <v>45720</v>
      </c>
      <c r="E707" s="3" t="s">
        <v>213</v>
      </c>
      <c r="F707" s="3" t="s">
        <v>733</v>
      </c>
    </row>
    <row r="708" spans="1:6" hidden="1">
      <c r="A708" s="41" t="s">
        <v>731</v>
      </c>
      <c r="B708" s="74">
        <v>63509176</v>
      </c>
      <c r="C708" s="56" t="s">
        <v>36</v>
      </c>
      <c r="D708" s="42">
        <v>45720</v>
      </c>
      <c r="E708" s="3" t="s">
        <v>213</v>
      </c>
      <c r="F708" s="3" t="s">
        <v>734</v>
      </c>
    </row>
    <row r="709" spans="1:6" hidden="1">
      <c r="A709" s="41" t="s">
        <v>731</v>
      </c>
      <c r="B709" s="74">
        <v>63509184</v>
      </c>
      <c r="C709" s="56" t="s">
        <v>36</v>
      </c>
      <c r="D709" s="42">
        <v>45720</v>
      </c>
      <c r="E709" s="3" t="s">
        <v>213</v>
      </c>
      <c r="F709" s="3" t="s">
        <v>735</v>
      </c>
    </row>
    <row r="710" spans="1:6" hidden="1">
      <c r="A710" s="41" t="s">
        <v>731</v>
      </c>
      <c r="B710" s="74">
        <v>63509188</v>
      </c>
      <c r="C710" s="56" t="s">
        <v>36</v>
      </c>
      <c r="D710" s="42">
        <v>45720</v>
      </c>
      <c r="E710" s="3" t="s">
        <v>213</v>
      </c>
      <c r="F710" s="3" t="s">
        <v>736</v>
      </c>
    </row>
    <row r="711" spans="1:6" hidden="1">
      <c r="A711" s="41" t="s">
        <v>731</v>
      </c>
      <c r="B711" s="74">
        <v>63509195</v>
      </c>
      <c r="C711" s="56" t="s">
        <v>36</v>
      </c>
      <c r="D711" s="42">
        <v>45720</v>
      </c>
      <c r="E711" s="3" t="s">
        <v>213</v>
      </c>
      <c r="F711" s="3" t="s">
        <v>737</v>
      </c>
    </row>
    <row r="712" spans="1:6" hidden="1">
      <c r="A712" s="41" t="s">
        <v>731</v>
      </c>
      <c r="B712" s="74">
        <v>63509198</v>
      </c>
      <c r="C712" s="56" t="s">
        <v>36</v>
      </c>
      <c r="D712" s="42">
        <v>45720</v>
      </c>
      <c r="E712" s="3" t="s">
        <v>213</v>
      </c>
      <c r="F712" s="3" t="s">
        <v>738</v>
      </c>
    </row>
    <row r="713" spans="1:6" hidden="1">
      <c r="A713" s="41" t="s">
        <v>731</v>
      </c>
      <c r="B713" s="74">
        <v>63509220</v>
      </c>
      <c r="C713" s="56" t="s">
        <v>36</v>
      </c>
      <c r="D713" s="42">
        <v>45720</v>
      </c>
      <c r="E713" s="3" t="s">
        <v>213</v>
      </c>
      <c r="F713" s="3" t="s">
        <v>739</v>
      </c>
    </row>
    <row r="714" spans="1:6" hidden="1">
      <c r="A714" s="41" t="s">
        <v>731</v>
      </c>
      <c r="B714" s="74">
        <v>63509226</v>
      </c>
      <c r="C714" s="56" t="s">
        <v>36</v>
      </c>
      <c r="D714" s="42">
        <v>45720</v>
      </c>
      <c r="E714" s="3" t="s">
        <v>213</v>
      </c>
      <c r="F714" s="3" t="s">
        <v>740</v>
      </c>
    </row>
    <row r="715" spans="1:6" hidden="1">
      <c r="A715" s="41" t="s">
        <v>731</v>
      </c>
      <c r="B715" s="74">
        <v>63509235</v>
      </c>
      <c r="C715" s="56" t="s">
        <v>36</v>
      </c>
      <c r="D715" s="42">
        <v>45720</v>
      </c>
      <c r="E715" s="3" t="s">
        <v>213</v>
      </c>
      <c r="F715" s="3" t="s">
        <v>741</v>
      </c>
    </row>
    <row r="716" spans="1:6" hidden="1">
      <c r="A716" s="41" t="s">
        <v>731</v>
      </c>
      <c r="B716" s="74">
        <v>63509258</v>
      </c>
      <c r="C716" s="56" t="s">
        <v>36</v>
      </c>
      <c r="D716" s="42">
        <v>45720</v>
      </c>
      <c r="E716" s="3" t="s">
        <v>213</v>
      </c>
      <c r="F716" s="3" t="s">
        <v>742</v>
      </c>
    </row>
    <row r="717" spans="1:6" hidden="1">
      <c r="A717" s="41" t="s">
        <v>731</v>
      </c>
      <c r="B717" s="74">
        <v>63509266</v>
      </c>
      <c r="C717" s="56" t="s">
        <v>36</v>
      </c>
      <c r="D717" s="42">
        <v>45720</v>
      </c>
      <c r="E717" s="3" t="s">
        <v>213</v>
      </c>
      <c r="F717" s="3" t="s">
        <v>743</v>
      </c>
    </row>
    <row r="718" spans="1:6" hidden="1">
      <c r="A718" s="41" t="s">
        <v>731</v>
      </c>
      <c r="B718" s="74">
        <v>63509281</v>
      </c>
      <c r="C718" s="56" t="s">
        <v>36</v>
      </c>
      <c r="D718" s="42">
        <v>45720</v>
      </c>
      <c r="E718" s="3" t="s">
        <v>213</v>
      </c>
      <c r="F718" s="3" t="s">
        <v>744</v>
      </c>
    </row>
    <row r="719" spans="1:6" hidden="1">
      <c r="A719" s="41" t="s">
        <v>731</v>
      </c>
      <c r="B719" s="74">
        <v>64500533</v>
      </c>
      <c r="C719" s="56" t="s">
        <v>36</v>
      </c>
      <c r="D719" s="42">
        <v>45720</v>
      </c>
      <c r="E719" s="3" t="s">
        <v>213</v>
      </c>
      <c r="F719" s="3" t="s">
        <v>745</v>
      </c>
    </row>
    <row r="720" spans="1:6" hidden="1">
      <c r="A720" s="41" t="s">
        <v>731</v>
      </c>
      <c r="B720" s="74">
        <v>63509297</v>
      </c>
      <c r="C720" s="56" t="s">
        <v>36</v>
      </c>
      <c r="D720" s="42">
        <v>45720</v>
      </c>
      <c r="E720" s="3" t="s">
        <v>213</v>
      </c>
      <c r="F720" s="3" t="s">
        <v>746</v>
      </c>
    </row>
    <row r="721" spans="1:6" hidden="1">
      <c r="A721" s="41" t="s">
        <v>731</v>
      </c>
      <c r="B721" s="74">
        <v>63509304</v>
      </c>
      <c r="C721" s="56" t="s">
        <v>36</v>
      </c>
      <c r="D721" s="42">
        <v>45720</v>
      </c>
      <c r="E721" s="3" t="s">
        <v>213</v>
      </c>
      <c r="F721" s="3" t="s">
        <v>747</v>
      </c>
    </row>
    <row r="722" spans="1:6" hidden="1">
      <c r="A722" s="41" t="s">
        <v>731</v>
      </c>
      <c r="B722" s="74">
        <v>63509316</v>
      </c>
      <c r="C722" s="56" t="s">
        <v>36</v>
      </c>
      <c r="D722" s="42">
        <v>45720</v>
      </c>
      <c r="E722" s="3" t="s">
        <v>213</v>
      </c>
      <c r="F722" s="3" t="s">
        <v>748</v>
      </c>
    </row>
    <row r="723" spans="1:6" hidden="1">
      <c r="A723" s="41" t="s">
        <v>731</v>
      </c>
      <c r="B723" s="74">
        <v>63509322</v>
      </c>
      <c r="C723" s="56" t="s">
        <v>36</v>
      </c>
      <c r="D723" s="42">
        <v>45720</v>
      </c>
      <c r="E723" s="3" t="s">
        <v>213</v>
      </c>
      <c r="F723" s="3" t="s">
        <v>749</v>
      </c>
    </row>
    <row r="724" spans="1:6" hidden="1">
      <c r="A724" s="41" t="s">
        <v>731</v>
      </c>
      <c r="B724" s="74">
        <v>63509359</v>
      </c>
      <c r="C724" s="56" t="s">
        <v>36</v>
      </c>
      <c r="D724" s="42">
        <v>45720</v>
      </c>
      <c r="E724" s="3" t="s">
        <v>213</v>
      </c>
      <c r="F724" s="3" t="s">
        <v>750</v>
      </c>
    </row>
    <row r="725" spans="1:6" hidden="1">
      <c r="A725" s="41" t="s">
        <v>731</v>
      </c>
      <c r="B725" s="74">
        <v>63509368</v>
      </c>
      <c r="C725" s="56" t="s">
        <v>36</v>
      </c>
      <c r="D725" s="42">
        <v>45720</v>
      </c>
      <c r="E725" s="3" t="s">
        <v>213</v>
      </c>
      <c r="F725" s="3" t="s">
        <v>751</v>
      </c>
    </row>
    <row r="726" spans="1:6" hidden="1">
      <c r="A726" s="41" t="s">
        <v>731</v>
      </c>
      <c r="B726" s="74">
        <v>63509377</v>
      </c>
      <c r="C726" s="56" t="s">
        <v>36</v>
      </c>
      <c r="D726" s="42">
        <v>45720</v>
      </c>
      <c r="E726" s="3" t="s">
        <v>213</v>
      </c>
      <c r="F726" s="3" t="s">
        <v>752</v>
      </c>
    </row>
    <row r="727" spans="1:6" hidden="1">
      <c r="A727" s="41" t="s">
        <v>731</v>
      </c>
      <c r="B727" s="74">
        <v>63509381</v>
      </c>
      <c r="C727" s="56" t="s">
        <v>36</v>
      </c>
      <c r="D727" s="42">
        <v>45720</v>
      </c>
      <c r="E727" s="3" t="s">
        <v>213</v>
      </c>
      <c r="F727" s="3" t="s">
        <v>753</v>
      </c>
    </row>
    <row r="728" spans="1:6" hidden="1">
      <c r="A728" s="41" t="s">
        <v>731</v>
      </c>
      <c r="B728" s="74">
        <v>63509388</v>
      </c>
      <c r="C728" s="56" t="s">
        <v>36</v>
      </c>
      <c r="D728" s="42">
        <v>45720</v>
      </c>
      <c r="E728" s="3" t="s">
        <v>213</v>
      </c>
      <c r="F728" s="3" t="s">
        <v>754</v>
      </c>
    </row>
    <row r="729" spans="1:6" hidden="1">
      <c r="A729" s="41" t="s">
        <v>731</v>
      </c>
      <c r="B729" s="74">
        <v>63509397</v>
      </c>
      <c r="C729" s="56" t="s">
        <v>36</v>
      </c>
      <c r="D729" s="42">
        <v>45720</v>
      </c>
      <c r="E729" s="3" t="s">
        <v>213</v>
      </c>
      <c r="F729" s="3" t="s">
        <v>755</v>
      </c>
    </row>
    <row r="730" spans="1:6" hidden="1">
      <c r="A730" s="41" t="s">
        <v>731</v>
      </c>
      <c r="B730" s="74">
        <v>63509399</v>
      </c>
      <c r="C730" s="56" t="s">
        <v>36</v>
      </c>
      <c r="D730" s="42">
        <v>45720</v>
      </c>
      <c r="E730" s="3" t="s">
        <v>213</v>
      </c>
      <c r="F730" s="3" t="s">
        <v>756</v>
      </c>
    </row>
    <row r="731" spans="1:6" hidden="1">
      <c r="A731" s="41" t="s">
        <v>731</v>
      </c>
      <c r="B731" s="74">
        <v>63509411</v>
      </c>
      <c r="C731" s="56" t="s">
        <v>36</v>
      </c>
      <c r="D731" s="42">
        <v>45720</v>
      </c>
      <c r="E731" s="3" t="s">
        <v>213</v>
      </c>
      <c r="F731" s="3" t="s">
        <v>757</v>
      </c>
    </row>
    <row r="732" spans="1:6" hidden="1">
      <c r="A732" s="41" t="s">
        <v>731</v>
      </c>
      <c r="B732" s="74">
        <v>63509426</v>
      </c>
      <c r="C732" s="56" t="s">
        <v>36</v>
      </c>
      <c r="D732" s="42">
        <v>45720</v>
      </c>
      <c r="E732" s="3" t="s">
        <v>213</v>
      </c>
      <c r="F732" s="3" t="s">
        <v>758</v>
      </c>
    </row>
    <row r="733" spans="1:6" hidden="1">
      <c r="A733" s="41" t="s">
        <v>731</v>
      </c>
      <c r="B733" s="74">
        <v>63509435</v>
      </c>
      <c r="C733" s="56" t="s">
        <v>36</v>
      </c>
      <c r="D733" s="42">
        <v>45720</v>
      </c>
      <c r="E733" s="3" t="s">
        <v>213</v>
      </c>
      <c r="F733" s="3" t="s">
        <v>759</v>
      </c>
    </row>
    <row r="734" spans="1:6" hidden="1">
      <c r="A734" s="41" t="s">
        <v>731</v>
      </c>
      <c r="B734" s="74">
        <v>63509438</v>
      </c>
      <c r="C734" s="56" t="s">
        <v>36</v>
      </c>
      <c r="D734" s="42">
        <v>45720</v>
      </c>
      <c r="E734" s="3" t="s">
        <v>213</v>
      </c>
      <c r="F734" s="3" t="s">
        <v>760</v>
      </c>
    </row>
    <row r="735" spans="1:6" hidden="1">
      <c r="A735" s="41" t="s">
        <v>731</v>
      </c>
      <c r="B735" s="74">
        <v>63509451</v>
      </c>
      <c r="C735" s="56" t="s">
        <v>36</v>
      </c>
      <c r="D735" s="42">
        <v>45720</v>
      </c>
      <c r="E735" s="3" t="s">
        <v>213</v>
      </c>
      <c r="F735" s="3" t="s">
        <v>761</v>
      </c>
    </row>
    <row r="736" spans="1:6" hidden="1">
      <c r="A736" s="18" t="s">
        <v>766</v>
      </c>
      <c r="B736" s="18">
        <v>65503931</v>
      </c>
      <c r="C736" s="77" t="s">
        <v>36</v>
      </c>
      <c r="D736" s="76">
        <v>45722</v>
      </c>
      <c r="E736" s="3" t="s">
        <v>213</v>
      </c>
      <c r="F736" s="18" t="s">
        <v>767</v>
      </c>
    </row>
    <row r="737" spans="1:6" hidden="1">
      <c r="A737" s="18" t="s">
        <v>766</v>
      </c>
      <c r="B737" s="18">
        <v>65503959</v>
      </c>
      <c r="C737" s="78" t="s">
        <v>36</v>
      </c>
      <c r="D737" s="55">
        <v>45722</v>
      </c>
      <c r="E737" s="30" t="s">
        <v>213</v>
      </c>
      <c r="F737" s="18" t="s">
        <v>768</v>
      </c>
    </row>
    <row r="738" spans="1:6" hidden="1">
      <c r="A738" s="18" t="s">
        <v>766</v>
      </c>
      <c r="B738" s="18">
        <v>65503976</v>
      </c>
      <c r="C738" s="78" t="s">
        <v>36</v>
      </c>
      <c r="D738" s="55">
        <v>45722</v>
      </c>
      <c r="E738" s="30" t="s">
        <v>213</v>
      </c>
      <c r="F738" s="18" t="s">
        <v>769</v>
      </c>
    </row>
    <row r="739" spans="1:6" hidden="1">
      <c r="A739" s="18" t="s">
        <v>766</v>
      </c>
      <c r="B739" s="18">
        <v>65503998</v>
      </c>
      <c r="C739" s="78" t="s">
        <v>36</v>
      </c>
      <c r="D739" s="55">
        <v>45722</v>
      </c>
      <c r="E739" s="30" t="s">
        <v>213</v>
      </c>
      <c r="F739" s="18" t="s">
        <v>770</v>
      </c>
    </row>
    <row r="740" spans="1:6" hidden="1">
      <c r="A740" s="18" t="s">
        <v>766</v>
      </c>
      <c r="B740" s="18">
        <v>65504004</v>
      </c>
      <c r="C740" s="78" t="s">
        <v>36</v>
      </c>
      <c r="D740" s="55">
        <v>45722</v>
      </c>
      <c r="E740" s="30" t="s">
        <v>213</v>
      </c>
      <c r="F740" s="18" t="s">
        <v>771</v>
      </c>
    </row>
    <row r="741" spans="1:6" hidden="1">
      <c r="A741" s="18" t="s">
        <v>766</v>
      </c>
      <c r="B741" s="18">
        <v>65504040</v>
      </c>
      <c r="C741" s="78" t="s">
        <v>36</v>
      </c>
      <c r="D741" s="55">
        <v>45722</v>
      </c>
      <c r="E741" s="30" t="s">
        <v>213</v>
      </c>
      <c r="F741" s="18" t="s">
        <v>772</v>
      </c>
    </row>
    <row r="742" spans="1:6" hidden="1">
      <c r="A742" s="18" t="s">
        <v>766</v>
      </c>
      <c r="B742" s="18">
        <v>65504059</v>
      </c>
      <c r="C742" s="78" t="s">
        <v>36</v>
      </c>
      <c r="D742" s="55">
        <v>45722</v>
      </c>
      <c r="E742" s="30" t="s">
        <v>213</v>
      </c>
      <c r="F742" s="18" t="s">
        <v>773</v>
      </c>
    </row>
    <row r="743" spans="1:6" hidden="1">
      <c r="A743" s="18" t="s">
        <v>766</v>
      </c>
      <c r="B743" s="18">
        <v>65504096</v>
      </c>
      <c r="C743" s="78" t="s">
        <v>36</v>
      </c>
      <c r="D743" s="55">
        <v>45722</v>
      </c>
      <c r="E743" s="30" t="s">
        <v>213</v>
      </c>
      <c r="F743" s="18" t="s">
        <v>774</v>
      </c>
    </row>
    <row r="744" spans="1:6" hidden="1">
      <c r="A744" s="18" t="s">
        <v>766</v>
      </c>
      <c r="B744" s="18">
        <v>65504108</v>
      </c>
      <c r="C744" s="78" t="s">
        <v>36</v>
      </c>
      <c r="D744" s="55">
        <v>45722</v>
      </c>
      <c r="E744" s="30" t="s">
        <v>213</v>
      </c>
      <c r="F744" s="18" t="s">
        <v>775</v>
      </c>
    </row>
    <row r="745" spans="1:6" hidden="1">
      <c r="A745" s="18" t="s">
        <v>766</v>
      </c>
      <c r="B745" s="18">
        <v>65504150</v>
      </c>
      <c r="C745" s="78" t="s">
        <v>36</v>
      </c>
      <c r="D745" s="55">
        <v>45722</v>
      </c>
      <c r="E745" s="30" t="s">
        <v>213</v>
      </c>
      <c r="F745" s="18" t="s">
        <v>776</v>
      </c>
    </row>
    <row r="746" spans="1:6" hidden="1">
      <c r="A746" s="18" t="s">
        <v>766</v>
      </c>
      <c r="B746" s="18">
        <v>65504164</v>
      </c>
      <c r="C746" s="78" t="s">
        <v>36</v>
      </c>
      <c r="D746" s="55">
        <v>45722</v>
      </c>
      <c r="E746" s="30" t="s">
        <v>213</v>
      </c>
      <c r="F746" s="18" t="s">
        <v>777</v>
      </c>
    </row>
    <row r="747" spans="1:6" hidden="1">
      <c r="A747" s="18" t="s">
        <v>766</v>
      </c>
      <c r="B747" s="18">
        <v>65504187</v>
      </c>
      <c r="C747" s="78" t="s">
        <v>36</v>
      </c>
      <c r="D747" s="55">
        <v>45722</v>
      </c>
      <c r="E747" s="30" t="s">
        <v>213</v>
      </c>
      <c r="F747" s="18" t="s">
        <v>778</v>
      </c>
    </row>
    <row r="748" spans="1:6" hidden="1">
      <c r="A748" s="18" t="s">
        <v>766</v>
      </c>
      <c r="B748" s="18">
        <v>65504195</v>
      </c>
      <c r="C748" s="78" t="s">
        <v>36</v>
      </c>
      <c r="D748" s="55">
        <v>45722</v>
      </c>
      <c r="E748" s="30" t="s">
        <v>213</v>
      </c>
      <c r="F748" s="18" t="s">
        <v>779</v>
      </c>
    </row>
    <row r="749" spans="1:6" hidden="1">
      <c r="A749" s="18" t="s">
        <v>766</v>
      </c>
      <c r="B749" s="18">
        <v>65504210</v>
      </c>
      <c r="C749" s="78" t="s">
        <v>36</v>
      </c>
      <c r="D749" s="55">
        <v>45722</v>
      </c>
      <c r="E749" s="30" t="s">
        <v>213</v>
      </c>
      <c r="F749" s="18" t="s">
        <v>780</v>
      </c>
    </row>
    <row r="750" spans="1:6" hidden="1">
      <c r="A750" s="70" t="s">
        <v>766</v>
      </c>
      <c r="B750" s="70">
        <v>65504234</v>
      </c>
      <c r="C750" s="79" t="s">
        <v>36</v>
      </c>
      <c r="D750" s="55">
        <v>45722</v>
      </c>
      <c r="E750" s="30" t="s">
        <v>213</v>
      </c>
      <c r="F750" s="70" t="s">
        <v>781</v>
      </c>
    </row>
    <row r="751" spans="1:6" hidden="1">
      <c r="A751" s="18" t="s">
        <v>782</v>
      </c>
      <c r="B751" s="18">
        <v>65505251</v>
      </c>
      <c r="C751" s="78" t="s">
        <v>36</v>
      </c>
      <c r="D751" s="55">
        <v>45722</v>
      </c>
      <c r="E751" s="30" t="s">
        <v>213</v>
      </c>
      <c r="F751" s="18" t="s">
        <v>784</v>
      </c>
    </row>
    <row r="752" spans="1:6" hidden="1">
      <c r="A752" s="18" t="s">
        <v>782</v>
      </c>
      <c r="B752" s="18">
        <v>65505281</v>
      </c>
      <c r="C752" s="78" t="s">
        <v>36</v>
      </c>
      <c r="D752" s="55">
        <v>45722</v>
      </c>
      <c r="E752" s="30" t="s">
        <v>213</v>
      </c>
      <c r="F752" s="18" t="s">
        <v>785</v>
      </c>
    </row>
    <row r="753" spans="1:6" hidden="1">
      <c r="A753" s="18" t="s">
        <v>782</v>
      </c>
      <c r="B753" s="18">
        <v>65505299</v>
      </c>
      <c r="C753" s="78" t="s">
        <v>36</v>
      </c>
      <c r="D753" s="55">
        <v>45722</v>
      </c>
      <c r="E753" s="30" t="s">
        <v>213</v>
      </c>
      <c r="F753" s="18" t="s">
        <v>786</v>
      </c>
    </row>
    <row r="754" spans="1:6" hidden="1">
      <c r="A754" s="18" t="s">
        <v>782</v>
      </c>
      <c r="B754" s="18">
        <v>65505316</v>
      </c>
      <c r="C754" s="78" t="s">
        <v>36</v>
      </c>
      <c r="D754" s="55">
        <v>45722</v>
      </c>
      <c r="E754" s="30" t="s">
        <v>213</v>
      </c>
      <c r="F754" s="18" t="s">
        <v>787</v>
      </c>
    </row>
    <row r="755" spans="1:6" hidden="1">
      <c r="A755" s="18" t="s">
        <v>782</v>
      </c>
      <c r="B755" s="18">
        <v>65505367</v>
      </c>
      <c r="C755" s="78" t="s">
        <v>36</v>
      </c>
      <c r="D755" s="55">
        <v>45722</v>
      </c>
      <c r="E755" s="30" t="s">
        <v>213</v>
      </c>
      <c r="F755" s="18" t="s">
        <v>788</v>
      </c>
    </row>
    <row r="756" spans="1:6" hidden="1">
      <c r="A756" s="18" t="s">
        <v>782</v>
      </c>
      <c r="B756" s="18">
        <v>65505409</v>
      </c>
      <c r="C756" s="78" t="s">
        <v>36</v>
      </c>
      <c r="D756" s="55">
        <v>45722</v>
      </c>
      <c r="E756" s="30" t="s">
        <v>213</v>
      </c>
      <c r="F756" s="18" t="s">
        <v>789</v>
      </c>
    </row>
    <row r="757" spans="1:6" hidden="1">
      <c r="A757" s="18" t="s">
        <v>782</v>
      </c>
      <c r="B757" s="18">
        <v>65505445</v>
      </c>
      <c r="C757" s="78" t="s">
        <v>36</v>
      </c>
      <c r="D757" s="55">
        <v>45722</v>
      </c>
      <c r="E757" s="30" t="s">
        <v>213</v>
      </c>
      <c r="F757" s="18" t="s">
        <v>790</v>
      </c>
    </row>
    <row r="758" spans="1:6" hidden="1">
      <c r="A758" s="18" t="s">
        <v>782</v>
      </c>
      <c r="B758" s="18">
        <v>65505524</v>
      </c>
      <c r="C758" s="78" t="s">
        <v>36</v>
      </c>
      <c r="D758" s="55">
        <v>45722</v>
      </c>
      <c r="E758" s="30" t="s">
        <v>213</v>
      </c>
      <c r="F758" s="18" t="s">
        <v>791</v>
      </c>
    </row>
    <row r="759" spans="1:6" hidden="1">
      <c r="A759" s="18" t="s">
        <v>782</v>
      </c>
      <c r="B759" s="18">
        <v>65505570</v>
      </c>
      <c r="C759" s="78" t="s">
        <v>36</v>
      </c>
      <c r="D759" s="55">
        <v>45722</v>
      </c>
      <c r="E759" s="30" t="s">
        <v>213</v>
      </c>
      <c r="F759" s="18" t="s">
        <v>792</v>
      </c>
    </row>
    <row r="760" spans="1:6" hidden="1">
      <c r="A760" s="18" t="s">
        <v>782</v>
      </c>
      <c r="B760" s="18">
        <v>65505591</v>
      </c>
      <c r="C760" s="78" t="s">
        <v>36</v>
      </c>
      <c r="D760" s="55">
        <v>45722</v>
      </c>
      <c r="E760" s="30" t="s">
        <v>213</v>
      </c>
      <c r="F760" s="18" t="s">
        <v>793</v>
      </c>
    </row>
    <row r="761" spans="1:6" hidden="1">
      <c r="A761" s="18" t="s">
        <v>782</v>
      </c>
      <c r="B761" s="18">
        <v>65505650</v>
      </c>
      <c r="C761" s="78" t="s">
        <v>36</v>
      </c>
      <c r="D761" s="55">
        <v>45722</v>
      </c>
      <c r="E761" s="30" t="s">
        <v>213</v>
      </c>
      <c r="F761" s="18" t="s">
        <v>794</v>
      </c>
    </row>
    <row r="762" spans="1:6" hidden="1">
      <c r="A762" s="18" t="s">
        <v>782</v>
      </c>
      <c r="B762" s="18">
        <v>65505682</v>
      </c>
      <c r="C762" s="78" t="s">
        <v>36</v>
      </c>
      <c r="D762" s="55">
        <v>45722</v>
      </c>
      <c r="E762" s="30" t="s">
        <v>213</v>
      </c>
      <c r="F762" s="18" t="s">
        <v>795</v>
      </c>
    </row>
    <row r="763" spans="1:6" hidden="1">
      <c r="A763" s="18" t="s">
        <v>782</v>
      </c>
      <c r="B763" s="18">
        <v>65505696</v>
      </c>
      <c r="C763" s="78" t="s">
        <v>36</v>
      </c>
      <c r="D763" s="55">
        <v>45722</v>
      </c>
      <c r="E763" s="30" t="s">
        <v>213</v>
      </c>
      <c r="F763" s="18" t="s">
        <v>796</v>
      </c>
    </row>
    <row r="764" spans="1:6" hidden="1">
      <c r="A764" s="18" t="s">
        <v>782</v>
      </c>
      <c r="B764" s="18">
        <v>65505728</v>
      </c>
      <c r="C764" s="78" t="s">
        <v>36</v>
      </c>
      <c r="D764" s="55">
        <v>45722</v>
      </c>
      <c r="E764" s="30" t="s">
        <v>213</v>
      </c>
      <c r="F764" s="18" t="s">
        <v>797</v>
      </c>
    </row>
    <row r="765" spans="1:6" hidden="1">
      <c r="A765" s="18" t="s">
        <v>782</v>
      </c>
      <c r="B765" s="18">
        <v>65505750</v>
      </c>
      <c r="C765" s="78" t="s">
        <v>36</v>
      </c>
      <c r="D765" s="55">
        <v>45722</v>
      </c>
      <c r="E765" s="30" t="s">
        <v>213</v>
      </c>
      <c r="F765" s="18" t="s">
        <v>798</v>
      </c>
    </row>
    <row r="766" spans="1:6" hidden="1">
      <c r="A766" s="18" t="s">
        <v>782</v>
      </c>
      <c r="B766" s="18">
        <v>65505814</v>
      </c>
      <c r="C766" s="78" t="s">
        <v>36</v>
      </c>
      <c r="D766" s="55">
        <v>45722</v>
      </c>
      <c r="E766" s="30" t="s">
        <v>213</v>
      </c>
      <c r="F766" s="18" t="s">
        <v>799</v>
      </c>
    </row>
    <row r="767" spans="1:6" hidden="1">
      <c r="A767" s="18" t="s">
        <v>782</v>
      </c>
      <c r="B767" s="18">
        <v>65505831</v>
      </c>
      <c r="C767" s="78" t="s">
        <v>36</v>
      </c>
      <c r="D767" s="55">
        <v>45722</v>
      </c>
      <c r="E767" s="30" t="s">
        <v>213</v>
      </c>
      <c r="F767" s="18" t="s">
        <v>800</v>
      </c>
    </row>
    <row r="768" spans="1:6" hidden="1">
      <c r="A768" s="18" t="s">
        <v>782</v>
      </c>
      <c r="B768" s="18">
        <v>65505876</v>
      </c>
      <c r="C768" s="78" t="s">
        <v>36</v>
      </c>
      <c r="D768" s="55">
        <v>45722</v>
      </c>
      <c r="E768" s="30" t="s">
        <v>213</v>
      </c>
      <c r="F768" s="18" t="s">
        <v>801</v>
      </c>
    </row>
    <row r="769" spans="1:6" hidden="1">
      <c r="A769" s="18" t="s">
        <v>782</v>
      </c>
      <c r="B769" s="18">
        <v>65505913</v>
      </c>
      <c r="C769" s="78" t="s">
        <v>36</v>
      </c>
      <c r="D769" s="55">
        <v>45722</v>
      </c>
      <c r="E769" s="30" t="s">
        <v>213</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30FAA56F-28A5-4B9D-BAE6-FAE4CAD9AFB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2026-04-23T13:52:15Z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