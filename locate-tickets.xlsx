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39" documentId="8_{7F841BAC-E3D2-4E4B-A3CA-97B4D46101DD}" xr6:coauthVersionLast="47" xr6:coauthVersionMax="47" xr10:uidLastSave="{BC4DADC1-01E7-4E90-BFBA-AD78D0AA8D6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<sst xmlns="http://schemas.openxmlformats.org/spreadsheetml/2006/main" count="32453" uniqueCount="2105">
  <si>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</si>
  <si>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</si>
  <si>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</si>
  <si>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</si>
  <si>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</si>
  <si>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</si>
  <si>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</si>
  <si>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</si>
  <si>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</si>
  <si>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</si>
  <si>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</si>
  <si>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</si>
  <si>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</si>
  <si>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</si>
  <si>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</si>
  <si>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</si>
  <si>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</si>
  <si>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</si>
  <si>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</si>
  <si>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</si>
  <si>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</si>
  <si>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</si>
  <si>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</si>
  <si>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</si>
  <si>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</si>
  <si>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</si>
  <si>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</si>
  <si>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</si>
  <si>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</si>
  <si>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</si>
  <si>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</si>
  <si>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</si>
  <si>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</si>
  <si>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</si>
  <si>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</si>
  <si>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</si>
  <si>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</si>
  <si>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</si>
  <si>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</si>
  <si>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</si>
  <si>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</si>
  <si>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</si>
  <si>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</si>
  <si>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</si>
  <si>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</si>
  <si>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</si>
  <si>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</si>
  <si>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</si>
  <si>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</si>
  <si>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</si>
  <si>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</si>
  <si>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</si>
  <si>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</si>
  <si>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</si>
  <si>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</si>
  <si>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</si>
  <si>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</si>
  <si>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</si>
  <si>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</si>
  <si>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</si>
  <si>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</si>
  <si>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</si>
  <si>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</si>
  <si>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</si>
  <si>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</si>
  <si>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</si>
  <si>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</si>
  <si>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</si>
  <si>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</si>
  <si>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</si>
  <si>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</si>
  <si>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</si>
  <si>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</si>
  <si>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</si>
  <si>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</si>
  <si>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</si>
  <si>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</si>
  <si>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</si>
  <si>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</si>
  <si>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</si>
  <si>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</si>
  <si>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</si>
  <si>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</si>
  <si>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</si>
  <si>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</si>
  <si>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</si>
  <si>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</si>
  <si>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</si>
  <si>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</si>
  <si>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</si>
  <si>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</si>
  <si>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</si>
  <si>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</si>
  <si>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</si>
  <si>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</si>
  <si>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</si>
  <si>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</si>
  <si>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</si>
  <si>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</si>
  <si>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</si>
  <si>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</si>
  <si>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</si>
  <si>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</si>
  <si>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</si>
  <si>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</si>
  <si>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</si>
  <si>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</si>
  <si>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</si>
  <si>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</si>
  <si>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</si>
  <si>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</si>
  <si>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</si>
  <si>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</si>
  <si>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</si>
  <si>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</si>
  <si>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</si>
  <si>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</si>
  <si>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</si>
  <si>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</si>
  <si>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</si>
  <si>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</si>
  <si>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</si>
  <si>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</si>
  <si>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</si>
  <si>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</si>
  <si>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</si>
  <si>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</si>
  <si>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</si>
  <si>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</si>
  <si>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</si>
  <si>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</si>
  <si>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</si>
  <si>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</si>
  <si>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</si>
  <si>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</si>
  <si>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</si>
  <si>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</si>
  <si>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</si>
  <si>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</si>
  <si>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</si>
  <si>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</si>
  <si>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</si>
  <si>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</si>
  <si>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</si>
  <si>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</si>
  <si>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</si>
  <si>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</si>
  <si>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</si>
  <si>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</si>
  <si>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</si>
  <si>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</si>
  <si>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</si>
  <si>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</si>
  <si>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</si>
  <si>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</si>
  <si>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</si>
  <si>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</si>
  <si>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</si>
  <si>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</si>
  <si>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</si>
  <si>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</si>
  <si>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</si>
  <si>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</si>
  <si>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</si>
  <si>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</si>
  <si>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</si>
  <si>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</si>
  <si>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</si>
  <si>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</si>
  <si>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</si>
  <si>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</si>
  <si>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</si>
  <si>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</si>
  <si>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</si>
  <si>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</si>
  <si>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</si>
  <si>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</si>
  <si>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</si>
  <si>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</si>
  <si>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</si>
  <si>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</si>
  <si>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</si>
  <si>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</si>
  <si>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</si>
  <si>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</si>
  <si>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</si>
  <si>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</si>
  <si>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</si>
  <si>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</si>
  <si>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</si>
  <si>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</si>
  <si>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</si>
  <si>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</si>
  <si>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</si>
  <si>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</si>
  <si>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</si>
  <si>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</si>
  <si>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</si>
  <si>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</si>
  <si>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</si>
  <si>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</si>
  <si>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</si>
  <si>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</si>
  <si>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</si>
  <si>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</si>
  <si>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</si>
  <si>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</si>
  <si>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</si>
  <si>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</si>
  <si>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</si>
  <si>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</si>
  <si>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</si>
  <si>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</si>
  <si>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</si>
  <si>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</si>
  <si>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</si>
  <si>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</si>
  <si>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</si>
  <si>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</si>
  <si>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</si>
  <si>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</si>
  <si>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</si>
  <si>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</si>
  <si>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</si>
  <si>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</si>
  <si>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</si>
  <si>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</si>
  <si>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</si>
  <si>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</si>
  <si>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</si>
  <si>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</si>
  <si>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</si>
  <si>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</si>
  <si>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</si>
  <si>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</si>
  <si>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</si>
  <si>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</si>
  <si>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</si>
  <si>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</si>
  <si>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</si>
  <si>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</si>
  <si>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</si>
  <si>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</si>
  <si>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</si>
  <si>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</si>
  <si>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</si>
  <si>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</si>
  <si>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</si>
  <si>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</si>
  <si>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</si>
  <si>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</si>
  <si>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</si>
  <si>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</si>
  <si>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</si>
  <si>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</si>
  <si>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</si>
  <si>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</si>
  <si>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</si>
  <si>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</si>
  <si>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</si>
  <si>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</si>
  <si>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</si>
  <si>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</si>
  <si>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</si>
  <si>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</si>
  <si>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</si>
  <si>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</si>
  <si>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</si>
  <si>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</si>
  <si>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</si>
  <si>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</si>
  <si>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</si>
  <si>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</si>
  <si>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</si>
  <si>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</si>
  <si>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</si>
  <si>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</si>
  <si>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</si>
  <si>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</si>
  <si>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</si>
  <si>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</si>
  <si>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D-HAL116</t>
  </si>
  <si>
    <t>Northpath</t>
  </si>
  <si>
    <t>D-HAL115</t>
  </si>
  <si>
    <t>D-HAL114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</si>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</sst>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Aptos Narrow"/>
      <family val="2"/>
      <charset val="1"/>
    </font>
    <font>
      <sz val="10"/>
      <color rgb="FF000000"/>
      <name val="Helvetica Neue"/>
      <family val="1"/>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38" fillId="0" borderId="13"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551</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23</c:v>
                </c:pt>
                <c:pt idx="2">
                  <c:v>0</c:v>
                </c:pt>
                <c:pt idx="3">
                  <c:v>34</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117</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7" tableId="2"/>
  </namedSheetView>
  <namedSheetView name="View2" id="{5C55A572-B441-4CF5-BE17-145477518499}">
    <nsvFilter filterId="{BB0ACC31-0A2E-46B2-8451-25A295C87F01}" ref="A1:R7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7" totalsRowShown="0" headerRowDxfId="25" dataDxfId="24" headerRowBorderDxfId="22" tableBorderDxfId="23">
  <autoFilter ref="A1:R70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SUMPRODUCT((UPPER(Master!O2:O4423)="PENDING")*1)</f>
        <v>141</v>
      </c>
      <c r="R2" s="170" t="str" cm="1">
        <f t="array" ref="R2:R13">IFERROR(_xlfn._xlws.SORT(_xlfn.UNIQUE(_xlfn._xlws.FILTER(UPPER(Master!G2:G4423),Master!G2:G4423&lt;&gt;""))),"")</f>
        <v>BRADENTON</v>
      </c>
      <c r="S2" s="170" t="str" cm="1">
        <f t="array" ref="S2:S26">IFERROR(_xlfn._xlws.SORT(_xlfn.UNIQUE(_xlfn._xlws.FILTER(Master!H2:H4423,Master!H2:H4423&lt;&gt;""))),"")</f>
        <v>A1 Broadband</v>
      </c>
      <c r="T2" s="170"/>
    </row>
    <row r="3" spans="1:20" ht="45" customHeight="1">
      <c r="A3" s="246">
        <f>COUNTA(Master!C2:C4423)</f>
        <v>706</v>
      </c>
      <c r="B3" s="246"/>
      <c r="C3" s="246"/>
      <c r="D3" s="249" cm="1">
        <f t="array" ref="D3">SUMPRODUCT((UPPER(Master!O2:O4423)="PENDING")*1)</f>
        <v>141</v>
      </c>
      <c r="E3" s="249"/>
      <c r="F3" s="249"/>
      <c r="G3" s="241" cm="1">
        <f t="array" ref="G3">SUMPRODUCT((UPPER(Master!O2:O4423)="CLEAR")*1)</f>
        <v>551</v>
      </c>
      <c r="H3" s="241"/>
      <c r="I3" s="241"/>
      <c r="J3" s="244" cm="1">
        <f t="array" ref="J3">SUMPRODUCT((UPPER(Master!O2:O4423)="EXPIRED")*1)</f>
        <v>14</v>
      </c>
      <c r="K3" s="244"/>
      <c r="L3" s="244"/>
      <c r="O3" s="170"/>
      <c r="P3" s="169" t="s">
        <v>10</v>
      </c>
      <c r="Q3" s="169" cm="1">
        <f t="array" ref="Q3">SUMPRODUCT((UPPER(Master!O2:O4423)="CLEAR")*1)</f>
        <v>551</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SUMPRODUCT((UPPER(Master!O2:O4423)="EXPIRED")*1)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SUMPRODUCT((UPPER(Master!G2:G4423)="BRADENTON")*1)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SUMPRODUCT((UPPER(Master!G2:G4423)="ST.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SUMPRODUCT((UPPER(Master!G2:G4423)="PUNTA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SUMPRODUCT((UPPER(Master!G2:G4423)="SARASOTA")*1)</f>
        <v>34</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SUMPRODUCT((UPPER(Master!G2:G4423)="PORT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IF(P14="","",SUMPRODUCT((UPPER(Master!H2:H4423)=UPPER(P14))*1))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IF(P15="","",SUMPRODUCT((UPPER(Master!H2:H4423)=UPPER(P15))*1))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IF(P16="","",SUMPRODUCT((UPPER(Master!H2:H4423)=UPPER(P16))*1))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IF(P17="","",SUMPRODUCT((UPPER(Master!H2:H4423)=UPPER(P17))*1))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IF(P18="","",SUMPRODUCT((UPPER(Master!H2:H4423)=UPPER(P18))*1))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IF(P19="","",SUMPRODUCT((UPPER(Master!H2:H4423)=UPPER(P19))*1))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IF(P20="","",SUMPRODUCT((UPPER(Master!H2:H4423)=UPPER(P20))*1))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IF(P21="","",SUMPRODUCT((UPPER(Master!H2:H4423)=UPPER(P21))*1))</f>
        <v>2</v>
      </c>
      <c r="R21" s="170"/>
      <c r="S21" s="170" t="str">
        <v>NORTH PATH</v>
      </c>
      <c r="T21" s="170"/>
    </row>
    <row r="22" spans="1:20" ht="20.25" customHeight="1">
      <c r="A22" s="254" t="s">
        <v>24</v>
      </c>
      <c r="B22" s="254"/>
      <c r="C22" s="254"/>
      <c r="D22" s="254"/>
      <c r="E22" s="254"/>
      <c r="G22" s="255" t="s">
        <v>25</v>
      </c>
      <c r="H22" s="256"/>
      <c r="O22" s="170"/>
      <c r="P22" s="169" t="str">
        <f>IFERROR(INDEX(_xlfn.ANCHORARRAY(S2),9),"")</f>
        <v>GULFSTREAM</v>
      </c>
      <c r="Q22" s="169" cm="1">
        <f t="array" ref="Q22">IF(P22="","",SUMPRODUCT((UPPER(Master!H2:H4423)=UPPER(P22))*1))</f>
        <v>13</v>
      </c>
      <c r="R22" s="170"/>
      <c r="S22" s="170" t="str">
        <v>Northpath</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IF(P23="","",SUMPRODUCT((UPPER(Master!H2:H4423)=UPPER(P23))*1))</f>
        <v>2</v>
      </c>
      <c r="R23" s="170"/>
      <c r="S23" s="170" t="str">
        <v>PATRIOT</v>
      </c>
      <c r="T23" s="170"/>
    </row>
    <row r="24" spans="1:20" ht="15.75" customHeight="1">
      <c r="A24" s="107" t="str">
        <f>IFERROR(INDEX(_xlfn.ANCHORARRAY(R2),1),"")</f>
        <v>BRADENTON</v>
      </c>
      <c r="B24" s="108" cm="1">
        <f t="array" ref="B24">IF(A24="","",SUMPRODUCT((UPPER(Master!G2:G4423)=A24)*(UPPER(Master!O2:O4423)="PENDING")))</f>
        <v>0</v>
      </c>
      <c r="C24" s="108" cm="1">
        <f t="array" ref="C24">IF(A24="","",SUMPRODUCT((UPPER(Master!G2:G4423)=A24)*(UPPER(Master!O2:O4423)="CLEAR")))</f>
        <v>60</v>
      </c>
      <c r="D24" s="108" cm="1">
        <f t="array" ref="D24">IF(A24="","",SUMPRODUCT((UPPER(Master!G2:G4423)=A24)*(UPPER(Master!O2:O4423)="EXPIRED")))</f>
        <v>0</v>
      </c>
      <c r="E24" s="109">
        <f>IF(A24="","",B24+C24+D24)</f>
        <v>60</v>
      </c>
      <c r="G24" s="114" t="str">
        <f>IFERROR(INDEX(_xlfn.ANCHORARRAY(S2),1),"")</f>
        <v>A1 Broadband</v>
      </c>
      <c r="H24" s="113" cm="1">
        <f t="array" ref="H24">IF(G24="","",SUMPRODUCT((UPPER(Master!H2:H4423)=UPPER(G24))*1))</f>
        <v>10</v>
      </c>
      <c r="O24" s="170"/>
      <c r="P24" s="169"/>
      <c r="Q24" s="169"/>
      <c r="R24" s="170"/>
      <c r="S24" s="170" t="str">
        <v>Power Connect</v>
      </c>
      <c r="T24" s="170"/>
    </row>
    <row r="25" spans="1:20" ht="15.75" customHeight="1">
      <c r="A25" s="110" t="str">
        <f>IFERROR(INDEX(_xlfn.ANCHORARRAY(R2),2),"")</f>
        <v>CLEARWATER</v>
      </c>
      <c r="B25" s="111" cm="1">
        <f t="array" ref="B25">IF(A25="","",SUMPRODUCT((UPPER(Master!G2:G4423)=A25)*(UPPER(Master!O2:O4423)="PENDING")))</f>
        <v>23</v>
      </c>
      <c r="C25" s="111" cm="1">
        <f t="array" ref="C25">IF(A25="","",SUMPRODUCT((UPPER(Master!G2:G4423)=A25)*(UPPER(Master!O2:O4423)="CLEAR")))</f>
        <v>147</v>
      </c>
      <c r="D25" s="111" cm="1">
        <f t="array" ref="D25">IF(A25="","",SUMPRODUCT((UPPER(Master!G2:G4423)=A25)*(UPPER(Master!O2:O4423)="EXPIRED")))</f>
        <v>14</v>
      </c>
      <c r="E25" s="112">
        <f>IF(A25="","",B25+C25+D25)</f>
        <v>184</v>
      </c>
      <c r="G25" s="110" t="str">
        <f>IFERROR(INDEX(_xlfn.ANCHORARRAY(S2),2),"")</f>
        <v>Alpha Omega</v>
      </c>
      <c r="H25" s="112" cm="1">
        <f t="array" ref="H25">IF(G25="","",SUMPRODUCT((UPPER(Master!H2:H4423)=UPPER(G25))*1))</f>
        <v>6</v>
      </c>
      <c r="O25" s="170"/>
      <c r="P25" s="169"/>
      <c r="Q25" s="169"/>
      <c r="R25" s="170"/>
      <c r="S25" s="170" t="str">
        <v>R&amp;F</v>
      </c>
      <c r="T25" s="170"/>
    </row>
    <row r="26" spans="1:20" ht="15.75" customHeight="1">
      <c r="A26" s="107" t="str">
        <f>IFERROR(INDEX(_xlfn.ANCHORARRAY(R2),3),"")</f>
        <v>ELLENTON</v>
      </c>
      <c r="B26" s="108" cm="1">
        <f t="array" ref="B26">IF(A26="","",SUMPRODUCT((UPPER(Master!G2:G4423)=A26)*(UPPER(Master!O2:O4423)="PENDING")))</f>
        <v>0</v>
      </c>
      <c r="C26" s="108" cm="1">
        <f t="array" ref="C26">IF(A26="","",SUMPRODUCT((UPPER(Master!G2:G4423)=A26)*(UPPER(Master!O2:O4423)="CLEAR")))</f>
        <v>30</v>
      </c>
      <c r="D26" s="108" cm="1">
        <f t="array" ref="D26">IF(A26="","",SUMPRODUCT((UPPER(Master!G2:G4423)=A26)*(UPPER(Master!O2:O4423)="EXPIRED")))</f>
        <v>0</v>
      </c>
      <c r="E26" s="109">
        <f>IF(A26="","",B26+C26+D26)</f>
        <v>30</v>
      </c>
      <c r="G26" s="107" t="str">
        <f>IFERROR(INDEX(_xlfn.ANCHORARRAY(S2),3),"")</f>
        <v>APT</v>
      </c>
      <c r="H26" s="109" cm="1">
        <f t="array" ref="H26">IF(G26="","",SUMPRODUCT((UPPER(Master!H2:H4423)=UPPER(G26))*1))</f>
        <v>17</v>
      </c>
      <c r="S26" t="str">
        <v>Restoring Pro</v>
      </c>
    </row>
    <row r="27" spans="1:20" ht="15.75" customHeight="1">
      <c r="A27" s="110" t="str">
        <f>IFERROR(INDEX(_xlfn.ANCHORARRAY(R2),4),"")</f>
        <v>FORT MYERS</v>
      </c>
      <c r="B27" s="111" cm="1">
        <f t="array" ref="B27">IF(A27="","",SUMPRODUCT((UPPER(Master!G2:G4423)=A27)*(UPPER(Master!O2:O4423)="PENDING")))</f>
        <v>34</v>
      </c>
      <c r="C27" s="111" cm="1">
        <f t="array" ref="C27">IF(A27="","",SUMPRODUCT((UPPER(Master!G2:G4423)=A27)*(UPPER(Master!O2:O4423)="CLEAR")))</f>
        <v>117</v>
      </c>
      <c r="D27" s="111" cm="1">
        <f t="array" ref="D27">IF(A27="","",SUMPRODUCT((UPPER(Master!G2:G4423)=A27)*(UPPER(Master!O2:O4423)="EXPIRED")))</f>
        <v>0</v>
      </c>
      <c r="E27" s="112">
        <f>IF(A27="","",B27+C27+D27)</f>
        <v>151</v>
      </c>
      <c r="G27" s="110" t="str">
        <f>IFERROR(INDEX(_xlfn.ANCHORARRAY(S2),4),"")</f>
        <v>APT Communications</v>
      </c>
      <c r="H27" s="112" cm="1">
        <f t="array" ref="H27">IF(G27="","",SUMPRODUCT((UPPER(Master!H2:H4423)=UPPER(G27))*1))</f>
        <v>7</v>
      </c>
    </row>
    <row r="28" spans="1:20" ht="15.75" customHeight="1">
      <c r="A28" s="107" t="str">
        <f>IFERROR(INDEX(_xlfn.ANCHORARRAY(R2),5),"")</f>
        <v>LAKELAND</v>
      </c>
      <c r="B28" s="108" cm="1">
        <f t="array" ref="B28">IF(A28="","",SUMPRODUCT((UPPER(Master!G2:G4423)=A28)*(UPPER(Master!O2:O4423)="PENDING")))</f>
        <v>0</v>
      </c>
      <c r="C28" s="108" cm="1">
        <f t="array" ref="C28">IF(A28="","",SUMPRODUCT((UPPER(Master!G2:G4423)=A28)*(UPPER(Master!O2:O4423)="CLEAR")))</f>
        <v>2</v>
      </c>
      <c r="D28" s="108" cm="1">
        <f t="array" ref="D28">IF(A28="","",SUMPRODUCT((UPPER(Master!G2:G4423)=A28)*(UPPER(Master!O2:O4423)="EXPIRED")))</f>
        <v>0</v>
      </c>
      <c r="E28" s="109">
        <f>IF(A28="","",B28+C28+D28)</f>
        <v>2</v>
      </c>
      <c r="G28" s="107" t="str">
        <f>IFERROR(INDEX(_xlfn.ANCHORARRAY(S2),5),"")</f>
        <v>ASM</v>
      </c>
      <c r="H28" s="109" cm="1">
        <f t="array" ref="H28">IF(G28="","",SUMPRODUCT((UPPER(Master!H2:H4423)=UPPER(G28))*1))</f>
        <v>59</v>
      </c>
    </row>
    <row r="29" spans="1:20" ht="15.75" customHeight="1">
      <c r="A29" s="110" t="str">
        <f>IFERROR(INDEX(_xlfn.ANCHORARRAY(R2),6),"")</f>
        <v>LARGO</v>
      </c>
      <c r="B29" s="111" cm="1">
        <f t="array" ref="B29">IF(A29="","",SUMPRODUCT((UPPER(Master!G2:G4423)=A29)*(UPPER(Master!O2:O4423)="PENDING")))</f>
        <v>0</v>
      </c>
      <c r="C29" s="111" cm="1">
        <f t="array" ref="C29">IF(A29="","",SUMPRODUCT((UPPER(Master!G2:G4423)=A29)*(UPPER(Master!O2:O4423)="CLEAR")))</f>
        <v>84</v>
      </c>
      <c r="D29" s="111" cm="1">
        <f t="array" ref="D29">IF(A29="","",SUMPRODUCT((UPPER(Master!G2:G4423)=A29)*(UPPER(Master!O2:O4423)="EXPIRED")))</f>
        <v>0</v>
      </c>
      <c r="E29" s="112">
        <f>IF(A29="","",B29+C29+D29)</f>
        <v>84</v>
      </c>
      <c r="G29" s="110" t="str">
        <f>IFERROR(INDEX(_xlfn.ANCHORARRAY(S2),6),"")</f>
        <v>BICOM</v>
      </c>
      <c r="H29" s="112" cm="1">
        <f t="array" ref="H29">IF(G29="","",SUMPRODUCT((UPPER(Master!H2:H4423)=UPPER(G29))*1))</f>
        <v>40</v>
      </c>
    </row>
    <row r="30" spans="1:20" ht="15.75" customHeight="1">
      <c r="A30" s="107" t="str">
        <f>IFERROR(INDEX(_xlfn.ANCHORARRAY(R2),7),"")</f>
        <v>MIAMI</v>
      </c>
      <c r="B30" s="108" cm="1">
        <f t="array" ref="B30">IF(A30="","",SUMPRODUCT((UPPER(Master!G2:G4423)=A30)*(UPPER(Master!O2:O4423)="PENDING")))</f>
        <v>17</v>
      </c>
      <c r="C30" s="108" cm="1">
        <f t="array" ref="C30">IF(A30="","",SUMPRODUCT((UPPER(Master!G2:G4423)=A30)*(UPPER(Master!O2:O4423)="CLEAR")))</f>
        <v>63</v>
      </c>
      <c r="D30" s="108" cm="1">
        <f t="array" ref="D30">IF(A30="","",SUMPRODUCT((UPPER(Master!G2:G4423)=A30)*(UPPER(Master!O2:O4423)="EXPIRED")))</f>
        <v>0</v>
      </c>
      <c r="E30" s="109">
        <f>IF(A30="","",B30+C30+D30)</f>
        <v>80</v>
      </c>
      <c r="G30" s="107" t="str">
        <f>IFERROR(INDEX(_xlfn.ANCHORARRAY(S2),7),"")</f>
        <v>BROTHERS</v>
      </c>
      <c r="H30" s="109" cm="1">
        <f t="array" ref="H30">IF(G30="","",SUMPRODUCT((UPPER(Master!H2:H4423)=UPPER(G30))*1))</f>
        <v>24</v>
      </c>
    </row>
    <row r="31" spans="1:20" ht="15.75" customHeight="1">
      <c r="A31" s="110" t="str">
        <f>IFERROR(INDEX(_xlfn.ANCHORARRAY(R2),8),"")</f>
        <v>SARASOTA</v>
      </c>
      <c r="B31" s="111" cm="1">
        <f t="array" ref="B31">IF(A31="","",SUMPRODUCT((UPPER(Master!G2:G4423)=A31)*(UPPER(Master!O2:O4423)="PENDING")))</f>
        <v>25</v>
      </c>
      <c r="C31" s="111" cm="1">
        <f t="array" ref="C31">IF(A31="","",SUMPRODUCT((UPPER(Master!G2:G4423)=A31)*(UPPER(Master!O2:O4423)="CLEAR")))</f>
        <v>9</v>
      </c>
      <c r="D31" s="111" cm="1">
        <f t="array" ref="D31">IF(A31="","",SUMPRODUCT((UPPER(Master!G2:G4423)=A31)*(UPPER(Master!O2:O4423)="EXPIRED")))</f>
        <v>0</v>
      </c>
      <c r="E31" s="112">
        <f>IF(A31="","",B31+C31+D31)</f>
        <v>34</v>
      </c>
      <c r="G31" s="110" t="str">
        <f>IFERROR(INDEX(_xlfn.ANCHORARRAY(S2),8),"")</f>
        <v>Gulf stream</v>
      </c>
      <c r="H31" s="112" cm="1">
        <f t="array" ref="H31">IF(G31="","",SUMPRODUCT((UPPER(Master!H2:H4423)=UPPER(G31))*1))</f>
        <v>2</v>
      </c>
    </row>
    <row r="32" spans="1:20" ht="15.75" customHeight="1">
      <c r="A32" s="107" t="str">
        <f>IFERROR(INDEX(_xlfn.ANCHORARRAY(R2),9),"")</f>
        <v xml:space="preserve">SARASOTA </v>
      </c>
      <c r="B32" s="108" cm="1">
        <f t="array" ref="B32">IF(A32="","",SUMPRODUCT((UPPER(Master!G2:G4423)=A32)*(UPPER(Master!O2:O4423)="PENDING")))</f>
        <v>2</v>
      </c>
      <c r="C32" s="108" cm="1">
        <f t="array" ref="C32">IF(A32="","",SUMPRODUCT((UPPER(Master!G2:G4423)=A32)*(UPPER(Master!O2:O4423)="CLEAR")))</f>
        <v>2</v>
      </c>
      <c r="D32" s="108" cm="1">
        <f t="array" ref="D32">IF(A32="","",SUMPRODUCT((UPPER(Master!G2:G4423)=A32)*(UPPER(Master!O2:O4423)="EXPIRED")))</f>
        <v>0</v>
      </c>
      <c r="E32" s="109">
        <f>IF(A32="","",B32+C32+D32)</f>
        <v>4</v>
      </c>
      <c r="G32" s="107" t="str">
        <f>IFERROR(INDEX(_xlfn.ANCHORARRAY(S2),9),"")</f>
        <v>GULFSTREAM</v>
      </c>
      <c r="H32" s="109" cm="1">
        <f t="array" ref="H32">IF(G32="","",SUMPRODUCT((UPPER(Master!H2:H4423)=UPPER(G32))*1))</f>
        <v>13</v>
      </c>
    </row>
    <row r="33" spans="1:12" ht="15.75" customHeight="1">
      <c r="A33" s="110" t="str">
        <f>IFERROR(INDEX(_xlfn.ANCHORARRAY(R2),10),"")</f>
        <v>SEMINOLE</v>
      </c>
      <c r="B33" s="111" cm="1">
        <f t="array" ref="B33">IF(A33="","",SUMPRODUCT((UPPER(Master!G2:G4423)=A33)*(UPPER(Master!O2:O4423)="PENDING")))</f>
        <v>0</v>
      </c>
      <c r="C33" s="111" cm="1">
        <f t="array" ref="C33">IF(A33="","",SUMPRODUCT((UPPER(Master!G2:G4423)=A33)*(UPPER(Master!O2:O4423)="CLEAR")))</f>
        <v>36</v>
      </c>
      <c r="D33" s="111" cm="1">
        <f t="array" ref="D33">IF(A33="","",SUMPRODUCT((UPPER(Master!G2:G4423)=A33)*(UPPER(Master!O2:O4423)="EXPIRED")))</f>
        <v>0</v>
      </c>
      <c r="E33" s="112">
        <f>IF(A33="","",B33+C33+D33)</f>
        <v>36</v>
      </c>
      <c r="G33" s="110" t="str">
        <f>IFERROR(INDEX(_xlfn.ANCHORARRAY(S2),10),"")</f>
        <v>HAS</v>
      </c>
      <c r="H33" s="112" cm="1">
        <f t="array" ref="H33">IF(G33="","",SUMPRODUCT((UPPER(Master!H2:H4423)=UPPER(G33))*1))</f>
        <v>2</v>
      </c>
    </row>
    <row r="34" spans="1:12" ht="15.75" customHeight="1">
      <c r="A34" s="107" t="str">
        <f>IFERROR(INDEX(_xlfn.ANCHORARRAY(R2),11),"")</f>
        <v>ST LUCIE</v>
      </c>
      <c r="B34" s="108" cm="1">
        <f t="array" ref="B34">IF(A34="","",SUMPRODUCT((UPPER(Master!G2:G4423)=A34)*(UPPER(Master!O2:O4423)="PENDING")))</f>
        <v>40</v>
      </c>
      <c r="C34" s="108" cm="1">
        <f t="array" ref="C34">IF(A34="","",SUMPRODUCT((UPPER(Master!G2:G4423)=A34)*(UPPER(Master!O2:O4423)="CLEAR")))</f>
        <v>0</v>
      </c>
      <c r="D34" s="108" cm="1">
        <f t="array" ref="D34">IF(A34="","",SUMPRODUCT((UPPER(Master!G2:G4423)=A34)*(UPPER(Master!O2:O4423)="EXPIRED")))</f>
        <v>0</v>
      </c>
      <c r="E34" s="109">
        <f>IF(A34="","",B34+C34+D34)</f>
        <v>40</v>
      </c>
      <c r="G34" s="107" t="str">
        <f>IFERROR(INDEX(_xlfn.ANCHORARRAY(S2),11),"")</f>
        <v>HD Cable</v>
      </c>
      <c r="H34" s="109" cm="1">
        <f t="array" ref="H34">IF(G34="","",SUMPRODUCT((UPPER(Master!H2:H4423)=UPPER(G34))*1))</f>
        <v>6</v>
      </c>
    </row>
    <row r="35" spans="1:12" ht="15.75" customHeight="1">
      <c r="A35" s="110" t="str">
        <f>IFERROR(INDEX(_xlfn.ANCHORARRAY(R2),12),"")</f>
        <v>ST. PETERSBURG</v>
      </c>
      <c r="B35" s="111" cm="1">
        <f t="array" ref="B35">IF(A35="","",SUMPRODUCT((UPPER(Master!G2:G4423)=A35)*(UPPER(Master!O2:O4423)="PENDING")))</f>
        <v>0</v>
      </c>
      <c r="C35" s="111" cm="1">
        <f t="array" ref="C35">IF(A35="","",SUMPRODUCT((UPPER(Master!G2:G4423)=A35)*(UPPER(Master!O2:O4423)="CLEAR")))</f>
        <v>1</v>
      </c>
      <c r="D35" s="111" cm="1">
        <f t="array" ref="D35">IF(A35="","",SUMPRODUCT((UPPER(Master!G2:G4423)=A35)*(UPPER(Master!O2:O4423)="EXPIRED")))</f>
        <v>0</v>
      </c>
      <c r="E35" s="112">
        <f>IF(A35="","",B35+C35+D35)</f>
        <v>1</v>
      </c>
      <c r="G35" s="110" t="str">
        <f>IFERROR(INDEX(_xlfn.ANCHORARRAY(S2),12),"")</f>
        <v>HNC</v>
      </c>
      <c r="H35" s="112" cm="1">
        <f t="array" ref="H35">IF(G35="","",SUMPRODUCT((UPPER(Master!H2:H4423)=UPPER(G35))*1))</f>
        <v>26</v>
      </c>
    </row>
    <row r="36" spans="1:12" ht="15.75" customHeight="1">
      <c r="A36" s="107" t="str">
        <f>IFERROR(INDEX(_xlfn.ANCHORARRAY(R2),13),"")</f>
        <v/>
      </c>
      <c r="B36" s="108" t="str" cm="1">
        <f t="array" ref="B36">IF(A36="","",SUMPRODUCT((UPPER(Master!G2:G4423)=A36)*(UPPER(Master!O2:O4423)="PENDING")))</f>
        <v/>
      </c>
      <c r="C36" s="108" t="str" cm="1">
        <f t="array" ref="C36">IF(A36="","",SUMPRODUCT((UPPER(Master!G2:G4423)=A36)*(UPPER(Master!O2:O4423)="CLEAR")))</f>
        <v/>
      </c>
      <c r="D36" s="108" t="str" cm="1">
        <f t="array" ref="D36">IF(A36="","",SUMPRODUCT((UPPER(Master!G2:G4423)=A36)*(UPPER(Master!O2:O4423)="EXPIRED")))</f>
        <v/>
      </c>
      <c r="E36" s="109" t="str">
        <f>IF(A36="","",B36+C36+D36)</f>
        <v/>
      </c>
      <c r="G36" s="114" t="str">
        <f>IFERROR(INDEX(_xlfn.ANCHORARRAY(S2),13),"")</f>
        <v>LEGANT</v>
      </c>
      <c r="H36" s="113" cm="1">
        <f t="array" ref="H36">IF(G36="","",SUMPRODUCT((UPPER(Master!H2:H4423)=UPPER(G36))*1))</f>
        <v>1</v>
      </c>
    </row>
    <row r="37" spans="1:12" ht="15.75" customHeight="1">
      <c r="A37" s="110" t="str">
        <f>IFERROR(INDEX(_xlfn.ANCHORARRAY(R2),14),"")</f>
        <v/>
      </c>
      <c r="B37" s="111" t="str" cm="1">
        <f t="array" ref="B37">IF(A37="","",SUMPRODUCT((UPPER(Master!G2:G4423)=A37)*(UPPER(Master!O2:O4423)="PENDING")))</f>
        <v/>
      </c>
      <c r="C37" s="111" t="str" cm="1">
        <f t="array" ref="C37">IF(A37="","",SUMPRODUCT((UPPER(Master!G2:G4423)=A37)*(UPPER(Master!O2:O4423)="CLEAR")))</f>
        <v/>
      </c>
      <c r="D37" s="111" t="str" cm="1">
        <f t="array" ref="D37">IF(A37="","",SUMPRODUCT((UPPER(Master!G2:G4423)=A37)*(UPPER(Master!O2:O4423)="EXPIRED")))</f>
        <v/>
      </c>
      <c r="E37" s="112" t="str">
        <f>IF(A37="","",B37+C37+D37)</f>
        <v/>
      </c>
      <c r="F37" s="95"/>
      <c r="G37" s="110" t="str">
        <f>IFERROR(INDEX(_xlfn.ANCHORARRAY(S2),14),"")</f>
        <v>Lightspeed</v>
      </c>
      <c r="H37" s="112" cm="1">
        <f t="array" ref="H37">IF(G37="","",SUMPRODUCT((UPPER(Master!H2:H4423)=UPPER(G37))*1))</f>
        <v>8</v>
      </c>
      <c r="I37" s="95"/>
      <c r="J37" s="95"/>
      <c r="K37" s="95"/>
      <c r="L37" s="95"/>
    </row>
    <row r="38" spans="1:12" ht="15.75" customHeight="1">
      <c r="A38" s="115" t="str">
        <f>IFERROR(INDEX(_xlfn.ANCHORARRAY(R2),15),"")</f>
        <v/>
      </c>
      <c r="B38" s="93" t="str" cm="1">
        <f t="array" ref="B38">IF(A38="","",SUMPRODUCT((UPPER(Master!G2:G4423)=A38)*(UPPER(Master!O2:O4423)="PENDING")))</f>
        <v/>
      </c>
      <c r="C38" s="93" t="str" cm="1">
        <f t="array" ref="C38">IF(A38="","",SUMPRODUCT((UPPER(Master!G2:G4423)=A38)*(UPPER(Master!O2:O4423)="CLEAR")))</f>
        <v/>
      </c>
      <c r="D38" s="93" t="str" cm="1">
        <f t="array" ref="D38">IF(A38="","",SUMPRODUCT((UPPER(Master!G2:G4423)=A38)*(UPPER(Master!O2:O4423)="EXPIRED")))</f>
        <v/>
      </c>
      <c r="E38" s="103" t="str">
        <f>IF(A38="","",B38+C38+D38)</f>
        <v/>
      </c>
      <c r="F38" s="95"/>
      <c r="G38" s="114" t="str">
        <f>IFERROR(INDEX(_xlfn.ANCHORARRAY(S2),15),"")</f>
        <v>LOPEZ</v>
      </c>
      <c r="H38" s="113" cm="1">
        <f t="array" ref="H38">IF(G38="","",SUMPRODUCT((UPPER(Master!H2:H4423)=UPPER(G38))*1))</f>
        <v>67</v>
      </c>
      <c r="I38" s="95"/>
      <c r="J38" s="95"/>
      <c r="K38" s="95"/>
      <c r="L38" s="95"/>
    </row>
    <row r="39" spans="1:12" ht="15.75" customHeight="1">
      <c r="A39" s="116" t="s">
        <v>28</v>
      </c>
      <c r="B39" s="91">
        <f>SUMIF(A24:A38,"&lt;&gt;",B24:B38)</f>
        <v>141</v>
      </c>
      <c r="C39" s="91">
        <f>SUMIF(A24:A38,"&lt;&gt;",C24:C38)</f>
        <v>551</v>
      </c>
      <c r="D39" s="91">
        <f>SUMIF(A24:A38,"&lt;&gt;",D24:D38)</f>
        <v>14</v>
      </c>
      <c r="E39" s="92">
        <f>SUMIF(A24:A38,"&lt;&gt;",E24:E38)</f>
        <v>706</v>
      </c>
      <c r="G39" s="110" t="str">
        <f>IFERROR(INDEX(_xlfn.ANCHORARRAY(S2),16),"")</f>
        <v>LSCG</v>
      </c>
      <c r="H39" s="112" cm="1">
        <f t="array" ref="H39">IF(G39="","",SUMPRODUCT((UPPER(Master!H2:H4423)=UPPER(G39))*1))</f>
        <v>204</v>
      </c>
    </row>
    <row r="40" spans="1:12">
      <c r="G40" s="114" t="str">
        <f>IFERROR(INDEX(_xlfn.ANCHORARRAY(S2),17),"")</f>
        <v>MID FL</v>
      </c>
      <c r="H40" s="113" cm="1">
        <f t="array" ref="H40">IF(G40="","",SUMPRODUCT((UPPER(Master!H2:H4423)=UPPER(G40))*1))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141</v>
      </c>
      <c r="D43" t="s">
        <v>16</v>
      </c>
      <c r="E43">
        <f>E27</f>
        <v>151</v>
      </c>
      <c r="G43" t="s">
        <v>29</v>
      </c>
      <c r="H43">
        <f>H27</f>
        <v>7</v>
      </c>
    </row>
    <row r="44" spans="1:12" hidden="1">
      <c r="A44" t="s">
        <v>10</v>
      </c>
      <c r="B44">
        <f>G3</f>
        <v>551</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34</v>
      </c>
    </row>
    <row r="48" spans="1:12" hidden="1">
      <c r="A48">
        <f>COUNTA(Master!C2:C4423)</f>
        <v>706</v>
      </c>
      <c r="B48">
        <f>B54+B55</f>
        <v>1935</v>
      </c>
      <c r="C48">
        <f>B55</f>
        <v>1653</v>
      </c>
      <c r="D48">
        <f>B56</f>
        <v>42</v>
      </c>
    </row>
    <row r="49" spans="1:2" hidden="1"/>
    <row r="50" spans="1:2" hidden="1"/>
    <row r="51" spans="1:2" hidden="1"/>
    <row r="52" spans="1:2" hidden="1">
      <c r="A52" t="s">
        <v>32</v>
      </c>
    </row>
    <row r="53" spans="1:2" hidden="1">
      <c r="A53" t="s">
        <v>1</v>
      </c>
      <c r="B53" t="s">
        <v>2</v>
      </c>
    </row>
    <row r="54" spans="1:2" hidden="1">
      <c r="A54" t="s">
        <v>9</v>
      </c>
      <c r="B54">
        <f>COUNTIF(Master!O2:O4423,"Pending")+COUNTIF(Master!O2:O4423,"PENDING")</f>
        <v>282</v>
      </c>
    </row>
    <row r="55" spans="1:2" hidden="1">
      <c r="A55" t="s">
        <v>10</v>
      </c>
      <c r="B55">
        <f>COUNTIF(Master!O2:O4423,"Clear")+COUNTIF(Master!O2:O4423,"clear")+COUNTIF(Master!O2:O4423,"CLEAR")</f>
        <v>1653</v>
      </c>
    </row>
    <row r="56" spans="1:2" hidden="1">
      <c r="A56" t="s">
        <v>15</v>
      </c>
      <c r="B56">
        <f>COUNTIF(Master!O2:O4423,"Expired")+COUNTIF(Master!O2:O4423,"expired")+COUNTIF(Master!O2:O4423,"EXPIRED")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COUNTIF(Master!G2:G4423,"BRADENTON")</f>
        <v>60</v>
      </c>
    </row>
    <row r="65" spans="1:2" hidden="1">
      <c r="A65" t="s">
        <v>18</v>
      </c>
      <c r="B65">
        <f>COUNTIF(Master!G2:G4423,"ST. PETERSBURG")</f>
        <v>1</v>
      </c>
    </row>
    <row r="66" spans="1:2" hidden="1">
      <c r="A66" t="s">
        <v>19</v>
      </c>
      <c r="B66">
        <f>COUNTIF(Master!G2:G4423,"PUNTA GORDA")</f>
        <v>0</v>
      </c>
    </row>
    <row r="67" spans="1:2" hidden="1">
      <c r="A67" t="s">
        <v>34</v>
      </c>
      <c r="B67">
        <f>COUNTIF(Master!G2:G4423,"Sarasota")</f>
        <v>34</v>
      </c>
    </row>
    <row r="68" spans="1:2" hidden="1">
      <c r="A68" t="s">
        <v>35</v>
      </c>
      <c r="B68">
        <f>COUNTIF(Master!G2:G4423,"Port Charlotte")</f>
        <v>0</v>
      </c>
    </row>
    <row r="69" spans="1:2" hidden="1">
      <c r="A69" t="s">
        <v>36</v>
      </c>
      <c r="B69">
        <f>COUNTIF(Master!G2:G4423,"ST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COUNTIF(Master!H2:H4423,"GN Systems")</f>
        <v>0</v>
      </c>
    </row>
    <row r="77" spans="1:2" hidden="1">
      <c r="A77" t="s">
        <v>22</v>
      </c>
      <c r="B77">
        <f>COUNTIF(Master!H2:H4423,"Lightspeed")</f>
        <v>8</v>
      </c>
    </row>
    <row r="78" spans="1:2" hidden="1">
      <c r="A78" t="s">
        <v>38</v>
      </c>
      <c r="B78">
        <f>COUNTIF(Master!H2:H4423,"LIGHTSPEED")</f>
        <v>8</v>
      </c>
    </row>
    <row r="79" spans="1:2" hidden="1">
      <c r="A79" t="s">
        <v>30</v>
      </c>
      <c r="B79">
        <f>COUNTIF(Master!H2:H4423,"LSCG")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07"/>
  <sheetViews>
    <sheetView tabSelected="1" zoomScale="90" zoomScaleNormal="90" workbookViewId="0">
      <pane xSplit="1" topLeftCell="B676" activePane="topRight" state="frozen"/>
      <selection pane="topRight" activeCell="A690" sqref="A690:A7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10</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10</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10</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t="s">
        <v>222</v>
      </c>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t="s">
        <v>222</v>
      </c>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t="s">
        <v>222</v>
      </c>
      <c r="P690" s="45"/>
      <c r="Q690" s="185"/>
      <c r="R690" s="186"/>
    </row>
    <row r="691" spans="1:18" ht="15" customHeight="1">
      <c r="A691" s="183" t="s">
        <v>281</v>
      </c>
      <c r="B691" s="183"/>
      <c r="C691" s="217">
        <v>230609748</v>
      </c>
      <c r="D691" s="252"/>
      <c r="E691" s="251"/>
      <c r="F691" s="184" t="s">
        <v>121</v>
      </c>
      <c r="G691" s="45" t="s">
        <v>34</v>
      </c>
      <c r="H691" s="45" t="s">
        <v>282</v>
      </c>
      <c r="I691" s="55">
        <v>46251</v>
      </c>
      <c r="J691" s="59">
        <v>46253</v>
      </c>
      <c r="K691" s="59">
        <v>46281</v>
      </c>
      <c r="L691" s="45"/>
      <c r="M691" s="45"/>
      <c r="N691" s="45"/>
      <c r="O691" s="45" t="s">
        <v>222</v>
      </c>
      <c r="P691" s="45"/>
      <c r="Q691" s="185"/>
      <c r="R691" s="186"/>
    </row>
    <row r="692" spans="1:18" ht="15" customHeight="1">
      <c r="A692" s="183" t="s">
        <v>281</v>
      </c>
      <c r="B692" s="183"/>
      <c r="C692" s="217">
        <v>230609769</v>
      </c>
      <c r="D692" s="168"/>
      <c r="F692" s="184" t="s">
        <v>121</v>
      </c>
      <c r="G692" s="45" t="s">
        <v>34</v>
      </c>
      <c r="H692" s="45" t="s">
        <v>282</v>
      </c>
      <c r="I692" s="55">
        <v>46251</v>
      </c>
      <c r="J692" s="59">
        <v>46253</v>
      </c>
      <c r="K692" s="59">
        <v>46281</v>
      </c>
      <c r="O692" s="45" t="s">
        <v>222</v>
      </c>
      <c r="R692" s="177"/>
    </row>
    <row r="693" spans="1:18" ht="15" customHeight="1">
      <c r="A693" s="183" t="s">
        <v>281</v>
      </c>
      <c r="B693" s="183"/>
      <c r="C693" s="217">
        <v>230609804</v>
      </c>
      <c r="D693" s="168"/>
      <c r="F693" s="184" t="s">
        <v>121</v>
      </c>
      <c r="G693" s="45" t="s">
        <v>34</v>
      </c>
      <c r="H693" s="45" t="s">
        <v>282</v>
      </c>
      <c r="I693" s="55">
        <v>46251</v>
      </c>
      <c r="J693" s="59">
        <v>46253</v>
      </c>
      <c r="K693" s="59">
        <v>46281</v>
      </c>
      <c r="O693" s="45" t="s">
        <v>222</v>
      </c>
      <c r="R693" s="177"/>
    </row>
    <row r="694" spans="1:18" ht="15" customHeight="1">
      <c r="A694" s="183" t="s">
        <v>281</v>
      </c>
      <c r="B694" s="183"/>
      <c r="C694" s="217">
        <v>230609828</v>
      </c>
      <c r="D694" s="168"/>
      <c r="F694" s="184" t="s">
        <v>121</v>
      </c>
      <c r="G694" s="45" t="s">
        <v>34</v>
      </c>
      <c r="H694" s="45" t="s">
        <v>282</v>
      </c>
      <c r="I694" s="55">
        <v>46251</v>
      </c>
      <c r="J694" s="59">
        <v>46253</v>
      </c>
      <c r="K694" s="59">
        <v>46281</v>
      </c>
      <c r="O694" s="45" t="s">
        <v>222</v>
      </c>
      <c r="R694" s="177"/>
    </row>
    <row r="695" spans="1:18" ht="15" customHeight="1">
      <c r="A695" s="173" t="s">
        <v>281</v>
      </c>
      <c r="B695" s="183"/>
      <c r="C695" s="217">
        <v>230609851</v>
      </c>
      <c r="D695" s="168"/>
      <c r="F695" s="184" t="s">
        <v>121</v>
      </c>
      <c r="G695" s="45" t="s">
        <v>34</v>
      </c>
      <c r="H695" s="45" t="s">
        <v>282</v>
      </c>
      <c r="I695" s="55">
        <v>46251</v>
      </c>
      <c r="J695" s="59">
        <v>46253</v>
      </c>
      <c r="K695" s="59">
        <v>46281</v>
      </c>
      <c r="O695" s="45" t="s">
        <v>222</v>
      </c>
      <c r="R695" s="177"/>
    </row>
    <row r="696" spans="1:18" ht="15" customHeight="1">
      <c r="A696" s="173" t="s">
        <v>281</v>
      </c>
      <c r="B696" s="183"/>
      <c r="C696" s="195">
        <v>230609865</v>
      </c>
      <c r="D696" s="168"/>
      <c r="F696" s="184" t="s">
        <v>121</v>
      </c>
      <c r="G696" s="45" t="s">
        <v>34</v>
      </c>
      <c r="H696" s="45" t="s">
        <v>282</v>
      </c>
      <c r="I696" s="55">
        <v>46251</v>
      </c>
      <c r="J696" s="59">
        <v>46253</v>
      </c>
      <c r="K696" s="59">
        <v>46281</v>
      </c>
      <c r="O696" s="45" t="s">
        <v>222</v>
      </c>
      <c r="R696" s="177"/>
    </row>
    <row r="697" spans="1:18" ht="15" customHeight="1">
      <c r="A697" s="173" t="s">
        <v>283</v>
      </c>
      <c r="B697" s="183"/>
      <c r="C697" s="195">
        <v>230609624</v>
      </c>
      <c r="D697" s="168"/>
      <c r="F697" s="184" t="s">
        <v>121</v>
      </c>
      <c r="G697" s="45" t="s">
        <v>34</v>
      </c>
      <c r="H697" s="45" t="s">
        <v>282</v>
      </c>
      <c r="I697" s="55">
        <v>46251</v>
      </c>
      <c r="J697" s="59">
        <v>46253</v>
      </c>
      <c r="K697" s="59">
        <v>46281</v>
      </c>
      <c r="O697" s="45" t="s">
        <v>222</v>
      </c>
      <c r="R697" s="177"/>
    </row>
    <row r="698" spans="1:18" ht="15" customHeight="1">
      <c r="A698" s="173" t="s">
        <v>283</v>
      </c>
      <c r="B698" s="183"/>
      <c r="C698" s="197">
        <v>230609645</v>
      </c>
      <c r="D698" s="168"/>
      <c r="F698" s="184" t="s">
        <v>121</v>
      </c>
      <c r="G698" s="45" t="s">
        <v>34</v>
      </c>
      <c r="H698" s="45" t="s">
        <v>282</v>
      </c>
      <c r="I698" s="55">
        <v>46251</v>
      </c>
      <c r="J698" s="59">
        <v>46253</v>
      </c>
      <c r="K698" s="59">
        <v>46281</v>
      </c>
      <c r="O698" s="45" t="s">
        <v>222</v>
      </c>
      <c r="R698" s="177"/>
    </row>
    <row r="699" spans="1:18" ht="15" customHeight="1">
      <c r="A699" s="173" t="s">
        <v>283</v>
      </c>
      <c r="B699" s="183"/>
      <c r="C699" s="197">
        <v>230609653</v>
      </c>
      <c r="D699" s="168"/>
      <c r="F699" s="184" t="s">
        <v>121</v>
      </c>
      <c r="G699" s="45" t="s">
        <v>34</v>
      </c>
      <c r="H699" s="45" t="s">
        <v>282</v>
      </c>
      <c r="I699" s="55">
        <v>46251</v>
      </c>
      <c r="J699" s="59">
        <v>46253</v>
      </c>
      <c r="K699" s="59">
        <v>46281</v>
      </c>
      <c r="O699" s="45" t="s">
        <v>222</v>
      </c>
      <c r="R699" s="177"/>
    </row>
    <row r="700" spans="1:18" ht="15" customHeight="1">
      <c r="A700" s="183" t="s">
        <v>283</v>
      </c>
      <c r="B700" s="183"/>
      <c r="C700" s="217">
        <v>230609665</v>
      </c>
      <c r="D700" s="168"/>
      <c r="F700" s="184" t="s">
        <v>121</v>
      </c>
      <c r="G700" s="45" t="s">
        <v>34</v>
      </c>
      <c r="H700" s="45" t="s">
        <v>282</v>
      </c>
      <c r="I700" s="55">
        <v>46251</v>
      </c>
      <c r="J700" s="59">
        <v>46253</v>
      </c>
      <c r="K700" s="59">
        <v>46281</v>
      </c>
      <c r="O700" s="45" t="s">
        <v>222</v>
      </c>
      <c r="R700" s="177"/>
    </row>
    <row r="701" spans="1:18" ht="15" customHeight="1">
      <c r="A701" s="183" t="s">
        <v>283</v>
      </c>
      <c r="B701" s="183"/>
      <c r="C701" s="217">
        <v>230609689</v>
      </c>
      <c r="D701" s="168"/>
      <c r="F701" s="184" t="s">
        <v>121</v>
      </c>
      <c r="G701" s="45" t="s">
        <v>34</v>
      </c>
      <c r="H701" s="45" t="s">
        <v>282</v>
      </c>
      <c r="I701" s="55">
        <v>46251</v>
      </c>
      <c r="J701" s="59">
        <v>46253</v>
      </c>
      <c r="K701" s="59">
        <v>46281</v>
      </c>
      <c r="O701" s="45" t="s">
        <v>222</v>
      </c>
      <c r="R701" s="177"/>
    </row>
    <row r="702" spans="1:18" ht="15" customHeight="1">
      <c r="A702" s="183" t="s">
        <v>284</v>
      </c>
      <c r="B702" s="183"/>
      <c r="C702" s="217">
        <v>229610884</v>
      </c>
      <c r="D702" s="203"/>
      <c r="E702" s="184"/>
      <c r="F702" s="184" t="s">
        <v>121</v>
      </c>
      <c r="G702" s="45" t="s">
        <v>34</v>
      </c>
      <c r="H702" s="45" t="s">
        <v>282</v>
      </c>
      <c r="I702" s="55">
        <v>46251</v>
      </c>
      <c r="J702" s="59">
        <v>46253</v>
      </c>
      <c r="K702" s="59">
        <v>46281</v>
      </c>
      <c r="L702" s="45"/>
      <c r="M702" s="45"/>
      <c r="N702" s="45"/>
      <c r="O702" s="45" t="s">
        <v>222</v>
      </c>
      <c r="P702" s="45"/>
      <c r="Q702" s="185"/>
      <c r="R702" s="186"/>
    </row>
    <row r="703" spans="1:18" ht="15" customHeight="1">
      <c r="A703" s="183" t="s">
        <v>284</v>
      </c>
      <c r="B703" s="183"/>
      <c r="C703" s="217">
        <v>231607534</v>
      </c>
      <c r="D703" s="168"/>
      <c r="F703" s="184" t="s">
        <v>121</v>
      </c>
      <c r="G703" s="45" t="s">
        <v>34</v>
      </c>
      <c r="H703" s="45" t="s">
        <v>282</v>
      </c>
      <c r="I703" s="55">
        <v>46251</v>
      </c>
      <c r="J703" s="59">
        <v>46253</v>
      </c>
      <c r="K703" s="59">
        <v>46281</v>
      </c>
      <c r="O703" s="45" t="s">
        <v>222</v>
      </c>
      <c r="R703" s="177"/>
    </row>
    <row r="704" spans="1:18" ht="15" customHeight="1">
      <c r="A704" s="253" t="s">
        <v>284</v>
      </c>
      <c r="B704" s="183"/>
      <c r="C704" s="217">
        <v>229610851</v>
      </c>
      <c r="D704" s="168"/>
      <c r="F704" s="184" t="s">
        <v>121</v>
      </c>
      <c r="G704" s="45" t="s">
        <v>34</v>
      </c>
      <c r="H704" s="45" t="s">
        <v>282</v>
      </c>
      <c r="I704" s="55">
        <v>46251</v>
      </c>
      <c r="J704" s="59">
        <v>46253</v>
      </c>
      <c r="K704" s="59">
        <v>46281</v>
      </c>
      <c r="O704" s="45" t="s">
        <v>222</v>
      </c>
      <c r="R704" s="177"/>
    </row>
    <row r="705" spans="1:18" ht="15" customHeight="1">
      <c r="A705" s="253" t="s">
        <v>284</v>
      </c>
      <c r="B705" s="183"/>
      <c r="C705" s="195">
        <v>231607511</v>
      </c>
      <c r="D705" s="168"/>
      <c r="F705" s="184" t="s">
        <v>121</v>
      </c>
      <c r="G705" s="45" t="s">
        <v>34</v>
      </c>
      <c r="H705" s="45" t="s">
        <v>282</v>
      </c>
      <c r="I705" s="55">
        <v>46251</v>
      </c>
      <c r="J705" s="59">
        <v>46253</v>
      </c>
      <c r="K705" s="59">
        <v>46281</v>
      </c>
      <c r="O705" s="45" t="s">
        <v>222</v>
      </c>
      <c r="R705" s="177"/>
    </row>
    <row r="706" spans="1:18" ht="15" customHeight="1">
      <c r="A706" s="253" t="s">
        <v>284</v>
      </c>
      <c r="B706" s="183"/>
      <c r="C706" s="195">
        <v>229610829</v>
      </c>
      <c r="D706" s="168"/>
      <c r="F706" s="184" t="s">
        <v>121</v>
      </c>
      <c r="G706" s="45" t="s">
        <v>34</v>
      </c>
      <c r="H706" s="45" t="s">
        <v>282</v>
      </c>
      <c r="I706" s="55">
        <v>46251</v>
      </c>
      <c r="J706" s="59">
        <v>46253</v>
      </c>
      <c r="K706" s="59">
        <v>46281</v>
      </c>
      <c r="O706" s="45" t="s">
        <v>222</v>
      </c>
      <c r="R706" s="177"/>
    </row>
    <row r="707" spans="1:18" ht="15" customHeight="1">
      <c r="A707" s="253" t="s">
        <v>284</v>
      </c>
      <c r="B707" s="183"/>
      <c r="C707" s="197">
        <v>229610822</v>
      </c>
      <c r="D707" s="168"/>
      <c r="F707" s="184" t="s">
        <v>121</v>
      </c>
      <c r="G707" s="45" t="s">
        <v>34</v>
      </c>
      <c r="H707" s="45" t="s">
        <v>282</v>
      </c>
      <c r="I707" s="55">
        <v>46251</v>
      </c>
      <c r="J707" s="59">
        <v>46253</v>
      </c>
      <c r="K707" s="59">
        <v>46281</v>
      </c>
      <c r="O707" s="45" t="s">
        <v>222</v>
      </c>
      <c r="R70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161</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161</v>
      </c>
      <c r="F276" s="10" t="s">
        <v>434</v>
      </c>
    </row>
    <row r="277" spans="1:6" ht="39.75" customHeight="1">
      <c r="A277" s="10" t="s">
        <v>433</v>
      </c>
      <c r="B277" s="10">
        <v>36501547</v>
      </c>
      <c r="C277" s="10" t="s">
        <v>36</v>
      </c>
      <c r="D277" s="9">
        <v>45692</v>
      </c>
      <c r="E277" s="10" t="s">
        <v>161</v>
      </c>
      <c r="F277" s="10" t="s">
        <v>435</v>
      </c>
    </row>
    <row r="278" spans="1:6" ht="39.75" customHeight="1">
      <c r="A278" s="10" t="s">
        <v>433</v>
      </c>
      <c r="B278" s="10">
        <v>36501450</v>
      </c>
      <c r="C278" s="10" t="s">
        <v>36</v>
      </c>
      <c r="D278" s="9">
        <v>45692</v>
      </c>
      <c r="E278" s="10" t="s">
        <v>161</v>
      </c>
      <c r="F278" s="10" t="s">
        <v>436</v>
      </c>
    </row>
    <row r="279" spans="1:6" ht="39.75" customHeight="1">
      <c r="A279" s="10" t="s">
        <v>433</v>
      </c>
      <c r="B279" s="10">
        <v>36501361</v>
      </c>
      <c r="C279" s="10" t="s">
        <v>36</v>
      </c>
      <c r="D279" s="9">
        <v>45692</v>
      </c>
      <c r="E279" s="10" t="s">
        <v>161</v>
      </c>
      <c r="F279" s="10" t="s">
        <v>437</v>
      </c>
    </row>
    <row r="280" spans="1:6" ht="39.75" customHeight="1">
      <c r="A280" s="10" t="s">
        <v>433</v>
      </c>
      <c r="B280" s="10">
        <v>35509604</v>
      </c>
      <c r="C280" s="10" t="s">
        <v>36</v>
      </c>
      <c r="D280" s="9">
        <v>45692</v>
      </c>
      <c r="E280" s="10" t="s">
        <v>161</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161</v>
      </c>
      <c r="F344" s="10" t="s">
        <v>460</v>
      </c>
    </row>
    <row r="345" spans="1:6" ht="39.75" customHeight="1">
      <c r="A345" s="10" t="s">
        <v>459</v>
      </c>
      <c r="B345" s="10">
        <v>41510026</v>
      </c>
      <c r="C345" s="10" t="s">
        <v>36</v>
      </c>
      <c r="D345" s="9">
        <v>45694</v>
      </c>
      <c r="E345" s="10" t="s">
        <v>161</v>
      </c>
      <c r="F345" s="10" t="s">
        <v>461</v>
      </c>
    </row>
    <row r="346" spans="1:6" ht="39.75" customHeight="1">
      <c r="A346" s="10" t="s">
        <v>459</v>
      </c>
      <c r="B346" s="10">
        <v>41510021</v>
      </c>
      <c r="C346" s="10" t="s">
        <v>36</v>
      </c>
      <c r="D346" s="9">
        <v>45694</v>
      </c>
      <c r="E346" s="10" t="s">
        <v>161</v>
      </c>
      <c r="F346" s="10" t="s">
        <v>462</v>
      </c>
    </row>
    <row r="347" spans="1:6" ht="39.75" customHeight="1">
      <c r="A347" s="10" t="s">
        <v>459</v>
      </c>
      <c r="B347" s="10">
        <v>41510011</v>
      </c>
      <c r="C347" s="10" t="s">
        <v>36</v>
      </c>
      <c r="D347" s="9">
        <v>45694</v>
      </c>
      <c r="E347" s="10" t="s">
        <v>161</v>
      </c>
      <c r="F347" s="10" t="s">
        <v>463</v>
      </c>
    </row>
    <row r="348" spans="1:6" ht="39.75" customHeight="1">
      <c r="A348" s="10" t="s">
        <v>459</v>
      </c>
      <c r="B348" s="10">
        <v>41510009</v>
      </c>
      <c r="C348" s="10" t="s">
        <v>36</v>
      </c>
      <c r="D348" s="9">
        <v>45694</v>
      </c>
      <c r="E348" s="10" t="s">
        <v>161</v>
      </c>
      <c r="F348" s="10" t="s">
        <v>464</v>
      </c>
    </row>
    <row r="349" spans="1:6" ht="39.75" customHeight="1">
      <c r="A349" s="10" t="s">
        <v>459</v>
      </c>
      <c r="B349" s="10">
        <v>41509998</v>
      </c>
      <c r="C349" s="10" t="s">
        <v>36</v>
      </c>
      <c r="D349" s="9">
        <v>45694</v>
      </c>
      <c r="E349" s="10" t="s">
        <v>161</v>
      </c>
      <c r="F349" s="10" t="s">
        <v>463</v>
      </c>
    </row>
    <row r="350" spans="1:6" ht="39.75" customHeight="1">
      <c r="A350" s="10" t="s">
        <v>459</v>
      </c>
      <c r="B350" s="10">
        <v>41509965</v>
      </c>
      <c r="C350" s="10" t="s">
        <v>36</v>
      </c>
      <c r="D350" s="9">
        <v>45694</v>
      </c>
      <c r="E350" s="10" t="s">
        <v>161</v>
      </c>
      <c r="F350" s="10" t="s">
        <v>465</v>
      </c>
    </row>
    <row r="351" spans="1:6" ht="39.75" customHeight="1">
      <c r="A351" s="10" t="s">
        <v>459</v>
      </c>
      <c r="B351" s="10">
        <v>41509943</v>
      </c>
      <c r="C351" s="10" t="s">
        <v>36</v>
      </c>
      <c r="D351" s="9">
        <v>45694</v>
      </c>
      <c r="E351" s="10" t="s">
        <v>161</v>
      </c>
      <c r="F351" s="10" t="s">
        <v>466</v>
      </c>
    </row>
    <row r="352" spans="1:6" ht="39.75" customHeight="1">
      <c r="A352" s="10" t="s">
        <v>459</v>
      </c>
      <c r="B352" s="10">
        <v>41509932</v>
      </c>
      <c r="C352" s="10" t="s">
        <v>36</v>
      </c>
      <c r="D352" s="9">
        <v>45694</v>
      </c>
      <c r="E352" s="10" t="s">
        <v>161</v>
      </c>
      <c r="F352" s="10" t="s">
        <v>467</v>
      </c>
    </row>
    <row r="353" spans="1:6" ht="39.75" customHeight="1">
      <c r="A353" s="10" t="s">
        <v>459</v>
      </c>
      <c r="B353" s="10">
        <v>41509914</v>
      </c>
      <c r="C353" s="10" t="s">
        <v>36</v>
      </c>
      <c r="D353" s="9">
        <v>45694</v>
      </c>
      <c r="E353" s="10" t="s">
        <v>161</v>
      </c>
      <c r="F353" s="10" t="s">
        <v>468</v>
      </c>
    </row>
    <row r="354" spans="1:6" ht="39.75" customHeight="1">
      <c r="A354" s="10" t="s">
        <v>459</v>
      </c>
      <c r="B354" s="10">
        <v>41509898</v>
      </c>
      <c r="C354" s="10" t="s">
        <v>36</v>
      </c>
      <c r="D354" s="9">
        <v>45694</v>
      </c>
      <c r="E354" s="10" t="s">
        <v>161</v>
      </c>
      <c r="F354" s="10" t="s">
        <v>469</v>
      </c>
    </row>
    <row r="355" spans="1:6" ht="39.75" customHeight="1">
      <c r="A355" s="10" t="s">
        <v>459</v>
      </c>
      <c r="B355" s="10">
        <v>41509893</v>
      </c>
      <c r="C355" s="10" t="s">
        <v>36</v>
      </c>
      <c r="D355" s="9">
        <v>45694</v>
      </c>
      <c r="E355" s="10" t="s">
        <v>161</v>
      </c>
      <c r="F355" s="10" t="s">
        <v>470</v>
      </c>
    </row>
    <row r="356" spans="1:6" ht="39.75" customHeight="1">
      <c r="A356" s="10" t="s">
        <v>459</v>
      </c>
      <c r="B356" s="10">
        <v>41509884</v>
      </c>
      <c r="C356" s="10" t="s">
        <v>36</v>
      </c>
      <c r="D356" s="9">
        <v>45694</v>
      </c>
      <c r="E356" s="10" t="s">
        <v>161</v>
      </c>
      <c r="F356" s="10" t="s">
        <v>466</v>
      </c>
    </row>
    <row r="357" spans="1:6" ht="39.75" customHeight="1">
      <c r="A357" s="10" t="s">
        <v>459</v>
      </c>
      <c r="B357" s="10">
        <v>41509879</v>
      </c>
      <c r="C357" s="10" t="s">
        <v>36</v>
      </c>
      <c r="D357" s="9">
        <v>45694</v>
      </c>
      <c r="E357" s="10" t="s">
        <v>161</v>
      </c>
      <c r="F357" s="10" t="s">
        <v>466</v>
      </c>
    </row>
    <row r="358" spans="1:6" ht="39.75" customHeight="1">
      <c r="A358" s="10" t="s">
        <v>459</v>
      </c>
      <c r="B358" s="10">
        <v>41509833</v>
      </c>
      <c r="C358" s="10" t="s">
        <v>36</v>
      </c>
      <c r="D358" s="9">
        <v>45694</v>
      </c>
      <c r="E358" s="10" t="s">
        <v>161</v>
      </c>
      <c r="F358" s="10" t="s">
        <v>470</v>
      </c>
    </row>
    <row r="359" spans="1:6" ht="39.75" customHeight="1">
      <c r="A359" s="10" t="s">
        <v>459</v>
      </c>
      <c r="B359" s="10">
        <v>41509811</v>
      </c>
      <c r="C359" s="10" t="s">
        <v>36</v>
      </c>
      <c r="D359" s="9">
        <v>45694</v>
      </c>
      <c r="E359" s="10" t="s">
        <v>161</v>
      </c>
      <c r="F359" s="10" t="s">
        <v>469</v>
      </c>
    </row>
    <row r="360" spans="1:6" ht="39.75" customHeight="1">
      <c r="A360" s="10" t="s">
        <v>459</v>
      </c>
      <c r="B360" s="10">
        <v>41509791</v>
      </c>
      <c r="C360" s="10" t="s">
        <v>36</v>
      </c>
      <c r="D360" s="9">
        <v>45694</v>
      </c>
      <c r="E360" s="10" t="s">
        <v>161</v>
      </c>
      <c r="F360" s="10" t="s">
        <v>468</v>
      </c>
    </row>
    <row r="361" spans="1:6" ht="39.75" customHeight="1">
      <c r="A361" s="10" t="s">
        <v>433</v>
      </c>
      <c r="B361" s="10">
        <v>36501266</v>
      </c>
      <c r="C361" s="10" t="s">
        <v>36</v>
      </c>
      <c r="D361" s="9">
        <v>45694</v>
      </c>
      <c r="E361" s="10" t="s">
        <v>161</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280</v>
      </c>
      <c r="F434" s="17"/>
    </row>
    <row r="435" spans="1:6" ht="39.75" hidden="1" customHeight="1">
      <c r="A435" s="18" t="s">
        <v>335</v>
      </c>
      <c r="B435" s="18">
        <v>35506054</v>
      </c>
      <c r="C435" s="10" t="s">
        <v>313</v>
      </c>
      <c r="D435" s="16">
        <v>45695</v>
      </c>
      <c r="E435" s="12" t="s">
        <v>280</v>
      </c>
      <c r="F435" s="17"/>
    </row>
    <row r="436" spans="1:6" ht="39.75" hidden="1" customHeight="1">
      <c r="A436" s="18" t="s">
        <v>335</v>
      </c>
      <c r="B436" s="18">
        <v>35506111</v>
      </c>
      <c r="C436" s="10" t="s">
        <v>313</v>
      </c>
      <c r="D436" s="16">
        <v>45695</v>
      </c>
      <c r="E436" s="12" t="s">
        <v>280</v>
      </c>
      <c r="F436" s="17"/>
    </row>
    <row r="437" spans="1:6" ht="39.75" hidden="1" customHeight="1">
      <c r="A437" s="18" t="s">
        <v>335</v>
      </c>
      <c r="B437" s="18">
        <v>35506159</v>
      </c>
      <c r="C437" s="10" t="s">
        <v>313</v>
      </c>
      <c r="D437" s="16">
        <v>45695</v>
      </c>
      <c r="E437" s="12" t="s">
        <v>280</v>
      </c>
      <c r="F437" s="17"/>
    </row>
    <row r="438" spans="1:6" ht="39.75" hidden="1" customHeight="1">
      <c r="A438" s="18" t="s">
        <v>335</v>
      </c>
      <c r="B438" s="18">
        <v>35506199</v>
      </c>
      <c r="C438" s="10" t="s">
        <v>313</v>
      </c>
      <c r="D438" s="16">
        <v>45695</v>
      </c>
      <c r="E438" s="12" t="s">
        <v>280</v>
      </c>
      <c r="F438" s="17"/>
    </row>
    <row r="439" spans="1:6" ht="39.75" hidden="1" customHeight="1">
      <c r="A439" s="18" t="s">
        <v>335</v>
      </c>
      <c r="B439" s="18">
        <v>35506238</v>
      </c>
      <c r="C439" s="10" t="s">
        <v>313</v>
      </c>
      <c r="D439" s="16">
        <v>45695</v>
      </c>
      <c r="E439" s="12" t="s">
        <v>280</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161</v>
      </c>
      <c r="F645" s="3" t="s">
        <v>696</v>
      </c>
    </row>
    <row r="646" spans="1:6" ht="39.75" customHeight="1">
      <c r="A646" s="10" t="s">
        <v>438</v>
      </c>
      <c r="B646" s="3">
        <v>48507534</v>
      </c>
      <c r="C646" s="10" t="s">
        <v>36</v>
      </c>
      <c r="D646" s="55">
        <v>45705</v>
      </c>
      <c r="E646" s="3" t="s">
        <v>161</v>
      </c>
      <c r="F646" s="3" t="s">
        <v>697</v>
      </c>
    </row>
    <row r="647" spans="1:6" ht="39.75" customHeight="1">
      <c r="A647" s="10" t="s">
        <v>438</v>
      </c>
      <c r="B647" s="3">
        <v>48507486</v>
      </c>
      <c r="C647" s="10" t="s">
        <v>36</v>
      </c>
      <c r="D647" s="55">
        <v>45705</v>
      </c>
      <c r="E647" s="3" t="s">
        <v>161</v>
      </c>
      <c r="F647" s="3" t="s">
        <v>698</v>
      </c>
    </row>
    <row r="648" spans="1:6" ht="39.75" customHeight="1">
      <c r="A648" s="10" t="s">
        <v>438</v>
      </c>
      <c r="B648" s="3">
        <v>48507387</v>
      </c>
      <c r="C648" s="10" t="s">
        <v>36</v>
      </c>
      <c r="D648" s="55">
        <v>45705</v>
      </c>
      <c r="E648" s="3" t="s">
        <v>161</v>
      </c>
      <c r="F648" s="3" t="s">
        <v>699</v>
      </c>
    </row>
    <row r="649" spans="1:6" ht="39.75" customHeight="1">
      <c r="A649" s="10" t="s">
        <v>438</v>
      </c>
      <c r="B649" s="3">
        <v>48507301</v>
      </c>
      <c r="C649" s="10" t="s">
        <v>36</v>
      </c>
      <c r="D649" s="55">
        <v>45705</v>
      </c>
      <c r="E649" s="3" t="s">
        <v>161</v>
      </c>
      <c r="F649" s="3" t="s">
        <v>700</v>
      </c>
    </row>
    <row r="650" spans="1:6" ht="39.75" customHeight="1">
      <c r="A650" s="10" t="s">
        <v>438</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280</v>
      </c>
      <c r="I2" s="139">
        <v>45695</v>
      </c>
      <c r="J2" s="145"/>
      <c r="K2" s="145"/>
      <c r="L2" s="145"/>
      <c r="M2" s="145"/>
      <c r="N2" s="145"/>
      <c r="O2" s="145"/>
      <c r="P2" s="145"/>
      <c r="Q2" s="146"/>
      <c r="R2" s="71" t="s">
        <v>817</v>
      </c>
    </row>
    <row r="3" spans="1:18" hidden="1">
      <c r="A3" s="29" t="s">
        <v>816</v>
      </c>
      <c r="B3" s="29"/>
      <c r="C3" s="29">
        <v>38505213</v>
      </c>
      <c r="G3" s="29" t="s">
        <v>138</v>
      </c>
      <c r="H3" s="29" t="s">
        <v>280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316</v>
      </c>
      <c r="I6" s="120">
        <v>45678</v>
      </c>
      <c r="P6" s="134"/>
      <c r="R6" s="29"/>
    </row>
    <row r="7" spans="1:18" hidden="1">
      <c r="A7" s="147" t="s">
        <v>822</v>
      </c>
      <c r="B7" s="147"/>
      <c r="C7" s="29">
        <v>21507565</v>
      </c>
      <c r="G7" s="29" t="s">
        <v>138</v>
      </c>
      <c r="H7" s="29" t="s">
        <v>316</v>
      </c>
      <c r="I7" s="120">
        <v>45678</v>
      </c>
      <c r="P7" s="134"/>
      <c r="R7" s="29"/>
    </row>
    <row r="8" spans="1:18" hidden="1">
      <c r="A8" s="147" t="s">
        <v>822</v>
      </c>
      <c r="B8" s="147"/>
      <c r="C8" s="29">
        <v>21507568</v>
      </c>
      <c r="G8" s="29" t="s">
        <v>138</v>
      </c>
      <c r="H8" s="29" t="s">
        <v>316</v>
      </c>
      <c r="I8" s="120">
        <v>45678</v>
      </c>
      <c r="P8" s="134"/>
      <c r="R8" s="29"/>
    </row>
    <row r="9" spans="1:18" hidden="1">
      <c r="A9" s="147" t="s">
        <v>822</v>
      </c>
      <c r="B9" s="147"/>
      <c r="C9" s="29">
        <v>21507569</v>
      </c>
      <c r="G9" s="29" t="s">
        <v>138</v>
      </c>
      <c r="H9" s="29" t="s">
        <v>316</v>
      </c>
      <c r="I9" s="120">
        <v>45678</v>
      </c>
      <c r="P9" s="134"/>
      <c r="R9" s="29"/>
    </row>
    <row r="10" spans="1:18" hidden="1">
      <c r="A10" s="147" t="s">
        <v>822</v>
      </c>
      <c r="B10" s="147"/>
      <c r="C10" s="29">
        <v>21507570</v>
      </c>
      <c r="G10" s="29" t="s">
        <v>138</v>
      </c>
      <c r="H10" s="29" t="s">
        <v>316</v>
      </c>
      <c r="I10" s="120">
        <v>45678</v>
      </c>
      <c r="P10" s="134"/>
      <c r="R10" s="29"/>
    </row>
    <row r="11" spans="1:18" hidden="1">
      <c r="A11" s="29" t="s">
        <v>328</v>
      </c>
      <c r="B11" s="29"/>
      <c r="C11" s="29">
        <v>30503735</v>
      </c>
      <c r="G11" s="29" t="s">
        <v>823</v>
      </c>
      <c r="H11" s="29" t="s">
        <v>329</v>
      </c>
      <c r="I11" s="120">
        <v>45686</v>
      </c>
      <c r="P11" s="134"/>
      <c r="R11" s="29" t="s">
        <v>330</v>
      </c>
    </row>
    <row r="12" spans="1:18" hidden="1">
      <c r="A12" s="29" t="s">
        <v>328</v>
      </c>
      <c r="B12" s="29"/>
      <c r="C12" s="29">
        <v>30503776</v>
      </c>
      <c r="G12" s="29" t="s">
        <v>823</v>
      </c>
      <c r="H12" s="29" t="s">
        <v>329</v>
      </c>
      <c r="I12" s="120">
        <v>45686</v>
      </c>
      <c r="P12" s="134"/>
      <c r="R12" s="29" t="s">
        <v>331</v>
      </c>
    </row>
    <row r="13" spans="1:18" hidden="1">
      <c r="A13" s="29" t="s">
        <v>328</v>
      </c>
      <c r="B13" s="29"/>
      <c r="C13" s="29">
        <v>30503798</v>
      </c>
      <c r="G13" s="29" t="s">
        <v>823</v>
      </c>
      <c r="H13" s="29" t="s">
        <v>329</v>
      </c>
      <c r="I13" s="120">
        <v>45686</v>
      </c>
      <c r="P13" s="134"/>
      <c r="R13" s="29" t="s">
        <v>332</v>
      </c>
    </row>
    <row r="14" spans="1:18" hidden="1">
      <c r="A14" s="29" t="s">
        <v>328</v>
      </c>
      <c r="B14" s="29"/>
      <c r="C14" s="29">
        <v>30503821</v>
      </c>
      <c r="G14" s="29" t="s">
        <v>823</v>
      </c>
      <c r="H14" s="29" t="s">
        <v>329</v>
      </c>
      <c r="I14" s="120">
        <v>45686</v>
      </c>
      <c r="P14" s="134"/>
      <c r="R14" s="29" t="s">
        <v>333</v>
      </c>
    </row>
    <row r="15" spans="1:18" hidden="1">
      <c r="A15" s="29" t="s">
        <v>328</v>
      </c>
      <c r="B15" s="29"/>
      <c r="C15" s="29">
        <v>30503763</v>
      </c>
      <c r="G15" s="29" t="s">
        <v>823</v>
      </c>
      <c r="H15" s="29" t="s">
        <v>329</v>
      </c>
      <c r="I15" s="120">
        <v>45686</v>
      </c>
      <c r="P15" s="134"/>
      <c r="R15" s="29" t="s">
        <v>334</v>
      </c>
    </row>
    <row r="16" spans="1:18" hidden="1">
      <c r="A16" s="29" t="s">
        <v>328</v>
      </c>
      <c r="B16" s="29"/>
      <c r="C16" s="29">
        <v>35505134</v>
      </c>
      <c r="G16" s="29" t="s">
        <v>823</v>
      </c>
      <c r="H16" s="29" t="s">
        <v>329</v>
      </c>
      <c r="I16" s="120">
        <v>45691</v>
      </c>
      <c r="P16" s="134"/>
      <c r="R16" s="29" t="s">
        <v>333</v>
      </c>
    </row>
    <row r="17" spans="1:19" hidden="1">
      <c r="A17" s="29" t="s">
        <v>328</v>
      </c>
      <c r="B17" s="29"/>
      <c r="C17" s="29">
        <v>35505087</v>
      </c>
      <c r="G17" s="29" t="s">
        <v>823</v>
      </c>
      <c r="H17" s="29" t="s">
        <v>329</v>
      </c>
      <c r="I17" s="120">
        <v>45691</v>
      </c>
      <c r="P17" s="134"/>
      <c r="R17" s="29" t="s">
        <v>332</v>
      </c>
    </row>
    <row r="18" spans="1:19" hidden="1">
      <c r="A18" s="29" t="s">
        <v>328</v>
      </c>
      <c r="B18" s="29"/>
      <c r="C18" s="29">
        <v>35504960</v>
      </c>
      <c r="G18" s="29" t="s">
        <v>823</v>
      </c>
      <c r="H18" s="29" t="s">
        <v>329</v>
      </c>
      <c r="I18" s="120">
        <v>45691</v>
      </c>
      <c r="J18" s="29"/>
      <c r="K18" s="29"/>
      <c r="L18" s="29"/>
      <c r="M18" s="29"/>
      <c r="N18" s="29"/>
      <c r="O18" s="29"/>
      <c r="P18" s="29"/>
      <c r="Q18" s="81"/>
      <c r="R18" s="29" t="s">
        <v>391</v>
      </c>
      <c r="S18" s="123"/>
    </row>
    <row r="19" spans="1:19" hidden="1">
      <c r="A19" s="29" t="s">
        <v>328</v>
      </c>
      <c r="B19" s="29"/>
      <c r="C19" s="29">
        <v>35504929</v>
      </c>
      <c r="G19" s="29" t="s">
        <v>823</v>
      </c>
      <c r="H19" s="29" t="s">
        <v>329</v>
      </c>
      <c r="I19" s="120">
        <v>45691</v>
      </c>
      <c r="J19" s="29"/>
      <c r="K19" s="29"/>
      <c r="L19" s="29"/>
      <c r="M19" s="29"/>
      <c r="N19" s="29"/>
      <c r="O19" s="29"/>
      <c r="P19" s="29"/>
      <c r="Q19" s="81"/>
      <c r="R19" s="29" t="s">
        <v>330</v>
      </c>
      <c r="S19" s="123"/>
    </row>
    <row r="20" spans="1:19" hidden="1">
      <c r="A20" s="29" t="s">
        <v>328</v>
      </c>
      <c r="B20" s="29"/>
      <c r="C20" s="29">
        <v>35504891</v>
      </c>
      <c r="G20" s="29" t="s">
        <v>823</v>
      </c>
      <c r="H20" s="29" t="s">
        <v>329</v>
      </c>
      <c r="I20" s="120">
        <v>45691</v>
      </c>
      <c r="J20" s="29"/>
      <c r="K20" s="29"/>
      <c r="L20" s="29"/>
      <c r="M20" s="29"/>
      <c r="N20" s="29"/>
      <c r="O20" s="29"/>
      <c r="P20" s="29"/>
      <c r="Q20" s="81"/>
      <c r="R20" s="29" t="s">
        <v>331</v>
      </c>
      <c r="S20" s="123"/>
    </row>
    <row r="21" spans="1:19" hidden="1">
      <c r="A21" s="29" t="s">
        <v>328</v>
      </c>
      <c r="B21" s="29"/>
      <c r="C21" s="29">
        <v>35504415</v>
      </c>
      <c r="G21" s="29" t="s">
        <v>823</v>
      </c>
      <c r="H21" s="29" t="s">
        <v>329</v>
      </c>
      <c r="I21" s="120">
        <v>45691</v>
      </c>
      <c r="J21" s="29"/>
      <c r="K21" s="29"/>
      <c r="L21" s="29"/>
      <c r="M21" s="29"/>
      <c r="N21" s="29"/>
      <c r="O21" s="29"/>
      <c r="P21" s="29"/>
      <c r="Q21" s="81"/>
      <c r="R21" s="29" t="s">
        <v>334</v>
      </c>
      <c r="S21" s="123"/>
    </row>
    <row r="22" spans="1:19" hidden="1">
      <c r="A22" s="29" t="s">
        <v>384</v>
      </c>
      <c r="B22" s="29"/>
      <c r="C22" s="29">
        <v>35506238</v>
      </c>
      <c r="G22" s="29" t="s">
        <v>823</v>
      </c>
      <c r="H22" s="29" t="s">
        <v>329</v>
      </c>
      <c r="I22" s="120">
        <v>45691</v>
      </c>
      <c r="J22" s="29"/>
      <c r="K22" s="29"/>
      <c r="L22" s="29"/>
      <c r="M22" s="29"/>
      <c r="N22" s="29"/>
      <c r="O22" s="29"/>
      <c r="P22" s="29"/>
      <c r="Q22" s="81"/>
      <c r="R22" s="29" t="s">
        <v>385</v>
      </c>
      <c r="S22" s="123"/>
    </row>
    <row r="23" spans="1:19" hidden="1">
      <c r="A23" s="29" t="s">
        <v>384</v>
      </c>
      <c r="B23" s="29"/>
      <c r="C23" s="29">
        <v>35506199</v>
      </c>
      <c r="G23" s="29" t="s">
        <v>823</v>
      </c>
      <c r="H23" s="29" t="s">
        <v>329</v>
      </c>
      <c r="I23" s="120">
        <v>45691</v>
      </c>
      <c r="J23" s="29"/>
      <c r="K23" s="29"/>
      <c r="L23" s="29"/>
      <c r="M23" s="29"/>
      <c r="N23" s="29"/>
      <c r="O23" s="29"/>
      <c r="P23" s="29"/>
      <c r="Q23" s="81"/>
      <c r="R23" s="29" t="s">
        <v>386</v>
      </c>
      <c r="S23" s="123"/>
    </row>
    <row r="24" spans="1:19" hidden="1">
      <c r="A24" s="29" t="s">
        <v>384</v>
      </c>
      <c r="B24" s="29"/>
      <c r="C24" s="29">
        <v>35506159</v>
      </c>
      <c r="G24" s="29" t="s">
        <v>823</v>
      </c>
      <c r="H24" s="29" t="s">
        <v>329</v>
      </c>
      <c r="I24" s="120">
        <v>45691</v>
      </c>
      <c r="J24" s="29"/>
      <c r="K24" s="29"/>
      <c r="L24" s="29"/>
      <c r="M24" s="29"/>
      <c r="N24" s="29"/>
      <c r="O24" s="29"/>
      <c r="P24" s="29"/>
      <c r="Q24" s="81"/>
      <c r="R24" s="29" t="s">
        <v>387</v>
      </c>
      <c r="S24" s="123"/>
    </row>
    <row r="25" spans="1:19" hidden="1">
      <c r="A25" s="29" t="s">
        <v>384</v>
      </c>
      <c r="B25" s="29"/>
      <c r="C25" s="29">
        <v>35506111</v>
      </c>
      <c r="G25" s="29" t="s">
        <v>823</v>
      </c>
      <c r="H25" s="29" t="s">
        <v>329</v>
      </c>
      <c r="I25" s="120">
        <v>45691</v>
      </c>
      <c r="J25" s="29"/>
      <c r="K25" s="29"/>
      <c r="L25" s="29"/>
      <c r="M25" s="29"/>
      <c r="N25" s="29"/>
      <c r="O25" s="29"/>
      <c r="P25" s="29"/>
      <c r="Q25" s="81"/>
      <c r="R25" s="29" t="s">
        <v>388</v>
      </c>
      <c r="S25" s="123"/>
    </row>
    <row r="26" spans="1:19" hidden="1">
      <c r="A26" s="29" t="s">
        <v>384</v>
      </c>
      <c r="B26" s="29"/>
      <c r="C26" s="29">
        <v>35506054</v>
      </c>
      <c r="G26" s="29" t="s">
        <v>823</v>
      </c>
      <c r="H26" s="29" t="s">
        <v>329</v>
      </c>
      <c r="I26" s="120">
        <v>45691</v>
      </c>
      <c r="J26" s="29"/>
      <c r="K26" s="29"/>
      <c r="L26" s="29"/>
      <c r="M26" s="29"/>
      <c r="N26" s="29"/>
      <c r="O26" s="29"/>
      <c r="P26" s="29"/>
      <c r="Q26" s="81"/>
      <c r="R26" s="29" t="s">
        <v>389</v>
      </c>
      <c r="S26" s="123"/>
    </row>
    <row r="27" spans="1:19" hidden="1">
      <c r="A27" s="29" t="s">
        <v>384</v>
      </c>
      <c r="B27" s="29"/>
      <c r="C27" s="29">
        <v>35505986</v>
      </c>
      <c r="G27" s="29" t="s">
        <v>823</v>
      </c>
      <c r="H27" s="29" t="s">
        <v>329</v>
      </c>
      <c r="I27" s="120">
        <v>45691</v>
      </c>
      <c r="J27" s="29"/>
      <c r="K27" s="29"/>
      <c r="L27" s="29"/>
      <c r="M27" s="29"/>
      <c r="N27" s="29"/>
      <c r="O27" s="29"/>
      <c r="P27" s="29"/>
      <c r="Q27" s="81"/>
      <c r="R27" s="29" t="s">
        <v>390</v>
      </c>
      <c r="S27" s="123"/>
    </row>
    <row r="28" spans="1:19" hidden="1">
      <c r="A28" s="29" t="s">
        <v>366</v>
      </c>
      <c r="B28" s="29"/>
      <c r="C28" s="29">
        <v>35510080</v>
      </c>
      <c r="G28" s="29" t="s">
        <v>823</v>
      </c>
      <c r="H28" s="29" t="s">
        <v>367</v>
      </c>
      <c r="I28" s="120">
        <v>45691</v>
      </c>
      <c r="J28" s="29"/>
      <c r="K28" s="29"/>
      <c r="L28" s="29"/>
      <c r="M28" s="29"/>
      <c r="N28" s="29"/>
      <c r="O28" s="29"/>
      <c r="P28" s="29"/>
      <c r="Q28" s="81"/>
      <c r="R28" s="29" t="s">
        <v>371</v>
      </c>
      <c r="S28" s="123"/>
    </row>
    <row r="29" spans="1:19" hidden="1">
      <c r="A29" s="29" t="s">
        <v>366</v>
      </c>
      <c r="B29" s="29"/>
      <c r="C29" s="29">
        <v>35510070</v>
      </c>
      <c r="G29" s="29" t="s">
        <v>823</v>
      </c>
      <c r="H29" s="29" t="s">
        <v>367</v>
      </c>
      <c r="I29" s="120">
        <v>45691</v>
      </c>
      <c r="J29" s="29"/>
      <c r="K29" s="29"/>
      <c r="L29" s="29"/>
      <c r="M29" s="29"/>
      <c r="N29" s="29"/>
      <c r="O29" s="29"/>
      <c r="P29" s="29"/>
      <c r="Q29" s="81"/>
      <c r="R29" s="29" t="s">
        <v>372</v>
      </c>
      <c r="S29" s="123"/>
    </row>
    <row r="30" spans="1:19" hidden="1">
      <c r="A30" s="29" t="s">
        <v>366</v>
      </c>
      <c r="B30" s="29"/>
      <c r="C30" s="29">
        <v>35510055</v>
      </c>
      <c r="G30" s="29" t="s">
        <v>823</v>
      </c>
      <c r="H30" s="29" t="s">
        <v>367</v>
      </c>
      <c r="I30" s="120">
        <v>45691</v>
      </c>
      <c r="J30" s="29"/>
      <c r="K30" s="29"/>
      <c r="L30" s="29"/>
      <c r="M30" s="29"/>
      <c r="N30" s="29"/>
      <c r="O30" s="29"/>
      <c r="P30" s="29"/>
      <c r="Q30" s="81"/>
      <c r="R30" s="29" t="s">
        <v>373</v>
      </c>
      <c r="S30" s="123"/>
    </row>
    <row r="31" spans="1:19" hidden="1">
      <c r="A31" s="29" t="s">
        <v>366</v>
      </c>
      <c r="B31" s="29"/>
      <c r="C31" s="29">
        <v>35510045</v>
      </c>
      <c r="G31" s="29" t="s">
        <v>823</v>
      </c>
      <c r="H31" s="29" t="s">
        <v>367</v>
      </c>
      <c r="I31" s="120">
        <v>45691</v>
      </c>
      <c r="J31" s="29"/>
      <c r="K31" s="29"/>
      <c r="L31" s="29"/>
      <c r="M31" s="29"/>
      <c r="N31" s="29"/>
      <c r="O31" s="29"/>
      <c r="P31" s="29"/>
      <c r="Q31" s="81"/>
      <c r="R31" s="29" t="s">
        <v>374</v>
      </c>
      <c r="S31" s="123"/>
    </row>
    <row r="32" spans="1:19" hidden="1">
      <c r="A32" s="29" t="s">
        <v>366</v>
      </c>
      <c r="B32" s="29"/>
      <c r="C32" s="29">
        <v>35510032</v>
      </c>
      <c r="G32" s="29" t="s">
        <v>823</v>
      </c>
      <c r="H32" s="29" t="s">
        <v>367</v>
      </c>
      <c r="I32" s="120">
        <v>45691</v>
      </c>
      <c r="J32" s="29"/>
      <c r="K32" s="29"/>
      <c r="L32" s="29"/>
      <c r="M32" s="29"/>
      <c r="N32" s="29"/>
      <c r="O32" s="29"/>
      <c r="P32" s="29"/>
      <c r="Q32" s="81"/>
      <c r="R32" s="29" t="s">
        <v>375</v>
      </c>
      <c r="S32" s="123"/>
    </row>
    <row r="33" spans="1:19" hidden="1">
      <c r="A33" s="29" t="s">
        <v>366</v>
      </c>
      <c r="B33" s="29"/>
      <c r="C33" s="29">
        <v>35510022</v>
      </c>
      <c r="G33" s="29" t="s">
        <v>823</v>
      </c>
      <c r="H33" s="29" t="s">
        <v>367</v>
      </c>
      <c r="I33" s="120">
        <v>45691</v>
      </c>
      <c r="J33" s="29"/>
      <c r="K33" s="29"/>
      <c r="L33" s="29"/>
      <c r="M33" s="29"/>
      <c r="N33" s="29"/>
      <c r="O33" s="29"/>
      <c r="P33" s="29"/>
      <c r="Q33" s="81"/>
      <c r="R33" s="29" t="s">
        <v>376</v>
      </c>
      <c r="S33" s="123"/>
    </row>
    <row r="34" spans="1:19" hidden="1">
      <c r="A34" s="29" t="s">
        <v>366</v>
      </c>
      <c r="B34" s="29"/>
      <c r="C34" s="29">
        <v>35510009</v>
      </c>
      <c r="G34" s="29" t="s">
        <v>823</v>
      </c>
      <c r="H34" s="29" t="s">
        <v>367</v>
      </c>
      <c r="I34" s="120">
        <v>45691</v>
      </c>
      <c r="J34" s="29"/>
      <c r="K34" s="29"/>
      <c r="L34" s="29"/>
      <c r="M34" s="29"/>
      <c r="N34" s="29"/>
      <c r="O34" s="29"/>
      <c r="P34" s="29"/>
      <c r="Q34" s="81"/>
      <c r="R34" s="29" t="s">
        <v>377</v>
      </c>
      <c r="S34" s="123"/>
    </row>
    <row r="35" spans="1:19" hidden="1">
      <c r="A35" s="29" t="s">
        <v>366</v>
      </c>
      <c r="B35" s="29"/>
      <c r="C35" s="29">
        <v>35509989</v>
      </c>
      <c r="G35" s="29" t="s">
        <v>823</v>
      </c>
      <c r="H35" s="29" t="s">
        <v>367</v>
      </c>
      <c r="I35" s="120">
        <v>45691</v>
      </c>
      <c r="J35" s="29"/>
      <c r="K35" s="29"/>
      <c r="L35" s="29"/>
      <c r="M35" s="29"/>
      <c r="N35" s="29"/>
      <c r="O35" s="29"/>
      <c r="P35" s="29"/>
      <c r="Q35" s="81"/>
      <c r="R35" s="29" t="s">
        <v>378</v>
      </c>
      <c r="S35" s="123"/>
    </row>
    <row r="36" spans="1:19" hidden="1">
      <c r="A36" s="29" t="s">
        <v>366</v>
      </c>
      <c r="B36" s="29"/>
      <c r="C36" s="29">
        <v>37508582</v>
      </c>
      <c r="G36" s="29" t="s">
        <v>823</v>
      </c>
      <c r="H36" s="29" t="s">
        <v>367</v>
      </c>
      <c r="I36" s="120">
        <v>45693</v>
      </c>
      <c r="J36" s="29"/>
      <c r="K36" s="29"/>
      <c r="L36" s="29"/>
      <c r="M36" s="29"/>
      <c r="N36" s="29"/>
      <c r="O36" s="29"/>
      <c r="P36" s="29"/>
      <c r="Q36" s="81"/>
      <c r="R36" s="29" t="s">
        <v>477</v>
      </c>
      <c r="S36" s="123"/>
    </row>
    <row r="37" spans="1:19" hidden="1">
      <c r="A37" s="29" t="s">
        <v>366</v>
      </c>
      <c r="B37" s="29"/>
      <c r="C37" s="29">
        <v>37508534</v>
      </c>
      <c r="G37" s="29" t="s">
        <v>823</v>
      </c>
      <c r="H37" s="29" t="s">
        <v>367</v>
      </c>
      <c r="I37" s="120">
        <v>45693</v>
      </c>
      <c r="J37" s="29"/>
      <c r="K37" s="29"/>
      <c r="L37" s="29"/>
      <c r="M37" s="29"/>
      <c r="N37" s="29"/>
      <c r="O37" s="29"/>
      <c r="P37" s="29"/>
      <c r="Q37" s="81"/>
      <c r="R37" s="29" t="s">
        <v>479</v>
      </c>
      <c r="S37" s="123"/>
    </row>
    <row r="38" spans="1:19" hidden="1">
      <c r="A38" s="29" t="s">
        <v>366</v>
      </c>
      <c r="B38" s="29"/>
      <c r="C38" s="29">
        <v>37508555</v>
      </c>
      <c r="G38" s="29" t="s">
        <v>823</v>
      </c>
      <c r="H38" s="29" t="s">
        <v>367</v>
      </c>
      <c r="I38" s="120">
        <v>45693</v>
      </c>
      <c r="J38" s="29"/>
      <c r="K38" s="29"/>
      <c r="L38" s="29"/>
      <c r="M38" s="29"/>
      <c r="N38" s="29"/>
      <c r="O38" s="29"/>
      <c r="P38" s="29"/>
      <c r="Q38" s="81"/>
      <c r="R38" s="29" t="s">
        <v>478</v>
      </c>
      <c r="S38" s="123"/>
    </row>
    <row r="39" spans="1:19" hidden="1">
      <c r="A39" s="29" t="s">
        <v>366</v>
      </c>
      <c r="B39" s="29"/>
      <c r="C39" s="29">
        <v>37508444</v>
      </c>
      <c r="G39" s="29" t="s">
        <v>823</v>
      </c>
      <c r="H39" s="29" t="s">
        <v>367</v>
      </c>
      <c r="I39" s="120">
        <v>45693</v>
      </c>
      <c r="J39" s="29"/>
      <c r="K39" s="29"/>
      <c r="L39" s="29"/>
      <c r="M39" s="29"/>
      <c r="N39" s="29"/>
      <c r="O39" s="29"/>
      <c r="P39" s="29"/>
      <c r="Q39" s="81"/>
      <c r="R39" s="29" t="s">
        <v>481</v>
      </c>
      <c r="S39" s="123"/>
    </row>
    <row r="40" spans="1:19" hidden="1">
      <c r="A40" s="29" t="s">
        <v>366</v>
      </c>
      <c r="B40" s="29"/>
      <c r="C40" s="29">
        <v>37508509</v>
      </c>
      <c r="G40" s="29" t="s">
        <v>823</v>
      </c>
      <c r="H40" s="29" t="s">
        <v>367</v>
      </c>
      <c r="I40" s="120">
        <v>45693</v>
      </c>
      <c r="J40" s="29"/>
      <c r="K40" s="29"/>
      <c r="L40" s="29"/>
      <c r="M40" s="29"/>
      <c r="N40" s="29"/>
      <c r="O40" s="29"/>
      <c r="P40" s="29"/>
      <c r="Q40" s="81"/>
      <c r="R40" s="29" t="s">
        <v>480</v>
      </c>
      <c r="S40" s="123"/>
    </row>
    <row r="41" spans="1:19" hidden="1">
      <c r="A41" s="29" t="s">
        <v>366</v>
      </c>
      <c r="B41" s="29"/>
      <c r="C41" s="29">
        <v>37508419</v>
      </c>
      <c r="G41" s="29" t="s">
        <v>823</v>
      </c>
      <c r="H41" s="29" t="s">
        <v>367</v>
      </c>
      <c r="I41" s="120">
        <v>45693</v>
      </c>
      <c r="J41" s="29"/>
      <c r="K41" s="29"/>
      <c r="L41" s="29"/>
      <c r="M41" s="29"/>
      <c r="N41" s="29"/>
      <c r="O41" s="29"/>
      <c r="P41" s="29"/>
      <c r="Q41" s="81"/>
      <c r="R41" s="29" t="s">
        <v>482</v>
      </c>
      <c r="S41" s="123"/>
    </row>
    <row r="42" spans="1:19" hidden="1">
      <c r="A42" s="29" t="s">
        <v>366</v>
      </c>
      <c r="B42" s="29"/>
      <c r="C42" s="29">
        <v>37508391</v>
      </c>
      <c r="G42" s="29" t="s">
        <v>823</v>
      </c>
      <c r="H42" s="29" t="s">
        <v>367</v>
      </c>
      <c r="I42" s="120">
        <v>45693</v>
      </c>
      <c r="J42" s="29"/>
      <c r="K42" s="29"/>
      <c r="L42" s="29"/>
      <c r="M42" s="29"/>
      <c r="N42" s="29"/>
      <c r="O42" s="29"/>
      <c r="P42" s="29"/>
      <c r="Q42" s="81"/>
      <c r="R42" s="29" t="s">
        <v>483</v>
      </c>
      <c r="S42" s="123"/>
    </row>
    <row r="43" spans="1:19" hidden="1">
      <c r="A43" s="29" t="s">
        <v>366</v>
      </c>
      <c r="B43" s="29"/>
      <c r="C43" s="29">
        <v>37508358</v>
      </c>
      <c r="G43" s="29" t="s">
        <v>823</v>
      </c>
      <c r="H43" s="29" t="s">
        <v>367</v>
      </c>
      <c r="I43" s="120">
        <v>45693</v>
      </c>
      <c r="J43" s="29"/>
      <c r="K43" s="29"/>
      <c r="L43" s="29"/>
      <c r="M43" s="29"/>
      <c r="N43" s="29"/>
      <c r="O43" s="29"/>
      <c r="P43" s="29"/>
      <c r="Q43" s="81"/>
      <c r="R43" s="29" t="s">
        <v>484</v>
      </c>
      <c r="S43" s="123"/>
    </row>
    <row r="44" spans="1:19" hidden="1">
      <c r="A44" s="29" t="s">
        <v>366</v>
      </c>
      <c r="B44" s="29"/>
      <c r="C44" s="29">
        <v>36500028</v>
      </c>
      <c r="G44" s="29" t="s">
        <v>823</v>
      </c>
      <c r="H44" s="29" t="s">
        <v>367</v>
      </c>
      <c r="I44" s="120">
        <v>45692</v>
      </c>
      <c r="J44" s="29"/>
      <c r="K44" s="29"/>
      <c r="L44" s="29"/>
      <c r="M44" s="29"/>
      <c r="N44" s="29"/>
      <c r="O44" s="29"/>
      <c r="P44" s="29"/>
      <c r="Q44" s="81"/>
      <c r="R44" s="29" t="s">
        <v>373</v>
      </c>
      <c r="S44" s="123"/>
    </row>
    <row r="45" spans="1:19" hidden="1">
      <c r="A45" s="29" t="s">
        <v>366</v>
      </c>
      <c r="B45" s="29"/>
      <c r="C45" s="29">
        <v>36500027</v>
      </c>
      <c r="G45" s="29" t="s">
        <v>823</v>
      </c>
      <c r="H45" s="29" t="s">
        <v>367</v>
      </c>
      <c r="I45" s="120">
        <v>45692</v>
      </c>
      <c r="J45" s="29"/>
      <c r="K45" s="29"/>
      <c r="L45" s="29"/>
      <c r="M45" s="29"/>
      <c r="N45" s="29"/>
      <c r="O45" s="29"/>
      <c r="P45" s="29"/>
      <c r="Q45" s="81"/>
      <c r="R45" s="29" t="s">
        <v>374</v>
      </c>
      <c r="S45" s="123"/>
    </row>
    <row r="46" spans="1:19" hidden="1">
      <c r="A46" s="29" t="s">
        <v>366</v>
      </c>
      <c r="B46" s="29"/>
      <c r="C46" s="29">
        <v>36500026</v>
      </c>
      <c r="G46" s="29" t="s">
        <v>823</v>
      </c>
      <c r="H46" s="29" t="s">
        <v>367</v>
      </c>
      <c r="I46" s="120">
        <v>45692</v>
      </c>
      <c r="J46" s="29"/>
      <c r="K46" s="29"/>
      <c r="L46" s="29"/>
      <c r="M46" s="29"/>
      <c r="N46" s="29"/>
      <c r="O46" s="29"/>
      <c r="P46" s="29"/>
      <c r="Q46" s="81"/>
      <c r="R46" s="29" t="s">
        <v>375</v>
      </c>
      <c r="S46" s="123"/>
    </row>
    <row r="47" spans="1:19" hidden="1">
      <c r="A47" s="29" t="s">
        <v>366</v>
      </c>
      <c r="B47" s="29"/>
      <c r="C47" s="29">
        <v>36500024</v>
      </c>
      <c r="G47" s="29" t="s">
        <v>823</v>
      </c>
      <c r="H47" s="29" t="s">
        <v>367</v>
      </c>
      <c r="I47" s="120">
        <v>45692</v>
      </c>
      <c r="J47" s="29"/>
      <c r="K47" s="29"/>
      <c r="L47" s="29"/>
      <c r="M47" s="29"/>
      <c r="N47" s="29"/>
      <c r="O47" s="29"/>
      <c r="P47" s="29"/>
      <c r="Q47" s="81"/>
      <c r="R47" s="29" t="s">
        <v>376</v>
      </c>
      <c r="S47" s="123"/>
    </row>
    <row r="48" spans="1:19" hidden="1">
      <c r="A48" s="29" t="s">
        <v>366</v>
      </c>
      <c r="B48" s="29"/>
      <c r="C48" s="29">
        <v>36500023</v>
      </c>
      <c r="G48" s="29" t="s">
        <v>823</v>
      </c>
      <c r="H48" s="29" t="s">
        <v>367</v>
      </c>
      <c r="I48" s="120">
        <v>45692</v>
      </c>
      <c r="J48" s="29"/>
      <c r="K48" s="29"/>
      <c r="L48" s="29"/>
      <c r="M48" s="29"/>
      <c r="N48" s="29"/>
      <c r="O48" s="29"/>
      <c r="P48" s="29"/>
      <c r="Q48" s="81"/>
      <c r="R48" s="29" t="s">
        <v>377</v>
      </c>
      <c r="S48" s="123"/>
    </row>
    <row r="49" spans="1:19" hidden="1">
      <c r="A49" s="29" t="s">
        <v>366</v>
      </c>
      <c r="B49" s="29"/>
      <c r="C49" s="29">
        <v>36500022</v>
      </c>
      <c r="G49" s="29" t="s">
        <v>823</v>
      </c>
      <c r="H49" s="29" t="s">
        <v>367</v>
      </c>
      <c r="I49" s="120">
        <v>45692</v>
      </c>
      <c r="J49" s="29"/>
      <c r="K49" s="29"/>
      <c r="L49" s="29"/>
      <c r="M49" s="29"/>
      <c r="N49" s="29"/>
      <c r="O49" s="29"/>
      <c r="P49" s="29"/>
      <c r="Q49" s="81"/>
      <c r="R49" s="29" t="s">
        <v>378</v>
      </c>
      <c r="S49" s="123"/>
    </row>
    <row r="50" spans="1:19" hidden="1">
      <c r="A50" s="29" t="s">
        <v>366</v>
      </c>
      <c r="B50" s="29"/>
      <c r="C50" s="29">
        <v>36500021</v>
      </c>
      <c r="G50" s="29" t="s">
        <v>823</v>
      </c>
      <c r="H50" s="29" t="s">
        <v>367</v>
      </c>
      <c r="I50" s="120">
        <v>45692</v>
      </c>
      <c r="J50" s="29"/>
      <c r="K50" s="29"/>
      <c r="L50" s="29"/>
      <c r="M50" s="29"/>
      <c r="N50" s="29"/>
      <c r="O50" s="29"/>
      <c r="P50" s="29"/>
      <c r="Q50" s="81"/>
      <c r="R50" s="29" t="s">
        <v>372</v>
      </c>
      <c r="S50" s="123"/>
    </row>
    <row r="51" spans="1:19" hidden="1">
      <c r="A51" s="29" t="s">
        <v>366</v>
      </c>
      <c r="B51" s="29"/>
      <c r="C51" s="29">
        <v>36500020</v>
      </c>
      <c r="G51" s="29" t="s">
        <v>823</v>
      </c>
      <c r="H51" s="29" t="s">
        <v>367</v>
      </c>
      <c r="I51" s="120">
        <v>45692</v>
      </c>
      <c r="J51" s="29"/>
      <c r="K51" s="29"/>
      <c r="L51" s="29"/>
      <c r="M51" s="29"/>
      <c r="N51" s="29"/>
      <c r="O51" s="29"/>
      <c r="P51" s="29"/>
      <c r="Q51" s="81"/>
      <c r="R51" s="29" t="s">
        <v>371</v>
      </c>
      <c r="S51" s="123"/>
    </row>
    <row r="52" spans="1:19" hidden="1">
      <c r="A52" s="29" t="s">
        <v>366</v>
      </c>
      <c r="B52" s="29"/>
      <c r="C52" s="29">
        <v>41510494</v>
      </c>
      <c r="G52" s="29" t="s">
        <v>823</v>
      </c>
      <c r="H52" s="29" t="s">
        <v>367</v>
      </c>
      <c r="I52" s="120">
        <v>45694</v>
      </c>
      <c r="J52" s="29"/>
      <c r="K52" s="29"/>
      <c r="L52" s="29"/>
      <c r="M52" s="29"/>
      <c r="N52" s="29"/>
      <c r="O52" s="29"/>
      <c r="P52" s="29"/>
      <c r="Q52" s="81"/>
      <c r="R52" s="29" t="s">
        <v>446</v>
      </c>
      <c r="S52" s="123"/>
    </row>
    <row r="53" spans="1:19" hidden="1">
      <c r="A53" s="29" t="s">
        <v>366</v>
      </c>
      <c r="B53" s="29"/>
      <c r="C53" s="29">
        <v>41510481</v>
      </c>
      <c r="G53" s="29" t="s">
        <v>823</v>
      </c>
      <c r="H53" s="29" t="s">
        <v>367</v>
      </c>
      <c r="I53" s="120">
        <v>45694</v>
      </c>
      <c r="J53" s="29"/>
      <c r="K53" s="29"/>
      <c r="L53" s="29"/>
      <c r="M53" s="29"/>
      <c r="N53" s="29"/>
      <c r="O53" s="29"/>
      <c r="P53" s="29"/>
      <c r="Q53" s="81"/>
      <c r="R53" s="29" t="s">
        <v>447</v>
      </c>
      <c r="S53" s="123"/>
    </row>
    <row r="54" spans="1:19" hidden="1">
      <c r="A54" s="29" t="s">
        <v>366</v>
      </c>
      <c r="B54" s="29"/>
      <c r="C54" s="29">
        <v>41510470</v>
      </c>
      <c r="G54" s="29" t="s">
        <v>823</v>
      </c>
      <c r="H54" s="29" t="s">
        <v>367</v>
      </c>
      <c r="I54" s="120">
        <v>45694</v>
      </c>
      <c r="J54" s="29"/>
      <c r="K54" s="29"/>
      <c r="L54" s="29"/>
      <c r="M54" s="29"/>
      <c r="N54" s="29"/>
      <c r="O54" s="29"/>
      <c r="P54" s="29"/>
      <c r="Q54" s="81"/>
      <c r="R54" s="29" t="s">
        <v>448</v>
      </c>
      <c r="S54" s="123"/>
    </row>
    <row r="55" spans="1:19" hidden="1">
      <c r="A55" s="29" t="s">
        <v>366</v>
      </c>
      <c r="B55" s="29"/>
      <c r="C55" s="29">
        <v>41510452</v>
      </c>
      <c r="G55" s="29" t="s">
        <v>823</v>
      </c>
      <c r="H55" s="29" t="s">
        <v>367</v>
      </c>
      <c r="I55" s="120">
        <v>45694</v>
      </c>
      <c r="J55" s="29"/>
      <c r="K55" s="29"/>
      <c r="L55" s="29"/>
      <c r="M55" s="29"/>
      <c r="N55" s="29"/>
      <c r="O55" s="29"/>
      <c r="P55" s="29"/>
      <c r="Q55" s="81"/>
      <c r="R55" s="29" t="s">
        <v>449</v>
      </c>
      <c r="S55" s="123"/>
    </row>
    <row r="56" spans="1:19" hidden="1">
      <c r="A56" s="29" t="s">
        <v>366</v>
      </c>
      <c r="B56" s="29"/>
      <c r="C56" s="29">
        <v>41510441</v>
      </c>
      <c r="G56" s="29" t="s">
        <v>823</v>
      </c>
      <c r="H56" s="29" t="s">
        <v>367</v>
      </c>
      <c r="I56" s="120">
        <v>45694</v>
      </c>
      <c r="J56" s="29"/>
      <c r="K56" s="29"/>
      <c r="L56" s="29"/>
      <c r="M56" s="29"/>
      <c r="N56" s="29"/>
      <c r="O56" s="29"/>
      <c r="P56" s="29"/>
      <c r="Q56" s="81"/>
      <c r="R56" s="29" t="s">
        <v>450</v>
      </c>
      <c r="S56" s="123"/>
    </row>
    <row r="57" spans="1:19" hidden="1">
      <c r="A57" s="29" t="s">
        <v>366</v>
      </c>
      <c r="B57" s="29"/>
      <c r="C57" s="29">
        <v>41510437</v>
      </c>
      <c r="G57" s="29" t="s">
        <v>823</v>
      </c>
      <c r="H57" s="29" t="s">
        <v>367</v>
      </c>
      <c r="I57" s="120">
        <v>45694</v>
      </c>
      <c r="J57" s="29"/>
      <c r="K57" s="29"/>
      <c r="L57" s="29"/>
      <c r="M57" s="29"/>
      <c r="N57" s="29"/>
      <c r="O57" s="29"/>
      <c r="P57" s="29"/>
      <c r="Q57" s="81"/>
      <c r="R57" s="29" t="s">
        <v>451</v>
      </c>
      <c r="S57" s="123"/>
    </row>
    <row r="58" spans="1:19" hidden="1">
      <c r="A58" s="29" t="s">
        <v>366</v>
      </c>
      <c r="B58" s="29"/>
      <c r="C58" s="29">
        <v>41510416</v>
      </c>
      <c r="G58" s="29" t="s">
        <v>823</v>
      </c>
      <c r="H58" s="29" t="s">
        <v>367</v>
      </c>
      <c r="I58" s="120">
        <v>45694</v>
      </c>
      <c r="J58" s="29"/>
      <c r="K58" s="29"/>
      <c r="L58" s="29"/>
      <c r="M58" s="29"/>
      <c r="N58" s="29"/>
      <c r="O58" s="29"/>
      <c r="P58" s="29"/>
      <c r="Q58" s="81"/>
      <c r="R58" s="29" t="s">
        <v>452</v>
      </c>
      <c r="S58" s="123"/>
    </row>
    <row r="59" spans="1:19" hidden="1">
      <c r="A59" s="29" t="s">
        <v>366</v>
      </c>
      <c r="B59" s="29"/>
      <c r="C59" s="29">
        <v>41510403</v>
      </c>
      <c r="G59" s="29" t="s">
        <v>823</v>
      </c>
      <c r="H59" s="29" t="s">
        <v>367</v>
      </c>
      <c r="I59" s="120">
        <v>45694</v>
      </c>
      <c r="J59" s="29"/>
      <c r="K59" s="29"/>
      <c r="L59" s="29"/>
      <c r="M59" s="29"/>
      <c r="N59" s="29"/>
      <c r="O59" s="29"/>
      <c r="P59" s="29"/>
      <c r="Q59" s="81"/>
      <c r="R59" s="29" t="s">
        <v>453</v>
      </c>
      <c r="S59" s="123"/>
    </row>
    <row r="60" spans="1:19" hidden="1">
      <c r="A60" s="29" t="s">
        <v>366</v>
      </c>
      <c r="B60" s="29"/>
      <c r="C60" s="29">
        <v>41510390</v>
      </c>
      <c r="G60" s="29" t="s">
        <v>823</v>
      </c>
      <c r="H60" s="29" t="s">
        <v>367</v>
      </c>
      <c r="I60" s="120">
        <v>45694</v>
      </c>
      <c r="J60" s="29"/>
      <c r="K60" s="29"/>
      <c r="L60" s="29"/>
      <c r="M60" s="29"/>
      <c r="N60" s="29"/>
      <c r="O60" s="29"/>
      <c r="P60" s="29"/>
      <c r="Q60" s="81"/>
      <c r="R60" s="29" t="s">
        <v>454</v>
      </c>
      <c r="S60" s="123"/>
    </row>
    <row r="61" spans="1:19" hidden="1">
      <c r="A61" s="29" t="s">
        <v>366</v>
      </c>
      <c r="B61" s="29"/>
      <c r="C61" s="29">
        <v>41510380</v>
      </c>
      <c r="G61" s="29" t="s">
        <v>823</v>
      </c>
      <c r="H61" s="29" t="s">
        <v>367</v>
      </c>
      <c r="I61" s="120">
        <v>45694</v>
      </c>
      <c r="J61" s="29"/>
      <c r="K61" s="29"/>
      <c r="L61" s="29"/>
      <c r="M61" s="29"/>
      <c r="N61" s="29"/>
      <c r="O61" s="29"/>
      <c r="P61" s="29"/>
      <c r="Q61" s="81"/>
      <c r="R61" s="29" t="s">
        <v>455</v>
      </c>
      <c r="S61" s="123"/>
    </row>
    <row r="62" spans="1:19" hidden="1">
      <c r="A62" s="29" t="s">
        <v>366</v>
      </c>
      <c r="B62" s="29"/>
      <c r="C62" s="29">
        <v>41510370</v>
      </c>
      <c r="G62" s="29" t="s">
        <v>823</v>
      </c>
      <c r="H62" s="29" t="s">
        <v>367</v>
      </c>
      <c r="I62" s="120">
        <v>45694</v>
      </c>
      <c r="J62" s="29"/>
      <c r="K62" s="29"/>
      <c r="L62" s="29"/>
      <c r="M62" s="29"/>
      <c r="N62" s="29"/>
      <c r="O62" s="29"/>
      <c r="P62" s="29"/>
      <c r="Q62" s="81"/>
      <c r="R62" s="29" t="s">
        <v>456</v>
      </c>
      <c r="S62" s="123"/>
    </row>
    <row r="63" spans="1:19" hidden="1">
      <c r="A63" s="29" t="s">
        <v>366</v>
      </c>
      <c r="B63" s="29"/>
      <c r="C63" s="29">
        <v>41510351</v>
      </c>
      <c r="G63" s="29" t="s">
        <v>823</v>
      </c>
      <c r="H63" s="29" t="s">
        <v>367</v>
      </c>
      <c r="I63" s="120">
        <v>45694</v>
      </c>
      <c r="J63" s="29"/>
      <c r="K63" s="29"/>
      <c r="L63" s="29"/>
      <c r="M63" s="29"/>
      <c r="N63" s="29"/>
      <c r="O63" s="29"/>
      <c r="P63" s="29"/>
      <c r="Q63" s="81"/>
      <c r="R63" s="29" t="s">
        <v>457</v>
      </c>
      <c r="S63" s="123"/>
    </row>
    <row r="64" spans="1:19" hidden="1">
      <c r="A64" s="29" t="s">
        <v>366</v>
      </c>
      <c r="B64" s="29"/>
      <c r="C64" s="29">
        <v>41510329</v>
      </c>
      <c r="G64" s="29" t="s">
        <v>823</v>
      </c>
      <c r="H64" s="29" t="s">
        <v>367</v>
      </c>
      <c r="I64" s="120">
        <v>45694</v>
      </c>
      <c r="J64" s="29"/>
      <c r="K64" s="29"/>
      <c r="L64" s="29"/>
      <c r="M64" s="29"/>
      <c r="N64" s="29"/>
      <c r="O64" s="29"/>
      <c r="P64" s="29"/>
      <c r="Q64" s="81"/>
      <c r="R64" s="29" t="s">
        <v>458</v>
      </c>
      <c r="S64" s="123"/>
    </row>
    <row r="65" spans="1:19" hidden="1">
      <c r="A65" s="41" t="s">
        <v>366</v>
      </c>
      <c r="B65" s="41"/>
      <c r="C65" s="41">
        <v>36500020</v>
      </c>
      <c r="G65" s="84" t="s">
        <v>823</v>
      </c>
      <c r="H65" s="29" t="s">
        <v>367</v>
      </c>
      <c r="I65" s="42">
        <v>45693</v>
      </c>
      <c r="J65" s="29"/>
      <c r="K65" s="29"/>
      <c r="L65" s="29"/>
      <c r="M65" s="29"/>
      <c r="N65" s="29"/>
      <c r="O65" s="29"/>
      <c r="P65" s="29"/>
      <c r="Q65" s="81"/>
      <c r="R65" s="41" t="s">
        <v>824</v>
      </c>
      <c r="S65" s="123"/>
    </row>
    <row r="66" spans="1:19" hidden="1">
      <c r="A66" s="41" t="s">
        <v>366</v>
      </c>
      <c r="B66" s="41"/>
      <c r="C66" s="41">
        <v>36500021</v>
      </c>
      <c r="G66" s="84" t="s">
        <v>823</v>
      </c>
      <c r="H66" s="29" t="s">
        <v>367</v>
      </c>
      <c r="I66" s="42">
        <v>45693</v>
      </c>
      <c r="J66" s="29"/>
      <c r="K66" s="29"/>
      <c r="L66" s="29"/>
      <c r="M66" s="29"/>
      <c r="N66" s="29"/>
      <c r="O66" s="29"/>
      <c r="P66" s="29"/>
      <c r="Q66" s="81"/>
      <c r="R66" s="41" t="s">
        <v>825</v>
      </c>
      <c r="S66" s="123"/>
    </row>
    <row r="67" spans="1:19" hidden="1">
      <c r="A67" s="41" t="s">
        <v>366</v>
      </c>
      <c r="B67" s="41"/>
      <c r="C67" s="41">
        <v>36500022</v>
      </c>
      <c r="G67" s="84" t="s">
        <v>823</v>
      </c>
      <c r="H67" s="29" t="s">
        <v>367</v>
      </c>
      <c r="I67" s="42">
        <v>45693</v>
      </c>
      <c r="J67" s="29"/>
      <c r="K67" s="29"/>
      <c r="L67" s="29"/>
      <c r="M67" s="29"/>
      <c r="N67" s="29"/>
      <c r="O67" s="29"/>
      <c r="P67" s="29"/>
      <c r="Q67" s="81"/>
      <c r="R67" s="41" t="s">
        <v>826</v>
      </c>
      <c r="S67" s="123"/>
    </row>
    <row r="68" spans="1:19" hidden="1">
      <c r="A68" s="41" t="s">
        <v>366</v>
      </c>
      <c r="B68" s="41"/>
      <c r="C68" s="41">
        <v>36500023</v>
      </c>
      <c r="G68" s="84" t="s">
        <v>823</v>
      </c>
      <c r="H68" s="29" t="s">
        <v>367</v>
      </c>
      <c r="I68" s="42">
        <v>45693</v>
      </c>
      <c r="J68" s="29"/>
      <c r="K68" s="29"/>
      <c r="L68" s="29"/>
      <c r="M68" s="29"/>
      <c r="N68" s="29"/>
      <c r="O68" s="29"/>
      <c r="P68" s="29"/>
      <c r="Q68" s="81"/>
      <c r="R68" s="41" t="s">
        <v>827</v>
      </c>
      <c r="S68" s="123"/>
    </row>
    <row r="69" spans="1:19" hidden="1">
      <c r="A69" s="41" t="s">
        <v>366</v>
      </c>
      <c r="B69" s="41"/>
      <c r="C69" s="41">
        <v>36500024</v>
      </c>
      <c r="G69" s="84" t="s">
        <v>823</v>
      </c>
      <c r="H69" s="29" t="s">
        <v>367</v>
      </c>
      <c r="I69" s="42">
        <v>45693</v>
      </c>
      <c r="J69" s="29"/>
      <c r="K69" s="29"/>
      <c r="L69" s="29"/>
      <c r="M69" s="29"/>
      <c r="N69" s="29"/>
      <c r="O69" s="29"/>
      <c r="P69" s="29"/>
      <c r="Q69" s="81"/>
      <c r="R69" s="41" t="s">
        <v>828</v>
      </c>
      <c r="S69" s="123"/>
    </row>
    <row r="70" spans="1:19" hidden="1">
      <c r="A70" s="41" t="s">
        <v>366</v>
      </c>
      <c r="B70" s="41"/>
      <c r="C70" s="41">
        <v>36500026</v>
      </c>
      <c r="G70" s="84" t="s">
        <v>823</v>
      </c>
      <c r="H70" s="29" t="s">
        <v>367</v>
      </c>
      <c r="I70" s="42">
        <v>45693</v>
      </c>
      <c r="J70" s="29"/>
      <c r="K70" s="29"/>
      <c r="L70" s="29"/>
      <c r="M70" s="29"/>
      <c r="N70" s="29"/>
      <c r="O70" s="29"/>
      <c r="P70" s="29"/>
      <c r="Q70" s="81"/>
      <c r="R70" s="41" t="s">
        <v>829</v>
      </c>
      <c r="S70" s="123"/>
    </row>
    <row r="71" spans="1:19" hidden="1">
      <c r="A71" s="41" t="s">
        <v>366</v>
      </c>
      <c r="B71" s="41"/>
      <c r="C71" s="41">
        <v>36500027</v>
      </c>
      <c r="G71" s="84" t="s">
        <v>823</v>
      </c>
      <c r="H71" s="29" t="s">
        <v>367</v>
      </c>
      <c r="I71" s="42">
        <v>45693</v>
      </c>
      <c r="J71" s="29"/>
      <c r="K71" s="29"/>
      <c r="L71" s="29"/>
      <c r="M71" s="29"/>
      <c r="N71" s="29"/>
      <c r="O71" s="29"/>
      <c r="P71" s="29"/>
      <c r="Q71" s="81"/>
      <c r="R71" s="41" t="s">
        <v>830</v>
      </c>
      <c r="S71" s="123"/>
    </row>
    <row r="72" spans="1:19" hidden="1">
      <c r="A72" s="41" t="s">
        <v>366</v>
      </c>
      <c r="B72" s="41"/>
      <c r="C72" s="41">
        <v>36500028</v>
      </c>
      <c r="G72" s="84" t="s">
        <v>823</v>
      </c>
      <c r="H72" s="29" t="s">
        <v>367</v>
      </c>
      <c r="I72" s="42">
        <v>45693</v>
      </c>
      <c r="J72" s="29"/>
      <c r="K72" s="29"/>
      <c r="L72" s="29"/>
      <c r="M72" s="29"/>
      <c r="N72" s="29"/>
      <c r="O72" s="29"/>
      <c r="P72" s="29"/>
      <c r="Q72" s="81"/>
      <c r="R72" s="41" t="s">
        <v>831</v>
      </c>
      <c r="S72" s="123"/>
    </row>
    <row r="73" spans="1:19" hidden="1">
      <c r="A73" s="41" t="s">
        <v>366</v>
      </c>
      <c r="B73" s="41"/>
      <c r="C73" s="41">
        <v>38506867</v>
      </c>
      <c r="G73" s="84" t="s">
        <v>823</v>
      </c>
      <c r="H73" s="29" t="s">
        <v>367</v>
      </c>
      <c r="I73" s="42">
        <v>45695</v>
      </c>
      <c r="J73" s="29"/>
      <c r="K73" s="29"/>
      <c r="L73" s="29"/>
      <c r="M73" s="29"/>
      <c r="N73" s="29"/>
      <c r="O73" s="29"/>
      <c r="P73" s="29"/>
      <c r="Q73" s="81"/>
      <c r="R73" s="41" t="s">
        <v>832</v>
      </c>
      <c r="S73" s="123"/>
    </row>
    <row r="74" spans="1:19" hidden="1">
      <c r="A74" s="41" t="s">
        <v>366</v>
      </c>
      <c r="B74" s="41"/>
      <c r="C74" s="41">
        <v>38506877</v>
      </c>
      <c r="G74" s="84" t="s">
        <v>823</v>
      </c>
      <c r="H74" s="29" t="s">
        <v>367</v>
      </c>
      <c r="I74" s="42">
        <v>45695</v>
      </c>
      <c r="J74" s="29"/>
      <c r="K74" s="29"/>
      <c r="L74" s="29"/>
      <c r="M74" s="29"/>
      <c r="N74" s="29"/>
      <c r="O74" s="29"/>
      <c r="P74" s="29"/>
      <c r="Q74" s="81"/>
      <c r="R74" s="41" t="s">
        <v>833</v>
      </c>
      <c r="S74" s="123"/>
    </row>
    <row r="75" spans="1:19" hidden="1">
      <c r="A75" s="41" t="s">
        <v>366</v>
      </c>
      <c r="B75" s="41"/>
      <c r="C75" s="41">
        <v>3506891</v>
      </c>
      <c r="G75" s="84" t="s">
        <v>823</v>
      </c>
      <c r="H75" s="29" t="s">
        <v>367</v>
      </c>
      <c r="I75" s="42">
        <v>45695</v>
      </c>
      <c r="J75" s="29"/>
      <c r="K75" s="29"/>
      <c r="L75" s="29"/>
      <c r="M75" s="29"/>
      <c r="N75" s="29"/>
      <c r="O75" s="29"/>
      <c r="P75" s="29"/>
      <c r="Q75" s="81"/>
      <c r="R75" s="41" t="s">
        <v>603</v>
      </c>
      <c r="S75" s="123"/>
    </row>
    <row r="76" spans="1:19" hidden="1">
      <c r="A76" s="41" t="s">
        <v>366</v>
      </c>
      <c r="B76" s="41"/>
      <c r="C76" s="41">
        <v>35506896</v>
      </c>
      <c r="G76" s="84" t="s">
        <v>823</v>
      </c>
      <c r="H76" s="29" t="s">
        <v>367</v>
      </c>
      <c r="I76" s="42">
        <v>45695</v>
      </c>
      <c r="J76" s="29"/>
      <c r="K76" s="29"/>
      <c r="L76" s="29"/>
      <c r="M76" s="29"/>
      <c r="N76" s="29"/>
      <c r="O76" s="29"/>
      <c r="P76" s="29"/>
      <c r="Q76" s="81"/>
      <c r="R76" s="41" t="s">
        <v>604</v>
      </c>
      <c r="S76" s="123"/>
    </row>
    <row r="77" spans="1:19" hidden="1">
      <c r="A77" s="41" t="s">
        <v>366</v>
      </c>
      <c r="B77" s="41"/>
      <c r="C77" s="41">
        <v>37508488</v>
      </c>
      <c r="G77" s="84" t="s">
        <v>823</v>
      </c>
      <c r="H77" s="29" t="s">
        <v>367</v>
      </c>
      <c r="I77" s="42">
        <v>45694</v>
      </c>
      <c r="J77" s="29"/>
      <c r="K77" s="29"/>
      <c r="L77" s="29"/>
      <c r="M77" s="29"/>
      <c r="N77" s="29"/>
      <c r="O77" s="29"/>
      <c r="P77" s="29"/>
      <c r="Q77" s="81"/>
      <c r="R77" s="41" t="s">
        <v>834</v>
      </c>
      <c r="S77" s="123"/>
    </row>
    <row r="78" spans="1:19" hidden="1">
      <c r="A78" s="41" t="s">
        <v>366</v>
      </c>
      <c r="B78" s="41"/>
      <c r="C78" s="41">
        <v>38506900</v>
      </c>
      <c r="G78" s="84" t="s">
        <v>823</v>
      </c>
      <c r="H78" s="29" t="s">
        <v>367</v>
      </c>
      <c r="I78" s="42">
        <v>45695</v>
      </c>
      <c r="J78" s="29"/>
      <c r="K78" s="29"/>
      <c r="L78" s="29"/>
      <c r="M78" s="29"/>
      <c r="N78" s="29"/>
      <c r="O78" s="29"/>
      <c r="P78" s="29"/>
      <c r="Q78" s="81"/>
      <c r="R78" s="41" t="s">
        <v>835</v>
      </c>
      <c r="S78" s="123"/>
    </row>
    <row r="79" spans="1:19" hidden="1">
      <c r="A79" s="41" t="s">
        <v>366</v>
      </c>
      <c r="B79" s="41"/>
      <c r="C79" s="41">
        <v>38506904</v>
      </c>
      <c r="G79" s="84" t="s">
        <v>823</v>
      </c>
      <c r="H79" s="29" t="s">
        <v>367</v>
      </c>
      <c r="I79" s="42">
        <v>45695</v>
      </c>
      <c r="J79" s="29"/>
      <c r="K79" s="29"/>
      <c r="L79" s="29"/>
      <c r="M79" s="29"/>
      <c r="N79" s="29"/>
      <c r="O79" s="29"/>
      <c r="P79" s="29"/>
      <c r="Q79" s="81"/>
      <c r="R79" s="41" t="s">
        <v>836</v>
      </c>
      <c r="S79" s="123"/>
    </row>
    <row r="80" spans="1:19" hidden="1">
      <c r="A80" s="41" t="s">
        <v>366</v>
      </c>
      <c r="B80" s="41"/>
      <c r="C80" s="41">
        <v>38506907</v>
      </c>
      <c r="G80" s="84" t="s">
        <v>823</v>
      </c>
      <c r="H80" s="29" t="s">
        <v>367</v>
      </c>
      <c r="I80" s="42">
        <v>45695</v>
      </c>
      <c r="J80" s="29"/>
      <c r="K80" s="29"/>
      <c r="L80" s="29"/>
      <c r="M80" s="29"/>
      <c r="N80" s="29"/>
      <c r="O80" s="29"/>
      <c r="P80" s="29"/>
      <c r="Q80" s="81"/>
      <c r="R80" s="41" t="s">
        <v>837</v>
      </c>
      <c r="S80" s="123"/>
    </row>
    <row r="81" spans="1:19" hidden="1">
      <c r="A81" s="41" t="s">
        <v>366</v>
      </c>
      <c r="B81" s="41"/>
      <c r="C81" s="41">
        <v>37508574</v>
      </c>
      <c r="G81" s="84" t="s">
        <v>823</v>
      </c>
      <c r="H81" s="29" t="s">
        <v>367</v>
      </c>
      <c r="I81" s="42">
        <v>45695</v>
      </c>
      <c r="J81" s="29"/>
      <c r="K81" s="29"/>
      <c r="L81" s="29"/>
      <c r="M81" s="29"/>
      <c r="N81" s="29"/>
      <c r="O81" s="29"/>
      <c r="P81" s="29"/>
      <c r="Q81" s="81"/>
      <c r="R81" s="41" t="s">
        <v>838</v>
      </c>
      <c r="S81" s="123"/>
    </row>
    <row r="82" spans="1:19" hidden="1">
      <c r="A82" s="41" t="s">
        <v>366</v>
      </c>
      <c r="B82" s="41"/>
      <c r="C82" s="41">
        <v>38506910</v>
      </c>
      <c r="G82" s="84" t="s">
        <v>823</v>
      </c>
      <c r="H82" s="29" t="s">
        <v>367</v>
      </c>
      <c r="I82" s="42">
        <v>45695</v>
      </c>
      <c r="J82" s="29"/>
      <c r="K82" s="29"/>
      <c r="L82" s="29"/>
      <c r="M82" s="29"/>
      <c r="N82" s="29"/>
      <c r="O82" s="29"/>
      <c r="P82" s="29"/>
      <c r="Q82" s="81"/>
      <c r="R82" s="41" t="s">
        <v>839</v>
      </c>
      <c r="S82" s="123"/>
    </row>
    <row r="83" spans="1:19" hidden="1">
      <c r="A83" s="41" t="s">
        <v>366</v>
      </c>
      <c r="B83" s="41"/>
      <c r="C83" s="41">
        <v>38506913</v>
      </c>
      <c r="G83" s="84" t="s">
        <v>823</v>
      </c>
      <c r="H83" s="29" t="s">
        <v>367</v>
      </c>
      <c r="I83" s="42">
        <v>45695</v>
      </c>
      <c r="J83" s="29"/>
      <c r="K83" s="29"/>
      <c r="L83" s="29"/>
      <c r="M83" s="29"/>
      <c r="N83" s="29"/>
      <c r="O83" s="29"/>
      <c r="P83" s="29"/>
      <c r="Q83" s="81"/>
      <c r="R83" s="41" t="s">
        <v>840</v>
      </c>
      <c r="S83" s="123"/>
    </row>
    <row r="84" spans="1:19" hidden="1">
      <c r="A84" s="41" t="s">
        <v>366</v>
      </c>
      <c r="B84" s="41"/>
      <c r="C84" s="41">
        <v>41510329</v>
      </c>
      <c r="G84" s="84" t="s">
        <v>823</v>
      </c>
      <c r="H84" s="29" t="s">
        <v>367</v>
      </c>
      <c r="I84" s="42">
        <v>45698</v>
      </c>
      <c r="J84" s="29"/>
      <c r="K84" s="29"/>
      <c r="L84" s="29"/>
      <c r="M84" s="29"/>
      <c r="N84" s="29"/>
      <c r="O84" s="29"/>
      <c r="P84" s="29"/>
      <c r="Q84" s="81"/>
      <c r="R84" s="41" t="s">
        <v>841</v>
      </c>
      <c r="S84" s="123"/>
    </row>
    <row r="85" spans="1:19" hidden="1">
      <c r="A85" s="41" t="s">
        <v>366</v>
      </c>
      <c r="B85" s="41"/>
      <c r="C85" s="41">
        <v>41510351</v>
      </c>
      <c r="G85" s="84" t="s">
        <v>823</v>
      </c>
      <c r="H85" s="29" t="s">
        <v>367</v>
      </c>
      <c r="I85" s="42">
        <v>45698</v>
      </c>
      <c r="J85" s="29"/>
      <c r="K85" s="29"/>
      <c r="L85" s="29"/>
      <c r="M85" s="29"/>
      <c r="N85" s="29"/>
      <c r="O85" s="29"/>
      <c r="P85" s="29"/>
      <c r="Q85" s="81"/>
      <c r="R85" s="41" t="s">
        <v>842</v>
      </c>
      <c r="S85" s="123"/>
    </row>
    <row r="86" spans="1:19" hidden="1">
      <c r="A86" s="41" t="s">
        <v>366</v>
      </c>
      <c r="B86" s="41"/>
      <c r="C86" s="41">
        <v>41510370</v>
      </c>
      <c r="G86" s="84" t="s">
        <v>823</v>
      </c>
      <c r="H86" s="29" t="s">
        <v>367</v>
      </c>
      <c r="I86" s="42">
        <v>45698</v>
      </c>
      <c r="J86" s="29"/>
      <c r="K86" s="29"/>
      <c r="L86" s="29"/>
      <c r="M86" s="29"/>
      <c r="N86" s="29"/>
      <c r="O86" s="29"/>
      <c r="P86" s="29"/>
      <c r="Q86" s="81"/>
      <c r="R86" s="41" t="s">
        <v>843</v>
      </c>
      <c r="S86" s="123"/>
    </row>
    <row r="87" spans="1:19" hidden="1">
      <c r="A87" s="41" t="s">
        <v>366</v>
      </c>
      <c r="B87" s="41"/>
      <c r="C87" s="41">
        <v>41510380</v>
      </c>
      <c r="G87" s="84" t="s">
        <v>823</v>
      </c>
      <c r="H87" s="29" t="s">
        <v>367</v>
      </c>
      <c r="I87" s="42">
        <v>45698</v>
      </c>
      <c r="J87" s="29"/>
      <c r="K87" s="29"/>
      <c r="L87" s="29"/>
      <c r="M87" s="29"/>
      <c r="N87" s="29"/>
      <c r="O87" s="29"/>
      <c r="P87" s="29"/>
      <c r="Q87" s="81"/>
      <c r="R87" s="41" t="s">
        <v>844</v>
      </c>
      <c r="S87" s="123"/>
    </row>
    <row r="88" spans="1:19" hidden="1">
      <c r="A88" s="41" t="s">
        <v>366</v>
      </c>
      <c r="B88" s="41"/>
      <c r="C88" s="41">
        <v>41510390</v>
      </c>
      <c r="G88" s="84" t="s">
        <v>823</v>
      </c>
      <c r="H88" s="29" t="s">
        <v>367</v>
      </c>
      <c r="I88" s="42">
        <v>45698</v>
      </c>
      <c r="J88" s="29"/>
      <c r="K88" s="29"/>
      <c r="L88" s="29"/>
      <c r="M88" s="29"/>
      <c r="N88" s="29"/>
      <c r="O88" s="29"/>
      <c r="P88" s="29"/>
      <c r="Q88" s="81"/>
      <c r="R88" s="41" t="s">
        <v>845</v>
      </c>
      <c r="S88" s="123"/>
    </row>
    <row r="89" spans="1:19" hidden="1">
      <c r="A89" s="41" t="s">
        <v>366</v>
      </c>
      <c r="B89" s="41"/>
      <c r="C89" s="41">
        <v>41510403</v>
      </c>
      <c r="G89" s="84" t="s">
        <v>823</v>
      </c>
      <c r="H89" s="29" t="s">
        <v>367</v>
      </c>
      <c r="I89" s="42">
        <v>45698</v>
      </c>
      <c r="J89" s="29"/>
      <c r="K89" s="29"/>
      <c r="L89" s="29"/>
      <c r="M89" s="29"/>
      <c r="N89" s="29"/>
      <c r="O89" s="29"/>
      <c r="P89" s="29"/>
      <c r="Q89" s="81"/>
      <c r="R89" s="41" t="s">
        <v>846</v>
      </c>
      <c r="S89" s="123"/>
    </row>
    <row r="90" spans="1:19" hidden="1">
      <c r="A90" s="41" t="s">
        <v>366</v>
      </c>
      <c r="B90" s="41"/>
      <c r="C90" s="41">
        <v>41510416</v>
      </c>
      <c r="G90" s="84" t="s">
        <v>823</v>
      </c>
      <c r="H90" s="29" t="s">
        <v>367</v>
      </c>
      <c r="I90" s="42">
        <v>45698</v>
      </c>
      <c r="J90" s="29"/>
      <c r="K90" s="29"/>
      <c r="L90" s="29"/>
      <c r="M90" s="29"/>
      <c r="N90" s="29"/>
      <c r="O90" s="29"/>
      <c r="P90" s="29"/>
      <c r="Q90" s="81"/>
      <c r="R90" s="41" t="s">
        <v>847</v>
      </c>
      <c r="S90" s="123"/>
    </row>
    <row r="91" spans="1:19" hidden="1">
      <c r="A91" s="41" t="s">
        <v>366</v>
      </c>
      <c r="B91" s="41"/>
      <c r="C91" s="41">
        <v>41510437</v>
      </c>
      <c r="G91" s="84" t="s">
        <v>823</v>
      </c>
      <c r="H91" s="29" t="s">
        <v>367</v>
      </c>
      <c r="I91" s="42">
        <v>45698</v>
      </c>
      <c r="J91" s="29"/>
      <c r="K91" s="29"/>
      <c r="L91" s="29"/>
      <c r="M91" s="29"/>
      <c r="N91" s="29"/>
      <c r="O91" s="29"/>
      <c r="P91" s="29"/>
      <c r="Q91" s="81"/>
      <c r="R91" s="41" t="s">
        <v>848</v>
      </c>
      <c r="S91" s="123"/>
    </row>
    <row r="92" spans="1:19" hidden="1">
      <c r="A92" s="41" t="s">
        <v>366</v>
      </c>
      <c r="B92" s="41"/>
      <c r="C92" s="41">
        <v>41510441</v>
      </c>
      <c r="G92" s="84" t="s">
        <v>823</v>
      </c>
      <c r="H92" s="29" t="s">
        <v>367</v>
      </c>
      <c r="I92" s="42">
        <v>45698</v>
      </c>
      <c r="J92" s="29"/>
      <c r="K92" s="29"/>
      <c r="L92" s="29"/>
      <c r="M92" s="29"/>
      <c r="N92" s="29"/>
      <c r="O92" s="29"/>
      <c r="P92" s="29"/>
      <c r="Q92" s="81"/>
      <c r="R92" s="41" t="s">
        <v>849</v>
      </c>
      <c r="S92" s="123"/>
    </row>
    <row r="93" spans="1:19" hidden="1">
      <c r="A93" s="41" t="s">
        <v>366</v>
      </c>
      <c r="B93" s="41"/>
      <c r="C93" s="41">
        <v>41510452</v>
      </c>
      <c r="G93" s="84" t="s">
        <v>823</v>
      </c>
      <c r="H93" s="29" t="s">
        <v>367</v>
      </c>
      <c r="I93" s="42">
        <v>45698</v>
      </c>
      <c r="J93" s="29"/>
      <c r="K93" s="29"/>
      <c r="L93" s="29"/>
      <c r="M93" s="29"/>
      <c r="N93" s="29"/>
      <c r="O93" s="29"/>
      <c r="P93" s="29"/>
      <c r="Q93" s="81"/>
      <c r="R93" s="41" t="s">
        <v>850</v>
      </c>
      <c r="S93" s="123"/>
    </row>
    <row r="94" spans="1:19" hidden="1">
      <c r="A94" s="41" t="s">
        <v>366</v>
      </c>
      <c r="B94" s="41"/>
      <c r="C94" s="41">
        <v>41510470</v>
      </c>
      <c r="G94" s="84" t="s">
        <v>823</v>
      </c>
      <c r="H94" s="29" t="s">
        <v>367</v>
      </c>
      <c r="I94" s="42">
        <v>45698</v>
      </c>
      <c r="J94" s="29"/>
      <c r="K94" s="29"/>
      <c r="L94" s="29"/>
      <c r="M94" s="29"/>
      <c r="N94" s="29"/>
      <c r="O94" s="29"/>
      <c r="P94" s="29"/>
      <c r="Q94" s="81"/>
      <c r="R94" s="41" t="s">
        <v>851</v>
      </c>
      <c r="S94" s="123"/>
    </row>
    <row r="95" spans="1:19" hidden="1">
      <c r="A95" s="41" t="s">
        <v>366</v>
      </c>
      <c r="B95" s="41"/>
      <c r="C95" s="41">
        <v>41510481</v>
      </c>
      <c r="G95" s="84" t="s">
        <v>823</v>
      </c>
      <c r="H95" s="29" t="s">
        <v>367</v>
      </c>
      <c r="I95" s="42">
        <v>45698</v>
      </c>
      <c r="J95" s="29"/>
      <c r="K95" s="29"/>
      <c r="L95" s="29"/>
      <c r="M95" s="29"/>
      <c r="N95" s="29"/>
      <c r="O95" s="29"/>
      <c r="P95" s="29"/>
      <c r="Q95" s="81"/>
      <c r="R95" s="41" t="s">
        <v>852</v>
      </c>
      <c r="S95" s="123"/>
    </row>
    <row r="96" spans="1:19" hidden="1">
      <c r="A96" s="41" t="s">
        <v>366</v>
      </c>
      <c r="B96" s="41"/>
      <c r="C96" s="41">
        <v>41510494</v>
      </c>
      <c r="G96" s="84" t="s">
        <v>823</v>
      </c>
      <c r="H96" s="29" t="s">
        <v>367</v>
      </c>
      <c r="I96" s="42">
        <v>45698</v>
      </c>
      <c r="J96" s="29"/>
      <c r="K96" s="29"/>
      <c r="L96" s="29"/>
      <c r="M96" s="29"/>
      <c r="N96" s="29"/>
      <c r="O96" s="29"/>
      <c r="P96" s="29"/>
      <c r="Q96" s="81"/>
      <c r="R96" s="41" t="s">
        <v>853</v>
      </c>
      <c r="S96" s="123"/>
    </row>
    <row r="97" spans="1:19" hidden="1">
      <c r="A97" s="29" t="s">
        <v>366</v>
      </c>
      <c r="B97" s="29"/>
      <c r="C97" s="29">
        <v>38506913</v>
      </c>
      <c r="G97" s="29" t="s">
        <v>823</v>
      </c>
      <c r="H97" s="29" t="s">
        <v>367</v>
      </c>
      <c r="I97" s="120">
        <v>45694</v>
      </c>
      <c r="J97" s="29"/>
      <c r="K97" s="29"/>
      <c r="L97" s="29"/>
      <c r="M97" s="29"/>
      <c r="N97" s="29"/>
      <c r="O97" s="29"/>
      <c r="P97" s="29"/>
      <c r="Q97" s="81"/>
      <c r="R97" s="29" t="s">
        <v>368</v>
      </c>
      <c r="S97" s="123"/>
    </row>
    <row r="98" spans="1:19" hidden="1">
      <c r="A98" s="29" t="s">
        <v>366</v>
      </c>
      <c r="B98" s="29"/>
      <c r="C98" s="29">
        <v>38506910</v>
      </c>
      <c r="G98" s="29" t="s">
        <v>823</v>
      </c>
      <c r="H98" s="29" t="s">
        <v>367</v>
      </c>
      <c r="I98" s="120">
        <v>45694</v>
      </c>
      <c r="J98" s="29"/>
      <c r="K98" s="29"/>
      <c r="L98" s="29"/>
      <c r="M98" s="29"/>
      <c r="N98" s="29"/>
      <c r="O98" s="29"/>
      <c r="P98" s="29"/>
      <c r="Q98" s="81"/>
      <c r="R98" s="29" t="s">
        <v>477</v>
      </c>
      <c r="S98" s="123"/>
    </row>
    <row r="99" spans="1:19" hidden="1">
      <c r="A99" s="29" t="s">
        <v>366</v>
      </c>
      <c r="B99" s="29"/>
      <c r="C99" s="29">
        <v>38506907</v>
      </c>
      <c r="G99" s="29" t="s">
        <v>823</v>
      </c>
      <c r="H99" s="29" t="s">
        <v>367</v>
      </c>
      <c r="I99" s="120">
        <v>45694</v>
      </c>
      <c r="J99" s="29"/>
      <c r="K99" s="29"/>
      <c r="L99" s="29"/>
      <c r="M99" s="29"/>
      <c r="N99" s="29"/>
      <c r="O99" s="29"/>
      <c r="P99" s="29"/>
      <c r="Q99" s="81"/>
      <c r="R99" s="29" t="s">
        <v>478</v>
      </c>
      <c r="S99" s="123"/>
    </row>
    <row r="100" spans="1:19" hidden="1">
      <c r="A100" s="29" t="s">
        <v>366</v>
      </c>
      <c r="B100" s="29"/>
      <c r="C100" s="29">
        <v>38506904</v>
      </c>
      <c r="G100" s="29" t="s">
        <v>823</v>
      </c>
      <c r="H100" s="29" t="s">
        <v>367</v>
      </c>
      <c r="I100" s="120">
        <v>45694</v>
      </c>
      <c r="J100" s="29"/>
      <c r="K100" s="29"/>
      <c r="L100" s="29"/>
      <c r="M100" s="29"/>
      <c r="N100" s="29"/>
      <c r="O100" s="29"/>
      <c r="P100" s="29"/>
      <c r="Q100" s="81"/>
      <c r="R100" s="29" t="s">
        <v>479</v>
      </c>
      <c r="S100" s="123"/>
    </row>
    <row r="101" spans="1:19" hidden="1">
      <c r="A101" s="29" t="s">
        <v>366</v>
      </c>
      <c r="B101" s="29"/>
      <c r="C101" s="29">
        <v>38506900</v>
      </c>
      <c r="G101" s="29" t="s">
        <v>823</v>
      </c>
      <c r="H101" s="29" t="s">
        <v>367</v>
      </c>
      <c r="I101" s="120">
        <v>45694</v>
      </c>
      <c r="J101" s="29"/>
      <c r="K101" s="29"/>
      <c r="L101" s="29"/>
      <c r="M101" s="29"/>
      <c r="N101" s="29"/>
      <c r="O101" s="29"/>
      <c r="P101" s="29"/>
      <c r="Q101" s="81"/>
      <c r="R101" s="29" t="s">
        <v>480</v>
      </c>
      <c r="S101" s="123"/>
    </row>
    <row r="102" spans="1:19" hidden="1">
      <c r="A102" s="29" t="s">
        <v>366</v>
      </c>
      <c r="B102" s="29"/>
      <c r="C102" s="29">
        <v>38506896</v>
      </c>
      <c r="G102" s="29" t="s">
        <v>823</v>
      </c>
      <c r="H102" s="29" t="s">
        <v>367</v>
      </c>
      <c r="I102" s="120">
        <v>45694</v>
      </c>
      <c r="J102" s="29"/>
      <c r="K102" s="29"/>
      <c r="L102" s="29"/>
      <c r="M102" s="29"/>
      <c r="N102" s="29"/>
      <c r="O102" s="29"/>
      <c r="P102" s="29"/>
      <c r="Q102" s="81"/>
      <c r="R102" s="29" t="s">
        <v>481</v>
      </c>
      <c r="S102" s="123"/>
    </row>
    <row r="103" spans="1:19" hidden="1">
      <c r="A103" s="29" t="s">
        <v>366</v>
      </c>
      <c r="B103" s="29"/>
      <c r="C103" s="29">
        <v>38506891</v>
      </c>
      <c r="G103" s="29" t="s">
        <v>823</v>
      </c>
      <c r="H103" s="29" t="s">
        <v>367</v>
      </c>
      <c r="I103" s="120">
        <v>45694</v>
      </c>
      <c r="J103" s="29"/>
      <c r="K103" s="29"/>
      <c r="L103" s="29"/>
      <c r="M103" s="29"/>
      <c r="N103" s="29"/>
      <c r="O103" s="29"/>
      <c r="P103" s="29"/>
      <c r="Q103" s="81"/>
      <c r="R103" s="29" t="s">
        <v>482</v>
      </c>
      <c r="S103" s="123"/>
    </row>
    <row r="104" spans="1:19" hidden="1">
      <c r="A104" s="29" t="s">
        <v>366</v>
      </c>
      <c r="B104" s="29"/>
      <c r="C104" s="29">
        <v>38506877</v>
      </c>
      <c r="G104" s="29" t="s">
        <v>823</v>
      </c>
      <c r="H104" s="29" t="s">
        <v>367</v>
      </c>
      <c r="I104" s="120">
        <v>45694</v>
      </c>
      <c r="J104" s="29"/>
      <c r="K104" s="29"/>
      <c r="L104" s="29"/>
      <c r="M104" s="29"/>
      <c r="N104" s="29"/>
      <c r="O104" s="29"/>
      <c r="P104" s="29"/>
      <c r="Q104" s="81"/>
      <c r="R104" s="29" t="s">
        <v>483</v>
      </c>
      <c r="S104" s="123"/>
    </row>
    <row r="105" spans="1:19" hidden="1">
      <c r="A105" s="29" t="s">
        <v>366</v>
      </c>
      <c r="B105" s="29"/>
      <c r="C105" s="29">
        <v>38506867</v>
      </c>
      <c r="G105" s="29" t="s">
        <v>823</v>
      </c>
      <c r="H105" s="29" t="s">
        <v>367</v>
      </c>
      <c r="I105" s="120">
        <v>45694</v>
      </c>
      <c r="J105" s="29"/>
      <c r="K105" s="29"/>
      <c r="L105" s="29"/>
      <c r="M105" s="29"/>
      <c r="N105" s="29"/>
      <c r="O105" s="29"/>
      <c r="P105" s="29"/>
      <c r="Q105" s="81"/>
      <c r="R105" s="29" t="s">
        <v>484</v>
      </c>
      <c r="S105" s="123"/>
    </row>
    <row r="106" spans="1:19" hidden="1">
      <c r="A106" s="29" t="s">
        <v>366</v>
      </c>
      <c r="B106" s="29"/>
      <c r="C106" s="29">
        <v>37508574</v>
      </c>
      <c r="G106" s="29" t="s">
        <v>823</v>
      </c>
      <c r="H106" s="29" t="s">
        <v>367</v>
      </c>
      <c r="I106" s="120">
        <v>45694</v>
      </c>
      <c r="J106" s="29"/>
      <c r="K106" s="29"/>
      <c r="L106" s="29"/>
      <c r="M106" s="29"/>
      <c r="N106" s="29"/>
      <c r="O106" s="29"/>
      <c r="P106" s="29"/>
      <c r="Q106" s="81"/>
      <c r="R106" s="29" t="s">
        <v>506</v>
      </c>
      <c r="S106" s="123"/>
    </row>
    <row r="107" spans="1:19" hidden="1">
      <c r="A107" s="29" t="s">
        <v>366</v>
      </c>
      <c r="B107" s="29"/>
      <c r="C107" s="29">
        <v>37508571</v>
      </c>
      <c r="G107" s="29" t="s">
        <v>823</v>
      </c>
      <c r="H107" s="29" t="s">
        <v>367</v>
      </c>
      <c r="I107" s="120">
        <v>45694</v>
      </c>
      <c r="J107" s="29"/>
      <c r="K107" s="29"/>
      <c r="L107" s="29"/>
      <c r="M107" s="29"/>
      <c r="N107" s="29"/>
      <c r="O107" s="29"/>
      <c r="P107" s="29"/>
      <c r="Q107" s="81"/>
      <c r="R107" s="29" t="s">
        <v>506</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392</v>
      </c>
      <c r="B109" s="29"/>
      <c r="C109" s="29">
        <v>35501743</v>
      </c>
      <c r="G109" s="29" t="s">
        <v>823</v>
      </c>
      <c r="H109" s="29" t="s">
        <v>315</v>
      </c>
      <c r="I109" s="120">
        <v>45692</v>
      </c>
      <c r="J109" s="29"/>
      <c r="K109" s="29"/>
      <c r="L109" s="29"/>
      <c r="M109" s="29"/>
      <c r="N109" s="29"/>
      <c r="O109" s="29"/>
      <c r="P109" s="29"/>
      <c r="Q109" s="81"/>
      <c r="R109" s="29" t="s">
        <v>393</v>
      </c>
      <c r="S109" s="123"/>
    </row>
    <row r="110" spans="1:19" hidden="1">
      <c r="A110" s="29" t="s">
        <v>392</v>
      </c>
      <c r="B110" s="29"/>
      <c r="C110" s="29">
        <v>35501713</v>
      </c>
      <c r="G110" s="29" t="s">
        <v>823</v>
      </c>
      <c r="H110" s="29" t="s">
        <v>315</v>
      </c>
      <c r="I110" s="120">
        <v>45692</v>
      </c>
      <c r="J110" s="29"/>
      <c r="K110" s="29"/>
      <c r="L110" s="29"/>
      <c r="M110" s="29"/>
      <c r="N110" s="29"/>
      <c r="O110" s="29"/>
      <c r="P110" s="29"/>
      <c r="Q110" s="81"/>
      <c r="R110" s="29" t="s">
        <v>393</v>
      </c>
      <c r="S110" s="123"/>
    </row>
    <row r="111" spans="1:19" hidden="1">
      <c r="A111" s="29" t="s">
        <v>392</v>
      </c>
      <c r="B111" s="29"/>
      <c r="C111" s="29">
        <v>35501673</v>
      </c>
      <c r="G111" s="29" t="s">
        <v>823</v>
      </c>
      <c r="H111" s="29" t="s">
        <v>315</v>
      </c>
      <c r="I111" s="120">
        <v>45692</v>
      </c>
      <c r="J111" s="29"/>
      <c r="K111" s="29"/>
      <c r="L111" s="29"/>
      <c r="M111" s="29"/>
      <c r="N111" s="29"/>
      <c r="O111" s="29"/>
      <c r="P111" s="29"/>
      <c r="Q111" s="81"/>
      <c r="R111" s="29" t="s">
        <v>394</v>
      </c>
      <c r="S111" s="123"/>
    </row>
    <row r="112" spans="1:19" hidden="1">
      <c r="A112" s="29" t="s">
        <v>392</v>
      </c>
      <c r="B112" s="29"/>
      <c r="C112" s="29">
        <v>35501638</v>
      </c>
      <c r="G112" s="29" t="s">
        <v>823</v>
      </c>
      <c r="H112" s="29" t="s">
        <v>315</v>
      </c>
      <c r="I112" s="120">
        <v>45692</v>
      </c>
      <c r="J112" s="29"/>
      <c r="K112" s="29"/>
      <c r="L112" s="29"/>
      <c r="M112" s="29"/>
      <c r="N112" s="29"/>
      <c r="O112" s="29"/>
      <c r="P112" s="29"/>
      <c r="Q112" s="81"/>
      <c r="R112" s="29" t="s">
        <v>395</v>
      </c>
      <c r="S112" s="123"/>
    </row>
    <row r="113" spans="1:19" hidden="1">
      <c r="A113" s="29" t="s">
        <v>392</v>
      </c>
      <c r="B113" s="29"/>
      <c r="C113" s="29">
        <v>35501580</v>
      </c>
      <c r="G113" s="29" t="s">
        <v>823</v>
      </c>
      <c r="H113" s="29" t="s">
        <v>315</v>
      </c>
      <c r="I113" s="120">
        <v>45692</v>
      </c>
      <c r="J113" s="29"/>
      <c r="K113" s="29"/>
      <c r="L113" s="29"/>
      <c r="M113" s="29"/>
      <c r="N113" s="29"/>
      <c r="O113" s="29"/>
      <c r="P113" s="29"/>
      <c r="Q113" s="81"/>
      <c r="R113" s="29" t="s">
        <v>393</v>
      </c>
      <c r="S113" s="123"/>
    </row>
    <row r="114" spans="1:19" hidden="1">
      <c r="A114" s="29" t="s">
        <v>392</v>
      </c>
      <c r="B114" s="29"/>
      <c r="C114" s="29">
        <v>35501515</v>
      </c>
      <c r="G114" s="29" t="s">
        <v>823</v>
      </c>
      <c r="H114" s="29" t="s">
        <v>315</v>
      </c>
      <c r="I114" s="120">
        <v>45692</v>
      </c>
      <c r="J114" s="29"/>
      <c r="K114" s="29"/>
      <c r="L114" s="29"/>
      <c r="M114" s="29"/>
      <c r="N114" s="29"/>
      <c r="O114" s="29"/>
      <c r="P114" s="29"/>
      <c r="Q114" s="81"/>
      <c r="R114" s="29" t="s">
        <v>396</v>
      </c>
      <c r="S114" s="123"/>
    </row>
    <row r="115" spans="1:19" hidden="1">
      <c r="A115" s="29" t="s">
        <v>392</v>
      </c>
      <c r="B115" s="29"/>
      <c r="C115" s="29">
        <v>35501463</v>
      </c>
      <c r="G115" s="29" t="s">
        <v>823</v>
      </c>
      <c r="H115" s="29" t="s">
        <v>315</v>
      </c>
      <c r="I115" s="120">
        <v>45692</v>
      </c>
      <c r="J115" s="29"/>
      <c r="K115" s="29"/>
      <c r="L115" s="29"/>
      <c r="M115" s="29"/>
      <c r="N115" s="29"/>
      <c r="O115" s="29"/>
      <c r="P115" s="29"/>
      <c r="Q115" s="81"/>
      <c r="R115" s="29" t="s">
        <v>397</v>
      </c>
      <c r="S115" s="123"/>
    </row>
    <row r="116" spans="1:19" hidden="1">
      <c r="A116" s="29" t="s">
        <v>392</v>
      </c>
      <c r="B116" s="29"/>
      <c r="C116" s="29">
        <v>35501422</v>
      </c>
      <c r="G116" s="29" t="s">
        <v>823</v>
      </c>
      <c r="H116" s="29" t="s">
        <v>315</v>
      </c>
      <c r="I116" s="120">
        <v>45692</v>
      </c>
      <c r="J116" s="29"/>
      <c r="K116" s="29"/>
      <c r="L116" s="29"/>
      <c r="M116" s="29"/>
      <c r="N116" s="29"/>
      <c r="O116" s="29"/>
      <c r="P116" s="29"/>
      <c r="Q116" s="81"/>
      <c r="R116" s="29" t="s">
        <v>398</v>
      </c>
      <c r="S116" s="123"/>
    </row>
    <row r="117" spans="1:19" hidden="1">
      <c r="A117" s="29" t="s">
        <v>392</v>
      </c>
      <c r="B117" s="29"/>
      <c r="C117" s="29">
        <v>35501396</v>
      </c>
      <c r="G117" s="29" t="s">
        <v>823</v>
      </c>
      <c r="H117" s="29" t="s">
        <v>315</v>
      </c>
      <c r="I117" s="120">
        <v>45692</v>
      </c>
      <c r="J117" s="29"/>
      <c r="K117" s="29"/>
      <c r="L117" s="29"/>
      <c r="M117" s="29"/>
      <c r="N117" s="29"/>
      <c r="O117" s="29"/>
      <c r="P117" s="29"/>
      <c r="Q117" s="81"/>
      <c r="R117" s="29" t="s">
        <v>398</v>
      </c>
      <c r="S117" s="123"/>
    </row>
    <row r="118" spans="1:19" hidden="1">
      <c r="A118" s="29" t="s">
        <v>392</v>
      </c>
      <c r="B118" s="29"/>
      <c r="C118" s="29">
        <v>35501337</v>
      </c>
      <c r="G118" s="29" t="s">
        <v>823</v>
      </c>
      <c r="H118" s="29" t="s">
        <v>315</v>
      </c>
      <c r="I118" s="120">
        <v>45692</v>
      </c>
      <c r="J118" s="29"/>
      <c r="K118" s="29"/>
      <c r="L118" s="29"/>
      <c r="M118" s="29"/>
      <c r="N118" s="29"/>
      <c r="O118" s="29"/>
      <c r="P118" s="29"/>
      <c r="Q118" s="81"/>
      <c r="R118" s="29" t="s">
        <v>397</v>
      </c>
      <c r="S118" s="123"/>
    </row>
    <row r="119" spans="1:19" hidden="1">
      <c r="A119" s="29" t="s">
        <v>392</v>
      </c>
      <c r="B119" s="29"/>
      <c r="C119" s="29">
        <v>35501254</v>
      </c>
      <c r="G119" s="29" t="s">
        <v>823</v>
      </c>
      <c r="H119" s="29" t="s">
        <v>315</v>
      </c>
      <c r="I119" s="120">
        <v>45692</v>
      </c>
      <c r="J119" s="29"/>
      <c r="K119" s="29"/>
      <c r="L119" s="29"/>
      <c r="M119" s="29"/>
      <c r="N119" s="29"/>
      <c r="O119" s="29"/>
      <c r="P119" s="29"/>
      <c r="Q119" s="81"/>
      <c r="R119" s="29" t="s">
        <v>399</v>
      </c>
      <c r="S119" s="123"/>
    </row>
    <row r="120" spans="1:19" hidden="1">
      <c r="A120" s="29" t="s">
        <v>392</v>
      </c>
      <c r="B120" s="29"/>
      <c r="C120" s="29">
        <v>35501215</v>
      </c>
      <c r="G120" s="29" t="s">
        <v>823</v>
      </c>
      <c r="H120" s="29" t="s">
        <v>315</v>
      </c>
      <c r="I120" s="120">
        <v>45692</v>
      </c>
      <c r="J120" s="29"/>
      <c r="K120" s="29"/>
      <c r="L120" s="29"/>
      <c r="M120" s="29"/>
      <c r="N120" s="29"/>
      <c r="O120" s="29"/>
      <c r="P120" s="29"/>
      <c r="Q120" s="81"/>
      <c r="R120" s="29" t="s">
        <v>400</v>
      </c>
      <c r="S120" s="123"/>
    </row>
    <row r="121" spans="1:19" hidden="1">
      <c r="A121" s="29" t="s">
        <v>392</v>
      </c>
      <c r="B121" s="29"/>
      <c r="C121" s="29">
        <v>35501170</v>
      </c>
      <c r="G121" s="29" t="s">
        <v>823</v>
      </c>
      <c r="H121" s="29" t="s">
        <v>315</v>
      </c>
      <c r="I121" s="120">
        <v>45692</v>
      </c>
      <c r="J121" s="29"/>
      <c r="K121" s="29"/>
      <c r="L121" s="29"/>
      <c r="M121" s="29"/>
      <c r="N121" s="29"/>
      <c r="O121" s="29"/>
      <c r="P121" s="29"/>
      <c r="Q121" s="81"/>
      <c r="R121" s="29" t="s">
        <v>401</v>
      </c>
      <c r="S121" s="123"/>
    </row>
    <row r="122" spans="1:19" hidden="1">
      <c r="A122" s="29" t="s">
        <v>392</v>
      </c>
      <c r="B122" s="29"/>
      <c r="C122" s="29">
        <v>35501116</v>
      </c>
      <c r="G122" s="29" t="s">
        <v>823</v>
      </c>
      <c r="H122" s="29" t="s">
        <v>315</v>
      </c>
      <c r="I122" s="120">
        <v>45692</v>
      </c>
      <c r="J122" s="29"/>
      <c r="K122" s="29"/>
      <c r="L122" s="29"/>
      <c r="M122" s="29"/>
      <c r="N122" s="29"/>
      <c r="O122" s="29"/>
      <c r="P122" s="29"/>
      <c r="Q122" s="81"/>
      <c r="R122" s="29" t="s">
        <v>402</v>
      </c>
      <c r="S122" s="123"/>
    </row>
    <row r="123" spans="1:19" hidden="1">
      <c r="A123" s="29" t="s">
        <v>392</v>
      </c>
      <c r="B123" s="29"/>
      <c r="C123" s="29">
        <v>35501047</v>
      </c>
      <c r="G123" s="29" t="s">
        <v>823</v>
      </c>
      <c r="H123" s="29" t="s">
        <v>315</v>
      </c>
      <c r="I123" s="120">
        <v>45692</v>
      </c>
      <c r="J123" s="29"/>
      <c r="K123" s="29"/>
      <c r="L123" s="29"/>
      <c r="M123" s="29"/>
      <c r="N123" s="29"/>
      <c r="O123" s="29"/>
      <c r="P123" s="29"/>
      <c r="Q123" s="81"/>
      <c r="R123" s="29" t="s">
        <v>403</v>
      </c>
      <c r="S123" s="123"/>
    </row>
    <row r="124" spans="1:19" hidden="1">
      <c r="A124" s="29" t="s">
        <v>392</v>
      </c>
      <c r="B124" s="29"/>
      <c r="C124" s="29">
        <v>35501040</v>
      </c>
      <c r="G124" s="29" t="s">
        <v>823</v>
      </c>
      <c r="H124" s="29" t="s">
        <v>315</v>
      </c>
      <c r="I124" s="120">
        <v>45692</v>
      </c>
      <c r="J124" s="29"/>
      <c r="K124" s="29"/>
      <c r="L124" s="29"/>
      <c r="M124" s="29"/>
      <c r="N124" s="29"/>
      <c r="O124" s="29"/>
      <c r="P124" s="29"/>
      <c r="Q124" s="81"/>
      <c r="R124" s="29" t="s">
        <v>404</v>
      </c>
      <c r="S124" s="123"/>
    </row>
    <row r="125" spans="1:19" hidden="1">
      <c r="A125" s="29" t="s">
        <v>392</v>
      </c>
      <c r="B125" s="29"/>
      <c r="C125" s="29">
        <v>35501016</v>
      </c>
      <c r="G125" s="29" t="s">
        <v>823</v>
      </c>
      <c r="H125" s="29" t="s">
        <v>315</v>
      </c>
      <c r="I125" s="120">
        <v>45692</v>
      </c>
      <c r="J125" s="29"/>
      <c r="K125" s="29"/>
      <c r="L125" s="29"/>
      <c r="M125" s="29"/>
      <c r="N125" s="29"/>
      <c r="O125" s="29"/>
      <c r="P125" s="29"/>
      <c r="Q125" s="81"/>
      <c r="R125" s="29" t="s">
        <v>405</v>
      </c>
      <c r="S125" s="123"/>
    </row>
    <row r="126" spans="1:19" hidden="1">
      <c r="A126" s="29" t="s">
        <v>392</v>
      </c>
      <c r="B126" s="29"/>
      <c r="C126" s="29">
        <v>35500932</v>
      </c>
      <c r="G126" s="29" t="s">
        <v>823</v>
      </c>
      <c r="H126" s="29" t="s">
        <v>315</v>
      </c>
      <c r="I126" s="120">
        <v>45692</v>
      </c>
      <c r="J126" s="29"/>
      <c r="K126" s="29"/>
      <c r="L126" s="29"/>
      <c r="M126" s="29"/>
      <c r="N126" s="29"/>
      <c r="O126" s="29"/>
      <c r="P126" s="29"/>
      <c r="Q126" s="81"/>
      <c r="R126" s="29" t="s">
        <v>406</v>
      </c>
      <c r="S126" s="123"/>
    </row>
    <row r="127" spans="1:19" hidden="1">
      <c r="A127" s="29" t="s">
        <v>392</v>
      </c>
      <c r="B127" s="29"/>
      <c r="C127" s="29">
        <v>35500884</v>
      </c>
      <c r="G127" s="29" t="s">
        <v>823</v>
      </c>
      <c r="H127" s="29" t="s">
        <v>315</v>
      </c>
      <c r="I127" s="120">
        <v>45692</v>
      </c>
      <c r="J127" s="29"/>
      <c r="K127" s="29"/>
      <c r="L127" s="29"/>
      <c r="M127" s="29"/>
      <c r="N127" s="29"/>
      <c r="O127" s="29"/>
      <c r="P127" s="29"/>
      <c r="Q127" s="81"/>
      <c r="R127" s="29" t="s">
        <v>407</v>
      </c>
      <c r="S127" s="123"/>
    </row>
    <row r="128" spans="1:19" hidden="1">
      <c r="A128" s="29" t="s">
        <v>392</v>
      </c>
      <c r="B128" s="29"/>
      <c r="C128" s="29">
        <v>35500859</v>
      </c>
      <c r="G128" s="29" t="s">
        <v>823</v>
      </c>
      <c r="H128" s="29" t="s">
        <v>315</v>
      </c>
      <c r="I128" s="120">
        <v>45692</v>
      </c>
      <c r="J128" s="29"/>
      <c r="K128" s="29"/>
      <c r="L128" s="29"/>
      <c r="M128" s="29"/>
      <c r="N128" s="29"/>
      <c r="O128" s="29"/>
      <c r="P128" s="29"/>
      <c r="Q128" s="81"/>
      <c r="R128" s="29" t="s">
        <v>408</v>
      </c>
      <c r="S128" s="123"/>
    </row>
    <row r="129" spans="1:19" hidden="1">
      <c r="A129" s="29" t="s">
        <v>392</v>
      </c>
      <c r="B129" s="29"/>
      <c r="C129" s="29">
        <v>35500813</v>
      </c>
      <c r="G129" s="29" t="s">
        <v>823</v>
      </c>
      <c r="H129" s="29" t="s">
        <v>315</v>
      </c>
      <c r="I129" s="120">
        <v>45692</v>
      </c>
      <c r="J129" s="29"/>
      <c r="K129" s="29"/>
      <c r="L129" s="29"/>
      <c r="M129" s="29"/>
      <c r="N129" s="29"/>
      <c r="O129" s="29"/>
      <c r="P129" s="29"/>
      <c r="Q129" s="81"/>
      <c r="R129" s="29" t="s">
        <v>409</v>
      </c>
      <c r="S129" s="123"/>
    </row>
    <row r="130" spans="1:19" hidden="1">
      <c r="A130" s="29" t="s">
        <v>392</v>
      </c>
      <c r="B130" s="29"/>
      <c r="C130" s="29">
        <v>35500760</v>
      </c>
      <c r="G130" s="29" t="s">
        <v>823</v>
      </c>
      <c r="H130" s="29" t="s">
        <v>315</v>
      </c>
      <c r="I130" s="120">
        <v>45692</v>
      </c>
      <c r="J130" s="29"/>
      <c r="K130" s="29"/>
      <c r="L130" s="29"/>
      <c r="M130" s="29"/>
      <c r="N130" s="29"/>
      <c r="O130" s="29"/>
      <c r="P130" s="29"/>
      <c r="Q130" s="81"/>
      <c r="R130" s="29" t="s">
        <v>410</v>
      </c>
      <c r="S130" s="123"/>
    </row>
    <row r="131" spans="1:19" hidden="1">
      <c r="A131" s="29" t="s">
        <v>392</v>
      </c>
      <c r="B131" s="29"/>
      <c r="C131" s="29">
        <v>35500721</v>
      </c>
      <c r="G131" s="29" t="s">
        <v>823</v>
      </c>
      <c r="H131" s="29" t="s">
        <v>315</v>
      </c>
      <c r="I131" s="120">
        <v>45692</v>
      </c>
      <c r="J131" s="29"/>
      <c r="K131" s="29"/>
      <c r="L131" s="29"/>
      <c r="M131" s="29"/>
      <c r="N131" s="29"/>
      <c r="O131" s="29"/>
      <c r="P131" s="29"/>
      <c r="Q131" s="81"/>
      <c r="R131" s="29" t="s">
        <v>407</v>
      </c>
      <c r="S131" s="123"/>
    </row>
    <row r="132" spans="1:19" hidden="1">
      <c r="A132" s="147" t="s">
        <v>392</v>
      </c>
      <c r="B132" s="147"/>
      <c r="C132" s="29">
        <v>35501396</v>
      </c>
      <c r="G132" s="29" t="s">
        <v>823</v>
      </c>
      <c r="H132" s="29" t="s">
        <v>315</v>
      </c>
      <c r="I132" s="148">
        <v>45692</v>
      </c>
      <c r="J132" s="29"/>
      <c r="K132" s="29"/>
      <c r="L132" s="29"/>
      <c r="M132" s="29"/>
      <c r="N132" s="29"/>
      <c r="O132" s="29"/>
      <c r="P132" s="29"/>
      <c r="Q132" s="81"/>
      <c r="R132" s="149" t="s">
        <v>411</v>
      </c>
      <c r="S132" s="123"/>
    </row>
    <row r="133" spans="1:19" hidden="1">
      <c r="A133" s="147" t="s">
        <v>392</v>
      </c>
      <c r="B133" s="147"/>
      <c r="C133" s="29">
        <v>35501422</v>
      </c>
      <c r="G133" s="29" t="s">
        <v>823</v>
      </c>
      <c r="H133" s="29" t="s">
        <v>315</v>
      </c>
      <c r="I133" s="148">
        <v>45692</v>
      </c>
      <c r="J133" s="29"/>
      <c r="K133" s="29"/>
      <c r="L133" s="29"/>
      <c r="M133" s="29"/>
      <c r="N133" s="29"/>
      <c r="O133" s="29"/>
      <c r="P133" s="29"/>
      <c r="Q133" s="81"/>
      <c r="R133" s="149" t="s">
        <v>412</v>
      </c>
      <c r="S133" s="123"/>
    </row>
    <row r="134" spans="1:19" hidden="1">
      <c r="A134" s="147" t="s">
        <v>392</v>
      </c>
      <c r="B134" s="147"/>
      <c r="C134" s="29">
        <v>35501463</v>
      </c>
      <c r="G134" s="29" t="s">
        <v>823</v>
      </c>
      <c r="H134" s="29" t="s">
        <v>315</v>
      </c>
      <c r="I134" s="148">
        <v>45692</v>
      </c>
      <c r="J134" s="29"/>
      <c r="K134" s="29"/>
      <c r="L134" s="29"/>
      <c r="M134" s="29"/>
      <c r="N134" s="29"/>
      <c r="O134" s="29"/>
      <c r="P134" s="29"/>
      <c r="Q134" s="81"/>
      <c r="R134" s="149" t="s">
        <v>413</v>
      </c>
      <c r="S134" s="123"/>
    </row>
    <row r="135" spans="1:19" hidden="1">
      <c r="A135" s="147" t="s">
        <v>392</v>
      </c>
      <c r="B135" s="147"/>
      <c r="C135" s="29">
        <v>35500721</v>
      </c>
      <c r="G135" s="29" t="s">
        <v>823</v>
      </c>
      <c r="H135" s="29" t="s">
        <v>315</v>
      </c>
      <c r="I135" s="148">
        <v>45692</v>
      </c>
      <c r="J135" s="29"/>
      <c r="K135" s="29"/>
      <c r="L135" s="29"/>
      <c r="M135" s="29"/>
      <c r="N135" s="29"/>
      <c r="O135" s="29"/>
      <c r="P135" s="29"/>
      <c r="Q135" s="81"/>
      <c r="R135" s="149" t="s">
        <v>414</v>
      </c>
      <c r="S135" s="123"/>
    </row>
    <row r="136" spans="1:19" hidden="1">
      <c r="A136" s="147" t="s">
        <v>392</v>
      </c>
      <c r="B136" s="147"/>
      <c r="C136" s="29">
        <v>35500760</v>
      </c>
      <c r="G136" s="29" t="s">
        <v>823</v>
      </c>
      <c r="H136" s="29" t="s">
        <v>315</v>
      </c>
      <c r="I136" s="148">
        <v>45692</v>
      </c>
      <c r="J136" s="29"/>
      <c r="K136" s="29"/>
      <c r="L136" s="29"/>
      <c r="M136" s="29"/>
      <c r="N136" s="29"/>
      <c r="O136" s="29"/>
      <c r="P136" s="29"/>
      <c r="Q136" s="81"/>
      <c r="R136" s="149" t="s">
        <v>415</v>
      </c>
      <c r="S136" s="123"/>
    </row>
    <row r="137" spans="1:19" hidden="1">
      <c r="A137" s="147" t="s">
        <v>392</v>
      </c>
      <c r="B137" s="147"/>
      <c r="C137" s="29">
        <v>35500813</v>
      </c>
      <c r="G137" s="29" t="s">
        <v>823</v>
      </c>
      <c r="H137" s="29" t="s">
        <v>315</v>
      </c>
      <c r="I137" s="148">
        <v>45692</v>
      </c>
      <c r="J137" s="29"/>
      <c r="K137" s="29"/>
      <c r="L137" s="29"/>
      <c r="M137" s="29"/>
      <c r="N137" s="29"/>
      <c r="O137" s="29"/>
      <c r="P137" s="29"/>
      <c r="Q137" s="81"/>
      <c r="R137" s="149" t="s">
        <v>416</v>
      </c>
      <c r="S137" s="123"/>
    </row>
    <row r="138" spans="1:19" hidden="1">
      <c r="A138" s="147" t="s">
        <v>392</v>
      </c>
      <c r="B138" s="147"/>
      <c r="C138" s="29">
        <v>35500859</v>
      </c>
      <c r="G138" s="29" t="s">
        <v>823</v>
      </c>
      <c r="H138" s="29" t="s">
        <v>315</v>
      </c>
      <c r="I138" s="148">
        <v>45692</v>
      </c>
      <c r="J138" s="29"/>
      <c r="K138" s="29"/>
      <c r="L138" s="29"/>
      <c r="M138" s="29"/>
      <c r="N138" s="29"/>
      <c r="O138" s="29"/>
      <c r="P138" s="29"/>
      <c r="Q138" s="81"/>
      <c r="R138" s="149" t="s">
        <v>417</v>
      </c>
      <c r="S138" s="123"/>
    </row>
    <row r="139" spans="1:19" hidden="1">
      <c r="A139" s="147" t="s">
        <v>392</v>
      </c>
      <c r="B139" s="147"/>
      <c r="C139" s="29">
        <v>35500884</v>
      </c>
      <c r="G139" s="29" t="s">
        <v>823</v>
      </c>
      <c r="H139" s="29" t="s">
        <v>315</v>
      </c>
      <c r="I139" s="148">
        <v>45692</v>
      </c>
      <c r="J139" s="29"/>
      <c r="K139" s="29"/>
      <c r="L139" s="29"/>
      <c r="M139" s="29"/>
      <c r="N139" s="29"/>
      <c r="O139" s="29"/>
      <c r="P139" s="29"/>
      <c r="Q139" s="81"/>
      <c r="R139" s="149" t="s">
        <v>418</v>
      </c>
      <c r="S139" s="123"/>
    </row>
    <row r="140" spans="1:19" hidden="1">
      <c r="A140" s="147" t="s">
        <v>392</v>
      </c>
      <c r="B140" s="147"/>
      <c r="C140" s="29">
        <v>35500932</v>
      </c>
      <c r="G140" s="29" t="s">
        <v>823</v>
      </c>
      <c r="H140" s="29" t="s">
        <v>315</v>
      </c>
      <c r="I140" s="148">
        <v>45692</v>
      </c>
      <c r="J140" s="29"/>
      <c r="K140" s="29"/>
      <c r="L140" s="29"/>
      <c r="M140" s="29"/>
      <c r="N140" s="29"/>
      <c r="O140" s="29"/>
      <c r="P140" s="29"/>
      <c r="Q140" s="81"/>
      <c r="R140" s="149" t="s">
        <v>419</v>
      </c>
      <c r="S140" s="123"/>
    </row>
    <row r="141" spans="1:19" hidden="1">
      <c r="A141" s="147" t="s">
        <v>392</v>
      </c>
      <c r="B141" s="147"/>
      <c r="C141" s="29">
        <v>35501016</v>
      </c>
      <c r="G141" s="29" t="s">
        <v>823</v>
      </c>
      <c r="H141" s="29" t="s">
        <v>315</v>
      </c>
      <c r="I141" s="148">
        <v>45692</v>
      </c>
      <c r="J141" s="29"/>
      <c r="K141" s="29"/>
      <c r="L141" s="29"/>
      <c r="M141" s="29"/>
      <c r="N141" s="29"/>
      <c r="O141" s="29"/>
      <c r="P141" s="29"/>
      <c r="Q141" s="81"/>
      <c r="R141" s="149" t="s">
        <v>420</v>
      </c>
      <c r="S141" s="123"/>
    </row>
    <row r="142" spans="1:19" hidden="1">
      <c r="A142" s="147" t="s">
        <v>392</v>
      </c>
      <c r="B142" s="147"/>
      <c r="C142" s="29">
        <v>35501040</v>
      </c>
      <c r="G142" s="29" t="s">
        <v>823</v>
      </c>
      <c r="H142" s="29" t="s">
        <v>315</v>
      </c>
      <c r="I142" s="148">
        <v>45692</v>
      </c>
      <c r="J142" s="29"/>
      <c r="K142" s="29"/>
      <c r="L142" s="29"/>
      <c r="M142" s="29"/>
      <c r="N142" s="29"/>
      <c r="O142" s="29"/>
      <c r="P142" s="29"/>
      <c r="Q142" s="81"/>
      <c r="R142" s="149" t="s">
        <v>421</v>
      </c>
      <c r="S142" s="123"/>
    </row>
    <row r="143" spans="1:19" hidden="1">
      <c r="A143" s="147" t="s">
        <v>392</v>
      </c>
      <c r="B143" s="147"/>
      <c r="C143" s="29">
        <v>35501047</v>
      </c>
      <c r="G143" s="29" t="s">
        <v>823</v>
      </c>
      <c r="H143" s="29" t="s">
        <v>315</v>
      </c>
      <c r="I143" s="148">
        <v>45692</v>
      </c>
      <c r="J143" s="29"/>
      <c r="K143" s="29"/>
      <c r="L143" s="29"/>
      <c r="M143" s="29"/>
      <c r="N143" s="29"/>
      <c r="O143" s="29"/>
      <c r="P143" s="29"/>
      <c r="Q143" s="81"/>
      <c r="R143" s="149" t="s">
        <v>422</v>
      </c>
      <c r="S143" s="123"/>
    </row>
    <row r="144" spans="1:19" hidden="1">
      <c r="A144" s="147" t="s">
        <v>392</v>
      </c>
      <c r="B144" s="147"/>
      <c r="C144" s="29">
        <v>35501116</v>
      </c>
      <c r="G144" s="29" t="s">
        <v>823</v>
      </c>
      <c r="H144" s="29" t="s">
        <v>315</v>
      </c>
      <c r="I144" s="148">
        <v>45692</v>
      </c>
      <c r="J144" s="29"/>
      <c r="K144" s="29"/>
      <c r="L144" s="29"/>
      <c r="M144" s="29"/>
      <c r="N144" s="29"/>
      <c r="O144" s="29"/>
      <c r="P144" s="29"/>
      <c r="Q144" s="81"/>
      <c r="R144" s="149" t="s">
        <v>423</v>
      </c>
      <c r="S144" s="123"/>
    </row>
    <row r="145" spans="1:19" hidden="1">
      <c r="A145" s="147" t="s">
        <v>392</v>
      </c>
      <c r="B145" s="147"/>
      <c r="C145" s="29">
        <v>35501170</v>
      </c>
      <c r="G145" s="29" t="s">
        <v>823</v>
      </c>
      <c r="H145" s="29" t="s">
        <v>315</v>
      </c>
      <c r="I145" s="148">
        <v>45692</v>
      </c>
      <c r="J145" s="29"/>
      <c r="K145" s="29"/>
      <c r="L145" s="29"/>
      <c r="M145" s="29"/>
      <c r="N145" s="29"/>
      <c r="O145" s="29"/>
      <c r="P145" s="29"/>
      <c r="Q145" s="81"/>
      <c r="R145" s="149" t="s">
        <v>424</v>
      </c>
      <c r="S145" s="123"/>
    </row>
    <row r="146" spans="1:19" hidden="1">
      <c r="A146" s="147" t="s">
        <v>392</v>
      </c>
      <c r="B146" s="147"/>
      <c r="C146" s="29">
        <v>35501215</v>
      </c>
      <c r="G146" s="29" t="s">
        <v>823</v>
      </c>
      <c r="H146" s="29" t="s">
        <v>315</v>
      </c>
      <c r="I146" s="148">
        <v>45692</v>
      </c>
      <c r="J146" s="29"/>
      <c r="K146" s="29"/>
      <c r="L146" s="29"/>
      <c r="M146" s="29"/>
      <c r="N146" s="29"/>
      <c r="O146" s="29"/>
      <c r="P146" s="29"/>
      <c r="Q146" s="81"/>
      <c r="R146" s="149" t="s">
        <v>425</v>
      </c>
      <c r="S146" s="123"/>
    </row>
    <row r="147" spans="1:19" hidden="1">
      <c r="A147" s="147" t="s">
        <v>392</v>
      </c>
      <c r="B147" s="147"/>
      <c r="C147" s="29">
        <v>35501254</v>
      </c>
      <c r="G147" s="29" t="s">
        <v>823</v>
      </c>
      <c r="H147" s="29" t="s">
        <v>315</v>
      </c>
      <c r="I147" s="148">
        <v>45692</v>
      </c>
      <c r="J147" s="29"/>
      <c r="K147" s="29"/>
      <c r="L147" s="29"/>
      <c r="M147" s="29"/>
      <c r="N147" s="29"/>
      <c r="O147" s="29"/>
      <c r="P147" s="29"/>
      <c r="Q147" s="81"/>
      <c r="R147" s="149" t="s">
        <v>426</v>
      </c>
      <c r="S147" s="123"/>
    </row>
    <row r="148" spans="1:19" hidden="1">
      <c r="A148" s="147" t="s">
        <v>392</v>
      </c>
      <c r="B148" s="147"/>
      <c r="C148" s="29">
        <v>35501337</v>
      </c>
      <c r="G148" s="29" t="s">
        <v>823</v>
      </c>
      <c r="H148" s="29" t="s">
        <v>315</v>
      </c>
      <c r="I148" s="148">
        <v>45692</v>
      </c>
      <c r="J148" s="29"/>
      <c r="K148" s="29"/>
      <c r="L148" s="29"/>
      <c r="M148" s="29"/>
      <c r="N148" s="29"/>
      <c r="O148" s="29"/>
      <c r="P148" s="29"/>
      <c r="Q148" s="81"/>
      <c r="R148" s="149" t="s">
        <v>427</v>
      </c>
      <c r="S148" s="123"/>
    </row>
    <row r="149" spans="1:19" hidden="1">
      <c r="A149" s="147" t="s">
        <v>392</v>
      </c>
      <c r="B149" s="147"/>
      <c r="C149" s="29">
        <v>35501515</v>
      </c>
      <c r="G149" s="29" t="s">
        <v>823</v>
      </c>
      <c r="H149" s="29" t="s">
        <v>315</v>
      </c>
      <c r="I149" s="148">
        <v>45692</v>
      </c>
      <c r="J149" s="29"/>
      <c r="K149" s="29"/>
      <c r="L149" s="29"/>
      <c r="M149" s="29"/>
      <c r="N149" s="29"/>
      <c r="O149" s="29"/>
      <c r="P149" s="29"/>
      <c r="Q149" s="81"/>
      <c r="R149" s="149" t="s">
        <v>428</v>
      </c>
      <c r="S149" s="123"/>
    </row>
    <row r="150" spans="1:19" hidden="1">
      <c r="A150" s="147" t="s">
        <v>392</v>
      </c>
      <c r="B150" s="147"/>
      <c r="C150" s="29">
        <v>35501713</v>
      </c>
      <c r="G150" s="29" t="s">
        <v>823</v>
      </c>
      <c r="H150" s="29" t="s">
        <v>315</v>
      </c>
      <c r="I150" s="148">
        <v>45692</v>
      </c>
      <c r="J150" s="29"/>
      <c r="K150" s="29"/>
      <c r="L150" s="29"/>
      <c r="M150" s="29"/>
      <c r="N150" s="29"/>
      <c r="O150" s="29"/>
      <c r="P150" s="29"/>
      <c r="Q150" s="81"/>
      <c r="R150" s="149" t="s">
        <v>429</v>
      </c>
      <c r="S150" s="123"/>
    </row>
    <row r="151" spans="1:19" hidden="1">
      <c r="A151" s="147" t="s">
        <v>392</v>
      </c>
      <c r="B151" s="147"/>
      <c r="C151" s="29">
        <v>35501638</v>
      </c>
      <c r="G151" s="29" t="s">
        <v>823</v>
      </c>
      <c r="H151" s="29" t="s">
        <v>315</v>
      </c>
      <c r="I151" s="148">
        <v>45692</v>
      </c>
      <c r="J151" s="29"/>
      <c r="K151" s="29"/>
      <c r="L151" s="29"/>
      <c r="M151" s="29"/>
      <c r="N151" s="29"/>
      <c r="O151" s="29"/>
      <c r="P151" s="29"/>
      <c r="Q151" s="81"/>
      <c r="R151" s="149" t="s">
        <v>430</v>
      </c>
      <c r="S151" s="123"/>
    </row>
    <row r="152" spans="1:19" hidden="1">
      <c r="A152" s="147" t="s">
        <v>392</v>
      </c>
      <c r="B152" s="147"/>
      <c r="C152" s="29">
        <v>35501673</v>
      </c>
      <c r="G152" s="29" t="s">
        <v>823</v>
      </c>
      <c r="H152" s="29" t="s">
        <v>315</v>
      </c>
      <c r="I152" s="148">
        <v>45692</v>
      </c>
      <c r="J152" s="29"/>
      <c r="K152" s="29"/>
      <c r="L152" s="29"/>
      <c r="M152" s="29"/>
      <c r="N152" s="29"/>
      <c r="O152" s="29"/>
      <c r="P152" s="29"/>
      <c r="Q152" s="81"/>
      <c r="R152" s="149" t="s">
        <v>431</v>
      </c>
      <c r="S152" s="123"/>
    </row>
    <row r="153" spans="1:19" hidden="1">
      <c r="A153" s="147" t="s">
        <v>392</v>
      </c>
      <c r="B153" s="147"/>
      <c r="C153" s="29">
        <v>35501743</v>
      </c>
      <c r="G153" s="29" t="s">
        <v>823</v>
      </c>
      <c r="H153" s="29" t="s">
        <v>315</v>
      </c>
      <c r="I153" s="148">
        <v>45692</v>
      </c>
      <c r="J153" s="29"/>
      <c r="K153" s="29"/>
      <c r="L153" s="29"/>
      <c r="M153" s="29"/>
      <c r="N153" s="29"/>
      <c r="O153" s="29"/>
      <c r="P153" s="29"/>
      <c r="Q153" s="81"/>
      <c r="R153" s="149" t="s">
        <v>432</v>
      </c>
      <c r="S153" s="123"/>
    </row>
    <row r="154" spans="1:19" hidden="1">
      <c r="A154" s="29" t="s">
        <v>309</v>
      </c>
      <c r="B154" s="29"/>
      <c r="C154" s="29">
        <v>18500300</v>
      </c>
      <c r="G154" s="29" t="s">
        <v>823</v>
      </c>
      <c r="H154" s="29" t="s">
        <v>292</v>
      </c>
      <c r="I154" s="120">
        <v>45675</v>
      </c>
      <c r="J154" s="29"/>
      <c r="K154" s="29"/>
      <c r="L154" s="29"/>
      <c r="M154" s="29"/>
      <c r="N154" s="29"/>
      <c r="O154" s="29"/>
      <c r="P154" s="29"/>
      <c r="Q154" s="81"/>
      <c r="R154" s="29"/>
      <c r="S154" s="123"/>
    </row>
    <row r="155" spans="1:19" hidden="1">
      <c r="A155" s="29" t="s">
        <v>309</v>
      </c>
      <c r="B155" s="29"/>
      <c r="C155" s="29">
        <v>18500282</v>
      </c>
      <c r="G155" s="29" t="s">
        <v>823</v>
      </c>
      <c r="H155" s="29" t="s">
        <v>292</v>
      </c>
      <c r="I155" s="120">
        <v>45675</v>
      </c>
      <c r="J155" s="29"/>
      <c r="K155" s="29"/>
      <c r="L155" s="29"/>
      <c r="M155" s="29"/>
      <c r="N155" s="29"/>
      <c r="O155" s="29"/>
      <c r="P155" s="29"/>
      <c r="Q155" s="81"/>
      <c r="R155" s="29"/>
      <c r="S155" s="123"/>
    </row>
    <row r="156" spans="1:19" hidden="1">
      <c r="A156" s="29" t="s">
        <v>309</v>
      </c>
      <c r="B156" s="29"/>
      <c r="C156" s="29">
        <v>18500294</v>
      </c>
      <c r="G156" s="29" t="s">
        <v>823</v>
      </c>
      <c r="H156" s="29" t="s">
        <v>292</v>
      </c>
      <c r="I156" s="120">
        <v>45675</v>
      </c>
      <c r="J156" s="29"/>
      <c r="K156" s="29"/>
      <c r="L156" s="29"/>
      <c r="M156" s="29"/>
      <c r="N156" s="29"/>
      <c r="O156" s="29"/>
      <c r="P156" s="29"/>
      <c r="Q156" s="81"/>
      <c r="R156" s="29"/>
      <c r="S156" s="123"/>
    </row>
    <row r="157" spans="1:19" hidden="1">
      <c r="A157" s="29" t="s">
        <v>309</v>
      </c>
      <c r="B157" s="29"/>
      <c r="C157" s="29">
        <v>18500272</v>
      </c>
      <c r="G157" s="29" t="s">
        <v>823</v>
      </c>
      <c r="H157" s="29" t="s">
        <v>292</v>
      </c>
      <c r="I157" s="120">
        <v>45675</v>
      </c>
      <c r="J157" s="29"/>
      <c r="K157" s="29"/>
      <c r="L157" s="29"/>
      <c r="M157" s="29"/>
      <c r="N157" s="29"/>
      <c r="O157" s="29"/>
      <c r="P157" s="29"/>
      <c r="Q157" s="81"/>
      <c r="R157" s="29"/>
      <c r="S157" s="123"/>
    </row>
    <row r="158" spans="1:19" hidden="1">
      <c r="A158" s="29" t="s">
        <v>309</v>
      </c>
      <c r="B158" s="29"/>
      <c r="C158" s="29">
        <v>18500276</v>
      </c>
      <c r="G158" s="29" t="s">
        <v>823</v>
      </c>
      <c r="H158" s="29" t="s">
        <v>292</v>
      </c>
      <c r="I158" s="120">
        <v>45675</v>
      </c>
      <c r="J158" s="29"/>
      <c r="K158" s="29"/>
      <c r="L158" s="29"/>
      <c r="M158" s="29"/>
      <c r="N158" s="29"/>
      <c r="O158" s="29"/>
      <c r="P158" s="29"/>
      <c r="Q158" s="81"/>
      <c r="R158" s="29"/>
      <c r="S158" s="123"/>
    </row>
    <row r="159" spans="1:19" hidden="1">
      <c r="A159" s="147" t="s">
        <v>309</v>
      </c>
      <c r="B159" s="147"/>
      <c r="C159" s="29">
        <v>21507602</v>
      </c>
      <c r="G159" s="29" t="s">
        <v>823</v>
      </c>
      <c r="H159" s="29" t="s">
        <v>315</v>
      </c>
      <c r="I159" s="120">
        <v>45679</v>
      </c>
      <c r="J159" s="29"/>
      <c r="K159" s="29"/>
      <c r="L159" s="29"/>
      <c r="M159" s="29"/>
      <c r="N159" s="29"/>
      <c r="O159" s="29"/>
      <c r="P159" s="29"/>
      <c r="Q159" s="81"/>
      <c r="R159" s="29"/>
      <c r="S159" s="123"/>
    </row>
    <row r="160" spans="1:19" hidden="1">
      <c r="A160" s="147" t="s">
        <v>309</v>
      </c>
      <c r="B160" s="147"/>
      <c r="C160" s="29">
        <v>22500600</v>
      </c>
      <c r="G160" s="29" t="s">
        <v>823</v>
      </c>
      <c r="H160" s="29" t="s">
        <v>315</v>
      </c>
      <c r="I160" s="120">
        <v>45679</v>
      </c>
      <c r="J160" s="29"/>
      <c r="K160" s="29"/>
      <c r="L160" s="29"/>
      <c r="M160" s="29"/>
      <c r="N160" s="29"/>
      <c r="O160" s="29"/>
      <c r="P160" s="29"/>
      <c r="Q160" s="81"/>
      <c r="R160" s="29"/>
      <c r="S160" s="123"/>
    </row>
    <row r="161" spans="1:19" hidden="1">
      <c r="A161" s="147" t="s">
        <v>309</v>
      </c>
      <c r="B161" s="147"/>
      <c r="C161" s="29">
        <v>22500667</v>
      </c>
      <c r="G161" s="29" t="s">
        <v>823</v>
      </c>
      <c r="H161" s="29" t="s">
        <v>315</v>
      </c>
      <c r="I161" s="120">
        <v>45679</v>
      </c>
      <c r="J161" s="29"/>
      <c r="K161" s="29"/>
      <c r="L161" s="29"/>
      <c r="M161" s="29"/>
      <c r="N161" s="29"/>
      <c r="O161" s="29"/>
      <c r="P161" s="29"/>
      <c r="Q161" s="81"/>
      <c r="R161" s="29"/>
      <c r="S161" s="123"/>
    </row>
    <row r="162" spans="1:19" hidden="1">
      <c r="A162" s="147" t="s">
        <v>309</v>
      </c>
      <c r="B162" s="147"/>
      <c r="C162" s="29">
        <v>22500718</v>
      </c>
      <c r="G162" s="29" t="s">
        <v>823</v>
      </c>
      <c r="H162" s="29" t="s">
        <v>315</v>
      </c>
      <c r="I162" s="120">
        <v>45679</v>
      </c>
      <c r="J162" s="29"/>
      <c r="K162" s="29"/>
      <c r="L162" s="29"/>
      <c r="M162" s="29"/>
      <c r="N162" s="29"/>
      <c r="O162" s="29"/>
      <c r="P162" s="29"/>
      <c r="Q162" s="81"/>
      <c r="R162" s="29"/>
      <c r="S162" s="123"/>
    </row>
    <row r="163" spans="1:19" hidden="1">
      <c r="A163" s="147" t="s">
        <v>309</v>
      </c>
      <c r="B163" s="147"/>
      <c r="C163" s="41">
        <v>48503822</v>
      </c>
      <c r="G163" s="29" t="s">
        <v>823</v>
      </c>
      <c r="H163" s="29" t="s">
        <v>315</v>
      </c>
      <c r="I163" s="42">
        <v>45705</v>
      </c>
      <c r="J163" s="29"/>
      <c r="K163" s="29"/>
      <c r="L163" s="29"/>
      <c r="M163" s="29"/>
      <c r="N163" s="29"/>
      <c r="O163" s="29"/>
      <c r="P163" s="29"/>
      <c r="Q163" s="81"/>
      <c r="R163" s="133" t="s">
        <v>518</v>
      </c>
      <c r="S163" s="123"/>
    </row>
    <row r="164" spans="1:19" hidden="1">
      <c r="A164" s="147" t="s">
        <v>309</v>
      </c>
      <c r="B164" s="147"/>
      <c r="C164" s="41">
        <v>48503862</v>
      </c>
      <c r="G164" s="29" t="s">
        <v>823</v>
      </c>
      <c r="H164" s="29" t="s">
        <v>315</v>
      </c>
      <c r="I164" s="42">
        <v>45705</v>
      </c>
      <c r="J164" s="29"/>
      <c r="K164" s="29"/>
      <c r="L164" s="29"/>
      <c r="M164" s="29"/>
      <c r="N164" s="29"/>
      <c r="O164" s="29"/>
      <c r="P164" s="29"/>
      <c r="Q164" s="81"/>
      <c r="R164" s="133" t="s">
        <v>519</v>
      </c>
      <c r="S164" s="123"/>
    </row>
    <row r="165" spans="1:19" hidden="1">
      <c r="A165" s="147" t="s">
        <v>309</v>
      </c>
      <c r="B165" s="147"/>
      <c r="C165" s="41">
        <v>48503899</v>
      </c>
      <c r="G165" s="29" t="s">
        <v>823</v>
      </c>
      <c r="H165" s="29" t="s">
        <v>315</v>
      </c>
      <c r="I165" s="42">
        <v>45705</v>
      </c>
      <c r="J165" s="29"/>
      <c r="K165" s="29"/>
      <c r="L165" s="29"/>
      <c r="M165" s="29"/>
      <c r="N165" s="29"/>
      <c r="O165" s="29"/>
      <c r="P165" s="29"/>
      <c r="Q165" s="81"/>
      <c r="R165" s="133" t="s">
        <v>520</v>
      </c>
      <c r="S165" s="123"/>
    </row>
    <row r="166" spans="1:19" hidden="1">
      <c r="A166" s="147" t="s">
        <v>309</v>
      </c>
      <c r="B166" s="147"/>
      <c r="C166" s="41">
        <v>48503938</v>
      </c>
      <c r="G166" s="29" t="s">
        <v>823</v>
      </c>
      <c r="H166" s="29" t="s">
        <v>315</v>
      </c>
      <c r="I166" s="42">
        <v>45705</v>
      </c>
      <c r="J166" s="29"/>
      <c r="K166" s="29"/>
      <c r="L166" s="29"/>
      <c r="M166" s="29"/>
      <c r="N166" s="29"/>
      <c r="O166" s="29"/>
      <c r="P166" s="29"/>
      <c r="Q166" s="81"/>
      <c r="R166" s="133" t="s">
        <v>521</v>
      </c>
      <c r="S166" s="123"/>
    </row>
    <row r="167" spans="1:19" hidden="1">
      <c r="A167" s="147" t="s">
        <v>309</v>
      </c>
      <c r="B167" s="147"/>
      <c r="C167" s="41">
        <v>48504049</v>
      </c>
      <c r="G167" s="29" t="s">
        <v>823</v>
      </c>
      <c r="H167" s="29" t="s">
        <v>315</v>
      </c>
      <c r="I167" s="42">
        <v>45705</v>
      </c>
      <c r="J167" s="29"/>
      <c r="K167" s="29"/>
      <c r="L167" s="29"/>
      <c r="M167" s="29"/>
      <c r="N167" s="29"/>
      <c r="O167" s="29"/>
      <c r="P167" s="29"/>
      <c r="Q167" s="81"/>
      <c r="R167" s="133" t="s">
        <v>522</v>
      </c>
      <c r="S167" s="123"/>
    </row>
    <row r="168" spans="1:19" hidden="1">
      <c r="A168" s="147" t="s">
        <v>309</v>
      </c>
      <c r="B168" s="147"/>
      <c r="C168" s="41">
        <v>48504019</v>
      </c>
      <c r="G168" s="29" t="s">
        <v>823</v>
      </c>
      <c r="H168" s="29" t="s">
        <v>315</v>
      </c>
      <c r="I168" s="42">
        <v>45705</v>
      </c>
      <c r="J168" s="29"/>
      <c r="K168" s="29"/>
      <c r="L168" s="29"/>
      <c r="M168" s="29"/>
      <c r="N168" s="29"/>
      <c r="O168" s="29"/>
      <c r="P168" s="29"/>
      <c r="Q168" s="81"/>
      <c r="R168" s="133" t="s">
        <v>523</v>
      </c>
      <c r="S168" s="123"/>
    </row>
    <row r="169" spans="1:19" hidden="1">
      <c r="A169" s="147" t="s">
        <v>309</v>
      </c>
      <c r="B169" s="147"/>
      <c r="C169" s="41">
        <v>48504110</v>
      </c>
      <c r="G169" s="29" t="s">
        <v>823</v>
      </c>
      <c r="H169" s="29" t="s">
        <v>315</v>
      </c>
      <c r="I169" s="42">
        <v>45705</v>
      </c>
      <c r="J169" s="29"/>
      <c r="K169" s="29"/>
      <c r="L169" s="29"/>
      <c r="M169" s="29"/>
      <c r="N169" s="29"/>
      <c r="O169" s="29"/>
      <c r="P169" s="29"/>
      <c r="Q169" s="81"/>
      <c r="R169" s="133" t="s">
        <v>524</v>
      </c>
      <c r="S169" s="123"/>
    </row>
    <row r="170" spans="1:19" hidden="1">
      <c r="A170" s="147" t="s">
        <v>309</v>
      </c>
      <c r="B170" s="147"/>
      <c r="C170" s="41">
        <v>48504133</v>
      </c>
      <c r="G170" s="29" t="s">
        <v>823</v>
      </c>
      <c r="H170" s="29" t="s">
        <v>315</v>
      </c>
      <c r="I170" s="42">
        <v>45705</v>
      </c>
      <c r="J170" s="29"/>
      <c r="K170" s="29"/>
      <c r="L170" s="29"/>
      <c r="M170" s="29"/>
      <c r="N170" s="29"/>
      <c r="O170" s="29"/>
      <c r="P170" s="29"/>
      <c r="Q170" s="81"/>
      <c r="R170" s="133" t="s">
        <v>525</v>
      </c>
      <c r="S170" s="123"/>
    </row>
    <row r="171" spans="1:19" hidden="1">
      <c r="A171" s="147" t="s">
        <v>309</v>
      </c>
      <c r="B171" s="147"/>
      <c r="C171" s="41">
        <v>48504220</v>
      </c>
      <c r="G171" s="29" t="s">
        <v>823</v>
      </c>
      <c r="H171" s="29" t="s">
        <v>315</v>
      </c>
      <c r="I171" s="42">
        <v>45705</v>
      </c>
      <c r="J171" s="29"/>
      <c r="K171" s="29"/>
      <c r="L171" s="29"/>
      <c r="M171" s="29"/>
      <c r="N171" s="29"/>
      <c r="O171" s="29"/>
      <c r="P171" s="29"/>
      <c r="Q171" s="81"/>
      <c r="R171" s="133" t="s">
        <v>526</v>
      </c>
      <c r="S171" s="123"/>
    </row>
    <row r="172" spans="1:19" hidden="1">
      <c r="A172" s="147" t="s">
        <v>309</v>
      </c>
      <c r="B172" s="147"/>
      <c r="C172" s="41">
        <v>48504325</v>
      </c>
      <c r="G172" s="29" t="s">
        <v>823</v>
      </c>
      <c r="H172" s="29" t="s">
        <v>315</v>
      </c>
      <c r="I172" s="42">
        <v>45705</v>
      </c>
      <c r="J172" s="29"/>
      <c r="K172" s="29"/>
      <c r="L172" s="29"/>
      <c r="M172" s="29"/>
      <c r="N172" s="29"/>
      <c r="O172" s="29"/>
      <c r="P172" s="29"/>
      <c r="Q172" s="81"/>
      <c r="R172" s="133" t="s">
        <v>527</v>
      </c>
      <c r="S172" s="123"/>
    </row>
    <row r="173" spans="1:19" hidden="1">
      <c r="A173" s="147" t="s">
        <v>309</v>
      </c>
      <c r="B173" s="147"/>
      <c r="C173" s="41">
        <v>48504378</v>
      </c>
      <c r="G173" s="29" t="s">
        <v>823</v>
      </c>
      <c r="H173" s="29" t="s">
        <v>315</v>
      </c>
      <c r="I173" s="42">
        <v>45705</v>
      </c>
      <c r="J173" s="29"/>
      <c r="K173" s="29"/>
      <c r="L173" s="29"/>
      <c r="M173" s="29"/>
      <c r="N173" s="29"/>
      <c r="O173" s="29"/>
      <c r="P173" s="29"/>
      <c r="Q173" s="81"/>
      <c r="R173" s="133" t="s">
        <v>528</v>
      </c>
      <c r="S173" s="123"/>
    </row>
    <row r="174" spans="1:19" hidden="1">
      <c r="A174" s="147" t="s">
        <v>309</v>
      </c>
      <c r="B174" s="147"/>
      <c r="C174" s="41">
        <v>48504399</v>
      </c>
      <c r="G174" s="29" t="s">
        <v>823</v>
      </c>
      <c r="H174" s="29" t="s">
        <v>315</v>
      </c>
      <c r="I174" s="42">
        <v>45705</v>
      </c>
      <c r="J174" s="29"/>
      <c r="K174" s="29"/>
      <c r="L174" s="29"/>
      <c r="M174" s="29"/>
      <c r="N174" s="29"/>
      <c r="O174" s="29"/>
      <c r="P174" s="29"/>
      <c r="Q174" s="81"/>
      <c r="R174" s="133" t="s">
        <v>529</v>
      </c>
      <c r="S174" s="123"/>
    </row>
    <row r="175" spans="1:19" hidden="1">
      <c r="A175" s="147" t="s">
        <v>309</v>
      </c>
      <c r="B175" s="147"/>
      <c r="C175" s="41">
        <v>48504525</v>
      </c>
      <c r="G175" s="29" t="s">
        <v>823</v>
      </c>
      <c r="H175" s="29" t="s">
        <v>315</v>
      </c>
      <c r="I175" s="42">
        <v>45705</v>
      </c>
      <c r="J175" s="29"/>
      <c r="K175" s="29"/>
      <c r="L175" s="29"/>
      <c r="M175" s="29"/>
      <c r="N175" s="29"/>
      <c r="O175" s="29"/>
      <c r="P175" s="29"/>
      <c r="Q175" s="81"/>
      <c r="R175" s="133" t="s">
        <v>530</v>
      </c>
      <c r="S175" s="123"/>
    </row>
    <row r="176" spans="1:19" hidden="1">
      <c r="A176" s="147" t="s">
        <v>309</v>
      </c>
      <c r="B176" s="147"/>
      <c r="C176" s="41">
        <v>48504593</v>
      </c>
      <c r="G176" s="29" t="s">
        <v>823</v>
      </c>
      <c r="H176" s="29" t="s">
        <v>315</v>
      </c>
      <c r="I176" s="42">
        <v>45705</v>
      </c>
      <c r="J176" s="29"/>
      <c r="K176" s="29"/>
      <c r="L176" s="29"/>
      <c r="M176" s="29"/>
      <c r="N176" s="29"/>
      <c r="O176" s="29"/>
      <c r="P176" s="29"/>
      <c r="Q176" s="81"/>
      <c r="R176" s="133" t="s">
        <v>531</v>
      </c>
      <c r="S176" s="123"/>
    </row>
    <row r="177" spans="1:19" hidden="1">
      <c r="A177" s="147" t="s">
        <v>309</v>
      </c>
      <c r="B177" s="147"/>
      <c r="C177" s="41">
        <v>48504635</v>
      </c>
      <c r="G177" s="29" t="s">
        <v>823</v>
      </c>
      <c r="H177" s="29" t="s">
        <v>315</v>
      </c>
      <c r="I177" s="42">
        <v>45705</v>
      </c>
      <c r="J177" s="29"/>
      <c r="K177" s="29"/>
      <c r="L177" s="29"/>
      <c r="M177" s="29"/>
      <c r="N177" s="29"/>
      <c r="O177" s="29"/>
      <c r="P177" s="29"/>
      <c r="Q177" s="81"/>
      <c r="R177" s="133" t="s">
        <v>532</v>
      </c>
      <c r="S177" s="123"/>
    </row>
    <row r="178" spans="1:19" hidden="1">
      <c r="A178" s="147" t="s">
        <v>309</v>
      </c>
      <c r="B178" s="147"/>
      <c r="C178" s="41">
        <v>48504665</v>
      </c>
      <c r="G178" s="29" t="s">
        <v>823</v>
      </c>
      <c r="H178" s="29" t="s">
        <v>315</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315</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315</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315</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315</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315</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315</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315</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315</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315</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315</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315</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315</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315</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315</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315</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315</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315</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315</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315</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315</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315</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315</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315</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315</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315</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315</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315</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315</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315</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315</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315</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315</v>
      </c>
      <c r="I210" s="42">
        <v>45705</v>
      </c>
      <c r="J210" s="29"/>
      <c r="K210" s="29"/>
      <c r="L210" s="29"/>
      <c r="M210" s="29"/>
      <c r="N210" s="29"/>
      <c r="O210" s="29"/>
      <c r="P210" s="29"/>
      <c r="Q210" s="81"/>
      <c r="R210" s="41" t="s">
        <v>564</v>
      </c>
      <c r="S210" s="123"/>
    </row>
    <row r="211" spans="1:19" hidden="1">
      <c r="A211" s="29" t="s">
        <v>379</v>
      </c>
      <c r="B211" s="29"/>
      <c r="C211" s="29">
        <v>37505890</v>
      </c>
      <c r="G211" s="29" t="s">
        <v>823</v>
      </c>
      <c r="H211" s="29" t="s">
        <v>291</v>
      </c>
      <c r="I211" s="120">
        <v>45694</v>
      </c>
      <c r="J211" s="29"/>
      <c r="K211" s="29"/>
      <c r="L211" s="29"/>
      <c r="M211" s="29"/>
      <c r="N211" s="29"/>
      <c r="O211" s="29"/>
      <c r="P211" s="29"/>
      <c r="Q211" s="81"/>
      <c r="R211" s="29" t="s">
        <v>856</v>
      </c>
      <c r="S211" s="123"/>
    </row>
    <row r="212" spans="1:19" hidden="1">
      <c r="A212" s="29" t="s">
        <v>379</v>
      </c>
      <c r="B212" s="29"/>
      <c r="C212" s="29">
        <v>37505866</v>
      </c>
      <c r="G212" s="29" t="s">
        <v>823</v>
      </c>
      <c r="H212" s="29" t="s">
        <v>291</v>
      </c>
      <c r="I212" s="120">
        <v>45694</v>
      </c>
      <c r="J212" s="29"/>
      <c r="K212" s="29"/>
      <c r="L212" s="29"/>
      <c r="M212" s="29"/>
      <c r="N212" s="29"/>
      <c r="O212" s="29"/>
      <c r="P212" s="29"/>
      <c r="Q212" s="81"/>
      <c r="R212" s="29" t="s">
        <v>857</v>
      </c>
      <c r="S212" s="123"/>
    </row>
    <row r="213" spans="1:19" hidden="1">
      <c r="A213" s="29" t="s">
        <v>379</v>
      </c>
      <c r="B213" s="29"/>
      <c r="C213" s="29">
        <v>37505708</v>
      </c>
      <c r="G213" s="29" t="s">
        <v>823</v>
      </c>
      <c r="H213" s="29" t="s">
        <v>291</v>
      </c>
      <c r="I213" s="120">
        <v>45694</v>
      </c>
      <c r="J213" s="29"/>
      <c r="K213" s="29"/>
      <c r="L213" s="29"/>
      <c r="M213" s="29"/>
      <c r="N213" s="29"/>
      <c r="O213" s="29"/>
      <c r="P213" s="29"/>
      <c r="Q213" s="81"/>
      <c r="R213" s="29" t="s">
        <v>858</v>
      </c>
      <c r="S213" s="123"/>
    </row>
    <row r="214" spans="1:19" hidden="1">
      <c r="A214" s="29" t="s">
        <v>379</v>
      </c>
      <c r="B214" s="29"/>
      <c r="C214" s="29">
        <v>37505692</v>
      </c>
      <c r="G214" s="29" t="s">
        <v>823</v>
      </c>
      <c r="H214" s="29" t="s">
        <v>291</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379</v>
      </c>
      <c r="B216" s="29"/>
      <c r="C216" s="29">
        <v>37505653</v>
      </c>
      <c r="G216" s="29" t="s">
        <v>823</v>
      </c>
      <c r="H216" s="29" t="s">
        <v>291</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379</v>
      </c>
      <c r="B218" s="29"/>
      <c r="C218" s="29">
        <v>37505767</v>
      </c>
      <c r="G218" s="29" t="s">
        <v>823</v>
      </c>
      <c r="H218" s="29" t="s">
        <v>291</v>
      </c>
      <c r="I218" s="120">
        <v>45694</v>
      </c>
      <c r="J218" s="29"/>
      <c r="K218" s="29"/>
      <c r="L218" s="29"/>
      <c r="M218" s="29"/>
      <c r="N218" s="29"/>
      <c r="O218" s="29"/>
      <c r="P218" s="29"/>
      <c r="Q218" s="81"/>
      <c r="R218" s="29" t="s">
        <v>858</v>
      </c>
      <c r="S218" s="123"/>
    </row>
    <row r="219" spans="1:19" hidden="1">
      <c r="A219" s="29" t="s">
        <v>379</v>
      </c>
      <c r="B219" s="29"/>
      <c r="C219" s="29">
        <v>37505730</v>
      </c>
      <c r="G219" s="29" t="s">
        <v>823</v>
      </c>
      <c r="H219" s="29" t="s">
        <v>291</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379</v>
      </c>
      <c r="B221" s="29"/>
      <c r="C221" s="29">
        <v>35509789</v>
      </c>
      <c r="G221" s="29" t="s">
        <v>823</v>
      </c>
      <c r="H221" s="29" t="s">
        <v>291</v>
      </c>
      <c r="I221" s="120">
        <v>45691</v>
      </c>
      <c r="J221" s="29"/>
      <c r="K221" s="29"/>
      <c r="L221" s="29"/>
      <c r="M221" s="29"/>
      <c r="N221" s="29"/>
      <c r="O221" s="29"/>
      <c r="P221" s="29"/>
      <c r="Q221" s="81"/>
      <c r="R221" s="29" t="s">
        <v>380</v>
      </c>
      <c r="S221" s="123"/>
    </row>
    <row r="222" spans="1:19" hidden="1">
      <c r="A222" s="29" t="s">
        <v>379</v>
      </c>
      <c r="B222" s="29"/>
      <c r="C222" s="29">
        <v>35509780</v>
      </c>
      <c r="G222" s="29" t="s">
        <v>823</v>
      </c>
      <c r="H222" s="29" t="s">
        <v>291</v>
      </c>
      <c r="I222" s="120">
        <v>45691</v>
      </c>
      <c r="J222" s="29"/>
      <c r="K222" s="29"/>
      <c r="L222" s="29"/>
      <c r="M222" s="29"/>
      <c r="N222" s="29"/>
      <c r="O222" s="29"/>
      <c r="P222" s="29"/>
      <c r="Q222" s="81"/>
      <c r="R222" s="29" t="s">
        <v>381</v>
      </c>
      <c r="S222" s="123"/>
    </row>
    <row r="223" spans="1:19" hidden="1">
      <c r="A223" s="29" t="s">
        <v>379</v>
      </c>
      <c r="B223" s="29"/>
      <c r="C223" s="29">
        <v>35509774</v>
      </c>
      <c r="G223" s="29" t="s">
        <v>823</v>
      </c>
      <c r="H223" s="29" t="s">
        <v>291</v>
      </c>
      <c r="I223" s="120">
        <v>45691</v>
      </c>
      <c r="J223" s="29"/>
      <c r="K223" s="29"/>
      <c r="L223" s="29"/>
      <c r="M223" s="29"/>
      <c r="N223" s="29"/>
      <c r="O223" s="29"/>
      <c r="P223" s="29"/>
      <c r="Q223" s="81"/>
      <c r="R223" s="29" t="s">
        <v>381</v>
      </c>
      <c r="S223" s="123"/>
    </row>
    <row r="224" spans="1:19" hidden="1">
      <c r="A224" s="29" t="s">
        <v>379</v>
      </c>
      <c r="B224" s="29"/>
      <c r="C224" s="29">
        <v>35509764</v>
      </c>
      <c r="G224" s="29" t="s">
        <v>823</v>
      </c>
      <c r="H224" s="29" t="s">
        <v>291</v>
      </c>
      <c r="I224" s="120">
        <v>45691</v>
      </c>
      <c r="J224" s="29"/>
      <c r="K224" s="29"/>
      <c r="L224" s="29"/>
      <c r="M224" s="29"/>
      <c r="N224" s="29"/>
      <c r="O224" s="29"/>
      <c r="P224" s="29"/>
      <c r="Q224" s="81"/>
      <c r="R224" s="29" t="s">
        <v>382</v>
      </c>
      <c r="S224" s="123"/>
    </row>
    <row r="225" spans="1:19" hidden="1">
      <c r="A225" s="29" t="s">
        <v>379</v>
      </c>
      <c r="B225" s="29"/>
      <c r="C225" s="29">
        <v>35509750</v>
      </c>
      <c r="G225" s="29" t="s">
        <v>823</v>
      </c>
      <c r="H225" s="29" t="s">
        <v>291</v>
      </c>
      <c r="I225" s="120">
        <v>45691</v>
      </c>
      <c r="J225" s="29"/>
      <c r="K225" s="29"/>
      <c r="L225" s="29"/>
      <c r="M225" s="29"/>
      <c r="N225" s="29"/>
      <c r="O225" s="29"/>
      <c r="P225" s="29"/>
      <c r="Q225" s="81"/>
      <c r="R225" s="29" t="s">
        <v>383</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434</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471</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379</v>
      </c>
      <c r="B238" s="29"/>
      <c r="C238" s="29">
        <v>37505640</v>
      </c>
      <c r="G238" s="29" t="s">
        <v>823</v>
      </c>
      <c r="H238" s="29" t="s">
        <v>291</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379</v>
      </c>
      <c r="B264" s="29"/>
      <c r="C264" s="29">
        <v>37505890</v>
      </c>
      <c r="G264" s="29" t="s">
        <v>823</v>
      </c>
      <c r="H264" s="29" t="s">
        <v>291</v>
      </c>
      <c r="I264" s="120">
        <v>45694</v>
      </c>
      <c r="P264" s="134"/>
      <c r="R264" s="29" t="s">
        <v>856</v>
      </c>
    </row>
    <row r="265" spans="1:18" hidden="1">
      <c r="A265" s="29" t="s">
        <v>379</v>
      </c>
      <c r="B265" s="29"/>
      <c r="C265" s="29">
        <v>37505866</v>
      </c>
      <c r="G265" s="29" t="s">
        <v>823</v>
      </c>
      <c r="H265" s="29" t="s">
        <v>291</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379</v>
      </c>
      <c r="B267" s="29"/>
      <c r="C267" s="29">
        <v>37505767</v>
      </c>
      <c r="G267" s="29" t="s">
        <v>823</v>
      </c>
      <c r="H267" s="29" t="s">
        <v>291</v>
      </c>
      <c r="I267" s="120">
        <v>45694</v>
      </c>
      <c r="P267" s="134"/>
      <c r="R267" s="29" t="s">
        <v>858</v>
      </c>
    </row>
    <row r="268" spans="1:18" hidden="1">
      <c r="A268" s="29" t="s">
        <v>379</v>
      </c>
      <c r="B268" s="29"/>
      <c r="C268" s="29">
        <v>37505730</v>
      </c>
      <c r="G268" s="29" t="s">
        <v>823</v>
      </c>
      <c r="H268" s="29" t="s">
        <v>291</v>
      </c>
      <c r="I268" s="120">
        <v>45694</v>
      </c>
      <c r="P268" s="134"/>
      <c r="R268" s="29" t="s">
        <v>858</v>
      </c>
    </row>
    <row r="269" spans="1:18" hidden="1">
      <c r="A269" s="29" t="s">
        <v>379</v>
      </c>
      <c r="B269" s="29"/>
      <c r="C269" s="29">
        <v>37505708</v>
      </c>
      <c r="G269" s="29" t="s">
        <v>823</v>
      </c>
      <c r="H269" s="29" t="s">
        <v>291</v>
      </c>
      <c r="I269" s="120">
        <v>45694</v>
      </c>
      <c r="P269" s="134"/>
      <c r="R269" s="29" t="s">
        <v>858</v>
      </c>
    </row>
    <row r="270" spans="1:18" hidden="1">
      <c r="A270" s="29" t="s">
        <v>379</v>
      </c>
      <c r="B270" s="29"/>
      <c r="C270" s="29">
        <v>37505692</v>
      </c>
      <c r="G270" s="29" t="s">
        <v>823</v>
      </c>
      <c r="H270" s="29" t="s">
        <v>291</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379</v>
      </c>
      <c r="B272" s="29"/>
      <c r="C272" s="29">
        <v>37505653</v>
      </c>
      <c r="G272" s="29" t="s">
        <v>823</v>
      </c>
      <c r="H272" s="29" t="s">
        <v>291</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379</v>
      </c>
      <c r="B274" s="29"/>
      <c r="C274" s="29">
        <v>37505640</v>
      </c>
      <c r="G274" s="29" t="s">
        <v>823</v>
      </c>
      <c r="H274" s="29" t="s">
        <v>291</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434</v>
      </c>
    </row>
    <row r="287" spans="1:18" hidden="1">
      <c r="A287" s="29" t="s">
        <v>854</v>
      </c>
      <c r="B287" s="29"/>
      <c r="C287" s="29">
        <v>36501220</v>
      </c>
      <c r="G287" s="29" t="s">
        <v>823</v>
      </c>
      <c r="H287" s="29" t="s">
        <v>161</v>
      </c>
      <c r="I287" s="120">
        <v>45692</v>
      </c>
      <c r="P287" s="134"/>
      <c r="R287" s="29" t="s">
        <v>471</v>
      </c>
    </row>
    <row r="288" spans="1:18" hidden="1">
      <c r="A288" s="29" t="s">
        <v>438</v>
      </c>
      <c r="B288" s="29"/>
      <c r="C288" s="29">
        <v>36508939</v>
      </c>
      <c r="G288" s="29" t="s">
        <v>823</v>
      </c>
      <c r="H288" s="147" t="s">
        <v>439</v>
      </c>
      <c r="I288" s="120">
        <v>45692</v>
      </c>
      <c r="P288" s="134"/>
      <c r="R288" s="29" t="s">
        <v>507</v>
      </c>
    </row>
    <row r="289" spans="1:18" hidden="1">
      <c r="A289" s="29" t="s">
        <v>438</v>
      </c>
      <c r="B289" s="29"/>
      <c r="C289" s="29">
        <v>36508971</v>
      </c>
      <c r="G289" s="29" t="s">
        <v>823</v>
      </c>
      <c r="H289" s="147" t="s">
        <v>439</v>
      </c>
      <c r="I289" s="120">
        <v>45692</v>
      </c>
      <c r="P289" s="134"/>
      <c r="R289" s="29" t="s">
        <v>505</v>
      </c>
    </row>
    <row r="290" spans="1:18" hidden="1">
      <c r="A290" s="29" t="s">
        <v>438</v>
      </c>
      <c r="B290" s="29"/>
      <c r="C290" s="29">
        <v>36509009</v>
      </c>
      <c r="G290" s="29" t="s">
        <v>823</v>
      </c>
      <c r="H290" s="147" t="s">
        <v>439</v>
      </c>
      <c r="I290" s="120">
        <v>45692</v>
      </c>
      <c r="P290" s="134"/>
      <c r="R290" s="29" t="s">
        <v>881</v>
      </c>
    </row>
    <row r="291" spans="1:18" hidden="1">
      <c r="A291" s="29" t="s">
        <v>438</v>
      </c>
      <c r="B291" s="29"/>
      <c r="C291" s="29">
        <v>36509029</v>
      </c>
      <c r="G291" s="29" t="s">
        <v>823</v>
      </c>
      <c r="H291" s="147" t="s">
        <v>439</v>
      </c>
      <c r="I291" s="120">
        <v>45692</v>
      </c>
      <c r="P291" s="134"/>
      <c r="R291" s="29" t="s">
        <v>882</v>
      </c>
    </row>
    <row r="292" spans="1:18" hidden="1">
      <c r="A292" s="29" t="s">
        <v>438</v>
      </c>
      <c r="B292" s="29"/>
      <c r="C292" s="29">
        <v>37508603</v>
      </c>
      <c r="G292" s="29" t="s">
        <v>823</v>
      </c>
      <c r="H292" s="147" t="s">
        <v>439</v>
      </c>
      <c r="I292" s="120">
        <v>45692</v>
      </c>
      <c r="P292" s="134"/>
      <c r="R292" s="29" t="s">
        <v>882</v>
      </c>
    </row>
    <row r="293" spans="1:18" hidden="1">
      <c r="A293" s="29" t="s">
        <v>438</v>
      </c>
      <c r="B293" s="29"/>
      <c r="C293" s="29">
        <v>37508593</v>
      </c>
      <c r="G293" s="29" t="s">
        <v>823</v>
      </c>
      <c r="H293" s="147" t="s">
        <v>439</v>
      </c>
      <c r="I293" s="120">
        <v>45692</v>
      </c>
      <c r="P293" s="134"/>
      <c r="R293" s="29" t="s">
        <v>881</v>
      </c>
    </row>
    <row r="294" spans="1:18" hidden="1">
      <c r="A294" s="29" t="s">
        <v>438</v>
      </c>
      <c r="B294" s="29"/>
      <c r="C294" s="29">
        <v>36508894</v>
      </c>
      <c r="G294" s="29" t="s">
        <v>823</v>
      </c>
      <c r="H294" s="147" t="s">
        <v>439</v>
      </c>
      <c r="I294" s="120">
        <v>45692</v>
      </c>
      <c r="P294" s="134"/>
      <c r="R294" s="29" t="s">
        <v>508</v>
      </c>
    </row>
    <row r="295" spans="1:18" hidden="1">
      <c r="A295" s="29" t="s">
        <v>438</v>
      </c>
      <c r="B295" s="29"/>
      <c r="C295" s="29">
        <v>36508864</v>
      </c>
      <c r="G295" s="29" t="s">
        <v>823</v>
      </c>
      <c r="H295" s="147" t="s">
        <v>439</v>
      </c>
      <c r="I295" s="120">
        <v>45692</v>
      </c>
      <c r="P295" s="134"/>
      <c r="R295" s="29" t="s">
        <v>510</v>
      </c>
    </row>
    <row r="296" spans="1:18" hidden="1">
      <c r="A296" s="29" t="s">
        <v>290</v>
      </c>
      <c r="B296" s="29"/>
      <c r="C296" s="29">
        <v>36505090</v>
      </c>
      <c r="G296" s="29" t="s">
        <v>823</v>
      </c>
      <c r="H296" s="29" t="s">
        <v>315</v>
      </c>
      <c r="I296" s="120">
        <v>45692</v>
      </c>
      <c r="P296" s="134"/>
      <c r="R296" s="29" t="s">
        <v>883</v>
      </c>
    </row>
    <row r="297" spans="1:18" hidden="1">
      <c r="A297" s="29" t="s">
        <v>290</v>
      </c>
      <c r="B297" s="29"/>
      <c r="C297" s="29">
        <v>36505041</v>
      </c>
      <c r="G297" s="29" t="s">
        <v>823</v>
      </c>
      <c r="H297" s="29" t="s">
        <v>315</v>
      </c>
      <c r="I297" s="120">
        <v>45692</v>
      </c>
      <c r="P297" s="134"/>
      <c r="R297" s="29" t="s">
        <v>884</v>
      </c>
    </row>
    <row r="298" spans="1:18" hidden="1">
      <c r="A298" s="29" t="s">
        <v>290</v>
      </c>
      <c r="B298" s="29"/>
      <c r="C298" s="29">
        <v>36505003</v>
      </c>
      <c r="G298" s="29" t="s">
        <v>823</v>
      </c>
      <c r="H298" s="29" t="s">
        <v>315</v>
      </c>
      <c r="I298" s="120">
        <v>45692</v>
      </c>
      <c r="P298" s="134"/>
      <c r="R298" s="29" t="s">
        <v>885</v>
      </c>
    </row>
    <row r="299" spans="1:18" hidden="1">
      <c r="A299" s="29" t="s">
        <v>290</v>
      </c>
      <c r="B299" s="29"/>
      <c r="C299" s="29">
        <v>36504973</v>
      </c>
      <c r="G299" s="29" t="s">
        <v>823</v>
      </c>
      <c r="H299" s="29" t="s">
        <v>315</v>
      </c>
      <c r="I299" s="120">
        <v>45692</v>
      </c>
      <c r="P299" s="134"/>
      <c r="R299" s="29" t="s">
        <v>886</v>
      </c>
    </row>
    <row r="300" spans="1:18" hidden="1">
      <c r="A300" s="29" t="s">
        <v>290</v>
      </c>
      <c r="B300" s="29"/>
      <c r="C300" s="29">
        <v>36504920</v>
      </c>
      <c r="G300" s="29" t="s">
        <v>823</v>
      </c>
      <c r="H300" s="29" t="s">
        <v>315</v>
      </c>
      <c r="I300" s="120">
        <v>45692</v>
      </c>
      <c r="P300" s="134"/>
      <c r="R300" s="29" t="s">
        <v>887</v>
      </c>
    </row>
    <row r="301" spans="1:18" hidden="1">
      <c r="A301" s="29" t="s">
        <v>290</v>
      </c>
      <c r="B301" s="29"/>
      <c r="C301" s="29">
        <v>36504794</v>
      </c>
      <c r="G301" s="29" t="s">
        <v>823</v>
      </c>
      <c r="H301" s="29" t="s">
        <v>315</v>
      </c>
      <c r="I301" s="120">
        <v>45692</v>
      </c>
      <c r="P301" s="134"/>
      <c r="R301" s="29" t="s">
        <v>888</v>
      </c>
    </row>
    <row r="302" spans="1:18" hidden="1">
      <c r="A302" s="29" t="s">
        <v>438</v>
      </c>
      <c r="B302" s="29"/>
      <c r="C302" s="29">
        <v>36500830</v>
      </c>
      <c r="G302" s="29" t="s">
        <v>823</v>
      </c>
      <c r="H302" s="147" t="s">
        <v>439</v>
      </c>
      <c r="I302" s="120">
        <v>45692</v>
      </c>
      <c r="P302" s="134"/>
      <c r="R302" s="29" t="s">
        <v>889</v>
      </c>
    </row>
    <row r="303" spans="1:18" hidden="1">
      <c r="A303" s="29" t="s">
        <v>366</v>
      </c>
      <c r="B303" s="29"/>
      <c r="C303" s="29">
        <v>36500028</v>
      </c>
      <c r="G303" s="29" t="s">
        <v>823</v>
      </c>
      <c r="H303" s="29" t="s">
        <v>367</v>
      </c>
      <c r="I303" s="120">
        <v>45692</v>
      </c>
      <c r="P303" s="134"/>
      <c r="R303" s="29" t="s">
        <v>373</v>
      </c>
    </row>
    <row r="304" spans="1:18" hidden="1">
      <c r="A304" s="29" t="s">
        <v>366</v>
      </c>
      <c r="B304" s="29"/>
      <c r="C304" s="29">
        <v>36500027</v>
      </c>
      <c r="G304" s="29" t="s">
        <v>823</v>
      </c>
      <c r="H304" s="29" t="s">
        <v>367</v>
      </c>
      <c r="I304" s="120">
        <v>45692</v>
      </c>
      <c r="P304" s="134"/>
      <c r="R304" s="29" t="s">
        <v>374</v>
      </c>
    </row>
    <row r="305" spans="1:18" hidden="1">
      <c r="A305" s="29" t="s">
        <v>366</v>
      </c>
      <c r="B305" s="29"/>
      <c r="C305" s="29">
        <v>36500026</v>
      </c>
      <c r="G305" s="29" t="s">
        <v>823</v>
      </c>
      <c r="H305" s="29" t="s">
        <v>367</v>
      </c>
      <c r="I305" s="120">
        <v>45692</v>
      </c>
      <c r="P305" s="134"/>
      <c r="R305" s="29" t="s">
        <v>375</v>
      </c>
    </row>
    <row r="306" spans="1:18" hidden="1">
      <c r="A306" s="29" t="s">
        <v>366</v>
      </c>
      <c r="B306" s="29"/>
      <c r="C306" s="29">
        <v>36500024</v>
      </c>
      <c r="G306" s="29" t="s">
        <v>823</v>
      </c>
      <c r="H306" s="29" t="s">
        <v>367</v>
      </c>
      <c r="I306" s="120">
        <v>45692</v>
      </c>
      <c r="P306" s="134"/>
      <c r="R306" s="29" t="s">
        <v>376</v>
      </c>
    </row>
    <row r="307" spans="1:18" hidden="1">
      <c r="A307" s="29" t="s">
        <v>366</v>
      </c>
      <c r="B307" s="29"/>
      <c r="C307" s="29">
        <v>36500023</v>
      </c>
      <c r="G307" s="29" t="s">
        <v>823</v>
      </c>
      <c r="H307" s="29" t="s">
        <v>367</v>
      </c>
      <c r="I307" s="120">
        <v>45692</v>
      </c>
      <c r="P307" s="134"/>
      <c r="R307" s="29" t="s">
        <v>377</v>
      </c>
    </row>
    <row r="308" spans="1:18" hidden="1">
      <c r="A308" s="29" t="s">
        <v>366</v>
      </c>
      <c r="B308" s="29"/>
      <c r="C308" s="29">
        <v>36500022</v>
      </c>
      <c r="G308" s="29" t="s">
        <v>823</v>
      </c>
      <c r="H308" s="29" t="s">
        <v>367</v>
      </c>
      <c r="I308" s="120">
        <v>45692</v>
      </c>
      <c r="P308" s="134"/>
      <c r="R308" s="29" t="s">
        <v>378</v>
      </c>
    </row>
    <row r="309" spans="1:18" hidden="1">
      <c r="A309" s="29" t="s">
        <v>366</v>
      </c>
      <c r="B309" s="29"/>
      <c r="C309" s="29">
        <v>36500021</v>
      </c>
      <c r="G309" s="29" t="s">
        <v>823</v>
      </c>
      <c r="H309" s="29" t="s">
        <v>367</v>
      </c>
      <c r="I309" s="120">
        <v>45692</v>
      </c>
      <c r="P309" s="134"/>
      <c r="R309" s="29" t="s">
        <v>372</v>
      </c>
    </row>
    <row r="310" spans="1:18" hidden="1">
      <c r="A310" s="29" t="s">
        <v>366</v>
      </c>
      <c r="B310" s="29"/>
      <c r="C310" s="29">
        <v>36500020</v>
      </c>
      <c r="G310" s="29" t="s">
        <v>823</v>
      </c>
      <c r="H310" s="29" t="s">
        <v>367</v>
      </c>
      <c r="I310" s="120">
        <v>45692</v>
      </c>
      <c r="P310" s="134"/>
      <c r="R310" s="29" t="s">
        <v>371</v>
      </c>
    </row>
    <row r="311" spans="1:18" ht="201.75" hidden="1">
      <c r="A311" s="147" t="s">
        <v>438</v>
      </c>
      <c r="B311" s="147"/>
      <c r="C311" s="150">
        <v>36508864</v>
      </c>
      <c r="G311" s="29" t="s">
        <v>823</v>
      </c>
      <c r="H311" s="147" t="s">
        <v>439</v>
      </c>
      <c r="I311" s="148">
        <v>45693</v>
      </c>
      <c r="P311" s="134"/>
      <c r="R311" s="149" t="s">
        <v>890</v>
      </c>
    </row>
    <row r="312" spans="1:18" ht="216.75" hidden="1">
      <c r="A312" s="147" t="s">
        <v>438</v>
      </c>
      <c r="B312" s="147"/>
      <c r="C312" s="150">
        <v>36508894</v>
      </c>
      <c r="G312" s="29" t="s">
        <v>823</v>
      </c>
      <c r="H312" s="147" t="s">
        <v>439</v>
      </c>
      <c r="I312" s="148">
        <v>45693</v>
      </c>
      <c r="P312" s="134"/>
      <c r="R312" s="149" t="s">
        <v>891</v>
      </c>
    </row>
    <row r="313" spans="1:18" ht="201.75" hidden="1">
      <c r="A313" s="147" t="s">
        <v>438</v>
      </c>
      <c r="B313" s="147"/>
      <c r="C313" s="150">
        <v>36508918</v>
      </c>
      <c r="G313" s="29" t="s">
        <v>823</v>
      </c>
      <c r="H313" s="147" t="s">
        <v>439</v>
      </c>
      <c r="I313" s="148">
        <v>45693</v>
      </c>
      <c r="P313" s="134"/>
      <c r="R313" s="149" t="s">
        <v>892</v>
      </c>
    </row>
    <row r="314" spans="1:18" ht="201.75" hidden="1">
      <c r="A314" s="147" t="s">
        <v>438</v>
      </c>
      <c r="B314" s="147"/>
      <c r="C314" s="150">
        <v>36508939</v>
      </c>
      <c r="G314" s="29" t="s">
        <v>823</v>
      </c>
      <c r="H314" s="147" t="s">
        <v>439</v>
      </c>
      <c r="I314" s="148">
        <v>45693</v>
      </c>
      <c r="P314" s="134"/>
      <c r="R314" s="149" t="s">
        <v>893</v>
      </c>
    </row>
    <row r="315" spans="1:18" ht="201.75" hidden="1">
      <c r="A315" s="147" t="s">
        <v>438</v>
      </c>
      <c r="B315" s="147"/>
      <c r="C315" s="150">
        <v>36508971</v>
      </c>
      <c r="G315" s="29" t="s">
        <v>823</v>
      </c>
      <c r="H315" s="147" t="s">
        <v>439</v>
      </c>
      <c r="I315" s="148">
        <v>45693</v>
      </c>
      <c r="P315" s="134"/>
      <c r="R315" s="149" t="s">
        <v>894</v>
      </c>
    </row>
    <row r="316" spans="1:18" ht="216.75" hidden="1">
      <c r="A316" s="147" t="s">
        <v>438</v>
      </c>
      <c r="B316" s="147"/>
      <c r="C316" s="150">
        <v>36509009</v>
      </c>
      <c r="G316" s="29" t="s">
        <v>823</v>
      </c>
      <c r="H316" s="147" t="s">
        <v>439</v>
      </c>
      <c r="I316" s="148">
        <v>45693</v>
      </c>
      <c r="P316" s="134"/>
      <c r="R316" s="149" t="s">
        <v>895</v>
      </c>
    </row>
    <row r="317" spans="1:18" ht="201.75" hidden="1">
      <c r="A317" s="147" t="s">
        <v>438</v>
      </c>
      <c r="B317" s="147"/>
      <c r="C317" s="150">
        <v>36509029</v>
      </c>
      <c r="G317" s="29" t="s">
        <v>823</v>
      </c>
      <c r="H317" s="147" t="s">
        <v>439</v>
      </c>
      <c r="I317" s="148">
        <v>45693</v>
      </c>
      <c r="P317" s="134"/>
      <c r="R317" s="149" t="s">
        <v>896</v>
      </c>
    </row>
    <row r="318" spans="1:18" hidden="1">
      <c r="A318" s="147" t="s">
        <v>290</v>
      </c>
      <c r="B318" s="147"/>
      <c r="C318" s="150">
        <v>36504794</v>
      </c>
      <c r="G318" s="29" t="s">
        <v>823</v>
      </c>
      <c r="H318" s="29" t="s">
        <v>315</v>
      </c>
      <c r="I318" s="148">
        <v>45693</v>
      </c>
      <c r="P318" s="134"/>
      <c r="R318" s="149" t="s">
        <v>642</v>
      </c>
    </row>
    <row r="319" spans="1:18" hidden="1">
      <c r="A319" s="147" t="s">
        <v>290</v>
      </c>
      <c r="B319" s="147"/>
      <c r="C319" s="150">
        <v>36504920</v>
      </c>
      <c r="G319" s="29" t="s">
        <v>823</v>
      </c>
      <c r="H319" s="29" t="s">
        <v>315</v>
      </c>
      <c r="I319" s="148">
        <v>45693</v>
      </c>
      <c r="P319" s="134"/>
      <c r="R319" s="149" t="s">
        <v>643</v>
      </c>
    </row>
    <row r="320" spans="1:18" hidden="1">
      <c r="A320" s="147" t="s">
        <v>290</v>
      </c>
      <c r="B320" s="147"/>
      <c r="C320" s="150">
        <v>36504973</v>
      </c>
      <c r="G320" s="29" t="s">
        <v>823</v>
      </c>
      <c r="H320" s="29" t="s">
        <v>315</v>
      </c>
      <c r="I320" s="148">
        <v>45693</v>
      </c>
      <c r="P320" s="134"/>
      <c r="R320" s="149" t="s">
        <v>644</v>
      </c>
    </row>
    <row r="321" spans="1:18" hidden="1">
      <c r="A321" s="147" t="s">
        <v>290</v>
      </c>
      <c r="B321" s="147"/>
      <c r="C321" s="150">
        <v>36505003</v>
      </c>
      <c r="G321" s="29" t="s">
        <v>823</v>
      </c>
      <c r="H321" s="29" t="s">
        <v>315</v>
      </c>
      <c r="I321" s="148">
        <v>45693</v>
      </c>
      <c r="P321" s="134"/>
      <c r="R321" s="149" t="s">
        <v>645</v>
      </c>
    </row>
    <row r="322" spans="1:18" hidden="1">
      <c r="A322" s="147" t="s">
        <v>290</v>
      </c>
      <c r="B322" s="147"/>
      <c r="C322" s="150">
        <v>36505041</v>
      </c>
      <c r="G322" s="29" t="s">
        <v>823</v>
      </c>
      <c r="H322" s="29" t="s">
        <v>315</v>
      </c>
      <c r="I322" s="148">
        <v>45693</v>
      </c>
      <c r="P322" s="134"/>
      <c r="R322" s="149" t="s">
        <v>646</v>
      </c>
    </row>
    <row r="323" spans="1:18" hidden="1">
      <c r="A323" s="147" t="s">
        <v>290</v>
      </c>
      <c r="B323" s="147"/>
      <c r="C323" s="150">
        <v>36505090</v>
      </c>
      <c r="G323" s="29" t="s">
        <v>823</v>
      </c>
      <c r="H323" s="29" t="s">
        <v>315</v>
      </c>
      <c r="I323" s="148">
        <v>45693</v>
      </c>
      <c r="P323" s="134"/>
      <c r="R323" s="149" t="s">
        <v>647</v>
      </c>
    </row>
    <row r="324" spans="1:18" hidden="1">
      <c r="A324" s="29" t="s">
        <v>366</v>
      </c>
      <c r="B324" s="29"/>
      <c r="C324" s="29">
        <v>37508582</v>
      </c>
      <c r="G324" s="29" t="s">
        <v>823</v>
      </c>
      <c r="H324" s="29" t="s">
        <v>367</v>
      </c>
      <c r="I324" s="120">
        <v>45693</v>
      </c>
      <c r="P324" s="134"/>
      <c r="R324" s="29" t="s">
        <v>477</v>
      </c>
    </row>
    <row r="325" spans="1:18" hidden="1">
      <c r="A325" s="29" t="s">
        <v>366</v>
      </c>
      <c r="B325" s="29"/>
      <c r="C325" s="29">
        <v>37508534</v>
      </c>
      <c r="G325" s="29" t="s">
        <v>823</v>
      </c>
      <c r="H325" s="29" t="s">
        <v>367</v>
      </c>
      <c r="I325" s="120">
        <v>45693</v>
      </c>
      <c r="P325" s="134"/>
      <c r="R325" s="29" t="s">
        <v>479</v>
      </c>
    </row>
    <row r="326" spans="1:18" hidden="1">
      <c r="A326" s="29" t="s">
        <v>366</v>
      </c>
      <c r="B326" s="29"/>
      <c r="C326" s="29">
        <v>37508555</v>
      </c>
      <c r="G326" s="29" t="s">
        <v>823</v>
      </c>
      <c r="H326" s="29" t="s">
        <v>367</v>
      </c>
      <c r="I326" s="120">
        <v>45693</v>
      </c>
      <c r="P326" s="134"/>
      <c r="R326" s="29" t="s">
        <v>478</v>
      </c>
    </row>
    <row r="327" spans="1:18" hidden="1">
      <c r="A327" s="29" t="s">
        <v>366</v>
      </c>
      <c r="B327" s="29"/>
      <c r="C327" s="29">
        <v>37508444</v>
      </c>
      <c r="G327" s="29" t="s">
        <v>823</v>
      </c>
      <c r="H327" s="29" t="s">
        <v>367</v>
      </c>
      <c r="I327" s="120">
        <v>45693</v>
      </c>
      <c r="P327" s="134"/>
      <c r="R327" s="29" t="s">
        <v>481</v>
      </c>
    </row>
    <row r="328" spans="1:18" hidden="1">
      <c r="A328" s="29" t="s">
        <v>366</v>
      </c>
      <c r="B328" s="29"/>
      <c r="C328" s="29">
        <v>37508509</v>
      </c>
      <c r="G328" s="29" t="s">
        <v>823</v>
      </c>
      <c r="H328" s="29" t="s">
        <v>367</v>
      </c>
      <c r="I328" s="120">
        <v>45693</v>
      </c>
      <c r="P328" s="134"/>
      <c r="R328" s="29" t="s">
        <v>480</v>
      </c>
    </row>
    <row r="329" spans="1:18" hidden="1">
      <c r="A329" s="29" t="s">
        <v>366</v>
      </c>
      <c r="B329" s="29"/>
      <c r="C329" s="29">
        <v>37508419</v>
      </c>
      <c r="G329" s="29" t="s">
        <v>823</v>
      </c>
      <c r="H329" s="29" t="s">
        <v>367</v>
      </c>
      <c r="I329" s="120">
        <v>45693</v>
      </c>
      <c r="P329" s="134"/>
      <c r="R329" s="29" t="s">
        <v>482</v>
      </c>
    </row>
    <row r="330" spans="1:18" hidden="1">
      <c r="A330" s="29" t="s">
        <v>366</v>
      </c>
      <c r="B330" s="29"/>
      <c r="C330" s="29">
        <v>37508391</v>
      </c>
      <c r="G330" s="29" t="s">
        <v>823</v>
      </c>
      <c r="H330" s="29" t="s">
        <v>367</v>
      </c>
      <c r="I330" s="120">
        <v>45693</v>
      </c>
      <c r="P330" s="134"/>
      <c r="R330" s="29" t="s">
        <v>483</v>
      </c>
    </row>
    <row r="331" spans="1:18" hidden="1">
      <c r="A331" s="29" t="s">
        <v>366</v>
      </c>
      <c r="B331" s="29"/>
      <c r="C331" s="29">
        <v>37508358</v>
      </c>
      <c r="G331" s="29" t="s">
        <v>823</v>
      </c>
      <c r="H331" s="29" t="s">
        <v>367</v>
      </c>
      <c r="I331" s="120">
        <v>45693</v>
      </c>
      <c r="P331" s="134"/>
      <c r="R331" s="29" t="s">
        <v>484</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358</v>
      </c>
      <c r="I333" s="85">
        <v>45691</v>
      </c>
      <c r="P333" s="134"/>
      <c r="R333" s="84" t="s">
        <v>688</v>
      </c>
    </row>
    <row r="334" spans="1:18" hidden="1">
      <c r="A334" s="84" t="s">
        <v>687</v>
      </c>
      <c r="B334" s="84"/>
      <c r="C334" s="84">
        <v>34509844</v>
      </c>
      <c r="G334" s="84" t="s">
        <v>823</v>
      </c>
      <c r="H334" s="88" t="s">
        <v>358</v>
      </c>
      <c r="I334" s="85">
        <v>45691</v>
      </c>
      <c r="P334" s="134"/>
      <c r="R334" s="84" t="s">
        <v>689</v>
      </c>
    </row>
    <row r="335" spans="1:18" hidden="1">
      <c r="A335" s="84" t="s">
        <v>687</v>
      </c>
      <c r="B335" s="84"/>
      <c r="C335" s="84">
        <v>34509930</v>
      </c>
      <c r="G335" s="84" t="s">
        <v>823</v>
      </c>
      <c r="H335" s="88" t="s">
        <v>358</v>
      </c>
      <c r="I335" s="85">
        <v>45691</v>
      </c>
      <c r="P335" s="134"/>
      <c r="R335" s="84" t="s">
        <v>690</v>
      </c>
    </row>
    <row r="336" spans="1:18" hidden="1">
      <c r="A336" s="84" t="s">
        <v>687</v>
      </c>
      <c r="B336" s="84"/>
      <c r="C336" s="84">
        <v>34509957</v>
      </c>
      <c r="G336" s="84" t="s">
        <v>823</v>
      </c>
      <c r="H336" s="88" t="s">
        <v>358</v>
      </c>
      <c r="I336" s="85">
        <v>45691</v>
      </c>
      <c r="P336" s="134"/>
      <c r="R336" s="84" t="s">
        <v>691</v>
      </c>
    </row>
    <row r="337" spans="1:19" hidden="1">
      <c r="A337" s="84" t="s">
        <v>357</v>
      </c>
      <c r="B337" s="84"/>
      <c r="C337" s="84">
        <v>18500302</v>
      </c>
      <c r="G337" s="84" t="s">
        <v>823</v>
      </c>
      <c r="H337" s="88" t="s">
        <v>358</v>
      </c>
      <c r="I337" s="85">
        <v>45675</v>
      </c>
      <c r="P337" s="134"/>
      <c r="R337" s="84" t="s">
        <v>680</v>
      </c>
    </row>
    <row r="338" spans="1:19" hidden="1">
      <c r="A338" s="84" t="s">
        <v>357</v>
      </c>
      <c r="B338" s="84"/>
      <c r="C338" s="84">
        <v>18500307</v>
      </c>
      <c r="G338" s="84" t="s">
        <v>823</v>
      </c>
      <c r="H338" s="88" t="s">
        <v>358</v>
      </c>
      <c r="I338" s="85">
        <v>45675</v>
      </c>
      <c r="P338" s="134"/>
      <c r="R338" s="84" t="s">
        <v>681</v>
      </c>
    </row>
    <row r="339" spans="1:19" hidden="1">
      <c r="A339" s="84" t="s">
        <v>357</v>
      </c>
      <c r="B339" s="84"/>
      <c r="C339" s="84">
        <v>18500310</v>
      </c>
      <c r="G339" s="84" t="s">
        <v>823</v>
      </c>
      <c r="H339" s="88" t="s">
        <v>358</v>
      </c>
      <c r="I339" s="85">
        <v>45675</v>
      </c>
      <c r="P339" s="134"/>
      <c r="R339" s="84" t="s">
        <v>682</v>
      </c>
    </row>
    <row r="340" spans="1:19" hidden="1">
      <c r="A340" s="84" t="s">
        <v>357</v>
      </c>
      <c r="B340" s="84"/>
      <c r="C340" s="84">
        <v>18500314</v>
      </c>
      <c r="G340" s="84" t="s">
        <v>823</v>
      </c>
      <c r="H340" s="88" t="s">
        <v>358</v>
      </c>
      <c r="I340" s="85">
        <v>45675</v>
      </c>
      <c r="P340" s="134"/>
      <c r="R340" s="84" t="s">
        <v>683</v>
      </c>
    </row>
    <row r="341" spans="1:19" hidden="1">
      <c r="A341" s="84" t="s">
        <v>357</v>
      </c>
      <c r="B341" s="84"/>
      <c r="C341" s="84">
        <v>18500316</v>
      </c>
      <c r="G341" s="84" t="s">
        <v>823</v>
      </c>
      <c r="H341" s="88" t="s">
        <v>358</v>
      </c>
      <c r="I341" s="85">
        <v>45675</v>
      </c>
      <c r="P341" s="134"/>
      <c r="R341" s="84" t="s">
        <v>684</v>
      </c>
    </row>
    <row r="342" spans="1:19" hidden="1">
      <c r="A342" s="84" t="s">
        <v>357</v>
      </c>
      <c r="B342" s="84"/>
      <c r="C342" s="84">
        <v>18500318</v>
      </c>
      <c r="G342" s="84" t="s">
        <v>823</v>
      </c>
      <c r="H342" s="88" t="s">
        <v>358</v>
      </c>
      <c r="I342" s="85">
        <v>45675</v>
      </c>
      <c r="P342" s="134"/>
      <c r="R342" s="84" t="s">
        <v>685</v>
      </c>
    </row>
    <row r="343" spans="1:19" hidden="1">
      <c r="A343" s="84" t="s">
        <v>357</v>
      </c>
      <c r="B343" s="84"/>
      <c r="C343" s="84">
        <v>18500320</v>
      </c>
      <c r="G343" s="84" t="s">
        <v>823</v>
      </c>
      <c r="H343" s="88" t="s">
        <v>358</v>
      </c>
      <c r="I343" s="85">
        <v>45675</v>
      </c>
      <c r="P343" s="134"/>
      <c r="R343" s="84" t="s">
        <v>686</v>
      </c>
    </row>
    <row r="344" spans="1:19" hidden="1">
      <c r="A344" s="29" t="s">
        <v>357</v>
      </c>
      <c r="B344" s="29"/>
      <c r="C344" s="29">
        <v>30504564</v>
      </c>
      <c r="G344" s="29" t="s">
        <v>823</v>
      </c>
      <c r="H344" s="29" t="s">
        <v>358</v>
      </c>
      <c r="I344" s="120">
        <v>45686</v>
      </c>
      <c r="J344" s="29"/>
      <c r="K344" s="29"/>
      <c r="L344" s="29"/>
      <c r="M344" s="29"/>
      <c r="N344" s="29"/>
      <c r="O344" s="29"/>
      <c r="P344" s="29"/>
      <c r="Q344" s="81"/>
      <c r="R344" s="29" t="s">
        <v>359</v>
      </c>
      <c r="S344" s="123"/>
    </row>
    <row r="345" spans="1:19" hidden="1">
      <c r="A345" s="29" t="s">
        <v>357</v>
      </c>
      <c r="B345" s="29"/>
      <c r="C345" s="29">
        <v>30504222</v>
      </c>
      <c r="G345" s="29" t="s">
        <v>823</v>
      </c>
      <c r="H345" s="29" t="s">
        <v>358</v>
      </c>
      <c r="I345" s="120">
        <v>45686</v>
      </c>
      <c r="J345" s="29"/>
      <c r="K345" s="29"/>
      <c r="L345" s="29"/>
      <c r="M345" s="29"/>
      <c r="N345" s="29"/>
      <c r="O345" s="29"/>
      <c r="P345" s="29"/>
      <c r="Q345" s="81"/>
      <c r="R345" s="29" t="s">
        <v>360</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316</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316</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316</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316</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316</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316</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316</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316</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316</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486</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486</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486</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486</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486</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486</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486</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486</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316</v>
      </c>
      <c r="I366" s="120">
        <v>45692</v>
      </c>
      <c r="J366" s="29"/>
      <c r="P366" s="134"/>
      <c r="R366" s="29"/>
    </row>
    <row r="367" spans="1:19" ht="15.75" hidden="1">
      <c r="A367" s="29" t="s">
        <v>897</v>
      </c>
      <c r="B367" s="29"/>
      <c r="C367" s="121">
        <v>36504399</v>
      </c>
      <c r="G367" s="29" t="s">
        <v>138</v>
      </c>
      <c r="H367" s="29" t="s">
        <v>316</v>
      </c>
      <c r="I367" s="120">
        <v>45692</v>
      </c>
      <c r="J367" s="29"/>
      <c r="P367" s="134"/>
      <c r="R367" s="29"/>
    </row>
    <row r="368" spans="1:19" ht="15.75" hidden="1">
      <c r="A368" s="29" t="s">
        <v>897</v>
      </c>
      <c r="B368" s="29"/>
      <c r="C368" s="121">
        <v>36504493</v>
      </c>
      <c r="G368" s="29" t="s">
        <v>138</v>
      </c>
      <c r="H368" s="29" t="s">
        <v>316</v>
      </c>
      <c r="I368" s="120">
        <v>45692</v>
      </c>
      <c r="J368" s="29"/>
      <c r="P368" s="134"/>
      <c r="R368" s="29"/>
    </row>
    <row r="369" spans="1:18" ht="15.75" hidden="1">
      <c r="A369" s="29" t="s">
        <v>897</v>
      </c>
      <c r="B369" s="29"/>
      <c r="C369" s="121">
        <v>36504549</v>
      </c>
      <c r="G369" s="29" t="s">
        <v>138</v>
      </c>
      <c r="H369" s="29" t="s">
        <v>316</v>
      </c>
      <c r="I369" s="120">
        <v>45692</v>
      </c>
      <c r="J369" s="29"/>
      <c r="P369" s="134"/>
      <c r="R369" s="29"/>
    </row>
    <row r="370" spans="1:18" ht="15.75" hidden="1">
      <c r="A370" s="29" t="s">
        <v>897</v>
      </c>
      <c r="B370" s="29"/>
      <c r="C370" s="121">
        <v>36504718</v>
      </c>
      <c r="G370" s="29" t="s">
        <v>138</v>
      </c>
      <c r="H370" s="29" t="s">
        <v>316</v>
      </c>
      <c r="I370" s="120">
        <v>45692</v>
      </c>
      <c r="J370" s="29"/>
      <c r="P370" s="134"/>
      <c r="R370" s="29"/>
    </row>
    <row r="371" spans="1:18" ht="15.75" hidden="1">
      <c r="A371" s="29" t="s">
        <v>897</v>
      </c>
      <c r="B371" s="29"/>
      <c r="C371" s="121">
        <v>36504907</v>
      </c>
      <c r="G371" s="29" t="s">
        <v>138</v>
      </c>
      <c r="H371" s="29" t="s">
        <v>316</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486</v>
      </c>
      <c r="I376" s="120">
        <v>45692</v>
      </c>
      <c r="J376" s="29"/>
      <c r="P376" s="134"/>
      <c r="R376" s="29" t="s">
        <v>907</v>
      </c>
    </row>
    <row r="377" spans="1:18" hidden="1">
      <c r="A377" s="29" t="s">
        <v>897</v>
      </c>
      <c r="B377" s="29"/>
      <c r="C377" s="29">
        <v>36505254</v>
      </c>
      <c r="G377" s="29" t="s">
        <v>138</v>
      </c>
      <c r="H377" s="29" t="s">
        <v>486</v>
      </c>
      <c r="I377" s="120">
        <v>45692</v>
      </c>
      <c r="J377" s="29"/>
      <c r="P377" s="134"/>
      <c r="R377" s="29" t="s">
        <v>906</v>
      </c>
    </row>
    <row r="378" spans="1:18" hidden="1">
      <c r="A378" s="29" t="s">
        <v>897</v>
      </c>
      <c r="B378" s="29"/>
      <c r="C378" s="29">
        <v>36505299</v>
      </c>
      <c r="G378" s="29" t="s">
        <v>138</v>
      </c>
      <c r="H378" s="29" t="s">
        <v>486</v>
      </c>
      <c r="I378" s="120">
        <v>45692</v>
      </c>
      <c r="J378" s="29"/>
      <c r="P378" s="134"/>
      <c r="R378" s="29" t="s">
        <v>905</v>
      </c>
    </row>
    <row r="379" spans="1:18" ht="15.75" hidden="1">
      <c r="A379" s="29" t="s">
        <v>897</v>
      </c>
      <c r="B379" s="29"/>
      <c r="C379" s="121">
        <v>36505340</v>
      </c>
      <c r="G379" s="29" t="s">
        <v>138</v>
      </c>
      <c r="H379" s="29" t="s">
        <v>316</v>
      </c>
      <c r="I379" s="120">
        <v>45692</v>
      </c>
      <c r="J379" s="29"/>
      <c r="P379" s="134"/>
      <c r="R379" s="29"/>
    </row>
    <row r="380" spans="1:18" hidden="1">
      <c r="A380" s="29" t="s">
        <v>897</v>
      </c>
      <c r="B380" s="29"/>
      <c r="C380" s="29">
        <v>36505340</v>
      </c>
      <c r="G380" s="29" t="s">
        <v>138</v>
      </c>
      <c r="H380" s="29" t="s">
        <v>486</v>
      </c>
      <c r="I380" s="120">
        <v>45692</v>
      </c>
      <c r="J380" s="29"/>
      <c r="P380" s="134"/>
      <c r="R380" s="29" t="s">
        <v>904</v>
      </c>
    </row>
    <row r="381" spans="1:18" ht="15.75" hidden="1">
      <c r="A381" s="29" t="s">
        <v>897</v>
      </c>
      <c r="B381" s="29"/>
      <c r="C381" s="121">
        <v>36505390</v>
      </c>
      <c r="G381" s="29" t="s">
        <v>138</v>
      </c>
      <c r="H381" s="29" t="s">
        <v>316</v>
      </c>
      <c r="I381" s="120">
        <v>45692</v>
      </c>
      <c r="J381" s="29"/>
      <c r="P381" s="134"/>
      <c r="R381" s="29"/>
    </row>
    <row r="382" spans="1:18" hidden="1">
      <c r="A382" s="29" t="s">
        <v>897</v>
      </c>
      <c r="B382" s="29"/>
      <c r="C382" s="29">
        <v>36505390</v>
      </c>
      <c r="G382" s="29" t="s">
        <v>138</v>
      </c>
      <c r="H382" s="29" t="s">
        <v>486</v>
      </c>
      <c r="I382" s="120">
        <v>45692</v>
      </c>
      <c r="J382" s="29"/>
      <c r="P382" s="134"/>
      <c r="R382" s="29" t="s">
        <v>903</v>
      </c>
    </row>
    <row r="383" spans="1:18" ht="15.75" hidden="1">
      <c r="A383" s="29" t="s">
        <v>897</v>
      </c>
      <c r="B383" s="29"/>
      <c r="C383" s="121">
        <v>36505446</v>
      </c>
      <c r="G383" s="29" t="s">
        <v>138</v>
      </c>
      <c r="H383" s="29" t="s">
        <v>316</v>
      </c>
      <c r="I383" s="120">
        <v>45692</v>
      </c>
      <c r="J383" s="29"/>
      <c r="P383" s="134"/>
      <c r="R383" s="29"/>
    </row>
    <row r="384" spans="1:18" hidden="1">
      <c r="A384" s="29" t="s">
        <v>897</v>
      </c>
      <c r="B384" s="29"/>
      <c r="C384" s="29">
        <v>36505446</v>
      </c>
      <c r="G384" s="29" t="s">
        <v>138</v>
      </c>
      <c r="H384" s="29" t="s">
        <v>486</v>
      </c>
      <c r="I384" s="120">
        <v>45692</v>
      </c>
      <c r="J384" s="29"/>
      <c r="P384" s="134"/>
      <c r="R384" s="29" t="s">
        <v>903</v>
      </c>
    </row>
    <row r="385" spans="1:19" ht="15.75" hidden="1">
      <c r="A385" s="29" t="s">
        <v>897</v>
      </c>
      <c r="B385" s="29"/>
      <c r="C385" s="121">
        <v>36505501</v>
      </c>
      <c r="G385" s="29" t="s">
        <v>138</v>
      </c>
      <c r="H385" s="29" t="s">
        <v>316</v>
      </c>
      <c r="I385" s="120">
        <v>45692</v>
      </c>
      <c r="J385" s="29"/>
      <c r="P385" s="134"/>
      <c r="R385" s="29"/>
    </row>
    <row r="386" spans="1:19" hidden="1">
      <c r="A386" s="29" t="s">
        <v>897</v>
      </c>
      <c r="B386" s="29"/>
      <c r="C386" s="29">
        <v>36505501</v>
      </c>
      <c r="G386" s="29" t="s">
        <v>138</v>
      </c>
      <c r="H386" s="29" t="s">
        <v>486</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486</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280</v>
      </c>
      <c r="I396" s="42">
        <v>45707</v>
      </c>
      <c r="P396" s="134"/>
      <c r="R396" s="41" t="s">
        <v>820</v>
      </c>
    </row>
    <row r="397" spans="1:19" hidden="1">
      <c r="A397" s="41" t="s">
        <v>819</v>
      </c>
      <c r="B397" s="41"/>
      <c r="C397" s="41">
        <v>50507859</v>
      </c>
      <c r="G397" s="29" t="s">
        <v>138</v>
      </c>
      <c r="H397" s="29" t="s">
        <v>280</v>
      </c>
      <c r="I397" s="42">
        <v>45707</v>
      </c>
      <c r="P397" s="134"/>
      <c r="R397" s="41" t="s">
        <v>821</v>
      </c>
    </row>
    <row r="398" spans="1:19" hidden="1">
      <c r="A398" s="41" t="s">
        <v>819</v>
      </c>
      <c r="B398" s="41"/>
      <c r="C398" s="41">
        <v>50507785</v>
      </c>
      <c r="G398" s="29" t="s">
        <v>138</v>
      </c>
      <c r="H398" s="29" t="s">
        <v>280</v>
      </c>
      <c r="I398" s="42">
        <v>45707</v>
      </c>
      <c r="P398" s="134"/>
      <c r="R398" s="41" t="s">
        <v>909</v>
      </c>
    </row>
    <row r="399" spans="1:19" hidden="1">
      <c r="A399" s="41" t="s">
        <v>819</v>
      </c>
      <c r="B399" s="41"/>
      <c r="C399" s="41">
        <v>50507819</v>
      </c>
      <c r="G399" s="29" t="s">
        <v>138</v>
      </c>
      <c r="H399" s="29" t="s">
        <v>280</v>
      </c>
      <c r="I399" s="42">
        <v>45707</v>
      </c>
      <c r="P399" s="134"/>
      <c r="R399" s="41" t="s">
        <v>910</v>
      </c>
    </row>
    <row r="400" spans="1:19" hidden="1">
      <c r="A400" s="41" t="s">
        <v>819</v>
      </c>
      <c r="B400" s="41"/>
      <c r="C400" s="41">
        <v>50507838</v>
      </c>
      <c r="G400" s="29" t="s">
        <v>138</v>
      </c>
      <c r="H400" s="29" t="s">
        <v>280</v>
      </c>
      <c r="I400" s="42">
        <v>45707</v>
      </c>
      <c r="P400" s="134"/>
      <c r="R400" s="41" t="s">
        <v>911</v>
      </c>
    </row>
    <row r="401" spans="1:18" hidden="1">
      <c r="A401" s="41" t="s">
        <v>819</v>
      </c>
      <c r="B401" s="41"/>
      <c r="C401" s="41">
        <v>50507640</v>
      </c>
      <c r="G401" s="29" t="s">
        <v>138</v>
      </c>
      <c r="H401" s="29" t="s">
        <v>280</v>
      </c>
      <c r="I401" s="42">
        <v>45707</v>
      </c>
      <c r="P401" s="134"/>
      <c r="R401" s="41" t="s">
        <v>912</v>
      </c>
    </row>
    <row r="402" spans="1:18" hidden="1">
      <c r="A402" s="41" t="s">
        <v>819</v>
      </c>
      <c r="B402" s="41"/>
      <c r="C402" s="41">
        <v>50507678</v>
      </c>
      <c r="G402" s="29" t="s">
        <v>138</v>
      </c>
      <c r="H402" s="29" t="s">
        <v>280</v>
      </c>
      <c r="I402" s="42">
        <v>45707</v>
      </c>
      <c r="P402" s="134"/>
      <c r="R402" s="41" t="s">
        <v>913</v>
      </c>
    </row>
    <row r="403" spans="1:18" hidden="1">
      <c r="A403" s="41" t="s">
        <v>819</v>
      </c>
      <c r="B403" s="41"/>
      <c r="C403" s="41">
        <v>50507713</v>
      </c>
      <c r="G403" s="29" t="s">
        <v>138</v>
      </c>
      <c r="H403" s="29" t="s">
        <v>280</v>
      </c>
      <c r="I403" s="42">
        <v>45707</v>
      </c>
      <c r="P403" s="134"/>
      <c r="R403" s="41" t="s">
        <v>914</v>
      </c>
    </row>
    <row r="404" spans="1:18" hidden="1">
      <c r="A404" s="41" t="s">
        <v>819</v>
      </c>
      <c r="B404" s="41"/>
      <c r="C404" s="41">
        <v>50507757</v>
      </c>
      <c r="G404" s="29" t="s">
        <v>138</v>
      </c>
      <c r="H404" s="29" t="s">
        <v>280</v>
      </c>
      <c r="I404" s="42">
        <v>45707</v>
      </c>
      <c r="P404" s="134"/>
      <c r="R404" s="41" t="s">
        <v>915</v>
      </c>
    </row>
    <row r="405" spans="1:18" hidden="1">
      <c r="A405" s="41" t="s">
        <v>819</v>
      </c>
      <c r="B405" s="41"/>
      <c r="C405" s="41">
        <v>50507609</v>
      </c>
      <c r="G405" s="29" t="s">
        <v>138</v>
      </c>
      <c r="H405" s="29" t="s">
        <v>280</v>
      </c>
      <c r="I405" s="42">
        <v>45707</v>
      </c>
      <c r="P405" s="134"/>
      <c r="R405" s="41" t="s">
        <v>820</v>
      </c>
    </row>
    <row r="406" spans="1:18" hidden="1">
      <c r="A406" s="41" t="s">
        <v>819</v>
      </c>
      <c r="B406" s="41"/>
      <c r="C406" s="41">
        <v>50507859</v>
      </c>
      <c r="G406" s="29" t="s">
        <v>138</v>
      </c>
      <c r="H406" s="29" t="s">
        <v>280</v>
      </c>
      <c r="I406" s="42">
        <v>45707</v>
      </c>
      <c r="P406" s="134"/>
      <c r="R406" s="41" t="s">
        <v>821</v>
      </c>
    </row>
    <row r="407" spans="1:18" hidden="1">
      <c r="A407" s="41" t="s">
        <v>819</v>
      </c>
      <c r="B407" s="41"/>
      <c r="C407" s="41">
        <v>50507785</v>
      </c>
      <c r="G407" s="29" t="s">
        <v>138</v>
      </c>
      <c r="H407" s="29" t="s">
        <v>280</v>
      </c>
      <c r="I407" s="42">
        <v>45707</v>
      </c>
      <c r="P407" s="134"/>
      <c r="R407" s="41" t="s">
        <v>909</v>
      </c>
    </row>
    <row r="408" spans="1:18" hidden="1">
      <c r="A408" s="41" t="s">
        <v>819</v>
      </c>
      <c r="B408" s="41"/>
      <c r="C408" s="41">
        <v>50507819</v>
      </c>
      <c r="G408" s="29" t="s">
        <v>138</v>
      </c>
      <c r="H408" s="29" t="s">
        <v>280</v>
      </c>
      <c r="I408" s="42">
        <v>45707</v>
      </c>
      <c r="P408" s="134"/>
      <c r="R408" s="41" t="s">
        <v>910</v>
      </c>
    </row>
    <row r="409" spans="1:18" hidden="1">
      <c r="A409" s="41" t="s">
        <v>819</v>
      </c>
      <c r="B409" s="41"/>
      <c r="C409" s="41">
        <v>50507838</v>
      </c>
      <c r="G409" s="29" t="s">
        <v>138</v>
      </c>
      <c r="H409" s="29" t="s">
        <v>280</v>
      </c>
      <c r="I409" s="42">
        <v>45707</v>
      </c>
      <c r="P409" s="134"/>
      <c r="R409" s="41" t="s">
        <v>911</v>
      </c>
    </row>
    <row r="410" spans="1:18" hidden="1">
      <c r="A410" s="41" t="s">
        <v>819</v>
      </c>
      <c r="B410" s="41"/>
      <c r="C410" s="41">
        <v>50507640</v>
      </c>
      <c r="G410" s="29" t="s">
        <v>138</v>
      </c>
      <c r="H410" s="29" t="s">
        <v>280</v>
      </c>
      <c r="I410" s="42">
        <v>45707</v>
      </c>
      <c r="P410" s="134"/>
      <c r="R410" s="41" t="s">
        <v>912</v>
      </c>
    </row>
    <row r="411" spans="1:18" hidden="1">
      <c r="A411" s="41" t="s">
        <v>819</v>
      </c>
      <c r="B411" s="41"/>
      <c r="C411" s="41">
        <v>50507678</v>
      </c>
      <c r="G411" s="29" t="s">
        <v>138</v>
      </c>
      <c r="H411" s="29" t="s">
        <v>280</v>
      </c>
      <c r="I411" s="42">
        <v>45707</v>
      </c>
      <c r="P411" s="134"/>
      <c r="R411" s="41" t="s">
        <v>913</v>
      </c>
    </row>
    <row r="412" spans="1:18" hidden="1">
      <c r="A412" s="41" t="s">
        <v>819</v>
      </c>
      <c r="B412" s="41"/>
      <c r="C412" s="41">
        <v>50507713</v>
      </c>
      <c r="G412" s="29" t="s">
        <v>138</v>
      </c>
      <c r="H412" s="29" t="s">
        <v>280</v>
      </c>
      <c r="I412" s="42">
        <v>45707</v>
      </c>
      <c r="P412" s="134"/>
      <c r="R412" s="41" t="s">
        <v>914</v>
      </c>
    </row>
    <row r="413" spans="1:18" hidden="1">
      <c r="A413" s="41" t="s">
        <v>819</v>
      </c>
      <c r="B413" s="41"/>
      <c r="C413" s="41">
        <v>50507757</v>
      </c>
      <c r="G413" s="29" t="s">
        <v>138</v>
      </c>
      <c r="H413" s="29" t="s">
        <v>280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316</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316</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316</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316</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316</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316</v>
      </c>
      <c r="I489" s="120">
        <v>45692</v>
      </c>
      <c r="J489" s="29"/>
      <c r="P489" s="134"/>
    </row>
    <row r="490" spans="1:19" hidden="1">
      <c r="A490" s="147" t="s">
        <v>925</v>
      </c>
      <c r="B490" s="147"/>
      <c r="C490" s="29">
        <v>21507458</v>
      </c>
      <c r="G490" s="29" t="s">
        <v>138</v>
      </c>
      <c r="H490" s="29" t="s">
        <v>316</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316</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316</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316</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316</v>
      </c>
      <c r="I504" s="120">
        <v>45678</v>
      </c>
      <c r="J504" s="29"/>
      <c r="P504" s="134"/>
    </row>
    <row r="505" spans="1:19" hidden="1">
      <c r="A505" s="147" t="s">
        <v>925</v>
      </c>
      <c r="B505" s="147"/>
      <c r="C505" s="29">
        <v>21507496</v>
      </c>
      <c r="G505" s="29" t="s">
        <v>138</v>
      </c>
      <c r="H505" s="29" t="s">
        <v>316</v>
      </c>
      <c r="I505" s="120">
        <v>45678</v>
      </c>
      <c r="J505" s="29"/>
      <c r="P505" s="134"/>
    </row>
    <row r="506" spans="1:19" hidden="1">
      <c r="A506" s="147" t="s">
        <v>925</v>
      </c>
      <c r="B506" s="147"/>
      <c r="C506" s="29">
        <v>21507508</v>
      </c>
      <c r="G506" s="29" t="s">
        <v>138</v>
      </c>
      <c r="H506" s="29" t="s">
        <v>316</v>
      </c>
      <c r="I506" s="120">
        <v>45678</v>
      </c>
      <c r="J506" s="29"/>
      <c r="P506" s="134"/>
    </row>
    <row r="507" spans="1:19" hidden="1">
      <c r="A507" s="147" t="s">
        <v>925</v>
      </c>
      <c r="B507" s="147"/>
      <c r="C507" s="29">
        <v>21507522</v>
      </c>
      <c r="G507" s="29" t="s">
        <v>138</v>
      </c>
      <c r="H507" s="29" t="s">
        <v>316</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316</v>
      </c>
      <c r="I512" s="120">
        <v>45678</v>
      </c>
      <c r="J512" s="29"/>
      <c r="P512" s="134"/>
    </row>
    <row r="513" spans="1:19" hidden="1">
      <c r="A513" s="147" t="s">
        <v>926</v>
      </c>
      <c r="B513" s="147"/>
      <c r="C513" s="29">
        <v>21507542</v>
      </c>
      <c r="G513" s="29" t="s">
        <v>138</v>
      </c>
      <c r="H513" s="29" t="s">
        <v>316</v>
      </c>
      <c r="I513" s="120">
        <v>45678</v>
      </c>
      <c r="J513" s="29"/>
      <c r="P513" s="134"/>
    </row>
    <row r="514" spans="1:19" hidden="1">
      <c r="A514" s="147" t="s">
        <v>926</v>
      </c>
      <c r="B514" s="147"/>
      <c r="C514" s="29">
        <v>21507549</v>
      </c>
      <c r="G514" s="29" t="s">
        <v>138</v>
      </c>
      <c r="H514" s="29" t="s">
        <v>316</v>
      </c>
      <c r="I514" s="120">
        <v>45678</v>
      </c>
      <c r="J514" s="29"/>
      <c r="P514" s="134"/>
    </row>
    <row r="515" spans="1:19" hidden="1">
      <c r="A515" s="147" t="s">
        <v>926</v>
      </c>
      <c r="B515" s="147"/>
      <c r="C515" s="29">
        <v>21507541</v>
      </c>
      <c r="G515" s="29" t="s">
        <v>138</v>
      </c>
      <c r="H515" s="29" t="s">
        <v>316</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316</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316</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316</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290</v>
      </c>
      <c r="B524" s="151"/>
      <c r="C524" s="29">
        <v>10507009</v>
      </c>
      <c r="D524" s="29"/>
      <c r="F524" s="29"/>
      <c r="G524" s="29" t="s">
        <v>823</v>
      </c>
      <c r="H524" s="29" t="s">
        <v>291</v>
      </c>
      <c r="I524" s="120">
        <v>45658</v>
      </c>
      <c r="J524" s="120">
        <f>WORKDAY(I524, 3)</f>
        <v>45663</v>
      </c>
      <c r="K524" s="120"/>
      <c r="L524" s="120"/>
      <c r="M524" s="120"/>
      <c r="N524" s="120"/>
      <c r="O524" s="119" t="s">
        <v>929</v>
      </c>
      <c r="P524" s="120"/>
      <c r="Q524" s="135"/>
      <c r="R524" s="29"/>
      <c r="S524" s="123"/>
    </row>
    <row r="525" spans="1:19" hidden="1">
      <c r="A525" s="147" t="s">
        <v>290</v>
      </c>
      <c r="B525" s="147"/>
      <c r="C525" s="29">
        <v>10507037</v>
      </c>
      <c r="D525" s="29"/>
      <c r="F525" s="29"/>
      <c r="G525" s="29" t="s">
        <v>823</v>
      </c>
      <c r="H525" s="29" t="s">
        <v>291</v>
      </c>
      <c r="I525" s="120">
        <v>45658</v>
      </c>
      <c r="J525" s="120">
        <f>WORKDAY(I525, 3)</f>
        <v>45663</v>
      </c>
      <c r="K525" s="120"/>
      <c r="L525" s="120"/>
      <c r="M525" s="120"/>
      <c r="N525" s="120"/>
      <c r="O525" s="119" t="s">
        <v>929</v>
      </c>
      <c r="P525" s="120"/>
      <c r="Q525" s="135"/>
      <c r="R525" s="29"/>
      <c r="S525" s="123"/>
    </row>
    <row r="526" spans="1:19" hidden="1">
      <c r="A526" s="147" t="s">
        <v>290</v>
      </c>
      <c r="B526" s="147"/>
      <c r="C526" s="29">
        <v>10507027</v>
      </c>
      <c r="D526" s="29"/>
      <c r="F526" s="29"/>
      <c r="G526" s="29" t="s">
        <v>823</v>
      </c>
      <c r="H526" s="29" t="s">
        <v>291</v>
      </c>
      <c r="I526" s="120">
        <v>45658</v>
      </c>
      <c r="J526" s="120">
        <f>WORKDAY(I526, 3)</f>
        <v>45663</v>
      </c>
      <c r="K526" s="120"/>
      <c r="L526" s="120"/>
      <c r="M526" s="120"/>
      <c r="N526" s="120"/>
      <c r="O526" s="119" t="s">
        <v>929</v>
      </c>
      <c r="P526" s="120"/>
      <c r="Q526" s="135"/>
      <c r="R526" s="29"/>
      <c r="S526" s="123"/>
    </row>
    <row r="527" spans="1:19" hidden="1">
      <c r="A527" s="147" t="s">
        <v>290</v>
      </c>
      <c r="B527" s="147"/>
      <c r="C527" s="29">
        <v>10507008</v>
      </c>
      <c r="D527" s="29"/>
      <c r="F527" s="29"/>
      <c r="G527" s="29" t="s">
        <v>823</v>
      </c>
      <c r="H527" s="29" t="s">
        <v>291</v>
      </c>
      <c r="I527" s="120">
        <v>45658</v>
      </c>
      <c r="J527" s="120">
        <f>WORKDAY(I527, 3)</f>
        <v>45663</v>
      </c>
      <c r="K527" s="120"/>
      <c r="L527" s="120"/>
      <c r="M527" s="120"/>
      <c r="N527" s="120"/>
      <c r="O527" s="119" t="s">
        <v>929</v>
      </c>
      <c r="P527" s="120"/>
      <c r="Q527" s="135"/>
      <c r="R527" s="29"/>
      <c r="S527" s="123"/>
    </row>
    <row r="528" spans="1:19" hidden="1">
      <c r="A528" s="147" t="s">
        <v>290</v>
      </c>
      <c r="B528" s="147"/>
      <c r="C528" s="29">
        <v>10507102</v>
      </c>
      <c r="D528" s="29"/>
      <c r="F528" s="29"/>
      <c r="G528" s="29" t="s">
        <v>823</v>
      </c>
      <c r="H528" s="29" t="s">
        <v>291</v>
      </c>
      <c r="I528" s="120">
        <v>45658</v>
      </c>
      <c r="J528" s="120">
        <f>WORKDAY(I528, 3)</f>
        <v>45663</v>
      </c>
      <c r="K528" s="120"/>
      <c r="L528" s="120"/>
      <c r="M528" s="120"/>
      <c r="N528" s="120"/>
      <c r="O528" s="119" t="s">
        <v>929</v>
      </c>
      <c r="P528" s="120"/>
      <c r="Q528" s="135"/>
      <c r="R528" s="29"/>
      <c r="S528" s="123"/>
    </row>
    <row r="529" spans="1:19" hidden="1">
      <c r="A529" s="147" t="s">
        <v>290</v>
      </c>
      <c r="B529" s="147"/>
      <c r="C529" s="29">
        <v>10507007</v>
      </c>
      <c r="D529" s="29"/>
      <c r="F529" s="29"/>
      <c r="G529" s="29" t="s">
        <v>823</v>
      </c>
      <c r="H529" s="29" t="s">
        <v>291</v>
      </c>
      <c r="I529" s="120">
        <v>45658</v>
      </c>
      <c r="J529" s="120">
        <f>WORKDAY(I529, 3)</f>
        <v>45663</v>
      </c>
      <c r="K529" s="120"/>
      <c r="L529" s="120"/>
      <c r="M529" s="120"/>
      <c r="N529" s="120"/>
      <c r="O529" s="119" t="s">
        <v>929</v>
      </c>
      <c r="P529" s="120"/>
      <c r="Q529" s="135"/>
      <c r="R529" s="29"/>
      <c r="S529" s="123"/>
    </row>
    <row r="530" spans="1:19" hidden="1">
      <c r="A530" s="147" t="s">
        <v>290</v>
      </c>
      <c r="B530" s="147"/>
      <c r="C530" s="29">
        <v>10507014</v>
      </c>
      <c r="D530" s="29"/>
      <c r="F530" s="29"/>
      <c r="G530" s="29" t="s">
        <v>823</v>
      </c>
      <c r="H530" s="29" t="s">
        <v>291</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290</v>
      </c>
      <c r="B544" s="147"/>
      <c r="C544" s="29">
        <v>9504725</v>
      </c>
      <c r="D544" s="29"/>
      <c r="F544" s="29"/>
      <c r="G544" s="29" t="s">
        <v>823</v>
      </c>
      <c r="H544" s="127" t="s">
        <v>292</v>
      </c>
      <c r="I544" s="120">
        <v>45666</v>
      </c>
      <c r="J544" s="120">
        <f>WORKDAY(I544, 3)</f>
        <v>45671</v>
      </c>
      <c r="K544" s="120"/>
      <c r="L544" s="120"/>
      <c r="M544" s="120"/>
      <c r="N544" s="120"/>
      <c r="O544" s="119" t="s">
        <v>929</v>
      </c>
      <c r="P544" s="120"/>
      <c r="Q544" s="135"/>
      <c r="R544" s="127" t="s">
        <v>293</v>
      </c>
      <c r="S544" s="123"/>
    </row>
    <row r="545" spans="1:19" ht="29.25" hidden="1">
      <c r="A545" s="147" t="s">
        <v>290</v>
      </c>
      <c r="B545" s="147"/>
      <c r="C545" s="29">
        <v>9502380</v>
      </c>
      <c r="D545" s="29"/>
      <c r="F545" s="29"/>
      <c r="G545" s="29" t="s">
        <v>823</v>
      </c>
      <c r="H545" s="127" t="s">
        <v>292</v>
      </c>
      <c r="I545" s="120">
        <v>45666</v>
      </c>
      <c r="J545" s="120">
        <f>WORKDAY(I545, 3)</f>
        <v>45671</v>
      </c>
      <c r="K545" s="120"/>
      <c r="L545" s="120"/>
      <c r="M545" s="120"/>
      <c r="N545" s="120"/>
      <c r="O545" s="119" t="s">
        <v>929</v>
      </c>
      <c r="P545" s="120"/>
      <c r="Q545" s="135"/>
      <c r="R545" s="127" t="s">
        <v>294</v>
      </c>
      <c r="S545" s="123"/>
    </row>
    <row r="546" spans="1:19" ht="29.25" hidden="1">
      <c r="A546" s="147" t="s">
        <v>290</v>
      </c>
      <c r="B546" s="147"/>
      <c r="C546" s="29">
        <v>9501187</v>
      </c>
      <c r="D546" s="29"/>
      <c r="F546" s="29"/>
      <c r="G546" s="29" t="s">
        <v>823</v>
      </c>
      <c r="H546" s="127" t="s">
        <v>292</v>
      </c>
      <c r="I546" s="120">
        <v>45666</v>
      </c>
      <c r="J546" s="120">
        <f>WORKDAY(I546, 3)</f>
        <v>45671</v>
      </c>
      <c r="K546" s="120"/>
      <c r="L546" s="120"/>
      <c r="M546" s="120"/>
      <c r="N546" s="120"/>
      <c r="O546" s="119" t="s">
        <v>929</v>
      </c>
      <c r="P546" s="120"/>
      <c r="Q546" s="135"/>
      <c r="R546" s="127" t="s">
        <v>295</v>
      </c>
      <c r="S546" s="123"/>
    </row>
    <row r="547" spans="1:19" hidden="1">
      <c r="A547" s="147" t="s">
        <v>290</v>
      </c>
      <c r="B547" s="147"/>
      <c r="C547" s="29">
        <v>10507009</v>
      </c>
      <c r="D547" s="29"/>
      <c r="F547" s="29"/>
      <c r="G547" s="29" t="s">
        <v>823</v>
      </c>
      <c r="H547" s="29" t="s">
        <v>291</v>
      </c>
      <c r="I547" s="120">
        <v>45667</v>
      </c>
      <c r="J547" s="120">
        <f>WORKDAY(I547, 3)</f>
        <v>45672</v>
      </c>
      <c r="K547" s="120"/>
      <c r="L547" s="120"/>
      <c r="M547" s="120"/>
      <c r="N547" s="120"/>
      <c r="O547" s="119" t="s">
        <v>929</v>
      </c>
      <c r="P547" s="120"/>
      <c r="Q547" s="135"/>
      <c r="R547" s="29" t="s">
        <v>296</v>
      </c>
      <c r="S547" s="123"/>
    </row>
    <row r="548" spans="1:19" hidden="1">
      <c r="A548" s="147" t="s">
        <v>290</v>
      </c>
      <c r="B548" s="147"/>
      <c r="C548" s="29">
        <v>10507014</v>
      </c>
      <c r="D548" s="29"/>
      <c r="F548" s="29"/>
      <c r="G548" s="29" t="s">
        <v>823</v>
      </c>
      <c r="H548" s="29" t="s">
        <v>291</v>
      </c>
      <c r="I548" s="120">
        <v>45667</v>
      </c>
      <c r="J548" s="120">
        <f>WORKDAY(I548, 3)</f>
        <v>45672</v>
      </c>
      <c r="K548" s="120"/>
      <c r="L548" s="120"/>
      <c r="M548" s="120"/>
      <c r="N548" s="120"/>
      <c r="O548" s="119" t="s">
        <v>929</v>
      </c>
      <c r="P548" s="120"/>
      <c r="Q548" s="135"/>
      <c r="R548" s="29" t="s">
        <v>296</v>
      </c>
      <c r="S548" s="123"/>
    </row>
    <row r="549" spans="1:19" hidden="1">
      <c r="A549" s="147" t="s">
        <v>290</v>
      </c>
      <c r="B549" s="147"/>
      <c r="C549" s="29">
        <v>10507027</v>
      </c>
      <c r="D549" s="29"/>
      <c r="F549" s="29"/>
      <c r="G549" s="29" t="s">
        <v>823</v>
      </c>
      <c r="H549" s="29" t="s">
        <v>291</v>
      </c>
      <c r="I549" s="120">
        <v>45667</v>
      </c>
      <c r="J549" s="120">
        <f>WORKDAY(I549, 3)</f>
        <v>45672</v>
      </c>
      <c r="K549" s="120"/>
      <c r="L549" s="120"/>
      <c r="M549" s="120"/>
      <c r="N549" s="120"/>
      <c r="O549" s="119" t="s">
        <v>929</v>
      </c>
      <c r="P549" s="120"/>
      <c r="Q549" s="135"/>
      <c r="R549" s="29" t="s">
        <v>296</v>
      </c>
      <c r="S549" s="123"/>
    </row>
    <row r="550" spans="1:19" hidden="1">
      <c r="A550" s="147" t="s">
        <v>290</v>
      </c>
      <c r="B550" s="147"/>
      <c r="C550" s="29">
        <v>10507008</v>
      </c>
      <c r="D550" s="29"/>
      <c r="F550" s="29"/>
      <c r="G550" s="29" t="s">
        <v>823</v>
      </c>
      <c r="H550" s="29" t="s">
        <v>291</v>
      </c>
      <c r="I550" s="120">
        <v>45667</v>
      </c>
      <c r="J550" s="120">
        <f>WORKDAY(I550, 3)</f>
        <v>45672</v>
      </c>
      <c r="K550" s="120"/>
      <c r="L550" s="120"/>
      <c r="M550" s="120"/>
      <c r="N550" s="120"/>
      <c r="O550" s="119" t="s">
        <v>929</v>
      </c>
      <c r="P550" s="120"/>
      <c r="Q550" s="135"/>
      <c r="R550" s="29" t="s">
        <v>296</v>
      </c>
      <c r="S550" s="123"/>
    </row>
    <row r="551" spans="1:19" hidden="1">
      <c r="A551" s="147" t="s">
        <v>290</v>
      </c>
      <c r="B551" s="147"/>
      <c r="C551" s="29">
        <v>10507003</v>
      </c>
      <c r="D551" s="29"/>
      <c r="F551" s="29"/>
      <c r="G551" s="29" t="s">
        <v>823</v>
      </c>
      <c r="H551" s="29" t="s">
        <v>291</v>
      </c>
      <c r="I551" s="120">
        <v>45667</v>
      </c>
      <c r="J551" s="120">
        <f>WORKDAY(I551, 3)</f>
        <v>45672</v>
      </c>
      <c r="K551" s="120"/>
      <c r="L551" s="120"/>
      <c r="M551" s="120"/>
      <c r="N551" s="120"/>
      <c r="O551" s="119" t="s">
        <v>929</v>
      </c>
      <c r="P551" s="120"/>
      <c r="Q551" s="135"/>
      <c r="R551" s="29" t="s">
        <v>296</v>
      </c>
      <c r="S551" s="123"/>
    </row>
    <row r="552" spans="1:19" hidden="1">
      <c r="A552" s="147" t="s">
        <v>290</v>
      </c>
      <c r="B552" s="147"/>
      <c r="C552" s="29">
        <v>8509919</v>
      </c>
      <c r="D552" s="29"/>
      <c r="F552" s="29"/>
      <c r="G552" s="29" t="s">
        <v>823</v>
      </c>
      <c r="H552" s="127" t="s">
        <v>292</v>
      </c>
      <c r="I552" s="120">
        <v>45668</v>
      </c>
      <c r="J552" s="120">
        <f>WORKDAY(I552, 3)</f>
        <v>45672</v>
      </c>
      <c r="K552" s="120"/>
      <c r="L552" s="120"/>
      <c r="M552" s="120"/>
      <c r="N552" s="120"/>
      <c r="O552" s="119" t="s">
        <v>929</v>
      </c>
      <c r="P552" s="120"/>
      <c r="Q552" s="135"/>
      <c r="R552" s="127" t="s">
        <v>297</v>
      </c>
      <c r="S552" s="123"/>
    </row>
    <row r="553" spans="1:19" ht="29.25" hidden="1">
      <c r="A553" s="147" t="s">
        <v>290</v>
      </c>
      <c r="B553" s="147"/>
      <c r="C553" s="29">
        <v>8509573</v>
      </c>
      <c r="D553" s="29"/>
      <c r="F553" s="29"/>
      <c r="G553" s="29" t="s">
        <v>823</v>
      </c>
      <c r="H553" s="127" t="s">
        <v>292</v>
      </c>
      <c r="I553" s="120">
        <v>45668</v>
      </c>
      <c r="J553" s="120">
        <f>WORKDAY(I553, 3)</f>
        <v>45672</v>
      </c>
      <c r="K553" s="120"/>
      <c r="L553" s="120"/>
      <c r="M553" s="120"/>
      <c r="N553" s="120"/>
      <c r="O553" s="119" t="s">
        <v>929</v>
      </c>
      <c r="P553" s="120"/>
      <c r="Q553" s="135"/>
      <c r="R553" s="127" t="s">
        <v>298</v>
      </c>
      <c r="S553" s="123"/>
    </row>
    <row r="554" spans="1:19" ht="29.25" hidden="1">
      <c r="A554" s="147" t="s">
        <v>290</v>
      </c>
      <c r="B554" s="147"/>
      <c r="C554" s="29">
        <v>14509553</v>
      </c>
      <c r="D554" s="29"/>
      <c r="F554" s="29"/>
      <c r="G554" s="29" t="s">
        <v>823</v>
      </c>
      <c r="H554" s="127" t="s">
        <v>292</v>
      </c>
      <c r="I554" s="120">
        <v>45671</v>
      </c>
      <c r="J554" s="120">
        <f>WORKDAY(I554, 3)</f>
        <v>45674</v>
      </c>
      <c r="K554" s="120"/>
      <c r="L554" s="120"/>
      <c r="M554" s="120"/>
      <c r="N554" s="120"/>
      <c r="O554" s="119" t="s">
        <v>929</v>
      </c>
      <c r="P554" s="120"/>
      <c r="Q554" s="135"/>
      <c r="R554" s="127" t="s">
        <v>299</v>
      </c>
      <c r="S554" s="123"/>
    </row>
    <row r="555" spans="1:19" hidden="1">
      <c r="A555" s="147" t="s">
        <v>290</v>
      </c>
      <c r="B555" s="147"/>
      <c r="C555" s="29">
        <v>14509533</v>
      </c>
      <c r="D555" s="29"/>
      <c r="F555" s="29"/>
      <c r="G555" s="29" t="s">
        <v>823</v>
      </c>
      <c r="H555" s="127" t="s">
        <v>292</v>
      </c>
      <c r="I555" s="120">
        <v>45671</v>
      </c>
      <c r="J555" s="120">
        <f>WORKDAY(I555, 3)</f>
        <v>45674</v>
      </c>
      <c r="K555" s="120"/>
      <c r="L555" s="120"/>
      <c r="M555" s="120"/>
      <c r="N555" s="120"/>
      <c r="O555" s="119" t="s">
        <v>929</v>
      </c>
      <c r="P555" s="120"/>
      <c r="Q555" s="135"/>
      <c r="R555" s="127" t="s">
        <v>300</v>
      </c>
      <c r="S555" s="123"/>
    </row>
    <row r="556" spans="1:19" hidden="1">
      <c r="A556" s="147" t="s">
        <v>290</v>
      </c>
      <c r="B556" s="147"/>
      <c r="C556" s="29">
        <v>14509506</v>
      </c>
      <c r="D556" s="29"/>
      <c r="F556" s="29"/>
      <c r="G556" s="29" t="s">
        <v>823</v>
      </c>
      <c r="H556" s="127" t="s">
        <v>292</v>
      </c>
      <c r="I556" s="120">
        <v>45671</v>
      </c>
      <c r="J556" s="120">
        <f>WORKDAY(I556, 3)</f>
        <v>45674</v>
      </c>
      <c r="K556" s="120"/>
      <c r="L556" s="120"/>
      <c r="M556" s="120"/>
      <c r="N556" s="120"/>
      <c r="O556" s="119" t="s">
        <v>929</v>
      </c>
      <c r="P556" s="120"/>
      <c r="Q556" s="135"/>
      <c r="R556" s="127" t="s">
        <v>301</v>
      </c>
      <c r="S556" s="123"/>
    </row>
    <row r="557" spans="1:19" hidden="1">
      <c r="A557" s="147" t="s">
        <v>290</v>
      </c>
      <c r="B557" s="147"/>
      <c r="C557" s="29">
        <v>14509481</v>
      </c>
      <c r="D557" s="29"/>
      <c r="F557" s="29"/>
      <c r="G557" s="29" t="s">
        <v>823</v>
      </c>
      <c r="H557" s="127" t="s">
        <v>292</v>
      </c>
      <c r="I557" s="120">
        <v>45671</v>
      </c>
      <c r="J557" s="120">
        <f>WORKDAY(I557, 3)</f>
        <v>45674</v>
      </c>
      <c r="K557" s="120"/>
      <c r="L557" s="120"/>
      <c r="M557" s="120"/>
      <c r="N557" s="120"/>
      <c r="O557" s="119" t="s">
        <v>929</v>
      </c>
      <c r="P557" s="120"/>
      <c r="Q557" s="135"/>
      <c r="R557" s="127" t="s">
        <v>302</v>
      </c>
      <c r="S557" s="123"/>
    </row>
    <row r="558" spans="1:19" hidden="1">
      <c r="A558" s="147" t="s">
        <v>290</v>
      </c>
      <c r="B558" s="147"/>
      <c r="C558" s="29">
        <v>9504332</v>
      </c>
      <c r="D558" s="29"/>
      <c r="F558" s="29"/>
      <c r="G558" s="29" t="s">
        <v>823</v>
      </c>
      <c r="H558" s="127" t="s">
        <v>292</v>
      </c>
      <c r="I558" s="120">
        <v>45671</v>
      </c>
      <c r="J558" s="120">
        <f>WORKDAY(I558, 3)</f>
        <v>45674</v>
      </c>
      <c r="K558" s="120"/>
      <c r="L558" s="120"/>
      <c r="M558" s="120"/>
      <c r="N558" s="120"/>
      <c r="O558" s="119" t="s">
        <v>929</v>
      </c>
      <c r="P558" s="120"/>
      <c r="Q558" s="135"/>
      <c r="R558" s="127" t="s">
        <v>303</v>
      </c>
      <c r="S558" s="123"/>
    </row>
    <row r="559" spans="1:19" ht="29.25" hidden="1">
      <c r="A559" s="147" t="s">
        <v>290</v>
      </c>
      <c r="B559" s="147"/>
      <c r="C559" s="29">
        <v>14509608</v>
      </c>
      <c r="D559" s="29"/>
      <c r="F559" s="29"/>
      <c r="G559" s="29" t="s">
        <v>823</v>
      </c>
      <c r="H559" s="127" t="s">
        <v>292</v>
      </c>
      <c r="I559" s="120">
        <v>45671</v>
      </c>
      <c r="J559" s="120">
        <f>WORKDAY(I559, 3)</f>
        <v>45674</v>
      </c>
      <c r="K559" s="120"/>
      <c r="L559" s="120"/>
      <c r="M559" s="120"/>
      <c r="N559" s="120"/>
      <c r="O559" s="119" t="s">
        <v>929</v>
      </c>
      <c r="P559" s="120"/>
      <c r="Q559" s="135"/>
      <c r="R559" s="127" t="s">
        <v>304</v>
      </c>
      <c r="S559" s="123"/>
    </row>
    <row r="560" spans="1:19" ht="29.25" hidden="1">
      <c r="A560" s="147" t="s">
        <v>290</v>
      </c>
      <c r="B560" s="147"/>
      <c r="C560" s="29">
        <v>14509573</v>
      </c>
      <c r="D560" s="29"/>
      <c r="F560" s="29"/>
      <c r="G560" s="29" t="s">
        <v>823</v>
      </c>
      <c r="H560" s="127" t="s">
        <v>292</v>
      </c>
      <c r="I560" s="120">
        <v>45671</v>
      </c>
      <c r="J560" s="120">
        <f>WORKDAY(I560, 3)</f>
        <v>45674</v>
      </c>
      <c r="K560" s="120"/>
      <c r="L560" s="120"/>
      <c r="M560" s="120"/>
      <c r="N560" s="120"/>
      <c r="O560" s="119" t="s">
        <v>929</v>
      </c>
      <c r="P560" s="120"/>
      <c r="Q560" s="135"/>
      <c r="R560" s="127" t="s">
        <v>305</v>
      </c>
      <c r="S560" s="123"/>
    </row>
    <row r="561" spans="1:19" hidden="1">
      <c r="A561" s="147" t="s">
        <v>290</v>
      </c>
      <c r="B561" s="147"/>
      <c r="C561" s="29">
        <v>14509450</v>
      </c>
      <c r="D561" s="29"/>
      <c r="F561" s="29"/>
      <c r="G561" s="29" t="s">
        <v>823</v>
      </c>
      <c r="H561" s="127" t="s">
        <v>292</v>
      </c>
      <c r="I561" s="120">
        <v>45671</v>
      </c>
      <c r="J561" s="120">
        <f>WORKDAY(I561, 3)</f>
        <v>45674</v>
      </c>
      <c r="K561" s="120"/>
      <c r="L561" s="120"/>
      <c r="M561" s="120"/>
      <c r="N561" s="120"/>
      <c r="O561" s="119" t="s">
        <v>929</v>
      </c>
      <c r="P561" s="120"/>
      <c r="Q561" s="135"/>
      <c r="R561" s="127" t="s">
        <v>306</v>
      </c>
      <c r="S561" s="123"/>
    </row>
    <row r="562" spans="1:19" hidden="1">
      <c r="A562" s="147" t="s">
        <v>931</v>
      </c>
      <c r="B562" s="147"/>
      <c r="C562" s="41">
        <v>16500038</v>
      </c>
      <c r="D562" s="41"/>
      <c r="F562" s="41"/>
      <c r="G562" s="29" t="s">
        <v>138</v>
      </c>
      <c r="H562" s="29" t="s">
        <v>316</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316</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316</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316</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316</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316</v>
      </c>
      <c r="I567" s="120">
        <v>45673</v>
      </c>
      <c r="J567" s="120">
        <f>WORKDAY(I567, 3)</f>
        <v>45678</v>
      </c>
      <c r="K567" s="120"/>
      <c r="L567" s="120"/>
      <c r="M567" s="120"/>
      <c r="N567" s="120"/>
      <c r="O567" s="119" t="s">
        <v>929</v>
      </c>
      <c r="P567" s="120"/>
      <c r="Q567" s="135"/>
      <c r="R567" s="29" t="s">
        <v>937</v>
      </c>
      <c r="S567" s="123"/>
    </row>
    <row r="568" spans="1:19" hidden="1">
      <c r="A568" s="29" t="s">
        <v>290</v>
      </c>
      <c r="B568" s="29"/>
      <c r="C568" s="29">
        <v>17507042</v>
      </c>
      <c r="D568" s="29"/>
      <c r="F568" s="29"/>
      <c r="G568" s="29" t="s">
        <v>823</v>
      </c>
      <c r="H568" s="29" t="s">
        <v>308</v>
      </c>
      <c r="I568" s="120">
        <v>45674</v>
      </c>
      <c r="J568" s="120">
        <f>WORKDAY(I568, 3)</f>
        <v>45679</v>
      </c>
      <c r="K568" s="120"/>
      <c r="L568" s="120"/>
      <c r="M568" s="120"/>
      <c r="N568" s="120"/>
      <c r="O568" s="119" t="s">
        <v>929</v>
      </c>
      <c r="P568" s="120"/>
      <c r="Q568" s="135"/>
      <c r="R568" s="29"/>
      <c r="S568" s="123"/>
    </row>
    <row r="569" spans="1:19" hidden="1">
      <c r="A569" s="29" t="s">
        <v>290</v>
      </c>
      <c r="B569" s="29"/>
      <c r="C569" s="29">
        <v>17507045</v>
      </c>
      <c r="D569" s="29"/>
      <c r="F569" s="29"/>
      <c r="G569" s="29" t="s">
        <v>823</v>
      </c>
      <c r="H569" s="29" t="s">
        <v>308</v>
      </c>
      <c r="I569" s="120">
        <v>45674</v>
      </c>
      <c r="J569" s="120">
        <f>WORKDAY(I569, 3)</f>
        <v>45679</v>
      </c>
      <c r="K569" s="120"/>
      <c r="L569" s="120"/>
      <c r="M569" s="120"/>
      <c r="N569" s="120"/>
      <c r="O569" s="119" t="s">
        <v>929</v>
      </c>
      <c r="P569" s="120"/>
      <c r="Q569" s="135"/>
      <c r="R569" s="29"/>
      <c r="S569" s="123"/>
    </row>
    <row r="570" spans="1:19" hidden="1">
      <c r="A570" s="29" t="s">
        <v>290</v>
      </c>
      <c r="B570" s="29"/>
      <c r="C570" s="29">
        <v>17507052</v>
      </c>
      <c r="D570" s="29"/>
      <c r="F570" s="29"/>
      <c r="G570" s="29" t="s">
        <v>823</v>
      </c>
      <c r="H570" s="29" t="s">
        <v>308</v>
      </c>
      <c r="I570" s="120">
        <v>45674</v>
      </c>
      <c r="J570" s="120">
        <f>WORKDAY(I570, 3)</f>
        <v>45679</v>
      </c>
      <c r="K570" s="120"/>
      <c r="L570" s="120"/>
      <c r="M570" s="120"/>
      <c r="N570" s="120"/>
      <c r="O570" s="119" t="s">
        <v>929</v>
      </c>
      <c r="P570" s="120"/>
      <c r="Q570" s="135"/>
      <c r="R570" s="29"/>
      <c r="S570" s="123"/>
    </row>
    <row r="571" spans="1:19" hidden="1">
      <c r="A571" s="29" t="s">
        <v>290</v>
      </c>
      <c r="B571" s="29"/>
      <c r="C571" s="29">
        <v>17507041</v>
      </c>
      <c r="D571" s="29"/>
      <c r="F571" s="29"/>
      <c r="G571" s="29" t="s">
        <v>823</v>
      </c>
      <c r="H571" s="29" t="s">
        <v>308</v>
      </c>
      <c r="I571" s="120">
        <v>45674</v>
      </c>
      <c r="J571" s="120">
        <f>WORKDAY(I571, 3)</f>
        <v>45679</v>
      </c>
      <c r="K571" s="120"/>
      <c r="L571" s="120"/>
      <c r="M571" s="120"/>
      <c r="N571" s="120"/>
      <c r="O571" s="119" t="s">
        <v>929</v>
      </c>
      <c r="P571" s="120"/>
      <c r="Q571" s="135"/>
      <c r="R571" s="29"/>
      <c r="S571" s="123"/>
    </row>
    <row r="572" spans="1:19" hidden="1">
      <c r="A572" s="29" t="s">
        <v>290</v>
      </c>
      <c r="B572" s="29"/>
      <c r="C572" s="29">
        <v>17507047</v>
      </c>
      <c r="D572" s="29"/>
      <c r="F572" s="29"/>
      <c r="G572" s="29" t="s">
        <v>823</v>
      </c>
      <c r="H572" s="29" t="s">
        <v>308</v>
      </c>
      <c r="I572" s="120">
        <v>45674</v>
      </c>
      <c r="J572" s="120">
        <f>WORKDAY(I572, 3)</f>
        <v>45679</v>
      </c>
      <c r="K572" s="120"/>
      <c r="L572" s="120"/>
      <c r="M572" s="120"/>
      <c r="N572" s="120"/>
      <c r="O572" s="119" t="s">
        <v>929</v>
      </c>
      <c r="P572" s="120"/>
      <c r="Q572" s="135"/>
      <c r="R572" s="29"/>
      <c r="S572" s="123"/>
    </row>
    <row r="573" spans="1:19" hidden="1">
      <c r="A573" s="29" t="s">
        <v>290</v>
      </c>
      <c r="B573" s="29"/>
      <c r="C573" s="29">
        <v>17507044</v>
      </c>
      <c r="D573" s="29"/>
      <c r="F573" s="29"/>
      <c r="G573" s="29" t="s">
        <v>823</v>
      </c>
      <c r="H573" s="29" t="s">
        <v>308</v>
      </c>
      <c r="I573" s="120">
        <v>45674</v>
      </c>
      <c r="J573" s="120">
        <f>WORKDAY(I573, 3)</f>
        <v>45679</v>
      </c>
      <c r="K573" s="120"/>
      <c r="L573" s="120"/>
      <c r="M573" s="120"/>
      <c r="N573" s="120"/>
      <c r="O573" s="119" t="s">
        <v>929</v>
      </c>
      <c r="P573" s="120"/>
      <c r="Q573" s="135"/>
      <c r="R573" s="29"/>
      <c r="S573" s="123"/>
    </row>
    <row r="574" spans="1:19" hidden="1">
      <c r="A574" s="29" t="s">
        <v>290</v>
      </c>
      <c r="B574" s="29"/>
      <c r="C574" s="29">
        <v>18500390</v>
      </c>
      <c r="D574" s="29"/>
      <c r="F574" s="29"/>
      <c r="G574" s="29" t="s">
        <v>823</v>
      </c>
      <c r="H574" s="29" t="s">
        <v>308</v>
      </c>
      <c r="I574" s="120">
        <v>45674</v>
      </c>
      <c r="J574" s="120">
        <f>WORKDAY(I574, 3)</f>
        <v>45679</v>
      </c>
      <c r="K574" s="120"/>
      <c r="L574" s="120"/>
      <c r="M574" s="120"/>
      <c r="N574" s="120"/>
      <c r="O574" s="119" t="s">
        <v>929</v>
      </c>
      <c r="P574" s="120"/>
      <c r="Q574" s="135"/>
      <c r="R574" s="29"/>
      <c r="S574" s="123"/>
    </row>
    <row r="575" spans="1:19" hidden="1">
      <c r="A575" s="29" t="s">
        <v>290</v>
      </c>
      <c r="B575" s="29"/>
      <c r="C575" s="29">
        <v>18500398</v>
      </c>
      <c r="D575" s="29"/>
      <c r="F575" s="29"/>
      <c r="G575" s="29" t="s">
        <v>823</v>
      </c>
      <c r="H575" s="29" t="s">
        <v>308</v>
      </c>
      <c r="I575" s="120">
        <v>45674</v>
      </c>
      <c r="J575" s="120">
        <f>WORKDAY(I575, 3)</f>
        <v>45679</v>
      </c>
      <c r="K575" s="120"/>
      <c r="L575" s="120"/>
      <c r="M575" s="120"/>
      <c r="N575" s="120"/>
      <c r="O575" s="119" t="s">
        <v>929</v>
      </c>
      <c r="P575" s="120"/>
      <c r="Q575" s="135"/>
      <c r="R575" s="29"/>
      <c r="S575" s="123"/>
    </row>
    <row r="576" spans="1:19" hidden="1">
      <c r="A576" s="29" t="s">
        <v>290</v>
      </c>
      <c r="B576" s="29"/>
      <c r="C576" s="29">
        <v>18500403</v>
      </c>
      <c r="D576" s="29"/>
      <c r="F576" s="29"/>
      <c r="G576" s="29" t="s">
        <v>823</v>
      </c>
      <c r="H576" s="29" t="s">
        <v>308</v>
      </c>
      <c r="I576" s="120">
        <v>45674</v>
      </c>
      <c r="J576" s="120">
        <f>WORKDAY(I576, 3)</f>
        <v>45679</v>
      </c>
      <c r="K576" s="120"/>
      <c r="L576" s="120"/>
      <c r="M576" s="120"/>
      <c r="N576" s="120"/>
      <c r="O576" s="119" t="s">
        <v>929</v>
      </c>
      <c r="P576" s="120"/>
      <c r="Q576" s="135"/>
      <c r="R576" s="29"/>
      <c r="S576" s="123"/>
    </row>
    <row r="577" spans="1:19" hidden="1">
      <c r="A577" s="29" t="s">
        <v>310</v>
      </c>
      <c r="B577" s="29"/>
      <c r="C577" s="29">
        <v>18500450</v>
      </c>
      <c r="D577" s="29"/>
      <c r="F577" s="29"/>
      <c r="G577" s="29" t="s">
        <v>823</v>
      </c>
      <c r="H577" s="29" t="s">
        <v>292</v>
      </c>
      <c r="I577" s="120">
        <v>45675</v>
      </c>
      <c r="J577" s="120">
        <f>WORKDAY(I577, 3)</f>
        <v>45679</v>
      </c>
      <c r="K577" s="120"/>
      <c r="L577" s="120"/>
      <c r="M577" s="120"/>
      <c r="N577" s="120"/>
      <c r="O577" s="119" t="s">
        <v>929</v>
      </c>
      <c r="P577" s="120"/>
      <c r="Q577" s="135"/>
      <c r="R577" s="29"/>
      <c r="S577" s="123"/>
    </row>
    <row r="578" spans="1:19" hidden="1">
      <c r="A578" s="29" t="s">
        <v>310</v>
      </c>
      <c r="B578" s="29"/>
      <c r="C578" s="29">
        <v>18500435</v>
      </c>
      <c r="D578" s="29"/>
      <c r="F578" s="29"/>
      <c r="G578" s="29" t="s">
        <v>823</v>
      </c>
      <c r="H578" s="29" t="s">
        <v>292</v>
      </c>
      <c r="I578" s="120">
        <v>45675</v>
      </c>
      <c r="J578" s="120">
        <f>WORKDAY(I578, 3)</f>
        <v>45679</v>
      </c>
      <c r="K578" s="120"/>
      <c r="L578" s="120"/>
      <c r="M578" s="120"/>
      <c r="N578" s="120"/>
      <c r="O578" s="119" t="s">
        <v>929</v>
      </c>
      <c r="P578" s="120"/>
      <c r="Q578" s="135"/>
      <c r="R578" s="29"/>
      <c r="S578" s="123"/>
    </row>
    <row r="579" spans="1:19" hidden="1">
      <c r="A579" s="29" t="s">
        <v>310</v>
      </c>
      <c r="B579" s="29"/>
      <c r="C579" s="29">
        <v>18500418</v>
      </c>
      <c r="D579" s="29"/>
      <c r="F579" s="29"/>
      <c r="G579" s="29" t="s">
        <v>823</v>
      </c>
      <c r="H579" s="29" t="s">
        <v>292</v>
      </c>
      <c r="I579" s="120">
        <v>45675</v>
      </c>
      <c r="J579" s="120">
        <f>WORKDAY(I579, 3)</f>
        <v>45679</v>
      </c>
      <c r="K579" s="120"/>
      <c r="L579" s="120"/>
      <c r="M579" s="120"/>
      <c r="N579" s="120"/>
      <c r="O579" s="119" t="s">
        <v>929</v>
      </c>
      <c r="P579" s="120"/>
      <c r="Q579" s="135"/>
      <c r="R579" s="29"/>
      <c r="S579" s="123"/>
    </row>
    <row r="580" spans="1:19" hidden="1">
      <c r="A580" s="29" t="s">
        <v>310</v>
      </c>
      <c r="B580" s="29"/>
      <c r="C580" s="29">
        <v>18500457</v>
      </c>
      <c r="D580" s="29"/>
      <c r="F580" s="29"/>
      <c r="G580" s="29" t="s">
        <v>823</v>
      </c>
      <c r="H580" s="29" t="s">
        <v>292</v>
      </c>
      <c r="I580" s="120">
        <v>45675</v>
      </c>
      <c r="J580" s="120">
        <f>WORKDAY(I580, 3)</f>
        <v>45679</v>
      </c>
      <c r="K580" s="120"/>
      <c r="L580" s="120"/>
      <c r="M580" s="120"/>
      <c r="N580" s="120"/>
      <c r="O580" s="119" t="s">
        <v>929</v>
      </c>
      <c r="P580" s="120"/>
      <c r="Q580" s="135"/>
      <c r="R580" s="29"/>
      <c r="S580" s="123"/>
    </row>
    <row r="581" spans="1:19" hidden="1">
      <c r="A581" s="29" t="s">
        <v>290</v>
      </c>
      <c r="B581" s="29"/>
      <c r="C581" s="29">
        <v>18500404</v>
      </c>
      <c r="D581" s="29"/>
      <c r="F581" s="29"/>
      <c r="G581" s="29" t="s">
        <v>823</v>
      </c>
      <c r="H581" s="29" t="s">
        <v>308</v>
      </c>
      <c r="I581" s="120">
        <v>45675</v>
      </c>
      <c r="J581" s="120">
        <f>WORKDAY(I581, 3)</f>
        <v>45679</v>
      </c>
      <c r="K581" s="120"/>
      <c r="L581" s="120"/>
      <c r="M581" s="120"/>
      <c r="N581" s="120"/>
      <c r="O581" s="119" t="s">
        <v>929</v>
      </c>
      <c r="P581" s="120"/>
      <c r="Q581" s="135"/>
      <c r="R581" s="29"/>
      <c r="S581" s="123"/>
    </row>
    <row r="582" spans="1:19" hidden="1">
      <c r="A582" s="29" t="s">
        <v>290</v>
      </c>
      <c r="B582" s="29"/>
      <c r="C582" s="29">
        <v>18500420</v>
      </c>
      <c r="D582" s="29"/>
      <c r="F582" s="29"/>
      <c r="G582" s="29" t="s">
        <v>823</v>
      </c>
      <c r="H582" s="29" t="s">
        <v>308</v>
      </c>
      <c r="I582" s="120">
        <v>45675</v>
      </c>
      <c r="J582" s="120">
        <f>WORKDAY(I582, 3)</f>
        <v>45679</v>
      </c>
      <c r="K582" s="120"/>
      <c r="L582" s="120"/>
      <c r="M582" s="120"/>
      <c r="N582" s="120"/>
      <c r="O582" s="119" t="s">
        <v>929</v>
      </c>
      <c r="P582" s="120"/>
      <c r="Q582" s="135"/>
      <c r="R582" s="29"/>
      <c r="S582" s="123"/>
    </row>
    <row r="583" spans="1:19" hidden="1">
      <c r="A583" s="29" t="s">
        <v>290</v>
      </c>
      <c r="B583" s="29"/>
      <c r="C583" s="29">
        <v>18500460</v>
      </c>
      <c r="D583" s="29"/>
      <c r="F583" s="29"/>
      <c r="G583" s="29" t="s">
        <v>823</v>
      </c>
      <c r="H583" s="29" t="s">
        <v>308</v>
      </c>
      <c r="I583" s="120">
        <v>45675</v>
      </c>
      <c r="J583" s="120">
        <f>WORKDAY(I583, 3)</f>
        <v>45679</v>
      </c>
      <c r="K583" s="120"/>
      <c r="L583" s="120"/>
      <c r="M583" s="120"/>
      <c r="N583" s="120"/>
      <c r="O583" s="119" t="s">
        <v>929</v>
      </c>
      <c r="P583" s="120"/>
      <c r="Q583" s="135"/>
      <c r="R583" s="29"/>
      <c r="S583" s="123"/>
    </row>
    <row r="584" spans="1:19" hidden="1">
      <c r="A584" s="29" t="s">
        <v>290</v>
      </c>
      <c r="B584" s="29"/>
      <c r="C584" s="29">
        <v>18500464</v>
      </c>
      <c r="D584" s="29"/>
      <c r="F584" s="29"/>
      <c r="G584" s="29" t="s">
        <v>823</v>
      </c>
      <c r="H584" s="29" t="s">
        <v>308</v>
      </c>
      <c r="I584" s="120">
        <v>45675</v>
      </c>
      <c r="J584" s="120">
        <f>WORKDAY(I584, 3)</f>
        <v>45679</v>
      </c>
      <c r="K584" s="120"/>
      <c r="L584" s="120"/>
      <c r="M584" s="120"/>
      <c r="N584" s="120"/>
      <c r="O584" s="119" t="s">
        <v>929</v>
      </c>
      <c r="P584" s="120"/>
      <c r="Q584" s="135"/>
      <c r="R584" s="29"/>
      <c r="S584" s="123"/>
    </row>
    <row r="585" spans="1:19" hidden="1">
      <c r="A585" s="29" t="s">
        <v>290</v>
      </c>
      <c r="B585" s="29"/>
      <c r="C585" s="29">
        <v>18500456</v>
      </c>
      <c r="D585" s="29"/>
      <c r="F585" s="29"/>
      <c r="G585" s="29" t="s">
        <v>823</v>
      </c>
      <c r="H585" s="29" t="s">
        <v>308</v>
      </c>
      <c r="I585" s="120">
        <v>45675</v>
      </c>
      <c r="J585" s="120">
        <f>WORKDAY(I585, 3)</f>
        <v>45679</v>
      </c>
      <c r="K585" s="120"/>
      <c r="L585" s="120"/>
      <c r="M585" s="120"/>
      <c r="N585" s="120"/>
      <c r="O585" s="119" t="s">
        <v>929</v>
      </c>
      <c r="P585" s="120"/>
      <c r="Q585" s="135"/>
      <c r="R585" s="29"/>
      <c r="S585" s="123"/>
    </row>
    <row r="586" spans="1:19" hidden="1">
      <c r="A586" s="29" t="s">
        <v>311</v>
      </c>
      <c r="B586" s="29"/>
      <c r="C586" s="29">
        <v>18500500</v>
      </c>
      <c r="D586" s="29"/>
      <c r="F586" s="29"/>
      <c r="G586" s="29" t="s">
        <v>823</v>
      </c>
      <c r="H586" s="29" t="s">
        <v>308</v>
      </c>
      <c r="I586" s="120">
        <v>45675</v>
      </c>
      <c r="J586" s="120">
        <f>WORKDAY(I586, 3)</f>
        <v>45679</v>
      </c>
      <c r="K586" s="120"/>
      <c r="L586" s="120"/>
      <c r="M586" s="120"/>
      <c r="N586" s="120"/>
      <c r="O586" s="119" t="s">
        <v>929</v>
      </c>
      <c r="P586" s="120"/>
      <c r="Q586" s="135"/>
      <c r="R586" s="29"/>
      <c r="S586" s="123"/>
    </row>
    <row r="587" spans="1:19" hidden="1">
      <c r="A587" s="29" t="s">
        <v>311</v>
      </c>
      <c r="B587" s="29"/>
      <c r="C587" s="29">
        <v>18500497</v>
      </c>
      <c r="D587" s="29"/>
      <c r="F587" s="29"/>
      <c r="G587" s="29" t="s">
        <v>823</v>
      </c>
      <c r="H587" s="29" t="s">
        <v>308</v>
      </c>
      <c r="I587" s="120">
        <v>45675</v>
      </c>
      <c r="J587" s="120">
        <f>WORKDAY(I587, 3)</f>
        <v>45679</v>
      </c>
      <c r="K587" s="120"/>
      <c r="L587" s="120"/>
      <c r="M587" s="120"/>
      <c r="N587" s="120"/>
      <c r="O587" s="119" t="s">
        <v>929</v>
      </c>
      <c r="P587" s="120"/>
      <c r="Q587" s="135"/>
      <c r="R587" s="29"/>
      <c r="S587" s="123"/>
    </row>
    <row r="588" spans="1:19" hidden="1">
      <c r="A588" s="29" t="s">
        <v>311</v>
      </c>
      <c r="B588" s="29"/>
      <c r="C588" s="29">
        <v>18500494</v>
      </c>
      <c r="D588" s="29"/>
      <c r="F588" s="29"/>
      <c r="G588" s="29" t="s">
        <v>823</v>
      </c>
      <c r="H588" s="29" t="s">
        <v>308</v>
      </c>
      <c r="I588" s="120">
        <v>45675</v>
      </c>
      <c r="J588" s="120">
        <f>WORKDAY(I588, 3)</f>
        <v>45679</v>
      </c>
      <c r="K588" s="120"/>
      <c r="L588" s="120"/>
      <c r="M588" s="120"/>
      <c r="N588" s="120"/>
      <c r="O588" s="119" t="s">
        <v>929</v>
      </c>
      <c r="P588" s="120"/>
      <c r="Q588" s="135"/>
      <c r="R588" s="29"/>
      <c r="S588" s="123"/>
    </row>
    <row r="589" spans="1:19" hidden="1">
      <c r="A589" s="29" t="s">
        <v>311</v>
      </c>
      <c r="B589" s="29"/>
      <c r="C589" s="29">
        <v>18500492</v>
      </c>
      <c r="D589" s="29"/>
      <c r="F589" s="29"/>
      <c r="G589" s="29" t="s">
        <v>823</v>
      </c>
      <c r="H589" s="29" t="s">
        <v>308</v>
      </c>
      <c r="I589" s="120">
        <v>45675</v>
      </c>
      <c r="J589" s="120">
        <f>WORKDAY(I589, 3)</f>
        <v>45679</v>
      </c>
      <c r="K589" s="120"/>
      <c r="L589" s="120"/>
      <c r="M589" s="120"/>
      <c r="N589" s="120"/>
      <c r="O589" s="119" t="s">
        <v>929</v>
      </c>
      <c r="P589" s="120"/>
      <c r="Q589" s="135"/>
      <c r="R589" s="29"/>
      <c r="S589" s="123"/>
    </row>
    <row r="590" spans="1:19" hidden="1">
      <c r="A590" s="29" t="s">
        <v>311</v>
      </c>
      <c r="B590" s="29"/>
      <c r="C590" s="29">
        <v>18500484</v>
      </c>
      <c r="D590" s="29"/>
      <c r="F590" s="29"/>
      <c r="G590" s="29" t="s">
        <v>823</v>
      </c>
      <c r="H590" s="29" t="s">
        <v>308</v>
      </c>
      <c r="I590" s="120">
        <v>45675</v>
      </c>
      <c r="J590" s="120">
        <f>WORKDAY(I590, 3)</f>
        <v>45679</v>
      </c>
      <c r="K590" s="120"/>
      <c r="L590" s="120"/>
      <c r="M590" s="120"/>
      <c r="N590" s="120"/>
      <c r="O590" s="119" t="s">
        <v>929</v>
      </c>
      <c r="P590" s="120"/>
      <c r="Q590" s="135"/>
      <c r="R590" s="29"/>
      <c r="S590" s="123"/>
    </row>
    <row r="591" spans="1:19" hidden="1">
      <c r="A591" s="29" t="s">
        <v>311</v>
      </c>
      <c r="B591" s="29"/>
      <c r="C591" s="29">
        <v>18500512</v>
      </c>
      <c r="D591" s="29"/>
      <c r="F591" s="29"/>
      <c r="G591" s="29" t="s">
        <v>823</v>
      </c>
      <c r="H591" s="29" t="s">
        <v>308</v>
      </c>
      <c r="I591" s="120">
        <v>45675</v>
      </c>
      <c r="J591" s="120">
        <f>WORKDAY(I591, 3)</f>
        <v>45679</v>
      </c>
      <c r="K591" s="120"/>
      <c r="L591" s="120"/>
      <c r="M591" s="120"/>
      <c r="N591" s="120"/>
      <c r="O591" s="119" t="s">
        <v>929</v>
      </c>
      <c r="P591" s="120"/>
      <c r="Q591" s="135"/>
      <c r="R591" s="29"/>
      <c r="S591" s="123"/>
    </row>
    <row r="592" spans="1:19" hidden="1">
      <c r="A592" s="29" t="s">
        <v>311</v>
      </c>
      <c r="B592" s="29"/>
      <c r="C592" s="29">
        <v>18500511</v>
      </c>
      <c r="D592" s="29"/>
      <c r="F592" s="29"/>
      <c r="G592" s="29" t="s">
        <v>823</v>
      </c>
      <c r="H592" s="29" t="s">
        <v>308</v>
      </c>
      <c r="I592" s="120">
        <v>45675</v>
      </c>
      <c r="J592" s="120">
        <f>WORKDAY(I592, 3)</f>
        <v>45679</v>
      </c>
      <c r="K592" s="120"/>
      <c r="L592" s="120"/>
      <c r="M592" s="120"/>
      <c r="N592" s="120"/>
      <c r="O592" s="119" t="s">
        <v>929</v>
      </c>
      <c r="P592" s="120"/>
      <c r="Q592" s="135"/>
      <c r="R592" s="29"/>
      <c r="S592" s="123"/>
    </row>
    <row r="593" spans="1:19" hidden="1">
      <c r="A593" s="29" t="s">
        <v>311</v>
      </c>
      <c r="B593" s="29"/>
      <c r="C593" s="29">
        <v>18500510</v>
      </c>
      <c r="D593" s="29"/>
      <c r="F593" s="29"/>
      <c r="G593" s="29" t="s">
        <v>823</v>
      </c>
      <c r="H593" s="29" t="s">
        <v>308</v>
      </c>
      <c r="I593" s="120">
        <v>45675</v>
      </c>
      <c r="J593" s="120">
        <f>WORKDAY(I593, 3)</f>
        <v>45679</v>
      </c>
      <c r="K593" s="120"/>
      <c r="L593" s="120"/>
      <c r="M593" s="120"/>
      <c r="N593" s="120"/>
      <c r="O593" s="119" t="s">
        <v>929</v>
      </c>
      <c r="P593" s="120"/>
      <c r="Q593" s="135"/>
      <c r="R593" s="29"/>
      <c r="S593" s="123"/>
    </row>
    <row r="594" spans="1:19" hidden="1">
      <c r="A594" s="29" t="s">
        <v>311</v>
      </c>
      <c r="B594" s="29"/>
      <c r="C594" s="29">
        <v>18500507</v>
      </c>
      <c r="D594" s="29"/>
      <c r="F594" s="29"/>
      <c r="G594" s="29" t="s">
        <v>823</v>
      </c>
      <c r="H594" s="29" t="s">
        <v>308</v>
      </c>
      <c r="I594" s="120">
        <v>45675</v>
      </c>
      <c r="J594" s="120">
        <f>WORKDAY(I594, 3)</f>
        <v>45679</v>
      </c>
      <c r="K594" s="120"/>
      <c r="L594" s="120"/>
      <c r="M594" s="120"/>
      <c r="N594" s="120"/>
      <c r="O594" s="119" t="s">
        <v>929</v>
      </c>
      <c r="P594" s="120"/>
      <c r="Q594" s="135"/>
      <c r="R594" s="29"/>
      <c r="S594" s="123"/>
    </row>
    <row r="595" spans="1:19" hidden="1">
      <c r="A595" s="147" t="s">
        <v>312</v>
      </c>
      <c r="B595" s="147"/>
      <c r="C595" s="29">
        <v>21507573</v>
      </c>
      <c r="D595" s="29"/>
      <c r="F595" s="29"/>
      <c r="G595" s="29" t="s">
        <v>823</v>
      </c>
      <c r="H595" s="29" t="s">
        <v>292</v>
      </c>
      <c r="I595" s="120">
        <v>45679</v>
      </c>
      <c r="J595" s="120">
        <f>WORKDAY(I595, 3)</f>
        <v>45684</v>
      </c>
      <c r="K595" s="120"/>
      <c r="L595" s="120"/>
      <c r="M595" s="120"/>
      <c r="N595" s="120"/>
      <c r="O595" s="119" t="s">
        <v>929</v>
      </c>
      <c r="P595" s="120"/>
      <c r="Q595" s="135"/>
      <c r="R595" s="29"/>
      <c r="S595" s="123"/>
    </row>
    <row r="596" spans="1:19" hidden="1">
      <c r="A596" s="147" t="s">
        <v>312</v>
      </c>
      <c r="B596" s="147"/>
      <c r="C596" s="29">
        <v>21507579</v>
      </c>
      <c r="D596" s="29"/>
      <c r="F596" s="29"/>
      <c r="G596" s="29" t="s">
        <v>823</v>
      </c>
      <c r="H596" s="29" t="s">
        <v>292</v>
      </c>
      <c r="I596" s="120">
        <v>45679</v>
      </c>
      <c r="J596" s="120">
        <f>WORKDAY(I596, 3)</f>
        <v>45684</v>
      </c>
      <c r="K596" s="120"/>
      <c r="L596" s="120"/>
      <c r="M596" s="120"/>
      <c r="N596" s="120"/>
      <c r="O596" s="119" t="s">
        <v>929</v>
      </c>
      <c r="P596" s="120"/>
      <c r="Q596" s="135"/>
      <c r="R596" s="29"/>
      <c r="S596" s="123"/>
    </row>
    <row r="597" spans="1:19" hidden="1">
      <c r="A597" s="147" t="s">
        <v>312</v>
      </c>
      <c r="B597" s="147"/>
      <c r="C597" s="29">
        <v>21507599</v>
      </c>
      <c r="D597" s="29"/>
      <c r="F597" s="29"/>
      <c r="G597" s="29" t="s">
        <v>823</v>
      </c>
      <c r="H597" s="29" t="s">
        <v>292</v>
      </c>
      <c r="I597" s="120">
        <v>45679</v>
      </c>
      <c r="J597" s="120">
        <f>WORKDAY(I597, 3)</f>
        <v>45684</v>
      </c>
      <c r="K597" s="120"/>
      <c r="L597" s="120"/>
      <c r="M597" s="120"/>
      <c r="N597" s="120"/>
      <c r="O597" s="119" t="s">
        <v>929</v>
      </c>
      <c r="P597" s="120"/>
      <c r="Q597" s="135"/>
      <c r="R597" s="29"/>
      <c r="S597" s="123"/>
    </row>
    <row r="598" spans="1:19" hidden="1">
      <c r="A598" s="147" t="s">
        <v>312</v>
      </c>
      <c r="B598" s="147"/>
      <c r="C598" s="29">
        <v>22500644</v>
      </c>
      <c r="D598" s="29"/>
      <c r="F598" s="29"/>
      <c r="G598" s="29" t="s">
        <v>823</v>
      </c>
      <c r="H598" s="29" t="s">
        <v>292</v>
      </c>
      <c r="I598" s="120">
        <v>45679</v>
      </c>
      <c r="J598" s="120">
        <f>WORKDAY(I598, 3)</f>
        <v>45684</v>
      </c>
      <c r="K598" s="120"/>
      <c r="L598" s="120"/>
      <c r="M598" s="120"/>
      <c r="N598" s="120"/>
      <c r="O598" s="119" t="s">
        <v>929</v>
      </c>
      <c r="P598" s="120"/>
      <c r="Q598" s="135"/>
      <c r="R598" s="29"/>
      <c r="S598" s="123"/>
    </row>
    <row r="599" spans="1:19" hidden="1">
      <c r="A599" s="147" t="s">
        <v>290</v>
      </c>
      <c r="B599" s="147"/>
      <c r="C599" s="29">
        <v>23507043</v>
      </c>
      <c r="D599" s="29"/>
      <c r="F599" s="29"/>
      <c r="G599" s="29" t="s">
        <v>823</v>
      </c>
      <c r="H599" s="29" t="s">
        <v>315</v>
      </c>
      <c r="I599" s="120">
        <v>45680</v>
      </c>
      <c r="J599" s="120">
        <f>WORKDAY(I599, 3)</f>
        <v>45685</v>
      </c>
      <c r="K599" s="120"/>
      <c r="L599" s="120"/>
      <c r="M599" s="120"/>
      <c r="N599" s="120">
        <v>45686</v>
      </c>
      <c r="O599" s="119" t="s">
        <v>10</v>
      </c>
      <c r="P599" s="152"/>
      <c r="Q599" s="153"/>
      <c r="R599" s="29"/>
      <c r="S599" s="123"/>
    </row>
    <row r="600" spans="1:19" hidden="1">
      <c r="A600" s="147" t="s">
        <v>290</v>
      </c>
      <c r="B600" s="147"/>
      <c r="C600" s="29">
        <v>23507048</v>
      </c>
      <c r="D600" s="29"/>
      <c r="F600" s="29"/>
      <c r="G600" s="29" t="s">
        <v>823</v>
      </c>
      <c r="H600" s="29" t="s">
        <v>315</v>
      </c>
      <c r="I600" s="120">
        <v>45680</v>
      </c>
      <c r="J600" s="120">
        <f>WORKDAY(I600, 3)</f>
        <v>45685</v>
      </c>
      <c r="K600" s="120"/>
      <c r="L600" s="120"/>
      <c r="M600" s="120"/>
      <c r="N600" s="120">
        <v>45685</v>
      </c>
      <c r="O600" s="119" t="s">
        <v>10</v>
      </c>
      <c r="P600" s="152"/>
      <c r="Q600" s="153"/>
      <c r="R600" s="29"/>
      <c r="S600" s="123"/>
    </row>
    <row r="601" spans="1:19" hidden="1">
      <c r="A601" s="147" t="s">
        <v>290</v>
      </c>
      <c r="B601" s="147"/>
      <c r="C601" s="29">
        <v>23507056</v>
      </c>
      <c r="D601" s="29"/>
      <c r="F601" s="29"/>
      <c r="G601" s="29" t="s">
        <v>823</v>
      </c>
      <c r="H601" s="29" t="s">
        <v>315</v>
      </c>
      <c r="I601" s="120">
        <v>45680</v>
      </c>
      <c r="J601" s="120">
        <f>WORKDAY(I601, 3)</f>
        <v>45685</v>
      </c>
      <c r="K601" s="120"/>
      <c r="L601" s="120"/>
      <c r="M601" s="120"/>
      <c r="N601" s="120">
        <v>45685</v>
      </c>
      <c r="O601" s="119" t="s">
        <v>10</v>
      </c>
      <c r="P601" s="152"/>
      <c r="Q601" s="153"/>
      <c r="R601" s="29"/>
      <c r="S601" s="123"/>
    </row>
    <row r="602" spans="1:19" hidden="1">
      <c r="A602" s="147" t="s">
        <v>290</v>
      </c>
      <c r="B602" s="147"/>
      <c r="C602" s="29">
        <v>23507059</v>
      </c>
      <c r="D602" s="29"/>
      <c r="F602" s="29"/>
      <c r="G602" s="29" t="s">
        <v>823</v>
      </c>
      <c r="H602" s="29" t="s">
        <v>315</v>
      </c>
      <c r="I602" s="120">
        <v>45680</v>
      </c>
      <c r="J602" s="120">
        <f>WORKDAY(I602, 3)</f>
        <v>45685</v>
      </c>
      <c r="K602" s="120"/>
      <c r="L602" s="120"/>
      <c r="M602" s="120"/>
      <c r="N602" s="120">
        <v>45685</v>
      </c>
      <c r="O602" s="119" t="s">
        <v>10</v>
      </c>
      <c r="P602" s="152"/>
      <c r="Q602" s="153"/>
      <c r="R602" s="29"/>
      <c r="S602" s="123"/>
    </row>
    <row r="603" spans="1:19" hidden="1">
      <c r="A603" s="147" t="s">
        <v>290</v>
      </c>
      <c r="B603" s="147"/>
      <c r="C603" s="29">
        <v>23507062</v>
      </c>
      <c r="D603" s="29"/>
      <c r="F603" s="29"/>
      <c r="G603" s="29" t="s">
        <v>823</v>
      </c>
      <c r="H603" s="29" t="s">
        <v>315</v>
      </c>
      <c r="I603" s="120">
        <v>45680</v>
      </c>
      <c r="J603" s="120">
        <f>WORKDAY(I603, 3)</f>
        <v>45685</v>
      </c>
      <c r="K603" s="120"/>
      <c r="L603" s="120"/>
      <c r="M603" s="120"/>
      <c r="N603" s="120">
        <v>45685</v>
      </c>
      <c r="O603" s="119" t="s">
        <v>10</v>
      </c>
      <c r="P603" s="152"/>
      <c r="Q603" s="153"/>
      <c r="R603" s="29"/>
      <c r="S603" s="123"/>
    </row>
    <row r="604" spans="1:19" hidden="1">
      <c r="A604" s="147" t="s">
        <v>290</v>
      </c>
      <c r="B604" s="147"/>
      <c r="C604" s="29">
        <v>23507159</v>
      </c>
      <c r="D604" s="29"/>
      <c r="F604" s="29"/>
      <c r="G604" s="29" t="s">
        <v>823</v>
      </c>
      <c r="H604" s="29" t="s">
        <v>315</v>
      </c>
      <c r="I604" s="120">
        <v>45680</v>
      </c>
      <c r="J604" s="120">
        <f>WORKDAY(I604, 3)</f>
        <v>45685</v>
      </c>
      <c r="K604" s="120"/>
      <c r="L604" s="120"/>
      <c r="M604" s="120"/>
      <c r="N604" s="120">
        <v>45686</v>
      </c>
      <c r="O604" s="119" t="s">
        <v>10</v>
      </c>
      <c r="P604" s="152"/>
      <c r="Q604" s="153"/>
      <c r="R604" s="29"/>
      <c r="S604" s="123"/>
    </row>
    <row r="605" spans="1:19" hidden="1">
      <c r="A605" s="147" t="s">
        <v>290</v>
      </c>
      <c r="B605" s="147"/>
      <c r="C605" s="29">
        <v>23507163</v>
      </c>
      <c r="D605" s="29"/>
      <c r="F605" s="29"/>
      <c r="G605" s="29" t="s">
        <v>823</v>
      </c>
      <c r="H605" s="29" t="s">
        <v>315</v>
      </c>
      <c r="I605" s="120">
        <v>45680</v>
      </c>
      <c r="J605" s="120">
        <f>WORKDAY(I605, 3)</f>
        <v>45685</v>
      </c>
      <c r="K605" s="120"/>
      <c r="L605" s="120"/>
      <c r="M605" s="120"/>
      <c r="N605" s="120">
        <v>45686</v>
      </c>
      <c r="O605" s="119" t="s">
        <v>10</v>
      </c>
      <c r="P605" s="152"/>
      <c r="Q605" s="153"/>
      <c r="R605" s="29"/>
      <c r="S605" s="123"/>
    </row>
    <row r="606" spans="1:19" hidden="1">
      <c r="A606" s="147" t="s">
        <v>290</v>
      </c>
      <c r="B606" s="147"/>
      <c r="C606" s="29">
        <v>23507171</v>
      </c>
      <c r="D606" s="29"/>
      <c r="F606" s="29"/>
      <c r="G606" s="29" t="s">
        <v>823</v>
      </c>
      <c r="H606" s="29" t="s">
        <v>315</v>
      </c>
      <c r="I606" s="120">
        <v>45680</v>
      </c>
      <c r="J606" s="120">
        <f>WORKDAY(I606, 3)</f>
        <v>45685</v>
      </c>
      <c r="K606" s="120"/>
      <c r="L606" s="120"/>
      <c r="M606" s="120"/>
      <c r="N606" s="120">
        <v>45686</v>
      </c>
      <c r="O606" s="119" t="s">
        <v>10</v>
      </c>
      <c r="P606" s="152"/>
      <c r="Q606" s="153"/>
      <c r="R606" s="29"/>
      <c r="S606" s="123"/>
    </row>
    <row r="607" spans="1:19" hidden="1">
      <c r="A607" s="147" t="s">
        <v>290</v>
      </c>
      <c r="B607" s="147"/>
      <c r="C607" s="29">
        <v>23507179</v>
      </c>
      <c r="D607" s="29"/>
      <c r="F607" s="29"/>
      <c r="G607" s="29" t="s">
        <v>823</v>
      </c>
      <c r="H607" s="29" t="s">
        <v>315</v>
      </c>
      <c r="I607" s="120">
        <v>45680</v>
      </c>
      <c r="J607" s="120">
        <f>WORKDAY(I607, 3)</f>
        <v>45685</v>
      </c>
      <c r="K607" s="120"/>
      <c r="L607" s="120"/>
      <c r="M607" s="120"/>
      <c r="N607" s="120">
        <v>45686</v>
      </c>
      <c r="O607" s="119" t="s">
        <v>10</v>
      </c>
      <c r="P607" s="152"/>
      <c r="Q607" s="153"/>
      <c r="S607" s="123"/>
    </row>
    <row r="608" spans="1:19" hidden="1">
      <c r="A608" s="147" t="s">
        <v>290</v>
      </c>
      <c r="B608" s="147"/>
      <c r="C608" s="29">
        <v>23507191</v>
      </c>
      <c r="D608" s="29"/>
      <c r="F608" s="29"/>
      <c r="G608" s="29" t="s">
        <v>823</v>
      </c>
      <c r="H608" s="29" t="s">
        <v>315</v>
      </c>
      <c r="I608" s="120">
        <v>45680</v>
      </c>
      <c r="J608" s="120">
        <f>WORKDAY(I608, 3)</f>
        <v>45685</v>
      </c>
      <c r="K608" s="120"/>
      <c r="L608" s="120"/>
      <c r="M608" s="120"/>
      <c r="N608" s="120">
        <v>45686</v>
      </c>
      <c r="O608" s="119" t="s">
        <v>10</v>
      </c>
      <c r="P608" s="152"/>
      <c r="Q608" s="153"/>
      <c r="R608" s="29"/>
      <c r="S608" s="123"/>
    </row>
    <row r="609" spans="1:19" hidden="1">
      <c r="A609" s="147" t="s">
        <v>290</v>
      </c>
      <c r="B609" s="147"/>
      <c r="C609" s="29">
        <v>23507136</v>
      </c>
      <c r="D609" s="29"/>
      <c r="F609" s="29"/>
      <c r="G609" s="29" t="s">
        <v>823</v>
      </c>
      <c r="H609" s="29" t="s">
        <v>315</v>
      </c>
      <c r="I609" s="120">
        <v>45680</v>
      </c>
      <c r="J609" s="120">
        <f>WORKDAY(I609, 3)</f>
        <v>45685</v>
      </c>
      <c r="K609" s="120"/>
      <c r="L609" s="120"/>
      <c r="M609" s="120"/>
      <c r="N609" s="120">
        <v>45685</v>
      </c>
      <c r="O609" s="119" t="s">
        <v>10</v>
      </c>
      <c r="P609" s="152"/>
      <c r="Q609" s="153"/>
      <c r="R609" s="29"/>
      <c r="S609" s="123"/>
    </row>
    <row r="610" spans="1:19" hidden="1">
      <c r="A610" s="147" t="s">
        <v>290</v>
      </c>
      <c r="B610" s="147"/>
      <c r="C610" s="29">
        <v>23507151</v>
      </c>
      <c r="D610" s="29"/>
      <c r="F610" s="29"/>
      <c r="G610" s="29" t="s">
        <v>823</v>
      </c>
      <c r="H610" s="29" t="s">
        <v>315</v>
      </c>
      <c r="I610" s="120">
        <v>45680</v>
      </c>
      <c r="J610" s="120">
        <f>WORKDAY(I610, 3)</f>
        <v>45685</v>
      </c>
      <c r="K610" s="120"/>
      <c r="L610" s="120"/>
      <c r="M610" s="120"/>
      <c r="N610" s="120">
        <v>45685</v>
      </c>
      <c r="O610" s="119" t="s">
        <v>10</v>
      </c>
      <c r="P610" s="152"/>
      <c r="Q610" s="153"/>
      <c r="R610" s="29"/>
      <c r="S610" s="123"/>
    </row>
    <row r="611" spans="1:19" hidden="1">
      <c r="A611" s="147" t="s">
        <v>290</v>
      </c>
      <c r="B611" s="147"/>
      <c r="C611" s="29">
        <v>23507194</v>
      </c>
      <c r="D611" s="29"/>
      <c r="F611" s="29"/>
      <c r="G611" s="29" t="s">
        <v>823</v>
      </c>
      <c r="H611" s="29" t="s">
        <v>315</v>
      </c>
      <c r="I611" s="120">
        <v>45680</v>
      </c>
      <c r="J611" s="120">
        <f>WORKDAY(I611, 3)</f>
        <v>45685</v>
      </c>
      <c r="K611" s="120"/>
      <c r="L611" s="120"/>
      <c r="M611" s="120"/>
      <c r="N611" s="120">
        <v>45686</v>
      </c>
      <c r="O611" s="119" t="s">
        <v>10</v>
      </c>
      <c r="P611" s="152"/>
      <c r="Q611" s="153"/>
      <c r="R611" s="29"/>
      <c r="S611" s="123"/>
    </row>
    <row r="612" spans="1:19" hidden="1">
      <c r="A612" s="147" t="s">
        <v>290</v>
      </c>
      <c r="B612" s="147"/>
      <c r="C612" s="29">
        <v>23506914</v>
      </c>
      <c r="D612" s="29"/>
      <c r="F612" s="29"/>
      <c r="G612" s="29" t="s">
        <v>823</v>
      </c>
      <c r="H612" s="29" t="s">
        <v>315</v>
      </c>
      <c r="I612" s="120">
        <v>45680</v>
      </c>
      <c r="J612" s="120">
        <f>WORKDAY(I612, 3)</f>
        <v>45685</v>
      </c>
      <c r="K612" s="120"/>
      <c r="L612" s="120"/>
      <c r="M612" s="120"/>
      <c r="N612" s="120">
        <v>45684</v>
      </c>
      <c r="O612" s="119" t="s">
        <v>10</v>
      </c>
      <c r="P612" s="152"/>
      <c r="Q612" s="153"/>
      <c r="R612" s="29"/>
      <c r="S612" s="123"/>
    </row>
    <row r="613" spans="1:19" hidden="1">
      <c r="A613" s="147" t="s">
        <v>290</v>
      </c>
      <c r="B613" s="147"/>
      <c r="C613" s="29">
        <v>23506922</v>
      </c>
      <c r="D613" s="29"/>
      <c r="F613" s="29"/>
      <c r="G613" s="29" t="s">
        <v>823</v>
      </c>
      <c r="H613" s="29" t="s">
        <v>315</v>
      </c>
      <c r="I613" s="120">
        <v>45680</v>
      </c>
      <c r="J613" s="120">
        <f>WORKDAY(I613, 3)</f>
        <v>45685</v>
      </c>
      <c r="K613" s="120"/>
      <c r="L613" s="120"/>
      <c r="M613" s="120"/>
      <c r="N613" s="120">
        <v>45685</v>
      </c>
      <c r="O613" s="119" t="s">
        <v>10</v>
      </c>
      <c r="P613" s="152"/>
      <c r="Q613" s="153"/>
      <c r="R613" s="29"/>
      <c r="S613" s="123"/>
    </row>
    <row r="614" spans="1:19" hidden="1">
      <c r="A614" s="147" t="s">
        <v>290</v>
      </c>
      <c r="B614" s="147"/>
      <c r="C614" s="29">
        <v>23507031</v>
      </c>
      <c r="D614" s="29"/>
      <c r="F614" s="29"/>
      <c r="G614" s="29" t="s">
        <v>823</v>
      </c>
      <c r="H614" s="29" t="s">
        <v>315</v>
      </c>
      <c r="I614" s="120">
        <v>45680</v>
      </c>
      <c r="J614" s="120">
        <f>WORKDAY(I614, 3)</f>
        <v>45685</v>
      </c>
      <c r="K614" s="120"/>
      <c r="L614" s="120"/>
      <c r="M614" s="120"/>
      <c r="N614" s="120">
        <v>45685</v>
      </c>
      <c r="O614" s="119" t="s">
        <v>10</v>
      </c>
      <c r="P614" s="152"/>
      <c r="Q614" s="153"/>
      <c r="R614" s="29"/>
      <c r="S614" s="123"/>
    </row>
    <row r="615" spans="1:19" hidden="1">
      <c r="A615" s="147" t="s">
        <v>290</v>
      </c>
      <c r="B615" s="147"/>
      <c r="C615" s="29">
        <v>23506945</v>
      </c>
      <c r="D615" s="29"/>
      <c r="F615" s="29"/>
      <c r="G615" s="29" t="s">
        <v>823</v>
      </c>
      <c r="H615" s="29" t="s">
        <v>315</v>
      </c>
      <c r="I615" s="120">
        <v>45680</v>
      </c>
      <c r="J615" s="120">
        <f>WORKDAY(I615, 3)</f>
        <v>45685</v>
      </c>
      <c r="K615" s="120"/>
      <c r="L615" s="120"/>
      <c r="M615" s="120"/>
      <c r="N615" s="120">
        <v>45685</v>
      </c>
      <c r="O615" s="119" t="s">
        <v>10</v>
      </c>
      <c r="P615" s="152"/>
      <c r="Q615" s="153"/>
      <c r="R615" s="29"/>
      <c r="S615" s="123"/>
    </row>
    <row r="616" spans="1:19" hidden="1">
      <c r="A616" s="147" t="s">
        <v>290</v>
      </c>
      <c r="B616" s="147"/>
      <c r="C616" s="29">
        <v>23507034</v>
      </c>
      <c r="D616" s="29"/>
      <c r="F616" s="29"/>
      <c r="G616" s="29" t="s">
        <v>823</v>
      </c>
      <c r="H616" s="29" t="s">
        <v>315</v>
      </c>
      <c r="I616" s="120">
        <v>45680</v>
      </c>
      <c r="J616" s="120">
        <f>WORKDAY(I616, 3)</f>
        <v>45685</v>
      </c>
      <c r="K616" s="120"/>
      <c r="L616" s="120"/>
      <c r="M616" s="120"/>
      <c r="N616" s="120">
        <v>45685</v>
      </c>
      <c r="O616" s="119" t="s">
        <v>10</v>
      </c>
      <c r="P616" s="152"/>
      <c r="Q616" s="153"/>
      <c r="R616" s="29"/>
      <c r="S616" s="123"/>
    </row>
    <row r="617" spans="1:19" hidden="1">
      <c r="A617" s="147" t="s">
        <v>290</v>
      </c>
      <c r="B617" s="147"/>
      <c r="C617" s="29">
        <v>23507035</v>
      </c>
      <c r="D617" s="29"/>
      <c r="F617" s="29"/>
      <c r="G617" s="29" t="s">
        <v>823</v>
      </c>
      <c r="H617" s="29" t="s">
        <v>315</v>
      </c>
      <c r="I617" s="120">
        <v>45680</v>
      </c>
      <c r="J617" s="120">
        <f>WORKDAY(I617, 3)</f>
        <v>45685</v>
      </c>
      <c r="K617" s="120"/>
      <c r="L617" s="120"/>
      <c r="M617" s="120"/>
      <c r="N617" s="120">
        <v>45686</v>
      </c>
      <c r="O617" s="119" t="s">
        <v>10</v>
      </c>
      <c r="P617" s="152"/>
      <c r="Q617" s="153"/>
      <c r="R617" s="29"/>
      <c r="S617" s="123"/>
    </row>
    <row r="618" spans="1:19" hidden="1">
      <c r="A618" s="147" t="s">
        <v>290</v>
      </c>
      <c r="B618" s="147"/>
      <c r="C618" s="29">
        <v>23507066</v>
      </c>
      <c r="D618" s="29"/>
      <c r="F618" s="29"/>
      <c r="G618" s="29" t="s">
        <v>823</v>
      </c>
      <c r="H618" s="29" t="s">
        <v>315</v>
      </c>
      <c r="I618" s="120">
        <v>45680</v>
      </c>
      <c r="J618" s="120">
        <f>WORKDAY(I618, 3)</f>
        <v>45685</v>
      </c>
      <c r="K618" s="120"/>
      <c r="L618" s="120"/>
      <c r="M618" s="120"/>
      <c r="N618" s="120">
        <v>45684</v>
      </c>
      <c r="O618" s="119" t="s">
        <v>10</v>
      </c>
      <c r="P618" s="152"/>
      <c r="Q618" s="153"/>
      <c r="R618" s="29"/>
      <c r="S618" s="123"/>
    </row>
    <row r="619" spans="1:19" hidden="1">
      <c r="A619" s="147" t="s">
        <v>290</v>
      </c>
      <c r="B619" s="147"/>
      <c r="C619" s="29">
        <v>23507071</v>
      </c>
      <c r="D619" s="29"/>
      <c r="F619" s="29"/>
      <c r="G619" s="29" t="s">
        <v>823</v>
      </c>
      <c r="H619" s="29" t="s">
        <v>315</v>
      </c>
      <c r="I619" s="120">
        <v>45680</v>
      </c>
      <c r="J619" s="120">
        <f>WORKDAY(I619, 3)</f>
        <v>45685</v>
      </c>
      <c r="K619" s="120"/>
      <c r="L619" s="120"/>
      <c r="M619" s="120"/>
      <c r="N619" s="120">
        <v>45684</v>
      </c>
      <c r="O619" s="119" t="s">
        <v>10</v>
      </c>
      <c r="P619" s="152"/>
      <c r="Q619" s="153"/>
      <c r="R619" s="29"/>
      <c r="S619" s="123"/>
    </row>
    <row r="620" spans="1:19" hidden="1">
      <c r="A620" s="147" t="s">
        <v>290</v>
      </c>
      <c r="B620" s="147"/>
      <c r="C620" s="29">
        <v>23507082</v>
      </c>
      <c r="D620" s="29"/>
      <c r="F620" s="29"/>
      <c r="G620" s="29" t="s">
        <v>823</v>
      </c>
      <c r="H620" s="29" t="s">
        <v>315</v>
      </c>
      <c r="I620" s="120">
        <v>45680</v>
      </c>
      <c r="J620" s="120">
        <f>WORKDAY(I620, 3)</f>
        <v>45685</v>
      </c>
      <c r="K620" s="120"/>
      <c r="L620" s="120"/>
      <c r="M620" s="120"/>
      <c r="N620" s="120">
        <v>45685</v>
      </c>
      <c r="O620" s="119" t="s">
        <v>10</v>
      </c>
      <c r="P620" s="152"/>
      <c r="Q620" s="153"/>
      <c r="R620" s="29"/>
      <c r="S620" s="123"/>
    </row>
    <row r="621" spans="1:19" hidden="1">
      <c r="A621" s="147" t="s">
        <v>290</v>
      </c>
      <c r="B621" s="147"/>
      <c r="C621" s="29">
        <v>23507111</v>
      </c>
      <c r="D621" s="29"/>
      <c r="F621" s="29"/>
      <c r="G621" s="29" t="s">
        <v>823</v>
      </c>
      <c r="H621" s="29" t="s">
        <v>315</v>
      </c>
      <c r="I621" s="120">
        <v>45680</v>
      </c>
      <c r="J621" s="120">
        <f>WORKDAY(I621, 3)</f>
        <v>45685</v>
      </c>
      <c r="K621" s="120"/>
      <c r="L621" s="120"/>
      <c r="M621" s="120"/>
      <c r="N621" s="120">
        <v>45685</v>
      </c>
      <c r="O621" s="119" t="s">
        <v>10</v>
      </c>
      <c r="P621" s="152"/>
      <c r="Q621" s="153"/>
      <c r="R621" s="29"/>
      <c r="S621" s="123"/>
    </row>
    <row r="622" spans="1:19" hidden="1">
      <c r="A622" s="147" t="s">
        <v>290</v>
      </c>
      <c r="B622" s="147"/>
      <c r="C622" s="29">
        <v>23507030</v>
      </c>
      <c r="D622" s="29"/>
      <c r="F622" s="29"/>
      <c r="G622" s="29" t="s">
        <v>823</v>
      </c>
      <c r="H622" s="29" t="s">
        <v>315</v>
      </c>
      <c r="I622" s="120">
        <v>45680</v>
      </c>
      <c r="J622" s="120">
        <f>WORKDAY(I622, 3)</f>
        <v>45685</v>
      </c>
      <c r="K622" s="120"/>
      <c r="L622" s="120"/>
      <c r="M622" s="120"/>
      <c r="N622" s="120">
        <v>45707</v>
      </c>
      <c r="O622" s="119" t="s">
        <v>10</v>
      </c>
      <c r="P622" s="152"/>
      <c r="Q622" s="153"/>
      <c r="R622" s="29"/>
      <c r="S622" s="123"/>
    </row>
    <row r="623" spans="1:19" hidden="1">
      <c r="A623" s="147" t="s">
        <v>290</v>
      </c>
      <c r="B623" s="147"/>
      <c r="C623" s="29">
        <v>23507088</v>
      </c>
      <c r="D623" s="29"/>
      <c r="F623" s="29"/>
      <c r="G623" s="29" t="s">
        <v>823</v>
      </c>
      <c r="H623" s="29" t="s">
        <v>315</v>
      </c>
      <c r="I623" s="120">
        <v>45680</v>
      </c>
      <c r="J623" s="120">
        <f>WORKDAY(I623, 3)</f>
        <v>45685</v>
      </c>
      <c r="K623" s="120"/>
      <c r="L623" s="120"/>
      <c r="M623" s="120"/>
      <c r="N623" s="120">
        <v>45693</v>
      </c>
      <c r="O623" s="119" t="s">
        <v>10</v>
      </c>
      <c r="P623" s="152"/>
      <c r="Q623" s="153"/>
      <c r="R623" s="29"/>
      <c r="S623" s="123"/>
    </row>
    <row r="624" spans="1:19" hidden="1">
      <c r="A624" s="147" t="s">
        <v>290</v>
      </c>
      <c r="B624" s="147"/>
      <c r="C624" s="29">
        <v>23507092</v>
      </c>
      <c r="D624" s="29"/>
      <c r="F624" s="29"/>
      <c r="G624" s="29" t="s">
        <v>823</v>
      </c>
      <c r="H624" s="29" t="s">
        <v>315</v>
      </c>
      <c r="I624" s="120">
        <v>45680</v>
      </c>
      <c r="J624" s="120">
        <f>WORKDAY(I624, 3)</f>
        <v>45685</v>
      </c>
      <c r="K624" s="120"/>
      <c r="L624" s="120"/>
      <c r="M624" s="120"/>
      <c r="N624" s="120">
        <v>45693</v>
      </c>
      <c r="O624" s="119" t="s">
        <v>10</v>
      </c>
      <c r="P624" s="152"/>
      <c r="Q624" s="153"/>
      <c r="R624" s="29"/>
      <c r="S624" s="123"/>
    </row>
    <row r="625" spans="1:19" hidden="1">
      <c r="A625" s="147" t="s">
        <v>290</v>
      </c>
      <c r="B625" s="147"/>
      <c r="C625" s="29">
        <v>23507096</v>
      </c>
      <c r="D625" s="29"/>
      <c r="F625" s="29"/>
      <c r="G625" s="29" t="s">
        <v>823</v>
      </c>
      <c r="H625" s="29" t="s">
        <v>315</v>
      </c>
      <c r="I625" s="120">
        <v>45680</v>
      </c>
      <c r="J625" s="120">
        <f>WORKDAY(I625, 3)</f>
        <v>45685</v>
      </c>
      <c r="K625" s="120"/>
      <c r="L625" s="120"/>
      <c r="M625" s="120"/>
      <c r="N625" s="120">
        <v>45687</v>
      </c>
      <c r="O625" s="119" t="s">
        <v>10</v>
      </c>
      <c r="P625" s="152"/>
      <c r="Q625" s="153"/>
      <c r="R625" s="29"/>
      <c r="S625" s="123"/>
    </row>
    <row r="626" spans="1:19" hidden="1">
      <c r="A626" s="147" t="s">
        <v>290</v>
      </c>
      <c r="B626" s="147"/>
      <c r="C626" s="29">
        <v>23507104</v>
      </c>
      <c r="D626" s="29"/>
      <c r="F626" s="29"/>
      <c r="G626" s="29" t="s">
        <v>823</v>
      </c>
      <c r="H626" s="29" t="s">
        <v>315</v>
      </c>
      <c r="I626" s="120">
        <v>45680</v>
      </c>
      <c r="J626" s="120">
        <f>WORKDAY(I626, 3)</f>
        <v>45685</v>
      </c>
      <c r="K626" s="120"/>
      <c r="L626" s="120"/>
      <c r="M626" s="120"/>
      <c r="N626" s="120">
        <v>45687</v>
      </c>
      <c r="O626" s="119" t="s">
        <v>10</v>
      </c>
      <c r="P626" s="152"/>
      <c r="Q626" s="153"/>
      <c r="R626" s="29"/>
      <c r="S626" s="123"/>
    </row>
    <row r="627" spans="1:19" hidden="1">
      <c r="A627" s="29" t="s">
        <v>312</v>
      </c>
      <c r="B627" s="29"/>
      <c r="C627" s="29">
        <v>29507354</v>
      </c>
      <c r="D627" s="29"/>
      <c r="F627" s="29"/>
      <c r="G627" s="29" t="s">
        <v>823</v>
      </c>
      <c r="H627" s="29" t="s">
        <v>316</v>
      </c>
      <c r="I627" s="120">
        <v>45684</v>
      </c>
      <c r="J627" s="120">
        <f>WORKDAY(I627, 3)</f>
        <v>45687</v>
      </c>
      <c r="K627" s="120"/>
      <c r="L627" s="120"/>
      <c r="M627" s="120"/>
      <c r="N627" s="120"/>
      <c r="O627" s="119" t="s">
        <v>929</v>
      </c>
      <c r="P627" s="120"/>
      <c r="Q627" s="135"/>
      <c r="R627" s="29" t="s">
        <v>317</v>
      </c>
      <c r="S627" s="123"/>
    </row>
    <row r="628" spans="1:19" hidden="1">
      <c r="A628" s="29" t="s">
        <v>312</v>
      </c>
      <c r="B628" s="29"/>
      <c r="C628" s="29">
        <v>28507244</v>
      </c>
      <c r="D628" s="29"/>
      <c r="F628" s="29"/>
      <c r="G628" s="29" t="s">
        <v>823</v>
      </c>
      <c r="H628" s="29" t="s">
        <v>316</v>
      </c>
      <c r="I628" s="120">
        <v>45684</v>
      </c>
      <c r="J628" s="120">
        <f>WORKDAY(I628, 3)</f>
        <v>45687</v>
      </c>
      <c r="K628" s="120"/>
      <c r="L628" s="120"/>
      <c r="M628" s="120"/>
      <c r="N628" s="120"/>
      <c r="O628" s="119" t="s">
        <v>929</v>
      </c>
      <c r="P628" s="120"/>
      <c r="Q628" s="135"/>
      <c r="R628" s="29" t="s">
        <v>318</v>
      </c>
      <c r="S628" s="123"/>
    </row>
    <row r="629" spans="1:19" hidden="1">
      <c r="A629" s="29" t="s">
        <v>312</v>
      </c>
      <c r="B629" s="29"/>
      <c r="C629" s="29">
        <v>28506894</v>
      </c>
      <c r="D629" s="29"/>
      <c r="F629" s="29"/>
      <c r="G629" s="29" t="s">
        <v>823</v>
      </c>
      <c r="H629" s="29" t="s">
        <v>316</v>
      </c>
      <c r="I629" s="120">
        <v>45684</v>
      </c>
      <c r="J629" s="120">
        <f>WORKDAY(I629, 3)</f>
        <v>45687</v>
      </c>
      <c r="K629" s="120"/>
      <c r="L629" s="120"/>
      <c r="M629" s="120"/>
      <c r="N629" s="120"/>
      <c r="O629" s="119" t="s">
        <v>929</v>
      </c>
      <c r="P629" s="120"/>
      <c r="Q629" s="135"/>
      <c r="R629" s="29" t="s">
        <v>319</v>
      </c>
      <c r="S629" s="123"/>
    </row>
    <row r="630" spans="1:19" hidden="1">
      <c r="A630" s="29" t="s">
        <v>312</v>
      </c>
      <c r="B630" s="29"/>
      <c r="C630" s="29">
        <v>28506868</v>
      </c>
      <c r="D630" s="29"/>
      <c r="F630" s="29"/>
      <c r="G630" s="29" t="s">
        <v>823</v>
      </c>
      <c r="H630" s="29" t="s">
        <v>316</v>
      </c>
      <c r="I630" s="120">
        <v>45684</v>
      </c>
      <c r="J630" s="120">
        <f>WORKDAY(I630, 3)</f>
        <v>45687</v>
      </c>
      <c r="K630" s="120"/>
      <c r="L630" s="120"/>
      <c r="M630" s="120"/>
      <c r="N630" s="120"/>
      <c r="O630" s="119" t="s">
        <v>929</v>
      </c>
      <c r="P630" s="120"/>
      <c r="Q630" s="135"/>
      <c r="R630" s="29" t="s">
        <v>320</v>
      </c>
      <c r="S630" s="123"/>
    </row>
    <row r="631" spans="1:19" hidden="1">
      <c r="A631" s="29" t="s">
        <v>312</v>
      </c>
      <c r="B631" s="29"/>
      <c r="C631" s="29">
        <v>28506849</v>
      </c>
      <c r="D631" s="29"/>
      <c r="F631" s="29"/>
      <c r="G631" s="29" t="s">
        <v>823</v>
      </c>
      <c r="H631" s="29" t="s">
        <v>316</v>
      </c>
      <c r="I631" s="120">
        <v>45684</v>
      </c>
      <c r="J631" s="120">
        <f>WORKDAY(I631, 3)</f>
        <v>45687</v>
      </c>
      <c r="K631" s="120"/>
      <c r="L631" s="120"/>
      <c r="M631" s="120"/>
      <c r="N631" s="120"/>
      <c r="O631" s="119" t="s">
        <v>929</v>
      </c>
      <c r="P631" s="120"/>
      <c r="Q631" s="135"/>
      <c r="R631" s="29" t="s">
        <v>321</v>
      </c>
      <c r="S631" s="123"/>
    </row>
    <row r="632" spans="1:19" hidden="1">
      <c r="A632" s="29" t="s">
        <v>312</v>
      </c>
      <c r="B632" s="29"/>
      <c r="C632" s="29">
        <v>28506322</v>
      </c>
      <c r="D632" s="29"/>
      <c r="F632" s="29"/>
      <c r="G632" s="29" t="s">
        <v>823</v>
      </c>
      <c r="H632" s="29" t="s">
        <v>316</v>
      </c>
      <c r="I632" s="120">
        <v>45684</v>
      </c>
      <c r="J632" s="120">
        <f>WORKDAY(I632, 3)</f>
        <v>45687</v>
      </c>
      <c r="K632" s="120"/>
      <c r="L632" s="120"/>
      <c r="M632" s="120"/>
      <c r="N632" s="120"/>
      <c r="O632" s="119" t="s">
        <v>929</v>
      </c>
      <c r="P632" s="120"/>
      <c r="Q632" s="135"/>
      <c r="R632" s="29" t="s">
        <v>321</v>
      </c>
      <c r="S632" s="123"/>
    </row>
    <row r="633" spans="1:19" hidden="1">
      <c r="A633" s="29" t="s">
        <v>312</v>
      </c>
      <c r="B633" s="29"/>
      <c r="C633" s="29">
        <v>28506204</v>
      </c>
      <c r="D633" s="29"/>
      <c r="F633" s="29"/>
      <c r="G633" s="29" t="s">
        <v>823</v>
      </c>
      <c r="H633" s="29" t="s">
        <v>316</v>
      </c>
      <c r="I633" s="120">
        <v>45684</v>
      </c>
      <c r="J633" s="120">
        <f>WORKDAY(I633, 3)</f>
        <v>45687</v>
      </c>
      <c r="K633" s="120"/>
      <c r="L633" s="120"/>
      <c r="M633" s="120"/>
      <c r="N633" s="120"/>
      <c r="O633" s="119" t="s">
        <v>929</v>
      </c>
      <c r="P633" s="120"/>
      <c r="Q633" s="135"/>
      <c r="R633" s="29" t="s">
        <v>322</v>
      </c>
      <c r="S633" s="123"/>
    </row>
    <row r="634" spans="1:19" hidden="1">
      <c r="A634" s="29" t="s">
        <v>312</v>
      </c>
      <c r="B634" s="29"/>
      <c r="C634" s="29">
        <v>28506093</v>
      </c>
      <c r="D634" s="29"/>
      <c r="F634" s="29"/>
      <c r="G634" s="29" t="s">
        <v>823</v>
      </c>
      <c r="H634" s="29" t="s">
        <v>316</v>
      </c>
      <c r="I634" s="120">
        <v>45684</v>
      </c>
      <c r="J634" s="120">
        <f>WORKDAY(I634, 3)</f>
        <v>45687</v>
      </c>
      <c r="K634" s="120"/>
      <c r="L634" s="120"/>
      <c r="M634" s="120"/>
      <c r="N634" s="120"/>
      <c r="O634" s="119" t="s">
        <v>929</v>
      </c>
      <c r="P634" s="120"/>
      <c r="Q634" s="135"/>
      <c r="R634" s="29" t="s">
        <v>323</v>
      </c>
      <c r="S634" s="123"/>
    </row>
    <row r="635" spans="1:19" hidden="1">
      <c r="A635" s="29" t="s">
        <v>312</v>
      </c>
      <c r="B635" s="29"/>
      <c r="C635" s="29">
        <v>28506035</v>
      </c>
      <c r="D635" s="29"/>
      <c r="F635" s="29"/>
      <c r="G635" s="29" t="s">
        <v>823</v>
      </c>
      <c r="H635" s="29" t="s">
        <v>316</v>
      </c>
      <c r="I635" s="120">
        <v>45684</v>
      </c>
      <c r="J635" s="120">
        <f>WORKDAY(I635, 3)</f>
        <v>45687</v>
      </c>
      <c r="K635" s="120"/>
      <c r="L635" s="120"/>
      <c r="M635" s="120"/>
      <c r="N635" s="120"/>
      <c r="O635" s="119" t="s">
        <v>929</v>
      </c>
      <c r="P635" s="120"/>
      <c r="Q635" s="135"/>
      <c r="R635" s="29" t="s">
        <v>323</v>
      </c>
      <c r="S635" s="123"/>
    </row>
    <row r="636" spans="1:19" hidden="1">
      <c r="A636" s="29" t="s">
        <v>312</v>
      </c>
      <c r="B636" s="29"/>
      <c r="C636" s="29">
        <v>28505069</v>
      </c>
      <c r="D636" s="29"/>
      <c r="F636" s="29"/>
      <c r="G636" s="29" t="s">
        <v>823</v>
      </c>
      <c r="H636" s="29" t="s">
        <v>316</v>
      </c>
      <c r="I636" s="120">
        <v>45684</v>
      </c>
      <c r="J636" s="120">
        <f>WORKDAY(I636, 3)</f>
        <v>45687</v>
      </c>
      <c r="K636" s="120"/>
      <c r="L636" s="120"/>
      <c r="M636" s="120"/>
      <c r="N636" s="120"/>
      <c r="O636" s="119" t="s">
        <v>929</v>
      </c>
      <c r="P636" s="120"/>
      <c r="Q636" s="135"/>
      <c r="R636" s="29" t="s">
        <v>324</v>
      </c>
      <c r="S636" s="123"/>
    </row>
    <row r="637" spans="1:19" hidden="1">
      <c r="A637" s="29" t="s">
        <v>312</v>
      </c>
      <c r="B637" s="29"/>
      <c r="C637" s="29">
        <v>28505038</v>
      </c>
      <c r="D637" s="29"/>
      <c r="F637" s="29"/>
      <c r="G637" s="29" t="s">
        <v>823</v>
      </c>
      <c r="H637" s="29" t="s">
        <v>316</v>
      </c>
      <c r="I637" s="120">
        <v>45684</v>
      </c>
      <c r="J637" s="120">
        <f>WORKDAY(I637, 3)</f>
        <v>45687</v>
      </c>
      <c r="K637" s="120"/>
      <c r="L637" s="120"/>
      <c r="M637" s="120"/>
      <c r="N637" s="120"/>
      <c r="O637" s="119" t="s">
        <v>929</v>
      </c>
      <c r="P637" s="120"/>
      <c r="Q637" s="135"/>
      <c r="R637" s="29" t="s">
        <v>325</v>
      </c>
      <c r="S637" s="123"/>
    </row>
    <row r="638" spans="1:19" hidden="1">
      <c r="A638" s="29" t="s">
        <v>312</v>
      </c>
      <c r="B638" s="29"/>
      <c r="C638" s="29">
        <v>28504900</v>
      </c>
      <c r="D638" s="29"/>
      <c r="F638" s="29"/>
      <c r="G638" s="29" t="s">
        <v>823</v>
      </c>
      <c r="H638" s="29" t="s">
        <v>316</v>
      </c>
      <c r="I638" s="120">
        <v>45684</v>
      </c>
      <c r="J638" s="120">
        <f>WORKDAY(I638, 3)</f>
        <v>45687</v>
      </c>
      <c r="K638" s="120"/>
      <c r="L638" s="120"/>
      <c r="M638" s="120"/>
      <c r="N638" s="120"/>
      <c r="O638" s="119" t="s">
        <v>929</v>
      </c>
      <c r="P638" s="120"/>
      <c r="Q638" s="135"/>
      <c r="R638" s="29" t="s">
        <v>326</v>
      </c>
      <c r="S638" s="123"/>
    </row>
    <row r="639" spans="1:19" hidden="1">
      <c r="A639" s="29" t="s">
        <v>312</v>
      </c>
      <c r="B639" s="29"/>
      <c r="C639" s="29">
        <v>28504725</v>
      </c>
      <c r="D639" s="29"/>
      <c r="F639" s="29"/>
      <c r="G639" s="29" t="s">
        <v>823</v>
      </c>
      <c r="H639" s="29" t="s">
        <v>316</v>
      </c>
      <c r="I639" s="120">
        <v>45684</v>
      </c>
      <c r="J639" s="120">
        <f>WORKDAY(I639, 3)</f>
        <v>45687</v>
      </c>
      <c r="K639" s="120"/>
      <c r="L639" s="120"/>
      <c r="M639" s="120"/>
      <c r="N639" s="120"/>
      <c r="O639" s="119" t="s">
        <v>929</v>
      </c>
      <c r="P639" s="120"/>
      <c r="Q639" s="135"/>
      <c r="R639" s="29" t="s">
        <v>327</v>
      </c>
      <c r="S639" s="123"/>
    </row>
    <row r="640" spans="1:19" hidden="1">
      <c r="A640" s="29" t="s">
        <v>335</v>
      </c>
      <c r="B640" s="29"/>
      <c r="C640" s="29">
        <v>30508309</v>
      </c>
      <c r="D640" s="29"/>
      <c r="F640" s="29"/>
      <c r="G640" s="29" t="s">
        <v>823</v>
      </c>
      <c r="H640" s="29" t="s">
        <v>315</v>
      </c>
      <c r="I640" s="120">
        <v>45686</v>
      </c>
      <c r="J640" s="120">
        <f>WORKDAY(I640, 3)</f>
        <v>45691</v>
      </c>
      <c r="K640" s="120"/>
      <c r="L640" s="120"/>
      <c r="M640" s="120"/>
      <c r="N640" s="120"/>
      <c r="O640" s="119" t="s">
        <v>929</v>
      </c>
      <c r="P640" s="120"/>
      <c r="Q640" s="135"/>
      <c r="R640" s="29" t="s">
        <v>336</v>
      </c>
      <c r="S640" s="123"/>
    </row>
    <row r="641" spans="1:19" hidden="1">
      <c r="A641" s="29" t="s">
        <v>335</v>
      </c>
      <c r="B641" s="29"/>
      <c r="C641" s="29">
        <v>30508305</v>
      </c>
      <c r="D641" s="29"/>
      <c r="F641" s="29"/>
      <c r="G641" s="29" t="s">
        <v>823</v>
      </c>
      <c r="H641" s="29" t="s">
        <v>315</v>
      </c>
      <c r="I641" s="120">
        <v>45686</v>
      </c>
      <c r="J641" s="120">
        <f>WORKDAY(I641, 3)</f>
        <v>45691</v>
      </c>
      <c r="K641" s="120"/>
      <c r="L641" s="120"/>
      <c r="M641" s="120"/>
      <c r="N641" s="120"/>
      <c r="O641" s="119" t="s">
        <v>929</v>
      </c>
      <c r="P641" s="120"/>
      <c r="Q641" s="135"/>
      <c r="R641" s="29" t="s">
        <v>337</v>
      </c>
      <c r="S641" s="123"/>
    </row>
    <row r="642" spans="1:19" hidden="1">
      <c r="A642" s="29" t="s">
        <v>335</v>
      </c>
      <c r="B642" s="29"/>
      <c r="C642" s="29">
        <v>30508300</v>
      </c>
      <c r="D642" s="29"/>
      <c r="F642" s="29"/>
      <c r="G642" s="29" t="s">
        <v>823</v>
      </c>
      <c r="H642" s="29" t="s">
        <v>315</v>
      </c>
      <c r="I642" s="120">
        <v>45686</v>
      </c>
      <c r="J642" s="120">
        <f>WORKDAY(I642, 3)</f>
        <v>45691</v>
      </c>
      <c r="K642" s="120"/>
      <c r="L642" s="120"/>
      <c r="M642" s="120"/>
      <c r="N642" s="120"/>
      <c r="O642" s="119" t="s">
        <v>929</v>
      </c>
      <c r="P642" s="120"/>
      <c r="Q642" s="135"/>
      <c r="R642" s="29" t="s">
        <v>338</v>
      </c>
      <c r="S642" s="123"/>
    </row>
    <row r="643" spans="1:19" hidden="1">
      <c r="A643" s="29" t="s">
        <v>335</v>
      </c>
      <c r="B643" s="29"/>
      <c r="C643" s="29">
        <v>30508297</v>
      </c>
      <c r="D643" s="29"/>
      <c r="F643" s="29"/>
      <c r="G643" s="29" t="s">
        <v>823</v>
      </c>
      <c r="H643" s="29" t="s">
        <v>315</v>
      </c>
      <c r="I643" s="120">
        <v>45686</v>
      </c>
      <c r="J643" s="120">
        <f>WORKDAY(I643, 3)</f>
        <v>45691</v>
      </c>
      <c r="K643" s="120"/>
      <c r="L643" s="120"/>
      <c r="M643" s="120"/>
      <c r="N643" s="120"/>
      <c r="O643" s="119" t="s">
        <v>929</v>
      </c>
      <c r="P643" s="120"/>
      <c r="Q643" s="135"/>
      <c r="R643" s="29" t="s">
        <v>338</v>
      </c>
      <c r="S643" s="123"/>
    </row>
    <row r="644" spans="1:19" hidden="1">
      <c r="A644" s="29" t="s">
        <v>335</v>
      </c>
      <c r="B644" s="29"/>
      <c r="C644" s="29">
        <v>30508294</v>
      </c>
      <c r="D644" s="29"/>
      <c r="F644" s="29"/>
      <c r="G644" s="29" t="s">
        <v>823</v>
      </c>
      <c r="H644" s="29" t="s">
        <v>315</v>
      </c>
      <c r="I644" s="120">
        <v>45686</v>
      </c>
      <c r="J644" s="120">
        <f>WORKDAY(I644, 3)</f>
        <v>45691</v>
      </c>
      <c r="K644" s="120"/>
      <c r="L644" s="120"/>
      <c r="M644" s="120"/>
      <c r="N644" s="120"/>
      <c r="O644" s="119" t="s">
        <v>929</v>
      </c>
      <c r="P644" s="120"/>
      <c r="Q644" s="135"/>
      <c r="R644" s="29" t="s">
        <v>339</v>
      </c>
      <c r="S644" s="123"/>
    </row>
    <row r="645" spans="1:19" hidden="1">
      <c r="A645" s="29" t="s">
        <v>335</v>
      </c>
      <c r="B645" s="29"/>
      <c r="C645" s="29">
        <v>30508293</v>
      </c>
      <c r="D645" s="29"/>
      <c r="F645" s="29"/>
      <c r="G645" s="29" t="s">
        <v>823</v>
      </c>
      <c r="H645" s="29" t="s">
        <v>315</v>
      </c>
      <c r="I645" s="120">
        <v>45686</v>
      </c>
      <c r="J645" s="120">
        <f>WORKDAY(I645, 3)</f>
        <v>45691</v>
      </c>
      <c r="K645" s="120"/>
      <c r="L645" s="120"/>
      <c r="M645" s="120"/>
      <c r="N645" s="120"/>
      <c r="O645" s="119" t="s">
        <v>929</v>
      </c>
      <c r="P645" s="120"/>
      <c r="Q645" s="135"/>
      <c r="R645" s="29" t="s">
        <v>340</v>
      </c>
      <c r="S645" s="123"/>
    </row>
    <row r="646" spans="1:19" hidden="1">
      <c r="A646" s="29" t="s">
        <v>335</v>
      </c>
      <c r="B646" s="29"/>
      <c r="C646" s="29">
        <v>30508290</v>
      </c>
      <c r="D646" s="29"/>
      <c r="F646" s="29"/>
      <c r="G646" s="29" t="s">
        <v>823</v>
      </c>
      <c r="H646" s="29" t="s">
        <v>315</v>
      </c>
      <c r="I646" s="120">
        <v>45686</v>
      </c>
      <c r="J646" s="120">
        <f>WORKDAY(I646, 3)</f>
        <v>45691</v>
      </c>
      <c r="K646" s="120"/>
      <c r="L646" s="120"/>
      <c r="M646" s="120"/>
      <c r="N646" s="120"/>
      <c r="O646" s="119" t="s">
        <v>929</v>
      </c>
      <c r="P646" s="120"/>
      <c r="Q646" s="135"/>
      <c r="R646" s="29" t="s">
        <v>341</v>
      </c>
      <c r="S646" s="123"/>
    </row>
    <row r="647" spans="1:19" hidden="1">
      <c r="A647" s="29" t="s">
        <v>335</v>
      </c>
      <c r="B647" s="29"/>
      <c r="C647" s="29">
        <v>30508289</v>
      </c>
      <c r="D647" s="29"/>
      <c r="F647" s="29"/>
      <c r="G647" s="29" t="s">
        <v>823</v>
      </c>
      <c r="H647" s="29" t="s">
        <v>315</v>
      </c>
      <c r="I647" s="120">
        <v>45686</v>
      </c>
      <c r="J647" s="120">
        <f>WORKDAY(I647, 3)</f>
        <v>45691</v>
      </c>
      <c r="K647" s="120"/>
      <c r="L647" s="120"/>
      <c r="M647" s="120"/>
      <c r="N647" s="120"/>
      <c r="O647" s="119" t="s">
        <v>929</v>
      </c>
      <c r="P647" s="120"/>
      <c r="Q647" s="135"/>
      <c r="R647" s="29" t="s">
        <v>341</v>
      </c>
      <c r="S647" s="123"/>
    </row>
    <row r="648" spans="1:19" hidden="1">
      <c r="A648" s="29" t="s">
        <v>335</v>
      </c>
      <c r="B648" s="29"/>
      <c r="C648" s="29">
        <v>30508284</v>
      </c>
      <c r="D648" s="29"/>
      <c r="F648" s="29"/>
      <c r="G648" s="29" t="s">
        <v>823</v>
      </c>
      <c r="H648" s="29" t="s">
        <v>315</v>
      </c>
      <c r="I648" s="120">
        <v>45686</v>
      </c>
      <c r="J648" s="120">
        <f>WORKDAY(I648, 3)</f>
        <v>45691</v>
      </c>
      <c r="K648" s="120"/>
      <c r="L648" s="120"/>
      <c r="M648" s="120"/>
      <c r="N648" s="120"/>
      <c r="O648" s="119" t="s">
        <v>929</v>
      </c>
      <c r="P648" s="120"/>
      <c r="Q648" s="135"/>
      <c r="R648" s="29" t="s">
        <v>342</v>
      </c>
      <c r="S648" s="123"/>
    </row>
    <row r="649" spans="1:19" hidden="1">
      <c r="A649" s="29" t="s">
        <v>335</v>
      </c>
      <c r="B649" s="29"/>
      <c r="C649" s="29">
        <v>30508281</v>
      </c>
      <c r="D649" s="29"/>
      <c r="F649" s="29"/>
      <c r="G649" s="29" t="s">
        <v>823</v>
      </c>
      <c r="H649" s="29" t="s">
        <v>315</v>
      </c>
      <c r="I649" s="120">
        <v>45686</v>
      </c>
      <c r="J649" s="120">
        <f>WORKDAY(I649, 3)</f>
        <v>45691</v>
      </c>
      <c r="K649" s="120"/>
      <c r="L649" s="120"/>
      <c r="M649" s="120"/>
      <c r="N649" s="120"/>
      <c r="O649" s="119" t="s">
        <v>929</v>
      </c>
      <c r="P649" s="120"/>
      <c r="Q649" s="135"/>
      <c r="R649" s="29" t="s">
        <v>343</v>
      </c>
      <c r="S649" s="123"/>
    </row>
    <row r="650" spans="1:19" hidden="1">
      <c r="A650" s="29" t="s">
        <v>335</v>
      </c>
      <c r="B650" s="29"/>
      <c r="C650" s="29">
        <v>30508277</v>
      </c>
      <c r="D650" s="29"/>
      <c r="F650" s="29"/>
      <c r="G650" s="29" t="s">
        <v>823</v>
      </c>
      <c r="H650" s="29" t="s">
        <v>315</v>
      </c>
      <c r="I650" s="120">
        <v>45686</v>
      </c>
      <c r="J650" s="120">
        <f>WORKDAY(I650, 3)</f>
        <v>45691</v>
      </c>
      <c r="K650" s="120"/>
      <c r="L650" s="120"/>
      <c r="M650" s="120"/>
      <c r="N650" s="120"/>
      <c r="O650" s="119" t="s">
        <v>929</v>
      </c>
      <c r="P650" s="120"/>
      <c r="Q650" s="135"/>
      <c r="R650" s="29" t="s">
        <v>344</v>
      </c>
      <c r="S650" s="123"/>
    </row>
    <row r="651" spans="1:19" hidden="1">
      <c r="A651" s="29" t="s">
        <v>335</v>
      </c>
      <c r="B651" s="29"/>
      <c r="C651" s="29">
        <v>30508275</v>
      </c>
      <c r="D651" s="29"/>
      <c r="F651" s="29"/>
      <c r="G651" s="29" t="s">
        <v>823</v>
      </c>
      <c r="H651" s="29" t="s">
        <v>315</v>
      </c>
      <c r="I651" s="120">
        <v>45686</v>
      </c>
      <c r="J651" s="120">
        <f>WORKDAY(I651, 3)</f>
        <v>45691</v>
      </c>
      <c r="K651" s="120"/>
      <c r="L651" s="120"/>
      <c r="M651" s="120"/>
      <c r="N651" s="120"/>
      <c r="O651" s="119" t="s">
        <v>929</v>
      </c>
      <c r="P651" s="120"/>
      <c r="Q651" s="135"/>
      <c r="R651" s="29" t="s">
        <v>344</v>
      </c>
      <c r="S651" s="123"/>
    </row>
    <row r="652" spans="1:19" hidden="1">
      <c r="A652" s="29" t="s">
        <v>335</v>
      </c>
      <c r="B652" s="29"/>
      <c r="C652" s="29">
        <v>30508271</v>
      </c>
      <c r="D652" s="29"/>
      <c r="F652" s="29"/>
      <c r="G652" s="29" t="s">
        <v>823</v>
      </c>
      <c r="H652" s="29" t="s">
        <v>315</v>
      </c>
      <c r="I652" s="120">
        <v>45686</v>
      </c>
      <c r="J652" s="120">
        <f>WORKDAY(I652, 3)</f>
        <v>45691</v>
      </c>
      <c r="K652" s="120"/>
      <c r="L652" s="120"/>
      <c r="M652" s="120"/>
      <c r="N652" s="120"/>
      <c r="O652" s="119" t="s">
        <v>929</v>
      </c>
      <c r="P652" s="120"/>
      <c r="Q652" s="135"/>
      <c r="R652" s="29" t="s">
        <v>345</v>
      </c>
      <c r="S652" s="123"/>
    </row>
    <row r="653" spans="1:19" hidden="1">
      <c r="A653" s="29" t="s">
        <v>335</v>
      </c>
      <c r="B653" s="29"/>
      <c r="C653" s="29">
        <v>30508265</v>
      </c>
      <c r="D653" s="29"/>
      <c r="F653" s="29"/>
      <c r="G653" s="29" t="s">
        <v>823</v>
      </c>
      <c r="H653" s="29" t="s">
        <v>315</v>
      </c>
      <c r="I653" s="120">
        <v>45686</v>
      </c>
      <c r="J653" s="120">
        <f>WORKDAY(I653, 3)</f>
        <v>45691</v>
      </c>
      <c r="K653" s="120"/>
      <c r="L653" s="120"/>
      <c r="M653" s="120"/>
      <c r="N653" s="120"/>
      <c r="O653" s="119" t="s">
        <v>929</v>
      </c>
      <c r="P653" s="120"/>
      <c r="Q653" s="135"/>
      <c r="R653" s="29" t="s">
        <v>344</v>
      </c>
      <c r="S653" s="123"/>
    </row>
    <row r="654" spans="1:19" hidden="1">
      <c r="A654" s="29" t="s">
        <v>335</v>
      </c>
      <c r="B654" s="29"/>
      <c r="C654" s="29">
        <v>30508261</v>
      </c>
      <c r="D654" s="29"/>
      <c r="F654" s="29"/>
      <c r="G654" s="29" t="s">
        <v>823</v>
      </c>
      <c r="H654" s="29" t="s">
        <v>315</v>
      </c>
      <c r="I654" s="120">
        <v>45686</v>
      </c>
      <c r="J654" s="120">
        <f>WORKDAY(I654, 3)</f>
        <v>45691</v>
      </c>
      <c r="K654" s="120"/>
      <c r="L654" s="120"/>
      <c r="M654" s="120"/>
      <c r="N654" s="120"/>
      <c r="O654" s="119" t="s">
        <v>929</v>
      </c>
      <c r="P654" s="120"/>
      <c r="Q654" s="135"/>
      <c r="R654" s="29" t="s">
        <v>346</v>
      </c>
      <c r="S654" s="123"/>
    </row>
    <row r="655" spans="1:19" hidden="1">
      <c r="A655" s="29" t="s">
        <v>335</v>
      </c>
      <c r="B655" s="29"/>
      <c r="C655" s="29">
        <v>30508258</v>
      </c>
      <c r="D655" s="29"/>
      <c r="F655" s="29"/>
      <c r="G655" s="29" t="s">
        <v>823</v>
      </c>
      <c r="H655" s="29" t="s">
        <v>315</v>
      </c>
      <c r="I655" s="120">
        <v>45686</v>
      </c>
      <c r="J655" s="120">
        <f>WORKDAY(I655, 3)</f>
        <v>45691</v>
      </c>
      <c r="K655" s="120"/>
      <c r="L655" s="120"/>
      <c r="M655" s="120"/>
      <c r="N655" s="120"/>
      <c r="O655" s="119" t="s">
        <v>929</v>
      </c>
      <c r="P655" s="120"/>
      <c r="Q655" s="135"/>
      <c r="R655" s="29" t="s">
        <v>347</v>
      </c>
      <c r="S655" s="123"/>
    </row>
    <row r="656" spans="1:19" hidden="1">
      <c r="A656" s="29" t="s">
        <v>335</v>
      </c>
      <c r="B656" s="29"/>
      <c r="C656" s="29">
        <v>30508255</v>
      </c>
      <c r="D656" s="29"/>
      <c r="F656" s="29"/>
      <c r="G656" s="29" t="s">
        <v>823</v>
      </c>
      <c r="H656" s="29" t="s">
        <v>315</v>
      </c>
      <c r="I656" s="120">
        <v>45686</v>
      </c>
      <c r="J656" s="120">
        <f>WORKDAY(I656, 3)</f>
        <v>45691</v>
      </c>
      <c r="K656" s="120"/>
      <c r="L656" s="120"/>
      <c r="M656" s="120"/>
      <c r="N656" s="120"/>
      <c r="O656" s="119" t="s">
        <v>929</v>
      </c>
      <c r="P656" s="120"/>
      <c r="Q656" s="135"/>
      <c r="R656" s="29" t="s">
        <v>348</v>
      </c>
      <c r="S656" s="123"/>
    </row>
    <row r="657" spans="1:19" hidden="1">
      <c r="A657" s="29" t="s">
        <v>335</v>
      </c>
      <c r="B657" s="29"/>
      <c r="C657" s="29">
        <v>30508249</v>
      </c>
      <c r="D657" s="29"/>
      <c r="F657" s="29"/>
      <c r="G657" s="29" t="s">
        <v>823</v>
      </c>
      <c r="H657" s="29" t="s">
        <v>315</v>
      </c>
      <c r="I657" s="120">
        <v>45686</v>
      </c>
      <c r="J657" s="120">
        <f>WORKDAY(I657, 3)</f>
        <v>45691</v>
      </c>
      <c r="K657" s="120"/>
      <c r="L657" s="120"/>
      <c r="M657" s="120"/>
      <c r="N657" s="120"/>
      <c r="O657" s="119" t="s">
        <v>929</v>
      </c>
      <c r="P657" s="120"/>
      <c r="Q657" s="135"/>
      <c r="R657" s="29" t="s">
        <v>349</v>
      </c>
      <c r="S657" s="123"/>
    </row>
    <row r="658" spans="1:19" hidden="1">
      <c r="A658" s="29" t="s">
        <v>335</v>
      </c>
      <c r="B658" s="29"/>
      <c r="C658" s="29">
        <v>30508244</v>
      </c>
      <c r="D658" s="29"/>
      <c r="F658" s="29"/>
      <c r="G658" s="29" t="s">
        <v>823</v>
      </c>
      <c r="H658" s="29" t="s">
        <v>315</v>
      </c>
      <c r="I658" s="120">
        <v>45686</v>
      </c>
      <c r="J658" s="120">
        <f>WORKDAY(I658, 3)</f>
        <v>45691</v>
      </c>
      <c r="K658" s="120"/>
      <c r="L658" s="120"/>
      <c r="M658" s="120"/>
      <c r="N658" s="120"/>
      <c r="O658" s="119" t="s">
        <v>929</v>
      </c>
      <c r="P658" s="120"/>
      <c r="Q658" s="135"/>
      <c r="R658" s="29" t="s">
        <v>347</v>
      </c>
      <c r="S658" s="123"/>
    </row>
    <row r="659" spans="1:19" hidden="1">
      <c r="A659" s="29" t="s">
        <v>335</v>
      </c>
      <c r="B659" s="29"/>
      <c r="C659" s="29">
        <v>30508237</v>
      </c>
      <c r="D659" s="29"/>
      <c r="F659" s="29"/>
      <c r="G659" s="29" t="s">
        <v>823</v>
      </c>
      <c r="H659" s="29" t="s">
        <v>315</v>
      </c>
      <c r="I659" s="120">
        <v>45686</v>
      </c>
      <c r="J659" s="120">
        <f>WORKDAY(I659, 3)</f>
        <v>45691</v>
      </c>
      <c r="K659" s="120"/>
      <c r="L659" s="120"/>
      <c r="M659" s="120"/>
      <c r="N659" s="120"/>
      <c r="O659" s="119" t="s">
        <v>929</v>
      </c>
      <c r="P659" s="120"/>
      <c r="Q659" s="135"/>
      <c r="R659" s="29" t="s">
        <v>350</v>
      </c>
      <c r="S659" s="123"/>
    </row>
    <row r="660" spans="1:19" hidden="1">
      <c r="A660" s="29" t="s">
        <v>335</v>
      </c>
      <c r="B660" s="29"/>
      <c r="C660" s="29">
        <v>30508222</v>
      </c>
      <c r="D660" s="29"/>
      <c r="F660" s="29"/>
      <c r="G660" s="29" t="s">
        <v>823</v>
      </c>
      <c r="H660" s="29" t="s">
        <v>315</v>
      </c>
      <c r="I660" s="120">
        <v>45686</v>
      </c>
      <c r="J660" s="120">
        <f>WORKDAY(I660, 3)</f>
        <v>45691</v>
      </c>
      <c r="K660" s="120"/>
      <c r="L660" s="120"/>
      <c r="M660" s="120"/>
      <c r="N660" s="120"/>
      <c r="O660" s="119" t="s">
        <v>929</v>
      </c>
      <c r="P660" s="120"/>
      <c r="Q660" s="135"/>
      <c r="R660" s="29" t="s">
        <v>351</v>
      </c>
      <c r="S660" s="123"/>
    </row>
    <row r="661" spans="1:19" hidden="1">
      <c r="A661" s="29" t="s">
        <v>335</v>
      </c>
      <c r="B661" s="29"/>
      <c r="C661" s="29">
        <v>30508211</v>
      </c>
      <c r="D661" s="29"/>
      <c r="F661" s="29"/>
      <c r="G661" s="29" t="s">
        <v>823</v>
      </c>
      <c r="H661" s="29" t="s">
        <v>315</v>
      </c>
      <c r="I661" s="120">
        <v>45686</v>
      </c>
      <c r="J661" s="120">
        <f>WORKDAY(I661, 3)</f>
        <v>45691</v>
      </c>
      <c r="K661" s="120"/>
      <c r="L661" s="120"/>
      <c r="M661" s="120"/>
      <c r="N661" s="120"/>
      <c r="O661" s="119" t="s">
        <v>929</v>
      </c>
      <c r="P661" s="120"/>
      <c r="Q661" s="135"/>
      <c r="R661" s="29" t="s">
        <v>352</v>
      </c>
      <c r="S661" s="123"/>
    </row>
    <row r="662" spans="1:19" hidden="1">
      <c r="A662" s="29" t="s">
        <v>335</v>
      </c>
      <c r="B662" s="29"/>
      <c r="C662" s="29">
        <v>30508208</v>
      </c>
      <c r="D662" s="29"/>
      <c r="F662" s="29"/>
      <c r="G662" s="29" t="s">
        <v>823</v>
      </c>
      <c r="H662" s="29" t="s">
        <v>315</v>
      </c>
      <c r="I662" s="120">
        <v>45686</v>
      </c>
      <c r="J662" s="120">
        <f>WORKDAY(I662, 3)</f>
        <v>45691</v>
      </c>
      <c r="K662" s="120"/>
      <c r="L662" s="120"/>
      <c r="M662" s="120"/>
      <c r="N662" s="120"/>
      <c r="O662" s="119" t="s">
        <v>929</v>
      </c>
      <c r="P662" s="120"/>
      <c r="Q662" s="135"/>
      <c r="R662" s="29" t="s">
        <v>353</v>
      </c>
      <c r="S662" s="123"/>
    </row>
    <row r="663" spans="1:19" hidden="1">
      <c r="A663" s="29" t="s">
        <v>335</v>
      </c>
      <c r="B663" s="29"/>
      <c r="C663" s="29">
        <v>30508205</v>
      </c>
      <c r="D663" s="29"/>
      <c r="F663" s="29"/>
      <c r="G663" s="29" t="s">
        <v>823</v>
      </c>
      <c r="H663" s="29" t="s">
        <v>315</v>
      </c>
      <c r="I663" s="120">
        <v>45686</v>
      </c>
      <c r="J663" s="120">
        <f>WORKDAY(I663, 3)</f>
        <v>45691</v>
      </c>
      <c r="K663" s="120"/>
      <c r="L663" s="120"/>
      <c r="M663" s="120"/>
      <c r="N663" s="120"/>
      <c r="O663" s="119" t="s">
        <v>929</v>
      </c>
      <c r="P663" s="120"/>
      <c r="Q663" s="135"/>
      <c r="R663" s="29" t="s">
        <v>354</v>
      </c>
      <c r="S663" s="123"/>
    </row>
    <row r="664" spans="1:19" hidden="1">
      <c r="A664" s="29" t="s">
        <v>335</v>
      </c>
      <c r="B664" s="29"/>
      <c r="C664" s="29">
        <v>30508203</v>
      </c>
      <c r="D664" s="29"/>
      <c r="F664" s="29"/>
      <c r="G664" s="29" t="s">
        <v>823</v>
      </c>
      <c r="H664" s="29" t="s">
        <v>315</v>
      </c>
      <c r="I664" s="120">
        <v>45686</v>
      </c>
      <c r="J664" s="120">
        <f>WORKDAY(I664, 3)</f>
        <v>45691</v>
      </c>
      <c r="K664" s="120"/>
      <c r="L664" s="120"/>
      <c r="M664" s="120"/>
      <c r="N664" s="120"/>
      <c r="O664" s="119" t="s">
        <v>929</v>
      </c>
      <c r="P664" s="120"/>
      <c r="Q664" s="135"/>
      <c r="R664" s="29" t="s">
        <v>355</v>
      </c>
      <c r="S664" s="123"/>
    </row>
    <row r="665" spans="1:19" hidden="1">
      <c r="A665" s="29" t="s">
        <v>335</v>
      </c>
      <c r="B665" s="29"/>
      <c r="C665" s="29">
        <v>30508196</v>
      </c>
      <c r="D665" s="29"/>
      <c r="F665" s="29"/>
      <c r="G665" s="29" t="s">
        <v>823</v>
      </c>
      <c r="H665" s="29" t="s">
        <v>315</v>
      </c>
      <c r="I665" s="120">
        <v>45686</v>
      </c>
      <c r="J665" s="120">
        <f>WORKDAY(I665, 3)</f>
        <v>45691</v>
      </c>
      <c r="K665" s="120"/>
      <c r="L665" s="120"/>
      <c r="M665" s="120"/>
      <c r="N665" s="120"/>
      <c r="O665" s="119" t="s">
        <v>929</v>
      </c>
      <c r="P665" s="120"/>
      <c r="Q665" s="135"/>
      <c r="R665" s="29" t="s">
        <v>356</v>
      </c>
      <c r="S665" s="123"/>
    </row>
    <row r="666" spans="1:19" hidden="1">
      <c r="A666" s="29" t="s">
        <v>335</v>
      </c>
      <c r="B666" s="29"/>
      <c r="C666" s="29">
        <v>30508192</v>
      </c>
      <c r="D666" s="29"/>
      <c r="F666" s="29"/>
      <c r="G666" s="29" t="s">
        <v>823</v>
      </c>
      <c r="H666" s="29" t="s">
        <v>315</v>
      </c>
      <c r="I666" s="120">
        <v>45686</v>
      </c>
      <c r="J666" s="120">
        <f>WORKDAY(I666, 3)</f>
        <v>45691</v>
      </c>
      <c r="K666" s="120"/>
      <c r="L666" s="120"/>
      <c r="M666" s="120"/>
      <c r="N666" s="120"/>
      <c r="O666" s="119" t="s">
        <v>929</v>
      </c>
      <c r="P666" s="120"/>
      <c r="Q666" s="135"/>
      <c r="R666" s="29" t="s">
        <v>356</v>
      </c>
      <c r="S666" s="123"/>
    </row>
    <row r="667" spans="1:19" hidden="1">
      <c r="A667" s="29" t="s">
        <v>312</v>
      </c>
      <c r="B667" s="29"/>
      <c r="C667" s="29">
        <v>30503694</v>
      </c>
      <c r="D667" s="29"/>
      <c r="F667" s="29"/>
      <c r="G667" s="29" t="s">
        <v>823</v>
      </c>
      <c r="H667" s="29" t="s">
        <v>316</v>
      </c>
      <c r="I667" s="120">
        <v>45686</v>
      </c>
      <c r="J667" s="120">
        <f>WORKDAY(I667, 3)</f>
        <v>45691</v>
      </c>
      <c r="K667" s="120"/>
      <c r="L667" s="120"/>
      <c r="M667" s="120"/>
      <c r="N667" s="120"/>
      <c r="O667" s="119" t="s">
        <v>929</v>
      </c>
      <c r="P667" s="120"/>
      <c r="Q667" s="135"/>
      <c r="R667" s="29" t="s">
        <v>361</v>
      </c>
      <c r="S667" s="123"/>
    </row>
    <row r="668" spans="1:19" hidden="1">
      <c r="A668" s="29" t="s">
        <v>312</v>
      </c>
      <c r="B668" s="29"/>
      <c r="C668" s="29">
        <v>30503155</v>
      </c>
      <c r="D668" s="29"/>
      <c r="F668" s="29"/>
      <c r="G668" s="29" t="s">
        <v>823</v>
      </c>
      <c r="H668" s="29" t="s">
        <v>316</v>
      </c>
      <c r="I668" s="120">
        <v>45686</v>
      </c>
      <c r="J668" s="120">
        <f>WORKDAY(I668, 3)</f>
        <v>45691</v>
      </c>
      <c r="K668" s="120"/>
      <c r="L668" s="120"/>
      <c r="M668" s="120"/>
      <c r="N668" s="120"/>
      <c r="O668" s="119" t="s">
        <v>929</v>
      </c>
      <c r="P668" s="120"/>
      <c r="Q668" s="135"/>
      <c r="R668" s="29" t="s">
        <v>362</v>
      </c>
      <c r="S668" s="123"/>
    </row>
    <row r="669" spans="1:19" hidden="1">
      <c r="A669" s="29" t="s">
        <v>312</v>
      </c>
      <c r="B669" s="29"/>
      <c r="C669" s="29">
        <v>30502388</v>
      </c>
      <c r="D669" s="29"/>
      <c r="F669" s="29"/>
      <c r="G669" s="29" t="s">
        <v>823</v>
      </c>
      <c r="H669" s="29" t="s">
        <v>316</v>
      </c>
      <c r="I669" s="120">
        <v>45686</v>
      </c>
      <c r="J669" s="120">
        <f>WORKDAY(I669, 3)</f>
        <v>45691</v>
      </c>
      <c r="K669" s="120"/>
      <c r="L669" s="120"/>
      <c r="M669" s="120"/>
      <c r="N669" s="120"/>
      <c r="O669" s="119" t="s">
        <v>929</v>
      </c>
      <c r="P669" s="120"/>
      <c r="Q669" s="135"/>
      <c r="R669" s="29" t="s">
        <v>363</v>
      </c>
      <c r="S669" s="123"/>
    </row>
    <row r="670" spans="1:19" hidden="1">
      <c r="A670" s="29" t="s">
        <v>312</v>
      </c>
      <c r="B670" s="29"/>
      <c r="C670" s="29">
        <v>30502328</v>
      </c>
      <c r="D670" s="29"/>
      <c r="F670" s="29"/>
      <c r="G670" s="29" t="s">
        <v>823</v>
      </c>
      <c r="H670" s="29" t="s">
        <v>316</v>
      </c>
      <c r="I670" s="120">
        <v>45686</v>
      </c>
      <c r="J670" s="120">
        <f>WORKDAY(I670, 3)</f>
        <v>45691</v>
      </c>
      <c r="K670" s="120"/>
      <c r="L670" s="120"/>
      <c r="M670" s="120"/>
      <c r="N670" s="120"/>
      <c r="O670" s="119" t="s">
        <v>929</v>
      </c>
      <c r="P670" s="120"/>
      <c r="Q670" s="135"/>
      <c r="R670" s="29" t="s">
        <v>364</v>
      </c>
      <c r="S670" s="123"/>
    </row>
    <row r="671" spans="1:19" hidden="1">
      <c r="A671" s="29" t="s">
        <v>312</v>
      </c>
      <c r="B671" s="29"/>
      <c r="C671" s="29">
        <v>30502052</v>
      </c>
      <c r="D671" s="29"/>
      <c r="F671" s="29"/>
      <c r="G671" s="29" t="s">
        <v>823</v>
      </c>
      <c r="H671" s="29" t="s">
        <v>316</v>
      </c>
      <c r="I671" s="120">
        <v>45686</v>
      </c>
      <c r="J671" s="120">
        <f>WORKDAY(I671, 3)</f>
        <v>45691</v>
      </c>
      <c r="K671" s="120"/>
      <c r="L671" s="120"/>
      <c r="M671" s="120"/>
      <c r="N671" s="120"/>
      <c r="O671" s="119" t="s">
        <v>929</v>
      </c>
      <c r="P671" s="120"/>
      <c r="Q671" s="135"/>
      <c r="R671" s="29" t="s">
        <v>365</v>
      </c>
      <c r="S671" s="123"/>
    </row>
    <row r="672" spans="1:19" hidden="1">
      <c r="A672" s="147" t="s">
        <v>335</v>
      </c>
      <c r="B672" s="147"/>
      <c r="C672" s="29">
        <v>31500021</v>
      </c>
      <c r="D672" s="29"/>
      <c r="F672" s="29"/>
      <c r="G672" s="29" t="s">
        <v>823</v>
      </c>
      <c r="H672" s="29" t="s">
        <v>315</v>
      </c>
      <c r="I672" s="120">
        <v>45688</v>
      </c>
      <c r="J672" s="120">
        <f>WORKDAY(I672, 3)</f>
        <v>45693</v>
      </c>
      <c r="K672" s="120"/>
      <c r="L672" s="120"/>
      <c r="M672" s="120"/>
      <c r="N672" s="120">
        <v>45703</v>
      </c>
      <c r="O672" s="119" t="s">
        <v>10</v>
      </c>
      <c r="P672" s="152"/>
      <c r="Q672" s="153"/>
      <c r="R672" s="29"/>
      <c r="S672" s="123"/>
    </row>
    <row r="673" spans="1:19" hidden="1">
      <c r="A673" s="147" t="s">
        <v>335</v>
      </c>
      <c r="B673" s="147"/>
      <c r="C673" s="29">
        <v>31500022</v>
      </c>
      <c r="D673" s="29"/>
      <c r="F673" s="29"/>
      <c r="G673" s="29" t="s">
        <v>823</v>
      </c>
      <c r="H673" s="29" t="s">
        <v>315</v>
      </c>
      <c r="I673" s="120">
        <v>45688</v>
      </c>
      <c r="J673" s="120">
        <f>WORKDAY(I673, 3)</f>
        <v>45693</v>
      </c>
      <c r="K673" s="120"/>
      <c r="L673" s="120"/>
      <c r="M673" s="120"/>
      <c r="N673" s="120">
        <v>45692</v>
      </c>
      <c r="O673" s="119" t="s">
        <v>10</v>
      </c>
      <c r="P673" s="152"/>
      <c r="Q673" s="153"/>
      <c r="R673" s="29"/>
      <c r="S673" s="123"/>
    </row>
    <row r="674" spans="1:19" hidden="1">
      <c r="A674" s="147" t="s">
        <v>335</v>
      </c>
      <c r="B674" s="147"/>
      <c r="C674" s="29">
        <v>31500023</v>
      </c>
      <c r="D674" s="29"/>
      <c r="F674" s="29"/>
      <c r="G674" s="29" t="s">
        <v>823</v>
      </c>
      <c r="H674" s="29" t="s">
        <v>315</v>
      </c>
      <c r="I674" s="120">
        <v>45688</v>
      </c>
      <c r="J674" s="120">
        <f>WORKDAY(I674, 3)</f>
        <v>45693</v>
      </c>
      <c r="K674" s="120"/>
      <c r="L674" s="120"/>
      <c r="M674" s="120"/>
      <c r="N674" s="120">
        <v>45692</v>
      </c>
      <c r="O674" s="119" t="s">
        <v>10</v>
      </c>
      <c r="P674" s="152"/>
      <c r="Q674" s="153"/>
      <c r="R674" s="29"/>
      <c r="S674" s="123"/>
    </row>
    <row r="675" spans="1:19" hidden="1">
      <c r="A675" s="147" t="s">
        <v>335</v>
      </c>
      <c r="B675" s="147"/>
      <c r="C675" s="29">
        <v>31500025</v>
      </c>
      <c r="D675" s="29"/>
      <c r="F675" s="29"/>
      <c r="G675" s="29" t="s">
        <v>823</v>
      </c>
      <c r="H675" s="29" t="s">
        <v>315</v>
      </c>
      <c r="I675" s="120">
        <v>45688</v>
      </c>
      <c r="J675" s="120">
        <f>WORKDAY(I675, 3)</f>
        <v>45693</v>
      </c>
      <c r="K675" s="120"/>
      <c r="L675" s="120"/>
      <c r="M675" s="120"/>
      <c r="N675" s="120">
        <v>45696</v>
      </c>
      <c r="O675" s="119" t="s">
        <v>10</v>
      </c>
      <c r="P675" s="152"/>
      <c r="Q675" s="153"/>
      <c r="R675" s="29"/>
      <c r="S675" s="123"/>
    </row>
    <row r="676" spans="1:19" hidden="1">
      <c r="A676" s="147" t="s">
        <v>335</v>
      </c>
      <c r="B676" s="147"/>
      <c r="C676" s="29">
        <v>31500028</v>
      </c>
      <c r="D676" s="29"/>
      <c r="F676" s="29"/>
      <c r="G676" s="29" t="s">
        <v>823</v>
      </c>
      <c r="H676" s="29" t="s">
        <v>315</v>
      </c>
      <c r="I676" s="120">
        <v>45688</v>
      </c>
      <c r="J676" s="120">
        <f>WORKDAY(I676, 3)</f>
        <v>45693</v>
      </c>
      <c r="K676" s="120"/>
      <c r="L676" s="120"/>
      <c r="M676" s="120"/>
      <c r="N676" s="120">
        <v>45696</v>
      </c>
      <c r="O676" s="119" t="s">
        <v>10</v>
      </c>
      <c r="P676" s="152"/>
      <c r="Q676" s="153"/>
      <c r="R676" s="29"/>
      <c r="S676" s="123"/>
    </row>
    <row r="677" spans="1:19" hidden="1">
      <c r="A677" s="147" t="s">
        <v>335</v>
      </c>
      <c r="B677" s="147"/>
      <c r="C677" s="29">
        <v>31500031</v>
      </c>
      <c r="D677" s="29"/>
      <c r="F677" s="29"/>
      <c r="G677" s="29" t="s">
        <v>823</v>
      </c>
      <c r="H677" s="29" t="s">
        <v>315</v>
      </c>
      <c r="I677" s="120">
        <v>45688</v>
      </c>
      <c r="J677" s="120">
        <f>WORKDAY(I677, 3)</f>
        <v>45693</v>
      </c>
      <c r="K677" s="120"/>
      <c r="L677" s="120"/>
      <c r="M677" s="120"/>
      <c r="N677" s="120">
        <v>45696</v>
      </c>
      <c r="O677" s="119" t="s">
        <v>10</v>
      </c>
      <c r="P677" s="152"/>
      <c r="Q677" s="153"/>
      <c r="R677" s="29"/>
      <c r="S677" s="123"/>
    </row>
    <row r="678" spans="1:19" hidden="1">
      <c r="A678" s="147" t="s">
        <v>335</v>
      </c>
      <c r="B678" s="147"/>
      <c r="C678" s="29">
        <v>31500033</v>
      </c>
      <c r="D678" s="29"/>
      <c r="F678" s="29"/>
      <c r="G678" s="29" t="s">
        <v>823</v>
      </c>
      <c r="H678" s="29" t="s">
        <v>315</v>
      </c>
      <c r="I678" s="120">
        <v>45688</v>
      </c>
      <c r="J678" s="120">
        <f>WORKDAY(I678, 3)</f>
        <v>45693</v>
      </c>
      <c r="K678" s="120"/>
      <c r="L678" s="120"/>
      <c r="M678" s="120"/>
      <c r="N678" s="120">
        <v>45696</v>
      </c>
      <c r="O678" s="119" t="s">
        <v>10</v>
      </c>
      <c r="P678" s="152"/>
      <c r="Q678" s="153"/>
      <c r="R678" s="29"/>
      <c r="S678" s="123"/>
    </row>
    <row r="679" spans="1:19" hidden="1">
      <c r="A679" s="147" t="s">
        <v>335</v>
      </c>
      <c r="B679" s="147"/>
      <c r="C679" s="29">
        <v>31500035</v>
      </c>
      <c r="D679" s="29"/>
      <c r="F679" s="29"/>
      <c r="G679" s="29" t="s">
        <v>823</v>
      </c>
      <c r="H679" s="29" t="s">
        <v>315</v>
      </c>
      <c r="I679" s="120">
        <v>45688</v>
      </c>
      <c r="J679" s="120">
        <f>WORKDAY(I679, 3)</f>
        <v>45693</v>
      </c>
      <c r="K679" s="120"/>
      <c r="L679" s="120"/>
      <c r="M679" s="120"/>
      <c r="N679" s="120">
        <v>45698</v>
      </c>
      <c r="O679" s="119" t="s">
        <v>10</v>
      </c>
      <c r="P679" s="152"/>
      <c r="Q679" s="153"/>
      <c r="R679" s="29"/>
      <c r="S679" s="123"/>
    </row>
    <row r="680" spans="1:19" hidden="1">
      <c r="A680" s="147" t="s">
        <v>335</v>
      </c>
      <c r="B680" s="147"/>
      <c r="C680" s="29">
        <v>31500036</v>
      </c>
      <c r="D680" s="29"/>
      <c r="F680" s="29"/>
      <c r="G680" s="29" t="s">
        <v>823</v>
      </c>
      <c r="H680" s="29" t="s">
        <v>315</v>
      </c>
      <c r="I680" s="120">
        <v>45688</v>
      </c>
      <c r="J680" s="120">
        <f>WORKDAY(I680, 3)</f>
        <v>45693</v>
      </c>
      <c r="K680" s="120"/>
      <c r="L680" s="120"/>
      <c r="M680" s="120"/>
      <c r="N680" s="120">
        <v>45699</v>
      </c>
      <c r="O680" s="119" t="s">
        <v>10</v>
      </c>
      <c r="P680" s="152"/>
      <c r="Q680" s="153"/>
      <c r="R680" s="29"/>
      <c r="S680" s="123"/>
    </row>
    <row r="681" spans="1:19" hidden="1">
      <c r="A681" s="147" t="s">
        <v>335</v>
      </c>
      <c r="B681" s="147"/>
      <c r="C681" s="29">
        <v>31500037</v>
      </c>
      <c r="D681" s="29"/>
      <c r="F681" s="29"/>
      <c r="G681" s="29" t="s">
        <v>823</v>
      </c>
      <c r="H681" s="29" t="s">
        <v>315</v>
      </c>
      <c r="I681" s="120">
        <v>45688</v>
      </c>
      <c r="J681" s="120">
        <f>WORKDAY(I681, 3)</f>
        <v>45693</v>
      </c>
      <c r="K681" s="120"/>
      <c r="L681" s="120"/>
      <c r="M681" s="120"/>
      <c r="N681" s="120">
        <v>45703</v>
      </c>
      <c r="O681" s="119" t="s">
        <v>10</v>
      </c>
      <c r="P681" s="152"/>
      <c r="Q681" s="153"/>
      <c r="R681" s="29"/>
      <c r="S681" s="123"/>
    </row>
    <row r="682" spans="1:19" hidden="1">
      <c r="A682" s="147" t="s">
        <v>335</v>
      </c>
      <c r="B682" s="147"/>
      <c r="C682" s="29">
        <v>31500038</v>
      </c>
      <c r="D682" s="29"/>
      <c r="F682" s="29"/>
      <c r="G682" s="29" t="s">
        <v>823</v>
      </c>
      <c r="H682" s="29" t="s">
        <v>315</v>
      </c>
      <c r="I682" s="120">
        <v>45688</v>
      </c>
      <c r="J682" s="120">
        <f>WORKDAY(I682, 3)</f>
        <v>45693</v>
      </c>
      <c r="K682" s="120"/>
      <c r="L682" s="120"/>
      <c r="M682" s="120"/>
      <c r="N682" s="120">
        <v>45703</v>
      </c>
      <c r="O682" s="119" t="s">
        <v>10</v>
      </c>
      <c r="P682" s="152"/>
      <c r="Q682" s="153"/>
      <c r="R682" s="29"/>
      <c r="S682" s="123"/>
    </row>
    <row r="683" spans="1:19" hidden="1">
      <c r="A683" s="147" t="s">
        <v>335</v>
      </c>
      <c r="B683" s="147"/>
      <c r="C683" s="29">
        <v>31500039</v>
      </c>
      <c r="D683" s="29"/>
      <c r="F683" s="29"/>
      <c r="G683" s="29" t="s">
        <v>823</v>
      </c>
      <c r="H683" s="29" t="s">
        <v>315</v>
      </c>
      <c r="I683" s="120">
        <v>45688</v>
      </c>
      <c r="J683" s="120">
        <f>WORKDAY(I683, 3)</f>
        <v>45693</v>
      </c>
      <c r="K683" s="120"/>
      <c r="L683" s="120"/>
      <c r="M683" s="120"/>
      <c r="N683" s="120">
        <v>45698</v>
      </c>
      <c r="O683" s="119" t="s">
        <v>10</v>
      </c>
      <c r="P683" s="152"/>
      <c r="Q683" s="153"/>
      <c r="R683" s="29"/>
      <c r="S683" s="123"/>
    </row>
    <row r="684" spans="1:19" hidden="1">
      <c r="A684" s="147" t="s">
        <v>335</v>
      </c>
      <c r="B684" s="147"/>
      <c r="C684" s="29">
        <v>31500040</v>
      </c>
      <c r="D684" s="29"/>
      <c r="F684" s="29"/>
      <c r="G684" s="29" t="s">
        <v>823</v>
      </c>
      <c r="H684" s="29" t="s">
        <v>315</v>
      </c>
      <c r="I684" s="120">
        <v>45688</v>
      </c>
      <c r="J684" s="120">
        <f>WORKDAY(I684, 3)</f>
        <v>45693</v>
      </c>
      <c r="K684" s="120"/>
      <c r="L684" s="120"/>
      <c r="M684" s="120"/>
      <c r="N684" s="120">
        <v>45698</v>
      </c>
      <c r="O684" s="119" t="s">
        <v>10</v>
      </c>
      <c r="P684" s="152"/>
      <c r="Q684" s="153"/>
      <c r="R684" s="29"/>
      <c r="S684" s="123"/>
    </row>
    <row r="685" spans="1:19" hidden="1">
      <c r="A685" s="147" t="s">
        <v>335</v>
      </c>
      <c r="B685" s="147"/>
      <c r="C685" s="29">
        <v>31500041</v>
      </c>
      <c r="D685" s="29"/>
      <c r="F685" s="29"/>
      <c r="G685" s="29" t="s">
        <v>823</v>
      </c>
      <c r="H685" s="29" t="s">
        <v>315</v>
      </c>
      <c r="I685" s="120">
        <v>45688</v>
      </c>
      <c r="J685" s="120">
        <f>WORKDAY(I685, 3)</f>
        <v>45693</v>
      </c>
      <c r="K685" s="120"/>
      <c r="L685" s="120"/>
      <c r="M685" s="120"/>
      <c r="N685" s="120">
        <v>45703</v>
      </c>
      <c r="O685" s="119" t="s">
        <v>10</v>
      </c>
      <c r="P685" s="152"/>
      <c r="Q685" s="153"/>
      <c r="R685" s="29"/>
      <c r="S685" s="123"/>
    </row>
    <row r="686" spans="1:19" hidden="1">
      <c r="A686" s="147" t="s">
        <v>335</v>
      </c>
      <c r="B686" s="147"/>
      <c r="C686" s="29">
        <v>31500042</v>
      </c>
      <c r="D686" s="29"/>
      <c r="F686" s="29"/>
      <c r="G686" s="29" t="s">
        <v>823</v>
      </c>
      <c r="H686" s="29" t="s">
        <v>315</v>
      </c>
      <c r="I686" s="120">
        <v>45688</v>
      </c>
      <c r="J686" s="120">
        <f>WORKDAY(I686, 3)</f>
        <v>45693</v>
      </c>
      <c r="K686" s="120"/>
      <c r="L686" s="120"/>
      <c r="M686" s="120"/>
      <c r="N686" s="120">
        <v>45703</v>
      </c>
      <c r="O686" s="119" t="s">
        <v>10</v>
      </c>
      <c r="P686" s="152"/>
      <c r="Q686" s="153"/>
      <c r="R686" s="29"/>
      <c r="S686" s="123"/>
    </row>
    <row r="687" spans="1:19" hidden="1">
      <c r="A687" s="147" t="s">
        <v>335</v>
      </c>
      <c r="B687" s="147"/>
      <c r="C687" s="29">
        <v>31500043</v>
      </c>
      <c r="D687" s="29"/>
      <c r="F687" s="29"/>
      <c r="G687" s="29" t="s">
        <v>823</v>
      </c>
      <c r="H687" s="29" t="s">
        <v>315</v>
      </c>
      <c r="I687" s="120">
        <v>45688</v>
      </c>
      <c r="J687" s="120">
        <f>WORKDAY(I687, 3)</f>
        <v>45693</v>
      </c>
      <c r="K687" s="120"/>
      <c r="L687" s="120"/>
      <c r="M687" s="120"/>
      <c r="N687" s="120">
        <v>45703</v>
      </c>
      <c r="O687" s="119" t="s">
        <v>10</v>
      </c>
      <c r="P687" s="152"/>
      <c r="Q687" s="153"/>
      <c r="R687" s="29"/>
      <c r="S687" s="123"/>
    </row>
    <row r="688" spans="1:19" hidden="1">
      <c r="A688" s="147" t="s">
        <v>335</v>
      </c>
      <c r="B688" s="147"/>
      <c r="C688" s="29">
        <v>31500044</v>
      </c>
      <c r="D688" s="29"/>
      <c r="F688" s="29"/>
      <c r="G688" s="29" t="s">
        <v>823</v>
      </c>
      <c r="H688" s="29" t="s">
        <v>315</v>
      </c>
      <c r="I688" s="120">
        <v>45688</v>
      </c>
      <c r="J688" s="120">
        <f>WORKDAY(I688, 3)</f>
        <v>45693</v>
      </c>
      <c r="K688" s="120"/>
      <c r="L688" s="120"/>
      <c r="M688" s="120"/>
      <c r="N688" s="120">
        <v>45699</v>
      </c>
      <c r="O688" s="119" t="s">
        <v>10</v>
      </c>
      <c r="P688" s="152"/>
      <c r="Q688" s="153"/>
      <c r="R688" s="29"/>
      <c r="S688" s="123"/>
    </row>
    <row r="689" spans="1:19" hidden="1">
      <c r="A689" s="147" t="s">
        <v>335</v>
      </c>
      <c r="B689" s="147"/>
      <c r="C689" s="29">
        <v>31500045</v>
      </c>
      <c r="D689" s="29"/>
      <c r="F689" s="29"/>
      <c r="G689" s="29" t="s">
        <v>823</v>
      </c>
      <c r="H689" s="29" t="s">
        <v>315</v>
      </c>
      <c r="I689" s="120">
        <v>45688</v>
      </c>
      <c r="J689" s="120">
        <f>WORKDAY(I689, 3)</f>
        <v>45693</v>
      </c>
      <c r="K689" s="120"/>
      <c r="L689" s="120"/>
      <c r="M689" s="120"/>
      <c r="N689" s="120">
        <v>45699</v>
      </c>
      <c r="O689" s="119" t="s">
        <v>10</v>
      </c>
      <c r="P689" s="152"/>
      <c r="Q689" s="153"/>
      <c r="R689" s="29"/>
      <c r="S689" s="123"/>
    </row>
    <row r="690" spans="1:19" hidden="1">
      <c r="A690" s="147" t="s">
        <v>335</v>
      </c>
      <c r="B690" s="147"/>
      <c r="C690" s="29">
        <v>31500046</v>
      </c>
      <c r="D690" s="29"/>
      <c r="F690" s="29"/>
      <c r="G690" s="29" t="s">
        <v>823</v>
      </c>
      <c r="H690" s="29" t="s">
        <v>315</v>
      </c>
      <c r="I690" s="120">
        <v>45688</v>
      </c>
      <c r="J690" s="120">
        <f>WORKDAY(I690, 3)</f>
        <v>45693</v>
      </c>
      <c r="K690" s="120"/>
      <c r="L690" s="120"/>
      <c r="M690" s="120"/>
      <c r="N690" s="120">
        <v>45698</v>
      </c>
      <c r="O690" s="119" t="s">
        <v>10</v>
      </c>
      <c r="P690" s="152"/>
      <c r="Q690" s="153"/>
      <c r="R690" s="29"/>
      <c r="S690" s="123"/>
    </row>
    <row r="691" spans="1:19" hidden="1">
      <c r="A691" s="147" t="s">
        <v>335</v>
      </c>
      <c r="B691" s="147"/>
      <c r="C691" s="29">
        <v>31500047</v>
      </c>
      <c r="D691" s="29"/>
      <c r="F691" s="29"/>
      <c r="G691" s="29" t="s">
        <v>823</v>
      </c>
      <c r="H691" s="29" t="s">
        <v>315</v>
      </c>
      <c r="I691" s="120">
        <v>45688</v>
      </c>
      <c r="J691" s="120">
        <f>WORKDAY(I691, 3)</f>
        <v>45693</v>
      </c>
      <c r="K691" s="120"/>
      <c r="L691" s="120"/>
      <c r="M691" s="120"/>
      <c r="N691" s="120">
        <v>45699</v>
      </c>
      <c r="O691" s="119" t="s">
        <v>10</v>
      </c>
      <c r="P691" s="152"/>
      <c r="Q691" s="153"/>
      <c r="R691" s="29"/>
      <c r="S691" s="123"/>
    </row>
    <row r="692" spans="1:19" hidden="1">
      <c r="A692" s="147" t="s">
        <v>335</v>
      </c>
      <c r="B692" s="147"/>
      <c r="C692" s="29">
        <v>31500048</v>
      </c>
      <c r="D692" s="29"/>
      <c r="F692" s="29"/>
      <c r="G692" s="29" t="s">
        <v>823</v>
      </c>
      <c r="H692" s="29" t="s">
        <v>315</v>
      </c>
      <c r="I692" s="120">
        <v>45688</v>
      </c>
      <c r="J692" s="120">
        <f>WORKDAY(I692, 3)</f>
        <v>45693</v>
      </c>
      <c r="K692" s="120"/>
      <c r="L692" s="120"/>
      <c r="M692" s="120"/>
      <c r="N692" s="120">
        <v>45694</v>
      </c>
      <c r="O692" s="119" t="s">
        <v>10</v>
      </c>
      <c r="P692" s="152"/>
      <c r="Q692" s="153"/>
      <c r="R692" s="29"/>
      <c r="S692" s="123"/>
    </row>
    <row r="693" spans="1:19" hidden="1">
      <c r="A693" s="147" t="s">
        <v>335</v>
      </c>
      <c r="B693" s="147"/>
      <c r="C693" s="29">
        <v>31500049</v>
      </c>
      <c r="D693" s="29"/>
      <c r="F693" s="29"/>
      <c r="G693" s="29" t="s">
        <v>823</v>
      </c>
      <c r="H693" s="29" t="s">
        <v>315</v>
      </c>
      <c r="I693" s="120">
        <v>45688</v>
      </c>
      <c r="J693" s="120">
        <f>WORKDAY(I693, 3)</f>
        <v>45693</v>
      </c>
      <c r="K693" s="120"/>
      <c r="L693" s="120"/>
      <c r="M693" s="120"/>
      <c r="N693" s="120">
        <v>45698</v>
      </c>
      <c r="O693" s="119" t="s">
        <v>10</v>
      </c>
      <c r="P693" s="152"/>
      <c r="Q693" s="153"/>
      <c r="R693" s="29"/>
      <c r="S693" s="123"/>
    </row>
    <row r="694" spans="1:19" hidden="1">
      <c r="A694" s="147" t="s">
        <v>335</v>
      </c>
      <c r="B694" s="147"/>
      <c r="C694" s="29">
        <v>31500051</v>
      </c>
      <c r="D694" s="29"/>
      <c r="F694" s="29"/>
      <c r="G694" s="29" t="s">
        <v>823</v>
      </c>
      <c r="H694" s="29" t="s">
        <v>315</v>
      </c>
      <c r="I694" s="120">
        <v>45688</v>
      </c>
      <c r="J694" s="120">
        <f>WORKDAY(I694, 3)</f>
        <v>45693</v>
      </c>
      <c r="K694" s="120"/>
      <c r="L694" s="120"/>
      <c r="M694" s="120"/>
      <c r="N694" s="120">
        <v>45694</v>
      </c>
      <c r="O694" s="119" t="s">
        <v>10</v>
      </c>
      <c r="P694" s="152"/>
      <c r="Q694" s="153"/>
      <c r="R694" s="29"/>
      <c r="S694" s="123"/>
    </row>
    <row r="695" spans="1:19" hidden="1">
      <c r="A695" s="147" t="s">
        <v>335</v>
      </c>
      <c r="B695" s="147"/>
      <c r="C695" s="29">
        <v>31500052</v>
      </c>
      <c r="D695" s="29"/>
      <c r="F695" s="29"/>
      <c r="G695" s="29" t="s">
        <v>823</v>
      </c>
      <c r="H695" s="29" t="s">
        <v>315</v>
      </c>
      <c r="I695" s="120">
        <v>45688</v>
      </c>
      <c r="J695" s="120">
        <f>WORKDAY(I695, 3)</f>
        <v>45693</v>
      </c>
      <c r="K695" s="120"/>
      <c r="L695" s="120"/>
      <c r="M695" s="120"/>
      <c r="N695" s="120">
        <v>45694</v>
      </c>
      <c r="O695" s="119" t="s">
        <v>10</v>
      </c>
      <c r="P695" s="152"/>
      <c r="Q695" s="153"/>
      <c r="R695" s="29"/>
      <c r="S695" s="123"/>
    </row>
    <row r="696" spans="1:19" hidden="1">
      <c r="A696" s="147" t="s">
        <v>335</v>
      </c>
      <c r="B696" s="147"/>
      <c r="C696" s="29">
        <v>31500053</v>
      </c>
      <c r="D696" s="29"/>
      <c r="F696" s="29"/>
      <c r="G696" s="29" t="s">
        <v>823</v>
      </c>
      <c r="H696" s="29" t="s">
        <v>315</v>
      </c>
      <c r="I696" s="120">
        <v>45688</v>
      </c>
      <c r="J696" s="120">
        <f>WORKDAY(I696, 3)</f>
        <v>45693</v>
      </c>
      <c r="K696" s="120"/>
      <c r="L696" s="120"/>
      <c r="M696" s="120"/>
      <c r="N696" s="120">
        <v>45694</v>
      </c>
      <c r="O696" s="119" t="s">
        <v>10</v>
      </c>
      <c r="P696" s="152"/>
      <c r="Q696" s="153"/>
      <c r="R696" s="29"/>
      <c r="S696" s="123"/>
    </row>
    <row r="697" spans="1:19" hidden="1">
      <c r="A697" s="147" t="s">
        <v>335</v>
      </c>
      <c r="B697" s="147"/>
      <c r="C697" s="29">
        <v>31500054</v>
      </c>
      <c r="D697" s="29"/>
      <c r="F697" s="29"/>
      <c r="G697" s="29" t="s">
        <v>823</v>
      </c>
      <c r="H697" s="29" t="s">
        <v>315</v>
      </c>
      <c r="I697" s="120">
        <v>45688</v>
      </c>
      <c r="J697" s="120">
        <f>WORKDAY(I697, 3)</f>
        <v>45693</v>
      </c>
      <c r="K697" s="120"/>
      <c r="L697" s="120"/>
      <c r="M697" s="120"/>
      <c r="N697" s="120">
        <v>45699</v>
      </c>
      <c r="O697" s="119" t="s">
        <v>10</v>
      </c>
      <c r="P697" s="152"/>
      <c r="Q697" s="153"/>
      <c r="R697" s="29"/>
      <c r="S697" s="123"/>
    </row>
    <row r="698" spans="1:19" hidden="1">
      <c r="A698" s="147" t="s">
        <v>335</v>
      </c>
      <c r="B698" s="147"/>
      <c r="C698" s="29">
        <v>31500055</v>
      </c>
      <c r="D698" s="29"/>
      <c r="F698" s="29"/>
      <c r="G698" s="29" t="s">
        <v>823</v>
      </c>
      <c r="H698" s="29" t="s">
        <v>315</v>
      </c>
      <c r="I698" s="120">
        <v>45688</v>
      </c>
      <c r="J698" s="120">
        <f>WORKDAY(I698, 3)</f>
        <v>45693</v>
      </c>
      <c r="K698" s="120"/>
      <c r="L698" s="120"/>
      <c r="M698" s="120"/>
      <c r="N698" s="120">
        <v>45699</v>
      </c>
      <c r="O698" s="119" t="s">
        <v>10</v>
      </c>
      <c r="P698" s="152"/>
      <c r="Q698" s="153"/>
      <c r="R698" s="29"/>
      <c r="S698" s="123"/>
    </row>
    <row r="699" spans="1:19" hidden="1">
      <c r="A699" s="29" t="s">
        <v>335</v>
      </c>
      <c r="B699" s="29"/>
      <c r="C699" s="29">
        <v>31500054</v>
      </c>
      <c r="D699" s="29"/>
      <c r="F699" s="29"/>
      <c r="G699" s="29" t="s">
        <v>823</v>
      </c>
      <c r="H699" s="29" t="s">
        <v>315</v>
      </c>
      <c r="I699" s="120">
        <v>45688</v>
      </c>
      <c r="J699" s="120">
        <f>WORKDAY(I699, 3)</f>
        <v>45693</v>
      </c>
      <c r="K699" s="120"/>
      <c r="L699" s="120"/>
      <c r="M699" s="120"/>
      <c r="N699" s="120">
        <v>45699</v>
      </c>
      <c r="O699" s="119" t="s">
        <v>10</v>
      </c>
      <c r="P699" s="152"/>
      <c r="Q699" s="153"/>
      <c r="R699" s="29" t="s">
        <v>338</v>
      </c>
      <c r="S699" s="123"/>
    </row>
    <row r="700" spans="1:19" hidden="1">
      <c r="A700" s="29" t="s">
        <v>335</v>
      </c>
      <c r="B700" s="29"/>
      <c r="C700" s="29">
        <v>31500053</v>
      </c>
      <c r="D700" s="29"/>
      <c r="F700" s="29"/>
      <c r="G700" s="29" t="s">
        <v>823</v>
      </c>
      <c r="H700" s="29" t="s">
        <v>315</v>
      </c>
      <c r="I700" s="120">
        <v>45688</v>
      </c>
      <c r="J700" s="120">
        <f>WORKDAY(I700, 3)</f>
        <v>45693</v>
      </c>
      <c r="K700" s="120"/>
      <c r="L700" s="120"/>
      <c r="M700" s="120"/>
      <c r="N700" s="120">
        <v>45694</v>
      </c>
      <c r="O700" s="119" t="s">
        <v>10</v>
      </c>
      <c r="P700" s="152"/>
      <c r="Q700" s="153"/>
      <c r="R700" s="29" t="s">
        <v>337</v>
      </c>
      <c r="S700" s="123"/>
    </row>
    <row r="701" spans="1:19" hidden="1">
      <c r="A701" s="29" t="s">
        <v>335</v>
      </c>
      <c r="B701" s="29"/>
      <c r="C701" s="29">
        <v>31500052</v>
      </c>
      <c r="D701" s="29"/>
      <c r="F701" s="29"/>
      <c r="G701" s="29" t="s">
        <v>823</v>
      </c>
      <c r="H701" s="29" t="s">
        <v>315</v>
      </c>
      <c r="I701" s="120">
        <v>45688</v>
      </c>
      <c r="J701" s="120">
        <f>WORKDAY(I701, 3)</f>
        <v>45693</v>
      </c>
      <c r="K701" s="120"/>
      <c r="L701" s="120"/>
      <c r="M701" s="120"/>
      <c r="N701" s="120">
        <v>45694</v>
      </c>
      <c r="O701" s="119" t="s">
        <v>10</v>
      </c>
      <c r="P701" s="152"/>
      <c r="Q701" s="153"/>
      <c r="R701" s="29" t="s">
        <v>338</v>
      </c>
      <c r="S701" s="123"/>
    </row>
    <row r="702" spans="1:19" hidden="1">
      <c r="A702" s="29" t="s">
        <v>335</v>
      </c>
      <c r="B702" s="29"/>
      <c r="C702" s="29">
        <v>31500051</v>
      </c>
      <c r="D702" s="29"/>
      <c r="F702" s="29"/>
      <c r="G702" s="29" t="s">
        <v>823</v>
      </c>
      <c r="H702" s="29" t="s">
        <v>315</v>
      </c>
      <c r="I702" s="120">
        <v>45688</v>
      </c>
      <c r="J702" s="120">
        <f>WORKDAY(I702, 3)</f>
        <v>45693</v>
      </c>
      <c r="K702" s="120"/>
      <c r="L702" s="120"/>
      <c r="M702" s="120"/>
      <c r="N702" s="120">
        <v>45694</v>
      </c>
      <c r="O702" s="119" t="s">
        <v>10</v>
      </c>
      <c r="P702" s="152"/>
      <c r="Q702" s="153"/>
      <c r="R702" s="29" t="s">
        <v>339</v>
      </c>
      <c r="S702" s="123"/>
    </row>
    <row r="703" spans="1:19" hidden="1">
      <c r="A703" s="29" t="s">
        <v>335</v>
      </c>
      <c r="B703" s="29"/>
      <c r="C703" s="29">
        <v>31500049</v>
      </c>
      <c r="D703" s="29"/>
      <c r="F703" s="29"/>
      <c r="G703" s="29" t="s">
        <v>823</v>
      </c>
      <c r="H703" s="29" t="s">
        <v>315</v>
      </c>
      <c r="I703" s="120">
        <v>45688</v>
      </c>
      <c r="J703" s="120">
        <f>WORKDAY(I703, 3)</f>
        <v>45693</v>
      </c>
      <c r="K703" s="120"/>
      <c r="L703" s="120"/>
      <c r="M703" s="120"/>
      <c r="N703" s="120">
        <v>45698</v>
      </c>
      <c r="O703" s="119" t="s">
        <v>10</v>
      </c>
      <c r="P703" s="152"/>
      <c r="Q703" s="153"/>
      <c r="R703" s="29" t="s">
        <v>340</v>
      </c>
      <c r="S703" s="123"/>
    </row>
    <row r="704" spans="1:19" hidden="1">
      <c r="A704" s="29" t="s">
        <v>335</v>
      </c>
      <c r="B704" s="29"/>
      <c r="C704" s="29">
        <v>31500048</v>
      </c>
      <c r="D704" s="29"/>
      <c r="F704" s="29"/>
      <c r="G704" s="29" t="s">
        <v>823</v>
      </c>
      <c r="H704" s="29" t="s">
        <v>315</v>
      </c>
      <c r="I704" s="120">
        <v>45688</v>
      </c>
      <c r="J704" s="120">
        <f>WORKDAY(I704, 3)</f>
        <v>45693</v>
      </c>
      <c r="K704" s="120"/>
      <c r="L704" s="120"/>
      <c r="M704" s="120"/>
      <c r="N704" s="120">
        <v>45694</v>
      </c>
      <c r="O704" s="119" t="s">
        <v>10</v>
      </c>
      <c r="P704" s="152"/>
      <c r="Q704" s="153"/>
      <c r="R704" s="29" t="s">
        <v>341</v>
      </c>
      <c r="S704" s="123"/>
    </row>
    <row r="705" spans="1:19" hidden="1">
      <c r="A705" s="29" t="s">
        <v>335</v>
      </c>
      <c r="B705" s="29"/>
      <c r="C705" s="29">
        <v>31500047</v>
      </c>
      <c r="D705" s="29"/>
      <c r="F705" s="29"/>
      <c r="G705" s="29" t="s">
        <v>823</v>
      </c>
      <c r="H705" s="29" t="s">
        <v>315</v>
      </c>
      <c r="I705" s="120">
        <v>45688</v>
      </c>
      <c r="J705" s="120">
        <f>WORKDAY(I705, 3)</f>
        <v>45693</v>
      </c>
      <c r="K705" s="120"/>
      <c r="L705" s="120"/>
      <c r="M705" s="120"/>
      <c r="N705" s="120">
        <v>45699</v>
      </c>
      <c r="O705" s="119" t="s">
        <v>10</v>
      </c>
      <c r="P705" s="152"/>
      <c r="Q705" s="153"/>
      <c r="R705" s="29" t="s">
        <v>341</v>
      </c>
      <c r="S705" s="123"/>
    </row>
    <row r="706" spans="1:19" hidden="1">
      <c r="A706" s="29" t="s">
        <v>335</v>
      </c>
      <c r="B706" s="29"/>
      <c r="C706" s="29">
        <v>31500046</v>
      </c>
      <c r="D706" s="29"/>
      <c r="F706" s="29"/>
      <c r="G706" s="29" t="s">
        <v>823</v>
      </c>
      <c r="H706" s="29" t="s">
        <v>315</v>
      </c>
      <c r="I706" s="120">
        <v>45688</v>
      </c>
      <c r="J706" s="120">
        <f>WORKDAY(I706, 3)</f>
        <v>45693</v>
      </c>
      <c r="K706" s="120"/>
      <c r="L706" s="120"/>
      <c r="M706" s="120"/>
      <c r="N706" s="120">
        <v>45698</v>
      </c>
      <c r="O706" s="119" t="s">
        <v>10</v>
      </c>
      <c r="P706" s="152"/>
      <c r="Q706" s="153"/>
      <c r="R706" s="29" t="s">
        <v>342</v>
      </c>
      <c r="S706" s="123"/>
    </row>
    <row r="707" spans="1:19" hidden="1">
      <c r="A707" s="29" t="s">
        <v>335</v>
      </c>
      <c r="B707" s="29"/>
      <c r="C707" s="29">
        <v>31500045</v>
      </c>
      <c r="D707" s="29"/>
      <c r="F707" s="29"/>
      <c r="G707" s="29" t="s">
        <v>823</v>
      </c>
      <c r="H707" s="29" t="s">
        <v>315</v>
      </c>
      <c r="I707" s="120">
        <v>45688</v>
      </c>
      <c r="J707" s="120">
        <f>WORKDAY(I707, 3)</f>
        <v>45693</v>
      </c>
      <c r="K707" s="120"/>
      <c r="L707" s="120"/>
      <c r="M707" s="120"/>
      <c r="N707" s="120">
        <v>45698</v>
      </c>
      <c r="O707" s="119" t="s">
        <v>10</v>
      </c>
      <c r="P707" s="152"/>
      <c r="Q707" s="153"/>
      <c r="R707" s="29" t="s">
        <v>343</v>
      </c>
      <c r="S707" s="123"/>
    </row>
    <row r="708" spans="1:19" hidden="1">
      <c r="A708" s="29" t="s">
        <v>335</v>
      </c>
      <c r="B708" s="29"/>
      <c r="C708" s="29">
        <v>31500044</v>
      </c>
      <c r="D708" s="29"/>
      <c r="F708" s="29"/>
      <c r="G708" s="29" t="s">
        <v>823</v>
      </c>
      <c r="H708" s="29" t="s">
        <v>315</v>
      </c>
      <c r="I708" s="120">
        <v>45688</v>
      </c>
      <c r="J708" s="120">
        <f>WORKDAY(I708, 3)</f>
        <v>45693</v>
      </c>
      <c r="K708" s="120"/>
      <c r="L708" s="120"/>
      <c r="M708" s="120"/>
      <c r="N708" s="120">
        <v>45699</v>
      </c>
      <c r="O708" s="119" t="s">
        <v>10</v>
      </c>
      <c r="P708" s="152"/>
      <c r="Q708" s="153"/>
      <c r="R708" s="29" t="s">
        <v>344</v>
      </c>
      <c r="S708" s="123"/>
    </row>
    <row r="709" spans="1:19" hidden="1">
      <c r="A709" s="29" t="s">
        <v>335</v>
      </c>
      <c r="B709" s="29"/>
      <c r="C709" s="29">
        <v>31500043</v>
      </c>
      <c r="D709" s="29"/>
      <c r="F709" s="29"/>
      <c r="G709" s="29" t="s">
        <v>823</v>
      </c>
      <c r="H709" s="29" t="s">
        <v>315</v>
      </c>
      <c r="I709" s="120">
        <v>45688</v>
      </c>
      <c r="J709" s="120">
        <f>WORKDAY(I709, 3)</f>
        <v>45693</v>
      </c>
      <c r="K709" s="120"/>
      <c r="L709" s="120"/>
      <c r="M709" s="120"/>
      <c r="N709" s="120">
        <v>45703</v>
      </c>
      <c r="O709" s="119" t="s">
        <v>10</v>
      </c>
      <c r="P709" s="152"/>
      <c r="Q709" s="153"/>
      <c r="R709" s="29" t="s">
        <v>344</v>
      </c>
      <c r="S709" s="123"/>
    </row>
    <row r="710" spans="1:19" hidden="1">
      <c r="A710" s="29" t="s">
        <v>335</v>
      </c>
      <c r="B710" s="29"/>
      <c r="C710" s="29">
        <v>31500042</v>
      </c>
      <c r="D710" s="29"/>
      <c r="F710" s="29"/>
      <c r="G710" s="29" t="s">
        <v>823</v>
      </c>
      <c r="H710" s="29" t="s">
        <v>315</v>
      </c>
      <c r="I710" s="120">
        <v>45688</v>
      </c>
      <c r="J710" s="120">
        <f>WORKDAY(I710, 3)</f>
        <v>45693</v>
      </c>
      <c r="K710" s="120"/>
      <c r="L710" s="120"/>
      <c r="M710" s="120"/>
      <c r="N710" s="120">
        <v>45703</v>
      </c>
      <c r="O710" s="119" t="s">
        <v>10</v>
      </c>
      <c r="P710" s="152"/>
      <c r="Q710" s="153"/>
      <c r="R710" s="29" t="s">
        <v>349</v>
      </c>
      <c r="S710" s="123"/>
    </row>
    <row r="711" spans="1:19" hidden="1">
      <c r="A711" s="29" t="s">
        <v>335</v>
      </c>
      <c r="B711" s="29"/>
      <c r="C711" s="29">
        <v>31500041</v>
      </c>
      <c r="D711" s="29"/>
      <c r="F711" s="29"/>
      <c r="G711" s="29" t="s">
        <v>823</v>
      </c>
      <c r="H711" s="29" t="s">
        <v>315</v>
      </c>
      <c r="I711" s="120">
        <v>45688</v>
      </c>
      <c r="J711" s="120">
        <f>WORKDAY(I711, 3)</f>
        <v>45693</v>
      </c>
      <c r="K711" s="120"/>
      <c r="L711" s="120"/>
      <c r="M711" s="120"/>
      <c r="N711" s="120">
        <v>45703</v>
      </c>
      <c r="O711" s="119" t="s">
        <v>10</v>
      </c>
      <c r="P711" s="152"/>
      <c r="Q711" s="153"/>
      <c r="R711" s="29" t="s">
        <v>344</v>
      </c>
      <c r="S711" s="123"/>
    </row>
    <row r="712" spans="1:19" hidden="1">
      <c r="A712" s="29" t="s">
        <v>335</v>
      </c>
      <c r="B712" s="29"/>
      <c r="C712" s="29">
        <v>31500040</v>
      </c>
      <c r="D712" s="29"/>
      <c r="F712" s="29"/>
      <c r="G712" s="29" t="s">
        <v>823</v>
      </c>
      <c r="H712" s="29" t="s">
        <v>315</v>
      </c>
      <c r="I712" s="120">
        <v>45688</v>
      </c>
      <c r="J712" s="120">
        <f>WORKDAY(I712, 3)</f>
        <v>45693</v>
      </c>
      <c r="K712" s="120"/>
      <c r="L712" s="120"/>
      <c r="M712" s="120"/>
      <c r="N712" s="120">
        <v>45698</v>
      </c>
      <c r="O712" s="119" t="s">
        <v>10</v>
      </c>
      <c r="P712" s="152"/>
      <c r="Q712" s="153"/>
      <c r="R712" s="29" t="s">
        <v>346</v>
      </c>
      <c r="S712" s="123"/>
    </row>
    <row r="713" spans="1:19" hidden="1">
      <c r="A713" s="29" t="s">
        <v>335</v>
      </c>
      <c r="B713" s="29"/>
      <c r="C713" s="29">
        <v>31500039</v>
      </c>
      <c r="D713" s="29"/>
      <c r="F713" s="29"/>
      <c r="G713" s="29" t="s">
        <v>823</v>
      </c>
      <c r="H713" s="29" t="s">
        <v>315</v>
      </c>
      <c r="I713" s="120">
        <v>45688</v>
      </c>
      <c r="J713" s="120">
        <f>WORKDAY(I713, 3)</f>
        <v>45693</v>
      </c>
      <c r="K713" s="120"/>
      <c r="L713" s="120"/>
      <c r="M713" s="120"/>
      <c r="N713" s="120">
        <v>45699</v>
      </c>
      <c r="O713" s="119" t="s">
        <v>10</v>
      </c>
      <c r="P713" s="152"/>
      <c r="Q713" s="153"/>
      <c r="R713" s="29" t="s">
        <v>347</v>
      </c>
      <c r="S713" s="123"/>
    </row>
    <row r="714" spans="1:19" hidden="1">
      <c r="A714" s="29" t="s">
        <v>335</v>
      </c>
      <c r="B714" s="29"/>
      <c r="C714" s="29">
        <v>31500038</v>
      </c>
      <c r="D714" s="29"/>
      <c r="F714" s="29"/>
      <c r="G714" s="29" t="s">
        <v>823</v>
      </c>
      <c r="H714" s="29" t="s">
        <v>315</v>
      </c>
      <c r="I714" s="120">
        <v>45688</v>
      </c>
      <c r="J714" s="120">
        <f>WORKDAY(I714, 3)</f>
        <v>45693</v>
      </c>
      <c r="K714" s="120"/>
      <c r="L714" s="120"/>
      <c r="M714" s="120"/>
      <c r="N714" s="120">
        <v>45699</v>
      </c>
      <c r="O714" s="119" t="s">
        <v>10</v>
      </c>
      <c r="P714" s="152"/>
      <c r="Q714" s="153"/>
      <c r="R714" s="29" t="s">
        <v>348</v>
      </c>
      <c r="S714" s="123"/>
    </row>
    <row r="715" spans="1:19" hidden="1">
      <c r="A715" s="29" t="s">
        <v>335</v>
      </c>
      <c r="B715" s="29"/>
      <c r="C715" s="29">
        <v>31500037</v>
      </c>
      <c r="D715" s="29"/>
      <c r="F715" s="29"/>
      <c r="G715" s="29" t="s">
        <v>823</v>
      </c>
      <c r="H715" s="29" t="s">
        <v>315</v>
      </c>
      <c r="I715" s="120">
        <v>45688</v>
      </c>
      <c r="J715" s="120">
        <f>WORKDAY(I715, 3)</f>
        <v>45693</v>
      </c>
      <c r="K715" s="120"/>
      <c r="L715" s="120"/>
      <c r="M715" s="120"/>
      <c r="N715" s="120">
        <v>45703</v>
      </c>
      <c r="O715" s="119" t="s">
        <v>10</v>
      </c>
      <c r="P715" s="152"/>
      <c r="Q715" s="153"/>
      <c r="R715" s="29" t="s">
        <v>345</v>
      </c>
      <c r="S715" s="123"/>
    </row>
    <row r="716" spans="1:19" hidden="1">
      <c r="A716" s="29" t="s">
        <v>335</v>
      </c>
      <c r="B716" s="29"/>
      <c r="C716" s="29">
        <v>31500036</v>
      </c>
      <c r="D716" s="29"/>
      <c r="F716" s="29"/>
      <c r="G716" s="29" t="s">
        <v>823</v>
      </c>
      <c r="H716" s="29" t="s">
        <v>315</v>
      </c>
      <c r="I716" s="120">
        <v>45688</v>
      </c>
      <c r="J716" s="120">
        <f>WORKDAY(I716, 3)</f>
        <v>45693</v>
      </c>
      <c r="K716" s="120"/>
      <c r="L716" s="120"/>
      <c r="M716" s="120"/>
      <c r="N716" s="120">
        <v>45699</v>
      </c>
      <c r="O716" s="119" t="s">
        <v>10</v>
      </c>
      <c r="P716" s="152"/>
      <c r="Q716" s="153"/>
      <c r="R716" s="29" t="s">
        <v>347</v>
      </c>
      <c r="S716" s="123"/>
    </row>
    <row r="717" spans="1:19" hidden="1">
      <c r="A717" s="29" t="s">
        <v>335</v>
      </c>
      <c r="B717" s="29"/>
      <c r="C717" s="29">
        <v>31500035</v>
      </c>
      <c r="D717" s="29"/>
      <c r="F717" s="29"/>
      <c r="G717" s="29" t="s">
        <v>823</v>
      </c>
      <c r="H717" s="29" t="s">
        <v>315</v>
      </c>
      <c r="I717" s="120">
        <v>45688</v>
      </c>
      <c r="J717" s="120">
        <f>WORKDAY(I717, 3)</f>
        <v>45693</v>
      </c>
      <c r="K717" s="120"/>
      <c r="L717" s="120"/>
      <c r="M717" s="120"/>
      <c r="N717" s="120">
        <v>45696</v>
      </c>
      <c r="O717" s="119" t="s">
        <v>10</v>
      </c>
      <c r="P717" s="152"/>
      <c r="Q717" s="153"/>
      <c r="R717" s="29" t="s">
        <v>350</v>
      </c>
      <c r="S717" s="123"/>
    </row>
    <row r="718" spans="1:19" hidden="1">
      <c r="A718" s="29" t="s">
        <v>335</v>
      </c>
      <c r="B718" s="29"/>
      <c r="C718" s="29">
        <v>31500033</v>
      </c>
      <c r="D718" s="29"/>
      <c r="F718" s="29"/>
      <c r="G718" s="29" t="s">
        <v>823</v>
      </c>
      <c r="H718" s="29" t="s">
        <v>315</v>
      </c>
      <c r="I718" s="120">
        <v>45688</v>
      </c>
      <c r="J718" s="120">
        <f>WORKDAY(I718, 3)</f>
        <v>45693</v>
      </c>
      <c r="K718" s="120"/>
      <c r="L718" s="120"/>
      <c r="M718" s="120"/>
      <c r="N718" s="120">
        <v>45696</v>
      </c>
      <c r="O718" s="119" t="s">
        <v>10</v>
      </c>
      <c r="P718" s="152"/>
      <c r="Q718" s="153"/>
      <c r="R718" s="29" t="s">
        <v>351</v>
      </c>
      <c r="S718" s="123"/>
    </row>
    <row r="719" spans="1:19" hidden="1">
      <c r="A719" s="29" t="s">
        <v>335</v>
      </c>
      <c r="B719" s="29"/>
      <c r="C719" s="29">
        <v>31500031</v>
      </c>
      <c r="D719" s="29"/>
      <c r="F719" s="29"/>
      <c r="G719" s="29" t="s">
        <v>823</v>
      </c>
      <c r="H719" s="29" t="s">
        <v>315</v>
      </c>
      <c r="I719" s="120">
        <v>45688</v>
      </c>
      <c r="J719" s="120">
        <f>WORKDAY(I719, 3)</f>
        <v>45693</v>
      </c>
      <c r="K719" s="120"/>
      <c r="L719" s="120"/>
      <c r="M719" s="120"/>
      <c r="N719" s="120">
        <v>45696</v>
      </c>
      <c r="O719" s="119" t="s">
        <v>10</v>
      </c>
      <c r="P719" s="152"/>
      <c r="Q719" s="153"/>
      <c r="R719" s="29" t="s">
        <v>352</v>
      </c>
      <c r="S719" s="123"/>
    </row>
    <row r="720" spans="1:19" hidden="1">
      <c r="A720" s="29" t="s">
        <v>335</v>
      </c>
      <c r="B720" s="29"/>
      <c r="C720" s="29">
        <v>31500028</v>
      </c>
      <c r="D720" s="29"/>
      <c r="F720" s="29"/>
      <c r="G720" s="29" t="s">
        <v>823</v>
      </c>
      <c r="H720" s="29" t="s">
        <v>315</v>
      </c>
      <c r="I720" s="120">
        <v>45688</v>
      </c>
      <c r="J720" s="120">
        <f>WORKDAY(I720, 3)</f>
        <v>45693</v>
      </c>
      <c r="K720" s="120"/>
      <c r="L720" s="120"/>
      <c r="M720" s="120"/>
      <c r="N720" s="120">
        <v>45696</v>
      </c>
      <c r="O720" s="119" t="s">
        <v>10</v>
      </c>
      <c r="P720" s="152"/>
      <c r="Q720" s="153"/>
      <c r="R720" s="29" t="s">
        <v>353</v>
      </c>
      <c r="S720" s="123"/>
    </row>
    <row r="721" spans="1:19" hidden="1">
      <c r="A721" s="29" t="s">
        <v>335</v>
      </c>
      <c r="B721" s="29"/>
      <c r="C721" s="29">
        <v>31500025</v>
      </c>
      <c r="D721" s="29"/>
      <c r="F721" s="29"/>
      <c r="G721" s="29" t="s">
        <v>823</v>
      </c>
      <c r="H721" s="29" t="s">
        <v>315</v>
      </c>
      <c r="I721" s="120">
        <v>45688</v>
      </c>
      <c r="J721" s="120">
        <f>WORKDAY(I721, 3)</f>
        <v>45693</v>
      </c>
      <c r="K721" s="120"/>
      <c r="L721" s="120"/>
      <c r="M721" s="120"/>
      <c r="N721" s="120">
        <v>45696</v>
      </c>
      <c r="O721" s="119" t="s">
        <v>10</v>
      </c>
      <c r="P721" s="152"/>
      <c r="Q721" s="153"/>
      <c r="R721" s="29" t="s">
        <v>354</v>
      </c>
      <c r="S721" s="123"/>
    </row>
    <row r="722" spans="1:19" hidden="1">
      <c r="A722" s="29" t="s">
        <v>335</v>
      </c>
      <c r="B722" s="29"/>
      <c r="C722" s="29">
        <v>31500023</v>
      </c>
      <c r="D722" s="29"/>
      <c r="F722" s="29"/>
      <c r="G722" s="29" t="s">
        <v>823</v>
      </c>
      <c r="H722" s="29" t="s">
        <v>315</v>
      </c>
      <c r="I722" s="120">
        <v>45688</v>
      </c>
      <c r="J722" s="120">
        <f>WORKDAY(I722, 3)</f>
        <v>45693</v>
      </c>
      <c r="K722" s="120"/>
      <c r="L722" s="120"/>
      <c r="M722" s="120"/>
      <c r="N722" s="120">
        <v>45692</v>
      </c>
      <c r="O722" s="119" t="s">
        <v>10</v>
      </c>
      <c r="P722" s="152"/>
      <c r="Q722" s="153"/>
      <c r="R722" s="29" t="s">
        <v>355</v>
      </c>
      <c r="S722" s="123"/>
    </row>
    <row r="723" spans="1:19" hidden="1">
      <c r="A723" s="29" t="s">
        <v>335</v>
      </c>
      <c r="B723" s="29"/>
      <c r="C723" s="29">
        <v>31500022</v>
      </c>
      <c r="D723" s="29"/>
      <c r="F723" s="29"/>
      <c r="G723" s="29" t="s">
        <v>823</v>
      </c>
      <c r="H723" s="29" t="s">
        <v>315</v>
      </c>
      <c r="I723" s="120">
        <v>45688</v>
      </c>
      <c r="J723" s="120">
        <f>WORKDAY(I723, 3)</f>
        <v>45693</v>
      </c>
      <c r="K723" s="120"/>
      <c r="L723" s="120"/>
      <c r="M723" s="120"/>
      <c r="N723" s="120">
        <v>45692</v>
      </c>
      <c r="O723" s="119" t="s">
        <v>10</v>
      </c>
      <c r="P723" s="152"/>
      <c r="Q723" s="153"/>
      <c r="R723" s="29" t="s">
        <v>356</v>
      </c>
      <c r="S723" s="123"/>
    </row>
    <row r="724" spans="1:19" hidden="1">
      <c r="A724" s="29" t="s">
        <v>335</v>
      </c>
      <c r="B724" s="29"/>
      <c r="C724" s="29">
        <v>31500021</v>
      </c>
      <c r="D724" s="29"/>
      <c r="F724" s="29"/>
      <c r="G724" s="29" t="s">
        <v>823</v>
      </c>
      <c r="H724" s="29" t="s">
        <v>315</v>
      </c>
      <c r="I724" s="120">
        <v>45688</v>
      </c>
      <c r="J724" s="120">
        <f>WORKDAY(I724, 3)</f>
        <v>45693</v>
      </c>
      <c r="K724" s="120"/>
      <c r="L724" s="120"/>
      <c r="M724" s="120"/>
      <c r="N724" s="120">
        <v>45703</v>
      </c>
      <c r="O724" s="119" t="s">
        <v>10</v>
      </c>
      <c r="P724" s="152"/>
      <c r="Q724" s="153"/>
      <c r="R724" s="29" t="s">
        <v>356</v>
      </c>
      <c r="S724" s="123"/>
    </row>
    <row r="725" spans="1:19" hidden="1">
      <c r="A725" s="29" t="s">
        <v>369</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370</v>
      </c>
      <c r="S725" s="123"/>
    </row>
    <row r="726" spans="1:19" hidden="1">
      <c r="A726" s="29" t="s">
        <v>335</v>
      </c>
      <c r="B726" s="29"/>
      <c r="C726" s="29">
        <v>31500055</v>
      </c>
      <c r="D726" s="29"/>
      <c r="F726" s="29"/>
      <c r="G726" s="29" t="s">
        <v>823</v>
      </c>
      <c r="H726" s="29" t="s">
        <v>315</v>
      </c>
      <c r="I726" s="120">
        <v>45691</v>
      </c>
      <c r="J726" s="120">
        <f>WORKDAY(I726, 3)</f>
        <v>45694</v>
      </c>
      <c r="K726" s="120"/>
      <c r="L726" s="120"/>
      <c r="M726" s="120"/>
      <c r="N726" s="120">
        <v>45699</v>
      </c>
      <c r="O726" s="119" t="s">
        <v>10</v>
      </c>
      <c r="P726" s="152"/>
      <c r="Q726" s="153"/>
      <c r="R726" s="29" t="s">
        <v>336</v>
      </c>
      <c r="S726" s="123"/>
    </row>
    <row r="727" spans="1:19" ht="15.75" hidden="1">
      <c r="A727" s="29" t="s">
        <v>938</v>
      </c>
      <c r="B727" s="29"/>
      <c r="C727" s="121">
        <v>36504907</v>
      </c>
      <c r="D727" s="121"/>
      <c r="F727" s="121"/>
      <c r="G727" s="29" t="s">
        <v>138</v>
      </c>
      <c r="H727" s="29" t="s">
        <v>316</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316</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316</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316</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316</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316</v>
      </c>
      <c r="I732" s="120">
        <v>45692</v>
      </c>
      <c r="J732" s="120">
        <f>WORKDAY(I732, 3)</f>
        <v>45695</v>
      </c>
      <c r="K732" s="120"/>
      <c r="L732" s="120"/>
      <c r="M732" s="120"/>
      <c r="N732" s="120"/>
      <c r="O732" s="119" t="s">
        <v>929</v>
      </c>
      <c r="P732" s="120"/>
      <c r="Q732" s="135"/>
      <c r="R732" s="29"/>
      <c r="S732" s="123"/>
    </row>
    <row r="733" spans="1:19" hidden="1">
      <c r="A733" s="29" t="s">
        <v>433</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434</v>
      </c>
      <c r="S733" s="123"/>
    </row>
    <row r="734" spans="1:19" hidden="1">
      <c r="A734" s="29" t="s">
        <v>433</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435</v>
      </c>
      <c r="S734" s="123"/>
    </row>
    <row r="735" spans="1:19" hidden="1">
      <c r="A735" s="29" t="s">
        <v>433</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436</v>
      </c>
      <c r="S735" s="123"/>
    </row>
    <row r="736" spans="1:19" hidden="1">
      <c r="A736" s="29" t="s">
        <v>433</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437</v>
      </c>
      <c r="S736" s="123"/>
    </row>
    <row r="737" spans="1:19" hidden="1">
      <c r="A737" s="29" t="s">
        <v>433</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370</v>
      </c>
      <c r="S737" s="123"/>
    </row>
    <row r="738" spans="1:19" hidden="1">
      <c r="A738" s="29" t="s">
        <v>438</v>
      </c>
      <c r="B738" s="29"/>
      <c r="C738" s="29">
        <v>36508939</v>
      </c>
      <c r="D738" s="29"/>
      <c r="F738" s="29"/>
      <c r="G738" s="29" t="s">
        <v>823</v>
      </c>
      <c r="H738" s="147" t="s">
        <v>439</v>
      </c>
      <c r="I738" s="120">
        <v>45692</v>
      </c>
      <c r="J738" s="120">
        <f>WORKDAY(I738, 3)</f>
        <v>45695</v>
      </c>
      <c r="K738" s="120"/>
      <c r="L738" s="120"/>
      <c r="M738" s="120"/>
      <c r="N738" s="120"/>
      <c r="O738" s="119" t="s">
        <v>929</v>
      </c>
      <c r="P738" s="120"/>
      <c r="Q738" s="135"/>
      <c r="R738" s="29" t="s">
        <v>507</v>
      </c>
      <c r="S738" s="123"/>
    </row>
    <row r="739" spans="1:19" hidden="1">
      <c r="A739" s="29" t="s">
        <v>438</v>
      </c>
      <c r="B739" s="29"/>
      <c r="C739" s="29">
        <v>36508971</v>
      </c>
      <c r="D739" s="29"/>
      <c r="F739" s="29"/>
      <c r="G739" s="29" t="s">
        <v>823</v>
      </c>
      <c r="H739" s="147" t="s">
        <v>439</v>
      </c>
      <c r="I739" s="120">
        <v>45692</v>
      </c>
      <c r="J739" s="120">
        <f>WORKDAY(I739, 3)</f>
        <v>45695</v>
      </c>
      <c r="K739" s="120"/>
      <c r="L739" s="120"/>
      <c r="M739" s="120"/>
      <c r="N739" s="120"/>
      <c r="O739" s="119" t="s">
        <v>929</v>
      </c>
      <c r="P739" s="120"/>
      <c r="Q739" s="135"/>
      <c r="R739" s="29" t="s">
        <v>505</v>
      </c>
      <c r="S739" s="123"/>
    </row>
    <row r="740" spans="1:19" hidden="1">
      <c r="A740" s="29" t="s">
        <v>438</v>
      </c>
      <c r="B740" s="29"/>
      <c r="C740" s="29">
        <v>36509009</v>
      </c>
      <c r="D740" s="29"/>
      <c r="F740" s="29"/>
      <c r="G740" s="29" t="s">
        <v>823</v>
      </c>
      <c r="H740" s="147" t="s">
        <v>439</v>
      </c>
      <c r="I740" s="120">
        <v>45692</v>
      </c>
      <c r="J740" s="120">
        <f>WORKDAY(I740, 3)</f>
        <v>45695</v>
      </c>
      <c r="K740" s="120"/>
      <c r="L740" s="120"/>
      <c r="M740" s="120"/>
      <c r="N740" s="120"/>
      <c r="O740" s="119" t="s">
        <v>929</v>
      </c>
      <c r="P740" s="120"/>
      <c r="Q740" s="135"/>
      <c r="R740" s="29" t="s">
        <v>881</v>
      </c>
      <c r="S740" s="123"/>
    </row>
    <row r="741" spans="1:19" hidden="1">
      <c r="A741" s="29" t="s">
        <v>438</v>
      </c>
      <c r="B741" s="29"/>
      <c r="C741" s="29">
        <v>36509029</v>
      </c>
      <c r="D741" s="29"/>
      <c r="F741" s="29"/>
      <c r="G741" s="29" t="s">
        <v>823</v>
      </c>
      <c r="H741" s="147" t="s">
        <v>439</v>
      </c>
      <c r="I741" s="120">
        <v>45692</v>
      </c>
      <c r="J741" s="120">
        <f>WORKDAY(I741, 3)</f>
        <v>45695</v>
      </c>
      <c r="K741" s="120"/>
      <c r="L741" s="120"/>
      <c r="M741" s="120"/>
      <c r="N741" s="120"/>
      <c r="O741" s="119" t="s">
        <v>929</v>
      </c>
      <c r="P741" s="120"/>
      <c r="Q741" s="135"/>
      <c r="R741" s="29" t="s">
        <v>882</v>
      </c>
      <c r="S741" s="123"/>
    </row>
    <row r="742" spans="1:19" hidden="1">
      <c r="A742" s="29" t="s">
        <v>438</v>
      </c>
      <c r="B742" s="29"/>
      <c r="C742" s="29">
        <v>37508603</v>
      </c>
      <c r="D742" s="29"/>
      <c r="F742" s="29"/>
      <c r="G742" s="29" t="s">
        <v>823</v>
      </c>
      <c r="H742" s="147" t="s">
        <v>439</v>
      </c>
      <c r="I742" s="120">
        <v>45692</v>
      </c>
      <c r="J742" s="120">
        <f>WORKDAY(I742, 3)</f>
        <v>45695</v>
      </c>
      <c r="K742" s="120"/>
      <c r="L742" s="120"/>
      <c r="M742" s="120"/>
      <c r="N742" s="120"/>
      <c r="O742" s="119" t="s">
        <v>929</v>
      </c>
      <c r="P742" s="120"/>
      <c r="Q742" s="135"/>
      <c r="R742" s="29" t="s">
        <v>882</v>
      </c>
      <c r="S742" s="123"/>
    </row>
    <row r="743" spans="1:19" hidden="1">
      <c r="A743" s="29" t="s">
        <v>438</v>
      </c>
      <c r="B743" s="29"/>
      <c r="C743" s="29">
        <v>37508593</v>
      </c>
      <c r="D743" s="29"/>
      <c r="F743" s="29"/>
      <c r="G743" s="29" t="s">
        <v>823</v>
      </c>
      <c r="H743" s="147" t="s">
        <v>439</v>
      </c>
      <c r="I743" s="120">
        <v>45692</v>
      </c>
      <c r="J743" s="120">
        <f>WORKDAY(I743, 3)</f>
        <v>45695</v>
      </c>
      <c r="K743" s="120"/>
      <c r="L743" s="120"/>
      <c r="M743" s="120"/>
      <c r="N743" s="120"/>
      <c r="O743" s="119" t="s">
        <v>929</v>
      </c>
      <c r="P743" s="120"/>
      <c r="Q743" s="135"/>
      <c r="R743" s="29" t="s">
        <v>881</v>
      </c>
      <c r="S743" s="123"/>
    </row>
    <row r="744" spans="1:19" hidden="1">
      <c r="A744" s="29" t="s">
        <v>438</v>
      </c>
      <c r="B744" s="29"/>
      <c r="C744" s="29">
        <v>36508894</v>
      </c>
      <c r="D744" s="29"/>
      <c r="F744" s="29"/>
      <c r="G744" s="29" t="s">
        <v>823</v>
      </c>
      <c r="H744" s="147" t="s">
        <v>439</v>
      </c>
      <c r="I744" s="120">
        <v>45692</v>
      </c>
      <c r="J744" s="120">
        <f>WORKDAY(I744, 3)</f>
        <v>45695</v>
      </c>
      <c r="K744" s="120"/>
      <c r="L744" s="120"/>
      <c r="M744" s="120"/>
      <c r="N744" s="120"/>
      <c r="O744" s="119" t="s">
        <v>929</v>
      </c>
      <c r="P744" s="120"/>
      <c r="Q744" s="135"/>
      <c r="R744" s="29" t="s">
        <v>508</v>
      </c>
      <c r="S744" s="123"/>
    </row>
    <row r="745" spans="1:19" hidden="1">
      <c r="A745" s="29" t="s">
        <v>438</v>
      </c>
      <c r="B745" s="29"/>
      <c r="C745" s="29">
        <v>36508864</v>
      </c>
      <c r="D745" s="29"/>
      <c r="F745" s="29"/>
      <c r="G745" s="29" t="s">
        <v>823</v>
      </c>
      <c r="H745" s="147" t="s">
        <v>439</v>
      </c>
      <c r="I745" s="120">
        <v>45692</v>
      </c>
      <c r="J745" s="120">
        <f>WORKDAY(I745, 3)</f>
        <v>45695</v>
      </c>
      <c r="K745" s="120"/>
      <c r="L745" s="120"/>
      <c r="M745" s="120"/>
      <c r="N745" s="120"/>
      <c r="O745" s="119" t="s">
        <v>929</v>
      </c>
      <c r="P745" s="120"/>
      <c r="Q745" s="135"/>
      <c r="R745" s="29" t="s">
        <v>510</v>
      </c>
      <c r="S745" s="123"/>
    </row>
    <row r="746" spans="1:19" hidden="1">
      <c r="A746" s="29" t="s">
        <v>290</v>
      </c>
      <c r="B746" s="29"/>
      <c r="C746" s="29">
        <v>36505090</v>
      </c>
      <c r="D746" s="29"/>
      <c r="F746" s="29"/>
      <c r="G746" s="29" t="s">
        <v>823</v>
      </c>
      <c r="H746" s="29" t="s">
        <v>315</v>
      </c>
      <c r="I746" s="120">
        <v>45693</v>
      </c>
      <c r="J746" s="120">
        <f>WORKDAY(I746, 3)</f>
        <v>45698</v>
      </c>
      <c r="K746" s="120">
        <v>45729</v>
      </c>
      <c r="L746" s="120"/>
      <c r="M746" s="120"/>
      <c r="N746" s="120"/>
      <c r="O746" s="119" t="s">
        <v>929</v>
      </c>
      <c r="P746" s="120"/>
      <c r="Q746" s="135"/>
      <c r="R746" s="29" t="s">
        <v>883</v>
      </c>
      <c r="S746" s="123"/>
    </row>
    <row r="747" spans="1:19" hidden="1">
      <c r="A747" s="29" t="s">
        <v>290</v>
      </c>
      <c r="B747" s="29"/>
      <c r="C747" s="29">
        <v>36505041</v>
      </c>
      <c r="D747" s="29"/>
      <c r="F747" s="29"/>
      <c r="G747" s="29" t="s">
        <v>823</v>
      </c>
      <c r="H747" s="29" t="s">
        <v>315</v>
      </c>
      <c r="I747" s="120">
        <v>45693</v>
      </c>
      <c r="J747" s="120">
        <f>WORKDAY(I747, 3)</f>
        <v>45698</v>
      </c>
      <c r="K747" s="120">
        <v>45729</v>
      </c>
      <c r="L747" s="120"/>
      <c r="M747" s="120"/>
      <c r="N747" s="120"/>
      <c r="O747" s="119" t="s">
        <v>929</v>
      </c>
      <c r="P747" s="120"/>
      <c r="Q747" s="135"/>
      <c r="R747" s="29" t="s">
        <v>884</v>
      </c>
      <c r="S747" s="123"/>
    </row>
    <row r="748" spans="1:19" hidden="1">
      <c r="A748" s="29" t="s">
        <v>290</v>
      </c>
      <c r="B748" s="29"/>
      <c r="C748" s="29">
        <v>36505003</v>
      </c>
      <c r="D748" s="29"/>
      <c r="F748" s="29"/>
      <c r="G748" s="29" t="s">
        <v>823</v>
      </c>
      <c r="H748" s="29" t="s">
        <v>315</v>
      </c>
      <c r="I748" s="120">
        <v>45693</v>
      </c>
      <c r="J748" s="120">
        <f>WORKDAY(I748, 3)</f>
        <v>45698</v>
      </c>
      <c r="K748" s="120">
        <v>45729</v>
      </c>
      <c r="L748" s="120"/>
      <c r="M748" s="120"/>
      <c r="N748" s="120"/>
      <c r="O748" s="119" t="s">
        <v>929</v>
      </c>
      <c r="P748" s="120"/>
      <c r="Q748" s="135"/>
      <c r="R748" s="29" t="s">
        <v>885</v>
      </c>
      <c r="S748" s="123"/>
    </row>
    <row r="749" spans="1:19" hidden="1">
      <c r="A749" s="29" t="s">
        <v>290</v>
      </c>
      <c r="B749" s="29"/>
      <c r="C749" s="29">
        <v>36504973</v>
      </c>
      <c r="D749" s="29"/>
      <c r="F749" s="29"/>
      <c r="G749" s="29" t="s">
        <v>823</v>
      </c>
      <c r="H749" s="29" t="s">
        <v>315</v>
      </c>
      <c r="I749" s="120">
        <v>45693</v>
      </c>
      <c r="J749" s="120">
        <f>WORKDAY(I749, 3)</f>
        <v>45698</v>
      </c>
      <c r="K749" s="120">
        <v>45729</v>
      </c>
      <c r="L749" s="120"/>
      <c r="M749" s="120"/>
      <c r="N749" s="120"/>
      <c r="O749" s="119" t="s">
        <v>929</v>
      </c>
      <c r="P749" s="120"/>
      <c r="Q749" s="135"/>
      <c r="R749" s="29" t="s">
        <v>886</v>
      </c>
      <c r="S749" s="123"/>
    </row>
    <row r="750" spans="1:19" hidden="1">
      <c r="A750" s="29" t="s">
        <v>290</v>
      </c>
      <c r="B750" s="29"/>
      <c r="C750" s="29">
        <v>36504920</v>
      </c>
      <c r="D750" s="29"/>
      <c r="F750" s="29"/>
      <c r="G750" s="29" t="s">
        <v>823</v>
      </c>
      <c r="H750" s="29" t="s">
        <v>315</v>
      </c>
      <c r="I750" s="120">
        <v>45693</v>
      </c>
      <c r="J750" s="120">
        <f>WORKDAY(I750, 3)</f>
        <v>45698</v>
      </c>
      <c r="K750" s="120">
        <v>45729</v>
      </c>
      <c r="L750" s="120"/>
      <c r="M750" s="120"/>
      <c r="N750" s="120"/>
      <c r="O750" s="119" t="s">
        <v>929</v>
      </c>
      <c r="P750" s="120"/>
      <c r="Q750" s="135"/>
      <c r="R750" s="29" t="s">
        <v>887</v>
      </c>
      <c r="S750" s="123"/>
    </row>
    <row r="751" spans="1:19" hidden="1">
      <c r="A751" s="29" t="s">
        <v>290</v>
      </c>
      <c r="B751" s="29"/>
      <c r="C751" s="29">
        <v>36504794</v>
      </c>
      <c r="D751" s="29"/>
      <c r="F751" s="29"/>
      <c r="G751" s="29" t="s">
        <v>823</v>
      </c>
      <c r="H751" s="29" t="s">
        <v>315</v>
      </c>
      <c r="I751" s="120">
        <v>45693</v>
      </c>
      <c r="J751" s="120">
        <f>WORKDAY(I751, 3)</f>
        <v>45698</v>
      </c>
      <c r="K751" s="120"/>
      <c r="L751" s="120"/>
      <c r="M751" s="120"/>
      <c r="N751" s="120">
        <v>45699</v>
      </c>
      <c r="O751" s="119" t="s">
        <v>10</v>
      </c>
      <c r="P751" s="152"/>
      <c r="Q751" s="153"/>
      <c r="R751" s="29" t="s">
        <v>888</v>
      </c>
      <c r="S751" s="123"/>
    </row>
    <row r="752" spans="1:19" hidden="1">
      <c r="A752" s="29" t="s">
        <v>438</v>
      </c>
      <c r="B752" s="29"/>
      <c r="C752" s="29">
        <v>36500830</v>
      </c>
      <c r="D752" s="29"/>
      <c r="F752" s="29"/>
      <c r="G752" s="29" t="s">
        <v>823</v>
      </c>
      <c r="H752" s="147" t="s">
        <v>439</v>
      </c>
      <c r="I752" s="120">
        <v>45692</v>
      </c>
      <c r="J752" s="120">
        <f>WORKDAY(I752, 3)</f>
        <v>45695</v>
      </c>
      <c r="K752" s="120"/>
      <c r="L752" s="120"/>
      <c r="M752" s="120"/>
      <c r="N752" s="120"/>
      <c r="O752" s="119" t="s">
        <v>929</v>
      </c>
      <c r="P752" s="120"/>
      <c r="Q752" s="135"/>
      <c r="R752" s="29" t="s">
        <v>889</v>
      </c>
      <c r="S752" s="123"/>
    </row>
    <row r="753" spans="1:19" ht="201.75" hidden="1">
      <c r="A753" s="147" t="s">
        <v>438</v>
      </c>
      <c r="B753" s="147"/>
      <c r="C753" s="150">
        <v>36508864</v>
      </c>
      <c r="D753" s="150"/>
      <c r="F753" s="150"/>
      <c r="G753" s="29" t="s">
        <v>823</v>
      </c>
      <c r="H753" s="147" t="s">
        <v>439</v>
      </c>
      <c r="I753" s="148">
        <v>45693</v>
      </c>
      <c r="J753" s="120">
        <f>WORKDAY(I753, 3)</f>
        <v>45698</v>
      </c>
      <c r="K753" s="148"/>
      <c r="L753" s="148"/>
      <c r="M753" s="148"/>
      <c r="N753" s="148"/>
      <c r="O753" s="119" t="s">
        <v>929</v>
      </c>
      <c r="P753" s="148"/>
      <c r="Q753" s="154"/>
      <c r="R753" s="149" t="s">
        <v>890</v>
      </c>
      <c r="S753" s="123"/>
    </row>
    <row r="754" spans="1:19" ht="216.75" hidden="1">
      <c r="A754" s="147" t="s">
        <v>438</v>
      </c>
      <c r="B754" s="147"/>
      <c r="C754" s="150">
        <v>36508894</v>
      </c>
      <c r="D754" s="150"/>
      <c r="F754" s="150"/>
      <c r="G754" s="29" t="s">
        <v>823</v>
      </c>
      <c r="H754" s="147" t="s">
        <v>439</v>
      </c>
      <c r="I754" s="148">
        <v>45693</v>
      </c>
      <c r="J754" s="120">
        <f>WORKDAY(I754, 3)</f>
        <v>45698</v>
      </c>
      <c r="K754" s="148"/>
      <c r="L754" s="148"/>
      <c r="M754" s="148"/>
      <c r="N754" s="148"/>
      <c r="O754" s="119" t="s">
        <v>929</v>
      </c>
      <c r="P754" s="148"/>
      <c r="Q754" s="154"/>
      <c r="R754" s="149" t="s">
        <v>891</v>
      </c>
      <c r="S754" s="123"/>
    </row>
    <row r="755" spans="1:19" ht="201.75" hidden="1">
      <c r="A755" s="147" t="s">
        <v>438</v>
      </c>
      <c r="B755" s="147"/>
      <c r="C755" s="150">
        <v>36508918</v>
      </c>
      <c r="D755" s="150"/>
      <c r="F755" s="150"/>
      <c r="G755" s="29" t="s">
        <v>823</v>
      </c>
      <c r="H755" s="147" t="s">
        <v>439</v>
      </c>
      <c r="I755" s="148">
        <v>45693</v>
      </c>
      <c r="J755" s="120">
        <f>WORKDAY(I755, 3)</f>
        <v>45698</v>
      </c>
      <c r="K755" s="148"/>
      <c r="L755" s="148"/>
      <c r="M755" s="148"/>
      <c r="N755" s="148"/>
      <c r="O755" s="119" t="s">
        <v>929</v>
      </c>
      <c r="P755" s="148"/>
      <c r="Q755" s="154"/>
      <c r="R755" s="149" t="s">
        <v>892</v>
      </c>
      <c r="S755" s="123"/>
    </row>
    <row r="756" spans="1:19" ht="201.75" hidden="1">
      <c r="A756" s="147" t="s">
        <v>438</v>
      </c>
      <c r="B756" s="147"/>
      <c r="C756" s="150">
        <v>36508939</v>
      </c>
      <c r="D756" s="150"/>
      <c r="F756" s="150"/>
      <c r="G756" s="29" t="s">
        <v>823</v>
      </c>
      <c r="H756" s="147" t="s">
        <v>439</v>
      </c>
      <c r="I756" s="148">
        <v>45693</v>
      </c>
      <c r="J756" s="120">
        <f>WORKDAY(I756, 3)</f>
        <v>45698</v>
      </c>
      <c r="K756" s="148"/>
      <c r="L756" s="148"/>
      <c r="M756" s="148"/>
      <c r="N756" s="148"/>
      <c r="O756" s="119" t="s">
        <v>929</v>
      </c>
      <c r="P756" s="148"/>
      <c r="Q756" s="154"/>
      <c r="R756" s="149" t="s">
        <v>893</v>
      </c>
      <c r="S756" s="123"/>
    </row>
    <row r="757" spans="1:19" ht="201.75" hidden="1">
      <c r="A757" s="147" t="s">
        <v>438</v>
      </c>
      <c r="B757" s="147"/>
      <c r="C757" s="150">
        <v>36508971</v>
      </c>
      <c r="D757" s="150"/>
      <c r="F757" s="150"/>
      <c r="G757" s="29" t="s">
        <v>823</v>
      </c>
      <c r="H757" s="147" t="s">
        <v>439</v>
      </c>
      <c r="I757" s="148">
        <v>45693</v>
      </c>
      <c r="J757" s="120">
        <f>WORKDAY(I757, 3)</f>
        <v>45698</v>
      </c>
      <c r="K757" s="148"/>
      <c r="L757" s="148"/>
      <c r="M757" s="148"/>
      <c r="N757" s="148"/>
      <c r="O757" s="119" t="s">
        <v>929</v>
      </c>
      <c r="P757" s="148"/>
      <c r="Q757" s="154"/>
      <c r="R757" s="149" t="s">
        <v>894</v>
      </c>
      <c r="S757" s="123"/>
    </row>
    <row r="758" spans="1:19" ht="216.75" hidden="1">
      <c r="A758" s="147" t="s">
        <v>438</v>
      </c>
      <c r="B758" s="147"/>
      <c r="C758" s="150">
        <v>36509009</v>
      </c>
      <c r="D758" s="150"/>
      <c r="F758" s="150"/>
      <c r="G758" s="29" t="s">
        <v>823</v>
      </c>
      <c r="H758" s="147" t="s">
        <v>439</v>
      </c>
      <c r="I758" s="148">
        <v>45693</v>
      </c>
      <c r="J758" s="120">
        <f>WORKDAY(I758, 3)</f>
        <v>45698</v>
      </c>
      <c r="K758" s="148"/>
      <c r="L758" s="148"/>
      <c r="M758" s="148"/>
      <c r="N758" s="148"/>
      <c r="O758" s="119" t="s">
        <v>929</v>
      </c>
      <c r="P758" s="148"/>
      <c r="Q758" s="154"/>
      <c r="R758" s="149" t="s">
        <v>895</v>
      </c>
      <c r="S758" s="123"/>
    </row>
    <row r="759" spans="1:19" ht="201.75" hidden="1">
      <c r="A759" s="147" t="s">
        <v>438</v>
      </c>
      <c r="B759" s="147"/>
      <c r="C759" s="150">
        <v>36509029</v>
      </c>
      <c r="D759" s="150"/>
      <c r="F759" s="150"/>
      <c r="G759" s="29" t="s">
        <v>823</v>
      </c>
      <c r="H759" s="147" t="s">
        <v>439</v>
      </c>
      <c r="I759" s="148">
        <v>45693</v>
      </c>
      <c r="J759" s="120">
        <f>WORKDAY(I759, 3)</f>
        <v>45698</v>
      </c>
      <c r="K759" s="148"/>
      <c r="L759" s="148"/>
      <c r="M759" s="148"/>
      <c r="N759" s="148"/>
      <c r="O759" s="119" t="s">
        <v>929</v>
      </c>
      <c r="P759" s="148"/>
      <c r="Q759" s="154"/>
      <c r="R759" s="149" t="s">
        <v>896</v>
      </c>
      <c r="S759" s="123"/>
    </row>
    <row r="760" spans="1:19" hidden="1">
      <c r="A760" s="147" t="s">
        <v>290</v>
      </c>
      <c r="B760" s="147"/>
      <c r="C760" s="150">
        <v>36504794</v>
      </c>
      <c r="D760" s="150"/>
      <c r="F760" s="150"/>
      <c r="G760" s="29" t="s">
        <v>823</v>
      </c>
      <c r="H760" s="29" t="s">
        <v>315</v>
      </c>
      <c r="I760" s="148">
        <v>45693</v>
      </c>
      <c r="J760" s="120">
        <f>WORKDAY(I760, 3)</f>
        <v>45698</v>
      </c>
      <c r="K760" s="148"/>
      <c r="L760" s="148"/>
      <c r="M760" s="148"/>
      <c r="N760" s="120">
        <v>45699</v>
      </c>
      <c r="O760" s="119" t="s">
        <v>10</v>
      </c>
      <c r="P760" s="152"/>
      <c r="Q760" s="153"/>
      <c r="R760" s="149" t="s">
        <v>642</v>
      </c>
      <c r="S760" s="123"/>
    </row>
    <row r="761" spans="1:19" hidden="1">
      <c r="A761" s="147" t="s">
        <v>290</v>
      </c>
      <c r="B761" s="147"/>
      <c r="C761" s="150">
        <v>36504920</v>
      </c>
      <c r="D761" s="150"/>
      <c r="F761" s="150"/>
      <c r="G761" s="29" t="s">
        <v>823</v>
      </c>
      <c r="H761" s="29" t="s">
        <v>315</v>
      </c>
      <c r="I761" s="148">
        <v>45693</v>
      </c>
      <c r="J761" s="120">
        <f>WORKDAY(I761, 3)</f>
        <v>45698</v>
      </c>
      <c r="K761" s="148"/>
      <c r="L761" s="148"/>
      <c r="M761" s="148"/>
      <c r="N761" s="120">
        <v>45698</v>
      </c>
      <c r="O761" s="119" t="s">
        <v>10</v>
      </c>
      <c r="P761" s="152"/>
      <c r="Q761" s="153"/>
      <c r="R761" s="149" t="s">
        <v>643</v>
      </c>
      <c r="S761" s="123"/>
    </row>
    <row r="762" spans="1:19" hidden="1">
      <c r="A762" s="147" t="s">
        <v>290</v>
      </c>
      <c r="B762" s="147"/>
      <c r="C762" s="150">
        <v>36504973</v>
      </c>
      <c r="D762" s="150"/>
      <c r="F762" s="150"/>
      <c r="G762" s="29" t="s">
        <v>823</v>
      </c>
      <c r="H762" s="29" t="s">
        <v>315</v>
      </c>
      <c r="I762" s="148">
        <v>45693</v>
      </c>
      <c r="J762" s="120">
        <f>WORKDAY(I762, 3)</f>
        <v>45698</v>
      </c>
      <c r="K762" s="148"/>
      <c r="L762" s="148"/>
      <c r="M762" s="148"/>
      <c r="N762" s="148">
        <v>45695</v>
      </c>
      <c r="O762" s="119" t="s">
        <v>10</v>
      </c>
      <c r="P762" s="152"/>
      <c r="Q762" s="153"/>
      <c r="R762" s="149" t="s">
        <v>644</v>
      </c>
      <c r="S762" s="123"/>
    </row>
    <row r="763" spans="1:19" hidden="1">
      <c r="A763" s="147" t="s">
        <v>290</v>
      </c>
      <c r="B763" s="147"/>
      <c r="C763" s="150">
        <v>36505003</v>
      </c>
      <c r="D763" s="150"/>
      <c r="F763" s="150"/>
      <c r="G763" s="29" t="s">
        <v>823</v>
      </c>
      <c r="H763" s="29" t="s">
        <v>315</v>
      </c>
      <c r="I763" s="148">
        <v>45693</v>
      </c>
      <c r="J763" s="120">
        <f>WORKDAY(I763, 3)</f>
        <v>45698</v>
      </c>
      <c r="K763" s="148"/>
      <c r="L763" s="148"/>
      <c r="M763" s="148"/>
      <c r="N763" s="148"/>
      <c r="O763" s="119" t="s">
        <v>929</v>
      </c>
      <c r="P763" s="148"/>
      <c r="Q763" s="154"/>
      <c r="R763" s="149" t="s">
        <v>645</v>
      </c>
      <c r="S763" s="123"/>
    </row>
    <row r="764" spans="1:19" hidden="1">
      <c r="A764" s="147" t="s">
        <v>290</v>
      </c>
      <c r="B764" s="147"/>
      <c r="C764" s="150">
        <v>36505041</v>
      </c>
      <c r="D764" s="150"/>
      <c r="F764" s="150"/>
      <c r="G764" s="29" t="s">
        <v>823</v>
      </c>
      <c r="H764" s="29" t="s">
        <v>315</v>
      </c>
      <c r="I764" s="148">
        <v>45693</v>
      </c>
      <c r="J764" s="120">
        <f>WORKDAY(I764, 3)</f>
        <v>45698</v>
      </c>
      <c r="K764" s="148"/>
      <c r="L764" s="148"/>
      <c r="M764" s="148"/>
      <c r="N764" s="148">
        <v>45695</v>
      </c>
      <c r="O764" s="119" t="s">
        <v>10</v>
      </c>
      <c r="P764" s="152"/>
      <c r="Q764" s="153"/>
      <c r="R764" s="149" t="s">
        <v>646</v>
      </c>
      <c r="S764" s="123"/>
    </row>
    <row r="765" spans="1:19" ht="144.75" hidden="1">
      <c r="A765" s="147" t="s">
        <v>438</v>
      </c>
      <c r="B765" s="147"/>
      <c r="C765" s="150">
        <v>37508603</v>
      </c>
      <c r="D765" s="150"/>
      <c r="F765" s="150"/>
      <c r="G765" s="29" t="s">
        <v>823</v>
      </c>
      <c r="H765" s="147" t="s">
        <v>439</v>
      </c>
      <c r="I765" s="148">
        <v>45694</v>
      </c>
      <c r="J765" s="120">
        <f>WORKDAY(I765, 3)</f>
        <v>45699</v>
      </c>
      <c r="K765" s="148"/>
      <c r="L765" s="148"/>
      <c r="M765" s="148"/>
      <c r="N765" s="148"/>
      <c r="O765" s="119" t="s">
        <v>929</v>
      </c>
      <c r="P765" s="148"/>
      <c r="Q765" s="154"/>
      <c r="R765" s="149" t="s">
        <v>440</v>
      </c>
      <c r="S765" s="123"/>
    </row>
    <row r="766" spans="1:19" ht="144.75" hidden="1">
      <c r="A766" s="147" t="s">
        <v>438</v>
      </c>
      <c r="B766" s="147"/>
      <c r="C766" s="150">
        <v>37508593</v>
      </c>
      <c r="D766" s="150"/>
      <c r="F766" s="150"/>
      <c r="G766" s="29" t="s">
        <v>823</v>
      </c>
      <c r="H766" s="147" t="s">
        <v>439</v>
      </c>
      <c r="I766" s="148">
        <v>45694</v>
      </c>
      <c r="J766" s="120">
        <f>WORKDAY(I766, 3)</f>
        <v>45699</v>
      </c>
      <c r="K766" s="148"/>
      <c r="L766" s="148"/>
      <c r="M766" s="148"/>
      <c r="N766" s="148"/>
      <c r="O766" s="119" t="s">
        <v>929</v>
      </c>
      <c r="P766" s="148"/>
      <c r="Q766" s="154"/>
      <c r="R766" s="149" t="s">
        <v>441</v>
      </c>
      <c r="S766" s="123"/>
    </row>
    <row r="767" spans="1:19" ht="144.75" hidden="1">
      <c r="A767" s="147" t="s">
        <v>438</v>
      </c>
      <c r="B767" s="147"/>
      <c r="C767" s="150">
        <v>37508575</v>
      </c>
      <c r="D767" s="150"/>
      <c r="F767" s="150"/>
      <c r="G767" s="29" t="s">
        <v>823</v>
      </c>
      <c r="H767" s="147" t="s">
        <v>439</v>
      </c>
      <c r="I767" s="148">
        <v>45694</v>
      </c>
      <c r="J767" s="120">
        <f>WORKDAY(I767, 3)</f>
        <v>45699</v>
      </c>
      <c r="K767" s="148"/>
      <c r="L767" s="148"/>
      <c r="M767" s="148"/>
      <c r="N767" s="148"/>
      <c r="O767" s="119" t="s">
        <v>929</v>
      </c>
      <c r="P767" s="148"/>
      <c r="Q767" s="154"/>
      <c r="R767" s="149" t="s">
        <v>442</v>
      </c>
      <c r="S767" s="123"/>
    </row>
    <row r="768" spans="1:19" ht="144.75" hidden="1">
      <c r="A768" s="147" t="s">
        <v>438</v>
      </c>
      <c r="B768" s="147"/>
      <c r="C768" s="150">
        <v>37508561</v>
      </c>
      <c r="D768" s="150"/>
      <c r="F768" s="150"/>
      <c r="G768" s="29" t="s">
        <v>823</v>
      </c>
      <c r="H768" s="147" t="s">
        <v>439</v>
      </c>
      <c r="I768" s="148">
        <v>45694</v>
      </c>
      <c r="J768" s="120">
        <f>WORKDAY(I768, 3)</f>
        <v>45699</v>
      </c>
      <c r="K768" s="148"/>
      <c r="L768" s="148"/>
      <c r="M768" s="148"/>
      <c r="N768" s="148"/>
      <c r="O768" s="119" t="s">
        <v>929</v>
      </c>
      <c r="P768" s="148"/>
      <c r="Q768" s="154"/>
      <c r="R768" s="149" t="s">
        <v>443</v>
      </c>
      <c r="S768" s="123"/>
    </row>
    <row r="769" spans="1:19" ht="144.75" hidden="1">
      <c r="A769" s="147" t="s">
        <v>438</v>
      </c>
      <c r="B769" s="147"/>
      <c r="C769" s="150">
        <v>37508541</v>
      </c>
      <c r="D769" s="150"/>
      <c r="F769" s="150"/>
      <c r="G769" s="29" t="s">
        <v>823</v>
      </c>
      <c r="H769" s="147" t="s">
        <v>439</v>
      </c>
      <c r="I769" s="148">
        <v>45694</v>
      </c>
      <c r="J769" s="120">
        <f>WORKDAY(I769, 3)</f>
        <v>45699</v>
      </c>
      <c r="K769" s="148"/>
      <c r="L769" s="148"/>
      <c r="M769" s="148"/>
      <c r="N769" s="148"/>
      <c r="O769" s="119" t="s">
        <v>929</v>
      </c>
      <c r="P769" s="148"/>
      <c r="Q769" s="154"/>
      <c r="R769" s="149" t="s">
        <v>444</v>
      </c>
      <c r="S769" s="123"/>
    </row>
    <row r="770" spans="1:19" ht="159" hidden="1">
      <c r="A770" s="147" t="s">
        <v>438</v>
      </c>
      <c r="B770" s="147"/>
      <c r="C770" s="150">
        <v>37508522</v>
      </c>
      <c r="D770" s="150"/>
      <c r="F770" s="150"/>
      <c r="G770" s="29" t="s">
        <v>823</v>
      </c>
      <c r="H770" s="147" t="s">
        <v>439</v>
      </c>
      <c r="I770" s="148">
        <v>45694</v>
      </c>
      <c r="J770" s="120">
        <f>WORKDAY(I770, 3)</f>
        <v>45699</v>
      </c>
      <c r="K770" s="148"/>
      <c r="L770" s="148"/>
      <c r="M770" s="148"/>
      <c r="N770" s="148"/>
      <c r="O770" s="119" t="s">
        <v>929</v>
      </c>
      <c r="P770" s="148"/>
      <c r="Q770" s="154"/>
      <c r="R770" s="149" t="s">
        <v>445</v>
      </c>
      <c r="S770" s="123"/>
    </row>
    <row r="771" spans="1:19" hidden="1">
      <c r="A771" s="29" t="s">
        <v>459</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460</v>
      </c>
      <c r="S771" s="123"/>
    </row>
    <row r="772" spans="1:19" hidden="1">
      <c r="A772" s="29" t="s">
        <v>459</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461</v>
      </c>
      <c r="S772" s="123"/>
    </row>
    <row r="773" spans="1:19" hidden="1">
      <c r="A773" s="29" t="s">
        <v>459</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462</v>
      </c>
      <c r="S773" s="123"/>
    </row>
    <row r="774" spans="1:19" hidden="1">
      <c r="A774" s="29" t="s">
        <v>459</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463</v>
      </c>
      <c r="S774" s="123"/>
    </row>
    <row r="775" spans="1:19" hidden="1">
      <c r="A775" s="29" t="s">
        <v>459</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464</v>
      </c>
      <c r="S775" s="123"/>
    </row>
    <row r="776" spans="1:19" hidden="1">
      <c r="A776" s="29" t="s">
        <v>459</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463</v>
      </c>
      <c r="S776" s="123"/>
    </row>
    <row r="777" spans="1:19" hidden="1">
      <c r="A777" s="29" t="s">
        <v>459</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465</v>
      </c>
      <c r="S777" s="123"/>
    </row>
    <row r="778" spans="1:19" hidden="1">
      <c r="A778" s="29" t="s">
        <v>459</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466</v>
      </c>
      <c r="S778" s="123"/>
    </row>
    <row r="779" spans="1:19" hidden="1">
      <c r="A779" s="29" t="s">
        <v>459</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467</v>
      </c>
      <c r="S779" s="123"/>
    </row>
    <row r="780" spans="1:19" hidden="1">
      <c r="A780" s="29" t="s">
        <v>459</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468</v>
      </c>
      <c r="S780" s="123"/>
    </row>
    <row r="781" spans="1:19" hidden="1">
      <c r="A781" s="29" t="s">
        <v>459</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469</v>
      </c>
      <c r="S781" s="123"/>
    </row>
    <row r="782" spans="1:19" hidden="1">
      <c r="A782" s="29" t="s">
        <v>459</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470</v>
      </c>
      <c r="S782" s="123"/>
    </row>
    <row r="783" spans="1:19" hidden="1">
      <c r="A783" s="29" t="s">
        <v>459</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466</v>
      </c>
      <c r="S783" s="123"/>
    </row>
    <row r="784" spans="1:19" hidden="1">
      <c r="A784" s="29" t="s">
        <v>459</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466</v>
      </c>
      <c r="S784" s="123"/>
    </row>
    <row r="785" spans="1:19" hidden="1">
      <c r="A785" s="29" t="s">
        <v>459</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470</v>
      </c>
      <c r="S785" s="123"/>
    </row>
    <row r="786" spans="1:19" hidden="1">
      <c r="A786" s="29" t="s">
        <v>459</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469</v>
      </c>
      <c r="S786" s="123"/>
    </row>
    <row r="787" spans="1:19" hidden="1">
      <c r="A787" s="29" t="s">
        <v>459</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468</v>
      </c>
      <c r="S787" s="123"/>
    </row>
    <row r="788" spans="1:19" hidden="1">
      <c r="A788" s="29" t="s">
        <v>433</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471</v>
      </c>
      <c r="S788" s="123"/>
    </row>
    <row r="789" spans="1:19" hidden="1">
      <c r="A789" s="29" t="s">
        <v>472</v>
      </c>
      <c r="B789" s="29"/>
      <c r="C789" s="29">
        <v>39500386</v>
      </c>
      <c r="D789" s="29"/>
      <c r="F789" s="29"/>
      <c r="G789" s="29" t="s">
        <v>823</v>
      </c>
      <c r="H789" s="29" t="s">
        <v>473</v>
      </c>
      <c r="I789" s="120">
        <v>45694</v>
      </c>
      <c r="J789" s="120">
        <f>WORKDAY(I789, 3)</f>
        <v>45699</v>
      </c>
      <c r="K789" s="120">
        <v>45729</v>
      </c>
      <c r="L789" s="120"/>
      <c r="M789" s="120"/>
      <c r="N789" s="120"/>
      <c r="O789" s="119" t="s">
        <v>929</v>
      </c>
      <c r="P789" s="120"/>
      <c r="Q789" s="135"/>
      <c r="R789" s="29" t="s">
        <v>474</v>
      </c>
      <c r="S789" s="123"/>
    </row>
    <row r="790" spans="1:19" hidden="1">
      <c r="A790" s="29" t="s">
        <v>472</v>
      </c>
      <c r="B790" s="29"/>
      <c r="C790" s="29">
        <v>39500383</v>
      </c>
      <c r="D790" s="29"/>
      <c r="F790" s="29"/>
      <c r="G790" s="29" t="s">
        <v>823</v>
      </c>
      <c r="H790" s="29" t="s">
        <v>473</v>
      </c>
      <c r="I790" s="120">
        <v>45694</v>
      </c>
      <c r="J790" s="120">
        <f>WORKDAY(I790, 3)</f>
        <v>45699</v>
      </c>
      <c r="K790" s="120">
        <v>45729</v>
      </c>
      <c r="L790" s="120"/>
      <c r="M790" s="120"/>
      <c r="N790" s="120"/>
      <c r="O790" s="119" t="s">
        <v>929</v>
      </c>
      <c r="P790" s="120"/>
      <c r="Q790" s="135"/>
      <c r="R790" s="29" t="s">
        <v>475</v>
      </c>
      <c r="S790" s="123"/>
    </row>
    <row r="791" spans="1:19" hidden="1">
      <c r="A791" s="29" t="s">
        <v>472</v>
      </c>
      <c r="B791" s="29"/>
      <c r="C791" s="29">
        <v>39500377</v>
      </c>
      <c r="D791" s="29"/>
      <c r="F791" s="29"/>
      <c r="G791" s="29" t="s">
        <v>823</v>
      </c>
      <c r="H791" s="29" t="s">
        <v>473</v>
      </c>
      <c r="I791" s="120">
        <v>45694</v>
      </c>
      <c r="J791" s="120">
        <f>WORKDAY(I791, 3)</f>
        <v>45699</v>
      </c>
      <c r="K791" s="120">
        <v>45729</v>
      </c>
      <c r="L791" s="120"/>
      <c r="M791" s="120"/>
      <c r="N791" s="120"/>
      <c r="O791" s="119" t="s">
        <v>929</v>
      </c>
      <c r="P791" s="120"/>
      <c r="Q791" s="135"/>
      <c r="R791" s="29" t="s">
        <v>476</v>
      </c>
      <c r="S791" s="123"/>
    </row>
    <row r="792" spans="1:19" hidden="1">
      <c r="A792" s="29" t="s">
        <v>511</v>
      </c>
      <c r="B792" s="29"/>
      <c r="C792" s="29">
        <v>38505536</v>
      </c>
      <c r="D792" s="29"/>
      <c r="F792" s="29"/>
      <c r="G792" s="29" t="s">
        <v>823</v>
      </c>
      <c r="H792" s="29" t="s">
        <v>486</v>
      </c>
      <c r="I792" s="120">
        <v>45695</v>
      </c>
      <c r="J792" s="120">
        <f>WORKDAY(I792, 3)</f>
        <v>45700</v>
      </c>
      <c r="K792" s="120"/>
      <c r="L792" s="120"/>
      <c r="M792" s="120"/>
      <c r="N792" s="120"/>
      <c r="O792" s="119" t="s">
        <v>929</v>
      </c>
      <c r="P792" s="120"/>
      <c r="Q792" s="135"/>
      <c r="R792" s="29" t="s">
        <v>487</v>
      </c>
      <c r="S792" s="123"/>
    </row>
    <row r="793" spans="1:19" hidden="1">
      <c r="A793" s="29" t="s">
        <v>511</v>
      </c>
      <c r="B793" s="29"/>
      <c r="C793" s="29">
        <v>38505300</v>
      </c>
      <c r="D793" s="29"/>
      <c r="F793" s="29"/>
      <c r="G793" s="29" t="s">
        <v>823</v>
      </c>
      <c r="H793" s="29" t="s">
        <v>486</v>
      </c>
      <c r="I793" s="120">
        <v>45695</v>
      </c>
      <c r="J793" s="120">
        <f>WORKDAY(I793, 3)</f>
        <v>45700</v>
      </c>
      <c r="K793" s="120"/>
      <c r="L793" s="120"/>
      <c r="M793" s="120"/>
      <c r="N793" s="120"/>
      <c r="O793" s="119" t="s">
        <v>929</v>
      </c>
      <c r="P793" s="120"/>
      <c r="Q793" s="135"/>
      <c r="R793" s="29" t="s">
        <v>487</v>
      </c>
      <c r="S793" s="123"/>
    </row>
    <row r="794" spans="1:19" hidden="1">
      <c r="A794" s="29" t="s">
        <v>511</v>
      </c>
      <c r="B794" s="29"/>
      <c r="C794" s="29">
        <v>38505266</v>
      </c>
      <c r="D794" s="29"/>
      <c r="F794" s="29"/>
      <c r="G794" s="29" t="s">
        <v>823</v>
      </c>
      <c r="H794" s="29" t="s">
        <v>486</v>
      </c>
      <c r="I794" s="120">
        <v>45695</v>
      </c>
      <c r="J794" s="120">
        <f>WORKDAY(I794, 3)</f>
        <v>45700</v>
      </c>
      <c r="K794" s="120"/>
      <c r="L794" s="120"/>
      <c r="M794" s="120"/>
      <c r="N794" s="120"/>
      <c r="O794" s="119" t="s">
        <v>929</v>
      </c>
      <c r="P794" s="120"/>
      <c r="Q794" s="135"/>
      <c r="R794" s="29" t="s">
        <v>487</v>
      </c>
      <c r="S794" s="123"/>
    </row>
    <row r="795" spans="1:19" hidden="1">
      <c r="A795" s="29" t="s">
        <v>511</v>
      </c>
      <c r="B795" s="29"/>
      <c r="C795" s="29">
        <v>38505238</v>
      </c>
      <c r="D795" s="29"/>
      <c r="F795" s="29"/>
      <c r="G795" s="29" t="s">
        <v>823</v>
      </c>
      <c r="H795" s="29" t="s">
        <v>486</v>
      </c>
      <c r="I795" s="120">
        <v>45695</v>
      </c>
      <c r="J795" s="120">
        <f>WORKDAY(I795, 3)</f>
        <v>45700</v>
      </c>
      <c r="K795" s="120"/>
      <c r="L795" s="120"/>
      <c r="M795" s="120"/>
      <c r="N795" s="120"/>
      <c r="O795" s="119" t="s">
        <v>929</v>
      </c>
      <c r="P795" s="120"/>
      <c r="Q795" s="135"/>
      <c r="R795" s="29" t="s">
        <v>487</v>
      </c>
      <c r="S795" s="123"/>
    </row>
    <row r="796" spans="1:19" hidden="1">
      <c r="A796" s="29" t="s">
        <v>511</v>
      </c>
      <c r="B796" s="29"/>
      <c r="C796" s="29">
        <v>38505158</v>
      </c>
      <c r="D796" s="29"/>
      <c r="F796" s="29"/>
      <c r="G796" s="29" t="s">
        <v>823</v>
      </c>
      <c r="H796" s="29" t="s">
        <v>486</v>
      </c>
      <c r="I796" s="120">
        <v>45695</v>
      </c>
      <c r="J796" s="120">
        <f>WORKDAY(I796, 3)</f>
        <v>45700</v>
      </c>
      <c r="K796" s="120"/>
      <c r="L796" s="120"/>
      <c r="M796" s="120"/>
      <c r="N796" s="120"/>
      <c r="O796" s="119" t="s">
        <v>929</v>
      </c>
      <c r="P796" s="120"/>
      <c r="Q796" s="135"/>
      <c r="R796" s="29" t="s">
        <v>488</v>
      </c>
      <c r="S796" s="123"/>
    </row>
    <row r="797" spans="1:19" hidden="1">
      <c r="A797" s="29" t="s">
        <v>511</v>
      </c>
      <c r="B797" s="29"/>
      <c r="C797" s="29">
        <v>38505119</v>
      </c>
      <c r="D797" s="29"/>
      <c r="F797" s="29"/>
      <c r="G797" s="29" t="s">
        <v>823</v>
      </c>
      <c r="H797" s="29" t="s">
        <v>486</v>
      </c>
      <c r="I797" s="120">
        <v>45695</v>
      </c>
      <c r="J797" s="120">
        <f>WORKDAY(I797, 3)</f>
        <v>45700</v>
      </c>
      <c r="K797" s="120"/>
      <c r="L797" s="120"/>
      <c r="M797" s="120"/>
      <c r="N797" s="120"/>
      <c r="O797" s="119" t="s">
        <v>929</v>
      </c>
      <c r="P797" s="120"/>
      <c r="Q797" s="135"/>
      <c r="R797" s="29" t="s">
        <v>489</v>
      </c>
      <c r="S797" s="123"/>
    </row>
    <row r="798" spans="1:19" hidden="1">
      <c r="A798" s="29" t="s">
        <v>511</v>
      </c>
      <c r="B798" s="29"/>
      <c r="C798" s="29">
        <v>38505007</v>
      </c>
      <c r="D798" s="29"/>
      <c r="F798" s="29"/>
      <c r="G798" s="29" t="s">
        <v>823</v>
      </c>
      <c r="H798" s="29" t="s">
        <v>486</v>
      </c>
      <c r="I798" s="120">
        <v>45695</v>
      </c>
      <c r="J798" s="120">
        <f>WORKDAY(I798, 3)</f>
        <v>45700</v>
      </c>
      <c r="K798" s="120"/>
      <c r="L798" s="120"/>
      <c r="M798" s="120"/>
      <c r="N798" s="120"/>
      <c r="O798" s="119" t="s">
        <v>929</v>
      </c>
      <c r="P798" s="120"/>
      <c r="Q798" s="135"/>
      <c r="R798" s="29" t="s">
        <v>490</v>
      </c>
      <c r="S798" s="123"/>
    </row>
    <row r="799" spans="1:19" hidden="1">
      <c r="A799" s="29" t="s">
        <v>511</v>
      </c>
      <c r="B799" s="29"/>
      <c r="C799" s="29">
        <v>38504963</v>
      </c>
      <c r="D799" s="29"/>
      <c r="F799" s="29"/>
      <c r="G799" s="29" t="s">
        <v>823</v>
      </c>
      <c r="H799" s="29" t="s">
        <v>486</v>
      </c>
      <c r="I799" s="120">
        <v>45695</v>
      </c>
      <c r="J799" s="120">
        <f>WORKDAY(I799, 3)</f>
        <v>45700</v>
      </c>
      <c r="K799" s="120"/>
      <c r="L799" s="120"/>
      <c r="M799" s="120"/>
      <c r="N799" s="120"/>
      <c r="O799" s="119" t="s">
        <v>929</v>
      </c>
      <c r="P799" s="120"/>
      <c r="Q799" s="135"/>
      <c r="R799" s="29" t="s">
        <v>491</v>
      </c>
      <c r="S799" s="123"/>
    </row>
    <row r="800" spans="1:19" hidden="1">
      <c r="A800" s="29" t="s">
        <v>511</v>
      </c>
      <c r="B800" s="29"/>
      <c r="C800" s="29">
        <v>38504886</v>
      </c>
      <c r="D800" s="29"/>
      <c r="F800" s="29"/>
      <c r="G800" s="29" t="s">
        <v>823</v>
      </c>
      <c r="H800" s="29" t="s">
        <v>486</v>
      </c>
      <c r="I800" s="120">
        <v>45695</v>
      </c>
      <c r="J800" s="120">
        <f>WORKDAY(I800, 3)</f>
        <v>45700</v>
      </c>
      <c r="K800" s="120"/>
      <c r="L800" s="120"/>
      <c r="M800" s="120"/>
      <c r="N800" s="120"/>
      <c r="O800" s="119" t="s">
        <v>929</v>
      </c>
      <c r="P800" s="120"/>
      <c r="Q800" s="135"/>
      <c r="R800" s="29" t="s">
        <v>492</v>
      </c>
      <c r="S800" s="123"/>
    </row>
    <row r="801" spans="1:19" hidden="1">
      <c r="A801" s="29" t="s">
        <v>511</v>
      </c>
      <c r="B801" s="29"/>
      <c r="C801" s="29">
        <v>38504796</v>
      </c>
      <c r="D801" s="29"/>
      <c r="F801" s="29"/>
      <c r="G801" s="29" t="s">
        <v>823</v>
      </c>
      <c r="H801" s="29" t="s">
        <v>486</v>
      </c>
      <c r="I801" s="120">
        <v>45695</v>
      </c>
      <c r="J801" s="120">
        <f>WORKDAY(I801, 3)</f>
        <v>45700</v>
      </c>
      <c r="K801" s="120"/>
      <c r="L801" s="120"/>
      <c r="M801" s="120"/>
      <c r="N801" s="120"/>
      <c r="O801" s="119" t="s">
        <v>929</v>
      </c>
      <c r="P801" s="120"/>
      <c r="Q801" s="135"/>
      <c r="R801" s="29" t="s">
        <v>493</v>
      </c>
      <c r="S801" s="123"/>
    </row>
    <row r="802" spans="1:19" hidden="1">
      <c r="A802" s="29" t="s">
        <v>511</v>
      </c>
      <c r="B802" s="29"/>
      <c r="C802" s="29">
        <v>38504725</v>
      </c>
      <c r="D802" s="29"/>
      <c r="F802" s="29"/>
      <c r="G802" s="29" t="s">
        <v>823</v>
      </c>
      <c r="H802" s="29" t="s">
        <v>486</v>
      </c>
      <c r="I802" s="120">
        <v>45695</v>
      </c>
      <c r="J802" s="120">
        <f>WORKDAY(I802, 3)</f>
        <v>45700</v>
      </c>
      <c r="K802" s="120"/>
      <c r="L802" s="120"/>
      <c r="M802" s="120"/>
      <c r="N802" s="120"/>
      <c r="O802" s="119" t="s">
        <v>929</v>
      </c>
      <c r="P802" s="120"/>
      <c r="Q802" s="135"/>
      <c r="R802" s="29" t="s">
        <v>494</v>
      </c>
      <c r="S802" s="123"/>
    </row>
    <row r="803" spans="1:19" hidden="1">
      <c r="A803" s="29" t="s">
        <v>511</v>
      </c>
      <c r="B803" s="29"/>
      <c r="C803" s="29">
        <v>38504674</v>
      </c>
      <c r="D803" s="29"/>
      <c r="F803" s="29"/>
      <c r="G803" s="29" t="s">
        <v>823</v>
      </c>
      <c r="H803" s="29" t="s">
        <v>486</v>
      </c>
      <c r="I803" s="120">
        <v>45695</v>
      </c>
      <c r="J803" s="120">
        <f>WORKDAY(I803, 3)</f>
        <v>45700</v>
      </c>
      <c r="K803" s="120"/>
      <c r="L803" s="120"/>
      <c r="M803" s="120"/>
      <c r="N803" s="120"/>
      <c r="O803" s="119" t="s">
        <v>929</v>
      </c>
      <c r="P803" s="120"/>
      <c r="Q803" s="135"/>
      <c r="R803" s="29" t="s">
        <v>495</v>
      </c>
      <c r="S803" s="123"/>
    </row>
    <row r="804" spans="1:19" hidden="1">
      <c r="A804" s="29" t="s">
        <v>511</v>
      </c>
      <c r="B804" s="29"/>
      <c r="C804" s="29">
        <v>38504585</v>
      </c>
      <c r="D804" s="29"/>
      <c r="F804" s="29"/>
      <c r="G804" s="29" t="s">
        <v>823</v>
      </c>
      <c r="H804" s="29" t="s">
        <v>486</v>
      </c>
      <c r="I804" s="120">
        <v>45695</v>
      </c>
      <c r="J804" s="120">
        <f>WORKDAY(I804, 3)</f>
        <v>45700</v>
      </c>
      <c r="K804" s="120"/>
      <c r="L804" s="120"/>
      <c r="M804" s="120"/>
      <c r="N804" s="120"/>
      <c r="O804" s="119" t="s">
        <v>929</v>
      </c>
      <c r="P804" s="120"/>
      <c r="Q804" s="135"/>
      <c r="R804" s="29" t="s">
        <v>496</v>
      </c>
      <c r="S804" s="123"/>
    </row>
    <row r="805" spans="1:19" hidden="1">
      <c r="A805" s="29" t="s">
        <v>497</v>
      </c>
      <c r="B805" s="29"/>
      <c r="C805" s="29">
        <v>38503182</v>
      </c>
      <c r="D805" s="29"/>
      <c r="F805" s="29"/>
      <c r="G805" s="29" t="s">
        <v>823</v>
      </c>
      <c r="H805" s="29" t="s">
        <v>473</v>
      </c>
      <c r="I805" s="120">
        <v>45694</v>
      </c>
      <c r="J805" s="120">
        <f>WORKDAY(I805, 3)</f>
        <v>45699</v>
      </c>
      <c r="K805" s="120">
        <v>45723</v>
      </c>
      <c r="L805" s="120"/>
      <c r="M805" s="120"/>
      <c r="N805" s="120"/>
      <c r="O805" s="119" t="s">
        <v>940</v>
      </c>
      <c r="P805" s="120"/>
      <c r="Q805" s="135"/>
      <c r="R805" s="29" t="s">
        <v>498</v>
      </c>
      <c r="S805" s="123"/>
    </row>
    <row r="806" spans="1:19" hidden="1">
      <c r="A806" s="29" t="s">
        <v>497</v>
      </c>
      <c r="B806" s="29"/>
      <c r="C806" s="29">
        <v>38503161</v>
      </c>
      <c r="D806" s="29"/>
      <c r="F806" s="29"/>
      <c r="G806" s="29" t="s">
        <v>823</v>
      </c>
      <c r="H806" s="29" t="s">
        <v>473</v>
      </c>
      <c r="I806" s="120">
        <v>45694</v>
      </c>
      <c r="J806" s="120">
        <f>WORKDAY(I806, 3)</f>
        <v>45699</v>
      </c>
      <c r="K806" s="120">
        <v>45723</v>
      </c>
      <c r="L806" s="120"/>
      <c r="M806" s="120"/>
      <c r="N806" s="120"/>
      <c r="O806" s="119" t="s">
        <v>940</v>
      </c>
      <c r="P806" s="120"/>
      <c r="Q806" s="135"/>
      <c r="R806" s="29" t="s">
        <v>499</v>
      </c>
      <c r="S806" s="123"/>
    </row>
    <row r="807" spans="1:19" hidden="1">
      <c r="A807" s="29" t="s">
        <v>497</v>
      </c>
      <c r="B807" s="29"/>
      <c r="C807" s="29">
        <v>38503146</v>
      </c>
      <c r="D807" s="29"/>
      <c r="F807" s="29"/>
      <c r="G807" s="29" t="s">
        <v>823</v>
      </c>
      <c r="H807" s="29" t="s">
        <v>473</v>
      </c>
      <c r="I807" s="120">
        <v>45694</v>
      </c>
      <c r="J807" s="120">
        <f>WORKDAY(I807, 3)</f>
        <v>45699</v>
      </c>
      <c r="K807" s="120">
        <v>45723</v>
      </c>
      <c r="L807" s="120"/>
      <c r="M807" s="120"/>
      <c r="N807" s="120"/>
      <c r="O807" s="119" t="s">
        <v>940</v>
      </c>
      <c r="P807" s="120"/>
      <c r="Q807" s="135"/>
      <c r="R807" s="29" t="s">
        <v>500</v>
      </c>
      <c r="S807" s="123"/>
    </row>
    <row r="808" spans="1:19" hidden="1">
      <c r="A808" s="29" t="s">
        <v>497</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500</v>
      </c>
      <c r="S808" s="123"/>
    </row>
    <row r="809" spans="1:19" hidden="1">
      <c r="A809" s="29" t="s">
        <v>497</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501</v>
      </c>
      <c r="S809" s="123"/>
    </row>
    <row r="810" spans="1:19" hidden="1">
      <c r="A810" s="29" t="s">
        <v>497</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502</v>
      </c>
      <c r="S810" s="123"/>
    </row>
    <row r="811" spans="1:19" hidden="1">
      <c r="A811" s="29" t="s">
        <v>497</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503</v>
      </c>
      <c r="S811" s="123"/>
    </row>
    <row r="812" spans="1:19" hidden="1">
      <c r="A812" s="29" t="s">
        <v>497</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503</v>
      </c>
      <c r="S812" s="123"/>
    </row>
    <row r="813" spans="1:19" hidden="1">
      <c r="A813" s="29" t="s">
        <v>438</v>
      </c>
      <c r="B813" s="29"/>
      <c r="C813" s="29">
        <v>36508918</v>
      </c>
      <c r="D813" s="29"/>
      <c r="F813" s="29"/>
      <c r="G813" s="29" t="s">
        <v>823</v>
      </c>
      <c r="H813" s="147" t="s">
        <v>439</v>
      </c>
      <c r="I813" s="120">
        <v>45694</v>
      </c>
      <c r="J813" s="120">
        <f>WORKDAY(I813, 3)</f>
        <v>45699</v>
      </c>
      <c r="K813" s="120"/>
      <c r="L813" s="120"/>
      <c r="M813" s="120"/>
      <c r="N813" s="120"/>
      <c r="O813" s="119" t="s">
        <v>929</v>
      </c>
      <c r="P813" s="120"/>
      <c r="Q813" s="135"/>
      <c r="R813" s="29" t="s">
        <v>504</v>
      </c>
      <c r="S813" s="123"/>
    </row>
    <row r="814" spans="1:19" hidden="1">
      <c r="A814" s="29" t="s">
        <v>438</v>
      </c>
      <c r="B814" s="29"/>
      <c r="C814" s="29">
        <v>37508575</v>
      </c>
      <c r="D814" s="29"/>
      <c r="F814" s="29"/>
      <c r="G814" s="29" t="s">
        <v>823</v>
      </c>
      <c r="H814" s="147" t="s">
        <v>439</v>
      </c>
      <c r="I814" s="120">
        <v>45694</v>
      </c>
      <c r="J814" s="120">
        <f>WORKDAY(I814, 3)</f>
        <v>45699</v>
      </c>
      <c r="K814" s="120"/>
      <c r="L814" s="120"/>
      <c r="M814" s="120"/>
      <c r="N814" s="120"/>
      <c r="O814" s="119" t="s">
        <v>929</v>
      </c>
      <c r="P814" s="120"/>
      <c r="Q814" s="135"/>
      <c r="R814" s="29" t="s">
        <v>505</v>
      </c>
      <c r="S814" s="123"/>
    </row>
    <row r="815" spans="1:19" hidden="1">
      <c r="A815" s="29" t="s">
        <v>438</v>
      </c>
      <c r="B815" s="29"/>
      <c r="C815" s="29">
        <v>37508561</v>
      </c>
      <c r="D815" s="29"/>
      <c r="F815" s="29"/>
      <c r="G815" s="29" t="s">
        <v>823</v>
      </c>
      <c r="H815" s="147" t="s">
        <v>439</v>
      </c>
      <c r="I815" s="120">
        <v>45694</v>
      </c>
      <c r="J815" s="120">
        <f>WORKDAY(I815, 3)</f>
        <v>45699</v>
      </c>
      <c r="K815" s="120"/>
      <c r="L815" s="120"/>
      <c r="M815" s="120"/>
      <c r="N815" s="120"/>
      <c r="O815" s="119" t="s">
        <v>929</v>
      </c>
      <c r="P815" s="120"/>
      <c r="Q815" s="135"/>
      <c r="R815" s="29" t="s">
        <v>507</v>
      </c>
      <c r="S815" s="123"/>
    </row>
    <row r="816" spans="1:19" hidden="1">
      <c r="A816" s="29" t="s">
        <v>438</v>
      </c>
      <c r="B816" s="29"/>
      <c r="C816" s="29">
        <v>37508541</v>
      </c>
      <c r="D816" s="29"/>
      <c r="F816" s="29"/>
      <c r="G816" s="29" t="s">
        <v>823</v>
      </c>
      <c r="H816" s="147" t="s">
        <v>439</v>
      </c>
      <c r="I816" s="120">
        <v>45694</v>
      </c>
      <c r="J816" s="120">
        <f>WORKDAY(I816, 3)</f>
        <v>45699</v>
      </c>
      <c r="K816" s="120"/>
      <c r="L816" s="120"/>
      <c r="M816" s="120"/>
      <c r="N816" s="120"/>
      <c r="O816" s="119" t="s">
        <v>929</v>
      </c>
      <c r="P816" s="120"/>
      <c r="Q816" s="135"/>
      <c r="R816" s="29" t="s">
        <v>504</v>
      </c>
      <c r="S816" s="123"/>
    </row>
    <row r="817" spans="1:19" hidden="1">
      <c r="A817" s="29" t="s">
        <v>438</v>
      </c>
      <c r="B817" s="29"/>
      <c r="C817" s="29">
        <v>37508522</v>
      </c>
      <c r="D817" s="29"/>
      <c r="F817" s="29"/>
      <c r="G817" s="29" t="s">
        <v>823</v>
      </c>
      <c r="H817" s="147" t="s">
        <v>439</v>
      </c>
      <c r="I817" s="120">
        <v>45694</v>
      </c>
      <c r="J817" s="120">
        <f>WORKDAY(I817, 3)</f>
        <v>45699</v>
      </c>
      <c r="K817" s="120"/>
      <c r="L817" s="120"/>
      <c r="M817" s="120"/>
      <c r="N817" s="120"/>
      <c r="O817" s="119" t="s">
        <v>929</v>
      </c>
      <c r="P817" s="120"/>
      <c r="Q817" s="135"/>
      <c r="R817" s="29" t="s">
        <v>508</v>
      </c>
      <c r="S817" s="123"/>
    </row>
    <row r="818" spans="1:19" hidden="1">
      <c r="A818" s="29" t="s">
        <v>366</v>
      </c>
      <c r="B818" s="29"/>
      <c r="C818" s="29">
        <v>37508488</v>
      </c>
      <c r="D818" s="29"/>
      <c r="F818" s="29"/>
      <c r="G818" s="29" t="s">
        <v>823</v>
      </c>
      <c r="H818" s="29" t="s">
        <v>367</v>
      </c>
      <c r="I818" s="120">
        <v>45694</v>
      </c>
      <c r="J818" s="120">
        <f>WORKDAY(I818, 3)</f>
        <v>45699</v>
      </c>
      <c r="K818" s="120"/>
      <c r="L818" s="120"/>
      <c r="M818" s="120"/>
      <c r="N818" s="120">
        <v>45701</v>
      </c>
      <c r="O818" s="119" t="s">
        <v>10</v>
      </c>
      <c r="P818" s="152"/>
      <c r="Q818" s="153"/>
      <c r="R818" s="29" t="s">
        <v>509</v>
      </c>
      <c r="S818" s="123"/>
    </row>
    <row r="819" spans="1:19" hidden="1">
      <c r="A819" s="29" t="s">
        <v>438</v>
      </c>
      <c r="B819" s="29"/>
      <c r="C819" s="29">
        <v>37508476</v>
      </c>
      <c r="D819" s="29"/>
      <c r="F819" s="29"/>
      <c r="G819" s="29" t="s">
        <v>823</v>
      </c>
      <c r="H819" s="147" t="s">
        <v>439</v>
      </c>
      <c r="I819" s="120">
        <v>45694</v>
      </c>
      <c r="J819" s="120">
        <f>WORKDAY(I819, 3)</f>
        <v>45699</v>
      </c>
      <c r="K819" s="120"/>
      <c r="L819" s="120"/>
      <c r="M819" s="120"/>
      <c r="N819" s="120"/>
      <c r="O819" s="119" t="s">
        <v>929</v>
      </c>
      <c r="P819" s="120"/>
      <c r="Q819" s="135"/>
      <c r="R819" s="29" t="s">
        <v>510</v>
      </c>
      <c r="S819" s="123"/>
    </row>
    <row r="820" spans="1:19" hidden="1">
      <c r="A820" s="41" t="s">
        <v>335</v>
      </c>
      <c r="B820" s="41"/>
      <c r="C820" s="41">
        <v>35505986</v>
      </c>
      <c r="D820" s="41"/>
      <c r="F820" s="41"/>
      <c r="G820" s="29" t="s">
        <v>823</v>
      </c>
      <c r="H820" s="147" t="s">
        <v>280</v>
      </c>
      <c r="I820" s="148">
        <v>45695</v>
      </c>
      <c r="J820" s="120">
        <f>WORKDAY(I820, 3)</f>
        <v>45700</v>
      </c>
      <c r="K820" s="148"/>
      <c r="L820" s="148"/>
      <c r="M820" s="148"/>
      <c r="N820" s="120">
        <v>45698</v>
      </c>
      <c r="O820" s="119" t="s">
        <v>10</v>
      </c>
      <c r="P820" s="152"/>
      <c r="Q820" s="153"/>
      <c r="R820" s="149"/>
      <c r="S820" s="123"/>
    </row>
    <row r="821" spans="1:19" hidden="1">
      <c r="A821" s="41" t="s">
        <v>335</v>
      </c>
      <c r="B821" s="41"/>
      <c r="C821" s="41">
        <v>35506054</v>
      </c>
      <c r="D821" s="41"/>
      <c r="F821" s="41"/>
      <c r="G821" s="29" t="s">
        <v>823</v>
      </c>
      <c r="H821" s="147" t="s">
        <v>280</v>
      </c>
      <c r="I821" s="148">
        <v>45695</v>
      </c>
      <c r="J821" s="120">
        <f>WORKDAY(I821, 3)</f>
        <v>45700</v>
      </c>
      <c r="K821" s="148"/>
      <c r="L821" s="148"/>
      <c r="M821" s="148"/>
      <c r="N821" s="120">
        <v>45698</v>
      </c>
      <c r="O821" s="119" t="s">
        <v>10</v>
      </c>
      <c r="P821" s="152"/>
      <c r="Q821" s="153"/>
      <c r="R821" s="149"/>
      <c r="S821" s="123"/>
    </row>
    <row r="822" spans="1:19" hidden="1">
      <c r="A822" s="41" t="s">
        <v>335</v>
      </c>
      <c r="B822" s="41"/>
      <c r="C822" s="41">
        <v>35506111</v>
      </c>
      <c r="D822" s="41"/>
      <c r="F822" s="41"/>
      <c r="G822" s="29" t="s">
        <v>823</v>
      </c>
      <c r="H822" s="147" t="s">
        <v>280</v>
      </c>
      <c r="I822" s="148">
        <v>45695</v>
      </c>
      <c r="J822" s="120">
        <f>WORKDAY(I822, 3)</f>
        <v>45700</v>
      </c>
      <c r="K822" s="148"/>
      <c r="L822" s="148"/>
      <c r="M822" s="148"/>
      <c r="N822" s="148">
        <v>45717</v>
      </c>
      <c r="O822" s="119" t="s">
        <v>10</v>
      </c>
      <c r="P822" s="152"/>
      <c r="Q822" s="153"/>
      <c r="R822" s="149"/>
      <c r="S822" s="123"/>
    </row>
    <row r="823" spans="1:19" hidden="1">
      <c r="A823" s="41" t="s">
        <v>335</v>
      </c>
      <c r="B823" s="41"/>
      <c r="C823" s="41">
        <v>35506159</v>
      </c>
      <c r="D823" s="41"/>
      <c r="F823" s="41"/>
      <c r="G823" s="29" t="s">
        <v>823</v>
      </c>
      <c r="H823" s="147" t="s">
        <v>280</v>
      </c>
      <c r="I823" s="148">
        <v>45695</v>
      </c>
      <c r="J823" s="120">
        <f>WORKDAY(I823, 3)</f>
        <v>45700</v>
      </c>
      <c r="K823" s="148"/>
      <c r="L823" s="148"/>
      <c r="M823" s="148"/>
      <c r="N823" s="120">
        <v>45701</v>
      </c>
      <c r="O823" s="119" t="s">
        <v>10</v>
      </c>
      <c r="P823" s="152"/>
      <c r="Q823" s="153"/>
      <c r="R823" s="149"/>
      <c r="S823" s="123"/>
    </row>
    <row r="824" spans="1:19" hidden="1">
      <c r="A824" s="41" t="s">
        <v>335</v>
      </c>
      <c r="B824" s="41"/>
      <c r="C824" s="41">
        <v>35506199</v>
      </c>
      <c r="D824" s="41"/>
      <c r="F824" s="41"/>
      <c r="G824" s="29" t="s">
        <v>823</v>
      </c>
      <c r="H824" s="147" t="s">
        <v>280</v>
      </c>
      <c r="I824" s="148">
        <v>45695</v>
      </c>
      <c r="J824" s="120">
        <f>WORKDAY(I824, 3)</f>
        <v>45700</v>
      </c>
      <c r="K824" s="148"/>
      <c r="L824" s="148"/>
      <c r="M824" s="148"/>
      <c r="N824" s="120">
        <v>45701</v>
      </c>
      <c r="O824" s="119" t="s">
        <v>10</v>
      </c>
      <c r="P824" s="152"/>
      <c r="Q824" s="153"/>
      <c r="R824" s="149"/>
      <c r="S824" s="123"/>
    </row>
    <row r="825" spans="1:19" hidden="1">
      <c r="A825" s="41" t="s">
        <v>335</v>
      </c>
      <c r="B825" s="41"/>
      <c r="C825" s="41">
        <v>35506238</v>
      </c>
      <c r="D825" s="41"/>
      <c r="F825" s="41"/>
      <c r="G825" s="29" t="s">
        <v>823</v>
      </c>
      <c r="H825" s="147" t="s">
        <v>280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439</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439</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439</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439</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439</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439</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439</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439</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439</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439</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439</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439</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439</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316</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316</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316</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316</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316</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316</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316</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316</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316</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316</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316</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316</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316</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316</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316</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316</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316</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316</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316</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316</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316</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316</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316</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316</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316</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316</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316</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316</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316</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316</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316</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316</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316</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316</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316</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316</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316</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316</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316</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316</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316</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316</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316</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316</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316</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316</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316</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316</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316</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316</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316</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316</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316</v>
      </c>
      <c r="I891" s="120">
        <v>45695</v>
      </c>
      <c r="J891" s="120">
        <f>WORKDAY(I891, 3)</f>
        <v>45700</v>
      </c>
      <c r="K891" s="120"/>
      <c r="L891" s="120"/>
      <c r="M891" s="120"/>
      <c r="N891" s="120"/>
      <c r="O891" s="119" t="s">
        <v>929</v>
      </c>
      <c r="P891" s="120"/>
      <c r="Q891" s="135"/>
      <c r="R891" s="29" t="s">
        <v>904</v>
      </c>
      <c r="S891" s="123"/>
    </row>
    <row r="892" spans="1:19" hidden="1">
      <c r="A892" s="29" t="s">
        <v>472</v>
      </c>
      <c r="B892" s="29"/>
      <c r="C892" s="29">
        <v>39500389</v>
      </c>
      <c r="D892" s="29"/>
      <c r="F892" s="29"/>
      <c r="G892" s="29" t="s">
        <v>823</v>
      </c>
      <c r="H892" s="29" t="s">
        <v>473</v>
      </c>
      <c r="I892" s="120">
        <v>45696</v>
      </c>
      <c r="J892" s="120">
        <f>WORKDAY(I892, 3)</f>
        <v>45700</v>
      </c>
      <c r="K892" s="120"/>
      <c r="L892" s="120"/>
      <c r="M892" s="120"/>
      <c r="N892" s="120">
        <v>45720</v>
      </c>
      <c r="O892" s="119" t="s">
        <v>10</v>
      </c>
      <c r="P892" s="152"/>
      <c r="Q892" s="153"/>
      <c r="R892" s="29" t="s">
        <v>512</v>
      </c>
      <c r="S892" s="123"/>
    </row>
    <row r="893" spans="1:19" hidden="1">
      <c r="A893" s="29" t="s">
        <v>472</v>
      </c>
      <c r="B893" s="29"/>
      <c r="C893" s="29">
        <v>39500387</v>
      </c>
      <c r="D893" s="29"/>
      <c r="F893" s="29"/>
      <c r="G893" s="29" t="s">
        <v>823</v>
      </c>
      <c r="H893" s="29" t="s">
        <v>473</v>
      </c>
      <c r="I893" s="120">
        <v>45696</v>
      </c>
      <c r="J893" s="120">
        <f>WORKDAY(I893, 3)</f>
        <v>45700</v>
      </c>
      <c r="K893" s="120"/>
      <c r="L893" s="120"/>
      <c r="M893" s="120"/>
      <c r="N893" s="120">
        <v>45710</v>
      </c>
      <c r="O893" s="119" t="s">
        <v>10</v>
      </c>
      <c r="P893" s="152"/>
      <c r="Q893" s="153"/>
      <c r="R893" s="29" t="s">
        <v>513</v>
      </c>
      <c r="S893" s="123"/>
    </row>
    <row r="894" spans="1:19" hidden="1">
      <c r="A894" s="29" t="s">
        <v>472</v>
      </c>
      <c r="B894" s="29"/>
      <c r="C894" s="29">
        <v>39500392</v>
      </c>
      <c r="D894" s="29"/>
      <c r="F894" s="29"/>
      <c r="G894" s="29" t="s">
        <v>823</v>
      </c>
      <c r="H894" s="29" t="s">
        <v>473</v>
      </c>
      <c r="I894" s="120">
        <v>45696</v>
      </c>
      <c r="J894" s="120">
        <f>WORKDAY(I894, 3)</f>
        <v>45700</v>
      </c>
      <c r="K894" s="120"/>
      <c r="L894" s="120"/>
      <c r="M894" s="120"/>
      <c r="N894" s="120">
        <v>45710</v>
      </c>
      <c r="O894" s="119" t="s">
        <v>10</v>
      </c>
      <c r="P894" s="152"/>
      <c r="Q894" s="153"/>
      <c r="R894" s="29" t="s">
        <v>513</v>
      </c>
      <c r="S894" s="123"/>
    </row>
    <row r="895" spans="1:19" hidden="1">
      <c r="A895" s="29" t="s">
        <v>472</v>
      </c>
      <c r="B895" s="29"/>
      <c r="C895" s="29">
        <v>39500391</v>
      </c>
      <c r="D895" s="29"/>
      <c r="F895" s="29"/>
      <c r="G895" s="29" t="s">
        <v>823</v>
      </c>
      <c r="H895" s="29" t="s">
        <v>473</v>
      </c>
      <c r="I895" s="120">
        <v>45696</v>
      </c>
      <c r="J895" s="120">
        <f>WORKDAY(I895, 3)</f>
        <v>45700</v>
      </c>
      <c r="K895" s="120"/>
      <c r="L895" s="120"/>
      <c r="M895" s="120"/>
      <c r="N895" s="120">
        <v>45710</v>
      </c>
      <c r="O895" s="119" t="s">
        <v>10</v>
      </c>
      <c r="P895" s="152"/>
      <c r="Q895" s="153"/>
      <c r="R895" s="29" t="s">
        <v>514</v>
      </c>
      <c r="S895" s="123"/>
    </row>
    <row r="896" spans="1:19" hidden="1">
      <c r="A896" s="29" t="s">
        <v>472</v>
      </c>
      <c r="B896" s="29"/>
      <c r="C896" s="29">
        <v>39500395</v>
      </c>
      <c r="D896" s="29"/>
      <c r="F896" s="29"/>
      <c r="G896" s="29" t="s">
        <v>823</v>
      </c>
      <c r="H896" s="29" t="s">
        <v>473</v>
      </c>
      <c r="I896" s="120">
        <v>45696</v>
      </c>
      <c r="J896" s="120">
        <f>WORKDAY(I896, 3)</f>
        <v>45700</v>
      </c>
      <c r="K896" s="120"/>
      <c r="L896" s="120"/>
      <c r="M896" s="120"/>
      <c r="N896" s="120">
        <v>45719</v>
      </c>
      <c r="O896" s="119" t="s">
        <v>10</v>
      </c>
      <c r="P896" s="152"/>
      <c r="Q896" s="153"/>
      <c r="R896" s="29" t="s">
        <v>515</v>
      </c>
      <c r="S896" s="123"/>
    </row>
    <row r="897" spans="1:19" hidden="1">
      <c r="A897" s="29" t="s">
        <v>472</v>
      </c>
      <c r="B897" s="29"/>
      <c r="C897" s="29">
        <v>39500399</v>
      </c>
      <c r="D897" s="29"/>
      <c r="F897" s="29"/>
      <c r="G897" s="29" t="s">
        <v>823</v>
      </c>
      <c r="H897" s="29" t="s">
        <v>473</v>
      </c>
      <c r="I897" s="120">
        <v>45696</v>
      </c>
      <c r="J897" s="120">
        <f>WORKDAY(I897, 3)</f>
        <v>45700</v>
      </c>
      <c r="K897" s="120"/>
      <c r="L897" s="120"/>
      <c r="M897" s="120"/>
      <c r="N897" s="120">
        <v>45710</v>
      </c>
      <c r="O897" s="119" t="s">
        <v>10</v>
      </c>
      <c r="P897" s="152"/>
      <c r="Q897" s="153"/>
      <c r="R897" s="29" t="s">
        <v>515</v>
      </c>
      <c r="S897" s="123"/>
    </row>
    <row r="898" spans="1:19" hidden="1">
      <c r="A898" s="29" t="s">
        <v>472</v>
      </c>
      <c r="B898" s="29"/>
      <c r="C898" s="29">
        <v>39500402</v>
      </c>
      <c r="D898" s="29"/>
      <c r="F898" s="29"/>
      <c r="G898" s="29" t="s">
        <v>823</v>
      </c>
      <c r="H898" s="29" t="s">
        <v>473</v>
      </c>
      <c r="I898" s="120">
        <v>45696</v>
      </c>
      <c r="J898" s="120">
        <f>WORKDAY(I898, 3)</f>
        <v>45700</v>
      </c>
      <c r="K898" s="120"/>
      <c r="L898" s="120"/>
      <c r="M898" s="120"/>
      <c r="N898" s="120">
        <v>45709</v>
      </c>
      <c r="O898" s="119" t="s">
        <v>10</v>
      </c>
      <c r="P898" s="152"/>
      <c r="Q898" s="153"/>
      <c r="R898" s="29" t="s">
        <v>516</v>
      </c>
      <c r="S898" s="123"/>
    </row>
    <row r="899" spans="1:19" hidden="1">
      <c r="A899" s="29" t="s">
        <v>472</v>
      </c>
      <c r="B899" s="29"/>
      <c r="C899" s="29">
        <v>39500404</v>
      </c>
      <c r="D899" s="29"/>
      <c r="F899" s="29"/>
      <c r="G899" s="29" t="s">
        <v>823</v>
      </c>
      <c r="H899" s="29" t="s">
        <v>473</v>
      </c>
      <c r="I899" s="120">
        <v>45696</v>
      </c>
      <c r="J899" s="120">
        <f>WORKDAY(I899, 3)</f>
        <v>45700</v>
      </c>
      <c r="K899" s="120"/>
      <c r="L899" s="120"/>
      <c r="M899" s="120"/>
      <c r="N899" s="120">
        <v>45709</v>
      </c>
      <c r="O899" s="119" t="s">
        <v>10</v>
      </c>
      <c r="P899" s="152"/>
      <c r="Q899" s="153"/>
      <c r="R899" s="29" t="s">
        <v>516</v>
      </c>
      <c r="S899" s="123"/>
    </row>
    <row r="900" spans="1:19" hidden="1">
      <c r="A900" s="29" t="s">
        <v>472</v>
      </c>
      <c r="B900" s="29"/>
      <c r="C900" s="29">
        <v>39500405</v>
      </c>
      <c r="D900" s="29"/>
      <c r="F900" s="29"/>
      <c r="G900" s="29" t="s">
        <v>823</v>
      </c>
      <c r="H900" s="29" t="s">
        <v>473</v>
      </c>
      <c r="I900" s="120">
        <v>45696</v>
      </c>
      <c r="J900" s="120">
        <f>WORKDAY(I900, 3)</f>
        <v>45700</v>
      </c>
      <c r="K900" s="120"/>
      <c r="L900" s="120"/>
      <c r="M900" s="120"/>
      <c r="N900" s="120">
        <v>45709</v>
      </c>
      <c r="O900" s="119" t="s">
        <v>10</v>
      </c>
      <c r="P900" s="152"/>
      <c r="Q900" s="153"/>
      <c r="R900" s="29" t="s">
        <v>517</v>
      </c>
      <c r="S900" s="123"/>
    </row>
    <row r="901" spans="1:19" hidden="1">
      <c r="A901" s="29" t="s">
        <v>472</v>
      </c>
      <c r="B901" s="29"/>
      <c r="C901" s="29">
        <v>39500411</v>
      </c>
      <c r="D901" s="29"/>
      <c r="F901" s="29"/>
      <c r="G901" s="29" t="s">
        <v>823</v>
      </c>
      <c r="H901" s="29" t="s">
        <v>473</v>
      </c>
      <c r="I901" s="120">
        <v>45696</v>
      </c>
      <c r="J901" s="120">
        <f>WORKDAY(I901, 3)</f>
        <v>45700</v>
      </c>
      <c r="K901" s="120"/>
      <c r="L901" s="120"/>
      <c r="M901" s="120"/>
      <c r="N901" s="120">
        <v>45710</v>
      </c>
      <c r="O901" s="119" t="s">
        <v>10</v>
      </c>
      <c r="P901" s="152"/>
      <c r="Q901" s="153"/>
      <c r="R901" s="29" t="s">
        <v>514</v>
      </c>
      <c r="S901" s="123"/>
    </row>
    <row r="902" spans="1:19" hidden="1">
      <c r="A902" s="29" t="s">
        <v>472</v>
      </c>
      <c r="B902" s="29"/>
      <c r="C902" s="29">
        <v>39500408</v>
      </c>
      <c r="D902" s="29"/>
      <c r="F902" s="29"/>
      <c r="G902" s="29" t="s">
        <v>823</v>
      </c>
      <c r="H902" s="29" t="s">
        <v>473</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486</v>
      </c>
      <c r="I903" s="120">
        <v>45701</v>
      </c>
      <c r="J903" s="120">
        <f>WORKDAY(I903, 3)</f>
        <v>45706</v>
      </c>
      <c r="K903" s="120"/>
      <c r="L903" s="120"/>
      <c r="M903" s="120"/>
      <c r="N903" s="120"/>
      <c r="O903" s="119" t="s">
        <v>929</v>
      </c>
      <c r="P903" s="120"/>
      <c r="Q903" s="135"/>
      <c r="R903" s="41" t="s">
        <v>452</v>
      </c>
      <c r="S903" s="123"/>
    </row>
    <row r="904" spans="1:19" hidden="1">
      <c r="A904" s="84" t="s">
        <v>511</v>
      </c>
      <c r="B904" s="84"/>
      <c r="C904" s="41">
        <v>44504071</v>
      </c>
      <c r="D904" s="41"/>
      <c r="F904" s="41"/>
      <c r="G904" s="29" t="s">
        <v>823</v>
      </c>
      <c r="H904" s="29" t="s">
        <v>486</v>
      </c>
      <c r="I904" s="120">
        <v>45701</v>
      </c>
      <c r="J904" s="120">
        <f>WORKDAY(I904, 3)</f>
        <v>45706</v>
      </c>
      <c r="K904" s="120"/>
      <c r="L904" s="120"/>
      <c r="M904" s="120"/>
      <c r="N904" s="120"/>
      <c r="O904" s="119" t="s">
        <v>929</v>
      </c>
      <c r="P904" s="120"/>
      <c r="Q904" s="135"/>
      <c r="R904" s="41" t="s">
        <v>452</v>
      </c>
      <c r="S904" s="123"/>
    </row>
    <row r="905" spans="1:19" hidden="1">
      <c r="A905" s="84" t="s">
        <v>511</v>
      </c>
      <c r="B905" s="84"/>
      <c r="C905" s="41">
        <v>44504166</v>
      </c>
      <c r="D905" s="41"/>
      <c r="F905" s="41"/>
      <c r="G905" s="29" t="s">
        <v>823</v>
      </c>
      <c r="H905" s="29" t="s">
        <v>486</v>
      </c>
      <c r="I905" s="120">
        <v>45701</v>
      </c>
      <c r="J905" s="120">
        <f>WORKDAY(I905, 3)</f>
        <v>45706</v>
      </c>
      <c r="K905" s="120"/>
      <c r="L905" s="120"/>
      <c r="M905" s="120"/>
      <c r="N905" s="120"/>
      <c r="O905" s="119" t="s">
        <v>929</v>
      </c>
      <c r="P905" s="120"/>
      <c r="Q905" s="135"/>
      <c r="R905" s="41" t="s">
        <v>452</v>
      </c>
      <c r="S905" s="123"/>
    </row>
    <row r="906" spans="1:19" hidden="1">
      <c r="A906" s="84" t="s">
        <v>511</v>
      </c>
      <c r="B906" s="84"/>
      <c r="C906" s="41">
        <v>44504210</v>
      </c>
      <c r="D906" s="41"/>
      <c r="F906" s="41"/>
      <c r="G906" s="29" t="s">
        <v>823</v>
      </c>
      <c r="H906" s="29" t="s">
        <v>486</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486</v>
      </c>
      <c r="I907" s="120">
        <v>45701</v>
      </c>
      <c r="J907" s="120">
        <f>WORKDAY(I907, 3)</f>
        <v>45706</v>
      </c>
      <c r="K907" s="120"/>
      <c r="L907" s="120"/>
      <c r="M907" s="120"/>
      <c r="N907" s="120"/>
      <c r="O907" s="119" t="s">
        <v>929</v>
      </c>
      <c r="P907" s="120"/>
      <c r="Q907" s="135"/>
      <c r="R907" s="41" t="s">
        <v>452</v>
      </c>
      <c r="S907" s="123"/>
    </row>
    <row r="908" spans="1:19" hidden="1">
      <c r="A908" s="84" t="s">
        <v>511</v>
      </c>
      <c r="B908" s="84"/>
      <c r="C908" s="41">
        <v>44504648</v>
      </c>
      <c r="D908" s="41"/>
      <c r="F908" s="41"/>
      <c r="G908" s="29" t="s">
        <v>823</v>
      </c>
      <c r="H908" s="29" t="s">
        <v>486</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486</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367</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367</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367</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367</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367</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367</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367</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367</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366</v>
      </c>
      <c r="B940" s="41"/>
      <c r="C940" s="41">
        <v>3506891</v>
      </c>
      <c r="D940" s="41"/>
      <c r="F940" s="41"/>
      <c r="G940" s="29" t="s">
        <v>823</v>
      </c>
      <c r="H940" s="29" t="s">
        <v>367</v>
      </c>
      <c r="I940" s="42">
        <v>45695</v>
      </c>
      <c r="J940" s="120">
        <f>WORKDAY(I940, 3)</f>
        <v>45700</v>
      </c>
      <c r="K940" s="42"/>
      <c r="L940" s="42"/>
      <c r="M940" s="42"/>
      <c r="N940" s="42"/>
      <c r="O940" s="119" t="s">
        <v>929</v>
      </c>
      <c r="P940" s="42"/>
      <c r="Q940" s="136"/>
      <c r="R940" s="41" t="s">
        <v>603</v>
      </c>
    </row>
    <row r="941" spans="1:19" hidden="1">
      <c r="A941" s="41" t="s">
        <v>366</v>
      </c>
      <c r="B941" s="41"/>
      <c r="C941" s="41">
        <v>35506896</v>
      </c>
      <c r="D941" s="41"/>
      <c r="F941" s="41"/>
      <c r="G941" s="29" t="s">
        <v>823</v>
      </c>
      <c r="H941" s="29" t="s">
        <v>367</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367</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367</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367</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367</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367</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367</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367</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367</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367</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367</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367</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367</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367</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367</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367</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367</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367</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367</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316</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316</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316</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316</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316</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316</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316</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316</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316</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316</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316</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316</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316</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316</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316</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316</v>
      </c>
      <c r="I975" s="42">
        <v>45707</v>
      </c>
      <c r="J975" s="120">
        <f>WORKDAY(I975, 3)</f>
        <v>45712</v>
      </c>
      <c r="K975" s="42"/>
      <c r="L975" s="42"/>
      <c r="M975" s="42"/>
      <c r="N975" s="42">
        <v>45714</v>
      </c>
      <c r="O975" s="119" t="s">
        <v>10</v>
      </c>
      <c r="P975" s="152"/>
      <c r="Q975" s="153"/>
      <c r="R975" s="41" t="s">
        <v>638</v>
      </c>
    </row>
    <row r="976" spans="1:18" hidden="1">
      <c r="A976" s="147" t="s">
        <v>290</v>
      </c>
      <c r="B976" s="147"/>
      <c r="C976" s="41">
        <v>51504010</v>
      </c>
      <c r="D976" s="41"/>
      <c r="F976" s="41"/>
      <c r="G976" s="41" t="s">
        <v>823</v>
      </c>
      <c r="H976" s="29" t="s">
        <v>315</v>
      </c>
      <c r="I976" s="42">
        <v>45708</v>
      </c>
      <c r="J976" s="120">
        <f>WORKDAY(I976, 3)</f>
        <v>45713</v>
      </c>
      <c r="K976" s="42"/>
      <c r="L976" s="42"/>
      <c r="M976" s="42"/>
      <c r="N976" s="42">
        <v>45714</v>
      </c>
      <c r="O976" s="119" t="s">
        <v>10</v>
      </c>
      <c r="P976" s="152"/>
      <c r="Q976" s="153"/>
      <c r="R976" s="41" t="s">
        <v>639</v>
      </c>
    </row>
    <row r="977" spans="1:18" hidden="1">
      <c r="A977" s="147" t="s">
        <v>290</v>
      </c>
      <c r="B977" s="147"/>
      <c r="C977" s="41">
        <v>51504029</v>
      </c>
      <c r="D977" s="41"/>
      <c r="F977" s="41"/>
      <c r="G977" s="41" t="s">
        <v>823</v>
      </c>
      <c r="H977" s="29" t="s">
        <v>315</v>
      </c>
      <c r="I977" s="42">
        <v>45708</v>
      </c>
      <c r="J977" s="120">
        <f>WORKDAY(I977, 3)</f>
        <v>45713</v>
      </c>
      <c r="K977" s="42"/>
      <c r="L977" s="42"/>
      <c r="M977" s="42"/>
      <c r="N977" s="42">
        <v>45714</v>
      </c>
      <c r="O977" s="119" t="s">
        <v>961</v>
      </c>
      <c r="P977" s="152"/>
      <c r="Q977" s="153"/>
      <c r="R977" s="41" t="s">
        <v>640</v>
      </c>
    </row>
    <row r="978" spans="1:18" hidden="1">
      <c r="A978" s="147" t="s">
        <v>290</v>
      </c>
      <c r="B978" s="147"/>
      <c r="C978" s="41">
        <v>51504084</v>
      </c>
      <c r="D978" s="41"/>
      <c r="F978" s="41"/>
      <c r="G978" s="41" t="s">
        <v>823</v>
      </c>
      <c r="H978" s="29" t="s">
        <v>315</v>
      </c>
      <c r="I978" s="42">
        <v>45708</v>
      </c>
      <c r="J978" s="120">
        <f>WORKDAY(I978, 3)</f>
        <v>45713</v>
      </c>
      <c r="K978" s="42"/>
      <c r="L978" s="42"/>
      <c r="M978" s="42"/>
      <c r="N978" s="42">
        <v>45714</v>
      </c>
      <c r="O978" s="119" t="s">
        <v>961</v>
      </c>
      <c r="P978" s="152"/>
      <c r="Q978" s="153"/>
      <c r="R978" s="41" t="s">
        <v>641</v>
      </c>
    </row>
    <row r="979" spans="1:18" hidden="1">
      <c r="A979" s="147" t="s">
        <v>290</v>
      </c>
      <c r="B979" s="147"/>
      <c r="C979" s="41">
        <v>51504102</v>
      </c>
      <c r="D979" s="41"/>
      <c r="F979" s="41"/>
      <c r="G979" s="41" t="s">
        <v>823</v>
      </c>
      <c r="H979" s="29" t="s">
        <v>315</v>
      </c>
      <c r="I979" s="42">
        <v>45708</v>
      </c>
      <c r="J979" s="120">
        <f>WORKDAY(I979, 3)</f>
        <v>45713</v>
      </c>
      <c r="K979" s="42"/>
      <c r="L979" s="42"/>
      <c r="M979" s="42"/>
      <c r="N979" s="42">
        <v>45720</v>
      </c>
      <c r="O979" s="119" t="s">
        <v>961</v>
      </c>
      <c r="P979" s="152"/>
      <c r="Q979" s="153"/>
      <c r="R979" s="41" t="s">
        <v>642</v>
      </c>
    </row>
    <row r="980" spans="1:18" hidden="1">
      <c r="A980" s="147" t="s">
        <v>290</v>
      </c>
      <c r="B980" s="147"/>
      <c r="C980" s="41">
        <v>51504117</v>
      </c>
      <c r="D980" s="41"/>
      <c r="F980" s="41"/>
      <c r="G980" s="41" t="s">
        <v>823</v>
      </c>
      <c r="H980" s="29" t="s">
        <v>315</v>
      </c>
      <c r="I980" s="42">
        <v>45708</v>
      </c>
      <c r="J980" s="120">
        <f>WORKDAY(I980, 3)</f>
        <v>45713</v>
      </c>
      <c r="K980" s="42"/>
      <c r="L980" s="42"/>
      <c r="M980" s="42"/>
      <c r="N980" s="42">
        <v>45714</v>
      </c>
      <c r="O980" s="119" t="s">
        <v>961</v>
      </c>
      <c r="P980" s="152"/>
      <c r="Q980" s="153"/>
      <c r="R980" s="41" t="s">
        <v>643</v>
      </c>
    </row>
    <row r="981" spans="1:18" hidden="1">
      <c r="A981" s="147" t="s">
        <v>290</v>
      </c>
      <c r="B981" s="147"/>
      <c r="C981" s="41">
        <v>51504128</v>
      </c>
      <c r="D981" s="41"/>
      <c r="F981" s="41"/>
      <c r="G981" s="41" t="s">
        <v>823</v>
      </c>
      <c r="H981" s="29" t="s">
        <v>315</v>
      </c>
      <c r="I981" s="42">
        <v>45708</v>
      </c>
      <c r="J981" s="120">
        <f>WORKDAY(I981, 3)</f>
        <v>45713</v>
      </c>
      <c r="K981" s="42"/>
      <c r="L981" s="42"/>
      <c r="M981" s="42"/>
      <c r="N981" s="42">
        <v>45714</v>
      </c>
      <c r="O981" s="119" t="s">
        <v>961</v>
      </c>
      <c r="P981" s="152"/>
      <c r="Q981" s="153"/>
      <c r="R981" s="41" t="s">
        <v>644</v>
      </c>
    </row>
    <row r="982" spans="1:18" hidden="1">
      <c r="A982" s="147" t="s">
        <v>290</v>
      </c>
      <c r="B982" s="147"/>
      <c r="C982" s="41">
        <v>51504144</v>
      </c>
      <c r="D982" s="41"/>
      <c r="F982" s="41"/>
      <c r="G982" s="41" t="s">
        <v>823</v>
      </c>
      <c r="H982" s="29" t="s">
        <v>315</v>
      </c>
      <c r="I982" s="42">
        <v>45708</v>
      </c>
      <c r="J982" s="120">
        <f>WORKDAY(I982, 3)</f>
        <v>45713</v>
      </c>
      <c r="K982" s="42">
        <v>45729</v>
      </c>
      <c r="L982" s="42"/>
      <c r="M982" s="42"/>
      <c r="N982" s="42"/>
      <c r="O982" s="119" t="s">
        <v>929</v>
      </c>
      <c r="P982" s="42"/>
      <c r="Q982" s="136"/>
      <c r="R982" s="41" t="s">
        <v>645</v>
      </c>
    </row>
    <row r="983" spans="1:18" hidden="1">
      <c r="A983" s="147" t="s">
        <v>290</v>
      </c>
      <c r="B983" s="147"/>
      <c r="C983" s="41">
        <v>51504155</v>
      </c>
      <c r="D983" s="41"/>
      <c r="F983" s="41"/>
      <c r="G983" s="41" t="s">
        <v>823</v>
      </c>
      <c r="H983" s="29" t="s">
        <v>315</v>
      </c>
      <c r="I983" s="42">
        <v>45708</v>
      </c>
      <c r="J983" s="120">
        <f>WORKDAY(I983, 3)</f>
        <v>45713</v>
      </c>
      <c r="K983" s="42">
        <v>45729</v>
      </c>
      <c r="L983" s="42"/>
      <c r="M983" s="42"/>
      <c r="N983" s="42"/>
      <c r="O983" s="119" t="s">
        <v>929</v>
      </c>
      <c r="P983" s="42"/>
      <c r="Q983" s="136"/>
      <c r="R983" s="41" t="s">
        <v>646</v>
      </c>
    </row>
    <row r="984" spans="1:18" hidden="1">
      <c r="A984" s="147" t="s">
        <v>290</v>
      </c>
      <c r="B984" s="147"/>
      <c r="C984" s="41">
        <v>51504170</v>
      </c>
      <c r="D984" s="41"/>
      <c r="F984" s="41"/>
      <c r="G984" s="41" t="s">
        <v>823</v>
      </c>
      <c r="H984" s="29" t="s">
        <v>315</v>
      </c>
      <c r="I984" s="42">
        <v>45708</v>
      </c>
      <c r="J984" s="120">
        <f>WORKDAY(I984, 3)</f>
        <v>45713</v>
      </c>
      <c r="K984" s="42"/>
      <c r="L984" s="42"/>
      <c r="M984" s="42"/>
      <c r="N984" s="42">
        <v>45715</v>
      </c>
      <c r="O984" s="119" t="s">
        <v>961</v>
      </c>
      <c r="P984" s="152"/>
      <c r="Q984" s="153"/>
      <c r="R984" s="41" t="s">
        <v>647</v>
      </c>
    </row>
    <row r="985" spans="1:18" hidden="1">
      <c r="A985" s="41" t="s">
        <v>311</v>
      </c>
      <c r="B985" s="41"/>
      <c r="C985" s="41">
        <v>51504891</v>
      </c>
      <c r="D985" s="41"/>
      <c r="F985" s="41"/>
      <c r="G985" s="41" t="s">
        <v>823</v>
      </c>
      <c r="H985" s="29" t="s">
        <v>315</v>
      </c>
      <c r="I985" s="42">
        <v>45708</v>
      </c>
      <c r="J985" s="120">
        <f>WORKDAY(I985, 3)</f>
        <v>45713</v>
      </c>
      <c r="K985" s="42"/>
      <c r="L985" s="42"/>
      <c r="M985" s="42"/>
      <c r="N985" s="42">
        <v>45719</v>
      </c>
      <c r="O985" s="119" t="s">
        <v>961</v>
      </c>
      <c r="P985" s="152"/>
      <c r="Q985" s="153"/>
      <c r="R985" s="41" t="s">
        <v>648</v>
      </c>
    </row>
    <row r="986" spans="1:18" hidden="1">
      <c r="A986" s="41" t="s">
        <v>311</v>
      </c>
      <c r="B986" s="41"/>
      <c r="C986" s="41">
        <v>51504936</v>
      </c>
      <c r="D986" s="41"/>
      <c r="F986" s="41"/>
      <c r="G986" s="41" t="s">
        <v>823</v>
      </c>
      <c r="H986" s="29" t="s">
        <v>315</v>
      </c>
      <c r="I986" s="42">
        <v>45708</v>
      </c>
      <c r="J986" s="120">
        <f>WORKDAY(I986, 3)</f>
        <v>45713</v>
      </c>
      <c r="K986" s="42"/>
      <c r="L986" s="42"/>
      <c r="M986" s="42"/>
      <c r="N986" s="42">
        <v>45719</v>
      </c>
      <c r="O986" s="119" t="s">
        <v>961</v>
      </c>
      <c r="P986" s="152"/>
      <c r="Q986" s="153"/>
      <c r="R986" s="41" t="s">
        <v>649</v>
      </c>
    </row>
    <row r="987" spans="1:18" hidden="1">
      <c r="A987" s="41" t="s">
        <v>311</v>
      </c>
      <c r="B987" s="41"/>
      <c r="C987" s="41">
        <v>51504989</v>
      </c>
      <c r="D987" s="41"/>
      <c r="F987" s="41"/>
      <c r="G987" s="41" t="s">
        <v>823</v>
      </c>
      <c r="H987" s="29" t="s">
        <v>315</v>
      </c>
      <c r="I987" s="42">
        <v>45708</v>
      </c>
      <c r="J987" s="120">
        <f>WORKDAY(I987, 3)</f>
        <v>45713</v>
      </c>
      <c r="K987" s="42"/>
      <c r="L987" s="42"/>
      <c r="M987" s="42"/>
      <c r="N987" s="42">
        <v>45719</v>
      </c>
      <c r="O987" s="119" t="s">
        <v>961</v>
      </c>
      <c r="P987" s="152"/>
      <c r="Q987" s="153"/>
      <c r="R987" s="41" t="s">
        <v>650</v>
      </c>
    </row>
    <row r="988" spans="1:18" hidden="1">
      <c r="A988" s="41" t="s">
        <v>311</v>
      </c>
      <c r="B988" s="41"/>
      <c r="C988" s="41">
        <v>51505022</v>
      </c>
      <c r="D988" s="41"/>
      <c r="F988" s="41"/>
      <c r="G988" s="41" t="s">
        <v>823</v>
      </c>
      <c r="H988" s="29" t="s">
        <v>315</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315</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315</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315</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315</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315</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315</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358</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358</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358</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358</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367</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367</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367</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367</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367</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367</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367</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367</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367</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367</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367</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367</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367</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367</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367</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367</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367</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367</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367</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367</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367</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367</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367</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367</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367</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367</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280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280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280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900</v>
      </c>
    </row>
    <row r="1051" spans="1:19" hidden="1">
      <c r="A1051" s="29" t="s">
        <v>438</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438</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438</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438</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438</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438</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316</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316</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316</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316</v>
      </c>
      <c r="I1078" s="120">
        <v>45709</v>
      </c>
      <c r="J1078" s="120">
        <f>WORKDAY(I1078, 3)</f>
        <v>45714</v>
      </c>
      <c r="K1078" s="120"/>
      <c r="L1078" s="120"/>
      <c r="M1078" s="120"/>
      <c r="N1078" s="120"/>
      <c r="O1078" s="119" t="s">
        <v>929</v>
      </c>
      <c r="P1078" s="120"/>
      <c r="Q1078" s="135"/>
    </row>
    <row r="1079" spans="1:18" hidden="1">
      <c r="A1079" s="147" t="s">
        <v>335</v>
      </c>
      <c r="B1079" s="147"/>
      <c r="C1079" s="29">
        <v>58500131</v>
      </c>
      <c r="D1079" s="29"/>
      <c r="F1079" s="29"/>
      <c r="G1079" s="29" t="s">
        <v>823</v>
      </c>
      <c r="H1079" s="29" t="s">
        <v>315</v>
      </c>
      <c r="I1079" s="120">
        <v>45715</v>
      </c>
      <c r="J1079" s="120">
        <f>WORKDAY(I1079, 3)</f>
        <v>45720</v>
      </c>
      <c r="K1079" s="120"/>
      <c r="L1079" s="120"/>
      <c r="M1079" s="120"/>
      <c r="N1079" s="120">
        <v>45719</v>
      </c>
      <c r="O1079" s="119" t="s">
        <v>10</v>
      </c>
      <c r="P1079" s="152"/>
      <c r="Q1079" s="153"/>
      <c r="R1079" s="29" t="s">
        <v>721</v>
      </c>
    </row>
    <row r="1080" spans="1:18" hidden="1">
      <c r="A1080" s="147" t="s">
        <v>335</v>
      </c>
      <c r="B1080" s="147"/>
      <c r="C1080" s="29">
        <v>58500140</v>
      </c>
      <c r="D1080" s="29"/>
      <c r="F1080" s="29"/>
      <c r="G1080" s="29" t="s">
        <v>823</v>
      </c>
      <c r="H1080" s="29" t="s">
        <v>315</v>
      </c>
      <c r="I1080" s="120">
        <v>45715</v>
      </c>
      <c r="J1080" s="120">
        <f>WORKDAY(I1080, 3)</f>
        <v>45720</v>
      </c>
      <c r="K1080" s="120"/>
      <c r="L1080" s="120"/>
      <c r="M1080" s="120"/>
      <c r="N1080" s="120">
        <v>45719</v>
      </c>
      <c r="O1080" s="119" t="s">
        <v>10</v>
      </c>
      <c r="P1080" s="152"/>
      <c r="Q1080" s="153"/>
      <c r="R1080" s="29" t="s">
        <v>722</v>
      </c>
    </row>
    <row r="1081" spans="1:18" hidden="1">
      <c r="A1081" s="147" t="s">
        <v>335</v>
      </c>
      <c r="B1081" s="147"/>
      <c r="C1081" s="29">
        <v>58500144</v>
      </c>
      <c r="D1081" s="29"/>
      <c r="F1081" s="29"/>
      <c r="G1081" s="29" t="s">
        <v>823</v>
      </c>
      <c r="H1081" s="29" t="s">
        <v>315</v>
      </c>
      <c r="I1081" s="120">
        <v>45715</v>
      </c>
      <c r="J1081" s="120">
        <f>WORKDAY(I1081, 3)</f>
        <v>45720</v>
      </c>
      <c r="K1081" s="120"/>
      <c r="L1081" s="120"/>
      <c r="M1081" s="120"/>
      <c r="N1081" s="120">
        <v>45719</v>
      </c>
      <c r="O1081" s="119" t="s">
        <v>10</v>
      </c>
      <c r="P1081" s="152"/>
      <c r="Q1081" s="153"/>
      <c r="R1081" s="29" t="s">
        <v>723</v>
      </c>
    </row>
    <row r="1082" spans="1:18" hidden="1">
      <c r="A1082" s="147" t="s">
        <v>335</v>
      </c>
      <c r="B1082" s="147"/>
      <c r="C1082" s="29">
        <v>58500147</v>
      </c>
      <c r="D1082" s="29"/>
      <c r="F1082" s="29"/>
      <c r="G1082" s="29" t="s">
        <v>823</v>
      </c>
      <c r="H1082" s="29" t="s">
        <v>315</v>
      </c>
      <c r="I1082" s="120">
        <v>45715</v>
      </c>
      <c r="J1082" s="120">
        <f>WORKDAY(I1082, 3)</f>
        <v>45720</v>
      </c>
      <c r="K1082" s="120"/>
      <c r="L1082" s="120"/>
      <c r="M1082" s="120"/>
      <c r="N1082" s="120">
        <v>45719</v>
      </c>
      <c r="O1082" s="119" t="s">
        <v>10</v>
      </c>
      <c r="P1082" s="152"/>
      <c r="Q1082" s="153"/>
      <c r="R1082" s="29" t="s">
        <v>724</v>
      </c>
    </row>
    <row r="1083" spans="1:18" hidden="1">
      <c r="A1083" s="147" t="s">
        <v>335</v>
      </c>
      <c r="B1083" s="147"/>
      <c r="C1083" s="29">
        <v>58500151</v>
      </c>
      <c r="D1083" s="29"/>
      <c r="F1083" s="29"/>
      <c r="G1083" s="29" t="s">
        <v>823</v>
      </c>
      <c r="H1083" s="29" t="s">
        <v>315</v>
      </c>
      <c r="I1083" s="120">
        <v>45715</v>
      </c>
      <c r="J1083" s="120">
        <f>WORKDAY(I1083, 3)</f>
        <v>45720</v>
      </c>
      <c r="K1083" s="120"/>
      <c r="L1083" s="120"/>
      <c r="M1083" s="120"/>
      <c r="N1083" s="120">
        <v>45719</v>
      </c>
      <c r="O1083" s="119" t="s">
        <v>10</v>
      </c>
      <c r="P1083" s="152"/>
      <c r="Q1083" s="153"/>
      <c r="R1083" s="29" t="s">
        <v>725</v>
      </c>
    </row>
    <row r="1084" spans="1:18" hidden="1">
      <c r="A1084" s="147" t="s">
        <v>335</v>
      </c>
      <c r="B1084" s="147"/>
      <c r="C1084" s="29">
        <v>58500155</v>
      </c>
      <c r="D1084" s="29"/>
      <c r="F1084" s="29"/>
      <c r="G1084" s="29" t="s">
        <v>823</v>
      </c>
      <c r="H1084" s="29" t="s">
        <v>315</v>
      </c>
      <c r="I1084" s="120">
        <v>45715</v>
      </c>
      <c r="J1084" s="120">
        <f>WORKDAY(I1084, 3)</f>
        <v>45720</v>
      </c>
      <c r="K1084" s="120"/>
      <c r="L1084" s="120"/>
      <c r="M1084" s="120"/>
      <c r="N1084" s="120">
        <v>45719</v>
      </c>
      <c r="O1084" s="119" t="s">
        <v>10</v>
      </c>
      <c r="P1084" s="152"/>
      <c r="Q1084" s="153"/>
      <c r="R1084" s="29" t="s">
        <v>726</v>
      </c>
    </row>
    <row r="1085" spans="1:18" hidden="1">
      <c r="A1085" s="147" t="s">
        <v>335</v>
      </c>
      <c r="B1085" s="147"/>
      <c r="C1085" s="29">
        <v>58500158</v>
      </c>
      <c r="D1085" s="29"/>
      <c r="F1085" s="29"/>
      <c r="G1085" s="29" t="s">
        <v>823</v>
      </c>
      <c r="H1085" s="29" t="s">
        <v>315</v>
      </c>
      <c r="I1085" s="120">
        <v>45715</v>
      </c>
      <c r="J1085" s="120">
        <f>WORKDAY(I1085, 3)</f>
        <v>45720</v>
      </c>
      <c r="K1085" s="120"/>
      <c r="L1085" s="120"/>
      <c r="M1085" s="120"/>
      <c r="N1085" s="120">
        <v>45725</v>
      </c>
      <c r="O1085" s="119" t="s">
        <v>10</v>
      </c>
      <c r="P1085" s="152"/>
      <c r="Q1085" s="153"/>
      <c r="R1085" s="29" t="s">
        <v>727</v>
      </c>
    </row>
    <row r="1086" spans="1:18" hidden="1">
      <c r="A1086" s="147" t="s">
        <v>335</v>
      </c>
      <c r="B1086" s="147"/>
      <c r="C1086" s="29">
        <v>58500162</v>
      </c>
      <c r="D1086" s="29"/>
      <c r="F1086" s="29"/>
      <c r="G1086" s="29" t="s">
        <v>823</v>
      </c>
      <c r="H1086" s="29" t="s">
        <v>315</v>
      </c>
      <c r="I1086" s="120">
        <v>45715</v>
      </c>
      <c r="J1086" s="120">
        <f>WORKDAY(I1086, 3)</f>
        <v>45720</v>
      </c>
      <c r="K1086" s="120"/>
      <c r="L1086" s="120"/>
      <c r="M1086" s="120"/>
      <c r="N1086" s="120">
        <v>45725</v>
      </c>
      <c r="O1086" s="119" t="s">
        <v>10</v>
      </c>
      <c r="P1086" s="152"/>
      <c r="Q1086" s="153"/>
      <c r="R1086" s="29" t="s">
        <v>728</v>
      </c>
    </row>
    <row r="1087" spans="1:18" hidden="1">
      <c r="A1087" s="147" t="s">
        <v>335</v>
      </c>
      <c r="B1087" s="147"/>
      <c r="C1087" s="29">
        <v>58500167</v>
      </c>
      <c r="D1087" s="29"/>
      <c r="F1087" s="29"/>
      <c r="G1087" s="29" t="s">
        <v>823</v>
      </c>
      <c r="H1087" s="29" t="s">
        <v>315</v>
      </c>
      <c r="I1087" s="120">
        <v>45715</v>
      </c>
      <c r="J1087" s="120">
        <f>WORKDAY(I1087, 3)</f>
        <v>45720</v>
      </c>
      <c r="K1087" s="120"/>
      <c r="L1087" s="120"/>
      <c r="M1087" s="120"/>
      <c r="N1087" s="120">
        <v>45720</v>
      </c>
      <c r="O1087" s="119" t="s">
        <v>10</v>
      </c>
      <c r="P1087" s="152"/>
      <c r="Q1087" s="153"/>
      <c r="R1087" s="29" t="s">
        <v>726</v>
      </c>
    </row>
    <row r="1088" spans="1:18" hidden="1">
      <c r="A1088" s="147" t="s">
        <v>335</v>
      </c>
      <c r="B1088" s="147"/>
      <c r="C1088" s="29">
        <v>58500173</v>
      </c>
      <c r="D1088" s="29"/>
      <c r="F1088" s="29"/>
      <c r="G1088" s="29" t="s">
        <v>823</v>
      </c>
      <c r="H1088" s="29" t="s">
        <v>315</v>
      </c>
      <c r="I1088" s="120">
        <v>45715</v>
      </c>
      <c r="J1088" s="120">
        <f>WORKDAY(I1088, 3)</f>
        <v>45720</v>
      </c>
      <c r="K1088" s="120"/>
      <c r="L1088" s="120"/>
      <c r="M1088" s="120"/>
      <c r="N1088" s="120">
        <v>45720</v>
      </c>
      <c r="O1088" s="119" t="s">
        <v>10</v>
      </c>
      <c r="P1088" s="152"/>
      <c r="Q1088" s="153"/>
      <c r="R1088" s="29" t="s">
        <v>343</v>
      </c>
    </row>
    <row r="1089" spans="1:19" hidden="1">
      <c r="A1089" s="147" t="s">
        <v>335</v>
      </c>
      <c r="B1089" s="147"/>
      <c r="C1089" s="29">
        <v>58500175</v>
      </c>
      <c r="D1089" s="29"/>
      <c r="F1089" s="29"/>
      <c r="G1089" s="29" t="s">
        <v>823</v>
      </c>
      <c r="H1089" s="29" t="s">
        <v>315</v>
      </c>
      <c r="I1089" s="120">
        <v>45715</v>
      </c>
      <c r="J1089" s="120">
        <f>WORKDAY(I1089, 3)</f>
        <v>45720</v>
      </c>
      <c r="K1089" s="120"/>
      <c r="L1089" s="120"/>
      <c r="M1089" s="120"/>
      <c r="N1089" s="120">
        <v>45720</v>
      </c>
      <c r="O1089" s="119" t="s">
        <v>10</v>
      </c>
      <c r="P1089" s="152"/>
      <c r="Q1089" s="153"/>
      <c r="R1089" s="29" t="s">
        <v>342</v>
      </c>
    </row>
    <row r="1090" spans="1:19" hidden="1">
      <c r="A1090" s="147" t="s">
        <v>335</v>
      </c>
      <c r="B1090" s="147"/>
      <c r="C1090" s="29">
        <v>58500180</v>
      </c>
      <c r="D1090" s="29"/>
      <c r="F1090" s="29"/>
      <c r="G1090" s="29" t="s">
        <v>823</v>
      </c>
      <c r="H1090" s="29" t="s">
        <v>315</v>
      </c>
      <c r="I1090" s="120">
        <v>45715</v>
      </c>
      <c r="J1090" s="120">
        <f>WORKDAY(I1090, 3)</f>
        <v>45720</v>
      </c>
      <c r="K1090" s="120"/>
      <c r="L1090" s="120"/>
      <c r="M1090" s="120"/>
      <c r="N1090" s="120">
        <v>45720</v>
      </c>
      <c r="O1090" s="119" t="s">
        <v>10</v>
      </c>
      <c r="P1090" s="152"/>
      <c r="Q1090" s="153"/>
      <c r="R1090" s="29" t="s">
        <v>729</v>
      </c>
    </row>
    <row r="1091" spans="1:19" hidden="1">
      <c r="A1091" s="147" t="s">
        <v>335</v>
      </c>
      <c r="B1091" s="147"/>
      <c r="C1091" s="29">
        <v>58500184</v>
      </c>
      <c r="D1091" s="29"/>
      <c r="F1091" s="29"/>
      <c r="G1091" s="29" t="s">
        <v>823</v>
      </c>
      <c r="H1091" s="29" t="s">
        <v>315</v>
      </c>
      <c r="I1091" s="120">
        <v>45715</v>
      </c>
      <c r="J1091" s="120">
        <f>WORKDAY(I1091, 3)</f>
        <v>45720</v>
      </c>
      <c r="K1091" s="120"/>
      <c r="L1091" s="120"/>
      <c r="M1091" s="120"/>
      <c r="N1091" s="120">
        <v>45720</v>
      </c>
      <c r="O1091" s="119" t="s">
        <v>10</v>
      </c>
      <c r="P1091" s="152"/>
      <c r="Q1091" s="153"/>
      <c r="R1091" s="29" t="s">
        <v>729</v>
      </c>
    </row>
    <row r="1092" spans="1:19" hidden="1">
      <c r="A1092" s="147" t="s">
        <v>335</v>
      </c>
      <c r="B1092" s="147"/>
      <c r="C1092" s="29">
        <v>58500190</v>
      </c>
      <c r="D1092" s="29"/>
      <c r="F1092" s="29"/>
      <c r="G1092" s="29" t="s">
        <v>823</v>
      </c>
      <c r="H1092" s="29" t="s">
        <v>315</v>
      </c>
      <c r="I1092" s="120">
        <v>45715</v>
      </c>
      <c r="J1092" s="120">
        <f>WORKDAY(I1092, 3)</f>
        <v>45720</v>
      </c>
      <c r="K1092" s="120"/>
      <c r="L1092" s="120"/>
      <c r="M1092" s="120"/>
      <c r="N1092" s="120">
        <v>45720</v>
      </c>
      <c r="O1092" s="119" t="s">
        <v>10</v>
      </c>
      <c r="P1092" s="152"/>
      <c r="Q1092" s="153"/>
      <c r="R1092" s="29" t="s">
        <v>340</v>
      </c>
    </row>
    <row r="1093" spans="1:19" hidden="1">
      <c r="A1093" s="147" t="s">
        <v>335</v>
      </c>
      <c r="B1093" s="147"/>
      <c r="C1093" s="29">
        <v>58500197</v>
      </c>
      <c r="D1093" s="29"/>
      <c r="F1093" s="29"/>
      <c r="G1093" s="29" t="s">
        <v>823</v>
      </c>
      <c r="H1093" s="29" t="s">
        <v>315</v>
      </c>
      <c r="I1093" s="120">
        <v>45715</v>
      </c>
      <c r="J1093" s="120">
        <f>WORKDAY(I1093, 3)</f>
        <v>45720</v>
      </c>
      <c r="K1093" s="120"/>
      <c r="L1093" s="120"/>
      <c r="M1093" s="120"/>
      <c r="N1093" s="120">
        <v>45721</v>
      </c>
      <c r="O1093" s="119" t="s">
        <v>10</v>
      </c>
      <c r="P1093" s="152"/>
      <c r="Q1093" s="153"/>
      <c r="R1093" s="29" t="s">
        <v>339</v>
      </c>
    </row>
    <row r="1094" spans="1:19" hidden="1">
      <c r="A1094" s="147" t="s">
        <v>335</v>
      </c>
      <c r="B1094" s="147"/>
      <c r="C1094" s="29">
        <v>58500200</v>
      </c>
      <c r="D1094" s="29"/>
      <c r="F1094" s="29"/>
      <c r="G1094" s="29" t="s">
        <v>823</v>
      </c>
      <c r="H1094" s="29" t="s">
        <v>315</v>
      </c>
      <c r="I1094" s="120">
        <v>45715</v>
      </c>
      <c r="J1094" s="120">
        <f>WORKDAY(I1094, 3)</f>
        <v>45720</v>
      </c>
      <c r="K1094" s="120"/>
      <c r="L1094" s="120"/>
      <c r="M1094" s="120"/>
      <c r="N1094" s="120">
        <v>45720</v>
      </c>
      <c r="O1094" s="119" t="s">
        <v>10</v>
      </c>
      <c r="P1094" s="152"/>
      <c r="Q1094" s="153"/>
      <c r="R1094" s="29" t="s">
        <v>730</v>
      </c>
    </row>
    <row r="1095" spans="1:19" hidden="1">
      <c r="A1095" s="147" t="s">
        <v>335</v>
      </c>
      <c r="B1095" s="147"/>
      <c r="C1095" s="29">
        <v>58500204</v>
      </c>
      <c r="D1095" s="29"/>
      <c r="F1095" s="29"/>
      <c r="G1095" s="29" t="s">
        <v>823</v>
      </c>
      <c r="H1095" s="29" t="s">
        <v>315</v>
      </c>
      <c r="I1095" s="120">
        <v>45715</v>
      </c>
      <c r="J1095" s="120">
        <f>WORKDAY(I1095, 3)</f>
        <v>45720</v>
      </c>
      <c r="K1095" s="120"/>
      <c r="L1095" s="120"/>
      <c r="M1095" s="120"/>
      <c r="N1095" s="120">
        <v>45721</v>
      </c>
      <c r="O1095" s="119" t="s">
        <v>10</v>
      </c>
      <c r="P1095" s="152"/>
      <c r="Q1095" s="153"/>
      <c r="R1095" s="29" t="s">
        <v>726</v>
      </c>
    </row>
    <row r="1096" spans="1:19" hidden="1">
      <c r="A1096" s="147" t="s">
        <v>335</v>
      </c>
      <c r="B1096" s="147"/>
      <c r="C1096" s="29">
        <v>58500206</v>
      </c>
      <c r="D1096" s="29"/>
      <c r="F1096" s="29"/>
      <c r="G1096" s="29" t="s">
        <v>823</v>
      </c>
      <c r="H1096" s="29" t="s">
        <v>315</v>
      </c>
      <c r="I1096" s="120">
        <v>45715</v>
      </c>
      <c r="J1096" s="120">
        <f>WORKDAY(I1096, 3)</f>
        <v>45720</v>
      </c>
      <c r="K1096" s="120"/>
      <c r="L1096" s="120"/>
      <c r="M1096" s="120"/>
      <c r="N1096" s="120">
        <v>45721</v>
      </c>
      <c r="O1096" s="119" t="s">
        <v>10</v>
      </c>
      <c r="P1096" s="152"/>
      <c r="Q1096" s="153"/>
      <c r="R1096" s="29" t="s">
        <v>337</v>
      </c>
    </row>
    <row r="1097" spans="1:19" hidden="1">
      <c r="A1097" s="147" t="s">
        <v>335</v>
      </c>
      <c r="B1097" s="147"/>
      <c r="C1097" s="29">
        <v>58500211</v>
      </c>
      <c r="D1097" s="29"/>
      <c r="F1097" s="29"/>
      <c r="G1097" s="29" t="s">
        <v>823</v>
      </c>
      <c r="H1097" s="29" t="s">
        <v>315</v>
      </c>
      <c r="I1097" s="120">
        <v>45715</v>
      </c>
      <c r="J1097" s="120">
        <f>WORKDAY(I1097, 3)</f>
        <v>45720</v>
      </c>
      <c r="K1097" s="120"/>
      <c r="L1097" s="120"/>
      <c r="M1097" s="120"/>
      <c r="N1097" s="120">
        <v>45720</v>
      </c>
      <c r="O1097" s="119" t="s">
        <v>10</v>
      </c>
      <c r="P1097" s="152"/>
      <c r="Q1097" s="153"/>
      <c r="R1097" s="29" t="s">
        <v>336</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285</v>
      </c>
      <c r="B1110" s="29"/>
      <c r="C1110" s="29">
        <v>56506013</v>
      </c>
      <c r="D1110" s="29"/>
      <c r="F1110" s="29"/>
      <c r="G1110" s="29" t="s">
        <v>115</v>
      </c>
      <c r="H1110" s="29" t="s">
        <v>287</v>
      </c>
      <c r="I1110" s="120">
        <v>45716</v>
      </c>
      <c r="J1110" s="120">
        <f>WORKDAY(I1110, 3)</f>
        <v>45721</v>
      </c>
      <c r="K1110" s="120">
        <v>45729</v>
      </c>
      <c r="L1110" s="120"/>
      <c r="M1110" s="120"/>
      <c r="N1110" s="120"/>
      <c r="O1110" s="119" t="s">
        <v>929</v>
      </c>
      <c r="P1110" s="120"/>
      <c r="Q1110" s="135"/>
      <c r="R1110" s="29"/>
    </row>
    <row r="1111" spans="1:19" hidden="1">
      <c r="A1111" s="29" t="s">
        <v>285</v>
      </c>
      <c r="B1111" s="29"/>
      <c r="C1111" s="29">
        <v>56506218</v>
      </c>
      <c r="D1111" s="29"/>
      <c r="F1111" s="29"/>
      <c r="G1111" s="29" t="s">
        <v>115</v>
      </c>
      <c r="H1111" s="29" t="s">
        <v>287</v>
      </c>
      <c r="I1111" s="120">
        <v>45716</v>
      </c>
      <c r="J1111" s="120">
        <f>WORKDAY(I1111, 3)</f>
        <v>45721</v>
      </c>
      <c r="K1111" s="120"/>
      <c r="L1111" s="120"/>
      <c r="M1111" s="120"/>
      <c r="N1111" s="120">
        <v>45717</v>
      </c>
      <c r="O1111" s="119" t="s">
        <v>10</v>
      </c>
      <c r="P1111" s="152"/>
      <c r="Q1111" s="153"/>
      <c r="R1111" s="29"/>
    </row>
    <row r="1112" spans="1:19" hidden="1">
      <c r="A1112" s="29" t="s">
        <v>288</v>
      </c>
      <c r="B1112" s="29"/>
      <c r="C1112" s="29">
        <v>56506367</v>
      </c>
      <c r="D1112" s="29"/>
      <c r="F1112" s="29"/>
      <c r="G1112" s="29" t="s">
        <v>115</v>
      </c>
      <c r="H1112" s="29" t="s">
        <v>287</v>
      </c>
      <c r="I1112" s="120">
        <v>45716</v>
      </c>
      <c r="J1112" s="120">
        <f>WORKDAY(I1112, 3)</f>
        <v>45721</v>
      </c>
      <c r="K1112" s="120">
        <v>45729</v>
      </c>
      <c r="L1112" s="120"/>
      <c r="M1112" s="120"/>
      <c r="N1112" s="120"/>
      <c r="O1112" s="119" t="s">
        <v>929</v>
      </c>
      <c r="P1112" s="120"/>
      <c r="Q1112" s="135"/>
      <c r="R1112" s="29"/>
    </row>
    <row r="1113" spans="1:19" hidden="1">
      <c r="A1113" s="29" t="s">
        <v>289</v>
      </c>
      <c r="B1113" s="29"/>
      <c r="C1113" s="29">
        <v>56506513</v>
      </c>
      <c r="D1113" s="29"/>
      <c r="F1113" s="29"/>
      <c r="G1113" s="29" t="s">
        <v>115</v>
      </c>
      <c r="H1113" s="29" t="s">
        <v>287</v>
      </c>
      <c r="I1113" s="120">
        <v>45716</v>
      </c>
      <c r="J1113" s="120">
        <f>WORKDAY(I1113, 3)</f>
        <v>45721</v>
      </c>
      <c r="K1113" s="120"/>
      <c r="L1113" s="120"/>
      <c r="M1113" s="120"/>
      <c r="N1113" s="120">
        <v>45717</v>
      </c>
      <c r="O1113" s="119" t="s">
        <v>10</v>
      </c>
      <c r="P1113" s="120"/>
      <c r="Q1113" s="135"/>
      <c r="R1113" s="29"/>
    </row>
    <row r="1114" spans="1:19" hidden="1">
      <c r="A1114" s="29" t="s">
        <v>289</v>
      </c>
      <c r="B1114" s="29"/>
      <c r="C1114" s="29">
        <v>56506567</v>
      </c>
      <c r="D1114" s="29"/>
      <c r="F1114" s="29"/>
      <c r="G1114" s="29" t="s">
        <v>115</v>
      </c>
      <c r="H1114" s="29" t="s">
        <v>287</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367</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367</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367</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367</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367</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367</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367</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367</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367</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367</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367</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367</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367</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367</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367</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367</v>
      </c>
      <c r="I1130" s="42">
        <v>45720</v>
      </c>
      <c r="J1130" s="120">
        <f>WORKDAY(I1130, 3)</f>
        <v>45723</v>
      </c>
      <c r="K1130" s="42"/>
      <c r="L1130" s="42"/>
      <c r="M1130" s="42"/>
      <c r="N1130" s="42">
        <v>45723</v>
      </c>
      <c r="O1130" s="119" t="s">
        <v>10</v>
      </c>
      <c r="P1130" s="152"/>
      <c r="Q1130" s="153"/>
      <c r="R1130" s="41" t="s">
        <v>747</v>
      </c>
    </row>
    <row r="1131" spans="1:18" hidden="1">
      <c r="A1131" s="41" t="s">
        <v>311</v>
      </c>
      <c r="B1131" s="41"/>
      <c r="C1131" s="29">
        <v>63508545</v>
      </c>
      <c r="D1131" s="29"/>
      <c r="F1131" s="29"/>
      <c r="G1131" s="84" t="s">
        <v>823</v>
      </c>
      <c r="H1131" s="29" t="s">
        <v>315</v>
      </c>
      <c r="I1131" s="42">
        <v>45720</v>
      </c>
      <c r="J1131" s="120">
        <f>WORKDAY(I1131, 3)</f>
        <v>45723</v>
      </c>
      <c r="K1131" s="42"/>
      <c r="L1131" s="42"/>
      <c r="M1131" s="42"/>
      <c r="N1131" s="42">
        <v>45723</v>
      </c>
      <c r="O1131" s="119" t="s">
        <v>10</v>
      </c>
      <c r="P1131" s="152"/>
      <c r="Q1131" s="153"/>
      <c r="R1131" s="29" t="s">
        <v>748</v>
      </c>
    </row>
    <row r="1132" spans="1:18" hidden="1">
      <c r="A1132" s="41" t="s">
        <v>311</v>
      </c>
      <c r="B1132" s="41"/>
      <c r="C1132" s="29">
        <v>63508556</v>
      </c>
      <c r="D1132" s="29"/>
      <c r="F1132" s="29"/>
      <c r="G1132" s="84" t="s">
        <v>823</v>
      </c>
      <c r="H1132" s="29" t="s">
        <v>315</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315</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315</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315</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315</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315</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315</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315</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315</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315</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315</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315</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315</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315</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315</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315</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315</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315</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315</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315</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315</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315</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315</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315</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315</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315</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315</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315</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315</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315</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315</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315</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315</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315</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315</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315</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315</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315</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315</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315</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315</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315</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315</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315</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315</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315</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315</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315</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315</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315</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315</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315</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315</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315</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315</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315</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315</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315</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315</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315</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315</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315</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315</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315</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315</v>
      </c>
      <c r="I1198" s="42">
        <v>45722</v>
      </c>
      <c r="J1198" s="120">
        <f>WORKDAY(I1198, 3)</f>
        <v>45727</v>
      </c>
      <c r="K1198" s="29"/>
      <c r="L1198" s="29"/>
      <c r="M1198" s="29"/>
      <c r="N1198" s="29"/>
      <c r="O1198" s="119" t="s">
        <v>939</v>
      </c>
      <c r="P1198" s="29"/>
      <c r="Q1198" s="81"/>
      <c r="R1198" s="41" t="s">
        <v>815</v>
      </c>
    </row>
    <row r="1199" spans="1:18" hidden="1">
      <c r="A1199" s="147" t="s">
        <v>290</v>
      </c>
      <c r="B1199" s="147"/>
      <c r="C1199" s="41">
        <v>64502509</v>
      </c>
      <c r="D1199" s="41"/>
      <c r="F1199" s="41"/>
      <c r="G1199" s="84" t="s">
        <v>823</v>
      </c>
      <c r="H1199" s="29" t="s">
        <v>315</v>
      </c>
      <c r="I1199" s="42">
        <v>45722</v>
      </c>
      <c r="J1199" s="120">
        <f>WORKDAY(I1199, 3)</f>
        <v>45727</v>
      </c>
      <c r="K1199" s="29"/>
      <c r="L1199" s="29"/>
      <c r="M1199" s="29"/>
      <c r="N1199" s="29"/>
      <c r="O1199" s="119" t="s">
        <v>929</v>
      </c>
      <c r="P1199" s="29"/>
      <c r="Q1199" s="81"/>
    </row>
    <row r="1200" spans="1:18" hidden="1">
      <c r="A1200" s="147" t="s">
        <v>290</v>
      </c>
      <c r="B1200" s="147"/>
      <c r="C1200" s="41">
        <v>64502261</v>
      </c>
      <c r="D1200" s="41"/>
      <c r="F1200" s="41"/>
      <c r="G1200" s="84" t="s">
        <v>823</v>
      </c>
      <c r="H1200" s="29" t="s">
        <v>315</v>
      </c>
      <c r="I1200" s="42">
        <v>45722</v>
      </c>
      <c r="J1200" s="120">
        <f>WORKDAY(I1200, 3)</f>
        <v>45727</v>
      </c>
      <c r="K1200" s="29"/>
      <c r="L1200" s="29"/>
      <c r="M1200" s="29"/>
      <c r="N1200" s="29"/>
      <c r="O1200" s="119" t="s">
        <v>929</v>
      </c>
      <c r="P1200" s="29"/>
      <c r="Q1200" s="81"/>
    </row>
    <row r="1201" spans="1:17" hidden="1">
      <c r="A1201" s="147" t="s">
        <v>290</v>
      </c>
      <c r="B1201" s="147"/>
      <c r="C1201" s="41">
        <v>64503084</v>
      </c>
      <c r="D1201" s="41"/>
      <c r="F1201" s="41"/>
      <c r="G1201" s="84" t="s">
        <v>823</v>
      </c>
      <c r="H1201" s="29" t="s">
        <v>315</v>
      </c>
      <c r="I1201" s="42">
        <v>45722</v>
      </c>
      <c r="J1201" s="120">
        <f>WORKDAY(I1201, 3)</f>
        <v>45727</v>
      </c>
      <c r="K1201" s="29"/>
      <c r="L1201" s="29"/>
      <c r="M1201" s="29"/>
      <c r="N1201" s="29"/>
      <c r="O1201" s="119" t="s">
        <v>929</v>
      </c>
      <c r="P1201" s="29"/>
      <c r="Q1201" s="81"/>
    </row>
    <row r="1202" spans="1:17" hidden="1">
      <c r="A1202" s="147" t="s">
        <v>290</v>
      </c>
      <c r="B1202" s="147"/>
      <c r="C1202" s="41">
        <v>64506391</v>
      </c>
      <c r="D1202" s="41"/>
      <c r="F1202" s="41"/>
      <c r="G1202" s="84" t="s">
        <v>823</v>
      </c>
      <c r="H1202" s="29" t="s">
        <v>315</v>
      </c>
      <c r="I1202" s="42">
        <v>45722</v>
      </c>
      <c r="J1202" s="120">
        <f>WORKDAY(I1202, 3)</f>
        <v>45727</v>
      </c>
      <c r="K1202" s="29"/>
      <c r="L1202" s="29"/>
      <c r="M1202" s="29"/>
      <c r="N1202" s="29"/>
      <c r="O1202" s="119" t="s">
        <v>929</v>
      </c>
      <c r="P1202" s="29"/>
      <c r="Q1202" s="81"/>
    </row>
    <row r="1203" spans="1:17" hidden="1">
      <c r="A1203" s="147" t="s">
        <v>290</v>
      </c>
      <c r="B1203" s="147"/>
      <c r="C1203" s="41">
        <v>64507864</v>
      </c>
      <c r="D1203" s="41"/>
      <c r="F1203" s="41"/>
      <c r="G1203" s="84" t="s">
        <v>823</v>
      </c>
      <c r="H1203" s="29" t="s">
        <v>315</v>
      </c>
      <c r="I1203" s="42">
        <v>45722</v>
      </c>
      <c r="J1203" s="120">
        <f>WORKDAY(I1203, 3)</f>
        <v>45727</v>
      </c>
      <c r="K1203" s="29"/>
      <c r="L1203" s="29"/>
      <c r="M1203" s="29"/>
      <c r="N1203" s="29"/>
      <c r="O1203" s="119" t="s">
        <v>929</v>
      </c>
      <c r="P1203" s="29"/>
      <c r="Q1203" s="81"/>
    </row>
    <row r="1204" spans="1:17" hidden="1">
      <c r="A1204" s="147" t="s">
        <v>438</v>
      </c>
      <c r="B1204" s="147"/>
      <c r="C1204" s="41">
        <v>71508202</v>
      </c>
      <c r="D1204" s="41"/>
      <c r="F1204" s="41"/>
      <c r="G1204" s="84" t="s">
        <v>823</v>
      </c>
      <c r="H1204" s="29" t="s">
        <v>315</v>
      </c>
      <c r="I1204" s="42">
        <v>45728</v>
      </c>
      <c r="J1204" s="120">
        <f>WORKDAY(I1204, 3)</f>
        <v>45733</v>
      </c>
      <c r="K1204" s="42">
        <v>45727</v>
      </c>
      <c r="L1204" s="42"/>
      <c r="M1204" s="42"/>
      <c r="N1204" s="120">
        <v>45737</v>
      </c>
      <c r="O1204" s="119" t="s">
        <v>980</v>
      </c>
      <c r="P1204" s="29"/>
      <c r="Q1204" s="81"/>
    </row>
    <row r="1205" spans="1:17" hidden="1">
      <c r="A1205" s="147" t="s">
        <v>438</v>
      </c>
      <c r="B1205" s="147"/>
      <c r="C1205" s="41">
        <v>62506684</v>
      </c>
      <c r="D1205" s="41"/>
      <c r="F1205" s="41"/>
      <c r="G1205" s="84" t="s">
        <v>823</v>
      </c>
      <c r="H1205" s="29" t="s">
        <v>316</v>
      </c>
      <c r="I1205" s="42">
        <v>45721</v>
      </c>
      <c r="J1205" s="120">
        <f>WORKDAY(I1205, 3)</f>
        <v>45726</v>
      </c>
      <c r="K1205" s="42">
        <v>45727</v>
      </c>
      <c r="L1205" s="42"/>
      <c r="M1205" s="42"/>
      <c r="N1205" s="120">
        <v>45734</v>
      </c>
      <c r="O1205" s="119" t="s">
        <v>10</v>
      </c>
      <c r="P1205" s="29"/>
      <c r="Q1205" s="81"/>
    </row>
    <row r="1206" spans="1:17" hidden="1">
      <c r="A1206" s="147" t="s">
        <v>438</v>
      </c>
      <c r="B1206" s="147"/>
      <c r="C1206" s="29">
        <v>62506609</v>
      </c>
      <c r="D1206" s="29"/>
      <c r="F1206" s="29"/>
      <c r="G1206" s="84" t="s">
        <v>823</v>
      </c>
      <c r="H1206" s="29" t="s">
        <v>316</v>
      </c>
      <c r="I1206" s="42">
        <v>45721</v>
      </c>
      <c r="J1206" s="120">
        <f>WORKDAY(I1206, 3)</f>
        <v>45726</v>
      </c>
      <c r="K1206" s="29"/>
      <c r="L1206" s="29"/>
      <c r="M1206" s="29"/>
      <c r="N1206" s="120">
        <v>45728</v>
      </c>
      <c r="O1206" s="119" t="s">
        <v>10</v>
      </c>
      <c r="P1206" s="152"/>
      <c r="Q1206" s="153"/>
    </row>
    <row r="1207" spans="1:17" hidden="1">
      <c r="A1207" s="147" t="s">
        <v>438</v>
      </c>
      <c r="B1207" s="147"/>
      <c r="C1207" s="29">
        <v>62506512</v>
      </c>
      <c r="D1207" s="29"/>
      <c r="F1207" s="29"/>
      <c r="G1207" s="84" t="s">
        <v>823</v>
      </c>
      <c r="H1207" s="29" t="s">
        <v>316</v>
      </c>
      <c r="I1207" s="42">
        <v>45721</v>
      </c>
      <c r="J1207" s="120">
        <f>WORKDAY(I1207, 3)</f>
        <v>45726</v>
      </c>
      <c r="K1207" s="29"/>
      <c r="L1207" s="29"/>
      <c r="M1207" s="29"/>
      <c r="N1207" s="120">
        <v>45723</v>
      </c>
      <c r="O1207" s="119" t="s">
        <v>10</v>
      </c>
      <c r="P1207" s="152"/>
      <c r="Q1207" s="153"/>
    </row>
    <row r="1208" spans="1:17" hidden="1">
      <c r="A1208" s="147" t="s">
        <v>438</v>
      </c>
      <c r="B1208" s="147"/>
      <c r="C1208" s="29">
        <v>62506411</v>
      </c>
      <c r="D1208" s="29"/>
      <c r="F1208" s="29"/>
      <c r="G1208" s="84" t="s">
        <v>823</v>
      </c>
      <c r="H1208" s="29" t="s">
        <v>316</v>
      </c>
      <c r="I1208" s="42">
        <v>45721</v>
      </c>
      <c r="J1208" s="120">
        <f>WORKDAY(I1208, 3)</f>
        <v>45726</v>
      </c>
      <c r="K1208" s="29"/>
      <c r="L1208" s="29"/>
      <c r="M1208" s="29"/>
      <c r="N1208" s="120">
        <v>45727</v>
      </c>
      <c r="O1208" s="119" t="s">
        <v>10</v>
      </c>
      <c r="P1208" s="152"/>
      <c r="Q1208" s="153"/>
    </row>
    <row r="1209" spans="1:17" hidden="1">
      <c r="A1209" s="147" t="s">
        <v>438</v>
      </c>
      <c r="B1209" s="147"/>
      <c r="C1209" s="29">
        <v>62506215</v>
      </c>
      <c r="D1209" s="29"/>
      <c r="F1209" s="29"/>
      <c r="G1209" s="84" t="s">
        <v>823</v>
      </c>
      <c r="H1209" s="29" t="s">
        <v>316</v>
      </c>
      <c r="I1209" s="42">
        <v>45721</v>
      </c>
      <c r="J1209" s="120">
        <f>WORKDAY(I1209, 3)</f>
        <v>45726</v>
      </c>
      <c r="K1209" s="29"/>
      <c r="L1209" s="29"/>
      <c r="M1209" s="29"/>
      <c r="N1209" s="120">
        <v>45723</v>
      </c>
      <c r="O1209" s="119" t="s">
        <v>10</v>
      </c>
      <c r="P1209" s="152"/>
      <c r="Q1209" s="153"/>
    </row>
    <row r="1210" spans="1:17" hidden="1">
      <c r="A1210" s="147" t="s">
        <v>438</v>
      </c>
      <c r="B1210" s="147"/>
      <c r="C1210" s="29">
        <v>62506126</v>
      </c>
      <c r="D1210" s="29"/>
      <c r="F1210" s="29"/>
      <c r="G1210" s="84" t="s">
        <v>823</v>
      </c>
      <c r="H1210" s="29" t="s">
        <v>316</v>
      </c>
      <c r="I1210" s="42">
        <v>45721</v>
      </c>
      <c r="J1210" s="120">
        <f>WORKDAY(I1210, 3)</f>
        <v>45726</v>
      </c>
      <c r="K1210" s="29"/>
      <c r="L1210" s="29"/>
      <c r="M1210" s="29"/>
      <c r="N1210" s="120">
        <v>45723</v>
      </c>
      <c r="O1210" s="119" t="s">
        <v>10</v>
      </c>
      <c r="P1210" s="152"/>
      <c r="Q1210" s="153"/>
    </row>
    <row r="1211" spans="1:17" hidden="1">
      <c r="A1211" s="147" t="s">
        <v>438</v>
      </c>
      <c r="B1211" s="147"/>
      <c r="C1211" s="29">
        <v>62505967</v>
      </c>
      <c r="D1211" s="29"/>
      <c r="F1211" s="29"/>
      <c r="G1211" s="84" t="s">
        <v>823</v>
      </c>
      <c r="H1211" s="29" t="s">
        <v>316</v>
      </c>
      <c r="I1211" s="42">
        <v>45721</v>
      </c>
      <c r="J1211" s="120">
        <f>WORKDAY(I1211, 3)</f>
        <v>45726</v>
      </c>
      <c r="K1211" s="29"/>
      <c r="L1211" s="29"/>
      <c r="M1211" s="29"/>
      <c r="N1211" s="120">
        <v>45723</v>
      </c>
      <c r="O1211" s="119" t="s">
        <v>10</v>
      </c>
      <c r="P1211" s="152"/>
      <c r="Q1211" s="153"/>
    </row>
    <row r="1212" spans="1:17" hidden="1">
      <c r="A1212" s="147" t="s">
        <v>438</v>
      </c>
      <c r="B1212" s="147"/>
      <c r="C1212" s="29">
        <v>62505391</v>
      </c>
      <c r="D1212" s="29"/>
      <c r="F1212" s="29"/>
      <c r="G1212" s="84" t="s">
        <v>823</v>
      </c>
      <c r="H1212" s="29" t="s">
        <v>316</v>
      </c>
      <c r="I1212" s="42">
        <v>45721</v>
      </c>
      <c r="J1212" s="120">
        <f>WORKDAY(I1212, 3)</f>
        <v>45726</v>
      </c>
      <c r="K1212" s="29"/>
      <c r="L1212" s="29"/>
      <c r="M1212" s="29"/>
      <c r="N1212" s="120">
        <v>45727</v>
      </c>
      <c r="O1212" s="119" t="s">
        <v>10</v>
      </c>
      <c r="P1212" s="152"/>
      <c r="Q1212" s="153"/>
    </row>
    <row r="1213" spans="1:17" hidden="1">
      <c r="A1213" s="147" t="s">
        <v>384</v>
      </c>
      <c r="B1213" s="147"/>
      <c r="C1213" s="29" t="s">
        <v>981</v>
      </c>
      <c r="D1213" s="29"/>
      <c r="F1213" s="29"/>
      <c r="G1213" s="84" t="s">
        <v>823</v>
      </c>
      <c r="H1213" s="29" t="s">
        <v>316</v>
      </c>
      <c r="I1213" s="120">
        <v>45726</v>
      </c>
      <c r="J1213" s="120">
        <f>WORKDAY(I1213, 3)</f>
        <v>45729</v>
      </c>
      <c r="K1213" s="42">
        <v>45727</v>
      </c>
      <c r="L1213" s="42"/>
      <c r="M1213" s="42"/>
      <c r="N1213" s="120">
        <v>45740</v>
      </c>
      <c r="O1213" s="119" t="s">
        <v>980</v>
      </c>
      <c r="P1213" s="29"/>
      <c r="Q1213" s="81"/>
    </row>
    <row r="1214" spans="1:17" hidden="1">
      <c r="A1214" s="147" t="s">
        <v>290</v>
      </c>
      <c r="B1214" s="147"/>
      <c r="C1214" s="29">
        <v>70500979</v>
      </c>
      <c r="D1214" s="29"/>
      <c r="F1214" s="29"/>
      <c r="G1214" s="29" t="s">
        <v>823</v>
      </c>
      <c r="H1214" s="29" t="s">
        <v>316</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316</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290</v>
      </c>
      <c r="B1222" s="147"/>
      <c r="C1222" s="29">
        <v>70502443</v>
      </c>
      <c r="D1222" s="29"/>
      <c r="F1222" s="29"/>
      <c r="G1222" s="29" t="s">
        <v>823</v>
      </c>
      <c r="H1222" s="29" t="s">
        <v>316</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367</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367</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367</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367</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367</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367</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367</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367</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367</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367</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367</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367</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367</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367</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367</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367</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367</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367</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367</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367</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367</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367</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367</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367</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367</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367</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367</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367</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367</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367</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367</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367</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367</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315</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315</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315</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315</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315</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315</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315</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315</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315</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315</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315</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315</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315</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315</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315</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315</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315</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315</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315</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315</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315</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315</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315</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497</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497</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497</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497</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497</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367</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367</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290</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290</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290</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290</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290</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290</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290</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438</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438</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438</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290</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369</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369</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369</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369</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369</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369</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369</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497</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290</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290</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290</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290</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290</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290</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290</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290</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290</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290</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290</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290</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290</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290</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290</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290</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290</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290</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290</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290</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290</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290</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290</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290</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290</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290</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290</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290</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290</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290</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290</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290</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290</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311</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311</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311</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328</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328</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438</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438</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438</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438</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438</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369</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222</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290</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290</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290</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290</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290</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290</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290</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290</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290</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290</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290</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290</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290</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290</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290</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290</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290</v>
      </c>
      <c r="C2077" s="29">
        <v>118500746</v>
      </c>
      <c r="D2077" s="29"/>
      <c r="F2077" s="29" t="s">
        <v>87</v>
      </c>
      <c r="G2077" s="29" t="s">
        <v>823</v>
      </c>
      <c r="H2077" s="29" t="s">
        <v>38</v>
      </c>
      <c r="I2077" s="120">
        <v>45772</v>
      </c>
      <c r="J2077" s="120">
        <f>WORKDAY(I2077, 3)</f>
        <v>45777</v>
      </c>
      <c r="K2077" s="120"/>
      <c r="L2077" s="120"/>
      <c r="M2077" s="120"/>
      <c r="N2077" s="29"/>
      <c r="O2077" s="29" t="s">
        <v>222</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290</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290</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311</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222</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222</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222</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222</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222</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222</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222</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222</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222</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222</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222</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222</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222</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222</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222</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222</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222</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222</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222</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222</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222</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222</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222</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222</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222</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222</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222</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222</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222</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222</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222</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222</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222</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222</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222</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222</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222</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222</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433</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438</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438</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222</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222</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222</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222</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222</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222</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222</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222</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222</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222</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222</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222</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290</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222</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222</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222</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222</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222</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222</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222</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222</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222</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222</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222</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222</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222</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222</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222</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222</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222</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222</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222</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222</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222</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222</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222</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222</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222</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222</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222</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222</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222</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222</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222</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222</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222</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222</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222</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222</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222</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222</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222</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222</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222</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222</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222</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222</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222</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222</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222</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222</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222</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222</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222</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222</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222</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222</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222</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222</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222</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222</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222</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222</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222</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222</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222</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222</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222</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222</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222</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222</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222</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222</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222</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222</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222</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222</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222</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222</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222</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222</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222</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222</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222</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222</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222</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392</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222</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222</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366</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438</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222</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222</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222</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222</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222</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222</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222</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222</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222</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222</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222</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222</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222</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222</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222</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222</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222</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222</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222</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222</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222</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222</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222</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222</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222</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222</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222</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222</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222</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280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280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280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280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280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312</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222</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254</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254</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254</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254</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254</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254</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254</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254</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254</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254</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254</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254</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254</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254</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254</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254</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254</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254</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254</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254</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254</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254</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254</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254</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254</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254</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254</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254</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254</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254</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2014</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2014</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83" t="s">
        <v>2016</v>
      </c>
      <c r="C4188" s="195">
        <v>151600798</v>
      </c>
      <c r="D4188" s="168"/>
      <c r="E4188" s="29"/>
      <c r="F4188" s="29" t="s">
        <v>114</v>
      </c>
      <c r="G4188" s="3" t="s">
        <v>2014</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83" t="s">
        <v>2016</v>
      </c>
      <c r="C4189" s="195">
        <v>151600788</v>
      </c>
      <c r="D4189" s="168"/>
      <c r="E4189" s="29"/>
      <c r="F4189" s="29" t="s">
        <v>114</v>
      </c>
      <c r="G4189" s="3" t="s">
        <v>2014</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83" t="s">
        <v>2016</v>
      </c>
      <c r="C4190" s="195">
        <v>151600787</v>
      </c>
      <c r="D4190" s="168"/>
      <c r="E4190" s="29"/>
      <c r="F4190" s="29" t="s">
        <v>114</v>
      </c>
      <c r="G4190" s="3" t="s">
        <v>2014</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83" t="s">
        <v>2016</v>
      </c>
      <c r="C4191" s="195">
        <v>151600781</v>
      </c>
      <c r="D4191" s="168"/>
      <c r="E4191" s="29"/>
      <c r="F4191" s="29" t="s">
        <v>114</v>
      </c>
      <c r="G4191" s="3" t="s">
        <v>2014</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83" t="s">
        <v>2016</v>
      </c>
      <c r="C4192" s="195">
        <v>151600779</v>
      </c>
      <c r="D4192" s="168"/>
      <c r="E4192" s="29"/>
      <c r="F4192" s="29" t="s">
        <v>114</v>
      </c>
      <c r="G4192" s="3" t="s">
        <v>2014</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2014</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2014</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2014</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2014</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2014</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2014</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2014</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2014</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2014</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2014</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2014</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2014</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2014</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2014</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2014</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5">
        <v>152610523</v>
      </c>
      <c r="D4243" s="168"/>
      <c r="E4243" s="29"/>
      <c r="F4243" s="29" t="s">
        <v>76</v>
      </c>
      <c r="G4243" s="3" t="s">
        <v>64</v>
      </c>
      <c r="H4243" s="3" t="s">
        <v>77</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2027</v>
      </c>
      <c r="B4302" s="176" t="s">
        <v>2028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2027</v>
      </c>
      <c r="B4303" s="176" t="s">
        <v>2028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2027</v>
      </c>
      <c r="B4304" s="176" t="s">
        <v>2028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2027</v>
      </c>
      <c r="B4305" s="176" t="s">
        <v>2028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2027</v>
      </c>
      <c r="B4306" s="183" t="s">
        <v>2028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2027</v>
      </c>
      <c r="B4307" s="183" t="s">
        <v>2028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2027</v>
      </c>
      <c r="B4308" s="183" t="s">
        <v>2028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2029</v>
      </c>
      <c r="B4309" s="176" t="s">
        <v>2030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2029</v>
      </c>
      <c r="B4310" s="176" t="s">
        <v>2030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2029</v>
      </c>
      <c r="B4311" s="173" t="s">
        <v>2030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2029</v>
      </c>
      <c r="B4312" s="173" t="s">
        <v>2030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2029</v>
      </c>
      <c r="B4313" s="173" t="s">
        <v>2030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2029</v>
      </c>
      <c r="B4314" s="173" t="s">
        <v>2030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2031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2032</v>
      </c>
      <c r="B4316" s="173" t="s">
        <v>2033</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2032</v>
      </c>
      <c r="B4317" s="173" t="s">
        <v>2033</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2032</v>
      </c>
      <c r="B4318" s="173" t="s">
        <v>2033</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2032</v>
      </c>
      <c r="B4319" s="173" t="s">
        <v>2033</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2032</v>
      </c>
      <c r="B4320" s="173" t="s">
        <v>2033</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2032</v>
      </c>
      <c r="B4321" s="173" t="s">
        <v>2033</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2032</v>
      </c>
      <c r="B4322" s="173" t="s">
        <v>2033</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2032</v>
      </c>
      <c r="B4323" s="173" t="s">
        <v>2033</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2032</v>
      </c>
      <c r="B4324" s="173" t="s">
        <v>2033</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2032</v>
      </c>
      <c r="B4325" s="173" t="s">
        <v>2033</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2032</v>
      </c>
      <c r="B4326" s="173" t="s">
        <v>2033</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2032</v>
      </c>
      <c r="B4327" s="173" t="s">
        <v>2033</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2034</v>
      </c>
      <c r="B4335" s="173" t="s">
        <v>2035</v>
      </c>
      <c r="C4335" s="195">
        <v>138607831</v>
      </c>
      <c r="D4335" s="168"/>
      <c r="E4335" s="29"/>
      <c r="F4335" s="29" t="s">
        <v>68</v>
      </c>
      <c r="G4335" s="3" t="s">
        <v>64</v>
      </c>
      <c r="H4335" s="3" t="s">
        <v>2036</v>
      </c>
      <c r="I4335" s="55">
        <v>46160</v>
      </c>
      <c r="J4335" s="55">
        <v>46162</v>
      </c>
      <c r="K4335" s="55">
        <v>46190</v>
      </c>
      <c r="L4335" s="55"/>
      <c r="M4335" s="55"/>
      <c r="N4335" s="3"/>
      <c r="O4335" s="119" t="s">
        <v>10</v>
      </c>
      <c r="P4335" s="55">
        <v>46177</v>
      </c>
      <c r="Q4335" s="167"/>
      <c r="R4335" s="1"/>
    </row>
    <row r="4336" spans="1:18">
      <c r="A4336" s="166" t="s">
        <v>2034</v>
      </c>
      <c r="B4336" s="173" t="s">
        <v>2035</v>
      </c>
      <c r="C4336" s="195">
        <v>138607813</v>
      </c>
      <c r="D4336" s="168"/>
      <c r="E4336" s="29"/>
      <c r="F4336" s="29" t="s">
        <v>68</v>
      </c>
      <c r="G4336" s="3" t="s">
        <v>64</v>
      </c>
      <c r="H4336" s="3" t="s">
        <v>2036</v>
      </c>
      <c r="I4336" s="55">
        <v>46160</v>
      </c>
      <c r="J4336" s="55">
        <v>46162</v>
      </c>
      <c r="K4336" s="55">
        <v>46190</v>
      </c>
      <c r="L4336" s="55"/>
      <c r="M4336" s="55"/>
      <c r="N4336" s="3"/>
      <c r="O4336" s="119" t="s">
        <v>10</v>
      </c>
      <c r="P4336" s="55">
        <v>46177</v>
      </c>
      <c r="Q4336" s="167"/>
      <c r="R4336" s="1"/>
    </row>
    <row r="4337" spans="1:18">
      <c r="A4337" s="166" t="s">
        <v>2034</v>
      </c>
      <c r="B4337" s="173" t="s">
        <v>2035</v>
      </c>
      <c r="C4337" s="195">
        <v>138607799</v>
      </c>
      <c r="D4337" s="168"/>
      <c r="E4337" s="29"/>
      <c r="F4337" s="29" t="s">
        <v>68</v>
      </c>
      <c r="G4337" s="3" t="s">
        <v>64</v>
      </c>
      <c r="H4337" s="3" t="s">
        <v>2036</v>
      </c>
      <c r="I4337" s="55">
        <v>46160</v>
      </c>
      <c r="J4337" s="55">
        <v>46162</v>
      </c>
      <c r="K4337" s="55">
        <v>46190</v>
      </c>
      <c r="L4337" s="55"/>
      <c r="M4337" s="55"/>
      <c r="N4337" s="3"/>
      <c r="O4337" s="119" t="s">
        <v>10</v>
      </c>
      <c r="P4337" s="55">
        <v>46177</v>
      </c>
      <c r="Q4337" s="167"/>
      <c r="R4337" s="1"/>
    </row>
    <row r="4338" spans="1:18">
      <c r="A4338" s="166" t="s">
        <v>2034</v>
      </c>
      <c r="B4338" s="173" t="s">
        <v>2035</v>
      </c>
      <c r="C4338" s="195">
        <v>138607782</v>
      </c>
      <c r="D4338" s="168"/>
      <c r="E4338" s="29"/>
      <c r="F4338" s="29" t="s">
        <v>68</v>
      </c>
      <c r="G4338" s="3" t="s">
        <v>64</v>
      </c>
      <c r="H4338" s="3" t="s">
        <v>2036</v>
      </c>
      <c r="I4338" s="55">
        <v>46160</v>
      </c>
      <c r="J4338" s="55">
        <v>46162</v>
      </c>
      <c r="K4338" s="55">
        <v>46190</v>
      </c>
      <c r="L4338" s="55"/>
      <c r="M4338" s="55"/>
      <c r="N4338" s="3"/>
      <c r="O4338" s="119" t="s">
        <v>10</v>
      </c>
      <c r="P4338" s="55">
        <v>46185</v>
      </c>
      <c r="Q4338" s="167"/>
      <c r="R4338" s="1"/>
    </row>
    <row r="4339" spans="1:18">
      <c r="A4339" s="166" t="s">
        <v>2034</v>
      </c>
      <c r="B4339" s="173" t="s">
        <v>2035</v>
      </c>
      <c r="C4339" s="195">
        <v>138607760</v>
      </c>
      <c r="D4339" s="168"/>
      <c r="E4339" s="29"/>
      <c r="F4339" s="29" t="s">
        <v>68</v>
      </c>
      <c r="G4339" s="3" t="s">
        <v>64</v>
      </c>
      <c r="H4339" s="3" t="s">
        <v>2036</v>
      </c>
      <c r="I4339" s="55">
        <v>46160</v>
      </c>
      <c r="J4339" s="55">
        <v>46162</v>
      </c>
      <c r="K4339" s="55">
        <v>46190</v>
      </c>
      <c r="L4339" s="55"/>
      <c r="M4339" s="55"/>
      <c r="N4339" s="3"/>
      <c r="O4339" s="119" t="s">
        <v>10</v>
      </c>
      <c r="P4339" s="55">
        <v>46178</v>
      </c>
      <c r="Q4339" s="167"/>
      <c r="R4339" s="1"/>
    </row>
    <row r="4340" spans="1:18">
      <c r="A4340" s="166" t="s">
        <v>2034</v>
      </c>
      <c r="B4340" s="173" t="s">
        <v>2035</v>
      </c>
      <c r="C4340" s="195">
        <v>138607742</v>
      </c>
      <c r="D4340" s="168"/>
      <c r="E4340" s="29"/>
      <c r="F4340" s="29" t="s">
        <v>68</v>
      </c>
      <c r="G4340" s="3" t="s">
        <v>64</v>
      </c>
      <c r="H4340" s="3" t="s">
        <v>2036</v>
      </c>
      <c r="I4340" s="55">
        <v>46160</v>
      </c>
      <c r="J4340" s="55">
        <v>46162</v>
      </c>
      <c r="K4340" s="55">
        <v>46190</v>
      </c>
      <c r="L4340" s="55"/>
      <c r="M4340" s="55"/>
      <c r="N4340" s="3"/>
      <c r="O4340" s="119" t="s">
        <v>10</v>
      </c>
      <c r="P4340" s="55">
        <v>46178</v>
      </c>
      <c r="Q4340" s="167"/>
      <c r="R4340" s="1"/>
    </row>
    <row r="4341" spans="1:18">
      <c r="A4341" s="166" t="s">
        <v>2034</v>
      </c>
      <c r="B4341" s="173" t="s">
        <v>2035</v>
      </c>
      <c r="C4341" s="195">
        <v>138607664</v>
      </c>
      <c r="D4341" s="168"/>
      <c r="E4341" s="29"/>
      <c r="F4341" s="29" t="s">
        <v>68</v>
      </c>
      <c r="G4341" s="3" t="s">
        <v>64</v>
      </c>
      <c r="H4341" s="3" t="s">
        <v>2036</v>
      </c>
      <c r="I4341" s="55">
        <v>46160</v>
      </c>
      <c r="J4341" s="55">
        <v>46162</v>
      </c>
      <c r="K4341" s="55">
        <v>46190</v>
      </c>
      <c r="L4341" s="55"/>
      <c r="M4341" s="55"/>
      <c r="N4341" s="3"/>
      <c r="O4341" s="119" t="s">
        <v>10</v>
      </c>
      <c r="P4341" s="55">
        <v>46175</v>
      </c>
      <c r="Q4341" s="167"/>
      <c r="R4341" s="1"/>
    </row>
    <row r="4342" spans="1:18">
      <c r="A4342" s="166" t="s">
        <v>2034</v>
      </c>
      <c r="B4342" s="173" t="s">
        <v>2035</v>
      </c>
      <c r="C4342" s="195">
        <v>138607656</v>
      </c>
      <c r="D4342" s="168"/>
      <c r="E4342" s="29"/>
      <c r="F4342" s="29" t="s">
        <v>68</v>
      </c>
      <c r="G4342" s="3" t="s">
        <v>64</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2041</v>
      </c>
      <c r="B4359" s="173" t="s">
        <v>2042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2041</v>
      </c>
      <c r="B4360" s="173" t="s">
        <v>2042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2041</v>
      </c>
      <c r="B4361" s="173" t="s">
        <v>2042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2041</v>
      </c>
      <c r="B4362" s="173" t="s">
        <v>2042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2041</v>
      </c>
      <c r="B4363" s="173" t="s">
        <v>2042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2041</v>
      </c>
      <c r="B4364" s="173" t="s">
        <v>2042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2041</v>
      </c>
      <c r="B4365" s="173" t="s">
        <v>2042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254</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254</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254</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254</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254</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254</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254</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254</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254</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254</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254</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254</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254</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254</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254</v>
      </c>
      <c r="G4393" s="3" t="s">
        <v>115</v>
      </c>
      <c r="H4393" s="3" t="s">
        <v>1978</v>
      </c>
      <c r="I4393" s="55">
        <v>46156</v>
      </c>
      <c r="J4393" s="55">
        <v>46160</v>
      </c>
      <c r="K4393" s="55">
        <v>46188</v>
      </c>
      <c r="L4393" s="55"/>
      <c r="M4393" s="55"/>
      <c r="N4393" s="3"/>
      <c r="O4393" s="119" t="s">
        <v>10</v>
      </c>
      <c r="P4393" s="55">
        <v>46161</v>
      </c>
      <c r="Q4393" s="167"/>
      <c r="R4393" s="1"/>
    </row>
    <row r="4394" spans="1:18">
      <c r="A4394" s="166" t="s">
        <v>2015</v>
      </c>
      <c r="B4394" s="200" t="s">
        <v>2016</v>
      </c>
      <c r="C4394" s="195">
        <v>151600798</v>
      </c>
      <c r="D4394" s="168"/>
      <c r="E4394" s="29"/>
      <c r="F4394" s="29" t="s">
        <v>114</v>
      </c>
      <c r="G4394" s="3" t="s">
        <v>2014</v>
      </c>
      <c r="H4394" s="3" t="s">
        <v>116</v>
      </c>
      <c r="I4394" s="55">
        <v>46175</v>
      </c>
      <c r="J4394" s="55">
        <v>46178</v>
      </c>
      <c r="K4394" s="55">
        <v>46205</v>
      </c>
      <c r="L4394" s="3"/>
      <c r="M4394" s="3"/>
      <c r="N4394" s="3"/>
      <c r="O4394" s="119" t="s">
        <v>10</v>
      </c>
      <c r="P4394" s="55">
        <v>46181</v>
      </c>
      <c r="Q4394" s="167"/>
      <c r="R4394" s="1"/>
    </row>
    <row r="4395" spans="1:18">
      <c r="A4395" s="166" t="s">
        <v>2015</v>
      </c>
      <c r="B4395" s="200" t="s">
        <v>2016</v>
      </c>
      <c r="C4395" s="195">
        <v>151600788</v>
      </c>
      <c r="D4395" s="168"/>
      <c r="E4395" s="29"/>
      <c r="F4395" s="29" t="s">
        <v>114</v>
      </c>
      <c r="G4395" s="3" t="s">
        <v>2014</v>
      </c>
      <c r="H4395" s="3" t="s">
        <v>116</v>
      </c>
      <c r="I4395" s="55">
        <v>46175</v>
      </c>
      <c r="J4395" s="55">
        <v>46178</v>
      </c>
      <c r="K4395" s="55">
        <v>46205</v>
      </c>
      <c r="L4395" s="3"/>
      <c r="M4395" s="3"/>
      <c r="N4395" s="3"/>
      <c r="O4395" s="119" t="s">
        <v>10</v>
      </c>
      <c r="P4395" s="55">
        <v>46181</v>
      </c>
      <c r="Q4395" s="167"/>
      <c r="R4395" s="1"/>
    </row>
    <row r="4396" spans="1:18">
      <c r="A4396" s="166" t="s">
        <v>2015</v>
      </c>
      <c r="B4396" s="200" t="s">
        <v>2016</v>
      </c>
      <c r="C4396" s="195">
        <v>151600787</v>
      </c>
      <c r="D4396" s="168"/>
      <c r="E4396" s="29"/>
      <c r="F4396" s="29" t="s">
        <v>114</v>
      </c>
      <c r="G4396" s="3" t="s">
        <v>2014</v>
      </c>
      <c r="H4396" s="3" t="s">
        <v>116</v>
      </c>
      <c r="I4396" s="55">
        <v>46175</v>
      </c>
      <c r="J4396" s="55">
        <v>46178</v>
      </c>
      <c r="K4396" s="55">
        <v>46205</v>
      </c>
      <c r="L4396" s="3"/>
      <c r="M4396" s="3"/>
      <c r="N4396" s="3"/>
      <c r="O4396" s="119" t="s">
        <v>10</v>
      </c>
      <c r="P4396" s="55">
        <v>46181</v>
      </c>
      <c r="Q4396" s="167"/>
      <c r="R4396" s="1"/>
    </row>
    <row r="4397" spans="1:18">
      <c r="A4397" s="166" t="s">
        <v>2015</v>
      </c>
      <c r="B4397" s="200" t="s">
        <v>2016</v>
      </c>
      <c r="C4397" s="195">
        <v>151600781</v>
      </c>
      <c r="D4397" s="168"/>
      <c r="E4397" s="29"/>
      <c r="F4397" s="29" t="s">
        <v>114</v>
      </c>
      <c r="G4397" s="3" t="s">
        <v>2014</v>
      </c>
      <c r="H4397" s="3" t="s">
        <v>116</v>
      </c>
      <c r="I4397" s="55">
        <v>46175</v>
      </c>
      <c r="J4397" s="55">
        <v>46178</v>
      </c>
      <c r="K4397" s="55">
        <v>46205</v>
      </c>
      <c r="L4397" s="3"/>
      <c r="M4397" s="3"/>
      <c r="N4397" s="3"/>
      <c r="O4397" s="119" t="s">
        <v>10</v>
      </c>
      <c r="P4397" s="55">
        <v>46181</v>
      </c>
      <c r="Q4397" s="167"/>
      <c r="R4397" s="1"/>
    </row>
    <row r="4398" spans="1:18">
      <c r="A4398" s="166" t="s">
        <v>2015</v>
      </c>
      <c r="B4398" s="200" t="s">
        <v>2016</v>
      </c>
      <c r="C4398" s="195">
        <v>151600779</v>
      </c>
      <c r="D4398" s="168"/>
      <c r="E4398" s="29"/>
      <c r="F4398" s="29" t="s">
        <v>114</v>
      </c>
      <c r="G4398" s="3" t="s">
        <v>2014</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2014</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2014</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2014</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2014</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2014</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2014</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2014</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2014</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2014</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254</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254</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254</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254</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254</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254</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254</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254</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254</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254</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254</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254</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254</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254</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254</v>
      </c>
      <c r="G4427" s="3" t="s">
        <v>115</v>
      </c>
      <c r="H4427" s="3" t="s">
        <v>1978</v>
      </c>
      <c r="I4427" s="55">
        <v>46156</v>
      </c>
      <c r="J4427" s="55">
        <v>46160</v>
      </c>
      <c r="K4427" s="55">
        <v>46188</v>
      </c>
      <c r="L4427" s="55"/>
      <c r="M4427" s="55"/>
      <c r="N4427" s="3"/>
      <c r="O4427" s="119" t="s">
        <v>10</v>
      </c>
      <c r="P4427" s="55">
        <v>46161</v>
      </c>
      <c r="Q4427" s="167"/>
      <c r="R4427" s="1"/>
    </row>
    <row r="4428" spans="1:18">
      <c r="A4428" s="202" t="s">
        <v>2015</v>
      </c>
      <c r="B4428" s="200" t="s">
        <v>2016</v>
      </c>
      <c r="C4428" s="195">
        <v>151600798</v>
      </c>
      <c r="D4428" s="168"/>
      <c r="E4428" s="29"/>
      <c r="F4428" s="29" t="s">
        <v>114</v>
      </c>
      <c r="G4428" s="3" t="s">
        <v>2014</v>
      </c>
      <c r="H4428" s="3" t="s">
        <v>116</v>
      </c>
      <c r="I4428" s="55">
        <v>46175</v>
      </c>
      <c r="J4428" s="55">
        <v>46178</v>
      </c>
      <c r="K4428" s="55">
        <v>46205</v>
      </c>
      <c r="L4428" s="3"/>
      <c r="M4428" s="3"/>
      <c r="N4428" s="3"/>
      <c r="O4428" s="119" t="s">
        <v>10</v>
      </c>
      <c r="P4428" s="55">
        <v>46181</v>
      </c>
      <c r="Q4428" s="167"/>
      <c r="R4428" s="1"/>
    </row>
    <row r="4429" spans="1:18">
      <c r="A4429" s="202" t="s">
        <v>2015</v>
      </c>
      <c r="B4429" s="200" t="s">
        <v>2016</v>
      </c>
      <c r="C4429" s="195">
        <v>151600788</v>
      </c>
      <c r="D4429" s="168"/>
      <c r="E4429" s="29"/>
      <c r="F4429" s="29" t="s">
        <v>114</v>
      </c>
      <c r="G4429" s="3" t="s">
        <v>2014</v>
      </c>
      <c r="H4429" s="3" t="s">
        <v>116</v>
      </c>
      <c r="I4429" s="55">
        <v>46175</v>
      </c>
      <c r="J4429" s="55">
        <v>46178</v>
      </c>
      <c r="K4429" s="55">
        <v>46205</v>
      </c>
      <c r="L4429" s="3"/>
      <c r="M4429" s="3"/>
      <c r="N4429" s="3"/>
      <c r="O4429" s="119" t="s">
        <v>10</v>
      </c>
      <c r="P4429" s="55">
        <v>46181</v>
      </c>
      <c r="Q4429" s="167"/>
      <c r="R4429" s="1"/>
    </row>
    <row r="4430" spans="1:18">
      <c r="A4430" s="202" t="s">
        <v>2015</v>
      </c>
      <c r="B4430" s="200" t="s">
        <v>2016</v>
      </c>
      <c r="C4430" s="195">
        <v>151600787</v>
      </c>
      <c r="D4430" s="168"/>
      <c r="E4430" s="29"/>
      <c r="F4430" s="29" t="s">
        <v>114</v>
      </c>
      <c r="G4430" s="3" t="s">
        <v>2014</v>
      </c>
      <c r="H4430" s="3" t="s">
        <v>116</v>
      </c>
      <c r="I4430" s="55">
        <v>46175</v>
      </c>
      <c r="J4430" s="55">
        <v>46178</v>
      </c>
      <c r="K4430" s="55">
        <v>46205</v>
      </c>
      <c r="L4430" s="3"/>
      <c r="M4430" s="3"/>
      <c r="N4430" s="3"/>
      <c r="O4430" s="119" t="s">
        <v>10</v>
      </c>
      <c r="P4430" s="55">
        <v>46181</v>
      </c>
      <c r="Q4430" s="167"/>
      <c r="R4430" s="1"/>
    </row>
    <row r="4431" spans="1:18">
      <c r="A4431" s="202" t="s">
        <v>2015</v>
      </c>
      <c r="B4431" s="200" t="s">
        <v>2016</v>
      </c>
      <c r="C4431" s="195">
        <v>151600781</v>
      </c>
      <c r="D4431" s="168"/>
      <c r="E4431" s="29"/>
      <c r="F4431" s="29" t="s">
        <v>114</v>
      </c>
      <c r="G4431" s="3" t="s">
        <v>2014</v>
      </c>
      <c r="H4431" s="3" t="s">
        <v>116</v>
      </c>
      <c r="I4431" s="55">
        <v>46175</v>
      </c>
      <c r="J4431" s="55">
        <v>46178</v>
      </c>
      <c r="K4431" s="55">
        <v>46205</v>
      </c>
      <c r="L4431" s="3"/>
      <c r="M4431" s="3"/>
      <c r="N4431" s="3"/>
      <c r="O4431" s="119" t="s">
        <v>10</v>
      </c>
      <c r="P4431" s="55">
        <v>46181</v>
      </c>
      <c r="Q4431" s="167"/>
      <c r="R4431" s="1"/>
    </row>
    <row r="4432" spans="1:18">
      <c r="A4432" s="202" t="s">
        <v>2015</v>
      </c>
      <c r="B4432" s="200" t="s">
        <v>2016</v>
      </c>
      <c r="C4432" s="195">
        <v>151600779</v>
      </c>
      <c r="D4432" s="168"/>
      <c r="E4432" s="29"/>
      <c r="F4432" s="29" t="s">
        <v>114</v>
      </c>
      <c r="G4432" s="3" t="s">
        <v>2014</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2014</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2014</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2014</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2014</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2014</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2014</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2014</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2014</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2014</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2043</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2043</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2043</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2043</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2043</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2043</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2043</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2043</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2043</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2043</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2043</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2043</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2043</v>
      </c>
      <c r="G4454" s="3" t="s">
        <v>115</v>
      </c>
      <c r="H4454" s="3" t="s">
        <v>1978</v>
      </c>
      <c r="I4454" s="55">
        <v>46198</v>
      </c>
      <c r="J4454" s="55">
        <v>46202</v>
      </c>
      <c r="K4454" s="55">
        <v>46227</v>
      </c>
      <c r="L4454" s="55"/>
      <c r="M4454" s="55"/>
      <c r="N4454" s="3"/>
      <c r="O4454" s="119" t="s">
        <v>10</v>
      </c>
      <c r="P4454" s="3"/>
      <c r="Q4454" s="167"/>
      <c r="R4454" s="1"/>
    </row>
    <row r="4455" spans="1:121">
      <c r="A4455" s="173" t="s">
        <v>2044</v>
      </c>
      <c r="B4455" s="173" t="s">
        <v>2045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2032</v>
      </c>
      <c r="B4513" s="173" t="s">
        <v>2033</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2032</v>
      </c>
      <c r="B4514" s="173" t="s">
        <v>2033</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2034</v>
      </c>
      <c r="B4515" s="173" t="s">
        <v>2035</v>
      </c>
      <c r="C4515" s="195">
        <v>138607791</v>
      </c>
      <c r="D4515" s="168"/>
      <c r="E4515" s="29"/>
      <c r="F4515" s="29" t="s">
        <v>68</v>
      </c>
      <c r="G4515" s="3" t="s">
        <v>64</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2034</v>
      </c>
      <c r="B4516" s="173" t="s">
        <v>2035</v>
      </c>
      <c r="C4516" s="195">
        <v>138607618</v>
      </c>
      <c r="D4516" s="168"/>
      <c r="E4516" s="29"/>
      <c r="F4516" s="29" t="s">
        <v>68</v>
      </c>
      <c r="G4516" s="3" t="s">
        <v>64</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83" t="s">
        <v>136</v>
      </c>
      <c r="C4531" s="195">
        <v>147604963</v>
      </c>
      <c r="D4531" s="168"/>
      <c r="E4531" s="29"/>
      <c r="F4531" s="29" t="s">
        <v>2058</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83" t="s">
        <v>136</v>
      </c>
      <c r="C4532" s="195">
        <v>147604803</v>
      </c>
      <c r="D4532" s="168"/>
      <c r="E4532" s="29"/>
      <c r="F4532" s="29" t="s">
        <v>2058</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83" t="s">
        <v>136</v>
      </c>
      <c r="C4533" s="195">
        <v>147605087</v>
      </c>
      <c r="D4533" s="168"/>
      <c r="E4533" s="29"/>
      <c r="F4533" s="29" t="s">
        <v>2058</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83" t="s">
        <v>136</v>
      </c>
      <c r="C4534" s="195">
        <v>147605275</v>
      </c>
      <c r="D4534" s="168"/>
      <c r="E4534" s="29"/>
      <c r="F4534" s="29" t="s">
        <v>2058</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83" t="s">
        <v>136</v>
      </c>
      <c r="C4535" s="195">
        <v>147605379</v>
      </c>
      <c r="D4535" s="168"/>
      <c r="E4535" s="29"/>
      <c r="F4535" s="29" t="s">
        <v>2058</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2059</v>
      </c>
      <c r="B4536" s="183" t="s">
        <v>2060</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2059</v>
      </c>
      <c r="B4537" s="183" t="s">
        <v>2060</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2059</v>
      </c>
      <c r="B4538" s="183" t="s">
        <v>2060</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2059</v>
      </c>
      <c r="B4539" s="183" t="s">
        <v>2060</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2059</v>
      </c>
      <c r="B4540" s="183" t="s">
        <v>2060</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2059</v>
      </c>
      <c r="B4541" s="183" t="s">
        <v>2060</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2059</v>
      </c>
      <c r="B4542" s="183" t="s">
        <v>2060</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2059</v>
      </c>
      <c r="B4543" s="183" t="s">
        <v>2060</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2059</v>
      </c>
      <c r="B4544" s="183" t="s">
        <v>2060</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2061</v>
      </c>
      <c r="B4545" s="173" t="s">
        <v>2062</v>
      </c>
      <c r="C4545" s="195">
        <v>189601853</v>
      </c>
      <c r="D4545" s="168"/>
      <c r="E4545" s="29"/>
      <c r="F4545" s="29" t="s">
        <v>87</v>
      </c>
      <c r="G4545" s="3" t="s">
        <v>64</v>
      </c>
      <c r="H4545" s="3" t="s">
        <v>30</v>
      </c>
      <c r="I4545" s="59">
        <v>46211</v>
      </c>
      <c r="J4545" s="59">
        <v>46214</v>
      </c>
      <c r="K4545" s="59">
        <v>46242</v>
      </c>
      <c r="L4545" s="45"/>
      <c r="M4545" s="45"/>
      <c r="N4545" s="45"/>
      <c r="O4545" s="119" t="s">
        <v>2063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2061</v>
      </c>
      <c r="B4546" s="173" t="s">
        <v>2062</v>
      </c>
      <c r="C4546" s="195">
        <v>189601897</v>
      </c>
      <c r="D4546" s="168"/>
      <c r="E4546" s="29"/>
      <c r="F4546" s="29" t="s">
        <v>87</v>
      </c>
      <c r="G4546" s="3" t="s">
        <v>64</v>
      </c>
      <c r="H4546" s="3" t="s">
        <v>30</v>
      </c>
      <c r="I4546" s="59">
        <v>46211</v>
      </c>
      <c r="J4546" s="59">
        <v>46214</v>
      </c>
      <c r="K4546" s="59">
        <v>46242</v>
      </c>
      <c r="L4546" s="45"/>
      <c r="M4546" s="45"/>
      <c r="N4546" s="45"/>
      <c r="O4546" s="119" t="s">
        <v>2063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2061</v>
      </c>
      <c r="B4547" s="173" t="s">
        <v>2062</v>
      </c>
      <c r="C4547" s="195">
        <v>189601924</v>
      </c>
      <c r="D4547" s="168"/>
      <c r="E4547" s="29"/>
      <c r="F4547" s="29" t="s">
        <v>87</v>
      </c>
      <c r="G4547" s="3" t="s">
        <v>64</v>
      </c>
      <c r="H4547" s="3" t="s">
        <v>30</v>
      </c>
      <c r="I4547" s="59">
        <v>46211</v>
      </c>
      <c r="J4547" s="59">
        <v>46214</v>
      </c>
      <c r="K4547" s="59">
        <v>46242</v>
      </c>
      <c r="L4547" s="45"/>
      <c r="M4547" s="45"/>
      <c r="N4547" s="45"/>
      <c r="O4547" s="119" t="s">
        <v>2063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2061</v>
      </c>
      <c r="B4548" s="173" t="s">
        <v>2062</v>
      </c>
      <c r="C4548" s="195">
        <v>189601925</v>
      </c>
      <c r="D4548" s="168"/>
      <c r="E4548" s="29"/>
      <c r="F4548" s="29" t="s">
        <v>87</v>
      </c>
      <c r="G4548" s="3" t="s">
        <v>64</v>
      </c>
      <c r="H4548" s="3" t="s">
        <v>30</v>
      </c>
      <c r="I4548" s="59">
        <v>46211</v>
      </c>
      <c r="J4548" s="59">
        <v>46214</v>
      </c>
      <c r="K4548" s="59">
        <v>46242</v>
      </c>
      <c r="L4548" s="45"/>
      <c r="M4548" s="45"/>
      <c r="N4548" s="45"/>
      <c r="O4548" s="119" t="s">
        <v>2063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2061</v>
      </c>
      <c r="B4549" s="173" t="s">
        <v>2062</v>
      </c>
      <c r="C4549" s="195">
        <v>189601955</v>
      </c>
      <c r="D4549" s="168"/>
      <c r="E4549" s="29"/>
      <c r="F4549" s="29" t="s">
        <v>87</v>
      </c>
      <c r="G4549" s="3" t="s">
        <v>64</v>
      </c>
      <c r="H4549" s="3" t="s">
        <v>30</v>
      </c>
      <c r="I4549" s="59">
        <v>46211</v>
      </c>
      <c r="J4549" s="59">
        <v>46214</v>
      </c>
      <c r="K4549" s="59">
        <v>46242</v>
      </c>
      <c r="L4549" s="45"/>
      <c r="M4549" s="45"/>
      <c r="N4549" s="45"/>
      <c r="O4549" s="119" t="s">
        <v>2063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2061</v>
      </c>
      <c r="B4550" s="173" t="s">
        <v>2062</v>
      </c>
      <c r="C4550" s="195">
        <v>189602071</v>
      </c>
      <c r="D4550" s="168"/>
      <c r="E4550" s="29"/>
      <c r="F4550" s="29" t="s">
        <v>87</v>
      </c>
      <c r="G4550" s="3" t="s">
        <v>64</v>
      </c>
      <c r="H4550" s="3" t="s">
        <v>30</v>
      </c>
      <c r="I4550" s="59">
        <v>46211</v>
      </c>
      <c r="J4550" s="59">
        <v>46214</v>
      </c>
      <c r="K4550" s="59">
        <v>46242</v>
      </c>
      <c r="L4550" s="45"/>
      <c r="M4550" s="45"/>
      <c r="N4550" s="45"/>
      <c r="O4550" s="119" t="s">
        <v>2063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2061</v>
      </c>
      <c r="B4551" s="173" t="s">
        <v>2062</v>
      </c>
      <c r="C4551" s="195">
        <v>189602139</v>
      </c>
      <c r="D4551" s="168"/>
      <c r="E4551" s="29"/>
      <c r="F4551" s="29" t="s">
        <v>87</v>
      </c>
      <c r="G4551" s="3" t="s">
        <v>64</v>
      </c>
      <c r="H4551" s="3" t="s">
        <v>30</v>
      </c>
      <c r="I4551" s="59">
        <v>46211</v>
      </c>
      <c r="J4551" s="59">
        <v>46214</v>
      </c>
      <c r="K4551" s="59">
        <v>46242</v>
      </c>
      <c r="L4551" s="45"/>
      <c r="M4551" s="45"/>
      <c r="N4551" s="45"/>
      <c r="O4551" s="119" t="s">
        <v>2063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2061</v>
      </c>
      <c r="B4552" s="173" t="s">
        <v>2062</v>
      </c>
      <c r="C4552" s="195">
        <v>189602158</v>
      </c>
      <c r="D4552" s="168"/>
      <c r="E4552" s="29"/>
      <c r="F4552" s="29" t="s">
        <v>87</v>
      </c>
      <c r="G4552" s="3" t="s">
        <v>64</v>
      </c>
      <c r="H4552" s="3" t="s">
        <v>30</v>
      </c>
      <c r="I4552" s="59">
        <v>46211</v>
      </c>
      <c r="J4552" s="59">
        <v>46214</v>
      </c>
      <c r="K4552" s="59">
        <v>46242</v>
      </c>
      <c r="L4552" s="45"/>
      <c r="M4552" s="45"/>
      <c r="N4552" s="45"/>
      <c r="O4552" s="119" t="s">
        <v>2063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2061</v>
      </c>
      <c r="B4553" s="173" t="s">
        <v>2062</v>
      </c>
      <c r="C4553" s="195">
        <v>189602263</v>
      </c>
      <c r="D4553" s="168"/>
      <c r="E4553" s="29"/>
      <c r="F4553" s="29" t="s">
        <v>87</v>
      </c>
      <c r="G4553" s="3" t="s">
        <v>64</v>
      </c>
      <c r="H4553" s="3" t="s">
        <v>30</v>
      </c>
      <c r="I4553" s="59">
        <v>46211</v>
      </c>
      <c r="J4553" s="59">
        <v>46214</v>
      </c>
      <c r="K4553" s="59">
        <v>46242</v>
      </c>
      <c r="L4553" s="45"/>
      <c r="M4553" s="45"/>
      <c r="N4553" s="45"/>
      <c r="O4553" s="119" t="s">
        <v>2063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2061</v>
      </c>
      <c r="B4554" s="173" t="s">
        <v>2062</v>
      </c>
      <c r="C4554" s="195">
        <v>189602303</v>
      </c>
      <c r="D4554" s="168"/>
      <c r="E4554" s="29"/>
      <c r="F4554" s="29" t="s">
        <v>87</v>
      </c>
      <c r="G4554" s="3" t="s">
        <v>64</v>
      </c>
      <c r="H4554" s="3" t="s">
        <v>30</v>
      </c>
      <c r="I4554" s="59">
        <v>46211</v>
      </c>
      <c r="J4554" s="59">
        <v>46214</v>
      </c>
      <c r="K4554" s="59">
        <v>46242</v>
      </c>
      <c r="L4554" s="45"/>
      <c r="M4554" s="45"/>
      <c r="N4554" s="45"/>
      <c r="O4554" s="119" t="s">
        <v>2063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2061</v>
      </c>
      <c r="B4555" s="173" t="s">
        <v>2062</v>
      </c>
      <c r="C4555" s="195">
        <v>189602349</v>
      </c>
      <c r="D4555" s="168"/>
      <c r="E4555" s="29"/>
      <c r="F4555" s="29" t="s">
        <v>87</v>
      </c>
      <c r="G4555" s="3" t="s">
        <v>64</v>
      </c>
      <c r="H4555" s="3" t="s">
        <v>30</v>
      </c>
      <c r="I4555" s="59">
        <v>46211</v>
      </c>
      <c r="J4555" s="59">
        <v>46214</v>
      </c>
      <c r="K4555" s="59">
        <v>46242</v>
      </c>
      <c r="L4555" s="45"/>
      <c r="M4555" s="45"/>
      <c r="N4555" s="45"/>
      <c r="O4555" s="119" t="s">
        <v>2063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2061</v>
      </c>
      <c r="B4556" s="173" t="s">
        <v>2062</v>
      </c>
      <c r="C4556" s="195">
        <v>189602376</v>
      </c>
      <c r="D4556" s="168"/>
      <c r="E4556" s="29"/>
      <c r="F4556" s="29" t="s">
        <v>87</v>
      </c>
      <c r="G4556" s="3" t="s">
        <v>64</v>
      </c>
      <c r="H4556" s="3" t="s">
        <v>30</v>
      </c>
      <c r="I4556" s="59">
        <v>46211</v>
      </c>
      <c r="J4556" s="59">
        <v>46214</v>
      </c>
      <c r="K4556" s="59">
        <v>46242</v>
      </c>
      <c r="L4556" s="45"/>
      <c r="M4556" s="45"/>
      <c r="N4556" s="45"/>
      <c r="O4556" s="119" t="s">
        <v>2063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2061</v>
      </c>
      <c r="B4557" s="173" t="s">
        <v>2062</v>
      </c>
      <c r="C4557" s="195">
        <v>189602388</v>
      </c>
      <c r="D4557" s="168"/>
      <c r="E4557" s="29"/>
      <c r="F4557" s="29" t="s">
        <v>87</v>
      </c>
      <c r="G4557" s="3" t="s">
        <v>64</v>
      </c>
      <c r="H4557" s="3" t="s">
        <v>30</v>
      </c>
      <c r="I4557" s="59">
        <v>46211</v>
      </c>
      <c r="J4557" s="59">
        <v>46214</v>
      </c>
      <c r="K4557" s="59">
        <v>46242</v>
      </c>
      <c r="L4557" s="45"/>
      <c r="M4557" s="45"/>
      <c r="N4557" s="45"/>
      <c r="O4557" s="119" t="s">
        <v>2063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2061</v>
      </c>
      <c r="B4558" s="173" t="s">
        <v>2062</v>
      </c>
      <c r="C4558" s="195">
        <v>189602428</v>
      </c>
      <c r="D4558" s="168"/>
      <c r="E4558" s="29"/>
      <c r="F4558" s="29" t="s">
        <v>87</v>
      </c>
      <c r="G4558" s="3" t="s">
        <v>64</v>
      </c>
      <c r="H4558" s="3" t="s">
        <v>30</v>
      </c>
      <c r="I4558" s="59">
        <v>46211</v>
      </c>
      <c r="J4558" s="59">
        <v>46214</v>
      </c>
      <c r="K4558" s="59">
        <v>46242</v>
      </c>
      <c r="L4558" s="45"/>
      <c r="M4558" s="45"/>
      <c r="N4558" s="45"/>
      <c r="O4558" s="119" t="s">
        <v>2063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2061</v>
      </c>
      <c r="B4559" s="173" t="s">
        <v>2062</v>
      </c>
      <c r="C4559" s="195">
        <v>189602448</v>
      </c>
      <c r="D4559" s="168"/>
      <c r="E4559" s="29"/>
      <c r="F4559" s="29" t="s">
        <v>87</v>
      </c>
      <c r="G4559" s="3" t="s">
        <v>64</v>
      </c>
      <c r="H4559" s="3" t="s">
        <v>30</v>
      </c>
      <c r="I4559" s="59">
        <v>46211</v>
      </c>
      <c r="J4559" s="59">
        <v>46214</v>
      </c>
      <c r="K4559" s="59">
        <v>46242</v>
      </c>
      <c r="L4559" s="45"/>
      <c r="M4559" s="45"/>
      <c r="N4559" s="45"/>
      <c r="O4559" s="119" t="s">
        <v>2063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2061</v>
      </c>
      <c r="B4560" s="173" t="s">
        <v>2062</v>
      </c>
      <c r="C4560" s="195">
        <v>189602523</v>
      </c>
      <c r="D4560" s="168"/>
      <c r="E4560" s="29"/>
      <c r="F4560" s="29" t="s">
        <v>87</v>
      </c>
      <c r="G4560" s="3" t="s">
        <v>64</v>
      </c>
      <c r="H4560" s="3" t="s">
        <v>30</v>
      </c>
      <c r="I4560" s="59">
        <v>46211</v>
      </c>
      <c r="J4560" s="59">
        <v>46214</v>
      </c>
      <c r="K4560" s="59">
        <v>46242</v>
      </c>
      <c r="L4560" s="45"/>
      <c r="M4560" s="45"/>
      <c r="N4560" s="45"/>
      <c r="O4560" s="119" t="s">
        <v>2063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2061</v>
      </c>
      <c r="B4561" s="173" t="s">
        <v>2062</v>
      </c>
      <c r="C4561" s="195">
        <v>189602585</v>
      </c>
      <c r="D4561" s="168"/>
      <c r="E4561" s="29"/>
      <c r="F4561" s="29" t="s">
        <v>87</v>
      </c>
      <c r="G4561" s="3" t="s">
        <v>64</v>
      </c>
      <c r="H4561" s="3" t="s">
        <v>30</v>
      </c>
      <c r="I4561" s="59">
        <v>46211</v>
      </c>
      <c r="J4561" s="59">
        <v>46214</v>
      </c>
      <c r="K4561" s="59">
        <v>46242</v>
      </c>
      <c r="L4561" s="45"/>
      <c r="M4561" s="45"/>
      <c r="N4561" s="45"/>
      <c r="O4561" s="119" t="s">
        <v>2063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2061</v>
      </c>
      <c r="B4562" s="173" t="s">
        <v>2062</v>
      </c>
      <c r="C4562" s="195">
        <v>189602602</v>
      </c>
      <c r="D4562" s="168"/>
      <c r="E4562" s="29"/>
      <c r="F4562" s="29" t="s">
        <v>87</v>
      </c>
      <c r="G4562" s="3" t="s">
        <v>64</v>
      </c>
      <c r="H4562" s="3" t="s">
        <v>30</v>
      </c>
      <c r="I4562" s="59">
        <v>46211</v>
      </c>
      <c r="J4562" s="59">
        <v>46214</v>
      </c>
      <c r="K4562" s="59">
        <v>46242</v>
      </c>
      <c r="L4562" s="45"/>
      <c r="M4562" s="45"/>
      <c r="N4562" s="45"/>
      <c r="O4562" s="119" t="s">
        <v>2063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2061</v>
      </c>
      <c r="B4563" s="173" t="s">
        <v>2062</v>
      </c>
      <c r="C4563" s="195">
        <v>189602617</v>
      </c>
      <c r="D4563" s="168"/>
      <c r="E4563" s="29"/>
      <c r="F4563" s="29" t="s">
        <v>87</v>
      </c>
      <c r="G4563" s="3" t="s">
        <v>64</v>
      </c>
      <c r="H4563" s="3" t="s">
        <v>30</v>
      </c>
      <c r="I4563" s="59">
        <v>46211</v>
      </c>
      <c r="J4563" s="59">
        <v>46214</v>
      </c>
      <c r="K4563" s="59">
        <v>46242</v>
      </c>
      <c r="L4563" s="45"/>
      <c r="M4563" s="45"/>
      <c r="N4563" s="45"/>
      <c r="O4563" s="119" t="s">
        <v>2063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2061</v>
      </c>
      <c r="B4564" s="173" t="s">
        <v>2062</v>
      </c>
      <c r="C4564" s="195">
        <v>189602642</v>
      </c>
      <c r="D4564" s="168"/>
      <c r="E4564" s="29"/>
      <c r="F4564" s="29" t="s">
        <v>87</v>
      </c>
      <c r="G4564" s="3" t="s">
        <v>64</v>
      </c>
      <c r="H4564" s="3" t="s">
        <v>30</v>
      </c>
      <c r="I4564" s="59">
        <v>46211</v>
      </c>
      <c r="J4564" s="59">
        <v>46214</v>
      </c>
      <c r="K4564" s="59">
        <v>46242</v>
      </c>
      <c r="L4564" s="45"/>
      <c r="M4564" s="45"/>
      <c r="N4564" s="45"/>
      <c r="O4564" s="119" t="s">
        <v>2063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2061</v>
      </c>
      <c r="B4565" s="173" t="s">
        <v>2062</v>
      </c>
      <c r="C4565" s="195">
        <v>189602655</v>
      </c>
      <c r="D4565" s="168"/>
      <c r="E4565" s="29"/>
      <c r="F4565" s="29" t="s">
        <v>87</v>
      </c>
      <c r="G4565" s="3" t="s">
        <v>64</v>
      </c>
      <c r="H4565" s="3" t="s">
        <v>30</v>
      </c>
      <c r="I4565" s="59">
        <v>46211</v>
      </c>
      <c r="J4565" s="59">
        <v>46214</v>
      </c>
      <c r="K4565" s="59">
        <v>46242</v>
      </c>
      <c r="L4565" s="45"/>
      <c r="M4565" s="45"/>
      <c r="N4565" s="45"/>
      <c r="O4565" s="119" t="s">
        <v>2063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2061</v>
      </c>
      <c r="B4566" s="173" t="s">
        <v>2062</v>
      </c>
      <c r="C4566" s="195">
        <v>189602688</v>
      </c>
      <c r="D4566" s="168"/>
      <c r="E4566" s="29"/>
      <c r="F4566" s="29" t="s">
        <v>87</v>
      </c>
      <c r="G4566" s="3" t="s">
        <v>64</v>
      </c>
      <c r="H4566" s="3" t="s">
        <v>30</v>
      </c>
      <c r="I4566" s="59">
        <v>46211</v>
      </c>
      <c r="J4566" s="59">
        <v>46214</v>
      </c>
      <c r="K4566" s="59">
        <v>46242</v>
      </c>
      <c r="L4566" s="45"/>
      <c r="M4566" s="45"/>
      <c r="N4566" s="45"/>
      <c r="O4566" s="119" t="s">
        <v>2063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2061</v>
      </c>
      <c r="B4567" s="173" t="s">
        <v>2062</v>
      </c>
      <c r="C4567" s="195">
        <v>189602711</v>
      </c>
      <c r="D4567" s="168"/>
      <c r="E4567" s="29"/>
      <c r="F4567" s="29" t="s">
        <v>87</v>
      </c>
      <c r="G4567" s="3" t="s">
        <v>64</v>
      </c>
      <c r="H4567" s="3" t="s">
        <v>30</v>
      </c>
      <c r="I4567" s="59">
        <v>46211</v>
      </c>
      <c r="J4567" s="59">
        <v>46214</v>
      </c>
      <c r="K4567" s="59">
        <v>46242</v>
      </c>
      <c r="L4567" s="45"/>
      <c r="M4567" s="45"/>
      <c r="N4567" s="45"/>
      <c r="O4567" s="119" t="s">
        <v>2063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2064</v>
      </c>
      <c r="B4568" s="173" t="s">
        <v>2063</v>
      </c>
      <c r="C4568" s="195">
        <v>189607940</v>
      </c>
      <c r="D4568" s="168"/>
      <c r="E4568" s="29"/>
      <c r="F4568" s="29" t="s">
        <v>87</v>
      </c>
      <c r="G4568" s="3" t="s">
        <v>64</v>
      </c>
      <c r="H4568" s="3" t="s">
        <v>30</v>
      </c>
      <c r="I4568" s="59">
        <v>46211</v>
      </c>
      <c r="J4568" s="59">
        <v>46214</v>
      </c>
      <c r="K4568" s="59">
        <v>46242</v>
      </c>
      <c r="L4568" s="45"/>
      <c r="M4568" s="45"/>
      <c r="N4568" s="45"/>
      <c r="O4568" s="119" t="s">
        <v>2063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2064</v>
      </c>
      <c r="B4569" s="173" t="s">
        <v>2063</v>
      </c>
      <c r="C4569" s="195">
        <v>189607855</v>
      </c>
      <c r="D4569" s="168"/>
      <c r="E4569" s="29"/>
      <c r="F4569" s="29" t="s">
        <v>87</v>
      </c>
      <c r="G4569" s="3" t="s">
        <v>64</v>
      </c>
      <c r="H4569" s="3" t="s">
        <v>30</v>
      </c>
      <c r="I4569" s="59">
        <v>46211</v>
      </c>
      <c r="J4569" s="59">
        <v>46214</v>
      </c>
      <c r="K4569" s="59">
        <v>46242</v>
      </c>
      <c r="L4569" s="45"/>
      <c r="M4569" s="45"/>
      <c r="N4569" s="45"/>
      <c r="O4569" s="119" t="s">
        <v>2063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2064</v>
      </c>
      <c r="B4570" s="173" t="s">
        <v>2063</v>
      </c>
      <c r="C4570" s="195">
        <v>189607798</v>
      </c>
      <c r="D4570" s="168"/>
      <c r="E4570" s="29"/>
      <c r="F4570" s="29" t="s">
        <v>87</v>
      </c>
      <c r="G4570" s="3" t="s">
        <v>64</v>
      </c>
      <c r="H4570" s="3" t="s">
        <v>30</v>
      </c>
      <c r="I4570" s="59">
        <v>46211</v>
      </c>
      <c r="J4570" s="59">
        <v>46214</v>
      </c>
      <c r="K4570" s="59">
        <v>46242</v>
      </c>
      <c r="L4570" s="45"/>
      <c r="M4570" s="45"/>
      <c r="N4570" s="45"/>
      <c r="O4570" s="119" t="s">
        <v>2063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2064</v>
      </c>
      <c r="B4571" s="173" t="s">
        <v>2063</v>
      </c>
      <c r="C4571" s="195">
        <v>189607719</v>
      </c>
      <c r="D4571" s="168"/>
      <c r="E4571" s="29"/>
      <c r="F4571" s="184" t="s">
        <v>87</v>
      </c>
      <c r="G4571" s="3" t="s">
        <v>64</v>
      </c>
      <c r="H4571" s="3" t="s">
        <v>30</v>
      </c>
      <c r="I4571" s="59">
        <v>46211</v>
      </c>
      <c r="J4571" s="59">
        <v>46214</v>
      </c>
      <c r="K4571" s="59">
        <v>46242</v>
      </c>
      <c r="L4571" s="45"/>
      <c r="M4571" s="45"/>
      <c r="N4571" s="45"/>
      <c r="O4571" s="119" t="s">
        <v>2063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2064</v>
      </c>
      <c r="B4572" s="173" t="s">
        <v>2063</v>
      </c>
      <c r="C4572" s="195">
        <v>189607640</v>
      </c>
      <c r="D4572" s="168"/>
      <c r="E4572" s="29"/>
      <c r="F4572" s="184" t="s">
        <v>87</v>
      </c>
      <c r="G4572" s="3" t="s">
        <v>64</v>
      </c>
      <c r="H4572" s="3" t="s">
        <v>30</v>
      </c>
      <c r="I4572" s="59">
        <v>46211</v>
      </c>
      <c r="J4572" s="59">
        <v>46214</v>
      </c>
      <c r="K4572" s="59">
        <v>46242</v>
      </c>
      <c r="L4572" s="45"/>
      <c r="M4572" s="45"/>
      <c r="N4572" s="45"/>
      <c r="O4572" s="119" t="s">
        <v>2063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2064</v>
      </c>
      <c r="B4573" s="173" t="s">
        <v>2063</v>
      </c>
      <c r="C4573" s="195">
        <v>189607546</v>
      </c>
      <c r="D4573" s="168"/>
      <c r="E4573" s="29"/>
      <c r="F4573" s="29" t="s">
        <v>87</v>
      </c>
      <c r="G4573" s="3" t="s">
        <v>64</v>
      </c>
      <c r="H4573" s="3" t="s">
        <v>30</v>
      </c>
      <c r="I4573" s="59">
        <v>46211</v>
      </c>
      <c r="J4573" s="59">
        <v>46214</v>
      </c>
      <c r="K4573" s="59">
        <v>46242</v>
      </c>
      <c r="L4573" s="45"/>
      <c r="M4573" s="45"/>
      <c r="N4573" s="45"/>
      <c r="O4573" s="119" t="s">
        <v>2063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2064</v>
      </c>
      <c r="B4574" s="173" t="s">
        <v>2063</v>
      </c>
      <c r="C4574" s="195">
        <v>189607472</v>
      </c>
      <c r="D4574" s="168"/>
      <c r="E4574" s="29"/>
      <c r="F4574" s="29" t="s">
        <v>87</v>
      </c>
      <c r="G4574" s="3" t="s">
        <v>64</v>
      </c>
      <c r="H4574" s="3" t="s">
        <v>30</v>
      </c>
      <c r="I4574" s="59">
        <v>46211</v>
      </c>
      <c r="J4574" s="59">
        <v>46214</v>
      </c>
      <c r="K4574" s="59">
        <v>46242</v>
      </c>
      <c r="L4574" s="45"/>
      <c r="M4574" s="45"/>
      <c r="N4574" s="45"/>
      <c r="O4574" s="119" t="s">
        <v>2063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2025</v>
      </c>
      <c r="B4576" s="173" t="s">
        <v>2026</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2025</v>
      </c>
      <c r="B4577" s="173" t="s">
        <v>2026</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2025</v>
      </c>
      <c r="B4578" s="173" t="s">
        <v>2026</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2025</v>
      </c>
      <c r="B4579" s="204" t="s">
        <v>2026</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2025</v>
      </c>
      <c r="B4580" s="200" t="s">
        <v>2026</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2025</v>
      </c>
      <c r="B4581" s="200" t="s">
        <v>2026</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2025</v>
      </c>
      <c r="B4582" s="200" t="s">
        <v>2026</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2065</v>
      </c>
      <c r="B4583" s="183" t="s">
        <v>2066</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2065</v>
      </c>
      <c r="B4584" s="183" t="s">
        <v>2066</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2065</v>
      </c>
      <c r="B4585" s="183" t="s">
        <v>2066</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2065</v>
      </c>
      <c r="B4586" s="183" t="s">
        <v>2066</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2065</v>
      </c>
      <c r="B4587" s="183" t="s">
        <v>2066</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2065</v>
      </c>
      <c r="B4588" s="183" t="s">
        <v>2066</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2065</v>
      </c>
      <c r="B4589" s="183" t="s">
        <v>2066</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2065</v>
      </c>
      <c r="B4590" s="183" t="s">
        <v>2066</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2065</v>
      </c>
      <c r="B4591" s="183" t="s">
        <v>2066</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2065</v>
      </c>
      <c r="B4592" s="183" t="s">
        <v>2066</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2065</v>
      </c>
      <c r="B4593" s="183" t="s">
        <v>2066</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2065</v>
      </c>
      <c r="B4594" s="183" t="s">
        <v>2066</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200" t="s">
        <v>2018</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2067</v>
      </c>
    </row>
    <row r="4617" spans="1:121">
      <c r="A4617" s="166" t="s">
        <v>2017</v>
      </c>
      <c r="B4617" s="200" t="s">
        <v>2018</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2068</v>
      </c>
    </row>
    <row r="4618" spans="1:121">
      <c r="A4618" s="166" t="s">
        <v>2017</v>
      </c>
      <c r="B4618" s="200" t="s">
        <v>2018</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2068</v>
      </c>
    </row>
    <row r="4619" spans="1:121">
      <c r="A4619" s="166" t="s">
        <v>2017</v>
      </c>
      <c r="B4619" s="200" t="s">
        <v>2018</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2067</v>
      </c>
    </row>
    <row r="4620" spans="1:121">
      <c r="A4620" s="166" t="s">
        <v>2017</v>
      </c>
      <c r="B4620" s="200" t="s">
        <v>2018</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2067</v>
      </c>
    </row>
    <row r="4621" spans="1:121">
      <c r="A4621" s="166" t="s">
        <v>2017</v>
      </c>
      <c r="B4621" s="200" t="s">
        <v>2018</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2067</v>
      </c>
    </row>
    <row r="4622" spans="1:121">
      <c r="A4622" s="166" t="s">
        <v>2017</v>
      </c>
      <c r="B4622" s="200" t="s">
        <v>2018</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2067</v>
      </c>
    </row>
    <row r="4623" spans="1:121">
      <c r="A4623" s="166" t="s">
        <v>2017</v>
      </c>
      <c r="B4623" s="200" t="s">
        <v>2018</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2067</v>
      </c>
    </row>
    <row r="4624" spans="1:121">
      <c r="A4624" s="166" t="s">
        <v>2017</v>
      </c>
      <c r="B4624" s="166" t="s">
        <v>2018</v>
      </c>
      <c r="C4624" s="195">
        <v>125604870</v>
      </c>
      <c r="D4624" s="168">
        <v>154600853</v>
      </c>
      <c r="E4624" s="29"/>
      <c r="F4624" s="29" t="s">
        <v>59</v>
      </c>
      <c r="G4624" s="3" t="s">
        <v>64</v>
      </c>
      <c r="H4624" s="3" t="s">
        <v>30</v>
      </c>
      <c r="I4624" s="55">
        <v>46176</v>
      </c>
      <c r="J4624" s="3" t="s">
        <v>2069</v>
      </c>
      <c r="K4624" s="55">
        <v>46177</v>
      </c>
      <c r="L4624" s="55"/>
      <c r="M4624" s="55"/>
      <c r="N4624" s="3"/>
      <c r="O4624" s="119" t="s">
        <v>1172</v>
      </c>
      <c r="P4624" s="3"/>
      <c r="Q4624" s="167">
        <v>350</v>
      </c>
      <c r="R4624" s="2" t="s">
        <v>2067</v>
      </c>
    </row>
    <row r="4625" spans="1:121">
      <c r="A4625" s="166" t="s">
        <v>2017</v>
      </c>
      <c r="B4625" s="200" t="s">
        <v>2018</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2067</v>
      </c>
    </row>
    <row r="4626" spans="1:121">
      <c r="A4626" s="166" t="s">
        <v>2017</v>
      </c>
      <c r="B4626" s="200" t="s">
        <v>2018</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2070</v>
      </c>
      <c r="I4628" s="55">
        <v>46162</v>
      </c>
      <c r="J4628" s="55">
        <v>46164</v>
      </c>
      <c r="K4628" s="55">
        <v>46192</v>
      </c>
      <c r="L4628" s="55"/>
      <c r="M4628" s="55"/>
      <c r="N4628" s="3"/>
      <c r="O4628" s="119" t="s">
        <v>15</v>
      </c>
      <c r="P4628" s="3"/>
      <c r="Q4628" s="167"/>
      <c r="R4628" s="177" t="s">
        <v>2071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2070</v>
      </c>
      <c r="I4629" s="55">
        <v>46162</v>
      </c>
      <c r="J4629" s="55">
        <v>46164</v>
      </c>
      <c r="K4629" s="55">
        <v>46192</v>
      </c>
      <c r="L4629" s="55"/>
      <c r="M4629" s="55"/>
      <c r="N4629" s="3"/>
      <c r="O4629" s="119" t="s">
        <v>15</v>
      </c>
      <c r="P4629" s="3"/>
      <c r="Q4629" s="167"/>
      <c r="R4629" s="177" t="s">
        <v>2071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2070</v>
      </c>
      <c r="I4630" s="55">
        <v>46162</v>
      </c>
      <c r="J4630" s="55">
        <v>46164</v>
      </c>
      <c r="K4630" s="55">
        <v>46192</v>
      </c>
      <c r="L4630" s="55"/>
      <c r="M4630" s="55"/>
      <c r="N4630" s="3"/>
      <c r="O4630" s="119" t="s">
        <v>15</v>
      </c>
      <c r="P4630" s="3"/>
      <c r="Q4630" s="167"/>
      <c r="R4630" s="177" t="s">
        <v>2072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2070</v>
      </c>
      <c r="I4631" s="55">
        <v>46162</v>
      </c>
      <c r="J4631" s="55">
        <v>46164</v>
      </c>
      <c r="K4631" s="55">
        <v>46192</v>
      </c>
      <c r="L4631" s="55"/>
      <c r="M4631" s="55"/>
      <c r="N4631" s="3"/>
      <c r="O4631" s="119" t="s">
        <v>15</v>
      </c>
      <c r="P4631" s="3"/>
      <c r="Q4631" s="167"/>
      <c r="R4631" s="177" t="s">
        <v>2071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2070</v>
      </c>
      <c r="I4632" s="55">
        <v>46162</v>
      </c>
      <c r="J4632" s="55">
        <v>46164</v>
      </c>
      <c r="K4632" s="55">
        <v>46192</v>
      </c>
      <c r="L4632" s="55"/>
      <c r="M4632" s="55"/>
      <c r="N4632" s="3"/>
      <c r="O4632" s="119" t="s">
        <v>15</v>
      </c>
      <c r="P4632" s="3"/>
      <c r="Q4632" s="167"/>
      <c r="R4632" s="177" t="s">
        <v>2073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2070</v>
      </c>
      <c r="I4633" s="55">
        <v>46162</v>
      </c>
      <c r="J4633" s="55">
        <v>46164</v>
      </c>
      <c r="K4633" s="55">
        <v>46192</v>
      </c>
      <c r="L4633" s="55"/>
      <c r="M4633" s="55"/>
      <c r="N4633" s="3"/>
      <c r="O4633" s="119" t="s">
        <v>15</v>
      </c>
      <c r="P4633" s="3"/>
      <c r="Q4633" s="167"/>
      <c r="R4633" s="177" t="s">
        <v>2073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2070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2074</v>
      </c>
      <c r="B4636" s="183" t="s">
        <v>2075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2074</v>
      </c>
      <c r="B4637" s="183" t="s">
        <v>2075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2074</v>
      </c>
      <c r="B4638" s="183" t="s">
        <v>2075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2074</v>
      </c>
      <c r="B4639" s="183" t="s">
        <v>2075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2074</v>
      </c>
      <c r="B4640" s="183" t="s">
        <v>2075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2076</v>
      </c>
      <c r="B4641" s="183" t="s">
        <v>2077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2078</v>
      </c>
      <c r="B4645" s="183" t="s">
        <v>2079</v>
      </c>
      <c r="C4645" s="195">
        <v>167602953</v>
      </c>
      <c r="D4645" s="168"/>
      <c r="E4645" s="29"/>
      <c r="F4645" s="29" t="s">
        <v>240</v>
      </c>
      <c r="G4645" s="3" t="s">
        <v>115</v>
      </c>
      <c r="H4645" s="3" t="s">
        <v>2080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2078</v>
      </c>
      <c r="B4646" s="183" t="s">
        <v>2079</v>
      </c>
      <c r="C4646" s="195">
        <v>167603084</v>
      </c>
      <c r="D4646" s="168"/>
      <c r="E4646" s="29"/>
      <c r="F4646" s="29" t="s">
        <v>240</v>
      </c>
      <c r="G4646" s="3" t="s">
        <v>115</v>
      </c>
      <c r="H4646" s="3" t="s">
        <v>2080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2081</v>
      </c>
      <c r="B4648" s="200" t="s">
        <v>2082</v>
      </c>
      <c r="C4648" s="195">
        <v>161606497</v>
      </c>
      <c r="D4648" s="168"/>
      <c r="E4648" s="29"/>
      <c r="F4648" s="29" t="s">
        <v>2083</v>
      </c>
      <c r="G4648" s="3" t="s">
        <v>115</v>
      </c>
      <c r="H4648" s="3" t="s">
        <v>2080</v>
      </c>
      <c r="I4648" s="55">
        <v>46183</v>
      </c>
      <c r="J4648" s="55">
        <v>46186</v>
      </c>
      <c r="K4648" s="55">
        <v>46213</v>
      </c>
      <c r="L4648" s="3"/>
      <c r="M4648" s="3"/>
      <c r="N4648" s="3"/>
      <c r="O4648" s="119" t="s">
        <v>10</v>
      </c>
      <c r="P4648" s="3"/>
      <c r="Q4648" s="167"/>
      <c r="R4648" s="1"/>
    </row>
    <row r="4649" spans="1:121">
      <c r="A4649" s="173" t="s">
        <v>2084</v>
      </c>
      <c r="B4649" s="183" t="s">
        <v>2085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2084</v>
      </c>
      <c r="B4650" s="183" t="s">
        <v>2085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2084</v>
      </c>
      <c r="B4651" s="183" t="s">
        <v>2085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2084</v>
      </c>
      <c r="B4652" s="183" t="s">
        <v>2085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2084</v>
      </c>
      <c r="B4653" s="183" t="s">
        <v>2085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2086</v>
      </c>
      <c r="B4654" s="183" t="s">
        <v>2087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2086</v>
      </c>
      <c r="B4655" s="183" t="s">
        <v>2087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2086</v>
      </c>
      <c r="B4656" s="183" t="s">
        <v>2087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2086</v>
      </c>
      <c r="B4657" s="183" t="s">
        <v>2087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2086</v>
      </c>
      <c r="B4658" s="183" t="s">
        <v>2087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2088</v>
      </c>
      <c r="B4659" s="183" t="s">
        <v>2089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2088</v>
      </c>
      <c r="B4660" s="183" t="s">
        <v>2089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2088</v>
      </c>
      <c r="B4661" s="183" t="s">
        <v>2089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2088</v>
      </c>
      <c r="B4662" s="183" t="s">
        <v>2089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2088</v>
      </c>
      <c r="B4663" s="183" t="s">
        <v>2089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2090</v>
      </c>
      <c r="B4664" s="183" t="s">
        <v>2091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2090</v>
      </c>
      <c r="B4665" s="183" t="s">
        <v>2091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2090</v>
      </c>
      <c r="B4666" s="183" t="s">
        <v>2091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2090</v>
      </c>
      <c r="B4667" s="183" t="s">
        <v>2091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2092</v>
      </c>
      <c r="B4668" s="183" t="s">
        <v>2093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2092</v>
      </c>
      <c r="B4669" s="183" t="s">
        <v>2093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2092</v>
      </c>
      <c r="B4670" s="183" t="s">
        <v>2093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2092</v>
      </c>
      <c r="B4671" s="183" t="s">
        <v>2093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2095</v>
      </c>
      <c r="B4679" s="183" t="s">
        <v>2096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2098</v>
      </c>
      <c r="B4686" s="166" t="s">
        <v>2099</v>
      </c>
      <c r="C4686" s="195">
        <v>166609501</v>
      </c>
      <c r="D4686" s="168"/>
      <c r="E4686" s="29"/>
      <c r="F4686" s="29" t="s">
        <v>121</v>
      </c>
      <c r="G4686" s="3" t="s">
        <v>2100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2098</v>
      </c>
      <c r="B4687" s="166" t="s">
        <v>2099</v>
      </c>
      <c r="C4687" s="195">
        <v>166609660</v>
      </c>
      <c r="D4687" s="168"/>
      <c r="E4687" s="29"/>
      <c r="F4687" s="29" t="s">
        <v>121</v>
      </c>
      <c r="G4687" s="3" t="s">
        <v>2100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2098</v>
      </c>
      <c r="B4688" s="166" t="s">
        <v>2099</v>
      </c>
      <c r="C4688" s="195">
        <v>166609835</v>
      </c>
      <c r="D4688" s="168"/>
      <c r="E4688" s="29"/>
      <c r="F4688" s="29" t="s">
        <v>121</v>
      </c>
      <c r="G4688" s="3" t="s">
        <v>2100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2098</v>
      </c>
      <c r="B4689" s="166" t="s">
        <v>2099</v>
      </c>
      <c r="C4689" s="195">
        <v>166609899</v>
      </c>
      <c r="D4689" s="168"/>
      <c r="E4689" s="29"/>
      <c r="F4689" s="29" t="s">
        <v>121</v>
      </c>
      <c r="G4689" s="3" t="s">
        <v>2100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2098</v>
      </c>
      <c r="B4690" s="166" t="s">
        <v>2099</v>
      </c>
      <c r="C4690" s="195">
        <v>166609976</v>
      </c>
      <c r="D4690" s="168"/>
      <c r="E4690" s="29"/>
      <c r="F4690" s="29" t="s">
        <v>121</v>
      </c>
      <c r="G4690" s="3" t="s">
        <v>2100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2097</v>
      </c>
      <c r="B4691" s="183" t="s">
        <v>2099</v>
      </c>
      <c r="C4691" s="195">
        <v>169604002</v>
      </c>
      <c r="D4691" s="168"/>
      <c r="E4691" s="29"/>
      <c r="F4691" s="29" t="s">
        <v>121</v>
      </c>
      <c r="G4691" s="3" t="s">
        <v>2100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2097</v>
      </c>
      <c r="B4692" s="183" t="s">
        <v>2099</v>
      </c>
      <c r="C4692" s="195">
        <v>169604108</v>
      </c>
      <c r="D4692" s="168"/>
      <c r="E4692" s="29"/>
      <c r="F4692" s="29" t="s">
        <v>121</v>
      </c>
      <c r="G4692" s="3" t="s">
        <v>2100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2097</v>
      </c>
      <c r="B4693" s="183" t="s">
        <v>2099</v>
      </c>
      <c r="C4693" s="195">
        <v>169604401</v>
      </c>
      <c r="D4693" s="168"/>
      <c r="E4693" s="29"/>
      <c r="F4693" s="29" t="s">
        <v>121</v>
      </c>
      <c r="G4693" s="3" t="s">
        <v>2100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2097</v>
      </c>
      <c r="B4694" s="183" t="s">
        <v>2099</v>
      </c>
      <c r="C4694" s="195">
        <v>169604462</v>
      </c>
      <c r="D4694" s="168"/>
      <c r="E4694" s="29"/>
      <c r="F4694" s="29" t="s">
        <v>121</v>
      </c>
      <c r="G4694" s="3" t="s">
        <v>2100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2097</v>
      </c>
      <c r="B4695" s="183" t="s">
        <v>2099</v>
      </c>
      <c r="C4695" s="195">
        <v>169604556</v>
      </c>
      <c r="D4695" s="168"/>
      <c r="E4695" s="29"/>
      <c r="F4695" s="29" t="s">
        <v>121</v>
      </c>
      <c r="G4695" s="3" t="s">
        <v>2100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2097</v>
      </c>
      <c r="B4696" s="183" t="s">
        <v>2099</v>
      </c>
      <c r="C4696" s="195">
        <v>169604586</v>
      </c>
      <c r="D4696" s="168"/>
      <c r="E4696" s="29"/>
      <c r="F4696" s="29" t="s">
        <v>121</v>
      </c>
      <c r="G4696" s="3" t="s">
        <v>2100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2099</v>
      </c>
      <c r="C4697" s="195">
        <v>173609634</v>
      </c>
      <c r="D4697" s="168"/>
      <c r="E4697" s="29"/>
      <c r="F4697" s="29" t="s">
        <v>121</v>
      </c>
      <c r="G4697" s="3" t="s">
        <v>2100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2099</v>
      </c>
      <c r="C4698" s="195">
        <v>173609679</v>
      </c>
      <c r="D4698" s="168"/>
      <c r="E4698" s="29"/>
      <c r="F4698" s="29" t="s">
        <v>121</v>
      </c>
      <c r="G4698" s="3" t="s">
        <v>2100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2099</v>
      </c>
      <c r="C4699" s="195">
        <v>173609705</v>
      </c>
      <c r="D4699" s="168"/>
      <c r="E4699" s="29"/>
      <c r="F4699" s="29" t="s">
        <v>121</v>
      </c>
      <c r="G4699" s="3" t="s">
        <v>2100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2099</v>
      </c>
      <c r="C4700" s="195">
        <v>173609720</v>
      </c>
      <c r="D4700" s="168"/>
      <c r="E4700" s="29"/>
      <c r="F4700" s="29" t="s">
        <v>121</v>
      </c>
      <c r="G4700" s="3" t="s">
        <v>2100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2099</v>
      </c>
      <c r="C4701" s="195">
        <v>173609732</v>
      </c>
      <c r="D4701" s="168"/>
      <c r="E4701" s="29"/>
      <c r="F4701" s="29" t="s">
        <v>121</v>
      </c>
      <c r="G4701" s="3" t="s">
        <v>2100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2099</v>
      </c>
      <c r="C4702" s="195">
        <v>173609744</v>
      </c>
      <c r="D4702" s="168"/>
      <c r="E4702" s="29"/>
      <c r="F4702" s="29" t="s">
        <v>121</v>
      </c>
      <c r="G4702" s="3" t="s">
        <v>2100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2099</v>
      </c>
      <c r="C4703" s="195">
        <v>174609193</v>
      </c>
      <c r="D4703" s="168"/>
      <c r="E4703" s="29"/>
      <c r="F4703" s="29" t="s">
        <v>121</v>
      </c>
      <c r="G4703" s="3" t="s">
        <v>2100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2101</v>
      </c>
      <c r="B4704" s="183" t="s">
        <v>2099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2101</v>
      </c>
      <c r="B4705" s="183" t="s">
        <v>2099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2101</v>
      </c>
      <c r="B4706" s="183" t="s">
        <v>2099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2103</v>
      </c>
      <c r="C4709" s="195">
        <v>182607077</v>
      </c>
      <c r="F4709" s="134" t="s">
        <v>130</v>
      </c>
      <c r="G4709" s="134" t="s">
        <v>2104</v>
      </c>
      <c r="H4709" s="3" t="s">
        <v>30</v>
      </c>
      <c r="I4709" s="191">
        <v>46204</v>
      </c>
      <c r="J4709" s="191">
        <v>46207</v>
      </c>
      <c r="K4709" s="191">
        <v>46235</v>
      </c>
      <c r="O4709" s="119" t="s">
        <v>170</v>
      </c>
    </row>
    <row r="4710" spans="1:121">
      <c r="A4710" s="134" t="s">
        <v>2103</v>
      </c>
      <c r="C4710" s="195">
        <v>182606998</v>
      </c>
      <c r="F4710" s="134" t="s">
        <v>130</v>
      </c>
      <c r="G4710" s="134" t="s">
        <v>2104</v>
      </c>
      <c r="H4710" s="3" t="s">
        <v>30</v>
      </c>
      <c r="I4710" s="191">
        <v>46204</v>
      </c>
      <c r="J4710" s="191">
        <v>46207</v>
      </c>
      <c r="K4710" s="191">
        <v>46235</v>
      </c>
      <c r="O4710" s="119" t="s">
        <v>170</v>
      </c>
    </row>
    <row r="4711" spans="1:121">
      <c r="A4711" s="134" t="s">
        <v>2103</v>
      </c>
      <c r="C4711" s="195">
        <v>182606744</v>
      </c>
      <c r="F4711" s="134" t="s">
        <v>130</v>
      </c>
      <c r="G4711" s="134" t="s">
        <v>2104</v>
      </c>
      <c r="H4711" s="3" t="s">
        <v>30</v>
      </c>
      <c r="I4711" s="191">
        <v>46204</v>
      </c>
      <c r="J4711" s="191">
        <v>46207</v>
      </c>
      <c r="K4711" s="191">
        <v>46235</v>
      </c>
      <c r="O4711" s="119" t="s">
        <v>170</v>
      </c>
    </row>
    <row r="4712" spans="1:121">
      <c r="A4712" s="134" t="s">
        <v>2103</v>
      </c>
      <c r="C4712" s="195">
        <v>182606664</v>
      </c>
      <c r="F4712" s="134" t="s">
        <v>130</v>
      </c>
      <c r="G4712" s="134" t="s">
        <v>2104</v>
      </c>
      <c r="H4712" s="3" t="s">
        <v>30</v>
      </c>
      <c r="I4712" s="191">
        <v>46204</v>
      </c>
      <c r="J4712" s="191">
        <v>46207</v>
      </c>
      <c r="K4712" s="191">
        <v>46235</v>
      </c>
      <c r="O4712" s="119" t="s">
        <v>170</v>
      </c>
    </row>
    <row r="4713" spans="1:121">
      <c r="A4713" s="134" t="s">
        <v>2103</v>
      </c>
      <c r="C4713" s="195">
        <v>182606630</v>
      </c>
      <c r="F4713" s="134" t="s">
        <v>130</v>
      </c>
      <c r="G4713" s="134" t="s">
        <v>2104</v>
      </c>
      <c r="H4713" s="3" t="s">
        <v>30</v>
      </c>
      <c r="I4713" s="191">
        <v>46204</v>
      </c>
      <c r="J4713" s="191">
        <v>46207</v>
      </c>
      <c r="K4713" s="191">
        <v>46235</v>
      </c>
      <c r="O4713" s="119" t="s">
        <v>170</v>
      </c>
    </row>
    <row r="4714" spans="1:121">
      <c r="A4714" s="134" t="s">
        <v>2103</v>
      </c>
      <c r="C4714" s="195">
        <v>182606489</v>
      </c>
      <c r="F4714" s="134" t="s">
        <v>130</v>
      </c>
      <c r="G4714" s="134" t="s">
        <v>2104</v>
      </c>
      <c r="H4714" s="3" t="s">
        <v>30</v>
      </c>
      <c r="I4714" s="191">
        <v>46204</v>
      </c>
      <c r="J4714" s="191">
        <v>46207</v>
      </c>
      <c r="K4714" s="191">
        <v>46235</v>
      </c>
      <c r="O4714" s="119" t="s">
        <v>170</v>
      </c>
    </row>
    <row r="4715" spans="1:121">
      <c r="A4715" s="134" t="s">
        <v>2103</v>
      </c>
      <c r="C4715" s="195">
        <v>182606465</v>
      </c>
      <c r="F4715" s="134" t="s">
        <v>130</v>
      </c>
      <c r="G4715" s="134" t="s">
        <v>2104</v>
      </c>
      <c r="H4715" s="3" t="s">
        <v>30</v>
      </c>
      <c r="I4715" s="191">
        <v>46204</v>
      </c>
      <c r="J4715" s="191">
        <v>46207</v>
      </c>
      <c r="K4715" s="191">
        <v>46235</v>
      </c>
      <c r="O4715" s="119" t="s">
        <v>170</v>
      </c>
    </row>
    <row r="4716" spans="1:121">
      <c r="A4716" s="134" t="s">
        <v>2103</v>
      </c>
      <c r="C4716" s="195">
        <v>182606423</v>
      </c>
      <c r="F4716" s="134" t="s">
        <v>130</v>
      </c>
      <c r="G4716" s="134" t="s">
        <v>2104</v>
      </c>
      <c r="H4716" s="3" t="s">
        <v>30</v>
      </c>
      <c r="I4716" s="191">
        <v>46204</v>
      </c>
      <c r="J4716" s="191">
        <v>46207</v>
      </c>
      <c r="K4716" s="191">
        <v>46235</v>
      </c>
      <c r="O4716" s="119" t="s">
        <v>170</v>
      </c>
    </row>
    <row r="4717" spans="1:121">
      <c r="A4717" s="134" t="s">
        <v>2103</v>
      </c>
      <c r="C4717" s="195">
        <v>182606359</v>
      </c>
      <c r="F4717" s="134" t="s">
        <v>130</v>
      </c>
      <c r="G4717" s="134" t="s">
        <v>2104</v>
      </c>
      <c r="H4717" s="3" t="s">
        <v>30</v>
      </c>
      <c r="I4717" s="191">
        <v>46204</v>
      </c>
      <c r="J4717" s="191">
        <v>46207</v>
      </c>
      <c r="K4717" s="191">
        <v>46235</v>
      </c>
      <c r="O4717" s="119" t="s">
        <v>170</v>
      </c>
    </row>
    <row r="4718" spans="1:121">
      <c r="A4718" s="134" t="s">
        <v>2103</v>
      </c>
      <c r="C4718" s="195">
        <v>182606315</v>
      </c>
      <c r="F4718" s="134" t="s">
        <v>130</v>
      </c>
      <c r="G4718" s="134" t="s">
        <v>2104</v>
      </c>
      <c r="H4718" s="3" t="s">
        <v>30</v>
      </c>
      <c r="I4718" s="191">
        <v>46204</v>
      </c>
      <c r="J4718" s="191">
        <v>46207</v>
      </c>
      <c r="K4718" s="191">
        <v>46235</v>
      </c>
      <c r="O4718" s="119" t="s">
        <v>170</v>
      </c>
    </row>
    <row r="4719" spans="1:121">
      <c r="A4719" s="134" t="s">
        <v>2103</v>
      </c>
      <c r="C4719" s="195">
        <v>182606998</v>
      </c>
      <c r="F4719" s="134" t="s">
        <v>130</v>
      </c>
      <c r="G4719" s="134" t="s">
        <v>2104</v>
      </c>
      <c r="H4719" s="3" t="s">
        <v>30</v>
      </c>
      <c r="I4719" s="191">
        <v>46204</v>
      </c>
      <c r="J4719" s="191">
        <v>46207</v>
      </c>
      <c r="K4719" s="191">
        <v>46235</v>
      </c>
      <c r="O4719" s="119" t="s">
        <v>170</v>
      </c>
    </row>
    <row r="4720" spans="1:121">
      <c r="A4720" s="134" t="s">
        <v>2103</v>
      </c>
      <c r="C4720" s="195">
        <v>182606967</v>
      </c>
      <c r="F4720" s="134" t="s">
        <v>130</v>
      </c>
      <c r="G4720" s="134" t="s">
        <v>2104</v>
      </c>
      <c r="H4720" s="3" t="s">
        <v>30</v>
      </c>
      <c r="I4720" s="191">
        <v>46204</v>
      </c>
      <c r="J4720" s="191">
        <v>46207</v>
      </c>
      <c r="K4720" s="191">
        <v>46235</v>
      </c>
      <c r="O4720" s="119" t="s">
        <v>170</v>
      </c>
    </row>
    <row r="4721" spans="1:18">
      <c r="A4721" s="134" t="s">
        <v>2103</v>
      </c>
      <c r="C4721" s="195">
        <v>182606945</v>
      </c>
      <c r="F4721" s="134" t="s">
        <v>130</v>
      </c>
      <c r="G4721" s="134" t="s">
        <v>2104</v>
      </c>
      <c r="H4721" s="3" t="s">
        <v>30</v>
      </c>
      <c r="I4721" s="191">
        <v>46204</v>
      </c>
      <c r="J4721" s="191">
        <v>46207</v>
      </c>
      <c r="K4721" s="191">
        <v>46235</v>
      </c>
      <c r="O4721" s="119" t="s">
        <v>170</v>
      </c>
    </row>
    <row r="4722" spans="1:18">
      <c r="A4722" s="134" t="s">
        <v>2103</v>
      </c>
      <c r="C4722" s="195">
        <v>182606900</v>
      </c>
      <c r="F4722" s="134" t="s">
        <v>130</v>
      </c>
      <c r="G4722" s="134" t="s">
        <v>2104</v>
      </c>
      <c r="H4722" s="3" t="s">
        <v>30</v>
      </c>
      <c r="I4722" s="191">
        <v>46204</v>
      </c>
      <c r="J4722" s="191">
        <v>46207</v>
      </c>
      <c r="K4722" s="191">
        <v>46235</v>
      </c>
      <c r="O4722" s="119" t="s">
        <v>170</v>
      </c>
    </row>
    <row r="4723" spans="1:18">
      <c r="A4723" s="134" t="s">
        <v>2103</v>
      </c>
      <c r="C4723" s="195">
        <v>182606876</v>
      </c>
      <c r="F4723" s="134" t="s">
        <v>130</v>
      </c>
      <c r="G4723" s="134" t="s">
        <v>2104</v>
      </c>
      <c r="H4723" s="3" t="s">
        <v>30</v>
      </c>
      <c r="I4723" s="191">
        <v>46204</v>
      </c>
      <c r="J4723" s="191">
        <v>46207</v>
      </c>
      <c r="K4723" s="191">
        <v>46235</v>
      </c>
      <c r="O4723" s="119" t="s">
        <v>170</v>
      </c>
    </row>
    <row r="4724" spans="1:18">
      <c r="A4724" s="134" t="s">
        <v>2103</v>
      </c>
      <c r="C4724" s="195">
        <v>182606744</v>
      </c>
      <c r="F4724" s="134" t="s">
        <v>130</v>
      </c>
      <c r="G4724" s="134" t="s">
        <v>2104</v>
      </c>
      <c r="H4724" s="3" t="s">
        <v>30</v>
      </c>
      <c r="I4724" s="191">
        <v>46204</v>
      </c>
      <c r="J4724" s="191">
        <v>46207</v>
      </c>
      <c r="K4724" s="191">
        <v>46235</v>
      </c>
      <c r="O4724" s="119" t="s">
        <v>170</v>
      </c>
    </row>
    <row r="4725" spans="1:18">
      <c r="A4725" s="134" t="s">
        <v>2103</v>
      </c>
      <c r="C4725" s="195">
        <v>182606664</v>
      </c>
      <c r="F4725" s="134" t="s">
        <v>130</v>
      </c>
      <c r="G4725" s="134" t="s">
        <v>2104</v>
      </c>
      <c r="H4725" s="3" t="s">
        <v>30</v>
      </c>
      <c r="I4725" s="191">
        <v>46204</v>
      </c>
      <c r="J4725" s="191">
        <v>46207</v>
      </c>
      <c r="K4725" s="191">
        <v>46235</v>
      </c>
      <c r="O4725" s="119" t="s">
        <v>170</v>
      </c>
    </row>
    <row r="4726" spans="1:18">
      <c r="A4726" s="134" t="s">
        <v>2103</v>
      </c>
      <c r="C4726" s="195">
        <v>182606489</v>
      </c>
      <c r="F4726" s="134" t="s">
        <v>130</v>
      </c>
      <c r="G4726" s="134" t="s">
        <v>2104</v>
      </c>
      <c r="H4726" s="3" t="s">
        <v>30</v>
      </c>
      <c r="I4726" s="191">
        <v>46204</v>
      </c>
      <c r="J4726" s="191">
        <v>46207</v>
      </c>
      <c r="K4726" s="191">
        <v>46235</v>
      </c>
      <c r="O4726" s="119" t="s">
        <v>170</v>
      </c>
    </row>
    <row r="4727" spans="1:18">
      <c r="A4727" s="134" t="s">
        <v>2103</v>
      </c>
      <c r="C4727" s="195">
        <v>182606315</v>
      </c>
      <c r="F4727" s="134" t="s">
        <v>130</v>
      </c>
      <c r="G4727" s="134" t="s">
        <v>2104</v>
      </c>
      <c r="H4727" s="3" t="s">
        <v>30</v>
      </c>
      <c r="I4727" s="191">
        <v>46204</v>
      </c>
      <c r="J4727" s="191">
        <v>46207</v>
      </c>
      <c r="K4727" s="191">
        <v>46235</v>
      </c>
      <c r="O4727" s="119" t="s">
        <v>170</v>
      </c>
    </row>
    <row r="4728" spans="1:18">
      <c r="A4728" s="134" t="s">
        <v>2048</v>
      </c>
      <c r="C4728" s="195">
        <v>209608534</v>
      </c>
      <c r="F4728" s="29" t="s">
        <v>76</v>
      </c>
      <c r="G4728" s="3" t="s">
        <v>64</v>
      </c>
      <c r="H4728" s="3" t="s">
        <v>77</v>
      </c>
      <c r="I4728" s="191">
        <v>46231</v>
      </c>
      <c r="J4728" s="191">
        <v>46234</v>
      </c>
      <c r="K4728" s="191">
        <v>46262</v>
      </c>
      <c r="O4728" s="119" t="s">
        <v>170</v>
      </c>
    </row>
    <row r="4729" spans="1:18">
      <c r="A4729" s="134" t="s">
        <v>2048</v>
      </c>
      <c r="C4729" s="195">
        <v>-209608543</v>
      </c>
      <c r="F4729" s="29" t="s">
        <v>76</v>
      </c>
      <c r="G4729" s="3" t="s">
        <v>64</v>
      </c>
      <c r="H4729" s="3" t="s">
        <v>77</v>
      </c>
      <c r="I4729" s="191">
        <v>46231</v>
      </c>
      <c r="J4729" s="191">
        <v>46234</v>
      </c>
      <c r="K4729" s="191">
        <v>46262</v>
      </c>
      <c r="O4729" s="119" t="s">
        <v>170</v>
      </c>
    </row>
    <row r="4730" spans="1:18">
      <c r="A4730" s="134" t="s">
        <v>2048</v>
      </c>
      <c r="C4730" s="195">
        <v>-209608549</v>
      </c>
      <c r="F4730" s="29" t="s">
        <v>76</v>
      </c>
      <c r="G4730" s="3" t="s">
        <v>64</v>
      </c>
      <c r="H4730" s="3" t="s">
        <v>77</v>
      </c>
      <c r="I4730" s="191">
        <v>46231</v>
      </c>
      <c r="J4730" s="191">
        <v>46234</v>
      </c>
      <c r="K4730" s="191">
        <v>46262</v>
      </c>
      <c r="O4730" s="119" t="s">
        <v>170</v>
      </c>
    </row>
    <row r="4731" spans="1:18">
      <c r="A4731" s="134" t="s">
        <v>2048</v>
      </c>
      <c r="C4731" s="195">
        <v>-209608567</v>
      </c>
      <c r="F4731" s="29" t="s">
        <v>76</v>
      </c>
      <c r="G4731" s="3" t="s">
        <v>64</v>
      </c>
      <c r="H4731" s="3" t="s">
        <v>77</v>
      </c>
      <c r="I4731" s="191">
        <v>46231</v>
      </c>
      <c r="J4731" s="191">
        <v>46234</v>
      </c>
      <c r="K4731" s="191">
        <v>46262</v>
      </c>
      <c r="O4731" s="119" t="s">
        <v>170</v>
      </c>
    </row>
    <row r="4732" spans="1:18">
      <c r="A4732" s="134" t="s">
        <v>2048</v>
      </c>
      <c r="C4732" s="195">
        <v>-209608563</v>
      </c>
      <c r="F4732" s="29" t="s">
        <v>76</v>
      </c>
      <c r="G4732" s="3" t="s">
        <v>64</v>
      </c>
      <c r="H4732" s="3" t="s">
        <v>77</v>
      </c>
      <c r="I4732" s="191">
        <v>46231</v>
      </c>
      <c r="J4732" s="191">
        <v>46234</v>
      </c>
      <c r="K4732" s="191">
        <v>46262</v>
      </c>
      <c r="O4732" s="119" t="s">
        <v>170</v>
      </c>
    </row>
    <row r="4733" spans="1:18">
      <c r="A4733" s="134" t="s">
        <v>2048</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039BD3F-0F23-433C-AC04-BE767C75E0E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2026-08-24T11:45:07Z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