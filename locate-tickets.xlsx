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39" documentId="8_{7F841BAC-E3D2-4E4B-A3CA-97B4D46101DD}" xr6:coauthVersionLast="47" xr6:coauthVersionMax="47" xr10:uidLastSave="{BC4DADC1-01E7-4E90-BFBA-AD78D0AA8D6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<sst xmlns="http://schemas.openxmlformats.org/spreadsheetml/2006/main" count="32453" uniqueCount="2105">
  <si>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</si>
  <si>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</si>
  <si>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</si>
  <si>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</si>
  <si>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</si>
  <si>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</si>
  <si>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</si>
  <si>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</si>
  <si>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</si>
  <si>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</si>
  <si>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</si>
  <si>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</si>
  <si>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</si>
  <si>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</si>
  <si>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</si>
  <si>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</si>
  <si>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</si>
  <si>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</si>
  <si>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</si>
  <si>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</si>
  <si>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</si>
  <si>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</si>
  <si>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</si>
  <si>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</si>
  <si>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</si>
  <si>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</si>
  <si>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</si>
  <si>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</si>
  <si>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</si>
  <si>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</si>
  <si>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</si>
  <si>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</si>
  <si>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</si>
  <si>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</si>
  <si>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</si>
  <si>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</si>
  <si>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</si>
  <si>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</si>
  <si>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</si>
  <si>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</si>
  <si>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</si>
  <si>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</si>
  <si>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</si>
  <si>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</si>
  <si>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</si>
  <si>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</si>
  <si>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</si>
  <si>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</si>
  <si>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</si>
  <si>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</si>
  <si>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</si>
  <si>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</si>
  <si>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</si>
  <si>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</si>
  <si>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</si>
  <si>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</si>
  <si>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</si>
  <si>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</si>
  <si>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</si>
  <si>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</si>
  <si>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</si>
  <si>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</si>
  <si>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</si>
  <si>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</si>
  <si>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</si>
  <si>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</si>
  <si>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</si>
  <si>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</si>
  <si>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</si>
  <si>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</si>
  <si>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</si>
  <si>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</si>
  <si>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</si>
  <si>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</si>
  <si>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</si>
  <si>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</si>
  <si>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</si>
  <si>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</si>
  <si>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</si>
  <si>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</si>
  <si>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</si>
  <si>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</si>
  <si>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</si>
  <si>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</si>
  <si>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</si>
  <si>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</si>
  <si>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</si>
  <si>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</si>
  <si>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</si>
  <si>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</si>
  <si>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</si>
  <si>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</si>
  <si>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</si>
  <si>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</si>
  <si>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</si>
  <si>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</si>
  <si>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</si>
  <si>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</si>
  <si>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</si>
  <si>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</si>
  <si>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</si>
  <si>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</si>
  <si>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</si>
  <si>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</si>
  <si>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</si>
  <si>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</si>
  <si>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</si>
  <si>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</si>
  <si>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</si>
  <si>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</si>
  <si>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</si>
  <si>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</si>
  <si>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</si>
  <si>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</si>
  <si>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</si>
  <si>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</si>
  <si>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</si>
  <si>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</si>
  <si>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</si>
  <si>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</si>
  <si>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</si>
  <si>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</si>
  <si>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</si>
  <si>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</si>
  <si>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</si>
  <si>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</si>
  <si>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</si>
  <si>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</si>
  <si>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</si>
  <si>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</si>
  <si>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</si>
  <si>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</si>
  <si>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</si>
  <si>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</si>
  <si>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</si>
  <si>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</si>
  <si>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</si>
  <si>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</si>
  <si>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</si>
  <si>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</si>
  <si>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</si>
  <si>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</si>
  <si>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</si>
  <si>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</si>
  <si>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</si>
  <si>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</si>
  <si>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</si>
  <si>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</si>
  <si>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</si>
  <si>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</si>
  <si>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</si>
  <si>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</si>
  <si>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</si>
  <si>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</si>
  <si>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</si>
  <si>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</si>
  <si>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</si>
  <si>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</si>
  <si>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</si>
  <si>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</si>
  <si>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</si>
  <si>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</si>
  <si>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</si>
  <si>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</si>
  <si>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</si>
  <si>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</si>
  <si>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</si>
  <si>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</si>
  <si>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</si>
  <si>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</si>
  <si>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</si>
  <si>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</si>
  <si>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</si>
  <si>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</si>
  <si>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</si>
  <si>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</si>
  <si>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</si>
  <si>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</si>
  <si>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</si>
  <si>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</si>
  <si>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</si>
  <si>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</si>
  <si>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</si>
  <si>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</si>
  <si>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</si>
  <si>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</si>
  <si>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</si>
  <si>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</si>
  <si>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</si>
  <si>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</si>
  <si>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</si>
  <si>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</si>
  <si>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</si>
  <si>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</si>
  <si>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</si>
  <si>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</si>
  <si>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</si>
  <si>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</si>
  <si>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</si>
  <si>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</si>
  <si>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</si>
  <si>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</si>
  <si>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</si>
  <si>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</si>
  <si>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</si>
  <si>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</si>
  <si>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</si>
  <si>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</si>
  <si>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</si>
  <si>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</si>
  <si>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</si>
  <si>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</si>
  <si>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</si>
  <si>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</si>
  <si>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</si>
  <si>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</si>
  <si>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</si>
  <si>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</si>
  <si>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</si>
  <si>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</si>
  <si>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</si>
  <si>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</si>
  <si>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</si>
  <si>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</si>
  <si>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</si>
  <si>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</si>
  <si>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</si>
  <si>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</si>
  <si>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</si>
  <si>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</si>
  <si>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</si>
  <si>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</si>
  <si>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</si>
  <si>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</si>
  <si>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</si>
  <si>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</si>
  <si>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</si>
  <si>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</si>
  <si>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</si>
  <si>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</si>
  <si>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</si>
  <si>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</si>
  <si>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</si>
  <si>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</si>
  <si>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</si>
  <si>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</si>
  <si>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</si>
  <si>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</si>
  <si>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</si>
  <si>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</si>
  <si>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</si>
  <si>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</si>
  <si>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</si>
  <si>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</si>
  <si>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</si>
  <si>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</si>
  <si>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</si>
  <si>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</si>
  <si>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</si>
  <si>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</si>
  <si>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</si>
  <si>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</si>
  <si>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</si>
  <si>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</si>
  <si>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</si>
  <si>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</si>
  <si>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</si>
  <si>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</si>
  <si>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</si>
  <si>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</si>
  <si>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</si>
  <si>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</si>
  <si>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</si>
  <si>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</si>
  <si>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</si>
  <si>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</si>
  <si>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</si>
  <si>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</si>
  <si>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</si>
  <si>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</si>
  <si>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</si>
  <si>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D-HAL116</t>
  </si>
  <si>
    <t>Northpath</t>
  </si>
  <si>
    <t>D-HAL115</t>
  </si>
  <si>
    <t>D-HAL114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</si>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</sst>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2"/>
      <color rgb="FF000000"/>
      <name val="Aptos Narrow"/>
      <family val="2"/>
      <charset val="1"/>
    </font>
    <font>
      <sz val="10"/>
      <color rgb="FF000000"/>
      <name val="Helvetica Neue"/>
      <family val="1"/>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8" fillId="0" borderId="0" xfId="0" applyFont="1"/>
    <xf numFmtId="0" fontId="39" fillId="0" borderId="0" xfId="0" applyFont="1"/>
    <xf numFmtId="0" fontId="38" fillId="0" borderId="13" xfId="0" applyFont="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141</c:v>
                </c:pt>
                <c:pt idx="1">
                  <c:v>551</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23</c:v>
                </c:pt>
                <c:pt idx="2">
                  <c:v>0</c:v>
                </c:pt>
                <c:pt idx="3">
                  <c:v>34</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117</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7" tableId="2"/>
  </namedSheetView>
  <namedSheetView name="View2" id="{5C55A572-B441-4CF5-BE17-145477518499}">
    <nsvFilter filterId="{BB0ACC31-0A2E-46B2-8451-25A295C87F01}" ref="A1:R7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7" totalsRowShown="0" headerRowDxfId="25" dataDxfId="24" headerRowBorderDxfId="22" tableBorderDxfId="23">
  <autoFilter ref="A1:R707"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SUMPRODUCT((UPPER(Master!O2:O4423)="PENDING")*1)</f>
        <v>141</v>
      </c>
      <c r="R2" s="170" t="str" cm="1">
        <f t="array" ref="R2:R13">IFERROR(_xlfn._xlws.SORT(_xlfn.UNIQUE(_xlfn._xlws.FILTER(UPPER(Master!G2:G4423),Master!G2:G4423&lt;&gt;""))),"")</f>
        <v>BRADENTON</v>
      </c>
      <c r="S2" s="170" t="str" cm="1">
        <f t="array" ref="S2:S26">IFERROR(_xlfn._xlws.SORT(_xlfn.UNIQUE(_xlfn._xlws.FILTER(Master!H2:H4423,Master!H2:H4423&lt;&gt;""))),"")</f>
        <v>A1 Broadband</v>
      </c>
      <c r="T2" s="170"/>
    </row>
    <row r="3" spans="1:20" ht="45" customHeight="1">
      <c r="A3" s="246">
        <f>COUNTA(Master!C2:C4423)</f>
        <v>706</v>
      </c>
      <c r="B3" s="246"/>
      <c r="C3" s="246"/>
      <c r="D3" s="249" cm="1">
        <f t="array" ref="D3">SUMPRODUCT((UPPER(Master!O2:O4423)="PENDING")*1)</f>
        <v>141</v>
      </c>
      <c r="E3" s="249"/>
      <c r="F3" s="249"/>
      <c r="G3" s="241" cm="1">
        <f t="array" ref="G3">SUMPRODUCT((UPPER(Master!O2:O4423)="CLEAR")*1)</f>
        <v>551</v>
      </c>
      <c r="H3" s="241"/>
      <c r="I3" s="241"/>
      <c r="J3" s="244" cm="1">
        <f t="array" ref="J3">SUMPRODUCT((UPPER(Master!O2:O4423)="EXPIRED")*1)</f>
        <v>14</v>
      </c>
      <c r="K3" s="244"/>
      <c r="L3" s="244"/>
      <c r="O3" s="170"/>
      <c r="P3" s="169" t="s">
        <v>10</v>
      </c>
      <c r="Q3" s="169" cm="1">
        <f t="array" ref="Q3">SUMPRODUCT((UPPER(Master!O2:O4423)="CLEAR")*1)</f>
        <v>551</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SUMPRODUCT((UPPER(Master!O2:O4423)="EXPIRED")*1)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SUMPRODUCT((UPPER(Master!G2:G4423)="BRADENTON")*1)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SUMPRODUCT((UPPER(Master!G2:G4423)="ST.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SUMPRODUCT((UPPER(Master!G2:G4423)="PUNTA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SUMPRODUCT((UPPER(Master!G2:G4423)="SARASOTA")*1)</f>
        <v>34</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SUMPRODUCT((UPPER(Master!G2:G4423)="PORT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IF(P14="","",SUMPRODUCT((UPPER(Master!H2:H4423)=UPPER(P14))*1))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IF(P15="","",SUMPRODUCT((UPPER(Master!H2:H4423)=UPPER(P15))*1))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IF(P16="","",SUMPRODUCT((UPPER(Master!H2:H4423)=UPPER(P16))*1))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IF(P17="","",SUMPRODUCT((UPPER(Master!H2:H4423)=UPPER(P17))*1))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IF(P18="","",SUMPRODUCT((UPPER(Master!H2:H4423)=UPPER(P18))*1))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IF(P19="","",SUMPRODUCT((UPPER(Master!H2:H4423)=UPPER(P19))*1))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IF(P20="","",SUMPRODUCT((UPPER(Master!H2:H4423)=UPPER(P20))*1))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IF(P21="","",SUMPRODUCT((UPPER(Master!H2:H4423)=UPPER(P21))*1))</f>
        <v>2</v>
      </c>
      <c r="R21" s="170"/>
      <c r="S21" s="170" t="str">
        <v>NORTH PATH</v>
      </c>
      <c r="T21" s="170"/>
    </row>
    <row r="22" spans="1:20" ht="20.25" customHeight="1">
      <c r="A22" s="254" t="s">
        <v>24</v>
      </c>
      <c r="B22" s="254"/>
      <c r="C22" s="254"/>
      <c r="D22" s="254"/>
      <c r="E22" s="254"/>
      <c r="G22" s="255" t="s">
        <v>25</v>
      </c>
      <c r="H22" s="256"/>
      <c r="O22" s="170"/>
      <c r="P22" s="169" t="str">
        <f>IFERROR(INDEX(_xlfn.ANCHORARRAY(S2),9),"")</f>
        <v>GULFSTREAM</v>
      </c>
      <c r="Q22" s="169" cm="1">
        <f t="array" ref="Q22">IF(P22="","",SUMPRODUCT((UPPER(Master!H2:H4423)=UPPER(P22))*1))</f>
        <v>13</v>
      </c>
      <c r="R22" s="170"/>
      <c r="S22" s="170" t="str">
        <v>Northpath</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IF(P23="","",SUMPRODUCT((UPPER(Master!H2:H4423)=UPPER(P23))*1))</f>
        <v>2</v>
      </c>
      <c r="R23" s="170"/>
      <c r="S23" s="170" t="str">
        <v>PATRIOT</v>
      </c>
      <c r="T23" s="170"/>
    </row>
    <row r="24" spans="1:20" ht="15.75" customHeight="1">
      <c r="A24" s="107" t="str">
        <f>IFERROR(INDEX(_xlfn.ANCHORARRAY(R2),1),"")</f>
        <v>BRADENTON</v>
      </c>
      <c r="B24" s="108" cm="1">
        <f t="array" ref="B24">IF(A24="","",SUMPRODUCT((UPPER(Master!G2:G4423)=A24)*(UPPER(Master!O2:O4423)="PENDING")))</f>
        <v>0</v>
      </c>
      <c r="C24" s="108" cm="1">
        <f t="array" ref="C24">IF(A24="","",SUMPRODUCT((UPPER(Master!G2:G4423)=A24)*(UPPER(Master!O2:O4423)="CLEAR")))</f>
        <v>60</v>
      </c>
      <c r="D24" s="108" cm="1">
        <f t="array" ref="D24">IF(A24="","",SUMPRODUCT((UPPER(Master!G2:G4423)=A24)*(UPPER(Master!O2:O4423)="EXPIRED")))</f>
        <v>0</v>
      </c>
      <c r="E24" s="109">
        <f>IF(A24="","",B24+C24+D24)</f>
        <v>60</v>
      </c>
      <c r="G24" s="114" t="str">
        <f>IFERROR(INDEX(_xlfn.ANCHORARRAY(S2),1),"")</f>
        <v>A1 Broadband</v>
      </c>
      <c r="H24" s="113" cm="1">
        <f t="array" ref="H24">IF(G24="","",SUMPRODUCT((UPPER(Master!H2:H4423)=UPPER(G24))*1))</f>
        <v>10</v>
      </c>
      <c r="O24" s="170"/>
      <c r="P24" s="169"/>
      <c r="Q24" s="169"/>
      <c r="R24" s="170"/>
      <c r="S24" s="170" t="str">
        <v>Power Connect</v>
      </c>
      <c r="T24" s="170"/>
    </row>
    <row r="25" spans="1:20" ht="15.75" customHeight="1">
      <c r="A25" s="110" t="str">
        <f>IFERROR(INDEX(_xlfn.ANCHORARRAY(R2),2),"")</f>
        <v>CLEARWATER</v>
      </c>
      <c r="B25" s="111" cm="1">
        <f t="array" ref="B25">IF(A25="","",SUMPRODUCT((UPPER(Master!G2:G4423)=A25)*(UPPER(Master!O2:O4423)="PENDING")))</f>
        <v>23</v>
      </c>
      <c r="C25" s="111" cm="1">
        <f t="array" ref="C25">IF(A25="","",SUMPRODUCT((UPPER(Master!G2:G4423)=A25)*(UPPER(Master!O2:O4423)="CLEAR")))</f>
        <v>147</v>
      </c>
      <c r="D25" s="111" cm="1">
        <f t="array" ref="D25">IF(A25="","",SUMPRODUCT((UPPER(Master!G2:G4423)=A25)*(UPPER(Master!O2:O4423)="EXPIRED")))</f>
        <v>14</v>
      </c>
      <c r="E25" s="112">
        <f>IF(A25="","",B25+C25+D25)</f>
        <v>184</v>
      </c>
      <c r="G25" s="110" t="str">
        <f>IFERROR(INDEX(_xlfn.ANCHORARRAY(S2),2),"")</f>
        <v>Alpha Omega</v>
      </c>
      <c r="H25" s="112" cm="1">
        <f t="array" ref="H25">IF(G25="","",SUMPRODUCT((UPPER(Master!H2:H4423)=UPPER(G25))*1))</f>
        <v>6</v>
      </c>
      <c r="O25" s="170"/>
      <c r="P25" s="169"/>
      <c r="Q25" s="169"/>
      <c r="R25" s="170"/>
      <c r="S25" s="170" t="str">
        <v>R&amp;F</v>
      </c>
      <c r="T25" s="170"/>
    </row>
    <row r="26" spans="1:20" ht="15.75" customHeight="1">
      <c r="A26" s="107" t="str">
        <f>IFERROR(INDEX(_xlfn.ANCHORARRAY(R2),3),"")</f>
        <v>ELLENTON</v>
      </c>
      <c r="B26" s="108" cm="1">
        <f t="array" ref="B26">IF(A26="","",SUMPRODUCT((UPPER(Master!G2:G4423)=A26)*(UPPER(Master!O2:O4423)="PENDING")))</f>
        <v>0</v>
      </c>
      <c r="C26" s="108" cm="1">
        <f t="array" ref="C26">IF(A26="","",SUMPRODUCT((UPPER(Master!G2:G4423)=A26)*(UPPER(Master!O2:O4423)="CLEAR")))</f>
        <v>30</v>
      </c>
      <c r="D26" s="108" cm="1">
        <f t="array" ref="D26">IF(A26="","",SUMPRODUCT((UPPER(Master!G2:G4423)=A26)*(UPPER(Master!O2:O4423)="EXPIRED")))</f>
        <v>0</v>
      </c>
      <c r="E26" s="109">
        <f>IF(A26="","",B26+C26+D26)</f>
        <v>30</v>
      </c>
      <c r="G26" s="107" t="str">
        <f>IFERROR(INDEX(_xlfn.ANCHORARRAY(S2),3),"")</f>
        <v>APT</v>
      </c>
      <c r="H26" s="109" cm="1">
        <f t="array" ref="H26">IF(G26="","",SUMPRODUCT((UPPER(Master!H2:H4423)=UPPER(G26))*1))</f>
        <v>17</v>
      </c>
      <c r="S26" t="str">
        <v>Restoring Pro</v>
      </c>
    </row>
    <row r="27" spans="1:20" ht="15.75" customHeight="1">
      <c r="A27" s="110" t="str">
        <f>IFERROR(INDEX(_xlfn.ANCHORARRAY(R2),4),"")</f>
        <v>FORT MYERS</v>
      </c>
      <c r="B27" s="111" cm="1">
        <f t="array" ref="B27">IF(A27="","",SUMPRODUCT((UPPER(Master!G2:G4423)=A27)*(UPPER(Master!O2:O4423)="PENDING")))</f>
        <v>34</v>
      </c>
      <c r="C27" s="111" cm="1">
        <f t="array" ref="C27">IF(A27="","",SUMPRODUCT((UPPER(Master!G2:G4423)=A27)*(UPPER(Master!O2:O4423)="CLEAR")))</f>
        <v>117</v>
      </c>
      <c r="D27" s="111" cm="1">
        <f t="array" ref="D27">IF(A27="","",SUMPRODUCT((UPPER(Master!G2:G4423)=A27)*(UPPER(Master!O2:O4423)="EXPIRED")))</f>
        <v>0</v>
      </c>
      <c r="E27" s="112">
        <f>IF(A27="","",B27+C27+D27)</f>
        <v>151</v>
      </c>
      <c r="G27" s="110" t="str">
        <f>IFERROR(INDEX(_xlfn.ANCHORARRAY(S2),4),"")</f>
        <v>APT Communications</v>
      </c>
      <c r="H27" s="112" cm="1">
        <f t="array" ref="H27">IF(G27="","",SUMPRODUCT((UPPER(Master!H2:H4423)=UPPER(G27))*1))</f>
        <v>7</v>
      </c>
    </row>
    <row r="28" spans="1:20" ht="15.75" customHeight="1">
      <c r="A28" s="107" t="str">
        <f>IFERROR(INDEX(_xlfn.ANCHORARRAY(R2),5),"")</f>
        <v>LAKELAND</v>
      </c>
      <c r="B28" s="108" cm="1">
        <f t="array" ref="B28">IF(A28="","",SUMPRODUCT((UPPER(Master!G2:G4423)=A28)*(UPPER(Master!O2:O4423)="PENDING")))</f>
        <v>0</v>
      </c>
      <c r="C28" s="108" cm="1">
        <f t="array" ref="C28">IF(A28="","",SUMPRODUCT((UPPER(Master!G2:G4423)=A28)*(UPPER(Master!O2:O4423)="CLEAR")))</f>
        <v>2</v>
      </c>
      <c r="D28" s="108" cm="1">
        <f t="array" ref="D28">IF(A28="","",SUMPRODUCT((UPPER(Master!G2:G4423)=A28)*(UPPER(Master!O2:O4423)="EXPIRED")))</f>
        <v>0</v>
      </c>
      <c r="E28" s="109">
        <f>IF(A28="","",B28+C28+D28)</f>
        <v>2</v>
      </c>
      <c r="G28" s="107" t="str">
        <f>IFERROR(INDEX(_xlfn.ANCHORARRAY(S2),5),"")</f>
        <v>ASM</v>
      </c>
      <c r="H28" s="109" cm="1">
        <f t="array" ref="H28">IF(G28="","",SUMPRODUCT((UPPER(Master!H2:H4423)=UPPER(G28))*1))</f>
        <v>59</v>
      </c>
    </row>
    <row r="29" spans="1:20" ht="15.75" customHeight="1">
      <c r="A29" s="110" t="str">
        <f>IFERROR(INDEX(_xlfn.ANCHORARRAY(R2),6),"")</f>
        <v>LARGO</v>
      </c>
      <c r="B29" s="111" cm="1">
        <f t="array" ref="B29">IF(A29="","",SUMPRODUCT((UPPER(Master!G2:G4423)=A29)*(UPPER(Master!O2:O4423)="PENDING")))</f>
        <v>0</v>
      </c>
      <c r="C29" s="111" cm="1">
        <f t="array" ref="C29">IF(A29="","",SUMPRODUCT((UPPER(Master!G2:G4423)=A29)*(UPPER(Master!O2:O4423)="CLEAR")))</f>
        <v>84</v>
      </c>
      <c r="D29" s="111" cm="1">
        <f t="array" ref="D29">IF(A29="","",SUMPRODUCT((UPPER(Master!G2:G4423)=A29)*(UPPER(Master!O2:O4423)="EXPIRED")))</f>
        <v>0</v>
      </c>
      <c r="E29" s="112">
        <f>IF(A29="","",B29+C29+D29)</f>
        <v>84</v>
      </c>
      <c r="G29" s="110" t="str">
        <f>IFERROR(INDEX(_xlfn.ANCHORARRAY(S2),6),"")</f>
        <v>BICOM</v>
      </c>
      <c r="H29" s="112" cm="1">
        <f t="array" ref="H29">IF(G29="","",SUMPRODUCT((UPPER(Master!H2:H4423)=UPPER(G29))*1))</f>
        <v>40</v>
      </c>
    </row>
    <row r="30" spans="1:20" ht="15.75" customHeight="1">
      <c r="A30" s="107" t="str">
        <f>IFERROR(INDEX(_xlfn.ANCHORARRAY(R2),7),"")</f>
        <v>MIAMI</v>
      </c>
      <c r="B30" s="108" cm="1">
        <f t="array" ref="B30">IF(A30="","",SUMPRODUCT((UPPER(Master!G2:G4423)=A30)*(UPPER(Master!O2:O4423)="PENDING")))</f>
        <v>17</v>
      </c>
      <c r="C30" s="108" cm="1">
        <f t="array" ref="C30">IF(A30="","",SUMPRODUCT((UPPER(Master!G2:G4423)=A30)*(UPPER(Master!O2:O4423)="CLEAR")))</f>
        <v>63</v>
      </c>
      <c r="D30" s="108" cm="1">
        <f t="array" ref="D30">IF(A30="","",SUMPRODUCT((UPPER(Master!G2:G4423)=A30)*(UPPER(Master!O2:O4423)="EXPIRED")))</f>
        <v>0</v>
      </c>
      <c r="E30" s="109">
        <f>IF(A30="","",B30+C30+D30)</f>
        <v>80</v>
      </c>
      <c r="G30" s="107" t="str">
        <f>IFERROR(INDEX(_xlfn.ANCHORARRAY(S2),7),"")</f>
        <v>BROTHERS</v>
      </c>
      <c r="H30" s="109" cm="1">
        <f t="array" ref="H30">IF(G30="","",SUMPRODUCT((UPPER(Master!H2:H4423)=UPPER(G30))*1))</f>
        <v>24</v>
      </c>
    </row>
    <row r="31" spans="1:20" ht="15.75" customHeight="1">
      <c r="A31" s="110" t="str">
        <f>IFERROR(INDEX(_xlfn.ANCHORARRAY(R2),8),"")</f>
        <v>SARASOTA</v>
      </c>
      <c r="B31" s="111" cm="1">
        <f t="array" ref="B31">IF(A31="","",SUMPRODUCT((UPPER(Master!G2:G4423)=A31)*(UPPER(Master!O2:O4423)="PENDING")))</f>
        <v>25</v>
      </c>
      <c r="C31" s="111" cm="1">
        <f t="array" ref="C31">IF(A31="","",SUMPRODUCT((UPPER(Master!G2:G4423)=A31)*(UPPER(Master!O2:O4423)="CLEAR")))</f>
        <v>9</v>
      </c>
      <c r="D31" s="111" cm="1">
        <f t="array" ref="D31">IF(A31="","",SUMPRODUCT((UPPER(Master!G2:G4423)=A31)*(UPPER(Master!O2:O4423)="EXPIRED")))</f>
        <v>0</v>
      </c>
      <c r="E31" s="112">
        <f>IF(A31="","",B31+C31+D31)</f>
        <v>34</v>
      </c>
      <c r="G31" s="110" t="str">
        <f>IFERROR(INDEX(_xlfn.ANCHORARRAY(S2),8),"")</f>
        <v>Gulf stream</v>
      </c>
      <c r="H31" s="112" cm="1">
        <f t="array" ref="H31">IF(G31="","",SUMPRODUCT((UPPER(Master!H2:H4423)=UPPER(G31))*1))</f>
        <v>2</v>
      </c>
    </row>
    <row r="32" spans="1:20" ht="15.75" customHeight="1">
      <c r="A32" s="107" t="str">
        <f>IFERROR(INDEX(_xlfn.ANCHORARRAY(R2),9),"")</f>
        <v xml:space="preserve">SARASOTA </v>
      </c>
      <c r="B32" s="108" cm="1">
        <f t="array" ref="B32">IF(A32="","",SUMPRODUCT((UPPER(Master!G2:G4423)=A32)*(UPPER(Master!O2:O4423)="PENDING")))</f>
        <v>2</v>
      </c>
      <c r="C32" s="108" cm="1">
        <f t="array" ref="C32">IF(A32="","",SUMPRODUCT((UPPER(Master!G2:G4423)=A32)*(UPPER(Master!O2:O4423)="CLEAR")))</f>
        <v>2</v>
      </c>
      <c r="D32" s="108" cm="1">
        <f t="array" ref="D32">IF(A32="","",SUMPRODUCT((UPPER(Master!G2:G4423)=A32)*(UPPER(Master!O2:O4423)="EXPIRED")))</f>
        <v>0</v>
      </c>
      <c r="E32" s="109">
        <f>IF(A32="","",B32+C32+D32)</f>
        <v>4</v>
      </c>
      <c r="G32" s="107" t="str">
        <f>IFERROR(INDEX(_xlfn.ANCHORARRAY(S2),9),"")</f>
        <v>GULFSTREAM</v>
      </c>
      <c r="H32" s="109" cm="1">
        <f t="array" ref="H32">IF(G32="","",SUMPRODUCT((UPPER(Master!H2:H4423)=UPPER(G32))*1))</f>
        <v>13</v>
      </c>
    </row>
    <row r="33" spans="1:12" ht="15.75" customHeight="1">
      <c r="A33" s="110" t="str">
        <f>IFERROR(INDEX(_xlfn.ANCHORARRAY(R2),10),"")</f>
        <v>SEMINOLE</v>
      </c>
      <c r="B33" s="111" cm="1">
        <f t="array" ref="B33">IF(A33="","",SUMPRODUCT((UPPER(Master!G2:G4423)=A33)*(UPPER(Master!O2:O4423)="PENDING")))</f>
        <v>0</v>
      </c>
      <c r="C33" s="111" cm="1">
        <f t="array" ref="C33">IF(A33="","",SUMPRODUCT((UPPER(Master!G2:G4423)=A33)*(UPPER(Master!O2:O4423)="CLEAR")))</f>
        <v>36</v>
      </c>
      <c r="D33" s="111" cm="1">
        <f t="array" ref="D33">IF(A33="","",SUMPRODUCT((UPPER(Master!G2:G4423)=A33)*(UPPER(Master!O2:O4423)="EXPIRED")))</f>
        <v>0</v>
      </c>
      <c r="E33" s="112">
        <f>IF(A33="","",B33+C33+D33)</f>
        <v>36</v>
      </c>
      <c r="G33" s="110" t="str">
        <f>IFERROR(INDEX(_xlfn.ANCHORARRAY(S2),10),"")</f>
        <v>HAS</v>
      </c>
      <c r="H33" s="112" cm="1">
        <f t="array" ref="H33">IF(G33="","",SUMPRODUCT((UPPER(Master!H2:H4423)=UPPER(G33))*1))</f>
        <v>2</v>
      </c>
    </row>
    <row r="34" spans="1:12" ht="15.75" customHeight="1">
      <c r="A34" s="107" t="str">
        <f>IFERROR(INDEX(_xlfn.ANCHORARRAY(R2),11),"")</f>
        <v>ST LUCIE</v>
      </c>
      <c r="B34" s="108" cm="1">
        <f t="array" ref="B34">IF(A34="","",SUMPRODUCT((UPPER(Master!G2:G4423)=A34)*(UPPER(Master!O2:O4423)="PENDING")))</f>
        <v>40</v>
      </c>
      <c r="C34" s="108" cm="1">
        <f t="array" ref="C34">IF(A34="","",SUMPRODUCT((UPPER(Master!G2:G4423)=A34)*(UPPER(Master!O2:O4423)="CLEAR")))</f>
        <v>0</v>
      </c>
      <c r="D34" s="108" cm="1">
        <f t="array" ref="D34">IF(A34="","",SUMPRODUCT((UPPER(Master!G2:G4423)=A34)*(UPPER(Master!O2:O4423)="EXPIRED")))</f>
        <v>0</v>
      </c>
      <c r="E34" s="109">
        <f>IF(A34="","",B34+C34+D34)</f>
        <v>40</v>
      </c>
      <c r="G34" s="107" t="str">
        <f>IFERROR(INDEX(_xlfn.ANCHORARRAY(S2),11),"")</f>
        <v>HD Cable</v>
      </c>
      <c r="H34" s="109" cm="1">
        <f t="array" ref="H34">IF(G34="","",SUMPRODUCT((UPPER(Master!H2:H4423)=UPPER(G34))*1))</f>
        <v>6</v>
      </c>
    </row>
    <row r="35" spans="1:12" ht="15.75" customHeight="1">
      <c r="A35" s="110" t="str">
        <f>IFERROR(INDEX(_xlfn.ANCHORARRAY(R2),12),"")</f>
        <v>ST. PETERSBURG</v>
      </c>
      <c r="B35" s="111" cm="1">
        <f t="array" ref="B35">IF(A35="","",SUMPRODUCT((UPPER(Master!G2:G4423)=A35)*(UPPER(Master!O2:O4423)="PENDING")))</f>
        <v>0</v>
      </c>
      <c r="C35" s="111" cm="1">
        <f t="array" ref="C35">IF(A35="","",SUMPRODUCT((UPPER(Master!G2:G4423)=A35)*(UPPER(Master!O2:O4423)="CLEAR")))</f>
        <v>1</v>
      </c>
      <c r="D35" s="111" cm="1">
        <f t="array" ref="D35">IF(A35="","",SUMPRODUCT((UPPER(Master!G2:G4423)=A35)*(UPPER(Master!O2:O4423)="EXPIRED")))</f>
        <v>0</v>
      </c>
      <c r="E35" s="112">
        <f>IF(A35="","",B35+C35+D35)</f>
        <v>1</v>
      </c>
      <c r="G35" s="110" t="str">
        <f>IFERROR(INDEX(_xlfn.ANCHORARRAY(S2),12),"")</f>
        <v>HNC</v>
      </c>
      <c r="H35" s="112" cm="1">
        <f t="array" ref="H35">IF(G35="","",SUMPRODUCT((UPPER(Master!H2:H4423)=UPPER(G35))*1))</f>
        <v>26</v>
      </c>
    </row>
    <row r="36" spans="1:12" ht="15.75" customHeight="1">
      <c r="A36" s="107" t="str">
        <f>IFERROR(INDEX(_xlfn.ANCHORARRAY(R2),13),"")</f>
        <v/>
      </c>
      <c r="B36" s="108" t="str" cm="1">
        <f t="array" ref="B36">IF(A36="","",SUMPRODUCT((UPPER(Master!G2:G4423)=A36)*(UPPER(Master!O2:O4423)="PENDING")))</f>
        <v/>
      </c>
      <c r="C36" s="108" t="str" cm="1">
        <f t="array" ref="C36">IF(A36="","",SUMPRODUCT((UPPER(Master!G2:G4423)=A36)*(UPPER(Master!O2:O4423)="CLEAR")))</f>
        <v/>
      </c>
      <c r="D36" s="108" t="str" cm="1">
        <f t="array" ref="D36">IF(A36="","",SUMPRODUCT((UPPER(Master!G2:G4423)=A36)*(UPPER(Master!O2:O4423)="EXPIRED")))</f>
        <v/>
      </c>
      <c r="E36" s="109" t="str">
        <f>IF(A36="","",B36+C36+D36)</f>
        <v/>
      </c>
      <c r="G36" s="114" t="str">
        <f>IFERROR(INDEX(_xlfn.ANCHORARRAY(S2),13),"")</f>
        <v>LEGANT</v>
      </c>
      <c r="H36" s="113" cm="1">
        <f t="array" ref="H36">IF(G36="","",SUMPRODUCT((UPPER(Master!H2:H4423)=UPPER(G36))*1))</f>
        <v>1</v>
      </c>
    </row>
    <row r="37" spans="1:12" ht="15.75" customHeight="1">
      <c r="A37" s="110" t="str">
        <f>IFERROR(INDEX(_xlfn.ANCHORARRAY(R2),14),"")</f>
        <v/>
      </c>
      <c r="B37" s="111" t="str" cm="1">
        <f t="array" ref="B37">IF(A37="","",SUMPRODUCT((UPPER(Master!G2:G4423)=A37)*(UPPER(Master!O2:O4423)="PENDING")))</f>
        <v/>
      </c>
      <c r="C37" s="111" t="str" cm="1">
        <f t="array" ref="C37">IF(A37="","",SUMPRODUCT((UPPER(Master!G2:G4423)=A37)*(UPPER(Master!O2:O4423)="CLEAR")))</f>
        <v/>
      </c>
      <c r="D37" s="111" t="str" cm="1">
        <f t="array" ref="D37">IF(A37="","",SUMPRODUCT((UPPER(Master!G2:G4423)=A37)*(UPPER(Master!O2:O4423)="EXPIRED")))</f>
        <v/>
      </c>
      <c r="E37" s="112" t="str">
        <f>IF(A37="","",B37+C37+D37)</f>
        <v/>
      </c>
      <c r="F37" s="95"/>
      <c r="G37" s="110" t="str">
        <f>IFERROR(INDEX(_xlfn.ANCHORARRAY(S2),14),"")</f>
        <v>Lightspeed</v>
      </c>
      <c r="H37" s="112" cm="1">
        <f t="array" ref="H37">IF(G37="","",SUMPRODUCT((UPPER(Master!H2:H4423)=UPPER(G37))*1))</f>
        <v>8</v>
      </c>
      <c r="I37" s="95"/>
      <c r="J37" s="95"/>
      <c r="K37" s="95"/>
      <c r="L37" s="95"/>
    </row>
    <row r="38" spans="1:12" ht="15.75" customHeight="1">
      <c r="A38" s="115" t="str">
        <f>IFERROR(INDEX(_xlfn.ANCHORARRAY(R2),15),"")</f>
        <v/>
      </c>
      <c r="B38" s="93" t="str" cm="1">
        <f t="array" ref="B38">IF(A38="","",SUMPRODUCT((UPPER(Master!G2:G4423)=A38)*(UPPER(Master!O2:O4423)="PENDING")))</f>
        <v/>
      </c>
      <c r="C38" s="93" t="str" cm="1">
        <f t="array" ref="C38">IF(A38="","",SUMPRODUCT((UPPER(Master!G2:G4423)=A38)*(UPPER(Master!O2:O4423)="CLEAR")))</f>
        <v/>
      </c>
      <c r="D38" s="93" t="str" cm="1">
        <f t="array" ref="D38">IF(A38="","",SUMPRODUCT((UPPER(Master!G2:G4423)=A38)*(UPPER(Master!O2:O4423)="EXPIRED")))</f>
        <v/>
      </c>
      <c r="E38" s="103" t="str">
        <f>IF(A38="","",B38+C38+D38)</f>
        <v/>
      </c>
      <c r="F38" s="95"/>
      <c r="G38" s="114" t="str">
        <f>IFERROR(INDEX(_xlfn.ANCHORARRAY(S2),15),"")</f>
        <v>LOPEZ</v>
      </c>
      <c r="H38" s="113" cm="1">
        <f t="array" ref="H38">IF(G38="","",SUMPRODUCT((UPPER(Master!H2:H4423)=UPPER(G38))*1))</f>
        <v>67</v>
      </c>
      <c r="I38" s="95"/>
      <c r="J38" s="95"/>
      <c r="K38" s="95"/>
      <c r="L38" s="95"/>
    </row>
    <row r="39" spans="1:12" ht="15.75" customHeight="1">
      <c r="A39" s="116" t="s">
        <v>28</v>
      </c>
      <c r="B39" s="91">
        <f>SUMIF(A24:A38,"&lt;&gt;",B24:B38)</f>
        <v>141</v>
      </c>
      <c r="C39" s="91">
        <f>SUMIF(A24:A38,"&lt;&gt;",C24:C38)</f>
        <v>551</v>
      </c>
      <c r="D39" s="91">
        <f>SUMIF(A24:A38,"&lt;&gt;",D24:D38)</f>
        <v>14</v>
      </c>
      <c r="E39" s="92">
        <f>SUMIF(A24:A38,"&lt;&gt;",E24:E38)</f>
        <v>706</v>
      </c>
      <c r="G39" s="110" t="str">
        <f>IFERROR(INDEX(_xlfn.ANCHORARRAY(S2),16),"")</f>
        <v>LSCG</v>
      </c>
      <c r="H39" s="112" cm="1">
        <f t="array" ref="H39">IF(G39="","",SUMPRODUCT((UPPER(Master!H2:H4423)=UPPER(G39))*1))</f>
        <v>204</v>
      </c>
    </row>
    <row r="40" spans="1:12">
      <c r="G40" s="114" t="str">
        <f>IFERROR(INDEX(_xlfn.ANCHORARRAY(S2),17),"")</f>
        <v>MID FL</v>
      </c>
      <c r="H40" s="113" cm="1">
        <f t="array" ref="H40">IF(G40="","",SUMPRODUCT((UPPER(Master!H2:H4423)=UPPER(G40))*1))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141</v>
      </c>
      <c r="D43" t="s">
        <v>16</v>
      </c>
      <c r="E43">
        <f>E27</f>
        <v>151</v>
      </c>
      <c r="G43" t="s">
        <v>29</v>
      </c>
      <c r="H43">
        <f>H27</f>
        <v>7</v>
      </c>
    </row>
    <row r="44" spans="1:12" hidden="1">
      <c r="A44" t="s">
        <v>10</v>
      </c>
      <c r="B44">
        <f>G3</f>
        <v>551</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34</v>
      </c>
    </row>
    <row r="48" spans="1:12" hidden="1">
      <c r="A48">
        <f>COUNTA(Master!C2:C4423)</f>
        <v>706</v>
      </c>
      <c r="B48">
        <f>B54+B55</f>
        <v>1935</v>
      </c>
      <c r="C48">
        <f>B55</f>
        <v>1653</v>
      </c>
      <c r="D48">
        <f>B56</f>
        <v>42</v>
      </c>
    </row>
    <row r="49" spans="1:2" hidden="1"/>
    <row r="50" spans="1:2" hidden="1"/>
    <row r="51" spans="1:2" hidden="1"/>
    <row r="52" spans="1:2" hidden="1">
      <c r="A52" t="s">
        <v>32</v>
      </c>
    </row>
    <row r="53" spans="1:2" hidden="1">
      <c r="A53" t="s">
        <v>1</v>
      </c>
      <c r="B53" t="s">
        <v>2</v>
      </c>
    </row>
    <row r="54" spans="1:2" hidden="1">
      <c r="A54" t="s">
        <v>9</v>
      </c>
      <c r="B54">
        <f>COUNTIF(Master!O2:O4423,"Pending")+COUNTIF(Master!O2:O4423,"PENDING")</f>
        <v>282</v>
      </c>
    </row>
    <row r="55" spans="1:2" hidden="1">
      <c r="A55" t="s">
        <v>10</v>
      </c>
      <c r="B55">
        <f>COUNTIF(Master!O2:O4423,"Clear")+COUNTIF(Master!O2:O4423,"clear")+COUNTIF(Master!O2:O4423,"CLEAR")</f>
        <v>1653</v>
      </c>
    </row>
    <row r="56" spans="1:2" hidden="1">
      <c r="A56" t="s">
        <v>15</v>
      </c>
      <c r="B56">
        <f>COUNTIF(Master!O2:O4423,"Expired")+COUNTIF(Master!O2:O4423,"expired")+COUNTIF(Master!O2:O4423,"EXPIRED")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COUNTIF(Master!G2:G4423,"BRADENTON")</f>
        <v>60</v>
      </c>
    </row>
    <row r="65" spans="1:2" hidden="1">
      <c r="A65" t="s">
        <v>18</v>
      </c>
      <c r="B65">
        <f>COUNTIF(Master!G2:G4423,"ST. PETERSBURG")</f>
        <v>1</v>
      </c>
    </row>
    <row r="66" spans="1:2" hidden="1">
      <c r="A66" t="s">
        <v>19</v>
      </c>
      <c r="B66">
        <f>COUNTIF(Master!G2:G4423,"PUNTA GORDA")</f>
        <v>0</v>
      </c>
    </row>
    <row r="67" spans="1:2" hidden="1">
      <c r="A67" t="s">
        <v>34</v>
      </c>
      <c r="B67">
        <f>COUNTIF(Master!G2:G4423,"Sarasota")</f>
        <v>34</v>
      </c>
    </row>
    <row r="68" spans="1:2" hidden="1">
      <c r="A68" t="s">
        <v>35</v>
      </c>
      <c r="B68">
        <f>COUNTIF(Master!G2:G4423,"Port Charlotte")</f>
        <v>0</v>
      </c>
    </row>
    <row r="69" spans="1:2" hidden="1">
      <c r="A69" t="s">
        <v>36</v>
      </c>
      <c r="B69">
        <f>COUNTIF(Master!G2:G4423,"ST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COUNTIF(Master!H2:H4423,"GN Systems")</f>
        <v>0</v>
      </c>
    </row>
    <row r="77" spans="1:2" hidden="1">
      <c r="A77" t="s">
        <v>22</v>
      </c>
      <c r="B77">
        <f>COUNTIF(Master!H2:H4423,"Lightspeed")</f>
        <v>8</v>
      </c>
    </row>
    <row r="78" spans="1:2" hidden="1">
      <c r="A78" t="s">
        <v>38</v>
      </c>
      <c r="B78">
        <f>COUNTIF(Master!H2:H4423,"LIGHTSPEED")</f>
        <v>8</v>
      </c>
    </row>
    <row r="79" spans="1:2" hidden="1">
      <c r="A79" t="s">
        <v>30</v>
      </c>
      <c r="B79">
        <f>COUNTIF(Master!H2:H4423,"LSCG")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07"/>
  <sheetViews>
    <sheetView tabSelected="1" zoomScale="90" zoomScaleNormal="90" workbookViewId="0">
      <pane xSplit="1" topLeftCell="B676" activePane="topRight" state="frozen"/>
      <selection pane="topRight" activeCell="A690" sqref="A690:A7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10</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10</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10</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t="s">
        <v>222</v>
      </c>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t="s">
        <v>222</v>
      </c>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t="s">
        <v>222</v>
      </c>
      <c r="P690" s="45"/>
      <c r="Q690" s="185"/>
      <c r="R690" s="186"/>
    </row>
    <row r="691" spans="1:18" ht="15" customHeight="1">
      <c r="A691" s="183" t="s">
        <v>281</v>
      </c>
      <c r="B691" s="183"/>
      <c r="C691" s="217">
        <v>230609748</v>
      </c>
      <c r="D691" s="252"/>
      <c r="E691" s="251"/>
      <c r="F691" s="184" t="s">
        <v>121</v>
      </c>
      <c r="G691" s="45" t="s">
        <v>34</v>
      </c>
      <c r="H691" s="45" t="s">
        <v>282</v>
      </c>
      <c r="I691" s="55">
        <v>46251</v>
      </c>
      <c r="J691" s="59">
        <v>46253</v>
      </c>
      <c r="K691" s="59">
        <v>46281</v>
      </c>
      <c r="L691" s="45"/>
      <c r="M691" s="45"/>
      <c r="N691" s="45"/>
      <c r="O691" s="45" t="s">
        <v>222</v>
      </c>
      <c r="P691" s="45"/>
      <c r="Q691" s="185"/>
      <c r="R691" s="186"/>
    </row>
    <row r="692" spans="1:18" ht="15" customHeight="1">
      <c r="A692" s="183" t="s">
        <v>281</v>
      </c>
      <c r="B692" s="183"/>
      <c r="C692" s="217">
        <v>230609769</v>
      </c>
      <c r="D692" s="168"/>
      <c r="F692" s="184" t="s">
        <v>121</v>
      </c>
      <c r="G692" s="45" t="s">
        <v>34</v>
      </c>
      <c r="H692" s="45" t="s">
        <v>282</v>
      </c>
      <c r="I692" s="55">
        <v>46251</v>
      </c>
      <c r="J692" s="59">
        <v>46253</v>
      </c>
      <c r="K692" s="59">
        <v>46281</v>
      </c>
      <c r="O692" s="45" t="s">
        <v>222</v>
      </c>
      <c r="R692" s="177"/>
    </row>
    <row r="693" spans="1:18" ht="15" customHeight="1">
      <c r="A693" s="183" t="s">
        <v>281</v>
      </c>
      <c r="B693" s="183"/>
      <c r="C693" s="217">
        <v>230609804</v>
      </c>
      <c r="D693" s="168"/>
      <c r="F693" s="184" t="s">
        <v>121</v>
      </c>
      <c r="G693" s="45" t="s">
        <v>34</v>
      </c>
      <c r="H693" s="45" t="s">
        <v>282</v>
      </c>
      <c r="I693" s="55">
        <v>46251</v>
      </c>
      <c r="J693" s="59">
        <v>46253</v>
      </c>
      <c r="K693" s="59">
        <v>46281</v>
      </c>
      <c r="O693" s="45" t="s">
        <v>222</v>
      </c>
      <c r="R693" s="177"/>
    </row>
    <row r="694" spans="1:18" ht="15" customHeight="1">
      <c r="A694" s="183" t="s">
        <v>281</v>
      </c>
      <c r="B694" s="183"/>
      <c r="C694" s="217">
        <v>230609828</v>
      </c>
      <c r="D694" s="168"/>
      <c r="F694" s="184" t="s">
        <v>121</v>
      </c>
      <c r="G694" s="45" t="s">
        <v>34</v>
      </c>
      <c r="H694" s="45" t="s">
        <v>282</v>
      </c>
      <c r="I694" s="55">
        <v>46251</v>
      </c>
      <c r="J694" s="59">
        <v>46253</v>
      </c>
      <c r="K694" s="59">
        <v>46281</v>
      </c>
      <c r="O694" s="45" t="s">
        <v>222</v>
      </c>
      <c r="R694" s="177"/>
    </row>
    <row r="695" spans="1:18" ht="15" customHeight="1">
      <c r="A695" s="173" t="s">
        <v>281</v>
      </c>
      <c r="B695" s="183"/>
      <c r="C695" s="217">
        <v>230609851</v>
      </c>
      <c r="D695" s="168"/>
      <c r="F695" s="184" t="s">
        <v>121</v>
      </c>
      <c r="G695" s="45" t="s">
        <v>34</v>
      </c>
      <c r="H695" s="45" t="s">
        <v>282</v>
      </c>
      <c r="I695" s="55">
        <v>46251</v>
      </c>
      <c r="J695" s="59">
        <v>46253</v>
      </c>
      <c r="K695" s="59">
        <v>46281</v>
      </c>
      <c r="O695" s="45" t="s">
        <v>222</v>
      </c>
      <c r="R695" s="177"/>
    </row>
    <row r="696" spans="1:18" ht="15" customHeight="1">
      <c r="A696" s="173" t="s">
        <v>281</v>
      </c>
      <c r="B696" s="183"/>
      <c r="C696" s="195">
        <v>230609865</v>
      </c>
      <c r="D696" s="168"/>
      <c r="F696" s="184" t="s">
        <v>121</v>
      </c>
      <c r="G696" s="45" t="s">
        <v>34</v>
      </c>
      <c r="H696" s="45" t="s">
        <v>282</v>
      </c>
      <c r="I696" s="55">
        <v>46251</v>
      </c>
      <c r="J696" s="59">
        <v>46253</v>
      </c>
      <c r="K696" s="59">
        <v>46281</v>
      </c>
      <c r="O696" s="45" t="s">
        <v>222</v>
      </c>
      <c r="R696" s="177"/>
    </row>
    <row r="697" spans="1:18" ht="15" customHeight="1">
      <c r="A697" s="173" t="s">
        <v>283</v>
      </c>
      <c r="B697" s="183"/>
      <c r="C697" s="195">
        <v>230609624</v>
      </c>
      <c r="D697" s="168"/>
      <c r="F697" s="184" t="s">
        <v>121</v>
      </c>
      <c r="G697" s="45" t="s">
        <v>34</v>
      </c>
      <c r="H697" s="45" t="s">
        <v>282</v>
      </c>
      <c r="I697" s="55">
        <v>46251</v>
      </c>
      <c r="J697" s="59">
        <v>46253</v>
      </c>
      <c r="K697" s="59">
        <v>46281</v>
      </c>
      <c r="O697" s="45" t="s">
        <v>222</v>
      </c>
      <c r="R697" s="177"/>
    </row>
    <row r="698" spans="1:18" ht="15" customHeight="1">
      <c r="A698" s="173" t="s">
        <v>283</v>
      </c>
      <c r="B698" s="183"/>
      <c r="C698" s="197">
        <v>230609645</v>
      </c>
      <c r="D698" s="168"/>
      <c r="F698" s="184" t="s">
        <v>121</v>
      </c>
      <c r="G698" s="45" t="s">
        <v>34</v>
      </c>
      <c r="H698" s="45" t="s">
        <v>282</v>
      </c>
      <c r="I698" s="55">
        <v>46251</v>
      </c>
      <c r="J698" s="59">
        <v>46253</v>
      </c>
      <c r="K698" s="59">
        <v>46281</v>
      </c>
      <c r="O698" s="45" t="s">
        <v>222</v>
      </c>
      <c r="R698" s="177"/>
    </row>
    <row r="699" spans="1:18" ht="15" customHeight="1">
      <c r="A699" s="173" t="s">
        <v>283</v>
      </c>
      <c r="B699" s="183"/>
      <c r="C699" s="197">
        <v>230609653</v>
      </c>
      <c r="D699" s="168"/>
      <c r="F699" s="184" t="s">
        <v>121</v>
      </c>
      <c r="G699" s="45" t="s">
        <v>34</v>
      </c>
      <c r="H699" s="45" t="s">
        <v>282</v>
      </c>
      <c r="I699" s="55">
        <v>46251</v>
      </c>
      <c r="J699" s="59">
        <v>46253</v>
      </c>
      <c r="K699" s="59">
        <v>46281</v>
      </c>
      <c r="O699" s="45" t="s">
        <v>222</v>
      </c>
      <c r="R699" s="177"/>
    </row>
    <row r="700" spans="1:18" ht="15" customHeight="1">
      <c r="A700" s="183" t="s">
        <v>283</v>
      </c>
      <c r="B700" s="183"/>
      <c r="C700" s="217">
        <v>230609665</v>
      </c>
      <c r="D700" s="168"/>
      <c r="F700" s="184" t="s">
        <v>121</v>
      </c>
      <c r="G700" s="45" t="s">
        <v>34</v>
      </c>
      <c r="H700" s="45" t="s">
        <v>282</v>
      </c>
      <c r="I700" s="55">
        <v>46251</v>
      </c>
      <c r="J700" s="59">
        <v>46253</v>
      </c>
      <c r="K700" s="59">
        <v>46281</v>
      </c>
      <c r="O700" s="45" t="s">
        <v>222</v>
      </c>
      <c r="R700" s="177"/>
    </row>
    <row r="701" spans="1:18" ht="15" customHeight="1">
      <c r="A701" s="183" t="s">
        <v>283</v>
      </c>
      <c r="B701" s="183"/>
      <c r="C701" s="217">
        <v>230609689</v>
      </c>
      <c r="D701" s="168"/>
      <c r="F701" s="184" t="s">
        <v>121</v>
      </c>
      <c r="G701" s="45" t="s">
        <v>34</v>
      </c>
      <c r="H701" s="45" t="s">
        <v>282</v>
      </c>
      <c r="I701" s="55">
        <v>46251</v>
      </c>
      <c r="J701" s="59">
        <v>46253</v>
      </c>
      <c r="K701" s="59">
        <v>46281</v>
      </c>
      <c r="O701" s="45" t="s">
        <v>222</v>
      </c>
      <c r="R701" s="177"/>
    </row>
    <row r="702" spans="1:18" ht="15" customHeight="1">
      <c r="A702" s="183" t="s">
        <v>284</v>
      </c>
      <c r="B702" s="183"/>
      <c r="C702" s="217">
        <v>229610884</v>
      </c>
      <c r="D702" s="203"/>
      <c r="E702" s="184"/>
      <c r="F702" s="184" t="s">
        <v>121</v>
      </c>
      <c r="G702" s="45" t="s">
        <v>34</v>
      </c>
      <c r="H702" s="45" t="s">
        <v>282</v>
      </c>
      <c r="I702" s="55">
        <v>46251</v>
      </c>
      <c r="J702" s="59">
        <v>46253</v>
      </c>
      <c r="K702" s="59">
        <v>46281</v>
      </c>
      <c r="L702" s="45"/>
      <c r="M702" s="45"/>
      <c r="N702" s="45"/>
      <c r="O702" s="45" t="s">
        <v>222</v>
      </c>
      <c r="P702" s="45"/>
      <c r="Q702" s="185"/>
      <c r="R702" s="186"/>
    </row>
    <row r="703" spans="1:18" ht="15" customHeight="1">
      <c r="A703" s="183" t="s">
        <v>284</v>
      </c>
      <c r="B703" s="183"/>
      <c r="C703" s="217">
        <v>231607534</v>
      </c>
      <c r="D703" s="168"/>
      <c r="F703" s="184" t="s">
        <v>121</v>
      </c>
      <c r="G703" s="45" t="s">
        <v>34</v>
      </c>
      <c r="H703" s="45" t="s">
        <v>282</v>
      </c>
      <c r="I703" s="55">
        <v>46251</v>
      </c>
      <c r="J703" s="59">
        <v>46253</v>
      </c>
      <c r="K703" s="59">
        <v>46281</v>
      </c>
      <c r="O703" s="45" t="s">
        <v>222</v>
      </c>
      <c r="R703" s="177"/>
    </row>
    <row r="704" spans="1:18" ht="15" customHeight="1">
      <c r="A704" s="253" t="s">
        <v>284</v>
      </c>
      <c r="B704" s="183"/>
      <c r="C704" s="217">
        <v>229610851</v>
      </c>
      <c r="D704" s="168"/>
      <c r="F704" s="184" t="s">
        <v>121</v>
      </c>
      <c r="G704" s="45" t="s">
        <v>34</v>
      </c>
      <c r="H704" s="45" t="s">
        <v>282</v>
      </c>
      <c r="I704" s="55">
        <v>46251</v>
      </c>
      <c r="J704" s="59">
        <v>46253</v>
      </c>
      <c r="K704" s="59">
        <v>46281</v>
      </c>
      <c r="O704" s="45" t="s">
        <v>222</v>
      </c>
      <c r="R704" s="177"/>
    </row>
    <row r="705" spans="1:18" ht="15" customHeight="1">
      <c r="A705" s="253" t="s">
        <v>284</v>
      </c>
      <c r="B705" s="183"/>
      <c r="C705" s="195">
        <v>231607511</v>
      </c>
      <c r="D705" s="168"/>
      <c r="F705" s="184" t="s">
        <v>121</v>
      </c>
      <c r="G705" s="45" t="s">
        <v>34</v>
      </c>
      <c r="H705" s="45" t="s">
        <v>282</v>
      </c>
      <c r="I705" s="55">
        <v>46251</v>
      </c>
      <c r="J705" s="59">
        <v>46253</v>
      </c>
      <c r="K705" s="59">
        <v>46281</v>
      </c>
      <c r="O705" s="45" t="s">
        <v>222</v>
      </c>
      <c r="R705" s="177"/>
    </row>
    <row r="706" spans="1:18" ht="15" customHeight="1">
      <c r="A706" s="253" t="s">
        <v>284</v>
      </c>
      <c r="B706" s="183"/>
      <c r="C706" s="195">
        <v>229610829</v>
      </c>
      <c r="D706" s="168"/>
      <c r="F706" s="184" t="s">
        <v>121</v>
      </c>
      <c r="G706" s="45" t="s">
        <v>34</v>
      </c>
      <c r="H706" s="45" t="s">
        <v>282</v>
      </c>
      <c r="I706" s="55">
        <v>46251</v>
      </c>
      <c r="J706" s="59">
        <v>46253</v>
      </c>
      <c r="K706" s="59">
        <v>46281</v>
      </c>
      <c r="O706" s="45" t="s">
        <v>222</v>
      </c>
      <c r="R706" s="177"/>
    </row>
    <row r="707" spans="1:18" ht="15" customHeight="1">
      <c r="A707" s="253" t="s">
        <v>284</v>
      </c>
      <c r="B707" s="183"/>
      <c r="C707" s="197">
        <v>229610822</v>
      </c>
      <c r="D707" s="168"/>
      <c r="F707" s="184" t="s">
        <v>121</v>
      </c>
      <c r="G707" s="45" t="s">
        <v>34</v>
      </c>
      <c r="H707" s="45" t="s">
        <v>282</v>
      </c>
      <c r="I707" s="55">
        <v>46251</v>
      </c>
      <c r="J707" s="59">
        <v>46253</v>
      </c>
      <c r="K707" s="59">
        <v>46281</v>
      </c>
      <c r="O707" s="45" t="s">
        <v>222</v>
      </c>
      <c r="R70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285</v>
      </c>
      <c r="B2" s="14">
        <v>56506013</v>
      </c>
      <c r="C2" s="14" t="s">
        <v>286</v>
      </c>
      <c r="D2" s="20">
        <v>45716</v>
      </c>
      <c r="E2" s="72" t="s">
        <v>287</v>
      </c>
    </row>
    <row r="3" spans="1:6">
      <c r="A3" s="14" t="s">
        <v>285</v>
      </c>
      <c r="B3" s="14">
        <v>56506218</v>
      </c>
      <c r="C3" s="14" t="s">
        <v>286</v>
      </c>
      <c r="D3" s="20">
        <v>45716</v>
      </c>
      <c r="E3" s="72" t="s">
        <v>287</v>
      </c>
    </row>
    <row r="4" spans="1:6">
      <c r="A4" s="14" t="s">
        <v>288</v>
      </c>
      <c r="B4" s="14">
        <v>56506367</v>
      </c>
      <c r="C4" s="14" t="s">
        <v>286</v>
      </c>
      <c r="D4" s="20">
        <v>45716</v>
      </c>
      <c r="E4" s="72" t="s">
        <v>287</v>
      </c>
    </row>
    <row r="5" spans="1:6">
      <c r="A5" s="14" t="s">
        <v>289</v>
      </c>
      <c r="B5" s="14">
        <v>56506513</v>
      </c>
      <c r="C5" s="14" t="s">
        <v>286</v>
      </c>
      <c r="D5" s="20">
        <v>45716</v>
      </c>
      <c r="E5" s="72" t="s">
        <v>287</v>
      </c>
    </row>
    <row r="6" spans="1:6">
      <c r="A6" s="14" t="s">
        <v>289</v>
      </c>
      <c r="B6" s="14">
        <v>56506567</v>
      </c>
      <c r="C6" s="14" t="s">
        <v>286</v>
      </c>
      <c r="D6" s="20">
        <v>45716</v>
      </c>
      <c r="E6" s="72" t="s">
        <v>287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290</v>
      </c>
      <c r="B2" s="10">
        <v>10507009</v>
      </c>
      <c r="C2" s="10" t="s">
        <v>36</v>
      </c>
      <c r="D2" s="9">
        <v>45658</v>
      </c>
      <c r="E2" s="10" t="s">
        <v>291</v>
      </c>
      <c r="F2" s="8"/>
    </row>
    <row r="3" spans="1:6" ht="39.75" customHeight="1">
      <c r="A3" s="12" t="s">
        <v>290</v>
      </c>
      <c r="B3" s="10">
        <v>10507037</v>
      </c>
      <c r="C3" s="10" t="s">
        <v>36</v>
      </c>
      <c r="D3" s="9">
        <v>45658</v>
      </c>
      <c r="E3" s="10" t="s">
        <v>291</v>
      </c>
      <c r="F3" s="10"/>
    </row>
    <row r="4" spans="1:6" ht="39.75" customHeight="1">
      <c r="A4" s="12" t="s">
        <v>290</v>
      </c>
      <c r="B4" s="10">
        <v>10507027</v>
      </c>
      <c r="C4" s="10" t="s">
        <v>36</v>
      </c>
      <c r="D4" s="9">
        <v>45658</v>
      </c>
      <c r="E4" s="10" t="s">
        <v>291</v>
      </c>
      <c r="F4" s="10"/>
    </row>
    <row r="5" spans="1:6" ht="39.75" customHeight="1">
      <c r="A5" s="12" t="s">
        <v>290</v>
      </c>
      <c r="B5" s="10">
        <v>10507008</v>
      </c>
      <c r="C5" s="10" t="s">
        <v>36</v>
      </c>
      <c r="D5" s="9">
        <v>45658</v>
      </c>
      <c r="E5" s="10" t="s">
        <v>291</v>
      </c>
      <c r="F5" s="10"/>
    </row>
    <row r="6" spans="1:6" ht="39.75" customHeight="1">
      <c r="A6" s="12" t="s">
        <v>290</v>
      </c>
      <c r="B6" s="10">
        <v>10507102</v>
      </c>
      <c r="C6" s="10" t="s">
        <v>36</v>
      </c>
      <c r="D6" s="9">
        <v>45658</v>
      </c>
      <c r="E6" s="10" t="s">
        <v>291</v>
      </c>
      <c r="F6" s="10"/>
    </row>
    <row r="7" spans="1:6" ht="39.75" customHeight="1">
      <c r="A7" s="12" t="s">
        <v>290</v>
      </c>
      <c r="B7" s="10">
        <v>10507007</v>
      </c>
      <c r="C7" s="10" t="s">
        <v>36</v>
      </c>
      <c r="D7" s="9">
        <v>45658</v>
      </c>
      <c r="E7" s="10" t="s">
        <v>291</v>
      </c>
      <c r="F7" s="10"/>
    </row>
    <row r="8" spans="1:6" ht="39.75" customHeight="1">
      <c r="A8" s="12" t="s">
        <v>290</v>
      </c>
      <c r="B8" s="10">
        <v>10507014</v>
      </c>
      <c r="C8" s="10" t="s">
        <v>36</v>
      </c>
      <c r="D8" s="9">
        <v>45658</v>
      </c>
      <c r="E8" s="10" t="s">
        <v>291</v>
      </c>
      <c r="F8" s="10"/>
    </row>
    <row r="9" spans="1:6" ht="39.75" customHeight="1">
      <c r="A9" s="12" t="s">
        <v>290</v>
      </c>
      <c r="B9" s="10">
        <v>9504725</v>
      </c>
      <c r="C9" s="10" t="s">
        <v>36</v>
      </c>
      <c r="D9" s="9">
        <v>45666</v>
      </c>
      <c r="E9" s="13" t="s">
        <v>292</v>
      </c>
      <c r="F9" s="13" t="s">
        <v>293</v>
      </c>
    </row>
    <row r="10" spans="1:6" ht="39.75" customHeight="1">
      <c r="A10" s="12" t="s">
        <v>290</v>
      </c>
      <c r="B10" s="10">
        <v>9502380</v>
      </c>
      <c r="C10" s="10" t="s">
        <v>36</v>
      </c>
      <c r="D10" s="9">
        <v>45666</v>
      </c>
      <c r="E10" s="13" t="s">
        <v>292</v>
      </c>
      <c r="F10" s="13" t="s">
        <v>294</v>
      </c>
    </row>
    <row r="11" spans="1:6" ht="39.75" customHeight="1">
      <c r="A11" s="12" t="s">
        <v>290</v>
      </c>
      <c r="B11" s="10">
        <v>9501187</v>
      </c>
      <c r="C11" s="10" t="s">
        <v>36</v>
      </c>
      <c r="D11" s="9">
        <v>45666</v>
      </c>
      <c r="E11" s="13" t="s">
        <v>292</v>
      </c>
      <c r="F11" s="13" t="s">
        <v>295</v>
      </c>
    </row>
    <row r="12" spans="1:6" ht="39.75" customHeight="1">
      <c r="A12" s="12" t="s">
        <v>290</v>
      </c>
      <c r="B12" s="10">
        <v>10507009</v>
      </c>
      <c r="C12" s="10" t="s">
        <v>36</v>
      </c>
      <c r="D12" s="9">
        <v>45667</v>
      </c>
      <c r="E12" s="10" t="s">
        <v>291</v>
      </c>
      <c r="F12" s="10" t="s">
        <v>296</v>
      </c>
    </row>
    <row r="13" spans="1:6" ht="39.75" customHeight="1">
      <c r="A13" s="12" t="s">
        <v>290</v>
      </c>
      <c r="B13" s="10">
        <v>10507014</v>
      </c>
      <c r="C13" s="10" t="s">
        <v>36</v>
      </c>
      <c r="D13" s="9">
        <v>45667</v>
      </c>
      <c r="E13" s="10" t="s">
        <v>291</v>
      </c>
      <c r="F13" s="10" t="s">
        <v>296</v>
      </c>
    </row>
    <row r="14" spans="1:6" ht="39.75" customHeight="1">
      <c r="A14" s="12" t="s">
        <v>290</v>
      </c>
      <c r="B14" s="10">
        <v>10507027</v>
      </c>
      <c r="C14" s="10" t="s">
        <v>36</v>
      </c>
      <c r="D14" s="9">
        <v>45667</v>
      </c>
      <c r="E14" s="10" t="s">
        <v>291</v>
      </c>
      <c r="F14" s="10" t="s">
        <v>296</v>
      </c>
    </row>
    <row r="15" spans="1:6" ht="39.75" customHeight="1">
      <c r="A15" s="12" t="s">
        <v>290</v>
      </c>
      <c r="B15" s="10">
        <v>10507008</v>
      </c>
      <c r="C15" s="10" t="s">
        <v>36</v>
      </c>
      <c r="D15" s="9">
        <v>45667</v>
      </c>
      <c r="E15" s="10" t="s">
        <v>291</v>
      </c>
      <c r="F15" s="10" t="s">
        <v>296</v>
      </c>
    </row>
    <row r="16" spans="1:6" ht="39.75" customHeight="1">
      <c r="A16" s="12" t="s">
        <v>290</v>
      </c>
      <c r="B16" s="10">
        <v>10507003</v>
      </c>
      <c r="C16" s="10" t="s">
        <v>36</v>
      </c>
      <c r="D16" s="9">
        <v>45667</v>
      </c>
      <c r="E16" s="10" t="s">
        <v>291</v>
      </c>
      <c r="F16" s="10" t="s">
        <v>296</v>
      </c>
    </row>
    <row r="17" spans="1:6" ht="39.75" customHeight="1">
      <c r="A17" s="12" t="s">
        <v>290</v>
      </c>
      <c r="B17" s="10">
        <v>8509919</v>
      </c>
      <c r="C17" s="10" t="s">
        <v>36</v>
      </c>
      <c r="D17" s="9">
        <v>45668</v>
      </c>
      <c r="E17" s="13" t="s">
        <v>292</v>
      </c>
      <c r="F17" s="13" t="s">
        <v>297</v>
      </c>
    </row>
    <row r="18" spans="1:6" ht="39.75" customHeight="1">
      <c r="A18" s="12" t="s">
        <v>290</v>
      </c>
      <c r="B18" s="10">
        <v>8509573</v>
      </c>
      <c r="C18" s="10" t="s">
        <v>36</v>
      </c>
      <c r="D18" s="9">
        <v>45668</v>
      </c>
      <c r="E18" s="13" t="s">
        <v>292</v>
      </c>
      <c r="F18" s="13" t="s">
        <v>298</v>
      </c>
    </row>
    <row r="19" spans="1:6" ht="39.75" customHeight="1">
      <c r="A19" s="12" t="s">
        <v>290</v>
      </c>
      <c r="B19" s="10">
        <v>14509553</v>
      </c>
      <c r="C19" s="10" t="s">
        <v>36</v>
      </c>
      <c r="D19" s="9">
        <v>45671</v>
      </c>
      <c r="E19" s="13" t="s">
        <v>292</v>
      </c>
      <c r="F19" s="13" t="s">
        <v>299</v>
      </c>
    </row>
    <row r="20" spans="1:6" ht="39.75" customHeight="1">
      <c r="A20" s="12" t="s">
        <v>290</v>
      </c>
      <c r="B20" s="10">
        <v>14509533</v>
      </c>
      <c r="C20" s="10" t="s">
        <v>36</v>
      </c>
      <c r="D20" s="9">
        <v>45671</v>
      </c>
      <c r="E20" s="13" t="s">
        <v>292</v>
      </c>
      <c r="F20" s="13" t="s">
        <v>300</v>
      </c>
    </row>
    <row r="21" spans="1:6" ht="39.75" customHeight="1">
      <c r="A21" s="12" t="s">
        <v>290</v>
      </c>
      <c r="B21" s="10">
        <v>14509506</v>
      </c>
      <c r="C21" s="10" t="s">
        <v>36</v>
      </c>
      <c r="D21" s="9">
        <v>45671</v>
      </c>
      <c r="E21" s="13" t="s">
        <v>292</v>
      </c>
      <c r="F21" s="13" t="s">
        <v>301</v>
      </c>
    </row>
    <row r="22" spans="1:6" ht="39.75" customHeight="1">
      <c r="A22" s="12" t="s">
        <v>290</v>
      </c>
      <c r="B22" s="10">
        <v>14509481</v>
      </c>
      <c r="C22" s="10" t="s">
        <v>36</v>
      </c>
      <c r="D22" s="9">
        <v>45671</v>
      </c>
      <c r="E22" s="13" t="s">
        <v>292</v>
      </c>
      <c r="F22" s="13" t="s">
        <v>302</v>
      </c>
    </row>
    <row r="23" spans="1:6" ht="39.75" customHeight="1">
      <c r="A23" s="12" t="s">
        <v>290</v>
      </c>
      <c r="B23" s="10">
        <v>9504332</v>
      </c>
      <c r="C23" s="10" t="s">
        <v>36</v>
      </c>
      <c r="D23" s="9">
        <v>45671</v>
      </c>
      <c r="E23" s="13" t="s">
        <v>292</v>
      </c>
      <c r="F23" s="13" t="s">
        <v>303</v>
      </c>
    </row>
    <row r="24" spans="1:6" ht="39.75" customHeight="1">
      <c r="A24" s="12" t="s">
        <v>290</v>
      </c>
      <c r="B24" s="10">
        <v>14509608</v>
      </c>
      <c r="C24" s="10" t="s">
        <v>36</v>
      </c>
      <c r="D24" s="9">
        <v>45671</v>
      </c>
      <c r="E24" s="13" t="s">
        <v>292</v>
      </c>
      <c r="F24" s="13" t="s">
        <v>304</v>
      </c>
    </row>
    <row r="25" spans="1:6" ht="39.75" customHeight="1">
      <c r="A25" s="12" t="s">
        <v>290</v>
      </c>
      <c r="B25" s="10">
        <v>14509573</v>
      </c>
      <c r="C25" s="10" t="s">
        <v>36</v>
      </c>
      <c r="D25" s="9">
        <v>45671</v>
      </c>
      <c r="E25" s="13" t="s">
        <v>292</v>
      </c>
      <c r="F25" s="13" t="s">
        <v>305</v>
      </c>
    </row>
    <row r="26" spans="1:6" ht="39.75" customHeight="1">
      <c r="A26" s="12" t="s">
        <v>290</v>
      </c>
      <c r="B26" s="10">
        <v>14509450</v>
      </c>
      <c r="C26" s="10" t="s">
        <v>36</v>
      </c>
      <c r="D26" s="9">
        <v>45671</v>
      </c>
      <c r="E26" s="13" t="s">
        <v>292</v>
      </c>
      <c r="F26" s="13" t="s">
        <v>306</v>
      </c>
    </row>
    <row r="27" spans="1:6" ht="39.75" customHeight="1">
      <c r="A27" s="10" t="s">
        <v>290</v>
      </c>
      <c r="B27" s="10">
        <v>17507042</v>
      </c>
      <c r="C27" s="10" t="s">
        <v>307</v>
      </c>
      <c r="D27" s="9">
        <v>45674</v>
      </c>
      <c r="E27" s="10" t="s">
        <v>308</v>
      </c>
      <c r="F27" s="10"/>
    </row>
    <row r="28" spans="1:6" ht="39.75" customHeight="1">
      <c r="A28" s="10" t="s">
        <v>290</v>
      </c>
      <c r="B28" s="10">
        <v>17507045</v>
      </c>
      <c r="C28" s="10" t="s">
        <v>307</v>
      </c>
      <c r="D28" s="9">
        <v>45674</v>
      </c>
      <c r="E28" s="10" t="s">
        <v>308</v>
      </c>
      <c r="F28" s="10"/>
    </row>
    <row r="29" spans="1:6" ht="39.75" customHeight="1">
      <c r="A29" s="10" t="s">
        <v>290</v>
      </c>
      <c r="B29" s="10">
        <v>17507052</v>
      </c>
      <c r="C29" s="10" t="s">
        <v>307</v>
      </c>
      <c r="D29" s="9">
        <v>45674</v>
      </c>
      <c r="E29" s="10" t="s">
        <v>308</v>
      </c>
      <c r="F29" s="10"/>
    </row>
    <row r="30" spans="1:6" ht="39.75" customHeight="1">
      <c r="A30" s="10" t="s">
        <v>290</v>
      </c>
      <c r="B30" s="10">
        <v>17507041</v>
      </c>
      <c r="C30" s="10" t="s">
        <v>307</v>
      </c>
      <c r="D30" s="9">
        <v>45674</v>
      </c>
      <c r="E30" s="10" t="s">
        <v>308</v>
      </c>
      <c r="F30" s="10"/>
    </row>
    <row r="31" spans="1:6" ht="39.75" customHeight="1">
      <c r="A31" s="10" t="s">
        <v>290</v>
      </c>
      <c r="B31" s="10">
        <v>17507047</v>
      </c>
      <c r="C31" s="10" t="s">
        <v>307</v>
      </c>
      <c r="D31" s="9">
        <v>45674</v>
      </c>
      <c r="E31" s="10" t="s">
        <v>308</v>
      </c>
      <c r="F31" s="10"/>
    </row>
    <row r="32" spans="1:6" ht="39.75" customHeight="1">
      <c r="A32" s="10" t="s">
        <v>290</v>
      </c>
      <c r="B32" s="10">
        <v>17507044</v>
      </c>
      <c r="C32" s="10" t="s">
        <v>307</v>
      </c>
      <c r="D32" s="9">
        <v>45674</v>
      </c>
      <c r="E32" s="10" t="s">
        <v>308</v>
      </c>
      <c r="F32" s="10"/>
    </row>
    <row r="33" spans="1:6" ht="39.75" customHeight="1">
      <c r="A33" s="10" t="s">
        <v>290</v>
      </c>
      <c r="B33" s="10">
        <v>18500390</v>
      </c>
      <c r="C33" s="10" t="s">
        <v>307</v>
      </c>
      <c r="D33" s="9">
        <v>45674</v>
      </c>
      <c r="E33" s="10" t="s">
        <v>308</v>
      </c>
      <c r="F33" s="10"/>
    </row>
    <row r="34" spans="1:6" ht="39.75" customHeight="1">
      <c r="A34" s="10" t="s">
        <v>290</v>
      </c>
      <c r="B34" s="10">
        <v>18500398</v>
      </c>
      <c r="C34" s="10" t="s">
        <v>307</v>
      </c>
      <c r="D34" s="9">
        <v>45674</v>
      </c>
      <c r="E34" s="10" t="s">
        <v>308</v>
      </c>
      <c r="F34" s="10"/>
    </row>
    <row r="35" spans="1:6" ht="39.75" customHeight="1">
      <c r="A35" s="10" t="s">
        <v>290</v>
      </c>
      <c r="B35" s="10">
        <v>18500403</v>
      </c>
      <c r="C35" s="10" t="s">
        <v>307</v>
      </c>
      <c r="D35" s="9">
        <v>45674</v>
      </c>
      <c r="E35" s="10" t="s">
        <v>308</v>
      </c>
      <c r="F35" s="10"/>
    </row>
    <row r="36" spans="1:6" ht="39.75" customHeight="1">
      <c r="A36" s="10" t="s">
        <v>309</v>
      </c>
      <c r="B36" s="10">
        <v>18500300</v>
      </c>
      <c r="C36" s="10" t="s">
        <v>307</v>
      </c>
      <c r="D36" s="9">
        <v>45675</v>
      </c>
      <c r="E36" s="10" t="s">
        <v>292</v>
      </c>
      <c r="F36" s="10"/>
    </row>
    <row r="37" spans="1:6" ht="39.75" customHeight="1">
      <c r="A37" s="10" t="s">
        <v>309</v>
      </c>
      <c r="B37" s="10">
        <v>18500282</v>
      </c>
      <c r="C37" s="10" t="s">
        <v>307</v>
      </c>
      <c r="D37" s="9">
        <v>45675</v>
      </c>
      <c r="E37" s="10" t="s">
        <v>292</v>
      </c>
      <c r="F37" s="10"/>
    </row>
    <row r="38" spans="1:6" ht="39.75" customHeight="1">
      <c r="A38" s="10" t="s">
        <v>309</v>
      </c>
      <c r="B38" s="10">
        <v>18500294</v>
      </c>
      <c r="C38" s="10" t="s">
        <v>307</v>
      </c>
      <c r="D38" s="9">
        <v>45675</v>
      </c>
      <c r="E38" s="10" t="s">
        <v>292</v>
      </c>
      <c r="F38" s="10"/>
    </row>
    <row r="39" spans="1:6" ht="39.75" customHeight="1">
      <c r="A39" s="10" t="s">
        <v>309</v>
      </c>
      <c r="B39" s="10">
        <v>18500272</v>
      </c>
      <c r="C39" s="10" t="s">
        <v>307</v>
      </c>
      <c r="D39" s="9">
        <v>45675</v>
      </c>
      <c r="E39" s="10" t="s">
        <v>292</v>
      </c>
      <c r="F39" s="10"/>
    </row>
    <row r="40" spans="1:6" ht="39.75" customHeight="1">
      <c r="A40" s="10" t="s">
        <v>309</v>
      </c>
      <c r="B40" s="10">
        <v>18500276</v>
      </c>
      <c r="C40" s="10" t="s">
        <v>307</v>
      </c>
      <c r="D40" s="9">
        <v>45675</v>
      </c>
      <c r="E40" s="10" t="s">
        <v>292</v>
      </c>
      <c r="F40" s="10"/>
    </row>
    <row r="41" spans="1:6" ht="39.75" customHeight="1">
      <c r="A41" s="10" t="s">
        <v>310</v>
      </c>
      <c r="B41" s="10">
        <v>18500450</v>
      </c>
      <c r="C41" s="10" t="s">
        <v>307</v>
      </c>
      <c r="D41" s="9">
        <v>45675</v>
      </c>
      <c r="E41" s="10" t="s">
        <v>292</v>
      </c>
      <c r="F41" s="10"/>
    </row>
    <row r="42" spans="1:6" ht="39.75" customHeight="1">
      <c r="A42" s="10" t="s">
        <v>310</v>
      </c>
      <c r="B42" s="10">
        <v>18500435</v>
      </c>
      <c r="C42" s="10" t="s">
        <v>307</v>
      </c>
      <c r="D42" s="9">
        <v>45675</v>
      </c>
      <c r="E42" s="10" t="s">
        <v>292</v>
      </c>
      <c r="F42" s="10"/>
    </row>
    <row r="43" spans="1:6" ht="39.75" customHeight="1">
      <c r="A43" s="10" t="s">
        <v>310</v>
      </c>
      <c r="B43" s="10">
        <v>18500418</v>
      </c>
      <c r="C43" s="10" t="s">
        <v>307</v>
      </c>
      <c r="D43" s="9">
        <v>45675</v>
      </c>
      <c r="E43" s="10" t="s">
        <v>292</v>
      </c>
      <c r="F43" s="10"/>
    </row>
    <row r="44" spans="1:6" ht="39.75" customHeight="1">
      <c r="A44" s="10" t="s">
        <v>310</v>
      </c>
      <c r="B44" s="10">
        <v>18500457</v>
      </c>
      <c r="C44" s="10" t="s">
        <v>307</v>
      </c>
      <c r="D44" s="9">
        <v>45675</v>
      </c>
      <c r="E44" s="10" t="s">
        <v>292</v>
      </c>
      <c r="F44" s="10"/>
    </row>
    <row r="45" spans="1:6" ht="39.75" customHeight="1">
      <c r="A45" s="10" t="s">
        <v>290</v>
      </c>
      <c r="B45" s="10">
        <v>18500404</v>
      </c>
      <c r="C45" s="10" t="s">
        <v>307</v>
      </c>
      <c r="D45" s="9">
        <v>45675</v>
      </c>
      <c r="E45" s="10" t="s">
        <v>308</v>
      </c>
      <c r="F45" s="10"/>
    </row>
    <row r="46" spans="1:6" ht="39.75" customHeight="1">
      <c r="A46" s="10" t="s">
        <v>290</v>
      </c>
      <c r="B46" s="10">
        <v>18500420</v>
      </c>
      <c r="C46" s="10" t="s">
        <v>307</v>
      </c>
      <c r="D46" s="9">
        <v>45675</v>
      </c>
      <c r="E46" s="10" t="s">
        <v>308</v>
      </c>
      <c r="F46" s="10"/>
    </row>
    <row r="47" spans="1:6" ht="39.75" customHeight="1">
      <c r="A47" s="10" t="s">
        <v>290</v>
      </c>
      <c r="B47" s="10">
        <v>18500460</v>
      </c>
      <c r="C47" s="10" t="s">
        <v>307</v>
      </c>
      <c r="D47" s="9">
        <v>45675</v>
      </c>
      <c r="E47" s="10" t="s">
        <v>308</v>
      </c>
      <c r="F47" s="10"/>
    </row>
    <row r="48" spans="1:6" ht="39.75" customHeight="1">
      <c r="A48" s="10" t="s">
        <v>290</v>
      </c>
      <c r="B48" s="10">
        <v>18500464</v>
      </c>
      <c r="C48" s="10" t="s">
        <v>307</v>
      </c>
      <c r="D48" s="9">
        <v>45675</v>
      </c>
      <c r="E48" s="10" t="s">
        <v>308</v>
      </c>
      <c r="F48" s="10"/>
    </row>
    <row r="49" spans="1:6" ht="39.75" customHeight="1">
      <c r="A49" s="10" t="s">
        <v>290</v>
      </c>
      <c r="B49" s="10">
        <v>18500456</v>
      </c>
      <c r="C49" s="10" t="s">
        <v>307</v>
      </c>
      <c r="D49" s="9">
        <v>45675</v>
      </c>
      <c r="E49" s="10" t="s">
        <v>308</v>
      </c>
      <c r="F49" s="10"/>
    </row>
    <row r="50" spans="1:6" ht="39.75" customHeight="1">
      <c r="A50" s="10" t="s">
        <v>311</v>
      </c>
      <c r="B50" s="10">
        <v>18500500</v>
      </c>
      <c r="C50" s="10" t="s">
        <v>307</v>
      </c>
      <c r="D50" s="9">
        <v>45675</v>
      </c>
      <c r="E50" s="10" t="s">
        <v>308</v>
      </c>
      <c r="F50" s="10"/>
    </row>
    <row r="51" spans="1:6" ht="39.75" customHeight="1">
      <c r="A51" s="10" t="s">
        <v>311</v>
      </c>
      <c r="B51" s="10">
        <v>18500497</v>
      </c>
      <c r="C51" s="10" t="s">
        <v>307</v>
      </c>
      <c r="D51" s="9">
        <v>45675</v>
      </c>
      <c r="E51" s="10" t="s">
        <v>308</v>
      </c>
      <c r="F51" s="10"/>
    </row>
    <row r="52" spans="1:6" ht="39.75" customHeight="1">
      <c r="A52" s="10" t="s">
        <v>311</v>
      </c>
      <c r="B52" s="10">
        <v>18500494</v>
      </c>
      <c r="C52" s="10" t="s">
        <v>307</v>
      </c>
      <c r="D52" s="9">
        <v>45675</v>
      </c>
      <c r="E52" s="10" t="s">
        <v>308</v>
      </c>
      <c r="F52" s="10"/>
    </row>
    <row r="53" spans="1:6" ht="39.75" customHeight="1">
      <c r="A53" s="10" t="s">
        <v>311</v>
      </c>
      <c r="B53" s="10">
        <v>18500492</v>
      </c>
      <c r="C53" s="10" t="s">
        <v>307</v>
      </c>
      <c r="D53" s="9">
        <v>45675</v>
      </c>
      <c r="E53" s="10" t="s">
        <v>308</v>
      </c>
      <c r="F53" s="10"/>
    </row>
    <row r="54" spans="1:6" ht="39.75" customHeight="1">
      <c r="A54" s="10" t="s">
        <v>311</v>
      </c>
      <c r="B54" s="10">
        <v>18500484</v>
      </c>
      <c r="C54" s="10" t="s">
        <v>307</v>
      </c>
      <c r="D54" s="9">
        <v>45675</v>
      </c>
      <c r="E54" s="10" t="s">
        <v>308</v>
      </c>
      <c r="F54" s="10"/>
    </row>
    <row r="55" spans="1:6" ht="39.75" customHeight="1">
      <c r="A55" s="10" t="s">
        <v>311</v>
      </c>
      <c r="B55" s="10">
        <v>18500512</v>
      </c>
      <c r="C55" s="10" t="s">
        <v>307</v>
      </c>
      <c r="D55" s="9">
        <v>45675</v>
      </c>
      <c r="E55" s="10" t="s">
        <v>308</v>
      </c>
      <c r="F55" s="10"/>
    </row>
    <row r="56" spans="1:6" ht="39.75" customHeight="1">
      <c r="A56" s="10" t="s">
        <v>311</v>
      </c>
      <c r="B56" s="10">
        <v>18500511</v>
      </c>
      <c r="C56" s="10" t="s">
        <v>307</v>
      </c>
      <c r="D56" s="9">
        <v>45675</v>
      </c>
      <c r="E56" s="10" t="s">
        <v>308</v>
      </c>
      <c r="F56" s="10"/>
    </row>
    <row r="57" spans="1:6" ht="39.75" customHeight="1">
      <c r="A57" s="10" t="s">
        <v>311</v>
      </c>
      <c r="B57" s="10">
        <v>18500510</v>
      </c>
      <c r="C57" s="10" t="s">
        <v>307</v>
      </c>
      <c r="D57" s="9">
        <v>45675</v>
      </c>
      <c r="E57" s="10" t="s">
        <v>308</v>
      </c>
      <c r="F57" s="10"/>
    </row>
    <row r="58" spans="1:6" ht="39.75" customHeight="1">
      <c r="A58" s="10" t="s">
        <v>311</v>
      </c>
      <c r="B58" s="10">
        <v>18500507</v>
      </c>
      <c r="C58" s="10" t="s">
        <v>307</v>
      </c>
      <c r="D58" s="9">
        <v>45675</v>
      </c>
      <c r="E58" s="10" t="s">
        <v>308</v>
      </c>
      <c r="F58" s="10"/>
    </row>
    <row r="59" spans="1:6" ht="39.75" customHeight="1">
      <c r="A59" s="12" t="s">
        <v>312</v>
      </c>
      <c r="B59" s="10">
        <v>21507573</v>
      </c>
      <c r="C59" s="10" t="s">
        <v>313</v>
      </c>
      <c r="D59" s="9">
        <v>45679</v>
      </c>
      <c r="E59" s="10" t="s">
        <v>292</v>
      </c>
      <c r="F59" s="10"/>
    </row>
    <row r="60" spans="1:6" ht="39.75" customHeight="1">
      <c r="A60" s="12" t="s">
        <v>312</v>
      </c>
      <c r="B60" s="10">
        <v>21507579</v>
      </c>
      <c r="C60" s="10" t="s">
        <v>313</v>
      </c>
      <c r="D60" s="9">
        <v>45679</v>
      </c>
      <c r="E60" s="10" t="s">
        <v>292</v>
      </c>
      <c r="F60" s="10"/>
    </row>
    <row r="61" spans="1:6" ht="39.75" customHeight="1">
      <c r="A61" s="12" t="s">
        <v>312</v>
      </c>
      <c r="B61" s="10">
        <v>21507599</v>
      </c>
      <c r="C61" s="10" t="s">
        <v>313</v>
      </c>
      <c r="D61" s="9">
        <v>45679</v>
      </c>
      <c r="E61" s="10" t="s">
        <v>292</v>
      </c>
      <c r="F61" s="10"/>
    </row>
    <row r="62" spans="1:6" ht="39.75" customHeight="1">
      <c r="A62" s="12" t="s">
        <v>312</v>
      </c>
      <c r="B62" s="10">
        <v>22500644</v>
      </c>
      <c r="C62" s="10" t="s">
        <v>313</v>
      </c>
      <c r="D62" s="9">
        <v>45679</v>
      </c>
      <c r="E62" s="10" t="s">
        <v>292</v>
      </c>
      <c r="F62" s="10"/>
    </row>
    <row r="63" spans="1:6" ht="39.75" customHeight="1">
      <c r="A63" s="12" t="s">
        <v>309</v>
      </c>
      <c r="B63" s="10">
        <v>21507602</v>
      </c>
      <c r="C63" s="10" t="s">
        <v>313</v>
      </c>
      <c r="D63" s="9">
        <v>45679</v>
      </c>
      <c r="E63" s="10" t="s">
        <v>314</v>
      </c>
      <c r="F63" s="10"/>
    </row>
    <row r="64" spans="1:6" ht="39.75" customHeight="1">
      <c r="A64" s="12" t="s">
        <v>309</v>
      </c>
      <c r="B64" s="10">
        <v>22500600</v>
      </c>
      <c r="C64" s="10" t="s">
        <v>313</v>
      </c>
      <c r="D64" s="9">
        <v>45679</v>
      </c>
      <c r="E64" s="10" t="s">
        <v>314</v>
      </c>
      <c r="F64" s="10"/>
    </row>
    <row r="65" spans="1:6" ht="39.75" customHeight="1">
      <c r="A65" s="12" t="s">
        <v>309</v>
      </c>
      <c r="B65" s="10">
        <v>22500667</v>
      </c>
      <c r="C65" s="10" t="s">
        <v>313</v>
      </c>
      <c r="D65" s="9">
        <v>45679</v>
      </c>
      <c r="E65" s="10" t="s">
        <v>314</v>
      </c>
      <c r="F65" s="10"/>
    </row>
    <row r="66" spans="1:6" ht="39.75" customHeight="1">
      <c r="A66" s="12" t="s">
        <v>309</v>
      </c>
      <c r="B66" s="10">
        <v>22500718</v>
      </c>
      <c r="C66" s="10" t="s">
        <v>313</v>
      </c>
      <c r="D66" s="9">
        <v>45679</v>
      </c>
      <c r="E66" s="10" t="s">
        <v>314</v>
      </c>
      <c r="F66" s="10"/>
    </row>
    <row r="67" spans="1:6" ht="39.75" customHeight="1">
      <c r="A67" s="12" t="s">
        <v>290</v>
      </c>
      <c r="B67" s="14">
        <v>23507043</v>
      </c>
      <c r="C67" s="10" t="s">
        <v>313</v>
      </c>
      <c r="D67" s="9">
        <v>45680</v>
      </c>
      <c r="E67" s="10" t="s">
        <v>314</v>
      </c>
      <c r="F67" s="10"/>
    </row>
    <row r="68" spans="1:6" ht="39.75" customHeight="1">
      <c r="A68" s="12" t="s">
        <v>290</v>
      </c>
      <c r="B68" s="14">
        <v>23507048</v>
      </c>
      <c r="C68" s="10" t="s">
        <v>313</v>
      </c>
      <c r="D68" s="9">
        <v>45680</v>
      </c>
      <c r="E68" s="10" t="s">
        <v>314</v>
      </c>
      <c r="F68" s="10"/>
    </row>
    <row r="69" spans="1:6" ht="39.75" customHeight="1">
      <c r="A69" s="12" t="s">
        <v>290</v>
      </c>
      <c r="B69" s="14">
        <v>23507056</v>
      </c>
      <c r="C69" s="10" t="s">
        <v>313</v>
      </c>
      <c r="D69" s="9">
        <v>45680</v>
      </c>
      <c r="E69" s="10" t="s">
        <v>314</v>
      </c>
      <c r="F69" s="10"/>
    </row>
    <row r="70" spans="1:6" ht="39.75" customHeight="1">
      <c r="A70" s="12" t="s">
        <v>290</v>
      </c>
      <c r="B70" s="14">
        <v>23507059</v>
      </c>
      <c r="C70" s="10" t="s">
        <v>313</v>
      </c>
      <c r="D70" s="9">
        <v>45680</v>
      </c>
      <c r="E70" s="10" t="s">
        <v>314</v>
      </c>
      <c r="F70" s="10"/>
    </row>
    <row r="71" spans="1:6" ht="39.75" customHeight="1">
      <c r="A71" s="12" t="s">
        <v>290</v>
      </c>
      <c r="B71" s="14">
        <v>23507062</v>
      </c>
      <c r="C71" s="10" t="s">
        <v>313</v>
      </c>
      <c r="D71" s="9">
        <v>45680</v>
      </c>
      <c r="E71" s="10" t="s">
        <v>314</v>
      </c>
      <c r="F71" s="10"/>
    </row>
    <row r="72" spans="1:6" ht="39.75" customHeight="1">
      <c r="A72" s="12" t="s">
        <v>290</v>
      </c>
      <c r="B72" s="14">
        <v>23507159</v>
      </c>
      <c r="C72" s="10" t="s">
        <v>313</v>
      </c>
      <c r="D72" s="9">
        <v>45680</v>
      </c>
      <c r="E72" s="10" t="s">
        <v>314</v>
      </c>
      <c r="F72" s="10"/>
    </row>
    <row r="73" spans="1:6" ht="39.75" customHeight="1">
      <c r="A73" s="12" t="s">
        <v>290</v>
      </c>
      <c r="B73" s="14">
        <v>23507163</v>
      </c>
      <c r="C73" s="10" t="s">
        <v>313</v>
      </c>
      <c r="D73" s="9">
        <v>45680</v>
      </c>
      <c r="E73" s="10" t="s">
        <v>314</v>
      </c>
      <c r="F73" s="10"/>
    </row>
    <row r="74" spans="1:6" ht="39.75" customHeight="1">
      <c r="A74" s="12" t="s">
        <v>290</v>
      </c>
      <c r="B74" s="14">
        <v>23507171</v>
      </c>
      <c r="C74" s="10" t="s">
        <v>313</v>
      </c>
      <c r="D74" s="9">
        <v>45680</v>
      </c>
      <c r="E74" s="10" t="s">
        <v>314</v>
      </c>
      <c r="F74" s="10"/>
    </row>
    <row r="75" spans="1:6" ht="39.75" customHeight="1">
      <c r="A75" s="12" t="s">
        <v>290</v>
      </c>
      <c r="B75" s="14">
        <v>23507179</v>
      </c>
      <c r="C75" s="10" t="s">
        <v>313</v>
      </c>
      <c r="D75" s="9">
        <v>45680</v>
      </c>
      <c r="E75" s="10" t="s">
        <v>314</v>
      </c>
      <c r="F75" s="10"/>
    </row>
    <row r="76" spans="1:6" ht="39.75" customHeight="1">
      <c r="A76" s="12" t="s">
        <v>290</v>
      </c>
      <c r="B76" s="14">
        <v>23507191</v>
      </c>
      <c r="C76" s="10" t="s">
        <v>313</v>
      </c>
      <c r="D76" s="9">
        <v>45680</v>
      </c>
      <c r="E76" s="10" t="s">
        <v>314</v>
      </c>
      <c r="F76" s="10"/>
    </row>
    <row r="77" spans="1:6" ht="39.75" customHeight="1">
      <c r="A77" s="12" t="s">
        <v>290</v>
      </c>
      <c r="B77" s="14">
        <v>23507136</v>
      </c>
      <c r="C77" s="10" t="s">
        <v>313</v>
      </c>
      <c r="D77" s="9">
        <v>45680</v>
      </c>
      <c r="E77" s="10" t="s">
        <v>314</v>
      </c>
      <c r="F77" s="10"/>
    </row>
    <row r="78" spans="1:6" ht="39.75" customHeight="1">
      <c r="A78" s="12" t="s">
        <v>290</v>
      </c>
      <c r="B78" s="14">
        <v>23507151</v>
      </c>
      <c r="C78" s="10" t="s">
        <v>313</v>
      </c>
      <c r="D78" s="9">
        <v>45680</v>
      </c>
      <c r="E78" s="10" t="s">
        <v>314</v>
      </c>
      <c r="F78" s="10"/>
    </row>
    <row r="79" spans="1:6" ht="39.75" customHeight="1">
      <c r="A79" s="12" t="s">
        <v>290</v>
      </c>
      <c r="B79" s="14">
        <v>23507194</v>
      </c>
      <c r="C79" s="10" t="s">
        <v>313</v>
      </c>
      <c r="D79" s="9">
        <v>45680</v>
      </c>
      <c r="E79" s="10" t="s">
        <v>314</v>
      </c>
      <c r="F79" s="10"/>
    </row>
    <row r="80" spans="1:6" ht="39.75" customHeight="1">
      <c r="A80" s="12" t="s">
        <v>290</v>
      </c>
      <c r="B80" s="14">
        <v>23506914</v>
      </c>
      <c r="C80" s="10" t="s">
        <v>313</v>
      </c>
      <c r="D80" s="9">
        <v>45680</v>
      </c>
      <c r="E80" s="10" t="s">
        <v>314</v>
      </c>
      <c r="F80" s="10"/>
    </row>
    <row r="81" spans="1:6" ht="39.75" customHeight="1">
      <c r="A81" s="12" t="s">
        <v>290</v>
      </c>
      <c r="B81" s="14">
        <v>23506922</v>
      </c>
      <c r="C81" s="10" t="s">
        <v>313</v>
      </c>
      <c r="D81" s="9">
        <v>45680</v>
      </c>
      <c r="E81" s="10" t="s">
        <v>314</v>
      </c>
      <c r="F81" s="10"/>
    </row>
    <row r="82" spans="1:6" ht="39.75" customHeight="1">
      <c r="A82" s="12" t="s">
        <v>290</v>
      </c>
      <c r="B82" s="14">
        <v>23507031</v>
      </c>
      <c r="C82" s="10" t="s">
        <v>313</v>
      </c>
      <c r="D82" s="9">
        <v>45680</v>
      </c>
      <c r="E82" s="10" t="s">
        <v>314</v>
      </c>
      <c r="F82" s="10"/>
    </row>
    <row r="83" spans="1:6" ht="39.75" customHeight="1">
      <c r="A83" s="12" t="s">
        <v>290</v>
      </c>
      <c r="B83" s="14">
        <v>23506945</v>
      </c>
      <c r="C83" s="10" t="s">
        <v>313</v>
      </c>
      <c r="D83" s="9">
        <v>45680</v>
      </c>
      <c r="E83" s="10" t="s">
        <v>314</v>
      </c>
      <c r="F83" s="10"/>
    </row>
    <row r="84" spans="1:6" ht="39.75" customHeight="1">
      <c r="A84" s="12" t="s">
        <v>290</v>
      </c>
      <c r="B84" s="14">
        <v>23507034</v>
      </c>
      <c r="C84" s="10" t="s">
        <v>313</v>
      </c>
      <c r="D84" s="9">
        <v>45680</v>
      </c>
      <c r="E84" s="10" t="s">
        <v>314</v>
      </c>
      <c r="F84" s="10"/>
    </row>
    <row r="85" spans="1:6" ht="39.75" customHeight="1">
      <c r="A85" s="12" t="s">
        <v>290</v>
      </c>
      <c r="B85" s="14">
        <v>23507035</v>
      </c>
      <c r="C85" s="10" t="s">
        <v>313</v>
      </c>
      <c r="D85" s="9">
        <v>45680</v>
      </c>
      <c r="E85" s="10" t="s">
        <v>314</v>
      </c>
      <c r="F85" s="10"/>
    </row>
    <row r="86" spans="1:6" ht="39.75" customHeight="1">
      <c r="A86" s="12" t="s">
        <v>290</v>
      </c>
      <c r="B86" s="14">
        <v>23507066</v>
      </c>
      <c r="C86" s="10" t="s">
        <v>313</v>
      </c>
      <c r="D86" s="9">
        <v>45680</v>
      </c>
      <c r="E86" s="10" t="s">
        <v>314</v>
      </c>
      <c r="F86" s="10"/>
    </row>
    <row r="87" spans="1:6" ht="39.75" customHeight="1">
      <c r="A87" s="12" t="s">
        <v>290</v>
      </c>
      <c r="B87" s="14">
        <v>23507071</v>
      </c>
      <c r="C87" s="10" t="s">
        <v>313</v>
      </c>
      <c r="D87" s="9">
        <v>45680</v>
      </c>
      <c r="E87" s="10" t="s">
        <v>314</v>
      </c>
      <c r="F87" s="10"/>
    </row>
    <row r="88" spans="1:6" ht="39.75" customHeight="1">
      <c r="A88" s="12" t="s">
        <v>290</v>
      </c>
      <c r="B88" s="14">
        <v>23507082</v>
      </c>
      <c r="C88" s="10" t="s">
        <v>313</v>
      </c>
      <c r="D88" s="9">
        <v>45680</v>
      </c>
      <c r="E88" s="10" t="s">
        <v>314</v>
      </c>
      <c r="F88" s="10"/>
    </row>
    <row r="89" spans="1:6" ht="39.75" customHeight="1">
      <c r="A89" s="12" t="s">
        <v>290</v>
      </c>
      <c r="B89" s="14">
        <v>23507111</v>
      </c>
      <c r="C89" s="10" t="s">
        <v>313</v>
      </c>
      <c r="D89" s="9">
        <v>45680</v>
      </c>
      <c r="E89" s="10" t="s">
        <v>314</v>
      </c>
      <c r="F89" s="10"/>
    </row>
    <row r="90" spans="1:6" ht="39.75" customHeight="1">
      <c r="A90" s="12" t="s">
        <v>290</v>
      </c>
      <c r="B90" s="14">
        <v>23507030</v>
      </c>
      <c r="C90" s="10" t="s">
        <v>313</v>
      </c>
      <c r="D90" s="9">
        <v>45680</v>
      </c>
      <c r="E90" s="10" t="s">
        <v>314</v>
      </c>
      <c r="F90" s="10"/>
    </row>
    <row r="91" spans="1:6" ht="39.75" customHeight="1">
      <c r="A91" s="12" t="s">
        <v>290</v>
      </c>
      <c r="B91" s="14">
        <v>23507088</v>
      </c>
      <c r="C91" s="10" t="s">
        <v>313</v>
      </c>
      <c r="D91" s="9">
        <v>45680</v>
      </c>
      <c r="E91" s="10" t="s">
        <v>314</v>
      </c>
      <c r="F91" s="10"/>
    </row>
    <row r="92" spans="1:6" ht="39.75" customHeight="1">
      <c r="A92" s="12" t="s">
        <v>290</v>
      </c>
      <c r="B92" s="14">
        <v>23507092</v>
      </c>
      <c r="C92" s="10" t="s">
        <v>313</v>
      </c>
      <c r="D92" s="9">
        <v>45680</v>
      </c>
      <c r="E92" s="10" t="s">
        <v>314</v>
      </c>
      <c r="F92" s="10"/>
    </row>
    <row r="93" spans="1:6" ht="39.75" customHeight="1">
      <c r="A93" s="12" t="s">
        <v>290</v>
      </c>
      <c r="B93" s="14">
        <v>23507096</v>
      </c>
      <c r="C93" s="10" t="s">
        <v>313</v>
      </c>
      <c r="D93" s="9">
        <v>45680</v>
      </c>
      <c r="E93" s="10" t="s">
        <v>314</v>
      </c>
      <c r="F93" s="10"/>
    </row>
    <row r="94" spans="1:6" ht="39.75" customHeight="1">
      <c r="A94" s="12" t="s">
        <v>290</v>
      </c>
      <c r="B94" s="14">
        <v>23507104</v>
      </c>
      <c r="C94" s="10" t="s">
        <v>313</v>
      </c>
      <c r="D94" s="9">
        <v>45680</v>
      </c>
      <c r="E94" s="10" t="s">
        <v>315</v>
      </c>
      <c r="F94" s="10"/>
    </row>
    <row r="95" spans="1:6" ht="39.75" customHeight="1">
      <c r="A95" s="10" t="s">
        <v>312</v>
      </c>
      <c r="B95" s="10">
        <v>29507354</v>
      </c>
      <c r="C95" s="10" t="s">
        <v>36</v>
      </c>
      <c r="D95" s="9">
        <v>45684</v>
      </c>
      <c r="E95" s="10" t="s">
        <v>316</v>
      </c>
      <c r="F95" s="10" t="s">
        <v>317</v>
      </c>
    </row>
    <row r="96" spans="1:6" ht="39.75" customHeight="1">
      <c r="A96" s="10" t="s">
        <v>312</v>
      </c>
      <c r="B96" s="10">
        <v>28507244</v>
      </c>
      <c r="C96" s="10" t="s">
        <v>36</v>
      </c>
      <c r="D96" s="9">
        <v>45684</v>
      </c>
      <c r="E96" s="10" t="s">
        <v>316</v>
      </c>
      <c r="F96" s="10" t="s">
        <v>318</v>
      </c>
    </row>
    <row r="97" spans="1:6" ht="39.75" customHeight="1">
      <c r="A97" s="10" t="s">
        <v>312</v>
      </c>
      <c r="B97" s="10">
        <v>28506894</v>
      </c>
      <c r="C97" s="10" t="s">
        <v>36</v>
      </c>
      <c r="D97" s="9">
        <v>45684</v>
      </c>
      <c r="E97" s="10" t="s">
        <v>316</v>
      </c>
      <c r="F97" s="10" t="s">
        <v>319</v>
      </c>
    </row>
    <row r="98" spans="1:6" ht="39.75" customHeight="1">
      <c r="A98" s="10" t="s">
        <v>312</v>
      </c>
      <c r="B98" s="10">
        <v>28506868</v>
      </c>
      <c r="C98" s="10" t="s">
        <v>36</v>
      </c>
      <c r="D98" s="9">
        <v>45684</v>
      </c>
      <c r="E98" s="10" t="s">
        <v>316</v>
      </c>
      <c r="F98" s="10" t="s">
        <v>320</v>
      </c>
    </row>
    <row r="99" spans="1:6" ht="39.75" customHeight="1">
      <c r="A99" s="10" t="s">
        <v>312</v>
      </c>
      <c r="B99" s="10">
        <v>28506849</v>
      </c>
      <c r="C99" s="10" t="s">
        <v>36</v>
      </c>
      <c r="D99" s="9">
        <v>45684</v>
      </c>
      <c r="E99" s="10" t="s">
        <v>316</v>
      </c>
      <c r="F99" s="10" t="s">
        <v>321</v>
      </c>
    </row>
    <row r="100" spans="1:6" ht="39.75" customHeight="1">
      <c r="A100" s="10" t="s">
        <v>312</v>
      </c>
      <c r="B100" s="10">
        <v>28506322</v>
      </c>
      <c r="C100" s="10" t="s">
        <v>36</v>
      </c>
      <c r="D100" s="9">
        <v>45684</v>
      </c>
      <c r="E100" s="10" t="s">
        <v>316</v>
      </c>
      <c r="F100" s="10" t="s">
        <v>321</v>
      </c>
    </row>
    <row r="101" spans="1:6" ht="39.75" customHeight="1">
      <c r="A101" s="10" t="s">
        <v>312</v>
      </c>
      <c r="B101" s="10">
        <v>28506204</v>
      </c>
      <c r="C101" s="10" t="s">
        <v>36</v>
      </c>
      <c r="D101" s="9">
        <v>45684</v>
      </c>
      <c r="E101" s="10" t="s">
        <v>316</v>
      </c>
      <c r="F101" s="10" t="s">
        <v>322</v>
      </c>
    </row>
    <row r="102" spans="1:6" ht="39.75" customHeight="1">
      <c r="A102" s="10" t="s">
        <v>312</v>
      </c>
      <c r="B102" s="10">
        <v>28506093</v>
      </c>
      <c r="C102" s="10" t="s">
        <v>36</v>
      </c>
      <c r="D102" s="9">
        <v>45684</v>
      </c>
      <c r="E102" s="10" t="s">
        <v>316</v>
      </c>
      <c r="F102" s="10" t="s">
        <v>323</v>
      </c>
    </row>
    <row r="103" spans="1:6" ht="39.75" customHeight="1">
      <c r="A103" s="10" t="s">
        <v>312</v>
      </c>
      <c r="B103" s="10">
        <v>28506035</v>
      </c>
      <c r="C103" s="10" t="s">
        <v>36</v>
      </c>
      <c r="D103" s="9">
        <v>45684</v>
      </c>
      <c r="E103" s="10" t="s">
        <v>316</v>
      </c>
      <c r="F103" s="10" t="s">
        <v>323</v>
      </c>
    </row>
    <row r="104" spans="1:6" ht="39.75" customHeight="1">
      <c r="A104" s="10" t="s">
        <v>312</v>
      </c>
      <c r="B104" s="10">
        <v>28505069</v>
      </c>
      <c r="C104" s="10" t="s">
        <v>36</v>
      </c>
      <c r="D104" s="9">
        <v>45684</v>
      </c>
      <c r="E104" s="10" t="s">
        <v>316</v>
      </c>
      <c r="F104" s="10" t="s">
        <v>324</v>
      </c>
    </row>
    <row r="105" spans="1:6" ht="39.75" customHeight="1">
      <c r="A105" s="10" t="s">
        <v>312</v>
      </c>
      <c r="B105" s="10">
        <v>28505038</v>
      </c>
      <c r="C105" s="10" t="s">
        <v>36</v>
      </c>
      <c r="D105" s="9">
        <v>45684</v>
      </c>
      <c r="E105" s="10" t="s">
        <v>316</v>
      </c>
      <c r="F105" s="10" t="s">
        <v>325</v>
      </c>
    </row>
    <row r="106" spans="1:6" ht="39.75" customHeight="1">
      <c r="A106" s="10" t="s">
        <v>312</v>
      </c>
      <c r="B106" s="10">
        <v>28504900</v>
      </c>
      <c r="C106" s="10" t="s">
        <v>36</v>
      </c>
      <c r="D106" s="9">
        <v>45684</v>
      </c>
      <c r="E106" s="10" t="s">
        <v>316</v>
      </c>
      <c r="F106" s="10" t="s">
        <v>326</v>
      </c>
    </row>
    <row r="107" spans="1:6" ht="39.75" customHeight="1">
      <c r="A107" s="10" t="s">
        <v>312</v>
      </c>
      <c r="B107" s="10">
        <v>28504725</v>
      </c>
      <c r="C107" s="10" t="s">
        <v>36</v>
      </c>
      <c r="D107" s="9">
        <v>45684</v>
      </c>
      <c r="E107" s="10" t="s">
        <v>316</v>
      </c>
      <c r="F107" s="10" t="s">
        <v>327</v>
      </c>
    </row>
    <row r="108" spans="1:6" ht="39.75" customHeight="1">
      <c r="A108" s="14" t="s">
        <v>328</v>
      </c>
      <c r="B108" s="10">
        <v>30503735</v>
      </c>
      <c r="C108" s="10" t="s">
        <v>36</v>
      </c>
      <c r="D108" s="9">
        <v>45686</v>
      </c>
      <c r="E108" s="10" t="s">
        <v>329</v>
      </c>
      <c r="F108" s="10" t="s">
        <v>330</v>
      </c>
    </row>
    <row r="109" spans="1:6" ht="39.75" customHeight="1">
      <c r="A109" s="14" t="s">
        <v>328</v>
      </c>
      <c r="B109" s="10">
        <v>30503776</v>
      </c>
      <c r="C109" s="10" t="s">
        <v>36</v>
      </c>
      <c r="D109" s="9">
        <v>45686</v>
      </c>
      <c r="E109" s="10" t="s">
        <v>329</v>
      </c>
      <c r="F109" s="10" t="s">
        <v>331</v>
      </c>
    </row>
    <row r="110" spans="1:6" ht="39.75" customHeight="1">
      <c r="A110" s="14" t="s">
        <v>328</v>
      </c>
      <c r="B110" s="10">
        <v>30503798</v>
      </c>
      <c r="C110" s="10" t="s">
        <v>36</v>
      </c>
      <c r="D110" s="9">
        <v>45686</v>
      </c>
      <c r="E110" s="10" t="s">
        <v>329</v>
      </c>
      <c r="F110" s="10" t="s">
        <v>332</v>
      </c>
    </row>
    <row r="111" spans="1:6" ht="39.75" customHeight="1">
      <c r="A111" s="14" t="s">
        <v>328</v>
      </c>
      <c r="B111" s="10">
        <v>30503821</v>
      </c>
      <c r="C111" s="10" t="s">
        <v>36</v>
      </c>
      <c r="D111" s="9">
        <v>45686</v>
      </c>
      <c r="E111" s="10" t="s">
        <v>329</v>
      </c>
      <c r="F111" s="10" t="s">
        <v>333</v>
      </c>
    </row>
    <row r="112" spans="1:6" ht="39.75" customHeight="1">
      <c r="A112" s="14" t="s">
        <v>328</v>
      </c>
      <c r="B112" s="10">
        <v>30503763</v>
      </c>
      <c r="C112" s="10" t="s">
        <v>36</v>
      </c>
      <c r="D112" s="9">
        <v>45686</v>
      </c>
      <c r="E112" s="10" t="s">
        <v>329</v>
      </c>
      <c r="F112" s="10" t="s">
        <v>334</v>
      </c>
    </row>
    <row r="113" spans="1:6" ht="39.75" customHeight="1">
      <c r="A113" s="10" t="s">
        <v>335</v>
      </c>
      <c r="B113" s="10">
        <v>30508309</v>
      </c>
      <c r="C113" s="10" t="s">
        <v>36</v>
      </c>
      <c r="D113" s="9">
        <v>45686</v>
      </c>
      <c r="E113" s="10" t="s">
        <v>315</v>
      </c>
      <c r="F113" s="10" t="s">
        <v>336</v>
      </c>
    </row>
    <row r="114" spans="1:6" ht="39.75" customHeight="1">
      <c r="A114" s="10" t="s">
        <v>335</v>
      </c>
      <c r="B114" s="10">
        <v>30508305</v>
      </c>
      <c r="C114" s="10" t="s">
        <v>36</v>
      </c>
      <c r="D114" s="9">
        <v>45686</v>
      </c>
      <c r="E114" s="10" t="s">
        <v>315</v>
      </c>
      <c r="F114" s="10" t="s">
        <v>337</v>
      </c>
    </row>
    <row r="115" spans="1:6" ht="39.75" customHeight="1">
      <c r="A115" s="10" t="s">
        <v>335</v>
      </c>
      <c r="B115" s="10">
        <v>30508300</v>
      </c>
      <c r="C115" s="10" t="s">
        <v>36</v>
      </c>
      <c r="D115" s="9">
        <v>45686</v>
      </c>
      <c r="E115" s="10" t="s">
        <v>315</v>
      </c>
      <c r="F115" s="10" t="s">
        <v>338</v>
      </c>
    </row>
    <row r="116" spans="1:6" ht="39.75" customHeight="1">
      <c r="A116" s="10" t="s">
        <v>335</v>
      </c>
      <c r="B116" s="10">
        <v>30508297</v>
      </c>
      <c r="C116" s="10" t="s">
        <v>36</v>
      </c>
      <c r="D116" s="9">
        <v>45686</v>
      </c>
      <c r="E116" s="10" t="s">
        <v>315</v>
      </c>
      <c r="F116" s="10" t="s">
        <v>338</v>
      </c>
    </row>
    <row r="117" spans="1:6" ht="39.75" customHeight="1">
      <c r="A117" s="10" t="s">
        <v>335</v>
      </c>
      <c r="B117" s="10">
        <v>30508294</v>
      </c>
      <c r="C117" s="10" t="s">
        <v>36</v>
      </c>
      <c r="D117" s="9">
        <v>45686</v>
      </c>
      <c r="E117" s="10" t="s">
        <v>315</v>
      </c>
      <c r="F117" s="10" t="s">
        <v>339</v>
      </c>
    </row>
    <row r="118" spans="1:6" ht="39.75" customHeight="1">
      <c r="A118" s="10" t="s">
        <v>335</v>
      </c>
      <c r="B118" s="10">
        <v>30508293</v>
      </c>
      <c r="C118" s="10" t="s">
        <v>36</v>
      </c>
      <c r="D118" s="9">
        <v>45686</v>
      </c>
      <c r="E118" s="10" t="s">
        <v>315</v>
      </c>
      <c r="F118" s="10" t="s">
        <v>340</v>
      </c>
    </row>
    <row r="119" spans="1:6" ht="39.75" customHeight="1">
      <c r="A119" s="10" t="s">
        <v>335</v>
      </c>
      <c r="B119" s="10">
        <v>30508290</v>
      </c>
      <c r="C119" s="10" t="s">
        <v>36</v>
      </c>
      <c r="D119" s="9">
        <v>45686</v>
      </c>
      <c r="E119" s="10" t="s">
        <v>315</v>
      </c>
      <c r="F119" s="10" t="s">
        <v>341</v>
      </c>
    </row>
    <row r="120" spans="1:6" ht="39.75" customHeight="1">
      <c r="A120" s="10" t="s">
        <v>335</v>
      </c>
      <c r="B120" s="10">
        <v>30508289</v>
      </c>
      <c r="C120" s="10" t="s">
        <v>36</v>
      </c>
      <c r="D120" s="9">
        <v>45686</v>
      </c>
      <c r="E120" s="10" t="s">
        <v>315</v>
      </c>
      <c r="F120" s="10" t="s">
        <v>341</v>
      </c>
    </row>
    <row r="121" spans="1:6" ht="39.75" customHeight="1">
      <c r="A121" s="10" t="s">
        <v>335</v>
      </c>
      <c r="B121" s="10">
        <v>30508284</v>
      </c>
      <c r="C121" s="10" t="s">
        <v>36</v>
      </c>
      <c r="D121" s="9">
        <v>45686</v>
      </c>
      <c r="E121" s="10" t="s">
        <v>315</v>
      </c>
      <c r="F121" s="10" t="s">
        <v>342</v>
      </c>
    </row>
    <row r="122" spans="1:6" ht="39.75" customHeight="1">
      <c r="A122" s="10" t="s">
        <v>335</v>
      </c>
      <c r="B122" s="10">
        <v>30508281</v>
      </c>
      <c r="C122" s="10" t="s">
        <v>36</v>
      </c>
      <c r="D122" s="9">
        <v>45686</v>
      </c>
      <c r="E122" s="10" t="s">
        <v>315</v>
      </c>
      <c r="F122" s="10" t="s">
        <v>343</v>
      </c>
    </row>
    <row r="123" spans="1:6" ht="39.75" customHeight="1">
      <c r="A123" s="10" t="s">
        <v>335</v>
      </c>
      <c r="B123" s="10">
        <v>30508277</v>
      </c>
      <c r="C123" s="10" t="s">
        <v>36</v>
      </c>
      <c r="D123" s="9">
        <v>45686</v>
      </c>
      <c r="E123" s="10" t="s">
        <v>315</v>
      </c>
      <c r="F123" s="10" t="s">
        <v>344</v>
      </c>
    </row>
    <row r="124" spans="1:6" ht="39.75" customHeight="1">
      <c r="A124" s="10" t="s">
        <v>335</v>
      </c>
      <c r="B124" s="10">
        <v>30508275</v>
      </c>
      <c r="C124" s="10" t="s">
        <v>36</v>
      </c>
      <c r="D124" s="9">
        <v>45686</v>
      </c>
      <c r="E124" s="10" t="s">
        <v>315</v>
      </c>
      <c r="F124" s="10" t="s">
        <v>344</v>
      </c>
    </row>
    <row r="125" spans="1:6" ht="39.75" customHeight="1">
      <c r="A125" s="10" t="s">
        <v>335</v>
      </c>
      <c r="B125" s="10">
        <v>30508271</v>
      </c>
      <c r="C125" s="10" t="s">
        <v>36</v>
      </c>
      <c r="D125" s="9">
        <v>45686</v>
      </c>
      <c r="E125" s="10" t="s">
        <v>315</v>
      </c>
      <c r="F125" s="10" t="s">
        <v>345</v>
      </c>
    </row>
    <row r="126" spans="1:6" ht="39.75" customHeight="1">
      <c r="A126" s="10" t="s">
        <v>335</v>
      </c>
      <c r="B126" s="10">
        <v>30508265</v>
      </c>
      <c r="C126" s="10" t="s">
        <v>36</v>
      </c>
      <c r="D126" s="9">
        <v>45686</v>
      </c>
      <c r="E126" s="10" t="s">
        <v>315</v>
      </c>
      <c r="F126" s="10" t="s">
        <v>344</v>
      </c>
    </row>
    <row r="127" spans="1:6" ht="39.75" customHeight="1">
      <c r="A127" s="10" t="s">
        <v>335</v>
      </c>
      <c r="B127" s="10">
        <v>30508261</v>
      </c>
      <c r="C127" s="10" t="s">
        <v>36</v>
      </c>
      <c r="D127" s="9">
        <v>45686</v>
      </c>
      <c r="E127" s="10" t="s">
        <v>315</v>
      </c>
      <c r="F127" s="10" t="s">
        <v>346</v>
      </c>
    </row>
    <row r="128" spans="1:6" ht="39.75" customHeight="1">
      <c r="A128" s="10" t="s">
        <v>335</v>
      </c>
      <c r="B128" s="10">
        <v>30508258</v>
      </c>
      <c r="C128" s="10" t="s">
        <v>36</v>
      </c>
      <c r="D128" s="9">
        <v>45686</v>
      </c>
      <c r="E128" s="10" t="s">
        <v>315</v>
      </c>
      <c r="F128" s="10" t="s">
        <v>347</v>
      </c>
    </row>
    <row r="129" spans="1:6" ht="39.75" customHeight="1">
      <c r="A129" s="10" t="s">
        <v>335</v>
      </c>
      <c r="B129" s="10">
        <v>30508255</v>
      </c>
      <c r="C129" s="10" t="s">
        <v>36</v>
      </c>
      <c r="D129" s="9">
        <v>45686</v>
      </c>
      <c r="E129" s="10" t="s">
        <v>315</v>
      </c>
      <c r="F129" s="10" t="s">
        <v>348</v>
      </c>
    </row>
    <row r="130" spans="1:6" ht="39.75" customHeight="1">
      <c r="A130" s="10" t="s">
        <v>335</v>
      </c>
      <c r="B130" s="10">
        <v>30508249</v>
      </c>
      <c r="C130" s="10" t="s">
        <v>36</v>
      </c>
      <c r="D130" s="9">
        <v>45686</v>
      </c>
      <c r="E130" s="10" t="s">
        <v>315</v>
      </c>
      <c r="F130" s="10" t="s">
        <v>349</v>
      </c>
    </row>
    <row r="131" spans="1:6" ht="39.75" customHeight="1">
      <c r="A131" s="10" t="s">
        <v>335</v>
      </c>
      <c r="B131" s="10">
        <v>30508244</v>
      </c>
      <c r="C131" s="10" t="s">
        <v>36</v>
      </c>
      <c r="D131" s="9">
        <v>45686</v>
      </c>
      <c r="E131" s="10" t="s">
        <v>315</v>
      </c>
      <c r="F131" s="10" t="s">
        <v>347</v>
      </c>
    </row>
    <row r="132" spans="1:6" ht="39.75" customHeight="1">
      <c r="A132" s="10" t="s">
        <v>335</v>
      </c>
      <c r="B132" s="10">
        <v>30508237</v>
      </c>
      <c r="C132" s="10" t="s">
        <v>36</v>
      </c>
      <c r="D132" s="9">
        <v>45686</v>
      </c>
      <c r="E132" s="10" t="s">
        <v>315</v>
      </c>
      <c r="F132" s="10" t="s">
        <v>350</v>
      </c>
    </row>
    <row r="133" spans="1:6" ht="39.75" customHeight="1">
      <c r="A133" s="10" t="s">
        <v>335</v>
      </c>
      <c r="B133" s="10">
        <v>30508222</v>
      </c>
      <c r="C133" s="10" t="s">
        <v>36</v>
      </c>
      <c r="D133" s="9">
        <v>45686</v>
      </c>
      <c r="E133" s="10" t="s">
        <v>315</v>
      </c>
      <c r="F133" s="10" t="s">
        <v>351</v>
      </c>
    </row>
    <row r="134" spans="1:6" ht="39.75" customHeight="1">
      <c r="A134" s="10" t="s">
        <v>335</v>
      </c>
      <c r="B134" s="10">
        <v>30508211</v>
      </c>
      <c r="C134" s="10" t="s">
        <v>36</v>
      </c>
      <c r="D134" s="9">
        <v>45686</v>
      </c>
      <c r="E134" s="10" t="s">
        <v>315</v>
      </c>
      <c r="F134" s="10" t="s">
        <v>352</v>
      </c>
    </row>
    <row r="135" spans="1:6" ht="39.75" customHeight="1">
      <c r="A135" s="10" t="s">
        <v>335</v>
      </c>
      <c r="B135" s="10">
        <v>30508208</v>
      </c>
      <c r="C135" s="10" t="s">
        <v>36</v>
      </c>
      <c r="D135" s="9">
        <v>45686</v>
      </c>
      <c r="E135" s="10" t="s">
        <v>315</v>
      </c>
      <c r="F135" s="10" t="s">
        <v>353</v>
      </c>
    </row>
    <row r="136" spans="1:6" ht="39.75" customHeight="1">
      <c r="A136" s="10" t="s">
        <v>335</v>
      </c>
      <c r="B136" s="10">
        <v>30508205</v>
      </c>
      <c r="C136" s="10" t="s">
        <v>36</v>
      </c>
      <c r="D136" s="9">
        <v>45686</v>
      </c>
      <c r="E136" s="10" t="s">
        <v>315</v>
      </c>
      <c r="F136" s="10" t="s">
        <v>354</v>
      </c>
    </row>
    <row r="137" spans="1:6" ht="39.75" customHeight="1">
      <c r="A137" s="10" t="s">
        <v>335</v>
      </c>
      <c r="B137" s="10">
        <v>30508203</v>
      </c>
      <c r="C137" s="10" t="s">
        <v>36</v>
      </c>
      <c r="D137" s="9">
        <v>45686</v>
      </c>
      <c r="E137" s="10" t="s">
        <v>315</v>
      </c>
      <c r="F137" s="10" t="s">
        <v>355</v>
      </c>
    </row>
    <row r="138" spans="1:6" ht="39.75" customHeight="1">
      <c r="A138" s="10" t="s">
        <v>335</v>
      </c>
      <c r="B138" s="10">
        <v>30508196</v>
      </c>
      <c r="C138" s="10" t="s">
        <v>36</v>
      </c>
      <c r="D138" s="9">
        <v>45686</v>
      </c>
      <c r="E138" s="10" t="s">
        <v>315</v>
      </c>
      <c r="F138" s="10" t="s">
        <v>356</v>
      </c>
    </row>
    <row r="139" spans="1:6" ht="39.75" customHeight="1">
      <c r="A139" s="10" t="s">
        <v>335</v>
      </c>
      <c r="B139" s="10">
        <v>30508192</v>
      </c>
      <c r="C139" s="10" t="s">
        <v>36</v>
      </c>
      <c r="D139" s="9">
        <v>45686</v>
      </c>
      <c r="E139" s="10" t="s">
        <v>315</v>
      </c>
      <c r="F139" s="10" t="s">
        <v>356</v>
      </c>
    </row>
    <row r="140" spans="1:6" ht="39.75" customHeight="1">
      <c r="A140" s="10" t="s">
        <v>357</v>
      </c>
      <c r="B140" s="10">
        <v>30504564</v>
      </c>
      <c r="C140" s="10" t="s">
        <v>36</v>
      </c>
      <c r="D140" s="9">
        <v>45686</v>
      </c>
      <c r="E140" s="10" t="s">
        <v>358</v>
      </c>
      <c r="F140" s="10" t="s">
        <v>359</v>
      </c>
    </row>
    <row r="141" spans="1:6" ht="39.75" customHeight="1">
      <c r="A141" s="10" t="s">
        <v>357</v>
      </c>
      <c r="B141" s="10">
        <v>30504222</v>
      </c>
      <c r="C141" s="10" t="s">
        <v>36</v>
      </c>
      <c r="D141" s="9">
        <v>45686</v>
      </c>
      <c r="E141" s="10" t="s">
        <v>358</v>
      </c>
      <c r="F141" s="10" t="s">
        <v>360</v>
      </c>
    </row>
    <row r="142" spans="1:6" ht="39.75" customHeight="1">
      <c r="A142" s="10" t="s">
        <v>312</v>
      </c>
      <c r="B142" s="10">
        <v>30503694</v>
      </c>
      <c r="C142" s="10" t="s">
        <v>36</v>
      </c>
      <c r="D142" s="9">
        <v>45686</v>
      </c>
      <c r="E142" s="10" t="s">
        <v>316</v>
      </c>
      <c r="F142" s="10" t="s">
        <v>361</v>
      </c>
    </row>
    <row r="143" spans="1:6" ht="39.75" customHeight="1">
      <c r="A143" s="10" t="s">
        <v>312</v>
      </c>
      <c r="B143" s="10">
        <v>30503155</v>
      </c>
      <c r="C143" s="10" t="s">
        <v>36</v>
      </c>
      <c r="D143" s="9">
        <v>45686</v>
      </c>
      <c r="E143" s="10" t="s">
        <v>316</v>
      </c>
      <c r="F143" s="10" t="s">
        <v>362</v>
      </c>
    </row>
    <row r="144" spans="1:6" ht="39.75" customHeight="1">
      <c r="A144" s="10" t="s">
        <v>312</v>
      </c>
      <c r="B144" s="10">
        <v>30502388</v>
      </c>
      <c r="C144" s="10" t="s">
        <v>36</v>
      </c>
      <c r="D144" s="9">
        <v>45686</v>
      </c>
      <c r="E144" s="10" t="s">
        <v>316</v>
      </c>
      <c r="F144" s="10" t="s">
        <v>363</v>
      </c>
    </row>
    <row r="145" spans="1:6" ht="39.75" customHeight="1">
      <c r="A145" s="10" t="s">
        <v>312</v>
      </c>
      <c r="B145" s="10">
        <v>30502328</v>
      </c>
      <c r="C145" s="10" t="s">
        <v>36</v>
      </c>
      <c r="D145" s="9">
        <v>45686</v>
      </c>
      <c r="E145" s="10" t="s">
        <v>316</v>
      </c>
      <c r="F145" s="10" t="s">
        <v>364</v>
      </c>
    </row>
    <row r="146" spans="1:6" ht="39.75" customHeight="1">
      <c r="A146" s="10" t="s">
        <v>312</v>
      </c>
      <c r="B146" s="10">
        <v>30502052</v>
      </c>
      <c r="C146" s="10" t="s">
        <v>36</v>
      </c>
      <c r="D146" s="9">
        <v>45686</v>
      </c>
      <c r="E146" s="10" t="s">
        <v>316</v>
      </c>
      <c r="F146" s="10" t="s">
        <v>365</v>
      </c>
    </row>
    <row r="147" spans="1:6" ht="39.75" customHeight="1">
      <c r="A147" s="12" t="s">
        <v>335</v>
      </c>
      <c r="B147" s="10">
        <v>31500021</v>
      </c>
      <c r="C147" s="10" t="s">
        <v>313</v>
      </c>
      <c r="D147" s="9">
        <v>45688</v>
      </c>
      <c r="E147" s="10" t="s">
        <v>315</v>
      </c>
      <c r="F147" s="10"/>
    </row>
    <row r="148" spans="1:6" ht="39.75" customHeight="1">
      <c r="A148" s="12" t="s">
        <v>335</v>
      </c>
      <c r="B148" s="10">
        <v>31500022</v>
      </c>
      <c r="C148" s="10" t="s">
        <v>313</v>
      </c>
      <c r="D148" s="9">
        <v>45688</v>
      </c>
      <c r="E148" s="10" t="s">
        <v>315</v>
      </c>
      <c r="F148" s="10"/>
    </row>
    <row r="149" spans="1:6" ht="39.75" customHeight="1">
      <c r="A149" s="12" t="s">
        <v>335</v>
      </c>
      <c r="B149" s="10">
        <v>31500023</v>
      </c>
      <c r="C149" s="10" t="s">
        <v>313</v>
      </c>
      <c r="D149" s="9">
        <v>45688</v>
      </c>
      <c r="E149" s="10" t="s">
        <v>315</v>
      </c>
      <c r="F149" s="10"/>
    </row>
    <row r="150" spans="1:6" ht="39.75" customHeight="1">
      <c r="A150" s="12" t="s">
        <v>335</v>
      </c>
      <c r="B150" s="10">
        <v>31500025</v>
      </c>
      <c r="C150" s="10" t="s">
        <v>313</v>
      </c>
      <c r="D150" s="9">
        <v>45688</v>
      </c>
      <c r="E150" s="10" t="s">
        <v>315</v>
      </c>
      <c r="F150" s="10"/>
    </row>
    <row r="151" spans="1:6" ht="39.75" customHeight="1">
      <c r="A151" s="12" t="s">
        <v>335</v>
      </c>
      <c r="B151" s="10">
        <v>31500028</v>
      </c>
      <c r="C151" s="10" t="s">
        <v>313</v>
      </c>
      <c r="D151" s="9">
        <v>45688</v>
      </c>
      <c r="E151" s="10" t="s">
        <v>315</v>
      </c>
      <c r="F151" s="10"/>
    </row>
    <row r="152" spans="1:6" ht="39.75" customHeight="1">
      <c r="A152" s="12" t="s">
        <v>335</v>
      </c>
      <c r="B152" s="10">
        <v>31500031</v>
      </c>
      <c r="C152" s="10" t="s">
        <v>313</v>
      </c>
      <c r="D152" s="9">
        <v>45688</v>
      </c>
      <c r="E152" s="10" t="s">
        <v>315</v>
      </c>
      <c r="F152" s="10"/>
    </row>
    <row r="153" spans="1:6" ht="39.75" customHeight="1">
      <c r="A153" s="12" t="s">
        <v>335</v>
      </c>
      <c r="B153" s="10">
        <v>31500033</v>
      </c>
      <c r="C153" s="10" t="s">
        <v>313</v>
      </c>
      <c r="D153" s="9">
        <v>45688</v>
      </c>
      <c r="E153" s="10" t="s">
        <v>315</v>
      </c>
      <c r="F153" s="10"/>
    </row>
    <row r="154" spans="1:6" ht="39.75" customHeight="1">
      <c r="A154" s="12" t="s">
        <v>335</v>
      </c>
      <c r="B154" s="10">
        <v>31500035</v>
      </c>
      <c r="C154" s="10" t="s">
        <v>313</v>
      </c>
      <c r="D154" s="9">
        <v>45688</v>
      </c>
      <c r="E154" s="10" t="s">
        <v>315</v>
      </c>
      <c r="F154" s="10"/>
    </row>
    <row r="155" spans="1:6" ht="39.75" customHeight="1">
      <c r="A155" s="12" t="s">
        <v>335</v>
      </c>
      <c r="B155" s="10">
        <v>31500036</v>
      </c>
      <c r="C155" s="10" t="s">
        <v>313</v>
      </c>
      <c r="D155" s="9">
        <v>45688</v>
      </c>
      <c r="E155" s="10" t="s">
        <v>315</v>
      </c>
      <c r="F155" s="10"/>
    </row>
    <row r="156" spans="1:6" ht="39.75" customHeight="1">
      <c r="A156" s="12" t="s">
        <v>335</v>
      </c>
      <c r="B156" s="10">
        <v>31500037</v>
      </c>
      <c r="C156" s="10" t="s">
        <v>313</v>
      </c>
      <c r="D156" s="9">
        <v>45688</v>
      </c>
      <c r="E156" s="10" t="s">
        <v>315</v>
      </c>
      <c r="F156" s="10"/>
    </row>
    <row r="157" spans="1:6" ht="39.75" customHeight="1">
      <c r="A157" s="12" t="s">
        <v>335</v>
      </c>
      <c r="B157" s="10">
        <v>31500038</v>
      </c>
      <c r="C157" s="10" t="s">
        <v>313</v>
      </c>
      <c r="D157" s="9">
        <v>45688</v>
      </c>
      <c r="E157" s="10" t="s">
        <v>315</v>
      </c>
      <c r="F157" s="10"/>
    </row>
    <row r="158" spans="1:6" ht="39.75" customHeight="1">
      <c r="A158" s="12" t="s">
        <v>335</v>
      </c>
      <c r="B158" s="10">
        <v>31500039</v>
      </c>
      <c r="C158" s="10" t="s">
        <v>313</v>
      </c>
      <c r="D158" s="9">
        <v>45688</v>
      </c>
      <c r="E158" s="10" t="s">
        <v>315</v>
      </c>
      <c r="F158" s="10"/>
    </row>
    <row r="159" spans="1:6" ht="39.75" customHeight="1">
      <c r="A159" s="12" t="s">
        <v>335</v>
      </c>
      <c r="B159" s="10">
        <v>31500040</v>
      </c>
      <c r="C159" s="10" t="s">
        <v>313</v>
      </c>
      <c r="D159" s="9">
        <v>45688</v>
      </c>
      <c r="E159" s="10" t="s">
        <v>315</v>
      </c>
      <c r="F159" s="10"/>
    </row>
    <row r="160" spans="1:6" ht="39.75" customHeight="1">
      <c r="A160" s="12" t="s">
        <v>335</v>
      </c>
      <c r="B160" s="10">
        <v>31500041</v>
      </c>
      <c r="C160" s="10" t="s">
        <v>313</v>
      </c>
      <c r="D160" s="9">
        <v>45688</v>
      </c>
      <c r="E160" s="10" t="s">
        <v>315</v>
      </c>
      <c r="F160" s="10"/>
    </row>
    <row r="161" spans="1:6" ht="39.75" customHeight="1">
      <c r="A161" s="12" t="s">
        <v>335</v>
      </c>
      <c r="B161" s="10">
        <v>31500042</v>
      </c>
      <c r="C161" s="10" t="s">
        <v>313</v>
      </c>
      <c r="D161" s="9">
        <v>45688</v>
      </c>
      <c r="E161" s="10" t="s">
        <v>315</v>
      </c>
      <c r="F161" s="10"/>
    </row>
    <row r="162" spans="1:6" ht="39.75" customHeight="1">
      <c r="A162" s="12" t="s">
        <v>335</v>
      </c>
      <c r="B162" s="10">
        <v>31500043</v>
      </c>
      <c r="C162" s="10" t="s">
        <v>313</v>
      </c>
      <c r="D162" s="9">
        <v>45688</v>
      </c>
      <c r="E162" s="10" t="s">
        <v>315</v>
      </c>
      <c r="F162" s="10"/>
    </row>
    <row r="163" spans="1:6" ht="39.75" customHeight="1">
      <c r="A163" s="12" t="s">
        <v>335</v>
      </c>
      <c r="B163" s="10">
        <v>31500044</v>
      </c>
      <c r="C163" s="10" t="s">
        <v>313</v>
      </c>
      <c r="D163" s="9">
        <v>45688</v>
      </c>
      <c r="E163" s="10" t="s">
        <v>315</v>
      </c>
      <c r="F163" s="10"/>
    </row>
    <row r="164" spans="1:6" ht="39.75" customHeight="1">
      <c r="A164" s="12" t="s">
        <v>335</v>
      </c>
      <c r="B164" s="10">
        <v>31500045</v>
      </c>
      <c r="C164" s="10" t="s">
        <v>313</v>
      </c>
      <c r="D164" s="9">
        <v>45688</v>
      </c>
      <c r="E164" s="10" t="s">
        <v>315</v>
      </c>
      <c r="F164" s="10"/>
    </row>
    <row r="165" spans="1:6" ht="39.75" customHeight="1">
      <c r="A165" s="12" t="s">
        <v>335</v>
      </c>
      <c r="B165" s="10">
        <v>31500046</v>
      </c>
      <c r="C165" s="10" t="s">
        <v>313</v>
      </c>
      <c r="D165" s="9">
        <v>45688</v>
      </c>
      <c r="E165" s="10" t="s">
        <v>315</v>
      </c>
      <c r="F165" s="10"/>
    </row>
    <row r="166" spans="1:6" ht="39.75" customHeight="1">
      <c r="A166" s="12" t="s">
        <v>335</v>
      </c>
      <c r="B166" s="10">
        <v>31500047</v>
      </c>
      <c r="C166" s="10" t="s">
        <v>313</v>
      </c>
      <c r="D166" s="9">
        <v>45688</v>
      </c>
      <c r="E166" s="10" t="s">
        <v>315</v>
      </c>
      <c r="F166" s="10"/>
    </row>
    <row r="167" spans="1:6" ht="39.75" customHeight="1">
      <c r="A167" s="12" t="s">
        <v>335</v>
      </c>
      <c r="B167" s="10">
        <v>31500048</v>
      </c>
      <c r="C167" s="10" t="s">
        <v>313</v>
      </c>
      <c r="D167" s="9">
        <v>45688</v>
      </c>
      <c r="E167" s="10" t="s">
        <v>315</v>
      </c>
      <c r="F167" s="10"/>
    </row>
    <row r="168" spans="1:6" ht="39.75" customHeight="1">
      <c r="A168" s="12" t="s">
        <v>335</v>
      </c>
      <c r="B168" s="10">
        <v>31500049</v>
      </c>
      <c r="C168" s="10" t="s">
        <v>313</v>
      </c>
      <c r="D168" s="9">
        <v>45688</v>
      </c>
      <c r="E168" s="10" t="s">
        <v>315</v>
      </c>
      <c r="F168" s="10"/>
    </row>
    <row r="169" spans="1:6" ht="39.75" customHeight="1">
      <c r="A169" s="12" t="s">
        <v>335</v>
      </c>
      <c r="B169" s="10">
        <v>31500051</v>
      </c>
      <c r="C169" s="10" t="s">
        <v>313</v>
      </c>
      <c r="D169" s="9">
        <v>45688</v>
      </c>
      <c r="E169" s="10" t="s">
        <v>315</v>
      </c>
      <c r="F169" s="10"/>
    </row>
    <row r="170" spans="1:6" ht="39.75" customHeight="1">
      <c r="A170" s="12" t="s">
        <v>335</v>
      </c>
      <c r="B170" s="10">
        <v>31500052</v>
      </c>
      <c r="C170" s="10" t="s">
        <v>313</v>
      </c>
      <c r="D170" s="9">
        <v>45688</v>
      </c>
      <c r="E170" s="10" t="s">
        <v>315</v>
      </c>
      <c r="F170" s="10"/>
    </row>
    <row r="171" spans="1:6" ht="39.75" customHeight="1">
      <c r="A171" s="12" t="s">
        <v>335</v>
      </c>
      <c r="B171" s="10">
        <v>31500053</v>
      </c>
      <c r="C171" s="10" t="s">
        <v>313</v>
      </c>
      <c r="D171" s="9">
        <v>45688</v>
      </c>
      <c r="E171" s="10" t="s">
        <v>315</v>
      </c>
      <c r="F171" s="10"/>
    </row>
    <row r="172" spans="1:6" ht="39.75" customHeight="1">
      <c r="A172" s="12" t="s">
        <v>335</v>
      </c>
      <c r="B172" s="10">
        <v>31500054</v>
      </c>
      <c r="C172" s="10" t="s">
        <v>313</v>
      </c>
      <c r="D172" s="9">
        <v>45688</v>
      </c>
      <c r="E172" s="10" t="s">
        <v>315</v>
      </c>
      <c r="F172" s="10"/>
    </row>
    <row r="173" spans="1:6" ht="39.75" customHeight="1">
      <c r="A173" s="12" t="s">
        <v>335</v>
      </c>
      <c r="B173" s="10">
        <v>31500055</v>
      </c>
      <c r="C173" s="10" t="s">
        <v>313</v>
      </c>
      <c r="D173" s="9">
        <v>45688</v>
      </c>
      <c r="E173" s="10" t="s">
        <v>315</v>
      </c>
      <c r="F173" s="10"/>
    </row>
    <row r="174" spans="1:6" ht="39.75" customHeight="1">
      <c r="A174" s="10" t="s">
        <v>335</v>
      </c>
      <c r="B174" s="10">
        <v>31500054</v>
      </c>
      <c r="C174" s="10" t="s">
        <v>36</v>
      </c>
      <c r="D174" s="9">
        <v>45688</v>
      </c>
      <c r="E174" s="10" t="s">
        <v>315</v>
      </c>
      <c r="F174" s="10" t="s">
        <v>338</v>
      </c>
    </row>
    <row r="175" spans="1:6" ht="39.75" customHeight="1">
      <c r="A175" s="10" t="s">
        <v>335</v>
      </c>
      <c r="B175" s="10">
        <v>31500053</v>
      </c>
      <c r="C175" s="10" t="s">
        <v>36</v>
      </c>
      <c r="D175" s="9">
        <v>45688</v>
      </c>
      <c r="E175" s="10" t="s">
        <v>315</v>
      </c>
      <c r="F175" s="10" t="s">
        <v>337</v>
      </c>
    </row>
    <row r="176" spans="1:6" ht="39.75" customHeight="1">
      <c r="A176" s="10" t="s">
        <v>335</v>
      </c>
      <c r="B176" s="10">
        <v>31500052</v>
      </c>
      <c r="C176" s="10" t="s">
        <v>36</v>
      </c>
      <c r="D176" s="9">
        <v>45688</v>
      </c>
      <c r="E176" s="10" t="s">
        <v>315</v>
      </c>
      <c r="F176" s="10" t="s">
        <v>338</v>
      </c>
    </row>
    <row r="177" spans="1:6" ht="39.75" customHeight="1">
      <c r="A177" s="10" t="s">
        <v>335</v>
      </c>
      <c r="B177" s="10">
        <v>31500051</v>
      </c>
      <c r="C177" s="10" t="s">
        <v>36</v>
      </c>
      <c r="D177" s="9">
        <v>45688</v>
      </c>
      <c r="E177" s="10" t="s">
        <v>315</v>
      </c>
      <c r="F177" s="10" t="s">
        <v>339</v>
      </c>
    </row>
    <row r="178" spans="1:6" ht="39.75" customHeight="1">
      <c r="A178" s="10" t="s">
        <v>335</v>
      </c>
      <c r="B178" s="10">
        <v>31500049</v>
      </c>
      <c r="C178" s="10" t="s">
        <v>36</v>
      </c>
      <c r="D178" s="9">
        <v>45688</v>
      </c>
      <c r="E178" s="10" t="s">
        <v>315</v>
      </c>
      <c r="F178" s="10" t="s">
        <v>340</v>
      </c>
    </row>
    <row r="179" spans="1:6" ht="39.75" customHeight="1">
      <c r="A179" s="10" t="s">
        <v>335</v>
      </c>
      <c r="B179" s="10">
        <v>31500048</v>
      </c>
      <c r="C179" s="10" t="s">
        <v>36</v>
      </c>
      <c r="D179" s="9">
        <v>45688</v>
      </c>
      <c r="E179" s="10" t="s">
        <v>315</v>
      </c>
      <c r="F179" s="10" t="s">
        <v>341</v>
      </c>
    </row>
    <row r="180" spans="1:6" ht="39.75" customHeight="1">
      <c r="A180" s="10" t="s">
        <v>335</v>
      </c>
      <c r="B180" s="10">
        <v>31500047</v>
      </c>
      <c r="C180" s="10" t="s">
        <v>36</v>
      </c>
      <c r="D180" s="9">
        <v>45688</v>
      </c>
      <c r="E180" s="10" t="s">
        <v>315</v>
      </c>
      <c r="F180" s="10" t="s">
        <v>341</v>
      </c>
    </row>
    <row r="181" spans="1:6" ht="39.75" customHeight="1">
      <c r="A181" s="10" t="s">
        <v>335</v>
      </c>
      <c r="B181" s="10">
        <v>31500046</v>
      </c>
      <c r="C181" s="10" t="s">
        <v>36</v>
      </c>
      <c r="D181" s="9">
        <v>45688</v>
      </c>
      <c r="E181" s="10" t="s">
        <v>315</v>
      </c>
      <c r="F181" s="10" t="s">
        <v>342</v>
      </c>
    </row>
    <row r="182" spans="1:6" ht="39.75" customHeight="1">
      <c r="A182" s="10" t="s">
        <v>335</v>
      </c>
      <c r="B182" s="10">
        <v>31500045</v>
      </c>
      <c r="C182" s="10" t="s">
        <v>36</v>
      </c>
      <c r="D182" s="9">
        <v>45688</v>
      </c>
      <c r="E182" s="10" t="s">
        <v>315</v>
      </c>
      <c r="F182" s="10" t="s">
        <v>343</v>
      </c>
    </row>
    <row r="183" spans="1:6" ht="39.75" customHeight="1">
      <c r="A183" s="10" t="s">
        <v>335</v>
      </c>
      <c r="B183" s="10">
        <v>31500044</v>
      </c>
      <c r="C183" s="10" t="s">
        <v>36</v>
      </c>
      <c r="D183" s="9">
        <v>45688</v>
      </c>
      <c r="E183" s="10" t="s">
        <v>315</v>
      </c>
      <c r="F183" s="10" t="s">
        <v>344</v>
      </c>
    </row>
    <row r="184" spans="1:6" ht="39.75" customHeight="1">
      <c r="A184" s="10" t="s">
        <v>335</v>
      </c>
      <c r="B184" s="10">
        <v>31500043</v>
      </c>
      <c r="C184" s="10" t="s">
        <v>36</v>
      </c>
      <c r="D184" s="9">
        <v>45688</v>
      </c>
      <c r="E184" s="10" t="s">
        <v>315</v>
      </c>
      <c r="F184" s="10" t="s">
        <v>344</v>
      </c>
    </row>
    <row r="185" spans="1:6" ht="39.75" customHeight="1">
      <c r="A185" s="10" t="s">
        <v>335</v>
      </c>
      <c r="B185" s="10">
        <v>31500042</v>
      </c>
      <c r="C185" s="10" t="s">
        <v>36</v>
      </c>
      <c r="D185" s="9">
        <v>45688</v>
      </c>
      <c r="E185" s="10" t="s">
        <v>315</v>
      </c>
      <c r="F185" s="10" t="s">
        <v>349</v>
      </c>
    </row>
    <row r="186" spans="1:6" ht="39.75" customHeight="1">
      <c r="A186" s="10" t="s">
        <v>335</v>
      </c>
      <c r="B186" s="10">
        <v>31500041</v>
      </c>
      <c r="C186" s="10" t="s">
        <v>36</v>
      </c>
      <c r="D186" s="9">
        <v>45688</v>
      </c>
      <c r="E186" s="10" t="s">
        <v>315</v>
      </c>
      <c r="F186" s="10" t="s">
        <v>344</v>
      </c>
    </row>
    <row r="187" spans="1:6" ht="39.75" customHeight="1">
      <c r="A187" s="10" t="s">
        <v>335</v>
      </c>
      <c r="B187" s="10">
        <v>31500040</v>
      </c>
      <c r="C187" s="10" t="s">
        <v>36</v>
      </c>
      <c r="D187" s="9">
        <v>45688</v>
      </c>
      <c r="E187" s="10" t="s">
        <v>315</v>
      </c>
      <c r="F187" s="10" t="s">
        <v>346</v>
      </c>
    </row>
    <row r="188" spans="1:6" ht="39.75" customHeight="1">
      <c r="A188" s="10" t="s">
        <v>335</v>
      </c>
      <c r="B188" s="10">
        <v>31500039</v>
      </c>
      <c r="C188" s="10" t="s">
        <v>36</v>
      </c>
      <c r="D188" s="9">
        <v>45688</v>
      </c>
      <c r="E188" s="10" t="s">
        <v>315</v>
      </c>
      <c r="F188" s="10" t="s">
        <v>347</v>
      </c>
    </row>
    <row r="189" spans="1:6" ht="39.75" customHeight="1">
      <c r="A189" s="10" t="s">
        <v>335</v>
      </c>
      <c r="B189" s="10">
        <v>31500038</v>
      </c>
      <c r="C189" s="10" t="s">
        <v>36</v>
      </c>
      <c r="D189" s="9">
        <v>45688</v>
      </c>
      <c r="E189" s="10" t="s">
        <v>315</v>
      </c>
      <c r="F189" s="10" t="s">
        <v>348</v>
      </c>
    </row>
    <row r="190" spans="1:6" ht="39.75" customHeight="1">
      <c r="A190" s="10" t="s">
        <v>335</v>
      </c>
      <c r="B190" s="10">
        <v>31500037</v>
      </c>
      <c r="C190" s="10" t="s">
        <v>36</v>
      </c>
      <c r="D190" s="9">
        <v>45688</v>
      </c>
      <c r="E190" s="10" t="s">
        <v>315</v>
      </c>
      <c r="F190" s="10" t="s">
        <v>345</v>
      </c>
    </row>
    <row r="191" spans="1:6" ht="39.75" customHeight="1">
      <c r="A191" s="10" t="s">
        <v>335</v>
      </c>
      <c r="B191" s="10">
        <v>31500036</v>
      </c>
      <c r="C191" s="10" t="s">
        <v>36</v>
      </c>
      <c r="D191" s="9">
        <v>45688</v>
      </c>
      <c r="E191" s="10" t="s">
        <v>315</v>
      </c>
      <c r="F191" s="10" t="s">
        <v>347</v>
      </c>
    </row>
    <row r="192" spans="1:6" ht="39.75" customHeight="1">
      <c r="A192" s="10" t="s">
        <v>335</v>
      </c>
      <c r="B192" s="10">
        <v>31500035</v>
      </c>
      <c r="C192" s="10" t="s">
        <v>36</v>
      </c>
      <c r="D192" s="9">
        <v>45688</v>
      </c>
      <c r="E192" s="10" t="s">
        <v>315</v>
      </c>
      <c r="F192" s="10" t="s">
        <v>350</v>
      </c>
    </row>
    <row r="193" spans="1:6" ht="39.75" customHeight="1">
      <c r="A193" s="10" t="s">
        <v>335</v>
      </c>
      <c r="B193" s="10">
        <v>31500033</v>
      </c>
      <c r="C193" s="10" t="s">
        <v>36</v>
      </c>
      <c r="D193" s="9">
        <v>45688</v>
      </c>
      <c r="E193" s="10" t="s">
        <v>315</v>
      </c>
      <c r="F193" s="10" t="s">
        <v>351</v>
      </c>
    </row>
    <row r="194" spans="1:6" ht="39.75" customHeight="1">
      <c r="A194" s="10" t="s">
        <v>335</v>
      </c>
      <c r="B194" s="10">
        <v>31500031</v>
      </c>
      <c r="C194" s="10" t="s">
        <v>36</v>
      </c>
      <c r="D194" s="9">
        <v>45688</v>
      </c>
      <c r="E194" s="10" t="s">
        <v>315</v>
      </c>
      <c r="F194" s="10" t="s">
        <v>352</v>
      </c>
    </row>
    <row r="195" spans="1:6" ht="39.75" customHeight="1">
      <c r="A195" s="10" t="s">
        <v>335</v>
      </c>
      <c r="B195" s="10">
        <v>31500028</v>
      </c>
      <c r="C195" s="10" t="s">
        <v>36</v>
      </c>
      <c r="D195" s="9">
        <v>45688</v>
      </c>
      <c r="E195" s="10" t="s">
        <v>315</v>
      </c>
      <c r="F195" s="10" t="s">
        <v>353</v>
      </c>
    </row>
    <row r="196" spans="1:6" ht="39.75" customHeight="1">
      <c r="A196" s="10" t="s">
        <v>335</v>
      </c>
      <c r="B196" s="10">
        <v>31500025</v>
      </c>
      <c r="C196" s="10" t="s">
        <v>36</v>
      </c>
      <c r="D196" s="9">
        <v>45688</v>
      </c>
      <c r="E196" s="10" t="s">
        <v>315</v>
      </c>
      <c r="F196" s="10" t="s">
        <v>354</v>
      </c>
    </row>
    <row r="197" spans="1:6" ht="39.75" customHeight="1">
      <c r="A197" s="10" t="s">
        <v>335</v>
      </c>
      <c r="B197" s="10">
        <v>31500023</v>
      </c>
      <c r="C197" s="10" t="s">
        <v>36</v>
      </c>
      <c r="D197" s="9">
        <v>45688</v>
      </c>
      <c r="E197" s="10" t="s">
        <v>315</v>
      </c>
      <c r="F197" s="10" t="s">
        <v>355</v>
      </c>
    </row>
    <row r="198" spans="1:6" ht="39.75" customHeight="1">
      <c r="A198" s="10" t="s">
        <v>335</v>
      </c>
      <c r="B198" s="10">
        <v>31500022</v>
      </c>
      <c r="C198" s="10" t="s">
        <v>36</v>
      </c>
      <c r="D198" s="9">
        <v>45688</v>
      </c>
      <c r="E198" s="10" t="s">
        <v>315</v>
      </c>
      <c r="F198" s="10" t="s">
        <v>356</v>
      </c>
    </row>
    <row r="199" spans="1:6" ht="39.75" customHeight="1">
      <c r="A199" s="10" t="s">
        <v>335</v>
      </c>
      <c r="B199" s="10">
        <v>31500021</v>
      </c>
      <c r="C199" s="10" t="s">
        <v>36</v>
      </c>
      <c r="D199" s="9">
        <v>45688</v>
      </c>
      <c r="E199" s="10" t="s">
        <v>315</v>
      </c>
      <c r="F199" s="10" t="s">
        <v>356</v>
      </c>
    </row>
    <row r="200" spans="1:6" ht="39.75" customHeight="1">
      <c r="A200" s="10" t="s">
        <v>366</v>
      </c>
      <c r="B200" s="10">
        <v>37508590</v>
      </c>
      <c r="C200" s="10" t="s">
        <v>36</v>
      </c>
      <c r="D200" s="9">
        <v>45691</v>
      </c>
      <c r="E200" s="10" t="s">
        <v>367</v>
      </c>
      <c r="F200" s="10" t="s">
        <v>368</v>
      </c>
    </row>
    <row r="201" spans="1:6" ht="39.75" customHeight="1"/>
    <row r="202" spans="1:6" ht="39.75" customHeight="1"/>
    <row r="203" spans="1:6" ht="39.75" customHeight="1"/>
    <row r="204" spans="1:6" ht="39.75" customHeight="1">
      <c r="A204" s="10" t="s">
        <v>369</v>
      </c>
      <c r="B204" s="10">
        <v>35509586</v>
      </c>
      <c r="C204" s="10" t="s">
        <v>36</v>
      </c>
      <c r="D204" s="9">
        <v>45691</v>
      </c>
      <c r="E204" s="10" t="s">
        <v>161</v>
      </c>
      <c r="F204" s="10" t="s">
        <v>370</v>
      </c>
    </row>
    <row r="205" spans="1:6" ht="39.75" customHeight="1">
      <c r="A205" s="10" t="s">
        <v>366</v>
      </c>
      <c r="B205" s="10">
        <v>35510080</v>
      </c>
      <c r="C205" s="10" t="s">
        <v>36</v>
      </c>
      <c r="D205" s="9">
        <v>45691</v>
      </c>
      <c r="E205" s="10" t="s">
        <v>367</v>
      </c>
      <c r="F205" s="10" t="s">
        <v>371</v>
      </c>
    </row>
    <row r="206" spans="1:6" ht="39.75" customHeight="1">
      <c r="A206" s="10" t="s">
        <v>366</v>
      </c>
      <c r="B206" s="10">
        <v>35510070</v>
      </c>
      <c r="C206" s="10" t="s">
        <v>36</v>
      </c>
      <c r="D206" s="9">
        <v>45691</v>
      </c>
      <c r="E206" s="10" t="s">
        <v>367</v>
      </c>
      <c r="F206" s="10" t="s">
        <v>372</v>
      </c>
    </row>
    <row r="207" spans="1:6" ht="39.75" customHeight="1">
      <c r="A207" s="10" t="s">
        <v>366</v>
      </c>
      <c r="B207" s="10">
        <v>35510055</v>
      </c>
      <c r="C207" s="10" t="s">
        <v>36</v>
      </c>
      <c r="D207" s="9">
        <v>45691</v>
      </c>
      <c r="E207" s="10" t="s">
        <v>367</v>
      </c>
      <c r="F207" s="10" t="s">
        <v>373</v>
      </c>
    </row>
    <row r="208" spans="1:6" ht="39.75" customHeight="1">
      <c r="A208" s="10" t="s">
        <v>366</v>
      </c>
      <c r="B208" s="10">
        <v>35510045</v>
      </c>
      <c r="C208" s="10" t="s">
        <v>36</v>
      </c>
      <c r="D208" s="9">
        <v>45691</v>
      </c>
      <c r="E208" s="10" t="s">
        <v>367</v>
      </c>
      <c r="F208" s="10" t="s">
        <v>374</v>
      </c>
    </row>
    <row r="209" spans="1:6" ht="39.75" customHeight="1">
      <c r="A209" s="10" t="s">
        <v>366</v>
      </c>
      <c r="B209" s="10">
        <v>35510032</v>
      </c>
      <c r="C209" s="10" t="s">
        <v>36</v>
      </c>
      <c r="D209" s="9">
        <v>45691</v>
      </c>
      <c r="E209" s="10" t="s">
        <v>367</v>
      </c>
      <c r="F209" s="10" t="s">
        <v>375</v>
      </c>
    </row>
    <row r="210" spans="1:6" ht="39.75" customHeight="1">
      <c r="A210" s="10" t="s">
        <v>366</v>
      </c>
      <c r="B210" s="10">
        <v>35510022</v>
      </c>
      <c r="C210" s="10" t="s">
        <v>36</v>
      </c>
      <c r="D210" s="9">
        <v>45691</v>
      </c>
      <c r="E210" s="10" t="s">
        <v>367</v>
      </c>
      <c r="F210" s="10" t="s">
        <v>376</v>
      </c>
    </row>
    <row r="211" spans="1:6" ht="39.75" customHeight="1">
      <c r="A211" s="10" t="s">
        <v>366</v>
      </c>
      <c r="B211" s="10">
        <v>35510009</v>
      </c>
      <c r="C211" s="10" t="s">
        <v>36</v>
      </c>
      <c r="D211" s="9">
        <v>45691</v>
      </c>
      <c r="E211" s="10" t="s">
        <v>367</v>
      </c>
      <c r="F211" s="10" t="s">
        <v>377</v>
      </c>
    </row>
    <row r="212" spans="1:6" ht="39.75" customHeight="1">
      <c r="A212" s="10" t="s">
        <v>366</v>
      </c>
      <c r="B212" s="10">
        <v>35509989</v>
      </c>
      <c r="C212" s="10" t="s">
        <v>36</v>
      </c>
      <c r="D212" s="9">
        <v>45691</v>
      </c>
      <c r="E212" s="10" t="s">
        <v>367</v>
      </c>
      <c r="F212" s="10" t="s">
        <v>378</v>
      </c>
    </row>
    <row r="213" spans="1:6" ht="39.75" customHeight="1">
      <c r="A213" s="10" t="s">
        <v>379</v>
      </c>
      <c r="B213" s="10">
        <v>35509789</v>
      </c>
      <c r="C213" s="10" t="s">
        <v>36</v>
      </c>
      <c r="D213" s="9">
        <v>45691</v>
      </c>
      <c r="E213" s="10" t="s">
        <v>291</v>
      </c>
      <c r="F213" s="10" t="s">
        <v>380</v>
      </c>
    </row>
    <row r="214" spans="1:6" ht="39.75" customHeight="1">
      <c r="A214" s="10" t="s">
        <v>379</v>
      </c>
      <c r="B214" s="10">
        <v>35509780</v>
      </c>
      <c r="C214" s="10" t="s">
        <v>36</v>
      </c>
      <c r="D214" s="9">
        <v>45691</v>
      </c>
      <c r="E214" s="10" t="s">
        <v>291</v>
      </c>
      <c r="F214" s="10" t="s">
        <v>381</v>
      </c>
    </row>
    <row r="215" spans="1:6" ht="39.75" customHeight="1">
      <c r="A215" s="10" t="s">
        <v>379</v>
      </c>
      <c r="B215" s="10">
        <v>35509774</v>
      </c>
      <c r="C215" s="10" t="s">
        <v>36</v>
      </c>
      <c r="D215" s="9">
        <v>45691</v>
      </c>
      <c r="E215" s="10" t="s">
        <v>291</v>
      </c>
      <c r="F215" s="10" t="s">
        <v>381</v>
      </c>
    </row>
    <row r="216" spans="1:6" ht="39.75" customHeight="1">
      <c r="A216" s="10" t="s">
        <v>379</v>
      </c>
      <c r="B216" s="10">
        <v>35509764</v>
      </c>
      <c r="C216" s="10" t="s">
        <v>36</v>
      </c>
      <c r="D216" s="9">
        <v>45691</v>
      </c>
      <c r="E216" s="10" t="s">
        <v>291</v>
      </c>
      <c r="F216" s="10" t="s">
        <v>382</v>
      </c>
    </row>
    <row r="217" spans="1:6" ht="39.75" customHeight="1">
      <c r="A217" s="10" t="s">
        <v>379</v>
      </c>
      <c r="B217" s="10">
        <v>35509750</v>
      </c>
      <c r="C217" s="10" t="s">
        <v>36</v>
      </c>
      <c r="D217" s="9">
        <v>45691</v>
      </c>
      <c r="E217" s="10" t="s">
        <v>291</v>
      </c>
      <c r="F217" s="10" t="s">
        <v>383</v>
      </c>
    </row>
    <row r="218" spans="1:6" ht="39.75" customHeight="1">
      <c r="A218" s="14" t="s">
        <v>384</v>
      </c>
      <c r="B218" s="10">
        <v>35506238</v>
      </c>
      <c r="C218" s="10" t="s">
        <v>36</v>
      </c>
      <c r="D218" s="9">
        <v>45691</v>
      </c>
      <c r="E218" s="10" t="s">
        <v>329</v>
      </c>
      <c r="F218" s="10" t="s">
        <v>385</v>
      </c>
    </row>
    <row r="219" spans="1:6" ht="39.75" customHeight="1">
      <c r="A219" s="14" t="s">
        <v>384</v>
      </c>
      <c r="B219" s="10">
        <v>35506199</v>
      </c>
      <c r="C219" s="10" t="s">
        <v>36</v>
      </c>
      <c r="D219" s="9">
        <v>45691</v>
      </c>
      <c r="E219" s="10" t="s">
        <v>329</v>
      </c>
      <c r="F219" s="10" t="s">
        <v>386</v>
      </c>
    </row>
    <row r="220" spans="1:6" ht="39.75" customHeight="1">
      <c r="A220" s="14" t="s">
        <v>384</v>
      </c>
      <c r="B220" s="10">
        <v>35506159</v>
      </c>
      <c r="C220" s="10" t="s">
        <v>36</v>
      </c>
      <c r="D220" s="9">
        <v>45691</v>
      </c>
      <c r="E220" s="10" t="s">
        <v>329</v>
      </c>
      <c r="F220" s="10" t="s">
        <v>387</v>
      </c>
    </row>
    <row r="221" spans="1:6" ht="39.75" customHeight="1">
      <c r="A221" s="14" t="s">
        <v>384</v>
      </c>
      <c r="B221" s="10">
        <v>35506111</v>
      </c>
      <c r="C221" s="10" t="s">
        <v>36</v>
      </c>
      <c r="D221" s="9">
        <v>45691</v>
      </c>
      <c r="E221" s="10" t="s">
        <v>329</v>
      </c>
      <c r="F221" s="10" t="s">
        <v>388</v>
      </c>
    </row>
    <row r="222" spans="1:6" ht="39.75" customHeight="1">
      <c r="A222" s="14" t="s">
        <v>384</v>
      </c>
      <c r="B222" s="10">
        <v>35506054</v>
      </c>
      <c r="C222" s="10" t="s">
        <v>36</v>
      </c>
      <c r="D222" s="9">
        <v>45691</v>
      </c>
      <c r="E222" s="10" t="s">
        <v>329</v>
      </c>
      <c r="F222" s="10" t="s">
        <v>389</v>
      </c>
    </row>
    <row r="223" spans="1:6" ht="39.75" customHeight="1">
      <c r="A223" s="14" t="s">
        <v>384</v>
      </c>
      <c r="B223" s="10">
        <v>35505986</v>
      </c>
      <c r="C223" s="10" t="s">
        <v>36</v>
      </c>
      <c r="D223" s="9">
        <v>45691</v>
      </c>
      <c r="E223" s="10" t="s">
        <v>329</v>
      </c>
      <c r="F223" s="10" t="s">
        <v>390</v>
      </c>
    </row>
    <row r="224" spans="1:6" ht="39.75" customHeight="1">
      <c r="A224" s="14" t="s">
        <v>328</v>
      </c>
      <c r="B224" s="10">
        <v>35505134</v>
      </c>
      <c r="C224" s="10" t="s">
        <v>36</v>
      </c>
      <c r="D224" s="9">
        <v>45691</v>
      </c>
      <c r="E224" s="10" t="s">
        <v>329</v>
      </c>
      <c r="F224" s="10" t="s">
        <v>333</v>
      </c>
    </row>
    <row r="225" spans="1:6" ht="39.75" customHeight="1">
      <c r="A225" s="14" t="s">
        <v>328</v>
      </c>
      <c r="B225" s="10">
        <v>35505087</v>
      </c>
      <c r="C225" s="10" t="s">
        <v>36</v>
      </c>
      <c r="D225" s="9">
        <v>45691</v>
      </c>
      <c r="E225" s="10" t="s">
        <v>329</v>
      </c>
      <c r="F225" s="10" t="s">
        <v>332</v>
      </c>
    </row>
    <row r="226" spans="1:6" ht="39.75" customHeight="1">
      <c r="A226" s="14" t="s">
        <v>328</v>
      </c>
      <c r="B226" s="10">
        <v>35504960</v>
      </c>
      <c r="C226" s="10" t="s">
        <v>36</v>
      </c>
      <c r="D226" s="9">
        <v>45691</v>
      </c>
      <c r="E226" s="10" t="s">
        <v>329</v>
      </c>
      <c r="F226" s="10" t="s">
        <v>391</v>
      </c>
    </row>
    <row r="227" spans="1:6" ht="39.75" customHeight="1">
      <c r="A227" s="14" t="s">
        <v>328</v>
      </c>
      <c r="B227" s="10">
        <v>35504929</v>
      </c>
      <c r="C227" s="10" t="s">
        <v>36</v>
      </c>
      <c r="D227" s="9">
        <v>45691</v>
      </c>
      <c r="E227" s="10" t="s">
        <v>329</v>
      </c>
      <c r="F227" s="10" t="s">
        <v>330</v>
      </c>
    </row>
    <row r="228" spans="1:6" ht="39.75" customHeight="1">
      <c r="A228" s="14" t="s">
        <v>328</v>
      </c>
      <c r="B228" s="10">
        <v>35504891</v>
      </c>
      <c r="C228" s="10" t="s">
        <v>36</v>
      </c>
      <c r="D228" s="9">
        <v>45691</v>
      </c>
      <c r="E228" s="10" t="s">
        <v>329</v>
      </c>
      <c r="F228" s="10" t="s">
        <v>331</v>
      </c>
    </row>
    <row r="229" spans="1:6" ht="39.75" customHeight="1">
      <c r="A229" s="14" t="s">
        <v>328</v>
      </c>
      <c r="B229" s="10">
        <v>35504415</v>
      </c>
      <c r="C229" s="10" t="s">
        <v>36</v>
      </c>
      <c r="D229" s="9">
        <v>45691</v>
      </c>
      <c r="E229" s="10" t="s">
        <v>329</v>
      </c>
      <c r="F229" s="10" t="s">
        <v>334</v>
      </c>
    </row>
    <row r="230" spans="1:6" ht="39.75" customHeight="1">
      <c r="A230" s="14" t="s">
        <v>392</v>
      </c>
      <c r="B230" s="10">
        <v>35501743</v>
      </c>
      <c r="C230" s="10" t="s">
        <v>36</v>
      </c>
      <c r="D230" s="9">
        <v>45691</v>
      </c>
      <c r="E230" s="10" t="s">
        <v>315</v>
      </c>
      <c r="F230" s="10" t="s">
        <v>393</v>
      </c>
    </row>
    <row r="231" spans="1:6" ht="39.75" customHeight="1">
      <c r="A231" s="14" t="s">
        <v>392</v>
      </c>
      <c r="B231" s="10">
        <v>35501713</v>
      </c>
      <c r="C231" s="10" t="s">
        <v>36</v>
      </c>
      <c r="D231" s="9">
        <v>45691</v>
      </c>
      <c r="E231" s="10" t="s">
        <v>315</v>
      </c>
      <c r="F231" s="10" t="s">
        <v>393</v>
      </c>
    </row>
    <row r="232" spans="1:6" ht="39.75" customHeight="1">
      <c r="A232" s="14" t="s">
        <v>392</v>
      </c>
      <c r="B232" s="10">
        <v>35501673</v>
      </c>
      <c r="C232" s="10" t="s">
        <v>36</v>
      </c>
      <c r="D232" s="9">
        <v>45691</v>
      </c>
      <c r="E232" s="10" t="s">
        <v>315</v>
      </c>
      <c r="F232" s="10" t="s">
        <v>394</v>
      </c>
    </row>
    <row r="233" spans="1:6" ht="39.75" customHeight="1">
      <c r="A233" s="14" t="s">
        <v>392</v>
      </c>
      <c r="B233" s="10">
        <v>35501638</v>
      </c>
      <c r="C233" s="10" t="s">
        <v>36</v>
      </c>
      <c r="D233" s="9">
        <v>45691</v>
      </c>
      <c r="E233" s="10" t="s">
        <v>315</v>
      </c>
      <c r="F233" s="10" t="s">
        <v>395</v>
      </c>
    </row>
    <row r="234" spans="1:6" ht="39.75" customHeight="1">
      <c r="A234" s="14" t="s">
        <v>392</v>
      </c>
      <c r="B234" s="10">
        <v>35501580</v>
      </c>
      <c r="C234" s="10" t="s">
        <v>36</v>
      </c>
      <c r="D234" s="9">
        <v>45691</v>
      </c>
      <c r="E234" s="10" t="s">
        <v>315</v>
      </c>
      <c r="F234" s="10" t="s">
        <v>393</v>
      </c>
    </row>
    <row r="235" spans="1:6" ht="39.75" customHeight="1">
      <c r="A235" s="14" t="s">
        <v>392</v>
      </c>
      <c r="B235" s="10">
        <v>35501515</v>
      </c>
      <c r="C235" s="10" t="s">
        <v>36</v>
      </c>
      <c r="D235" s="9">
        <v>45691</v>
      </c>
      <c r="E235" s="10" t="s">
        <v>315</v>
      </c>
      <c r="F235" s="10" t="s">
        <v>396</v>
      </c>
    </row>
    <row r="236" spans="1:6" ht="39.75" customHeight="1">
      <c r="A236" s="14" t="s">
        <v>392</v>
      </c>
      <c r="B236" s="10">
        <v>35501463</v>
      </c>
      <c r="C236" s="10" t="s">
        <v>36</v>
      </c>
      <c r="D236" s="9">
        <v>45691</v>
      </c>
      <c r="E236" s="10" t="s">
        <v>315</v>
      </c>
      <c r="F236" s="10" t="s">
        <v>397</v>
      </c>
    </row>
    <row r="237" spans="1:6" ht="39.75" customHeight="1">
      <c r="A237" s="14" t="s">
        <v>392</v>
      </c>
      <c r="B237" s="10">
        <v>35501422</v>
      </c>
      <c r="C237" s="10" t="s">
        <v>36</v>
      </c>
      <c r="D237" s="9">
        <v>45691</v>
      </c>
      <c r="E237" s="10" t="s">
        <v>315</v>
      </c>
      <c r="F237" s="10" t="s">
        <v>398</v>
      </c>
    </row>
    <row r="238" spans="1:6" ht="39.75" customHeight="1">
      <c r="A238" s="14" t="s">
        <v>392</v>
      </c>
      <c r="B238" s="10">
        <v>35501396</v>
      </c>
      <c r="C238" s="10" t="s">
        <v>36</v>
      </c>
      <c r="D238" s="9">
        <v>45691</v>
      </c>
      <c r="E238" s="10" t="s">
        <v>315</v>
      </c>
      <c r="F238" s="10" t="s">
        <v>398</v>
      </c>
    </row>
    <row r="239" spans="1:6" ht="39.75" customHeight="1">
      <c r="A239" s="14" t="s">
        <v>392</v>
      </c>
      <c r="B239" s="10">
        <v>35501337</v>
      </c>
      <c r="C239" s="10" t="s">
        <v>36</v>
      </c>
      <c r="D239" s="9">
        <v>45691</v>
      </c>
      <c r="E239" s="10" t="s">
        <v>315</v>
      </c>
      <c r="F239" s="10" t="s">
        <v>397</v>
      </c>
    </row>
    <row r="240" spans="1:6" ht="39.75" customHeight="1">
      <c r="A240" s="14" t="s">
        <v>392</v>
      </c>
      <c r="B240" s="10">
        <v>35501254</v>
      </c>
      <c r="C240" s="10" t="s">
        <v>36</v>
      </c>
      <c r="D240" s="9">
        <v>45691</v>
      </c>
      <c r="E240" s="10" t="s">
        <v>315</v>
      </c>
      <c r="F240" s="10" t="s">
        <v>399</v>
      </c>
    </row>
    <row r="241" spans="1:6" ht="39.75" customHeight="1">
      <c r="A241" s="14" t="s">
        <v>392</v>
      </c>
      <c r="B241" s="10">
        <v>35501215</v>
      </c>
      <c r="C241" s="10" t="s">
        <v>36</v>
      </c>
      <c r="D241" s="9">
        <v>45691</v>
      </c>
      <c r="E241" s="10" t="s">
        <v>315</v>
      </c>
      <c r="F241" s="10" t="s">
        <v>400</v>
      </c>
    </row>
    <row r="242" spans="1:6" ht="39.75" customHeight="1">
      <c r="A242" s="14" t="s">
        <v>392</v>
      </c>
      <c r="B242" s="10">
        <v>35501170</v>
      </c>
      <c r="C242" s="10" t="s">
        <v>36</v>
      </c>
      <c r="D242" s="9">
        <v>45691</v>
      </c>
      <c r="E242" s="10" t="s">
        <v>315</v>
      </c>
      <c r="F242" s="10" t="s">
        <v>401</v>
      </c>
    </row>
    <row r="243" spans="1:6" ht="39.75" customHeight="1">
      <c r="A243" s="14" t="s">
        <v>392</v>
      </c>
      <c r="B243" s="10">
        <v>35501116</v>
      </c>
      <c r="C243" s="10" t="s">
        <v>36</v>
      </c>
      <c r="D243" s="9">
        <v>45691</v>
      </c>
      <c r="E243" s="10" t="s">
        <v>315</v>
      </c>
      <c r="F243" s="10" t="s">
        <v>402</v>
      </c>
    </row>
    <row r="244" spans="1:6" ht="39.75" customHeight="1">
      <c r="A244" s="14" t="s">
        <v>392</v>
      </c>
      <c r="B244" s="10">
        <v>35501047</v>
      </c>
      <c r="C244" s="10" t="s">
        <v>36</v>
      </c>
      <c r="D244" s="9">
        <v>45691</v>
      </c>
      <c r="E244" s="10" t="s">
        <v>315</v>
      </c>
      <c r="F244" s="10" t="s">
        <v>403</v>
      </c>
    </row>
    <row r="245" spans="1:6" ht="39.75" customHeight="1">
      <c r="A245" s="14" t="s">
        <v>392</v>
      </c>
      <c r="B245" s="10">
        <v>35501040</v>
      </c>
      <c r="C245" s="10" t="s">
        <v>36</v>
      </c>
      <c r="D245" s="9">
        <v>45691</v>
      </c>
      <c r="E245" s="10" t="s">
        <v>315</v>
      </c>
      <c r="F245" s="10" t="s">
        <v>404</v>
      </c>
    </row>
    <row r="246" spans="1:6" ht="39.75" customHeight="1">
      <c r="A246" s="14" t="s">
        <v>392</v>
      </c>
      <c r="B246" s="10">
        <v>35501016</v>
      </c>
      <c r="C246" s="10" t="s">
        <v>36</v>
      </c>
      <c r="D246" s="9">
        <v>45691</v>
      </c>
      <c r="E246" s="10" t="s">
        <v>315</v>
      </c>
      <c r="F246" s="10" t="s">
        <v>405</v>
      </c>
    </row>
    <row r="247" spans="1:6" ht="39.75" customHeight="1">
      <c r="A247" s="14" t="s">
        <v>392</v>
      </c>
      <c r="B247" s="10">
        <v>35500932</v>
      </c>
      <c r="C247" s="10" t="s">
        <v>36</v>
      </c>
      <c r="D247" s="9">
        <v>45691</v>
      </c>
      <c r="E247" s="10" t="s">
        <v>315</v>
      </c>
      <c r="F247" s="10" t="s">
        <v>406</v>
      </c>
    </row>
    <row r="248" spans="1:6" ht="39.75" customHeight="1">
      <c r="A248" s="14" t="s">
        <v>392</v>
      </c>
      <c r="B248" s="10">
        <v>35500884</v>
      </c>
      <c r="C248" s="10" t="s">
        <v>36</v>
      </c>
      <c r="D248" s="9">
        <v>45691</v>
      </c>
      <c r="E248" s="10" t="s">
        <v>315</v>
      </c>
      <c r="F248" s="10" t="s">
        <v>407</v>
      </c>
    </row>
    <row r="249" spans="1:6" ht="39.75" customHeight="1">
      <c r="A249" s="14" t="s">
        <v>392</v>
      </c>
      <c r="B249" s="10">
        <v>35500859</v>
      </c>
      <c r="C249" s="10" t="s">
        <v>36</v>
      </c>
      <c r="D249" s="9">
        <v>45691</v>
      </c>
      <c r="E249" s="10" t="s">
        <v>315</v>
      </c>
      <c r="F249" s="10" t="s">
        <v>408</v>
      </c>
    </row>
    <row r="250" spans="1:6" ht="39.75" customHeight="1">
      <c r="A250" s="14" t="s">
        <v>392</v>
      </c>
      <c r="B250" s="10">
        <v>35500813</v>
      </c>
      <c r="C250" s="10" t="s">
        <v>36</v>
      </c>
      <c r="D250" s="9">
        <v>45691</v>
      </c>
      <c r="E250" s="10" t="s">
        <v>315</v>
      </c>
      <c r="F250" s="10" t="s">
        <v>409</v>
      </c>
    </row>
    <row r="251" spans="1:6" ht="39.75" customHeight="1">
      <c r="A251" s="14" t="s">
        <v>392</v>
      </c>
      <c r="B251" s="10">
        <v>35500760</v>
      </c>
      <c r="C251" s="10" t="s">
        <v>36</v>
      </c>
      <c r="D251" s="9">
        <v>45691</v>
      </c>
      <c r="E251" s="10" t="s">
        <v>315</v>
      </c>
      <c r="F251" s="10" t="s">
        <v>410</v>
      </c>
    </row>
    <row r="252" spans="1:6" ht="39.75" customHeight="1">
      <c r="A252" s="14" t="s">
        <v>392</v>
      </c>
      <c r="B252" s="10">
        <v>35500721</v>
      </c>
      <c r="C252" s="10" t="s">
        <v>36</v>
      </c>
      <c r="D252" s="9">
        <v>45691</v>
      </c>
      <c r="E252" s="10" t="s">
        <v>315</v>
      </c>
      <c r="F252" s="10" t="s">
        <v>407</v>
      </c>
    </row>
    <row r="253" spans="1:6" ht="39.75" customHeight="1">
      <c r="A253" s="10" t="s">
        <v>335</v>
      </c>
      <c r="B253" s="10">
        <v>31500055</v>
      </c>
      <c r="C253" s="10" t="s">
        <v>36</v>
      </c>
      <c r="D253" s="9">
        <v>45691</v>
      </c>
      <c r="E253" s="10" t="s">
        <v>315</v>
      </c>
      <c r="F253" s="10" t="s">
        <v>336</v>
      </c>
    </row>
    <row r="254" spans="1:6" ht="39.75" customHeight="1">
      <c r="A254" s="12" t="s">
        <v>392</v>
      </c>
      <c r="B254" s="10">
        <v>35501396</v>
      </c>
      <c r="C254" s="10" t="s">
        <v>313</v>
      </c>
      <c r="D254" s="16">
        <v>45692</v>
      </c>
      <c r="E254" s="10" t="s">
        <v>315</v>
      </c>
      <c r="F254" s="17" t="s">
        <v>411</v>
      </c>
    </row>
    <row r="255" spans="1:6" ht="39.75" customHeight="1">
      <c r="A255" s="12" t="s">
        <v>392</v>
      </c>
      <c r="B255" s="10">
        <v>35501422</v>
      </c>
      <c r="C255" s="10" t="s">
        <v>313</v>
      </c>
      <c r="D255" s="16">
        <v>45692</v>
      </c>
      <c r="E255" s="10" t="s">
        <v>315</v>
      </c>
      <c r="F255" s="17" t="s">
        <v>412</v>
      </c>
    </row>
    <row r="256" spans="1:6" ht="39.75" customHeight="1">
      <c r="A256" s="12" t="s">
        <v>392</v>
      </c>
      <c r="B256" s="10">
        <v>35501463</v>
      </c>
      <c r="C256" s="10" t="s">
        <v>313</v>
      </c>
      <c r="D256" s="16">
        <v>45692</v>
      </c>
      <c r="E256" s="10" t="s">
        <v>315</v>
      </c>
      <c r="F256" s="17" t="s">
        <v>413</v>
      </c>
    </row>
    <row r="257" spans="1:6" ht="39.75" customHeight="1">
      <c r="A257" s="12" t="s">
        <v>392</v>
      </c>
      <c r="B257" s="10">
        <v>35500721</v>
      </c>
      <c r="C257" s="10" t="s">
        <v>313</v>
      </c>
      <c r="D257" s="16">
        <v>45692</v>
      </c>
      <c r="E257" s="10" t="s">
        <v>315</v>
      </c>
      <c r="F257" s="17" t="s">
        <v>414</v>
      </c>
    </row>
    <row r="258" spans="1:6" ht="39.75" customHeight="1">
      <c r="A258" s="12" t="s">
        <v>392</v>
      </c>
      <c r="B258" s="10">
        <v>35500760</v>
      </c>
      <c r="C258" s="10" t="s">
        <v>313</v>
      </c>
      <c r="D258" s="16">
        <v>45692</v>
      </c>
      <c r="E258" s="10" t="s">
        <v>315</v>
      </c>
      <c r="F258" s="17" t="s">
        <v>415</v>
      </c>
    </row>
    <row r="259" spans="1:6" ht="39.75" customHeight="1">
      <c r="A259" s="12" t="s">
        <v>392</v>
      </c>
      <c r="B259" s="10">
        <v>35500813</v>
      </c>
      <c r="C259" s="10" t="s">
        <v>313</v>
      </c>
      <c r="D259" s="16">
        <v>45692</v>
      </c>
      <c r="E259" s="10" t="s">
        <v>315</v>
      </c>
      <c r="F259" s="17" t="s">
        <v>416</v>
      </c>
    </row>
    <row r="260" spans="1:6" ht="39.75" customHeight="1">
      <c r="A260" s="12" t="s">
        <v>392</v>
      </c>
      <c r="B260" s="10">
        <v>35500859</v>
      </c>
      <c r="C260" s="10" t="s">
        <v>313</v>
      </c>
      <c r="D260" s="16">
        <v>45692</v>
      </c>
      <c r="E260" s="10" t="s">
        <v>315</v>
      </c>
      <c r="F260" s="17" t="s">
        <v>417</v>
      </c>
    </row>
    <row r="261" spans="1:6" ht="39.75" customHeight="1">
      <c r="A261" s="12" t="s">
        <v>392</v>
      </c>
      <c r="B261" s="10">
        <v>35500884</v>
      </c>
      <c r="C261" s="10" t="s">
        <v>313</v>
      </c>
      <c r="D261" s="16">
        <v>45692</v>
      </c>
      <c r="E261" s="10" t="s">
        <v>315</v>
      </c>
      <c r="F261" s="17" t="s">
        <v>418</v>
      </c>
    </row>
    <row r="262" spans="1:6" ht="39.75" customHeight="1">
      <c r="A262" s="12" t="s">
        <v>392</v>
      </c>
      <c r="B262" s="10">
        <v>35500932</v>
      </c>
      <c r="C262" s="10" t="s">
        <v>313</v>
      </c>
      <c r="D262" s="16">
        <v>45692</v>
      </c>
      <c r="E262" s="10" t="s">
        <v>315</v>
      </c>
      <c r="F262" s="17" t="s">
        <v>419</v>
      </c>
    </row>
    <row r="263" spans="1:6" ht="39.75" customHeight="1">
      <c r="A263" s="12" t="s">
        <v>392</v>
      </c>
      <c r="B263" s="10">
        <v>35501016</v>
      </c>
      <c r="C263" s="10" t="s">
        <v>313</v>
      </c>
      <c r="D263" s="16">
        <v>45692</v>
      </c>
      <c r="E263" s="10" t="s">
        <v>315</v>
      </c>
      <c r="F263" s="17" t="s">
        <v>420</v>
      </c>
    </row>
    <row r="264" spans="1:6" ht="39.75" customHeight="1">
      <c r="A264" s="12" t="s">
        <v>392</v>
      </c>
      <c r="B264" s="10">
        <v>35501040</v>
      </c>
      <c r="C264" s="10" t="s">
        <v>313</v>
      </c>
      <c r="D264" s="16">
        <v>45692</v>
      </c>
      <c r="E264" s="10" t="s">
        <v>315</v>
      </c>
      <c r="F264" s="17" t="s">
        <v>421</v>
      </c>
    </row>
    <row r="265" spans="1:6" ht="39.75" customHeight="1">
      <c r="A265" s="12" t="s">
        <v>392</v>
      </c>
      <c r="B265" s="10">
        <v>35501047</v>
      </c>
      <c r="C265" s="10" t="s">
        <v>313</v>
      </c>
      <c r="D265" s="16">
        <v>45692</v>
      </c>
      <c r="E265" s="10" t="s">
        <v>315</v>
      </c>
      <c r="F265" s="17" t="s">
        <v>422</v>
      </c>
    </row>
    <row r="266" spans="1:6" ht="39.75" customHeight="1">
      <c r="A266" s="12" t="s">
        <v>392</v>
      </c>
      <c r="B266" s="10">
        <v>35501116</v>
      </c>
      <c r="C266" s="10" t="s">
        <v>313</v>
      </c>
      <c r="D266" s="16">
        <v>45692</v>
      </c>
      <c r="E266" s="10" t="s">
        <v>315</v>
      </c>
      <c r="F266" s="17" t="s">
        <v>423</v>
      </c>
    </row>
    <row r="267" spans="1:6" ht="39.75" customHeight="1">
      <c r="A267" s="12" t="s">
        <v>392</v>
      </c>
      <c r="B267" s="10">
        <v>35501170</v>
      </c>
      <c r="C267" s="10" t="s">
        <v>313</v>
      </c>
      <c r="D267" s="16">
        <v>45692</v>
      </c>
      <c r="E267" s="10" t="s">
        <v>315</v>
      </c>
      <c r="F267" s="17" t="s">
        <v>424</v>
      </c>
    </row>
    <row r="268" spans="1:6" ht="39.75" customHeight="1">
      <c r="A268" s="12" t="s">
        <v>392</v>
      </c>
      <c r="B268" s="10">
        <v>35501215</v>
      </c>
      <c r="C268" s="10" t="s">
        <v>313</v>
      </c>
      <c r="D268" s="16">
        <v>45692</v>
      </c>
      <c r="E268" s="10" t="s">
        <v>315</v>
      </c>
      <c r="F268" s="17" t="s">
        <v>425</v>
      </c>
    </row>
    <row r="269" spans="1:6" ht="39.75" customHeight="1">
      <c r="A269" s="12" t="s">
        <v>392</v>
      </c>
      <c r="B269" s="10">
        <v>35501254</v>
      </c>
      <c r="C269" s="10" t="s">
        <v>313</v>
      </c>
      <c r="D269" s="16">
        <v>45692</v>
      </c>
      <c r="E269" s="10" t="s">
        <v>315</v>
      </c>
      <c r="F269" s="17" t="s">
        <v>426</v>
      </c>
    </row>
    <row r="270" spans="1:6" ht="39.75" customHeight="1">
      <c r="A270" s="12" t="s">
        <v>392</v>
      </c>
      <c r="B270" s="10">
        <v>35501337</v>
      </c>
      <c r="C270" s="10" t="s">
        <v>313</v>
      </c>
      <c r="D270" s="16">
        <v>45692</v>
      </c>
      <c r="E270" s="10" t="s">
        <v>315</v>
      </c>
      <c r="F270" s="17" t="s">
        <v>427</v>
      </c>
    </row>
    <row r="271" spans="1:6" ht="39.75" customHeight="1">
      <c r="A271" s="12" t="s">
        <v>392</v>
      </c>
      <c r="B271" s="10">
        <v>35501515</v>
      </c>
      <c r="C271" s="10" t="s">
        <v>313</v>
      </c>
      <c r="D271" s="16">
        <v>45692</v>
      </c>
      <c r="E271" s="10" t="s">
        <v>315</v>
      </c>
      <c r="F271" s="17" t="s">
        <v>428</v>
      </c>
    </row>
    <row r="272" spans="1:6" ht="39.75" customHeight="1">
      <c r="A272" s="12" t="s">
        <v>392</v>
      </c>
      <c r="B272" s="10">
        <v>35501713</v>
      </c>
      <c r="C272" s="10" t="s">
        <v>313</v>
      </c>
      <c r="D272" s="16">
        <v>45692</v>
      </c>
      <c r="E272" s="10" t="s">
        <v>315</v>
      </c>
      <c r="F272" s="17" t="s">
        <v>429</v>
      </c>
    </row>
    <row r="273" spans="1:6" ht="39.75" customHeight="1">
      <c r="A273" s="12" t="s">
        <v>392</v>
      </c>
      <c r="B273" s="10">
        <v>35501638</v>
      </c>
      <c r="C273" s="10" t="s">
        <v>313</v>
      </c>
      <c r="D273" s="16">
        <v>45692</v>
      </c>
      <c r="E273" s="10" t="s">
        <v>315</v>
      </c>
      <c r="F273" s="17" t="s">
        <v>430</v>
      </c>
    </row>
    <row r="274" spans="1:6" ht="39.75" customHeight="1">
      <c r="A274" s="12" t="s">
        <v>392</v>
      </c>
      <c r="B274" s="10">
        <v>35501673</v>
      </c>
      <c r="C274" s="10" t="s">
        <v>313</v>
      </c>
      <c r="D274" s="16">
        <v>45692</v>
      </c>
      <c r="E274" s="10" t="s">
        <v>315</v>
      </c>
      <c r="F274" s="17" t="s">
        <v>431</v>
      </c>
    </row>
    <row r="275" spans="1:6" ht="39.75" customHeight="1">
      <c r="A275" s="12" t="s">
        <v>392</v>
      </c>
      <c r="B275" s="10">
        <v>35501743</v>
      </c>
      <c r="C275" s="10" t="s">
        <v>313</v>
      </c>
      <c r="D275" s="16">
        <v>45692</v>
      </c>
      <c r="E275" s="10" t="s">
        <v>315</v>
      </c>
      <c r="F275" s="17" t="s">
        <v>432</v>
      </c>
    </row>
    <row r="276" spans="1:6" ht="39.75" customHeight="1">
      <c r="A276" s="10" t="s">
        <v>433</v>
      </c>
      <c r="B276" s="10">
        <v>36501666</v>
      </c>
      <c r="C276" s="10" t="s">
        <v>36</v>
      </c>
      <c r="D276" s="9">
        <v>45692</v>
      </c>
      <c r="E276" s="10" t="s">
        <v>161</v>
      </c>
      <c r="F276" s="10" t="s">
        <v>434</v>
      </c>
    </row>
    <row r="277" spans="1:6" ht="39.75" customHeight="1">
      <c r="A277" s="10" t="s">
        <v>433</v>
      </c>
      <c r="B277" s="10">
        <v>36501547</v>
      </c>
      <c r="C277" s="10" t="s">
        <v>36</v>
      </c>
      <c r="D277" s="9">
        <v>45692</v>
      </c>
      <c r="E277" s="10" t="s">
        <v>161</v>
      </c>
      <c r="F277" s="10" t="s">
        <v>435</v>
      </c>
    </row>
    <row r="278" spans="1:6" ht="39.75" customHeight="1">
      <c r="A278" s="10" t="s">
        <v>433</v>
      </c>
      <c r="B278" s="10">
        <v>36501450</v>
      </c>
      <c r="C278" s="10" t="s">
        <v>36</v>
      </c>
      <c r="D278" s="9">
        <v>45692</v>
      </c>
      <c r="E278" s="10" t="s">
        <v>161</v>
      </c>
      <c r="F278" s="10" t="s">
        <v>436</v>
      </c>
    </row>
    <row r="279" spans="1:6" ht="39.75" customHeight="1">
      <c r="A279" s="10" t="s">
        <v>433</v>
      </c>
      <c r="B279" s="10">
        <v>36501361</v>
      </c>
      <c r="C279" s="10" t="s">
        <v>36</v>
      </c>
      <c r="D279" s="9">
        <v>45692</v>
      </c>
      <c r="E279" s="10" t="s">
        <v>161</v>
      </c>
      <c r="F279" s="10" t="s">
        <v>437</v>
      </c>
    </row>
    <row r="280" spans="1:6" ht="39.75" customHeight="1">
      <c r="A280" s="10" t="s">
        <v>433</v>
      </c>
      <c r="B280" s="10">
        <v>35509604</v>
      </c>
      <c r="C280" s="10" t="s">
        <v>36</v>
      </c>
      <c r="D280" s="9">
        <v>45692</v>
      </c>
      <c r="E280" s="10" t="s">
        <v>161</v>
      </c>
      <c r="F280" s="10" t="s">
        <v>370</v>
      </c>
    </row>
    <row r="325" spans="1:6" ht="39.75" customHeight="1">
      <c r="A325" s="12" t="s">
        <v>438</v>
      </c>
      <c r="B325" s="15">
        <v>37508603</v>
      </c>
      <c r="C325" s="10" t="s">
        <v>313</v>
      </c>
      <c r="D325" s="16">
        <v>45694</v>
      </c>
      <c r="E325" s="12" t="s">
        <v>439</v>
      </c>
      <c r="F325" s="17" t="s">
        <v>440</v>
      </c>
    </row>
    <row r="326" spans="1:6" ht="39.75" customHeight="1">
      <c r="A326" s="12" t="s">
        <v>438</v>
      </c>
      <c r="B326" s="15">
        <v>37508593</v>
      </c>
      <c r="C326" s="10" t="s">
        <v>313</v>
      </c>
      <c r="D326" s="16">
        <v>45694</v>
      </c>
      <c r="E326" s="12" t="s">
        <v>439</v>
      </c>
      <c r="F326" s="17" t="s">
        <v>441</v>
      </c>
    </row>
    <row r="327" spans="1:6" ht="39.75" customHeight="1">
      <c r="A327" s="12" t="s">
        <v>438</v>
      </c>
      <c r="B327" s="15">
        <v>37508575</v>
      </c>
      <c r="C327" s="10" t="s">
        <v>313</v>
      </c>
      <c r="D327" s="16">
        <v>45694</v>
      </c>
      <c r="E327" s="12" t="s">
        <v>439</v>
      </c>
      <c r="F327" s="17" t="s">
        <v>442</v>
      </c>
    </row>
    <row r="328" spans="1:6" ht="39.75" customHeight="1">
      <c r="A328" s="12" t="s">
        <v>438</v>
      </c>
      <c r="B328" s="15">
        <v>37508561</v>
      </c>
      <c r="C328" s="10" t="s">
        <v>313</v>
      </c>
      <c r="D328" s="16">
        <v>45694</v>
      </c>
      <c r="E328" s="12" t="s">
        <v>439</v>
      </c>
      <c r="F328" s="17" t="s">
        <v>443</v>
      </c>
    </row>
    <row r="329" spans="1:6" ht="39.75" customHeight="1">
      <c r="A329" s="12" t="s">
        <v>438</v>
      </c>
      <c r="B329" s="15">
        <v>37508541</v>
      </c>
      <c r="C329" s="10" t="s">
        <v>313</v>
      </c>
      <c r="D329" s="16">
        <v>45694</v>
      </c>
      <c r="E329" s="12" t="s">
        <v>439</v>
      </c>
      <c r="F329" s="17" t="s">
        <v>444</v>
      </c>
    </row>
    <row r="330" spans="1:6" ht="39.75" customHeight="1">
      <c r="A330" s="12" t="s">
        <v>438</v>
      </c>
      <c r="B330" s="15">
        <v>37508522</v>
      </c>
      <c r="C330" s="10" t="s">
        <v>313</v>
      </c>
      <c r="D330" s="16">
        <v>45694</v>
      </c>
      <c r="E330" s="12" t="s">
        <v>439</v>
      </c>
      <c r="F330" s="17" t="s">
        <v>445</v>
      </c>
    </row>
    <row r="331" spans="1:6" ht="39.75" customHeight="1">
      <c r="A331" s="10" t="s">
        <v>366</v>
      </c>
      <c r="B331" s="10">
        <v>41510494</v>
      </c>
      <c r="C331" s="10" t="s">
        <v>36</v>
      </c>
      <c r="D331" s="9">
        <v>45694</v>
      </c>
      <c r="E331" s="10" t="s">
        <v>367</v>
      </c>
      <c r="F331" s="10" t="s">
        <v>446</v>
      </c>
    </row>
    <row r="332" spans="1:6" ht="39.75" customHeight="1">
      <c r="A332" s="10" t="s">
        <v>366</v>
      </c>
      <c r="B332" s="10">
        <v>41510481</v>
      </c>
      <c r="C332" s="10" t="s">
        <v>36</v>
      </c>
      <c r="D332" s="9">
        <v>45694</v>
      </c>
      <c r="E332" s="10" t="s">
        <v>367</v>
      </c>
      <c r="F332" s="10" t="s">
        <v>447</v>
      </c>
    </row>
    <row r="333" spans="1:6" ht="39.75" customHeight="1">
      <c r="A333" s="10" t="s">
        <v>366</v>
      </c>
      <c r="B333" s="10">
        <v>41510470</v>
      </c>
      <c r="C333" s="10" t="s">
        <v>36</v>
      </c>
      <c r="D333" s="9">
        <v>45694</v>
      </c>
      <c r="E333" s="10" t="s">
        <v>367</v>
      </c>
      <c r="F333" s="10" t="s">
        <v>448</v>
      </c>
    </row>
    <row r="334" spans="1:6" ht="39.75" customHeight="1">
      <c r="A334" s="10" t="s">
        <v>366</v>
      </c>
      <c r="B334" s="10">
        <v>41510452</v>
      </c>
      <c r="C334" s="10" t="s">
        <v>36</v>
      </c>
      <c r="D334" s="9">
        <v>45694</v>
      </c>
      <c r="E334" s="10" t="s">
        <v>367</v>
      </c>
      <c r="F334" s="10" t="s">
        <v>449</v>
      </c>
    </row>
    <row r="335" spans="1:6" ht="39.75" customHeight="1">
      <c r="A335" s="10" t="s">
        <v>366</v>
      </c>
      <c r="B335" s="10">
        <v>41510441</v>
      </c>
      <c r="C335" s="10" t="s">
        <v>36</v>
      </c>
      <c r="D335" s="9">
        <v>45694</v>
      </c>
      <c r="E335" s="10" t="s">
        <v>367</v>
      </c>
      <c r="F335" s="10" t="s">
        <v>450</v>
      </c>
    </row>
    <row r="336" spans="1:6" ht="39.75" customHeight="1">
      <c r="A336" s="10" t="s">
        <v>366</v>
      </c>
      <c r="B336" s="10">
        <v>41510437</v>
      </c>
      <c r="C336" s="10" t="s">
        <v>36</v>
      </c>
      <c r="D336" s="9">
        <v>45694</v>
      </c>
      <c r="E336" s="10" t="s">
        <v>367</v>
      </c>
      <c r="F336" s="10" t="s">
        <v>451</v>
      </c>
    </row>
    <row r="337" spans="1:6" ht="39.75" customHeight="1">
      <c r="A337" s="10" t="s">
        <v>366</v>
      </c>
      <c r="B337" s="10">
        <v>41510416</v>
      </c>
      <c r="C337" s="10" t="s">
        <v>36</v>
      </c>
      <c r="D337" s="9">
        <v>45694</v>
      </c>
      <c r="E337" s="10" t="s">
        <v>367</v>
      </c>
      <c r="F337" s="10" t="s">
        <v>452</v>
      </c>
    </row>
    <row r="338" spans="1:6" ht="39.75" customHeight="1">
      <c r="A338" s="10" t="s">
        <v>366</v>
      </c>
      <c r="B338" s="10">
        <v>41510403</v>
      </c>
      <c r="C338" s="10" t="s">
        <v>36</v>
      </c>
      <c r="D338" s="9">
        <v>45694</v>
      </c>
      <c r="E338" s="10" t="s">
        <v>367</v>
      </c>
      <c r="F338" s="10" t="s">
        <v>453</v>
      </c>
    </row>
    <row r="339" spans="1:6" ht="39.75" customHeight="1">
      <c r="A339" s="10" t="s">
        <v>366</v>
      </c>
      <c r="B339" s="10">
        <v>41510390</v>
      </c>
      <c r="C339" s="10" t="s">
        <v>36</v>
      </c>
      <c r="D339" s="9">
        <v>45694</v>
      </c>
      <c r="E339" s="10" t="s">
        <v>367</v>
      </c>
      <c r="F339" s="10" t="s">
        <v>454</v>
      </c>
    </row>
    <row r="340" spans="1:6" ht="39.75" customHeight="1">
      <c r="A340" s="10" t="s">
        <v>366</v>
      </c>
      <c r="B340" s="10">
        <v>41510380</v>
      </c>
      <c r="C340" s="10" t="s">
        <v>36</v>
      </c>
      <c r="D340" s="9">
        <v>45694</v>
      </c>
      <c r="E340" s="10" t="s">
        <v>367</v>
      </c>
      <c r="F340" s="10" t="s">
        <v>455</v>
      </c>
    </row>
    <row r="341" spans="1:6" ht="39.75" customHeight="1">
      <c r="A341" s="10" t="s">
        <v>366</v>
      </c>
      <c r="B341" s="10">
        <v>41510370</v>
      </c>
      <c r="C341" s="10" t="s">
        <v>36</v>
      </c>
      <c r="D341" s="9">
        <v>45694</v>
      </c>
      <c r="E341" s="10" t="s">
        <v>367</v>
      </c>
      <c r="F341" s="10" t="s">
        <v>456</v>
      </c>
    </row>
    <row r="342" spans="1:6" ht="39.75" customHeight="1">
      <c r="A342" s="10" t="s">
        <v>366</v>
      </c>
      <c r="B342" s="10">
        <v>41510351</v>
      </c>
      <c r="C342" s="10" t="s">
        <v>36</v>
      </c>
      <c r="D342" s="9">
        <v>45694</v>
      </c>
      <c r="E342" s="10" t="s">
        <v>367</v>
      </c>
      <c r="F342" s="10" t="s">
        <v>457</v>
      </c>
    </row>
    <row r="343" spans="1:6" ht="39.75" customHeight="1">
      <c r="A343" s="10" t="s">
        <v>366</v>
      </c>
      <c r="B343" s="10">
        <v>41510329</v>
      </c>
      <c r="C343" s="10" t="s">
        <v>36</v>
      </c>
      <c r="D343" s="9">
        <v>45694</v>
      </c>
      <c r="E343" s="10" t="s">
        <v>367</v>
      </c>
      <c r="F343" s="10" t="s">
        <v>458</v>
      </c>
    </row>
    <row r="344" spans="1:6" ht="39.75" customHeight="1">
      <c r="A344" s="10" t="s">
        <v>459</v>
      </c>
      <c r="B344" s="10">
        <v>41510040</v>
      </c>
      <c r="C344" s="10" t="s">
        <v>36</v>
      </c>
      <c r="D344" s="9">
        <v>45694</v>
      </c>
      <c r="E344" s="10" t="s">
        <v>161</v>
      </c>
      <c r="F344" s="10" t="s">
        <v>460</v>
      </c>
    </row>
    <row r="345" spans="1:6" ht="39.75" customHeight="1">
      <c r="A345" s="10" t="s">
        <v>459</v>
      </c>
      <c r="B345" s="10">
        <v>41510026</v>
      </c>
      <c r="C345" s="10" t="s">
        <v>36</v>
      </c>
      <c r="D345" s="9">
        <v>45694</v>
      </c>
      <c r="E345" s="10" t="s">
        <v>161</v>
      </c>
      <c r="F345" s="10" t="s">
        <v>461</v>
      </c>
    </row>
    <row r="346" spans="1:6" ht="39.75" customHeight="1">
      <c r="A346" s="10" t="s">
        <v>459</v>
      </c>
      <c r="B346" s="10">
        <v>41510021</v>
      </c>
      <c r="C346" s="10" t="s">
        <v>36</v>
      </c>
      <c r="D346" s="9">
        <v>45694</v>
      </c>
      <c r="E346" s="10" t="s">
        <v>161</v>
      </c>
      <c r="F346" s="10" t="s">
        <v>462</v>
      </c>
    </row>
    <row r="347" spans="1:6" ht="39.75" customHeight="1">
      <c r="A347" s="10" t="s">
        <v>459</v>
      </c>
      <c r="B347" s="10">
        <v>41510011</v>
      </c>
      <c r="C347" s="10" t="s">
        <v>36</v>
      </c>
      <c r="D347" s="9">
        <v>45694</v>
      </c>
      <c r="E347" s="10" t="s">
        <v>161</v>
      </c>
      <c r="F347" s="10" t="s">
        <v>463</v>
      </c>
    </row>
    <row r="348" spans="1:6" ht="39.75" customHeight="1">
      <c r="A348" s="10" t="s">
        <v>459</v>
      </c>
      <c r="B348" s="10">
        <v>41510009</v>
      </c>
      <c r="C348" s="10" t="s">
        <v>36</v>
      </c>
      <c r="D348" s="9">
        <v>45694</v>
      </c>
      <c r="E348" s="10" t="s">
        <v>161</v>
      </c>
      <c r="F348" s="10" t="s">
        <v>464</v>
      </c>
    </row>
    <row r="349" spans="1:6" ht="39.75" customHeight="1">
      <c r="A349" s="10" t="s">
        <v>459</v>
      </c>
      <c r="B349" s="10">
        <v>41509998</v>
      </c>
      <c r="C349" s="10" t="s">
        <v>36</v>
      </c>
      <c r="D349" s="9">
        <v>45694</v>
      </c>
      <c r="E349" s="10" t="s">
        <v>161</v>
      </c>
      <c r="F349" s="10" t="s">
        <v>463</v>
      </c>
    </row>
    <row r="350" spans="1:6" ht="39.75" customHeight="1">
      <c r="A350" s="10" t="s">
        <v>459</v>
      </c>
      <c r="B350" s="10">
        <v>41509965</v>
      </c>
      <c r="C350" s="10" t="s">
        <v>36</v>
      </c>
      <c r="D350" s="9">
        <v>45694</v>
      </c>
      <c r="E350" s="10" t="s">
        <v>161</v>
      </c>
      <c r="F350" s="10" t="s">
        <v>465</v>
      </c>
    </row>
    <row r="351" spans="1:6" ht="39.75" customHeight="1">
      <c r="A351" s="10" t="s">
        <v>459</v>
      </c>
      <c r="B351" s="10">
        <v>41509943</v>
      </c>
      <c r="C351" s="10" t="s">
        <v>36</v>
      </c>
      <c r="D351" s="9">
        <v>45694</v>
      </c>
      <c r="E351" s="10" t="s">
        <v>161</v>
      </c>
      <c r="F351" s="10" t="s">
        <v>466</v>
      </c>
    </row>
    <row r="352" spans="1:6" ht="39.75" customHeight="1">
      <c r="A352" s="10" t="s">
        <v>459</v>
      </c>
      <c r="B352" s="10">
        <v>41509932</v>
      </c>
      <c r="C352" s="10" t="s">
        <v>36</v>
      </c>
      <c r="D352" s="9">
        <v>45694</v>
      </c>
      <c r="E352" s="10" t="s">
        <v>161</v>
      </c>
      <c r="F352" s="10" t="s">
        <v>467</v>
      </c>
    </row>
    <row r="353" spans="1:6" ht="39.75" customHeight="1">
      <c r="A353" s="10" t="s">
        <v>459</v>
      </c>
      <c r="B353" s="10">
        <v>41509914</v>
      </c>
      <c r="C353" s="10" t="s">
        <v>36</v>
      </c>
      <c r="D353" s="9">
        <v>45694</v>
      </c>
      <c r="E353" s="10" t="s">
        <v>161</v>
      </c>
      <c r="F353" s="10" t="s">
        <v>468</v>
      </c>
    </row>
    <row r="354" spans="1:6" ht="39.75" customHeight="1">
      <c r="A354" s="10" t="s">
        <v>459</v>
      </c>
      <c r="B354" s="10">
        <v>41509898</v>
      </c>
      <c r="C354" s="10" t="s">
        <v>36</v>
      </c>
      <c r="D354" s="9">
        <v>45694</v>
      </c>
      <c r="E354" s="10" t="s">
        <v>161</v>
      </c>
      <c r="F354" s="10" t="s">
        <v>469</v>
      </c>
    </row>
    <row r="355" spans="1:6" ht="39.75" customHeight="1">
      <c r="A355" s="10" t="s">
        <v>459</v>
      </c>
      <c r="B355" s="10">
        <v>41509893</v>
      </c>
      <c r="C355" s="10" t="s">
        <v>36</v>
      </c>
      <c r="D355" s="9">
        <v>45694</v>
      </c>
      <c r="E355" s="10" t="s">
        <v>161</v>
      </c>
      <c r="F355" s="10" t="s">
        <v>470</v>
      </c>
    </row>
    <row r="356" spans="1:6" ht="39.75" customHeight="1">
      <c r="A356" s="10" t="s">
        <v>459</v>
      </c>
      <c r="B356" s="10">
        <v>41509884</v>
      </c>
      <c r="C356" s="10" t="s">
        <v>36</v>
      </c>
      <c r="D356" s="9">
        <v>45694</v>
      </c>
      <c r="E356" s="10" t="s">
        <v>161</v>
      </c>
      <c r="F356" s="10" t="s">
        <v>466</v>
      </c>
    </row>
    <row r="357" spans="1:6" ht="39.75" customHeight="1">
      <c r="A357" s="10" t="s">
        <v>459</v>
      </c>
      <c r="B357" s="10">
        <v>41509879</v>
      </c>
      <c r="C357" s="10" t="s">
        <v>36</v>
      </c>
      <c r="D357" s="9">
        <v>45694</v>
      </c>
      <c r="E357" s="10" t="s">
        <v>161</v>
      </c>
      <c r="F357" s="10" t="s">
        <v>466</v>
      </c>
    </row>
    <row r="358" spans="1:6" ht="39.75" customHeight="1">
      <c r="A358" s="10" t="s">
        <v>459</v>
      </c>
      <c r="B358" s="10">
        <v>41509833</v>
      </c>
      <c r="C358" s="10" t="s">
        <v>36</v>
      </c>
      <c r="D358" s="9">
        <v>45694</v>
      </c>
      <c r="E358" s="10" t="s">
        <v>161</v>
      </c>
      <c r="F358" s="10" t="s">
        <v>470</v>
      </c>
    </row>
    <row r="359" spans="1:6" ht="39.75" customHeight="1">
      <c r="A359" s="10" t="s">
        <v>459</v>
      </c>
      <c r="B359" s="10">
        <v>41509811</v>
      </c>
      <c r="C359" s="10" t="s">
        <v>36</v>
      </c>
      <c r="D359" s="9">
        <v>45694</v>
      </c>
      <c r="E359" s="10" t="s">
        <v>161</v>
      </c>
      <c r="F359" s="10" t="s">
        <v>469</v>
      </c>
    </row>
    <row r="360" spans="1:6" ht="39.75" customHeight="1">
      <c r="A360" s="10" t="s">
        <v>459</v>
      </c>
      <c r="B360" s="10">
        <v>41509791</v>
      </c>
      <c r="C360" s="10" t="s">
        <v>36</v>
      </c>
      <c r="D360" s="9">
        <v>45694</v>
      </c>
      <c r="E360" s="10" t="s">
        <v>161</v>
      </c>
      <c r="F360" s="10" t="s">
        <v>468</v>
      </c>
    </row>
    <row r="361" spans="1:6" ht="39.75" customHeight="1">
      <c r="A361" s="10" t="s">
        <v>433</v>
      </c>
      <c r="B361" s="10">
        <v>36501266</v>
      </c>
      <c r="C361" s="10" t="s">
        <v>36</v>
      </c>
      <c r="D361" s="9">
        <v>45694</v>
      </c>
      <c r="E361" s="10" t="s">
        <v>161</v>
      </c>
      <c r="F361" s="10" t="s">
        <v>471</v>
      </c>
    </row>
    <row r="362" spans="1:6" ht="39.75" hidden="1" customHeight="1">
      <c r="A362" s="10" t="s">
        <v>472</v>
      </c>
      <c r="B362" s="10">
        <v>39500386</v>
      </c>
      <c r="C362" s="10" t="s">
        <v>36</v>
      </c>
      <c r="D362" s="9">
        <v>45694</v>
      </c>
      <c r="E362" s="10" t="s">
        <v>473</v>
      </c>
      <c r="F362" s="10" t="s">
        <v>474</v>
      </c>
    </row>
    <row r="363" spans="1:6" ht="39.75" hidden="1" customHeight="1">
      <c r="A363" s="10" t="s">
        <v>472</v>
      </c>
      <c r="B363" s="10">
        <v>39500383</v>
      </c>
      <c r="C363" s="10" t="s">
        <v>36</v>
      </c>
      <c r="D363" s="9">
        <v>45694</v>
      </c>
      <c r="E363" s="10" t="s">
        <v>473</v>
      </c>
      <c r="F363" s="10" t="s">
        <v>475</v>
      </c>
    </row>
    <row r="364" spans="1:6" ht="39.75" hidden="1" customHeight="1">
      <c r="A364" s="10" t="s">
        <v>472</v>
      </c>
      <c r="B364" s="10">
        <v>39500377</v>
      </c>
      <c r="C364" s="10" t="s">
        <v>36</v>
      </c>
      <c r="D364" s="9">
        <v>45694</v>
      </c>
      <c r="E364" s="10" t="s">
        <v>473</v>
      </c>
      <c r="F364" s="10" t="s">
        <v>476</v>
      </c>
    </row>
    <row r="365" spans="1:6" ht="39.75" hidden="1" customHeight="1">
      <c r="A365" s="10" t="s">
        <v>366</v>
      </c>
      <c r="B365" s="10">
        <v>38506913</v>
      </c>
      <c r="C365" s="10" t="s">
        <v>36</v>
      </c>
      <c r="D365" s="9">
        <v>45694</v>
      </c>
      <c r="E365" s="10" t="s">
        <v>367</v>
      </c>
      <c r="F365" s="10" t="s">
        <v>368</v>
      </c>
    </row>
    <row r="366" spans="1:6" ht="39.75" hidden="1" customHeight="1">
      <c r="A366" s="10" t="s">
        <v>366</v>
      </c>
      <c r="B366" s="10">
        <v>38506910</v>
      </c>
      <c r="C366" s="10" t="s">
        <v>36</v>
      </c>
      <c r="D366" s="9">
        <v>45694</v>
      </c>
      <c r="E366" s="10" t="s">
        <v>367</v>
      </c>
      <c r="F366" s="10" t="s">
        <v>477</v>
      </c>
    </row>
    <row r="367" spans="1:6" ht="39.75" hidden="1" customHeight="1">
      <c r="A367" s="10" t="s">
        <v>366</v>
      </c>
      <c r="B367" s="10">
        <v>38506907</v>
      </c>
      <c r="C367" s="10" t="s">
        <v>36</v>
      </c>
      <c r="D367" s="9">
        <v>45694</v>
      </c>
      <c r="E367" s="10" t="s">
        <v>367</v>
      </c>
      <c r="F367" s="10" t="s">
        <v>478</v>
      </c>
    </row>
    <row r="368" spans="1:6" ht="39.75" hidden="1" customHeight="1">
      <c r="A368" s="10" t="s">
        <v>366</v>
      </c>
      <c r="B368" s="10">
        <v>38506904</v>
      </c>
      <c r="C368" s="10" t="s">
        <v>36</v>
      </c>
      <c r="D368" s="9">
        <v>45694</v>
      </c>
      <c r="E368" s="10" t="s">
        <v>367</v>
      </c>
      <c r="F368" s="10" t="s">
        <v>479</v>
      </c>
    </row>
    <row r="369" spans="1:6" ht="39.75" hidden="1" customHeight="1">
      <c r="A369" s="10" t="s">
        <v>366</v>
      </c>
      <c r="B369" s="10">
        <v>38506900</v>
      </c>
      <c r="C369" s="10" t="s">
        <v>36</v>
      </c>
      <c r="D369" s="9">
        <v>45694</v>
      </c>
      <c r="E369" s="10" t="s">
        <v>367</v>
      </c>
      <c r="F369" s="10" t="s">
        <v>480</v>
      </c>
    </row>
    <row r="370" spans="1:6" ht="39.75" hidden="1" customHeight="1">
      <c r="A370" s="10" t="s">
        <v>366</v>
      </c>
      <c r="B370" s="10">
        <v>38506896</v>
      </c>
      <c r="C370" s="10" t="s">
        <v>36</v>
      </c>
      <c r="D370" s="9">
        <v>45694</v>
      </c>
      <c r="E370" s="10" t="s">
        <v>367</v>
      </c>
      <c r="F370" s="10" t="s">
        <v>481</v>
      </c>
    </row>
    <row r="371" spans="1:6" ht="39.75" hidden="1" customHeight="1">
      <c r="A371" s="10" t="s">
        <v>366</v>
      </c>
      <c r="B371" s="10">
        <v>38506891</v>
      </c>
      <c r="C371" s="10" t="s">
        <v>36</v>
      </c>
      <c r="D371" s="9">
        <v>45694</v>
      </c>
      <c r="E371" s="10" t="s">
        <v>367</v>
      </c>
      <c r="F371" s="10" t="s">
        <v>482</v>
      </c>
    </row>
    <row r="372" spans="1:6" ht="39.75" hidden="1" customHeight="1">
      <c r="A372" s="10" t="s">
        <v>366</v>
      </c>
      <c r="B372" s="10">
        <v>38506877</v>
      </c>
      <c r="C372" s="10" t="s">
        <v>36</v>
      </c>
      <c r="D372" s="9">
        <v>45694</v>
      </c>
      <c r="E372" s="10" t="s">
        <v>367</v>
      </c>
      <c r="F372" s="10" t="s">
        <v>483</v>
      </c>
    </row>
    <row r="373" spans="1:6" ht="39.75" hidden="1" customHeight="1">
      <c r="A373" s="10" t="s">
        <v>366</v>
      </c>
      <c r="B373" s="10">
        <v>38506867</v>
      </c>
      <c r="C373" s="10" t="s">
        <v>36</v>
      </c>
      <c r="D373" s="9">
        <v>45694</v>
      </c>
      <c r="E373" s="10" t="s">
        <v>367</v>
      </c>
      <c r="F373" s="10" t="s">
        <v>484</v>
      </c>
    </row>
    <row r="374" spans="1:6" ht="39.75" hidden="1" customHeight="1">
      <c r="A374" s="10" t="s">
        <v>485</v>
      </c>
      <c r="B374" s="10">
        <v>38505536</v>
      </c>
      <c r="C374" s="10" t="s">
        <v>36</v>
      </c>
      <c r="D374" s="9">
        <v>45694</v>
      </c>
      <c r="E374" s="10" t="s">
        <v>486</v>
      </c>
      <c r="F374" s="10" t="s">
        <v>487</v>
      </c>
    </row>
    <row r="375" spans="1:6" ht="39.75" hidden="1" customHeight="1">
      <c r="A375" s="10" t="s">
        <v>485</v>
      </c>
      <c r="B375" s="10">
        <v>38505300</v>
      </c>
      <c r="C375" s="10" t="s">
        <v>36</v>
      </c>
      <c r="D375" s="9">
        <v>45694</v>
      </c>
      <c r="E375" s="10" t="s">
        <v>486</v>
      </c>
      <c r="F375" s="10" t="s">
        <v>487</v>
      </c>
    </row>
    <row r="376" spans="1:6" ht="39.75" hidden="1" customHeight="1">
      <c r="A376" s="10" t="s">
        <v>485</v>
      </c>
      <c r="B376" s="10">
        <v>38505266</v>
      </c>
      <c r="C376" s="10" t="s">
        <v>36</v>
      </c>
      <c r="D376" s="9">
        <v>45694</v>
      </c>
      <c r="E376" s="10" t="s">
        <v>486</v>
      </c>
      <c r="F376" s="10" t="s">
        <v>487</v>
      </c>
    </row>
    <row r="377" spans="1:6" ht="39.75" hidden="1" customHeight="1">
      <c r="A377" s="10" t="s">
        <v>485</v>
      </c>
      <c r="B377" s="10">
        <v>38505238</v>
      </c>
      <c r="C377" s="10" t="s">
        <v>36</v>
      </c>
      <c r="D377" s="9">
        <v>45694</v>
      </c>
      <c r="E377" s="10" t="s">
        <v>486</v>
      </c>
      <c r="F377" s="10" t="s">
        <v>487</v>
      </c>
    </row>
    <row r="378" spans="1:6" ht="39.75" hidden="1" customHeight="1">
      <c r="A378" s="10" t="s">
        <v>485</v>
      </c>
      <c r="B378" s="10">
        <v>38505158</v>
      </c>
      <c r="C378" s="10" t="s">
        <v>36</v>
      </c>
      <c r="D378" s="9">
        <v>45694</v>
      </c>
      <c r="E378" s="10" t="s">
        <v>486</v>
      </c>
      <c r="F378" s="10" t="s">
        <v>488</v>
      </c>
    </row>
    <row r="379" spans="1:6" ht="39.75" hidden="1" customHeight="1">
      <c r="A379" s="10" t="s">
        <v>485</v>
      </c>
      <c r="B379" s="10">
        <v>38505119</v>
      </c>
      <c r="C379" s="10" t="s">
        <v>36</v>
      </c>
      <c r="D379" s="9">
        <v>45694</v>
      </c>
      <c r="E379" s="10" t="s">
        <v>486</v>
      </c>
      <c r="F379" s="10" t="s">
        <v>489</v>
      </c>
    </row>
    <row r="380" spans="1:6" ht="39.75" hidden="1" customHeight="1">
      <c r="A380" s="10" t="s">
        <v>485</v>
      </c>
      <c r="B380" s="10">
        <v>38505007</v>
      </c>
      <c r="C380" s="10" t="s">
        <v>36</v>
      </c>
      <c r="D380" s="9">
        <v>45694</v>
      </c>
      <c r="E380" s="10" t="s">
        <v>486</v>
      </c>
      <c r="F380" s="10" t="s">
        <v>490</v>
      </c>
    </row>
    <row r="381" spans="1:6" ht="39.75" hidden="1" customHeight="1">
      <c r="A381" s="10" t="s">
        <v>485</v>
      </c>
      <c r="B381" s="10">
        <v>38504963</v>
      </c>
      <c r="C381" s="10" t="s">
        <v>36</v>
      </c>
      <c r="D381" s="9">
        <v>45694</v>
      </c>
      <c r="E381" s="10" t="s">
        <v>486</v>
      </c>
      <c r="F381" s="10" t="s">
        <v>491</v>
      </c>
    </row>
    <row r="382" spans="1:6" ht="39.75" hidden="1" customHeight="1">
      <c r="A382" s="10" t="s">
        <v>485</v>
      </c>
      <c r="B382" s="10">
        <v>38504886</v>
      </c>
      <c r="C382" s="10" t="s">
        <v>36</v>
      </c>
      <c r="D382" s="9">
        <v>45694</v>
      </c>
      <c r="E382" s="10" t="s">
        <v>486</v>
      </c>
      <c r="F382" s="10" t="s">
        <v>492</v>
      </c>
    </row>
    <row r="383" spans="1:6" ht="39.75" hidden="1" customHeight="1">
      <c r="A383" s="10" t="s">
        <v>485</v>
      </c>
      <c r="B383" s="10">
        <v>38504796</v>
      </c>
      <c r="C383" s="10" t="s">
        <v>36</v>
      </c>
      <c r="D383" s="9">
        <v>45694</v>
      </c>
      <c r="E383" s="10" t="s">
        <v>486</v>
      </c>
      <c r="F383" s="10" t="s">
        <v>493</v>
      </c>
    </row>
    <row r="384" spans="1:6" ht="39.75" hidden="1" customHeight="1">
      <c r="A384" s="10" t="s">
        <v>485</v>
      </c>
      <c r="B384" s="10">
        <v>38504725</v>
      </c>
      <c r="C384" s="10" t="s">
        <v>36</v>
      </c>
      <c r="D384" s="9">
        <v>45694</v>
      </c>
      <c r="E384" s="10" t="s">
        <v>486</v>
      </c>
      <c r="F384" s="10" t="s">
        <v>494</v>
      </c>
    </row>
    <row r="385" spans="1:6" ht="39.75" hidden="1" customHeight="1">
      <c r="A385" s="10" t="s">
        <v>485</v>
      </c>
      <c r="B385" s="10">
        <v>38504674</v>
      </c>
      <c r="C385" s="10" t="s">
        <v>36</v>
      </c>
      <c r="D385" s="9">
        <v>45694</v>
      </c>
      <c r="E385" s="10" t="s">
        <v>486</v>
      </c>
      <c r="F385" s="10" t="s">
        <v>495</v>
      </c>
    </row>
    <row r="386" spans="1:6" ht="39.75" hidden="1" customHeight="1">
      <c r="A386" s="10" t="s">
        <v>485</v>
      </c>
      <c r="B386" s="10">
        <v>38504585</v>
      </c>
      <c r="C386" s="10" t="s">
        <v>36</v>
      </c>
      <c r="D386" s="9">
        <v>45694</v>
      </c>
      <c r="E386" s="10" t="s">
        <v>486</v>
      </c>
      <c r="F386" s="10" t="s">
        <v>496</v>
      </c>
    </row>
    <row r="387" spans="1:6" ht="39.75" hidden="1" customHeight="1">
      <c r="A387" s="10" t="s">
        <v>497</v>
      </c>
      <c r="B387" s="10">
        <v>38503182</v>
      </c>
      <c r="C387" s="10" t="s">
        <v>36</v>
      </c>
      <c r="D387" s="9">
        <v>45694</v>
      </c>
      <c r="E387" s="10" t="s">
        <v>473</v>
      </c>
      <c r="F387" s="10" t="s">
        <v>498</v>
      </c>
    </row>
    <row r="388" spans="1:6" ht="39.75" hidden="1" customHeight="1">
      <c r="A388" s="10" t="s">
        <v>497</v>
      </c>
      <c r="B388" s="10">
        <v>38503161</v>
      </c>
      <c r="C388" s="10" t="s">
        <v>36</v>
      </c>
      <c r="D388" s="9">
        <v>45694</v>
      </c>
      <c r="E388" s="10" t="s">
        <v>473</v>
      </c>
      <c r="F388" s="10" t="s">
        <v>499</v>
      </c>
    </row>
    <row r="389" spans="1:6" ht="39.75" hidden="1" customHeight="1">
      <c r="A389" s="10" t="s">
        <v>497</v>
      </c>
      <c r="B389" s="10">
        <v>38503146</v>
      </c>
      <c r="C389" s="10" t="s">
        <v>36</v>
      </c>
      <c r="D389" s="9">
        <v>45694</v>
      </c>
      <c r="E389" s="10" t="s">
        <v>473</v>
      </c>
      <c r="F389" s="10" t="s">
        <v>500</v>
      </c>
    </row>
    <row r="390" spans="1:6" ht="39.75" hidden="1" customHeight="1">
      <c r="A390" s="10" t="s">
        <v>497</v>
      </c>
      <c r="B390" s="10">
        <v>38503134</v>
      </c>
      <c r="C390" s="10" t="s">
        <v>36</v>
      </c>
      <c r="D390" s="9">
        <v>45694</v>
      </c>
      <c r="E390" s="10" t="s">
        <v>473</v>
      </c>
      <c r="F390" s="10" t="s">
        <v>500</v>
      </c>
    </row>
    <row r="391" spans="1:6" ht="39.75" hidden="1" customHeight="1">
      <c r="A391" s="10" t="s">
        <v>497</v>
      </c>
      <c r="B391" s="10">
        <v>38503113</v>
      </c>
      <c r="C391" s="10" t="s">
        <v>36</v>
      </c>
      <c r="D391" s="9">
        <v>45694</v>
      </c>
      <c r="E391" s="10" t="s">
        <v>473</v>
      </c>
      <c r="F391" s="10" t="s">
        <v>501</v>
      </c>
    </row>
    <row r="392" spans="1:6" ht="39.75" hidden="1" customHeight="1">
      <c r="A392" s="10" t="s">
        <v>497</v>
      </c>
      <c r="B392" s="10">
        <v>38503050</v>
      </c>
      <c r="C392" s="10" t="s">
        <v>36</v>
      </c>
      <c r="D392" s="9">
        <v>45694</v>
      </c>
      <c r="E392" s="10" t="s">
        <v>473</v>
      </c>
      <c r="F392" s="10" t="s">
        <v>502</v>
      </c>
    </row>
    <row r="393" spans="1:6" ht="39.75" hidden="1" customHeight="1">
      <c r="A393" s="10" t="s">
        <v>497</v>
      </c>
      <c r="B393" s="10">
        <v>38503025</v>
      </c>
      <c r="C393" s="10" t="s">
        <v>36</v>
      </c>
      <c r="D393" s="9">
        <v>45694</v>
      </c>
      <c r="E393" s="10" t="s">
        <v>473</v>
      </c>
      <c r="F393" s="10" t="s">
        <v>503</v>
      </c>
    </row>
    <row r="394" spans="1:6" ht="39.75" hidden="1" customHeight="1">
      <c r="A394" s="10" t="s">
        <v>497</v>
      </c>
      <c r="B394" s="10">
        <v>38502985</v>
      </c>
      <c r="C394" s="10" t="s">
        <v>36</v>
      </c>
      <c r="D394" s="9">
        <v>45694</v>
      </c>
      <c r="E394" s="10" t="s">
        <v>473</v>
      </c>
      <c r="F394" s="10" t="s">
        <v>503</v>
      </c>
    </row>
    <row r="395" spans="1:6" ht="39.75" hidden="1" customHeight="1">
      <c r="A395" s="10" t="s">
        <v>438</v>
      </c>
      <c r="B395" s="10">
        <v>36508918</v>
      </c>
      <c r="C395" s="10" t="s">
        <v>36</v>
      </c>
      <c r="D395" s="9">
        <v>45694</v>
      </c>
      <c r="E395" s="12" t="s">
        <v>439</v>
      </c>
      <c r="F395" s="10" t="s">
        <v>504</v>
      </c>
    </row>
    <row r="396" spans="1:6" ht="39.75" hidden="1" customHeight="1">
      <c r="A396" s="10" t="s">
        <v>438</v>
      </c>
      <c r="B396" s="10">
        <v>37508575</v>
      </c>
      <c r="C396" s="10" t="s">
        <v>36</v>
      </c>
      <c r="D396" s="9">
        <v>45694</v>
      </c>
      <c r="E396" s="12" t="s">
        <v>439</v>
      </c>
      <c r="F396" s="10" t="s">
        <v>505</v>
      </c>
    </row>
    <row r="397" spans="1:6" ht="39.75" hidden="1" customHeight="1">
      <c r="A397" s="10" t="s">
        <v>366</v>
      </c>
      <c r="B397" s="10">
        <v>37508574</v>
      </c>
      <c r="C397" s="10" t="s">
        <v>36</v>
      </c>
      <c r="D397" s="9">
        <v>45694</v>
      </c>
      <c r="E397" s="10" t="s">
        <v>367</v>
      </c>
      <c r="F397" s="10" t="s">
        <v>506</v>
      </c>
    </row>
    <row r="398" spans="1:6" ht="39.75" hidden="1" customHeight="1">
      <c r="A398" s="10" t="s">
        <v>366</v>
      </c>
      <c r="B398" s="10">
        <v>37508571</v>
      </c>
      <c r="C398" s="10" t="s">
        <v>36</v>
      </c>
      <c r="D398" s="9">
        <v>45694</v>
      </c>
      <c r="E398" s="10" t="s">
        <v>367</v>
      </c>
      <c r="F398" s="10" t="s">
        <v>506</v>
      </c>
    </row>
    <row r="399" spans="1:6" ht="39.75" hidden="1" customHeight="1">
      <c r="A399" s="10" t="s">
        <v>438</v>
      </c>
      <c r="B399" s="10">
        <v>37508561</v>
      </c>
      <c r="C399" s="10" t="s">
        <v>36</v>
      </c>
      <c r="D399" s="9">
        <v>45694</v>
      </c>
      <c r="E399" s="12" t="s">
        <v>439</v>
      </c>
      <c r="F399" s="10" t="s">
        <v>507</v>
      </c>
    </row>
    <row r="400" spans="1:6" ht="39.75" hidden="1" customHeight="1">
      <c r="A400" s="10" t="s">
        <v>438</v>
      </c>
      <c r="B400" s="10">
        <v>37508541</v>
      </c>
      <c r="C400" s="10" t="s">
        <v>36</v>
      </c>
      <c r="D400" s="9">
        <v>45694</v>
      </c>
      <c r="E400" s="12" t="s">
        <v>439</v>
      </c>
      <c r="F400" s="10" t="s">
        <v>504</v>
      </c>
    </row>
    <row r="401" spans="1:6" ht="39.75" hidden="1" customHeight="1">
      <c r="A401" s="10" t="s">
        <v>438</v>
      </c>
      <c r="B401" s="10">
        <v>37508522</v>
      </c>
      <c r="C401" s="10" t="s">
        <v>36</v>
      </c>
      <c r="D401" s="9">
        <v>45694</v>
      </c>
      <c r="E401" s="12" t="s">
        <v>439</v>
      </c>
      <c r="F401" s="10" t="s">
        <v>508</v>
      </c>
    </row>
    <row r="402" spans="1:6" ht="39.75" hidden="1" customHeight="1">
      <c r="A402" s="10" t="s">
        <v>366</v>
      </c>
      <c r="B402" s="10">
        <v>37508488</v>
      </c>
      <c r="C402" s="10" t="s">
        <v>36</v>
      </c>
      <c r="D402" s="9">
        <v>45694</v>
      </c>
      <c r="E402" s="10" t="s">
        <v>367</v>
      </c>
      <c r="F402" s="10" t="s">
        <v>509</v>
      </c>
    </row>
    <row r="403" spans="1:6" ht="39.75" hidden="1" customHeight="1">
      <c r="A403" s="10" t="s">
        <v>438</v>
      </c>
      <c r="B403" s="10">
        <v>37508476</v>
      </c>
      <c r="C403" s="10" t="s">
        <v>36</v>
      </c>
      <c r="D403" s="9">
        <v>45694</v>
      </c>
      <c r="E403" s="12" t="s">
        <v>439</v>
      </c>
      <c r="F403" s="10" t="s">
        <v>510</v>
      </c>
    </row>
    <row r="434" spans="1:6" ht="39.75" hidden="1" customHeight="1">
      <c r="A434" s="18" t="s">
        <v>335</v>
      </c>
      <c r="B434" s="18">
        <v>35505986</v>
      </c>
      <c r="C434" s="10" t="s">
        <v>313</v>
      </c>
      <c r="D434" s="16">
        <v>45695</v>
      </c>
      <c r="E434" s="12" t="s">
        <v>280</v>
      </c>
      <c r="F434" s="17"/>
    </row>
    <row r="435" spans="1:6" ht="39.75" hidden="1" customHeight="1">
      <c r="A435" s="18" t="s">
        <v>335</v>
      </c>
      <c r="B435" s="18">
        <v>35506054</v>
      </c>
      <c r="C435" s="10" t="s">
        <v>313</v>
      </c>
      <c r="D435" s="16">
        <v>45695</v>
      </c>
      <c r="E435" s="12" t="s">
        <v>280</v>
      </c>
      <c r="F435" s="17"/>
    </row>
    <row r="436" spans="1:6" ht="39.75" hidden="1" customHeight="1">
      <c r="A436" s="18" t="s">
        <v>335</v>
      </c>
      <c r="B436" s="18">
        <v>35506111</v>
      </c>
      <c r="C436" s="10" t="s">
        <v>313</v>
      </c>
      <c r="D436" s="16">
        <v>45695</v>
      </c>
      <c r="E436" s="12" t="s">
        <v>280</v>
      </c>
      <c r="F436" s="17"/>
    </row>
    <row r="437" spans="1:6" ht="39.75" hidden="1" customHeight="1">
      <c r="A437" s="18" t="s">
        <v>335</v>
      </c>
      <c r="B437" s="18">
        <v>35506159</v>
      </c>
      <c r="C437" s="10" t="s">
        <v>313</v>
      </c>
      <c r="D437" s="16">
        <v>45695</v>
      </c>
      <c r="E437" s="12" t="s">
        <v>280</v>
      </c>
      <c r="F437" s="17"/>
    </row>
    <row r="438" spans="1:6" ht="39.75" hidden="1" customHeight="1">
      <c r="A438" s="18" t="s">
        <v>335</v>
      </c>
      <c r="B438" s="18">
        <v>35506199</v>
      </c>
      <c r="C438" s="10" t="s">
        <v>313</v>
      </c>
      <c r="D438" s="16">
        <v>45695</v>
      </c>
      <c r="E438" s="12" t="s">
        <v>280</v>
      </c>
      <c r="F438" s="17"/>
    </row>
    <row r="439" spans="1:6" ht="39.75" hidden="1" customHeight="1">
      <c r="A439" s="18" t="s">
        <v>335</v>
      </c>
      <c r="B439" s="18">
        <v>35506238</v>
      </c>
      <c r="C439" s="10" t="s">
        <v>313</v>
      </c>
      <c r="D439" s="16">
        <v>45695</v>
      </c>
      <c r="E439" s="12" t="s">
        <v>280</v>
      </c>
      <c r="F439" s="17"/>
    </row>
    <row r="440" spans="1:6" ht="39.75" hidden="1" customHeight="1">
      <c r="A440" s="18" t="s">
        <v>511</v>
      </c>
      <c r="B440" s="18">
        <v>38504585</v>
      </c>
      <c r="C440" s="10" t="s">
        <v>313</v>
      </c>
      <c r="D440" s="16">
        <v>45695</v>
      </c>
      <c r="E440" s="12" t="s">
        <v>439</v>
      </c>
      <c r="F440" s="17"/>
    </row>
    <row r="441" spans="1:6" ht="39.75" hidden="1" customHeight="1">
      <c r="A441" s="18" t="s">
        <v>511</v>
      </c>
      <c r="B441" s="18">
        <v>38504674</v>
      </c>
      <c r="C441" s="10" t="s">
        <v>313</v>
      </c>
      <c r="D441" s="16">
        <v>45695</v>
      </c>
      <c r="E441" s="12" t="s">
        <v>439</v>
      </c>
      <c r="F441" s="17"/>
    </row>
    <row r="442" spans="1:6" ht="39.75" hidden="1" customHeight="1">
      <c r="A442" s="18" t="s">
        <v>511</v>
      </c>
      <c r="B442" s="18">
        <v>38504725</v>
      </c>
      <c r="C442" s="10" t="s">
        <v>313</v>
      </c>
      <c r="D442" s="16">
        <v>45695</v>
      </c>
      <c r="E442" s="12" t="s">
        <v>439</v>
      </c>
      <c r="F442" s="17"/>
    </row>
    <row r="443" spans="1:6" ht="39.75" hidden="1" customHeight="1">
      <c r="A443" s="18" t="s">
        <v>511</v>
      </c>
      <c r="B443" s="18">
        <v>38504796</v>
      </c>
      <c r="C443" s="10" t="s">
        <v>313</v>
      </c>
      <c r="D443" s="16">
        <v>45695</v>
      </c>
      <c r="E443" s="12" t="s">
        <v>439</v>
      </c>
      <c r="F443" s="17"/>
    </row>
    <row r="444" spans="1:6" ht="39.75" hidden="1" customHeight="1">
      <c r="A444" s="18" t="s">
        <v>511</v>
      </c>
      <c r="B444" s="18">
        <v>38504886</v>
      </c>
      <c r="C444" s="10" t="s">
        <v>313</v>
      </c>
      <c r="D444" s="16">
        <v>45695</v>
      </c>
      <c r="E444" s="12" t="s">
        <v>439</v>
      </c>
      <c r="F444" s="17"/>
    </row>
    <row r="445" spans="1:6" ht="39.75" hidden="1" customHeight="1">
      <c r="A445" s="18" t="s">
        <v>511</v>
      </c>
      <c r="B445" s="18">
        <v>38504963</v>
      </c>
      <c r="C445" s="10" t="s">
        <v>313</v>
      </c>
      <c r="D445" s="16">
        <v>45695</v>
      </c>
      <c r="E445" s="12" t="s">
        <v>439</v>
      </c>
      <c r="F445" s="17"/>
    </row>
    <row r="446" spans="1:6" ht="39.75" hidden="1" customHeight="1">
      <c r="A446" s="18" t="s">
        <v>511</v>
      </c>
      <c r="B446" s="18">
        <v>38505007</v>
      </c>
      <c r="C446" s="10" t="s">
        <v>313</v>
      </c>
      <c r="D446" s="16">
        <v>45695</v>
      </c>
      <c r="E446" s="12" t="s">
        <v>439</v>
      </c>
      <c r="F446" s="17"/>
    </row>
    <row r="447" spans="1:6" ht="39.75" hidden="1" customHeight="1">
      <c r="A447" s="18" t="s">
        <v>511</v>
      </c>
      <c r="B447" s="18">
        <v>38505119</v>
      </c>
      <c r="C447" s="10" t="s">
        <v>313</v>
      </c>
      <c r="D447" s="16">
        <v>45695</v>
      </c>
      <c r="E447" s="12" t="s">
        <v>439</v>
      </c>
      <c r="F447" s="17"/>
    </row>
    <row r="448" spans="1:6" ht="39.75" hidden="1" customHeight="1">
      <c r="A448" s="18" t="s">
        <v>511</v>
      </c>
      <c r="B448" s="18">
        <v>38505158</v>
      </c>
      <c r="C448" s="10" t="s">
        <v>313</v>
      </c>
      <c r="D448" s="16">
        <v>45695</v>
      </c>
      <c r="E448" s="12" t="s">
        <v>439</v>
      </c>
      <c r="F448" s="17"/>
    </row>
    <row r="449" spans="1:6" ht="39.75" hidden="1" customHeight="1">
      <c r="A449" s="18" t="s">
        <v>511</v>
      </c>
      <c r="B449" s="18">
        <v>38505238</v>
      </c>
      <c r="C449" s="10" t="s">
        <v>313</v>
      </c>
      <c r="D449" s="16">
        <v>45695</v>
      </c>
      <c r="E449" s="12" t="s">
        <v>439</v>
      </c>
      <c r="F449" s="17"/>
    </row>
    <row r="450" spans="1:6" ht="39.75" hidden="1" customHeight="1">
      <c r="A450" s="18" t="s">
        <v>511</v>
      </c>
      <c r="B450" s="18">
        <v>38505266</v>
      </c>
      <c r="C450" s="10" t="s">
        <v>313</v>
      </c>
      <c r="D450" s="16">
        <v>45695</v>
      </c>
      <c r="E450" s="12" t="s">
        <v>439</v>
      </c>
      <c r="F450" s="17"/>
    </row>
    <row r="451" spans="1:6" ht="39.75" hidden="1" customHeight="1">
      <c r="A451" s="18" t="s">
        <v>511</v>
      </c>
      <c r="B451" s="18">
        <v>38505300</v>
      </c>
      <c r="C451" s="10" t="s">
        <v>313</v>
      </c>
      <c r="D451" s="16">
        <v>45695</v>
      </c>
      <c r="E451" s="12" t="s">
        <v>439</v>
      </c>
      <c r="F451" s="17"/>
    </row>
    <row r="452" spans="1:6" ht="39.75" hidden="1" customHeight="1">
      <c r="A452" s="18" t="s">
        <v>511</v>
      </c>
      <c r="B452" s="18">
        <v>38505536</v>
      </c>
      <c r="C452" s="10" t="s">
        <v>313</v>
      </c>
      <c r="D452" s="16">
        <v>45695</v>
      </c>
      <c r="E452" s="12" t="s">
        <v>439</v>
      </c>
      <c r="F452" s="17"/>
    </row>
    <row r="453" spans="1:6" ht="39.75" hidden="1" customHeight="1">
      <c r="A453" s="14" t="s">
        <v>472</v>
      </c>
      <c r="B453" s="14">
        <v>39500389</v>
      </c>
      <c r="C453" s="10" t="s">
        <v>36</v>
      </c>
      <c r="D453" s="9">
        <v>45696</v>
      </c>
      <c r="E453" s="10" t="s">
        <v>473</v>
      </c>
      <c r="F453" s="14" t="s">
        <v>512</v>
      </c>
    </row>
    <row r="454" spans="1:6" ht="39.75" hidden="1" customHeight="1">
      <c r="A454" s="14" t="s">
        <v>472</v>
      </c>
      <c r="B454" s="14">
        <v>39500387</v>
      </c>
      <c r="C454" s="10" t="s">
        <v>36</v>
      </c>
      <c r="D454" s="9">
        <v>45696</v>
      </c>
      <c r="E454" s="10" t="s">
        <v>473</v>
      </c>
      <c r="F454" s="14" t="s">
        <v>513</v>
      </c>
    </row>
    <row r="455" spans="1:6" ht="39.75" hidden="1" customHeight="1">
      <c r="A455" s="14" t="s">
        <v>472</v>
      </c>
      <c r="B455" s="14">
        <v>39500392</v>
      </c>
      <c r="C455" s="10" t="s">
        <v>36</v>
      </c>
      <c r="D455" s="9">
        <v>45696</v>
      </c>
      <c r="E455" s="10" t="s">
        <v>473</v>
      </c>
      <c r="F455" s="14" t="s">
        <v>513</v>
      </c>
    </row>
    <row r="456" spans="1:6" ht="39.75" hidden="1" customHeight="1">
      <c r="A456" s="14" t="s">
        <v>472</v>
      </c>
      <c r="B456" s="14">
        <v>39500391</v>
      </c>
      <c r="C456" s="10" t="s">
        <v>36</v>
      </c>
      <c r="D456" s="9">
        <v>45696</v>
      </c>
      <c r="E456" s="10" t="s">
        <v>473</v>
      </c>
      <c r="F456" s="14" t="s">
        <v>514</v>
      </c>
    </row>
    <row r="457" spans="1:6" ht="39.75" hidden="1" customHeight="1">
      <c r="A457" s="14" t="s">
        <v>472</v>
      </c>
      <c r="B457" s="14">
        <v>39500395</v>
      </c>
      <c r="C457" s="10" t="s">
        <v>36</v>
      </c>
      <c r="D457" s="9">
        <v>45696</v>
      </c>
      <c r="E457" s="10" t="s">
        <v>473</v>
      </c>
      <c r="F457" s="14" t="s">
        <v>515</v>
      </c>
    </row>
    <row r="458" spans="1:6" ht="39.75" hidden="1" customHeight="1">
      <c r="A458" s="14" t="s">
        <v>472</v>
      </c>
      <c r="B458" s="14">
        <v>39500399</v>
      </c>
      <c r="C458" s="10" t="s">
        <v>36</v>
      </c>
      <c r="D458" s="9">
        <v>45696</v>
      </c>
      <c r="E458" s="10" t="s">
        <v>473</v>
      </c>
      <c r="F458" s="14" t="s">
        <v>515</v>
      </c>
    </row>
    <row r="459" spans="1:6" ht="39.75" hidden="1" customHeight="1">
      <c r="A459" s="14" t="s">
        <v>472</v>
      </c>
      <c r="B459" s="14">
        <v>39500402</v>
      </c>
      <c r="C459" s="10" t="s">
        <v>36</v>
      </c>
      <c r="D459" s="9">
        <v>45696</v>
      </c>
      <c r="E459" s="10" t="s">
        <v>473</v>
      </c>
      <c r="F459" s="14" t="s">
        <v>516</v>
      </c>
    </row>
    <row r="460" spans="1:6" ht="39.75" hidden="1" customHeight="1">
      <c r="A460" s="14" t="s">
        <v>472</v>
      </c>
      <c r="B460" s="14">
        <v>39500404</v>
      </c>
      <c r="C460" s="10" t="s">
        <v>36</v>
      </c>
      <c r="D460" s="9">
        <v>45696</v>
      </c>
      <c r="E460" s="10" t="s">
        <v>473</v>
      </c>
      <c r="F460" s="14" t="s">
        <v>516</v>
      </c>
    </row>
    <row r="461" spans="1:6" ht="39.75" hidden="1" customHeight="1">
      <c r="A461" s="14" t="s">
        <v>472</v>
      </c>
      <c r="B461" s="14">
        <v>39500405</v>
      </c>
      <c r="C461" s="10" t="s">
        <v>36</v>
      </c>
      <c r="D461" s="9">
        <v>45696</v>
      </c>
      <c r="E461" s="10" t="s">
        <v>473</v>
      </c>
      <c r="F461" s="14" t="s">
        <v>517</v>
      </c>
    </row>
    <row r="462" spans="1:6" ht="39.75" hidden="1" customHeight="1">
      <c r="A462" s="14" t="s">
        <v>472</v>
      </c>
      <c r="B462" s="14">
        <v>39500411</v>
      </c>
      <c r="C462" s="10" t="s">
        <v>36</v>
      </c>
      <c r="D462" s="9">
        <v>45696</v>
      </c>
      <c r="E462" s="10" t="s">
        <v>473</v>
      </c>
      <c r="F462" s="14" t="s">
        <v>514</v>
      </c>
    </row>
    <row r="463" spans="1:6" ht="39.75" hidden="1" customHeight="1">
      <c r="A463" s="14" t="s">
        <v>472</v>
      </c>
      <c r="B463" s="14">
        <v>39500408</v>
      </c>
      <c r="C463" s="10" t="s">
        <v>36</v>
      </c>
      <c r="D463" s="9">
        <v>45696</v>
      </c>
      <c r="E463" s="10" t="s">
        <v>473</v>
      </c>
      <c r="F463" s="14" t="s">
        <v>516</v>
      </c>
    </row>
    <row r="464" spans="1:6" ht="39.75" hidden="1" customHeight="1">
      <c r="A464" s="6" t="s">
        <v>309</v>
      </c>
      <c r="B464" s="31">
        <v>48503822</v>
      </c>
      <c r="C464" s="3" t="s">
        <v>36</v>
      </c>
      <c r="D464" s="35">
        <v>45705</v>
      </c>
      <c r="E464" s="4" t="s">
        <v>315</v>
      </c>
      <c r="F464" s="47" t="s">
        <v>518</v>
      </c>
    </row>
    <row r="465" spans="1:6" ht="39.75" hidden="1" customHeight="1">
      <c r="A465" s="6" t="s">
        <v>309</v>
      </c>
      <c r="B465" s="32">
        <v>48503862</v>
      </c>
      <c r="C465" s="3" t="s">
        <v>36</v>
      </c>
      <c r="D465" s="36">
        <v>45705</v>
      </c>
      <c r="E465" s="4" t="s">
        <v>315</v>
      </c>
      <c r="F465" s="48" t="s">
        <v>519</v>
      </c>
    </row>
    <row r="466" spans="1:6" ht="39.75" hidden="1" customHeight="1">
      <c r="A466" s="6" t="s">
        <v>309</v>
      </c>
      <c r="B466" s="32">
        <v>48503899</v>
      </c>
      <c r="C466" s="3" t="s">
        <v>36</v>
      </c>
      <c r="D466" s="36">
        <v>45705</v>
      </c>
      <c r="E466" s="4" t="s">
        <v>315</v>
      </c>
      <c r="F466" s="48" t="s">
        <v>520</v>
      </c>
    </row>
    <row r="467" spans="1:6" ht="39.75" hidden="1" customHeight="1">
      <c r="A467" s="6" t="s">
        <v>309</v>
      </c>
      <c r="B467" s="32">
        <v>48503938</v>
      </c>
      <c r="C467" s="3" t="s">
        <v>36</v>
      </c>
      <c r="D467" s="36">
        <v>45705</v>
      </c>
      <c r="E467" s="4" t="s">
        <v>315</v>
      </c>
      <c r="F467" s="48" t="s">
        <v>521</v>
      </c>
    </row>
    <row r="468" spans="1:6" ht="39.75" hidden="1" customHeight="1">
      <c r="A468" s="6" t="s">
        <v>309</v>
      </c>
      <c r="B468" s="32">
        <v>48504049</v>
      </c>
      <c r="C468" s="3" t="s">
        <v>36</v>
      </c>
      <c r="D468" s="36">
        <v>45705</v>
      </c>
      <c r="E468" s="4" t="s">
        <v>315</v>
      </c>
      <c r="F468" s="48" t="s">
        <v>522</v>
      </c>
    </row>
    <row r="469" spans="1:6" ht="39.75" hidden="1" customHeight="1">
      <c r="A469" s="6" t="s">
        <v>309</v>
      </c>
      <c r="B469" s="32">
        <v>48504019</v>
      </c>
      <c r="C469" s="3" t="s">
        <v>36</v>
      </c>
      <c r="D469" s="36">
        <v>45705</v>
      </c>
      <c r="E469" s="4" t="s">
        <v>315</v>
      </c>
      <c r="F469" s="48" t="s">
        <v>523</v>
      </c>
    </row>
    <row r="470" spans="1:6" ht="39.75" hidden="1" customHeight="1">
      <c r="A470" s="6" t="s">
        <v>309</v>
      </c>
      <c r="B470" s="32">
        <v>48504110</v>
      </c>
      <c r="C470" s="3" t="s">
        <v>36</v>
      </c>
      <c r="D470" s="36">
        <v>45705</v>
      </c>
      <c r="E470" s="4" t="s">
        <v>315</v>
      </c>
      <c r="F470" s="48" t="s">
        <v>524</v>
      </c>
    </row>
    <row r="471" spans="1:6" ht="39.75" hidden="1" customHeight="1">
      <c r="A471" s="6" t="s">
        <v>309</v>
      </c>
      <c r="B471" s="32">
        <v>48504133</v>
      </c>
      <c r="C471" s="3" t="s">
        <v>36</v>
      </c>
      <c r="D471" s="36">
        <v>45705</v>
      </c>
      <c r="E471" s="4" t="s">
        <v>315</v>
      </c>
      <c r="F471" s="48" t="s">
        <v>525</v>
      </c>
    </row>
    <row r="472" spans="1:6" ht="39.75" hidden="1" customHeight="1">
      <c r="A472" s="6" t="s">
        <v>309</v>
      </c>
      <c r="B472" s="32">
        <v>48504220</v>
      </c>
      <c r="C472" s="3" t="s">
        <v>36</v>
      </c>
      <c r="D472" s="36">
        <v>45705</v>
      </c>
      <c r="E472" s="4" t="s">
        <v>315</v>
      </c>
      <c r="F472" s="48" t="s">
        <v>526</v>
      </c>
    </row>
    <row r="473" spans="1:6" ht="39.75" hidden="1" customHeight="1">
      <c r="A473" s="6" t="s">
        <v>309</v>
      </c>
      <c r="B473" s="32">
        <v>48504325</v>
      </c>
      <c r="C473" s="3" t="s">
        <v>36</v>
      </c>
      <c r="D473" s="36">
        <v>45705</v>
      </c>
      <c r="E473" s="4" t="s">
        <v>315</v>
      </c>
      <c r="F473" s="48" t="s">
        <v>527</v>
      </c>
    </row>
    <row r="474" spans="1:6" ht="39.75" hidden="1" customHeight="1">
      <c r="A474" s="6" t="s">
        <v>309</v>
      </c>
      <c r="B474" s="32">
        <v>48504378</v>
      </c>
      <c r="C474" s="3" t="s">
        <v>36</v>
      </c>
      <c r="D474" s="36">
        <v>45705</v>
      </c>
      <c r="E474" s="4" t="s">
        <v>315</v>
      </c>
      <c r="F474" s="48" t="s">
        <v>528</v>
      </c>
    </row>
    <row r="475" spans="1:6" ht="39.75" hidden="1" customHeight="1">
      <c r="A475" s="6" t="s">
        <v>309</v>
      </c>
      <c r="B475" s="32">
        <v>48504399</v>
      </c>
      <c r="C475" s="3" t="s">
        <v>36</v>
      </c>
      <c r="D475" s="36">
        <v>45705</v>
      </c>
      <c r="E475" s="4" t="s">
        <v>315</v>
      </c>
      <c r="F475" s="48" t="s">
        <v>529</v>
      </c>
    </row>
    <row r="476" spans="1:6" ht="39.75" hidden="1" customHeight="1">
      <c r="A476" s="6" t="s">
        <v>309</v>
      </c>
      <c r="B476" s="32">
        <v>48504525</v>
      </c>
      <c r="C476" s="3" t="s">
        <v>36</v>
      </c>
      <c r="D476" s="36">
        <v>45705</v>
      </c>
      <c r="E476" s="4" t="s">
        <v>315</v>
      </c>
      <c r="F476" s="48" t="s">
        <v>530</v>
      </c>
    </row>
    <row r="477" spans="1:6" ht="39.75" hidden="1" customHeight="1">
      <c r="A477" s="6" t="s">
        <v>309</v>
      </c>
      <c r="B477" s="32">
        <v>48504593</v>
      </c>
      <c r="C477" s="3" t="s">
        <v>36</v>
      </c>
      <c r="D477" s="36">
        <v>45705</v>
      </c>
      <c r="E477" s="4" t="s">
        <v>315</v>
      </c>
      <c r="F477" s="48" t="s">
        <v>531</v>
      </c>
    </row>
    <row r="478" spans="1:6" ht="39.75" hidden="1" customHeight="1">
      <c r="A478" s="6" t="s">
        <v>309</v>
      </c>
      <c r="B478" s="32">
        <v>48504635</v>
      </c>
      <c r="C478" s="3" t="s">
        <v>36</v>
      </c>
      <c r="D478" s="36">
        <v>45705</v>
      </c>
      <c r="E478" s="4" t="s">
        <v>315</v>
      </c>
      <c r="F478" s="48" t="s">
        <v>532</v>
      </c>
    </row>
    <row r="479" spans="1:6" ht="39.75" hidden="1" customHeight="1">
      <c r="A479" s="6" t="s">
        <v>309</v>
      </c>
      <c r="B479" s="32">
        <v>48504665</v>
      </c>
      <c r="C479" s="3" t="s">
        <v>36</v>
      </c>
      <c r="D479" s="36">
        <v>45705</v>
      </c>
      <c r="E479" s="4" t="s">
        <v>315</v>
      </c>
      <c r="F479" s="48" t="s">
        <v>533</v>
      </c>
    </row>
    <row r="480" spans="1:6" ht="39.75" hidden="1" customHeight="1">
      <c r="A480" s="6" t="s">
        <v>534</v>
      </c>
      <c r="B480" s="31">
        <v>48505497</v>
      </c>
      <c r="C480" s="3" t="s">
        <v>36</v>
      </c>
      <c r="D480" s="36">
        <v>45705</v>
      </c>
      <c r="E480" s="4" t="s">
        <v>315</v>
      </c>
      <c r="F480" s="31" t="s">
        <v>535</v>
      </c>
    </row>
    <row r="481" spans="1:6" ht="39.75" hidden="1" customHeight="1">
      <c r="A481" s="6" t="s">
        <v>534</v>
      </c>
      <c r="B481" s="32">
        <v>48505550</v>
      </c>
      <c r="C481" s="3" t="s">
        <v>36</v>
      </c>
      <c r="D481" s="36">
        <v>45705</v>
      </c>
      <c r="E481" s="4" t="s">
        <v>315</v>
      </c>
      <c r="F481" s="32" t="s">
        <v>536</v>
      </c>
    </row>
    <row r="482" spans="1:6" ht="39.75" hidden="1" customHeight="1">
      <c r="A482" s="6" t="s">
        <v>534</v>
      </c>
      <c r="B482" s="32">
        <v>48505605</v>
      </c>
      <c r="C482" s="3" t="s">
        <v>36</v>
      </c>
      <c r="D482" s="36">
        <v>45705</v>
      </c>
      <c r="E482" s="4" t="s">
        <v>315</v>
      </c>
      <c r="F482" s="32" t="s">
        <v>537</v>
      </c>
    </row>
    <row r="483" spans="1:6" ht="39.75" hidden="1" customHeight="1">
      <c r="A483" s="6" t="s">
        <v>534</v>
      </c>
      <c r="B483" s="32">
        <v>48505643</v>
      </c>
      <c r="C483" s="3" t="s">
        <v>36</v>
      </c>
      <c r="D483" s="36">
        <v>45705</v>
      </c>
      <c r="E483" s="4" t="s">
        <v>315</v>
      </c>
      <c r="F483" s="32" t="s">
        <v>538</v>
      </c>
    </row>
    <row r="484" spans="1:6" ht="39.75" hidden="1" customHeight="1">
      <c r="A484" s="6" t="s">
        <v>534</v>
      </c>
      <c r="B484" s="32">
        <v>48505714</v>
      </c>
      <c r="C484" s="3" t="s">
        <v>36</v>
      </c>
      <c r="D484" s="36">
        <v>45705</v>
      </c>
      <c r="E484" s="4" t="s">
        <v>315</v>
      </c>
      <c r="F484" s="32" t="s">
        <v>539</v>
      </c>
    </row>
    <row r="485" spans="1:6" ht="39.75" hidden="1" customHeight="1">
      <c r="A485" s="6" t="s">
        <v>534</v>
      </c>
      <c r="B485" s="32">
        <v>48506000</v>
      </c>
      <c r="C485" s="3" t="s">
        <v>36</v>
      </c>
      <c r="D485" s="36">
        <v>45705</v>
      </c>
      <c r="E485" s="4" t="s">
        <v>315</v>
      </c>
      <c r="F485" s="32" t="s">
        <v>540</v>
      </c>
    </row>
    <row r="486" spans="1:6" ht="39.75" hidden="1" customHeight="1">
      <c r="A486" s="6" t="s">
        <v>534</v>
      </c>
      <c r="B486" s="32">
        <v>48506074</v>
      </c>
      <c r="C486" s="3" t="s">
        <v>36</v>
      </c>
      <c r="D486" s="36">
        <v>45705</v>
      </c>
      <c r="E486" s="4" t="s">
        <v>315</v>
      </c>
      <c r="F486" s="32" t="s">
        <v>541</v>
      </c>
    </row>
    <row r="487" spans="1:6" ht="39.75" hidden="1" customHeight="1">
      <c r="A487" s="6" t="s">
        <v>534</v>
      </c>
      <c r="B487" s="32">
        <v>48506121</v>
      </c>
      <c r="C487" s="3" t="s">
        <v>36</v>
      </c>
      <c r="D487" s="36">
        <v>45705</v>
      </c>
      <c r="E487" s="4" t="s">
        <v>315</v>
      </c>
      <c r="F487" s="32" t="s">
        <v>542</v>
      </c>
    </row>
    <row r="488" spans="1:6" ht="39.75" hidden="1" customHeight="1">
      <c r="A488" s="6" t="s">
        <v>534</v>
      </c>
      <c r="B488" s="32">
        <v>48506146</v>
      </c>
      <c r="C488" s="3" t="s">
        <v>36</v>
      </c>
      <c r="D488" s="36">
        <v>45705</v>
      </c>
      <c r="E488" s="4" t="s">
        <v>315</v>
      </c>
      <c r="F488" s="32" t="s">
        <v>543</v>
      </c>
    </row>
    <row r="489" spans="1:6" ht="39.75" hidden="1" customHeight="1">
      <c r="A489" s="6" t="s">
        <v>534</v>
      </c>
      <c r="B489" s="32">
        <v>48506167</v>
      </c>
      <c r="C489" s="3" t="s">
        <v>36</v>
      </c>
      <c r="D489" s="36">
        <v>45705</v>
      </c>
      <c r="E489" s="4" t="s">
        <v>315</v>
      </c>
      <c r="F489" s="32" t="s">
        <v>544</v>
      </c>
    </row>
    <row r="490" spans="1:6" ht="39.75" hidden="1" customHeight="1">
      <c r="A490" s="6" t="s">
        <v>534</v>
      </c>
      <c r="B490" s="32">
        <v>48506275</v>
      </c>
      <c r="C490" s="3" t="s">
        <v>36</v>
      </c>
      <c r="D490" s="36">
        <v>45705</v>
      </c>
      <c r="E490" s="4" t="s">
        <v>315</v>
      </c>
      <c r="F490" s="32" t="s">
        <v>545</v>
      </c>
    </row>
    <row r="491" spans="1:6" ht="39.75" hidden="1" customHeight="1">
      <c r="A491" s="6" t="s">
        <v>534</v>
      </c>
      <c r="B491" s="32">
        <v>48506238</v>
      </c>
      <c r="C491" s="3" t="s">
        <v>36</v>
      </c>
      <c r="D491" s="36">
        <v>45705</v>
      </c>
      <c r="E491" s="4" t="s">
        <v>315</v>
      </c>
      <c r="F491" s="32" t="s">
        <v>546</v>
      </c>
    </row>
    <row r="492" spans="1:6" ht="39.75" hidden="1" customHeight="1">
      <c r="A492" s="6" t="s">
        <v>534</v>
      </c>
      <c r="B492" s="32">
        <v>48506312</v>
      </c>
      <c r="C492" s="3" t="s">
        <v>36</v>
      </c>
      <c r="D492" s="36">
        <v>45705</v>
      </c>
      <c r="E492" s="4" t="s">
        <v>315</v>
      </c>
      <c r="F492" s="32" t="s">
        <v>547</v>
      </c>
    </row>
    <row r="493" spans="1:6" ht="39.75" hidden="1" customHeight="1">
      <c r="A493" s="6" t="s">
        <v>534</v>
      </c>
      <c r="B493" s="32">
        <v>48506380</v>
      </c>
      <c r="C493" s="3" t="s">
        <v>36</v>
      </c>
      <c r="D493" s="36">
        <v>45705</v>
      </c>
      <c r="E493" s="4" t="s">
        <v>315</v>
      </c>
      <c r="F493" s="32" t="s">
        <v>548</v>
      </c>
    </row>
    <row r="494" spans="1:6" ht="39.75" hidden="1" customHeight="1">
      <c r="A494" s="6" t="s">
        <v>534</v>
      </c>
      <c r="B494" s="32">
        <v>48506402</v>
      </c>
      <c r="C494" s="3" t="s">
        <v>36</v>
      </c>
      <c r="D494" s="36">
        <v>45705</v>
      </c>
      <c r="E494" s="4" t="s">
        <v>315</v>
      </c>
      <c r="F494" s="32" t="s">
        <v>549</v>
      </c>
    </row>
    <row r="495" spans="1:6" ht="39.75" hidden="1" customHeight="1">
      <c r="A495" s="6" t="s">
        <v>534</v>
      </c>
      <c r="B495" s="32">
        <v>48506447</v>
      </c>
      <c r="C495" s="3" t="s">
        <v>36</v>
      </c>
      <c r="D495" s="36">
        <v>45705</v>
      </c>
      <c r="E495" s="4" t="s">
        <v>315</v>
      </c>
      <c r="F495" s="32" t="s">
        <v>550</v>
      </c>
    </row>
    <row r="496" spans="1:6" ht="39.75" hidden="1" customHeight="1">
      <c r="A496" s="6" t="s">
        <v>534</v>
      </c>
      <c r="B496" s="32">
        <v>48506473</v>
      </c>
      <c r="C496" s="3" t="s">
        <v>36</v>
      </c>
      <c r="D496" s="36">
        <v>45705</v>
      </c>
      <c r="E496" s="4" t="s">
        <v>315</v>
      </c>
      <c r="F496" s="32" t="s">
        <v>551</v>
      </c>
    </row>
    <row r="497" spans="1:6" ht="39.75" hidden="1" customHeight="1">
      <c r="A497" s="6" t="s">
        <v>534</v>
      </c>
      <c r="B497" s="32">
        <v>48506598</v>
      </c>
      <c r="C497" s="3" t="s">
        <v>36</v>
      </c>
      <c r="D497" s="36">
        <v>45705</v>
      </c>
      <c r="E497" s="4" t="s">
        <v>315</v>
      </c>
      <c r="F497" s="32" t="s">
        <v>552</v>
      </c>
    </row>
    <row r="498" spans="1:6" ht="39.75" hidden="1" customHeight="1">
      <c r="A498" s="6" t="s">
        <v>534</v>
      </c>
      <c r="B498" s="32">
        <v>48506685</v>
      </c>
      <c r="C498" s="3" t="s">
        <v>36</v>
      </c>
      <c r="D498" s="36">
        <v>45705</v>
      </c>
      <c r="E498" s="4" t="s">
        <v>315</v>
      </c>
      <c r="F498" s="32" t="s">
        <v>553</v>
      </c>
    </row>
    <row r="499" spans="1:6" ht="39.75" hidden="1" customHeight="1">
      <c r="A499" s="6" t="s">
        <v>534</v>
      </c>
      <c r="B499" s="32">
        <v>48506703</v>
      </c>
      <c r="C499" s="3" t="s">
        <v>36</v>
      </c>
      <c r="D499" s="36">
        <v>45705</v>
      </c>
      <c r="E499" s="4" t="s">
        <v>315</v>
      </c>
      <c r="F499" s="32" t="s">
        <v>554</v>
      </c>
    </row>
    <row r="500" spans="1:6" ht="39.75" hidden="1" customHeight="1">
      <c r="A500" s="6" t="s">
        <v>534</v>
      </c>
      <c r="B500" s="32">
        <v>48506738</v>
      </c>
      <c r="C500" s="3" t="s">
        <v>36</v>
      </c>
      <c r="D500" s="36">
        <v>45705</v>
      </c>
      <c r="E500" s="4" t="s">
        <v>315</v>
      </c>
      <c r="F500" s="32" t="s">
        <v>555</v>
      </c>
    </row>
    <row r="501" spans="1:6" ht="39.75" hidden="1" customHeight="1">
      <c r="A501" s="6" t="s">
        <v>534</v>
      </c>
      <c r="B501" s="32">
        <v>48506819</v>
      </c>
      <c r="C501" s="3" t="s">
        <v>36</v>
      </c>
      <c r="D501" s="36">
        <v>45705</v>
      </c>
      <c r="E501" s="4" t="s">
        <v>315</v>
      </c>
      <c r="F501" s="32" t="s">
        <v>556</v>
      </c>
    </row>
    <row r="502" spans="1:6" ht="39.75" hidden="1" customHeight="1">
      <c r="A502" s="6" t="s">
        <v>534</v>
      </c>
      <c r="B502" s="32">
        <v>48506880</v>
      </c>
      <c r="C502" s="3" t="s">
        <v>36</v>
      </c>
      <c r="D502" s="36">
        <v>45705</v>
      </c>
      <c r="E502" s="4" t="s">
        <v>315</v>
      </c>
      <c r="F502" s="32" t="s">
        <v>557</v>
      </c>
    </row>
    <row r="503" spans="1:6" ht="39.75" hidden="1" customHeight="1">
      <c r="A503" s="6" t="s">
        <v>534</v>
      </c>
      <c r="B503" s="32">
        <v>48506900</v>
      </c>
      <c r="C503" s="3" t="s">
        <v>36</v>
      </c>
      <c r="D503" s="36">
        <v>45705</v>
      </c>
      <c r="E503" s="4" t="s">
        <v>315</v>
      </c>
      <c r="F503" s="32" t="s">
        <v>558</v>
      </c>
    </row>
    <row r="504" spans="1:6" ht="39.75" hidden="1" customHeight="1">
      <c r="A504" s="6" t="s">
        <v>534</v>
      </c>
      <c r="B504" s="32">
        <v>48506952</v>
      </c>
      <c r="C504" s="3" t="s">
        <v>36</v>
      </c>
      <c r="D504" s="36">
        <v>45705</v>
      </c>
      <c r="E504" s="4" t="s">
        <v>315</v>
      </c>
      <c r="F504" s="32" t="s">
        <v>559</v>
      </c>
    </row>
    <row r="505" spans="1:6" ht="39.75" hidden="1" customHeight="1">
      <c r="A505" s="6" t="s">
        <v>534</v>
      </c>
      <c r="B505" s="32">
        <v>48506994</v>
      </c>
      <c r="C505" s="3" t="s">
        <v>36</v>
      </c>
      <c r="D505" s="36">
        <v>45705</v>
      </c>
      <c r="E505" s="4" t="s">
        <v>315</v>
      </c>
      <c r="F505" s="32" t="s">
        <v>560</v>
      </c>
    </row>
    <row r="506" spans="1:6" ht="39.75" hidden="1" customHeight="1">
      <c r="A506" s="6" t="s">
        <v>534</v>
      </c>
      <c r="B506" s="32">
        <v>48507054</v>
      </c>
      <c r="C506" s="3" t="s">
        <v>36</v>
      </c>
      <c r="D506" s="36">
        <v>45705</v>
      </c>
      <c r="E506" s="4" t="s">
        <v>315</v>
      </c>
      <c r="F506" s="32" t="s">
        <v>561</v>
      </c>
    </row>
    <row r="507" spans="1:6" ht="39.75" hidden="1" customHeight="1">
      <c r="A507" s="6" t="s">
        <v>534</v>
      </c>
      <c r="B507" s="32">
        <v>48507104</v>
      </c>
      <c r="C507" s="3" t="s">
        <v>36</v>
      </c>
      <c r="D507" s="36">
        <v>45705</v>
      </c>
      <c r="E507" s="4" t="s">
        <v>315</v>
      </c>
      <c r="F507" s="32" t="s">
        <v>560</v>
      </c>
    </row>
    <row r="508" spans="1:6" ht="39.75" hidden="1" customHeight="1">
      <c r="A508" s="6" t="s">
        <v>534</v>
      </c>
      <c r="B508" s="32">
        <v>48507121</v>
      </c>
      <c r="C508" s="3" t="s">
        <v>36</v>
      </c>
      <c r="D508" s="36">
        <v>45705</v>
      </c>
      <c r="E508" s="4" t="s">
        <v>315</v>
      </c>
      <c r="F508" s="32" t="s">
        <v>561</v>
      </c>
    </row>
    <row r="509" spans="1:6" ht="39.75" hidden="1" customHeight="1">
      <c r="A509" s="6" t="s">
        <v>534</v>
      </c>
      <c r="B509" s="32">
        <v>48507149</v>
      </c>
      <c r="C509" s="3" t="s">
        <v>36</v>
      </c>
      <c r="D509" s="36">
        <v>45705</v>
      </c>
      <c r="E509" s="4" t="s">
        <v>315</v>
      </c>
      <c r="F509" s="32" t="s">
        <v>562</v>
      </c>
    </row>
    <row r="510" spans="1:6" ht="39.75" hidden="1" customHeight="1">
      <c r="A510" s="6" t="s">
        <v>534</v>
      </c>
      <c r="B510" s="32">
        <v>48507171</v>
      </c>
      <c r="C510" s="3" t="s">
        <v>36</v>
      </c>
      <c r="D510" s="36">
        <v>45705</v>
      </c>
      <c r="E510" s="4" t="s">
        <v>315</v>
      </c>
      <c r="F510" s="32" t="s">
        <v>563</v>
      </c>
    </row>
    <row r="511" spans="1:6" ht="39.75" hidden="1" customHeight="1">
      <c r="A511" s="6" t="s">
        <v>534</v>
      </c>
      <c r="B511" s="32">
        <v>48507195</v>
      </c>
      <c r="C511" s="3" t="s">
        <v>36</v>
      </c>
      <c r="D511" s="36">
        <v>45705</v>
      </c>
      <c r="E511" s="4" t="s">
        <v>315</v>
      </c>
      <c r="F511" s="32" t="s">
        <v>564</v>
      </c>
    </row>
    <row r="512" spans="1:6" ht="39.75" hidden="1" customHeight="1">
      <c r="A512" s="33" t="s">
        <v>511</v>
      </c>
      <c r="B512" s="31">
        <v>44504002</v>
      </c>
      <c r="C512" s="10" t="s">
        <v>313</v>
      </c>
      <c r="D512" s="9">
        <v>45701</v>
      </c>
      <c r="E512" s="11" t="s">
        <v>486</v>
      </c>
      <c r="F512" s="31" t="s">
        <v>452</v>
      </c>
    </row>
    <row r="513" spans="1:6" ht="39.75" hidden="1" customHeight="1">
      <c r="A513" s="34" t="s">
        <v>511</v>
      </c>
      <c r="B513" s="32">
        <v>44504071</v>
      </c>
      <c r="C513" s="10" t="s">
        <v>313</v>
      </c>
      <c r="D513" s="9">
        <v>45701</v>
      </c>
      <c r="E513" s="11" t="s">
        <v>486</v>
      </c>
      <c r="F513" s="32" t="s">
        <v>452</v>
      </c>
    </row>
    <row r="514" spans="1:6" ht="39.75" hidden="1" customHeight="1">
      <c r="A514" s="34" t="s">
        <v>511</v>
      </c>
      <c r="B514" s="32">
        <v>44504166</v>
      </c>
      <c r="C514" s="10" t="s">
        <v>313</v>
      </c>
      <c r="D514" s="9">
        <v>45701</v>
      </c>
      <c r="E514" s="11" t="s">
        <v>486</v>
      </c>
      <c r="F514" s="32" t="s">
        <v>452</v>
      </c>
    </row>
    <row r="515" spans="1:6" ht="39.75" hidden="1" customHeight="1">
      <c r="A515" s="34" t="s">
        <v>511</v>
      </c>
      <c r="B515" s="32">
        <v>44504210</v>
      </c>
      <c r="C515" s="10" t="s">
        <v>313</v>
      </c>
      <c r="D515" s="9">
        <v>45701</v>
      </c>
      <c r="E515" s="11" t="s">
        <v>486</v>
      </c>
      <c r="F515" s="32" t="s">
        <v>565</v>
      </c>
    </row>
    <row r="516" spans="1:6" ht="39.75" hidden="1" customHeight="1">
      <c r="A516" s="34" t="s">
        <v>511</v>
      </c>
      <c r="B516" s="32">
        <v>44504348</v>
      </c>
      <c r="C516" s="10" t="s">
        <v>313</v>
      </c>
      <c r="D516" s="9">
        <v>45701</v>
      </c>
      <c r="E516" s="11" t="s">
        <v>486</v>
      </c>
      <c r="F516" s="32" t="s">
        <v>452</v>
      </c>
    </row>
    <row r="517" spans="1:6" ht="39.75" hidden="1" customHeight="1">
      <c r="A517" s="34" t="s">
        <v>511</v>
      </c>
      <c r="B517" s="32">
        <v>44504648</v>
      </c>
      <c r="C517" s="10" t="s">
        <v>313</v>
      </c>
      <c r="D517" s="9">
        <v>45701</v>
      </c>
      <c r="E517" s="11" t="s">
        <v>486</v>
      </c>
      <c r="F517" s="32" t="s">
        <v>565</v>
      </c>
    </row>
    <row r="518" spans="1:6" ht="39.75" hidden="1" customHeight="1">
      <c r="A518" s="34" t="s">
        <v>511</v>
      </c>
      <c r="B518" s="32">
        <v>44504605</v>
      </c>
      <c r="C518" s="10" t="s">
        <v>313</v>
      </c>
      <c r="D518" s="9">
        <v>45701</v>
      </c>
      <c r="E518" s="11" t="s">
        <v>486</v>
      </c>
      <c r="F518" s="32" t="s">
        <v>566</v>
      </c>
    </row>
    <row r="519" spans="1:6" ht="39.75" hidden="1" customHeight="1">
      <c r="A519" s="41" t="s">
        <v>567</v>
      </c>
      <c r="B519" s="63">
        <v>49508930</v>
      </c>
      <c r="C519" s="10" t="s">
        <v>36</v>
      </c>
      <c r="D519" s="42">
        <v>45706</v>
      </c>
      <c r="E519" s="10" t="s">
        <v>367</v>
      </c>
      <c r="F519" s="41" t="s">
        <v>568</v>
      </c>
    </row>
    <row r="520" spans="1:6" ht="39.75" hidden="1" customHeight="1">
      <c r="A520" s="41" t="s">
        <v>567</v>
      </c>
      <c r="B520" s="41">
        <v>49508942</v>
      </c>
      <c r="C520" s="10" t="s">
        <v>36</v>
      </c>
      <c r="D520" s="42">
        <v>45706</v>
      </c>
      <c r="E520" s="10" t="s">
        <v>367</v>
      </c>
      <c r="F520" s="41" t="s">
        <v>569</v>
      </c>
    </row>
    <row r="521" spans="1:6" ht="39.75" hidden="1" customHeight="1">
      <c r="A521" s="41" t="s">
        <v>567</v>
      </c>
      <c r="B521" s="41">
        <v>49508945</v>
      </c>
      <c r="C521" s="10" t="s">
        <v>36</v>
      </c>
      <c r="D521" s="42">
        <v>45706</v>
      </c>
      <c r="E521" s="10" t="s">
        <v>367</v>
      </c>
      <c r="F521" s="41" t="s">
        <v>570</v>
      </c>
    </row>
    <row r="522" spans="1:6" ht="39.75" hidden="1" customHeight="1">
      <c r="A522" s="41" t="s">
        <v>567</v>
      </c>
      <c r="B522" s="41">
        <v>49508956</v>
      </c>
      <c r="C522" s="10" t="s">
        <v>36</v>
      </c>
      <c r="D522" s="42">
        <v>45706</v>
      </c>
      <c r="E522" s="10" t="s">
        <v>367</v>
      </c>
      <c r="F522" s="41" t="s">
        <v>571</v>
      </c>
    </row>
    <row r="523" spans="1:6" ht="39.75" hidden="1" customHeight="1">
      <c r="A523" s="41" t="s">
        <v>567</v>
      </c>
      <c r="B523" s="41">
        <v>49508966</v>
      </c>
      <c r="C523" s="10" t="s">
        <v>36</v>
      </c>
      <c r="D523" s="42">
        <v>45706</v>
      </c>
      <c r="E523" s="10" t="s">
        <v>367</v>
      </c>
      <c r="F523" s="41" t="s">
        <v>572</v>
      </c>
    </row>
    <row r="524" spans="1:6" ht="39.75" hidden="1" customHeight="1">
      <c r="A524" s="41" t="s">
        <v>567</v>
      </c>
      <c r="B524" s="41">
        <v>49508974</v>
      </c>
      <c r="C524" s="10" t="s">
        <v>36</v>
      </c>
      <c r="D524" s="42">
        <v>45706</v>
      </c>
      <c r="E524" s="10" t="s">
        <v>367</v>
      </c>
      <c r="F524" s="41" t="s">
        <v>573</v>
      </c>
    </row>
    <row r="525" spans="1:6" ht="39.75" hidden="1" customHeight="1">
      <c r="A525" s="41" t="s">
        <v>567</v>
      </c>
      <c r="B525" s="41">
        <v>49508978</v>
      </c>
      <c r="C525" s="10" t="s">
        <v>36</v>
      </c>
      <c r="D525" s="42">
        <v>45706</v>
      </c>
      <c r="E525" s="10" t="s">
        <v>367</v>
      </c>
      <c r="F525" s="41" t="s">
        <v>574</v>
      </c>
    </row>
    <row r="526" spans="1:6" ht="39.75" hidden="1" customHeight="1">
      <c r="A526" s="41" t="s">
        <v>567</v>
      </c>
      <c r="B526" s="41">
        <v>49508987</v>
      </c>
      <c r="C526" s="10" t="s">
        <v>36</v>
      </c>
      <c r="D526" s="42">
        <v>45706</v>
      </c>
      <c r="E526" s="10" t="s">
        <v>367</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366</v>
      </c>
      <c r="B556" s="41">
        <v>3506891</v>
      </c>
      <c r="C556" s="10" t="s">
        <v>36</v>
      </c>
      <c r="D556" s="42">
        <v>45695</v>
      </c>
      <c r="E556" s="3" t="s">
        <v>367</v>
      </c>
      <c r="F556" s="41" t="s">
        <v>603</v>
      </c>
    </row>
    <row r="557" spans="1:6" ht="39.75" hidden="1" customHeight="1">
      <c r="A557" s="41" t="s">
        <v>366</v>
      </c>
      <c r="B557" s="41">
        <v>35506896</v>
      </c>
      <c r="C557" s="10" t="s">
        <v>36</v>
      </c>
      <c r="D557" s="42">
        <v>45695</v>
      </c>
      <c r="E557" s="3" t="s">
        <v>367</v>
      </c>
      <c r="F557" s="41" t="s">
        <v>604</v>
      </c>
    </row>
    <row r="558" spans="1:6" ht="39.75" hidden="1" customHeight="1">
      <c r="A558" s="41" t="s">
        <v>567</v>
      </c>
      <c r="B558" s="82">
        <v>50508888</v>
      </c>
      <c r="C558" s="10" t="s">
        <v>36</v>
      </c>
      <c r="D558" s="42">
        <v>45707</v>
      </c>
      <c r="E558" s="3" t="s">
        <v>367</v>
      </c>
      <c r="F558" s="41" t="s">
        <v>605</v>
      </c>
    </row>
    <row r="559" spans="1:6" ht="39.75" hidden="1" customHeight="1">
      <c r="A559" s="41" t="s">
        <v>567</v>
      </c>
      <c r="B559" s="82">
        <v>50508898</v>
      </c>
      <c r="C559" s="10" t="s">
        <v>36</v>
      </c>
      <c r="D559" s="42">
        <v>45707</v>
      </c>
      <c r="E559" s="3" t="s">
        <v>367</v>
      </c>
      <c r="F559" s="41" t="s">
        <v>606</v>
      </c>
    </row>
    <row r="560" spans="1:6" ht="39.75" hidden="1" customHeight="1">
      <c r="A560" s="41" t="s">
        <v>567</v>
      </c>
      <c r="B560" s="82">
        <v>50508905</v>
      </c>
      <c r="C560" s="10" t="s">
        <v>36</v>
      </c>
      <c r="D560" s="42">
        <v>45707</v>
      </c>
      <c r="E560" s="3" t="s">
        <v>367</v>
      </c>
      <c r="F560" s="41" t="s">
        <v>607</v>
      </c>
    </row>
    <row r="561" spans="1:6" ht="39.75" hidden="1" customHeight="1">
      <c r="A561" s="41" t="s">
        <v>567</v>
      </c>
      <c r="B561" s="82">
        <v>50508914</v>
      </c>
      <c r="C561" s="10" t="s">
        <v>36</v>
      </c>
      <c r="D561" s="42">
        <v>45707</v>
      </c>
      <c r="E561" s="3" t="s">
        <v>367</v>
      </c>
      <c r="F561" s="41" t="s">
        <v>608</v>
      </c>
    </row>
    <row r="562" spans="1:6" ht="39.75" hidden="1" customHeight="1">
      <c r="A562" s="41" t="s">
        <v>567</v>
      </c>
      <c r="B562" s="82">
        <v>50508924</v>
      </c>
      <c r="C562" s="10" t="s">
        <v>36</v>
      </c>
      <c r="D562" s="42">
        <v>45707</v>
      </c>
      <c r="E562" s="3" t="s">
        <v>367</v>
      </c>
      <c r="F562" s="41" t="s">
        <v>609</v>
      </c>
    </row>
    <row r="563" spans="1:6" ht="39.75" hidden="1" customHeight="1">
      <c r="A563" s="41" t="s">
        <v>567</v>
      </c>
      <c r="B563" s="82">
        <v>50508932</v>
      </c>
      <c r="C563" s="10" t="s">
        <v>36</v>
      </c>
      <c r="D563" s="42">
        <v>45707</v>
      </c>
      <c r="E563" s="3" t="s">
        <v>367</v>
      </c>
      <c r="F563" s="41" t="s">
        <v>610</v>
      </c>
    </row>
    <row r="564" spans="1:6" ht="39.75" hidden="1" customHeight="1">
      <c r="A564" s="41" t="s">
        <v>567</v>
      </c>
      <c r="B564" s="82">
        <v>50508942</v>
      </c>
      <c r="C564" s="10" t="s">
        <v>36</v>
      </c>
      <c r="D564" s="42">
        <v>45707</v>
      </c>
      <c r="E564" s="3" t="s">
        <v>367</v>
      </c>
      <c r="F564" s="41" t="s">
        <v>611</v>
      </c>
    </row>
    <row r="565" spans="1:6" ht="39.75" hidden="1" customHeight="1">
      <c r="A565" s="41" t="s">
        <v>567</v>
      </c>
      <c r="B565" s="82">
        <v>50508953</v>
      </c>
      <c r="C565" s="10" t="s">
        <v>36</v>
      </c>
      <c r="D565" s="42">
        <v>45707</v>
      </c>
      <c r="E565" s="3" t="s">
        <v>367</v>
      </c>
      <c r="F565" s="41" t="s">
        <v>612</v>
      </c>
    </row>
    <row r="566" spans="1:6" ht="39.75" hidden="1" customHeight="1">
      <c r="A566" s="41" t="s">
        <v>567</v>
      </c>
      <c r="B566" s="82">
        <v>50508962</v>
      </c>
      <c r="C566" s="10" t="s">
        <v>36</v>
      </c>
      <c r="D566" s="42">
        <v>45707</v>
      </c>
      <c r="E566" s="3" t="s">
        <v>367</v>
      </c>
      <c r="F566" s="41" t="s">
        <v>613</v>
      </c>
    </row>
    <row r="567" spans="1:6" ht="39.75" hidden="1" customHeight="1">
      <c r="A567" s="41" t="s">
        <v>567</v>
      </c>
      <c r="B567" s="82">
        <v>50508981</v>
      </c>
      <c r="C567" s="10" t="s">
        <v>36</v>
      </c>
      <c r="D567" s="42">
        <v>45707</v>
      </c>
      <c r="E567" s="3" t="s">
        <v>367</v>
      </c>
      <c r="F567" s="41" t="s">
        <v>614</v>
      </c>
    </row>
    <row r="568" spans="1:6" ht="39.75" hidden="1" customHeight="1">
      <c r="A568" s="41" t="s">
        <v>567</v>
      </c>
      <c r="B568" s="82">
        <v>50508993</v>
      </c>
      <c r="C568" s="10" t="s">
        <v>36</v>
      </c>
      <c r="D568" s="42">
        <v>45707</v>
      </c>
      <c r="E568" s="3" t="s">
        <v>367</v>
      </c>
      <c r="F568" s="41" t="s">
        <v>615</v>
      </c>
    </row>
    <row r="569" spans="1:6" ht="39.75" hidden="1" customHeight="1">
      <c r="A569" s="41" t="s">
        <v>567</v>
      </c>
      <c r="B569" s="82">
        <v>50509004</v>
      </c>
      <c r="C569" s="10" t="s">
        <v>36</v>
      </c>
      <c r="D569" s="42">
        <v>45707</v>
      </c>
      <c r="E569" s="3" t="s">
        <v>367</v>
      </c>
      <c r="F569" s="41" t="s">
        <v>616</v>
      </c>
    </row>
    <row r="570" spans="1:6" ht="39.75" hidden="1" customHeight="1">
      <c r="A570" s="41" t="s">
        <v>567</v>
      </c>
      <c r="B570" s="82">
        <v>50509019</v>
      </c>
      <c r="C570" s="10" t="s">
        <v>36</v>
      </c>
      <c r="D570" s="42">
        <v>45707</v>
      </c>
      <c r="E570" s="3" t="s">
        <v>367</v>
      </c>
      <c r="F570" s="41" t="s">
        <v>617</v>
      </c>
    </row>
    <row r="571" spans="1:6" ht="39.75" hidden="1" customHeight="1">
      <c r="A571" s="41" t="s">
        <v>567</v>
      </c>
      <c r="B571" s="82">
        <v>50509030</v>
      </c>
      <c r="C571" s="10" t="s">
        <v>36</v>
      </c>
      <c r="D571" s="42">
        <v>45707</v>
      </c>
      <c r="E571" s="3" t="s">
        <v>367</v>
      </c>
      <c r="F571" s="41" t="s">
        <v>618</v>
      </c>
    </row>
    <row r="572" spans="1:6" ht="39.75" hidden="1" customHeight="1">
      <c r="A572" s="41" t="s">
        <v>567</v>
      </c>
      <c r="B572" s="82">
        <v>50509040</v>
      </c>
      <c r="C572" s="10" t="s">
        <v>36</v>
      </c>
      <c r="D572" s="42">
        <v>45707</v>
      </c>
      <c r="E572" s="3" t="s">
        <v>367</v>
      </c>
      <c r="F572" s="41" t="s">
        <v>619</v>
      </c>
    </row>
    <row r="573" spans="1:6" ht="39.75" hidden="1" customHeight="1">
      <c r="A573" s="41" t="s">
        <v>567</v>
      </c>
      <c r="B573" s="82">
        <v>50509042</v>
      </c>
      <c r="C573" s="10" t="s">
        <v>36</v>
      </c>
      <c r="D573" s="42">
        <v>45707</v>
      </c>
      <c r="E573" s="3" t="s">
        <v>367</v>
      </c>
      <c r="F573" s="41" t="s">
        <v>620</v>
      </c>
    </row>
    <row r="574" spans="1:6" ht="39.75" hidden="1" customHeight="1">
      <c r="A574" s="41" t="s">
        <v>567</v>
      </c>
      <c r="B574" s="82">
        <v>50509051</v>
      </c>
      <c r="C574" s="10" t="s">
        <v>36</v>
      </c>
      <c r="D574" s="42">
        <v>45707</v>
      </c>
      <c r="E574" s="3" t="s">
        <v>367</v>
      </c>
      <c r="F574" s="41" t="s">
        <v>621</v>
      </c>
    </row>
    <row r="575" spans="1:6" ht="39.75" hidden="1" customHeight="1">
      <c r="A575" s="43" t="s">
        <v>567</v>
      </c>
      <c r="B575" s="83">
        <v>50509057</v>
      </c>
      <c r="C575" s="19" t="s">
        <v>36</v>
      </c>
      <c r="D575" s="44">
        <v>45707</v>
      </c>
      <c r="E575" s="45" t="s">
        <v>367</v>
      </c>
      <c r="F575" s="43" t="s">
        <v>622</v>
      </c>
    </row>
    <row r="576" spans="1:6" ht="39.75" hidden="1" customHeight="1">
      <c r="A576" s="51" t="s">
        <v>511</v>
      </c>
      <c r="B576" s="41">
        <v>51502012</v>
      </c>
      <c r="C576" s="49" t="s">
        <v>36</v>
      </c>
      <c r="D576" s="50">
        <v>45707</v>
      </c>
      <c r="E576" s="51" t="s">
        <v>316</v>
      </c>
      <c r="F576" s="41" t="s">
        <v>623</v>
      </c>
    </row>
    <row r="577" spans="1:6" ht="39.75" hidden="1" customHeight="1">
      <c r="A577" s="51" t="s">
        <v>511</v>
      </c>
      <c r="B577" s="41">
        <v>51501917</v>
      </c>
      <c r="C577" s="49" t="s">
        <v>36</v>
      </c>
      <c r="D577" s="50">
        <v>45707</v>
      </c>
      <c r="E577" s="51" t="s">
        <v>316</v>
      </c>
      <c r="F577" s="41" t="s">
        <v>624</v>
      </c>
    </row>
    <row r="578" spans="1:6" ht="39.75" hidden="1" customHeight="1">
      <c r="A578" s="51" t="s">
        <v>511</v>
      </c>
      <c r="B578" s="41">
        <v>51501848</v>
      </c>
      <c r="C578" s="49" t="s">
        <v>36</v>
      </c>
      <c r="D578" s="50">
        <v>45707</v>
      </c>
      <c r="E578" s="51" t="s">
        <v>316</v>
      </c>
      <c r="F578" s="41" t="s">
        <v>625</v>
      </c>
    </row>
    <row r="579" spans="1:6" ht="39.75" hidden="1" customHeight="1">
      <c r="A579" s="51" t="s">
        <v>511</v>
      </c>
      <c r="B579" s="41">
        <v>51501787</v>
      </c>
      <c r="C579" s="49" t="s">
        <v>36</v>
      </c>
      <c r="D579" s="50">
        <v>45707</v>
      </c>
      <c r="E579" s="51" t="s">
        <v>316</v>
      </c>
      <c r="F579" s="41" t="s">
        <v>626</v>
      </c>
    </row>
    <row r="580" spans="1:6" ht="39.75" hidden="1" customHeight="1">
      <c r="A580" s="51" t="s">
        <v>511</v>
      </c>
      <c r="B580" s="41">
        <v>51501764</v>
      </c>
      <c r="C580" s="49" t="s">
        <v>36</v>
      </c>
      <c r="D580" s="50">
        <v>45707</v>
      </c>
      <c r="E580" s="51" t="s">
        <v>316</v>
      </c>
      <c r="F580" s="41" t="s">
        <v>627</v>
      </c>
    </row>
    <row r="581" spans="1:6" ht="39.75" hidden="1" customHeight="1">
      <c r="A581" s="51" t="s">
        <v>511</v>
      </c>
      <c r="B581" s="41">
        <v>51501708</v>
      </c>
      <c r="C581" s="49" t="s">
        <v>36</v>
      </c>
      <c r="D581" s="50">
        <v>45707</v>
      </c>
      <c r="E581" s="51" t="s">
        <v>316</v>
      </c>
      <c r="F581" s="41" t="s">
        <v>628</v>
      </c>
    </row>
    <row r="582" spans="1:6" ht="39.75" hidden="1" customHeight="1">
      <c r="A582" s="51" t="s">
        <v>511</v>
      </c>
      <c r="B582" s="41">
        <v>51501555</v>
      </c>
      <c r="C582" s="49" t="s">
        <v>36</v>
      </c>
      <c r="D582" s="50">
        <v>45707</v>
      </c>
      <c r="E582" s="51" t="s">
        <v>316</v>
      </c>
      <c r="F582" s="41" t="s">
        <v>629</v>
      </c>
    </row>
    <row r="583" spans="1:6" ht="39.75" hidden="1" customHeight="1">
      <c r="A583" s="51" t="s">
        <v>511</v>
      </c>
      <c r="B583" s="41">
        <v>51501514</v>
      </c>
      <c r="C583" s="49" t="s">
        <v>36</v>
      </c>
      <c r="D583" s="50">
        <v>45707</v>
      </c>
      <c r="E583" s="51" t="s">
        <v>316</v>
      </c>
      <c r="F583" s="41" t="s">
        <v>630</v>
      </c>
    </row>
    <row r="584" spans="1:6" ht="39.75" hidden="1" customHeight="1">
      <c r="A584" s="51" t="s">
        <v>511</v>
      </c>
      <c r="B584" s="41">
        <v>51501396</v>
      </c>
      <c r="C584" s="49" t="s">
        <v>36</v>
      </c>
      <c r="D584" s="50">
        <v>45707</v>
      </c>
      <c r="E584" s="51" t="s">
        <v>316</v>
      </c>
      <c r="F584" s="41" t="s">
        <v>631</v>
      </c>
    </row>
    <row r="585" spans="1:6" ht="39.75" hidden="1" customHeight="1">
      <c r="A585" s="51" t="s">
        <v>511</v>
      </c>
      <c r="B585" s="41">
        <v>51501091</v>
      </c>
      <c r="C585" s="49" t="s">
        <v>36</v>
      </c>
      <c r="D585" s="50">
        <v>45707</v>
      </c>
      <c r="E585" s="51" t="s">
        <v>316</v>
      </c>
      <c r="F585" s="41" t="s">
        <v>632</v>
      </c>
    </row>
    <row r="586" spans="1:6" ht="39.75" hidden="1" customHeight="1">
      <c r="A586" s="51" t="s">
        <v>511</v>
      </c>
      <c r="B586" s="41">
        <v>51501043</v>
      </c>
      <c r="C586" s="49" t="s">
        <v>36</v>
      </c>
      <c r="D586" s="50">
        <v>45707</v>
      </c>
      <c r="E586" s="51" t="s">
        <v>316</v>
      </c>
      <c r="F586" s="41" t="s">
        <v>633</v>
      </c>
    </row>
    <row r="587" spans="1:6" ht="39.75" hidden="1" customHeight="1">
      <c r="A587" s="51" t="s">
        <v>511</v>
      </c>
      <c r="B587" s="41">
        <v>51500986</v>
      </c>
      <c r="C587" s="49" t="s">
        <v>36</v>
      </c>
      <c r="D587" s="50">
        <v>45707</v>
      </c>
      <c r="E587" s="51" t="s">
        <v>316</v>
      </c>
      <c r="F587" s="41" t="s">
        <v>634</v>
      </c>
    </row>
    <row r="588" spans="1:6" ht="39.75" hidden="1" customHeight="1">
      <c r="A588" s="51" t="s">
        <v>511</v>
      </c>
      <c r="B588" s="41">
        <v>51500941</v>
      </c>
      <c r="C588" s="49" t="s">
        <v>36</v>
      </c>
      <c r="D588" s="50">
        <v>45707</v>
      </c>
      <c r="E588" s="51" t="s">
        <v>316</v>
      </c>
      <c r="F588" s="41" t="s">
        <v>635</v>
      </c>
    </row>
    <row r="589" spans="1:6" ht="39.75" hidden="1" customHeight="1">
      <c r="A589" s="51" t="s">
        <v>511</v>
      </c>
      <c r="B589" s="41">
        <v>51500845</v>
      </c>
      <c r="C589" s="49" t="s">
        <v>36</v>
      </c>
      <c r="D589" s="50">
        <v>45707</v>
      </c>
      <c r="E589" s="51" t="s">
        <v>316</v>
      </c>
      <c r="F589" s="41" t="s">
        <v>636</v>
      </c>
    </row>
    <row r="590" spans="1:6" ht="39.75" hidden="1" customHeight="1">
      <c r="A590" s="51" t="s">
        <v>511</v>
      </c>
      <c r="B590" s="41">
        <v>51500819</v>
      </c>
      <c r="C590" s="49" t="s">
        <v>36</v>
      </c>
      <c r="D590" s="50">
        <v>45707</v>
      </c>
      <c r="E590" s="51" t="s">
        <v>316</v>
      </c>
      <c r="F590" s="41" t="s">
        <v>637</v>
      </c>
    </row>
    <row r="591" spans="1:6" ht="39.75" hidden="1" customHeight="1">
      <c r="A591" s="52" t="s">
        <v>511</v>
      </c>
      <c r="B591" s="43">
        <v>51500770</v>
      </c>
      <c r="C591" s="53" t="s">
        <v>36</v>
      </c>
      <c r="D591" s="54">
        <v>45707</v>
      </c>
      <c r="E591" s="52" t="s">
        <v>316</v>
      </c>
      <c r="F591" s="43" t="s">
        <v>638</v>
      </c>
    </row>
    <row r="592" spans="1:6" ht="39.75" hidden="1" customHeight="1">
      <c r="A592" s="6" t="s">
        <v>290</v>
      </c>
      <c r="B592" s="41">
        <v>51504010</v>
      </c>
      <c r="C592" s="51" t="s">
        <v>36</v>
      </c>
      <c r="D592" s="42">
        <v>45708</v>
      </c>
      <c r="E592" s="3" t="s">
        <v>315</v>
      </c>
      <c r="F592" s="41" t="s">
        <v>639</v>
      </c>
    </row>
    <row r="593" spans="1:6" ht="39.75" hidden="1" customHeight="1">
      <c r="A593" s="6" t="s">
        <v>290</v>
      </c>
      <c r="B593" s="41">
        <v>51504029</v>
      </c>
      <c r="C593" s="51" t="s">
        <v>36</v>
      </c>
      <c r="D593" s="42">
        <v>45708</v>
      </c>
      <c r="E593" s="3" t="s">
        <v>315</v>
      </c>
      <c r="F593" s="41" t="s">
        <v>640</v>
      </c>
    </row>
    <row r="594" spans="1:6" ht="39.75" hidden="1" customHeight="1">
      <c r="A594" s="6" t="s">
        <v>290</v>
      </c>
      <c r="B594" s="41">
        <v>51504084</v>
      </c>
      <c r="C594" s="51" t="s">
        <v>36</v>
      </c>
      <c r="D594" s="42">
        <v>45708</v>
      </c>
      <c r="E594" s="3" t="s">
        <v>315</v>
      </c>
      <c r="F594" s="41" t="s">
        <v>641</v>
      </c>
    </row>
    <row r="595" spans="1:6" ht="39.75" hidden="1" customHeight="1">
      <c r="A595" s="6" t="s">
        <v>290</v>
      </c>
      <c r="B595" s="41">
        <v>51504102</v>
      </c>
      <c r="C595" s="51" t="s">
        <v>36</v>
      </c>
      <c r="D595" s="42">
        <v>45708</v>
      </c>
      <c r="E595" s="3" t="s">
        <v>315</v>
      </c>
      <c r="F595" s="41" t="s">
        <v>642</v>
      </c>
    </row>
    <row r="596" spans="1:6" ht="39.75" hidden="1" customHeight="1">
      <c r="A596" s="6" t="s">
        <v>290</v>
      </c>
      <c r="B596" s="41">
        <v>51504117</v>
      </c>
      <c r="C596" s="51" t="s">
        <v>36</v>
      </c>
      <c r="D596" s="42">
        <v>45708</v>
      </c>
      <c r="E596" s="3" t="s">
        <v>315</v>
      </c>
      <c r="F596" s="41" t="s">
        <v>643</v>
      </c>
    </row>
    <row r="597" spans="1:6" ht="39.75" hidden="1" customHeight="1">
      <c r="A597" s="6" t="s">
        <v>290</v>
      </c>
      <c r="B597" s="41">
        <v>51504128</v>
      </c>
      <c r="C597" s="51" t="s">
        <v>36</v>
      </c>
      <c r="D597" s="42">
        <v>45708</v>
      </c>
      <c r="E597" s="3" t="s">
        <v>315</v>
      </c>
      <c r="F597" s="41" t="s">
        <v>644</v>
      </c>
    </row>
    <row r="598" spans="1:6" ht="39.75" hidden="1" customHeight="1">
      <c r="A598" s="6" t="s">
        <v>290</v>
      </c>
      <c r="B598" s="41">
        <v>51504144</v>
      </c>
      <c r="C598" s="51" t="s">
        <v>36</v>
      </c>
      <c r="D598" s="42">
        <v>45708</v>
      </c>
      <c r="E598" s="3" t="s">
        <v>315</v>
      </c>
      <c r="F598" s="41" t="s">
        <v>645</v>
      </c>
    </row>
    <row r="599" spans="1:6" ht="39.75" hidden="1" customHeight="1">
      <c r="A599" s="6" t="s">
        <v>290</v>
      </c>
      <c r="B599" s="41">
        <v>51504155</v>
      </c>
      <c r="C599" s="51" t="s">
        <v>36</v>
      </c>
      <c r="D599" s="42">
        <v>45708</v>
      </c>
      <c r="E599" s="3" t="s">
        <v>315</v>
      </c>
      <c r="F599" s="41" t="s">
        <v>646</v>
      </c>
    </row>
    <row r="600" spans="1:6" ht="39.75" hidden="1" customHeight="1">
      <c r="A600" s="6" t="s">
        <v>290</v>
      </c>
      <c r="B600" s="41">
        <v>51504170</v>
      </c>
      <c r="C600" s="51" t="s">
        <v>36</v>
      </c>
      <c r="D600" s="42">
        <v>45708</v>
      </c>
      <c r="E600" s="3" t="s">
        <v>315</v>
      </c>
      <c r="F600" s="41" t="s">
        <v>647</v>
      </c>
    </row>
    <row r="601" spans="1:6" ht="39.75" hidden="1" customHeight="1">
      <c r="A601" s="41" t="s">
        <v>311</v>
      </c>
      <c r="B601" s="41">
        <v>51504891</v>
      </c>
      <c r="C601" s="51" t="s">
        <v>36</v>
      </c>
      <c r="D601" s="42">
        <v>45708</v>
      </c>
      <c r="E601" s="3" t="s">
        <v>315</v>
      </c>
      <c r="F601" s="41" t="s">
        <v>648</v>
      </c>
    </row>
    <row r="602" spans="1:6" ht="39.75" hidden="1" customHeight="1">
      <c r="A602" s="41" t="s">
        <v>311</v>
      </c>
      <c r="B602" s="41">
        <v>51504936</v>
      </c>
      <c r="C602" s="51" t="s">
        <v>36</v>
      </c>
      <c r="D602" s="42">
        <v>45708</v>
      </c>
      <c r="E602" s="3" t="s">
        <v>315</v>
      </c>
      <c r="F602" s="41" t="s">
        <v>649</v>
      </c>
    </row>
    <row r="603" spans="1:6" ht="39.75" hidden="1" customHeight="1">
      <c r="A603" s="41" t="s">
        <v>311</v>
      </c>
      <c r="B603" s="41">
        <v>51504989</v>
      </c>
      <c r="C603" s="51" t="s">
        <v>36</v>
      </c>
      <c r="D603" s="42">
        <v>45708</v>
      </c>
      <c r="E603" s="3" t="s">
        <v>315</v>
      </c>
      <c r="F603" s="41" t="s">
        <v>650</v>
      </c>
    </row>
    <row r="604" spans="1:6" ht="39.75" hidden="1" customHeight="1">
      <c r="A604" s="41" t="s">
        <v>311</v>
      </c>
      <c r="B604" s="41">
        <v>51505022</v>
      </c>
      <c r="C604" s="51" t="s">
        <v>36</v>
      </c>
      <c r="D604" s="42">
        <v>45708</v>
      </c>
      <c r="E604" s="3" t="s">
        <v>315</v>
      </c>
      <c r="F604" s="41" t="s">
        <v>651</v>
      </c>
    </row>
    <row r="605" spans="1:6" ht="39.75" hidden="1" customHeight="1">
      <c r="A605" s="41" t="s">
        <v>652</v>
      </c>
      <c r="B605" s="41">
        <v>51505508</v>
      </c>
      <c r="C605" s="51" t="s">
        <v>36</v>
      </c>
      <c r="D605" s="42">
        <v>45708</v>
      </c>
      <c r="E605" s="3" t="s">
        <v>315</v>
      </c>
      <c r="F605" s="41" t="s">
        <v>653</v>
      </c>
    </row>
    <row r="606" spans="1:6" ht="39.75" hidden="1" customHeight="1">
      <c r="A606" s="41" t="s">
        <v>652</v>
      </c>
      <c r="B606" s="41">
        <v>51505584</v>
      </c>
      <c r="C606" s="51" t="s">
        <v>36</v>
      </c>
      <c r="D606" s="42">
        <v>45708</v>
      </c>
      <c r="E606" s="3" t="s">
        <v>315</v>
      </c>
      <c r="F606" s="41" t="s">
        <v>654</v>
      </c>
    </row>
    <row r="607" spans="1:6" ht="39.75" hidden="1" customHeight="1">
      <c r="A607" s="41" t="s">
        <v>652</v>
      </c>
      <c r="B607" s="41">
        <v>51505645</v>
      </c>
      <c r="C607" s="51" t="s">
        <v>36</v>
      </c>
      <c r="D607" s="42">
        <v>45708</v>
      </c>
      <c r="E607" s="3" t="s">
        <v>315</v>
      </c>
      <c r="F607" s="41" t="s">
        <v>655</v>
      </c>
    </row>
    <row r="608" spans="1:6" ht="39.75" hidden="1" customHeight="1">
      <c r="A608" s="41" t="s">
        <v>652</v>
      </c>
      <c r="B608" s="41">
        <v>51505767</v>
      </c>
      <c r="C608" s="51" t="s">
        <v>36</v>
      </c>
      <c r="D608" s="42">
        <v>45708</v>
      </c>
      <c r="E608" s="3" t="s">
        <v>315</v>
      </c>
      <c r="F608" s="41" t="s">
        <v>656</v>
      </c>
    </row>
    <row r="609" spans="1:6" ht="39.75" hidden="1" customHeight="1">
      <c r="A609" s="41" t="s">
        <v>652</v>
      </c>
      <c r="B609" s="41">
        <v>51505825</v>
      </c>
      <c r="C609" s="51" t="s">
        <v>36</v>
      </c>
      <c r="D609" s="42">
        <v>45708</v>
      </c>
      <c r="E609" s="3" t="s">
        <v>315</v>
      </c>
      <c r="F609" s="41" t="s">
        <v>657</v>
      </c>
    </row>
    <row r="610" spans="1:6" ht="39.75" hidden="1" customHeight="1">
      <c r="A610" s="41" t="s">
        <v>652</v>
      </c>
      <c r="B610" s="41">
        <v>51505873</v>
      </c>
      <c r="C610" s="51" t="s">
        <v>36</v>
      </c>
      <c r="D610" s="42">
        <v>45708</v>
      </c>
      <c r="E610" s="3" t="s">
        <v>315</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357</v>
      </c>
      <c r="B630" s="84">
        <v>18500302</v>
      </c>
      <c r="C630" s="56" t="s">
        <v>36</v>
      </c>
      <c r="D630" s="85">
        <v>45675</v>
      </c>
      <c r="E630" s="58" t="s">
        <v>358</v>
      </c>
      <c r="F630" s="84" t="s">
        <v>680</v>
      </c>
    </row>
    <row r="631" spans="1:6" s="57" customFormat="1" ht="39.75" hidden="1" customHeight="1">
      <c r="A631" s="84" t="s">
        <v>357</v>
      </c>
      <c r="B631" s="84">
        <v>18500307</v>
      </c>
      <c r="C631" s="56" t="s">
        <v>36</v>
      </c>
      <c r="D631" s="85">
        <v>45675</v>
      </c>
      <c r="E631" s="58" t="s">
        <v>358</v>
      </c>
      <c r="F631" s="84" t="s">
        <v>681</v>
      </c>
    </row>
    <row r="632" spans="1:6" s="57" customFormat="1" ht="39.75" hidden="1" customHeight="1">
      <c r="A632" s="84" t="s">
        <v>357</v>
      </c>
      <c r="B632" s="84">
        <v>18500310</v>
      </c>
      <c r="C632" s="56" t="s">
        <v>36</v>
      </c>
      <c r="D632" s="85">
        <v>45675</v>
      </c>
      <c r="E632" s="58" t="s">
        <v>358</v>
      </c>
      <c r="F632" s="84" t="s">
        <v>682</v>
      </c>
    </row>
    <row r="633" spans="1:6" s="57" customFormat="1" ht="39.75" hidden="1" customHeight="1">
      <c r="A633" s="84" t="s">
        <v>357</v>
      </c>
      <c r="B633" s="84">
        <v>18500314</v>
      </c>
      <c r="C633" s="56" t="s">
        <v>36</v>
      </c>
      <c r="D633" s="85">
        <v>45675</v>
      </c>
      <c r="E633" s="58" t="s">
        <v>358</v>
      </c>
      <c r="F633" s="84" t="s">
        <v>683</v>
      </c>
    </row>
    <row r="634" spans="1:6" s="57" customFormat="1" ht="39.75" hidden="1" customHeight="1">
      <c r="A634" s="84" t="s">
        <v>357</v>
      </c>
      <c r="B634" s="84">
        <v>18500316</v>
      </c>
      <c r="C634" s="56" t="s">
        <v>36</v>
      </c>
      <c r="D634" s="85">
        <v>45675</v>
      </c>
      <c r="E634" s="58" t="s">
        <v>358</v>
      </c>
      <c r="F634" s="84" t="s">
        <v>684</v>
      </c>
    </row>
    <row r="635" spans="1:6" s="57" customFormat="1" ht="39.75" hidden="1" customHeight="1">
      <c r="A635" s="84" t="s">
        <v>357</v>
      </c>
      <c r="B635" s="84">
        <v>18500318</v>
      </c>
      <c r="C635" s="56" t="s">
        <v>36</v>
      </c>
      <c r="D635" s="85">
        <v>45675</v>
      </c>
      <c r="E635" s="58" t="s">
        <v>358</v>
      </c>
      <c r="F635" s="84" t="s">
        <v>685</v>
      </c>
    </row>
    <row r="636" spans="1:6" s="57" customFormat="1" ht="39.75" hidden="1" customHeight="1">
      <c r="A636" s="86" t="s">
        <v>357</v>
      </c>
      <c r="B636" s="86">
        <v>18500320</v>
      </c>
      <c r="C636" s="61" t="s">
        <v>36</v>
      </c>
      <c r="D636" s="87">
        <v>45675</v>
      </c>
      <c r="E636" s="62" t="s">
        <v>358</v>
      </c>
      <c r="F636" s="86" t="s">
        <v>686</v>
      </c>
    </row>
    <row r="637" spans="1:6" s="57" customFormat="1" ht="39.75" hidden="1" customHeight="1">
      <c r="A637" s="84" t="s">
        <v>687</v>
      </c>
      <c r="B637" s="84">
        <v>34509810</v>
      </c>
      <c r="C637" s="56" t="s">
        <v>36</v>
      </c>
      <c r="D637" s="85">
        <v>45691</v>
      </c>
      <c r="E637" s="58" t="s">
        <v>358</v>
      </c>
      <c r="F637" s="84" t="s">
        <v>688</v>
      </c>
    </row>
    <row r="638" spans="1:6" s="57" customFormat="1" ht="39.75" hidden="1" customHeight="1">
      <c r="A638" s="84" t="s">
        <v>687</v>
      </c>
      <c r="B638" s="84">
        <v>34509844</v>
      </c>
      <c r="C638" s="56" t="s">
        <v>36</v>
      </c>
      <c r="D638" s="85">
        <v>45691</v>
      </c>
      <c r="E638" s="58" t="s">
        <v>358</v>
      </c>
      <c r="F638" s="84" t="s">
        <v>689</v>
      </c>
    </row>
    <row r="639" spans="1:6" s="57" customFormat="1" ht="39.75" hidden="1" customHeight="1">
      <c r="A639" s="84" t="s">
        <v>687</v>
      </c>
      <c r="B639" s="84">
        <v>34509930</v>
      </c>
      <c r="C639" s="56" t="s">
        <v>36</v>
      </c>
      <c r="D639" s="85">
        <v>45691</v>
      </c>
      <c r="E639" s="58" t="s">
        <v>358</v>
      </c>
      <c r="F639" s="84" t="s">
        <v>690</v>
      </c>
    </row>
    <row r="640" spans="1:6" s="57" customFormat="1" ht="39.75" hidden="1" customHeight="1">
      <c r="A640" s="86" t="s">
        <v>687</v>
      </c>
      <c r="B640" s="86">
        <v>34509957</v>
      </c>
      <c r="C640" s="61" t="s">
        <v>36</v>
      </c>
      <c r="D640" s="87">
        <v>45691</v>
      </c>
      <c r="E640" s="62" t="s">
        <v>358</v>
      </c>
      <c r="F640" s="86" t="s">
        <v>691</v>
      </c>
    </row>
    <row r="641" spans="1:6" s="57" customFormat="1" ht="39.75" hidden="1" customHeight="1">
      <c r="A641" s="84" t="s">
        <v>659</v>
      </c>
      <c r="B641" s="84">
        <v>55502302</v>
      </c>
      <c r="C641" s="56" t="s">
        <v>36</v>
      </c>
      <c r="D641" s="85">
        <v>45712</v>
      </c>
      <c r="E641" s="58" t="s">
        <v>358</v>
      </c>
      <c r="F641" s="84" t="s">
        <v>692</v>
      </c>
    </row>
    <row r="642" spans="1:6" s="57" customFormat="1" ht="39.75" hidden="1" customHeight="1">
      <c r="A642" s="84" t="s">
        <v>659</v>
      </c>
      <c r="B642" s="84">
        <v>55502825</v>
      </c>
      <c r="C642" s="56" t="s">
        <v>36</v>
      </c>
      <c r="D642" s="85">
        <v>45712</v>
      </c>
      <c r="E642" s="58" t="s">
        <v>358</v>
      </c>
      <c r="F642" s="84" t="s">
        <v>693</v>
      </c>
    </row>
    <row r="643" spans="1:6" s="57" customFormat="1" ht="39.75" hidden="1" customHeight="1">
      <c r="A643" s="84" t="s">
        <v>659</v>
      </c>
      <c r="B643" s="84">
        <v>55502079</v>
      </c>
      <c r="C643" s="56" t="s">
        <v>36</v>
      </c>
      <c r="D643" s="85">
        <v>45712</v>
      </c>
      <c r="E643" s="58" t="s">
        <v>358</v>
      </c>
      <c r="F643" s="84" t="s">
        <v>694</v>
      </c>
    </row>
    <row r="644" spans="1:6" s="57" customFormat="1" ht="39.75" hidden="1" customHeight="1">
      <c r="A644" s="86" t="s">
        <v>659</v>
      </c>
      <c r="B644" s="86">
        <v>55502478</v>
      </c>
      <c r="C644" s="61" t="s">
        <v>36</v>
      </c>
      <c r="D644" s="87">
        <v>45712</v>
      </c>
      <c r="E644" s="62" t="s">
        <v>358</v>
      </c>
      <c r="F644" s="86" t="s">
        <v>695</v>
      </c>
    </row>
    <row r="645" spans="1:6" ht="39.75" customHeight="1">
      <c r="A645" s="10" t="s">
        <v>438</v>
      </c>
      <c r="B645" s="3">
        <v>48507590</v>
      </c>
      <c r="C645" s="10" t="s">
        <v>36</v>
      </c>
      <c r="D645" s="55">
        <v>45705</v>
      </c>
      <c r="E645" s="3" t="s">
        <v>161</v>
      </c>
      <c r="F645" s="3" t="s">
        <v>696</v>
      </c>
    </row>
    <row r="646" spans="1:6" ht="39.75" customHeight="1">
      <c r="A646" s="10" t="s">
        <v>438</v>
      </c>
      <c r="B646" s="3">
        <v>48507534</v>
      </c>
      <c r="C646" s="10" t="s">
        <v>36</v>
      </c>
      <c r="D646" s="55">
        <v>45705</v>
      </c>
      <c r="E646" s="3" t="s">
        <v>161</v>
      </c>
      <c r="F646" s="3" t="s">
        <v>697</v>
      </c>
    </row>
    <row r="647" spans="1:6" ht="39.75" customHeight="1">
      <c r="A647" s="10" t="s">
        <v>438</v>
      </c>
      <c r="B647" s="3">
        <v>48507486</v>
      </c>
      <c r="C647" s="10" t="s">
        <v>36</v>
      </c>
      <c r="D647" s="55">
        <v>45705</v>
      </c>
      <c r="E647" s="3" t="s">
        <v>161</v>
      </c>
      <c r="F647" s="3" t="s">
        <v>698</v>
      </c>
    </row>
    <row r="648" spans="1:6" ht="39.75" customHeight="1">
      <c r="A648" s="10" t="s">
        <v>438</v>
      </c>
      <c r="B648" s="3">
        <v>48507387</v>
      </c>
      <c r="C648" s="10" t="s">
        <v>36</v>
      </c>
      <c r="D648" s="55">
        <v>45705</v>
      </c>
      <c r="E648" s="3" t="s">
        <v>161</v>
      </c>
      <c r="F648" s="3" t="s">
        <v>699</v>
      </c>
    </row>
    <row r="649" spans="1:6" ht="39.75" customHeight="1">
      <c r="A649" s="10" t="s">
        <v>438</v>
      </c>
      <c r="B649" s="3">
        <v>48507301</v>
      </c>
      <c r="C649" s="10" t="s">
        <v>36</v>
      </c>
      <c r="D649" s="55">
        <v>45705</v>
      </c>
      <c r="E649" s="3" t="s">
        <v>161</v>
      </c>
      <c r="F649" s="3" t="s">
        <v>700</v>
      </c>
    </row>
    <row r="650" spans="1:6" ht="39.75" customHeight="1">
      <c r="A650" s="10" t="s">
        <v>438</v>
      </c>
      <c r="B650" s="3">
        <v>48507163</v>
      </c>
      <c r="C650" s="10" t="s">
        <v>36</v>
      </c>
      <c r="D650" s="55">
        <v>45705</v>
      </c>
      <c r="E650" s="3" t="s">
        <v>161</v>
      </c>
      <c r="F650" s="3" t="s">
        <v>701</v>
      </c>
    </row>
    <row r="651" spans="1:6">
      <c r="A651" s="3" t="s">
        <v>702</v>
      </c>
      <c r="B651" s="4">
        <v>55503706</v>
      </c>
      <c r="C651" s="3" t="s">
        <v>703</v>
      </c>
      <c r="D651" s="65">
        <v>45709</v>
      </c>
      <c r="E651" s="3" t="s">
        <v>161</v>
      </c>
      <c r="F651" s="3" t="s">
        <v>704</v>
      </c>
    </row>
    <row r="652" spans="1:6">
      <c r="A652" s="3" t="s">
        <v>702</v>
      </c>
      <c r="B652" s="4">
        <v>55503801</v>
      </c>
      <c r="C652" s="3" t="s">
        <v>703</v>
      </c>
      <c r="D652" s="65">
        <v>45709</v>
      </c>
      <c r="E652" s="3" t="s">
        <v>161</v>
      </c>
      <c r="F652" s="3" t="s">
        <v>705</v>
      </c>
    </row>
    <row r="653" spans="1:6">
      <c r="A653" s="3" t="s">
        <v>702</v>
      </c>
      <c r="B653" s="4">
        <v>55503862</v>
      </c>
      <c r="C653" s="3" t="s">
        <v>703</v>
      </c>
      <c r="D653" s="65">
        <v>45709</v>
      </c>
      <c r="E653" s="3" t="s">
        <v>161</v>
      </c>
      <c r="F653" s="3" t="s">
        <v>706</v>
      </c>
    </row>
    <row r="654" spans="1:6">
      <c r="A654" s="3" t="s">
        <v>702</v>
      </c>
      <c r="B654" s="4">
        <v>55503935</v>
      </c>
      <c r="C654" s="3" t="s">
        <v>703</v>
      </c>
      <c r="D654" s="65">
        <v>45709</v>
      </c>
      <c r="E654" s="3" t="s">
        <v>161</v>
      </c>
      <c r="F654" s="3" t="s">
        <v>707</v>
      </c>
    </row>
    <row r="655" spans="1:6">
      <c r="A655" s="3" t="s">
        <v>702</v>
      </c>
      <c r="B655" s="64">
        <v>55503969</v>
      </c>
      <c r="C655" s="45" t="s">
        <v>703</v>
      </c>
      <c r="D655" s="66">
        <v>45709</v>
      </c>
      <c r="E655" s="45" t="s">
        <v>161</v>
      </c>
      <c r="F655" s="45" t="s">
        <v>708</v>
      </c>
    </row>
    <row r="656" spans="1:6">
      <c r="A656" s="3" t="s">
        <v>709</v>
      </c>
      <c r="B656" s="3">
        <v>55504206</v>
      </c>
      <c r="C656" s="3" t="s">
        <v>703</v>
      </c>
      <c r="D656" s="55">
        <v>45709</v>
      </c>
      <c r="E656" s="3" t="s">
        <v>161</v>
      </c>
      <c r="F656" s="3" t="s">
        <v>710</v>
      </c>
    </row>
    <row r="657" spans="1:6">
      <c r="A657" s="3" t="s">
        <v>709</v>
      </c>
      <c r="B657" s="3">
        <v>55504188</v>
      </c>
      <c r="C657" s="3" t="s">
        <v>703</v>
      </c>
      <c r="D657" s="55">
        <v>45709</v>
      </c>
      <c r="E657" s="3" t="s">
        <v>161</v>
      </c>
      <c r="F657" s="3" t="s">
        <v>711</v>
      </c>
    </row>
    <row r="658" spans="1:6">
      <c r="A658" s="3" t="s">
        <v>709</v>
      </c>
      <c r="B658" s="3">
        <v>55504303</v>
      </c>
      <c r="C658" s="3" t="s">
        <v>703</v>
      </c>
      <c r="D658" s="55">
        <v>45709</v>
      </c>
      <c r="E658" s="3" t="s">
        <v>161</v>
      </c>
      <c r="F658" s="3" t="s">
        <v>712</v>
      </c>
    </row>
    <row r="659" spans="1:6">
      <c r="A659" s="3" t="s">
        <v>709</v>
      </c>
      <c r="B659" s="3">
        <v>55504345</v>
      </c>
      <c r="C659" s="3" t="s">
        <v>703</v>
      </c>
      <c r="D659" s="55">
        <v>45709</v>
      </c>
      <c r="E659" s="3" t="s">
        <v>161</v>
      </c>
      <c r="F659" s="3" t="s">
        <v>713</v>
      </c>
    </row>
    <row r="660" spans="1:6">
      <c r="A660" s="3" t="s">
        <v>709</v>
      </c>
      <c r="B660" s="3">
        <v>55504388</v>
      </c>
      <c r="C660" s="3" t="s">
        <v>703</v>
      </c>
      <c r="D660" s="55">
        <v>45709</v>
      </c>
      <c r="E660" s="3" t="s">
        <v>161</v>
      </c>
      <c r="F660" s="3" t="s">
        <v>714</v>
      </c>
    </row>
    <row r="661" spans="1:6">
      <c r="A661" s="3" t="s">
        <v>709</v>
      </c>
      <c r="B661" s="3">
        <v>55504421</v>
      </c>
      <c r="C661" s="3" t="s">
        <v>703</v>
      </c>
      <c r="D661" s="55">
        <v>45709</v>
      </c>
      <c r="E661" s="3" t="s">
        <v>161</v>
      </c>
      <c r="F661" s="3" t="s">
        <v>715</v>
      </c>
    </row>
    <row r="662" spans="1:6">
      <c r="A662" s="3" t="s">
        <v>709</v>
      </c>
      <c r="B662" s="3">
        <v>55504460</v>
      </c>
      <c r="C662" s="3" t="s">
        <v>703</v>
      </c>
      <c r="D662" s="55">
        <v>45709</v>
      </c>
      <c r="E662" s="3" t="s">
        <v>161</v>
      </c>
      <c r="F662" s="3" t="s">
        <v>704</v>
      </c>
    </row>
    <row r="663" spans="1:6">
      <c r="A663" s="6" t="s">
        <v>716</v>
      </c>
      <c r="B663" s="67">
        <v>51507839</v>
      </c>
      <c r="C663" s="10" t="s">
        <v>36</v>
      </c>
      <c r="D663" s="55">
        <v>45713</v>
      </c>
      <c r="E663" s="11" t="s">
        <v>161</v>
      </c>
      <c r="F663" s="68" t="s">
        <v>717</v>
      </c>
    </row>
    <row r="664" spans="1:6">
      <c r="A664" s="6" t="s">
        <v>716</v>
      </c>
      <c r="B664" s="67">
        <v>51507845</v>
      </c>
      <c r="C664" s="10" t="s">
        <v>36</v>
      </c>
      <c r="D664" s="55">
        <v>45713</v>
      </c>
      <c r="E664" s="11" t="s">
        <v>161</v>
      </c>
      <c r="F664" s="68" t="s">
        <v>718</v>
      </c>
    </row>
    <row r="665" spans="1:6">
      <c r="A665" s="6" t="s">
        <v>716</v>
      </c>
      <c r="B665" s="67">
        <v>51507850</v>
      </c>
      <c r="C665" s="10" t="s">
        <v>36</v>
      </c>
      <c r="D665" s="55">
        <v>45713</v>
      </c>
      <c r="E665" s="11" t="s">
        <v>161</v>
      </c>
      <c r="F665" s="68" t="s">
        <v>717</v>
      </c>
    </row>
    <row r="666" spans="1:6">
      <c r="A666" s="6" t="s">
        <v>716</v>
      </c>
      <c r="B666" s="67">
        <v>52505611</v>
      </c>
      <c r="C666" s="10" t="s">
        <v>36</v>
      </c>
      <c r="D666" s="55">
        <v>45713</v>
      </c>
      <c r="E666" s="11" t="s">
        <v>161</v>
      </c>
      <c r="F666" s="68" t="s">
        <v>719</v>
      </c>
    </row>
    <row r="667" spans="1:6">
      <c r="A667" s="6" t="s">
        <v>716</v>
      </c>
      <c r="B667" s="67">
        <v>52505674</v>
      </c>
      <c r="C667" s="10" t="s">
        <v>36</v>
      </c>
      <c r="D667" s="55">
        <v>45713</v>
      </c>
      <c r="E667" s="11" t="s">
        <v>161</v>
      </c>
      <c r="F667" s="68" t="s">
        <v>720</v>
      </c>
    </row>
    <row r="668" spans="1:6">
      <c r="A668" s="6" t="s">
        <v>716</v>
      </c>
      <c r="B668" s="67">
        <v>51507828</v>
      </c>
      <c r="C668" s="10" t="s">
        <v>36</v>
      </c>
      <c r="D668" s="55">
        <v>45713</v>
      </c>
      <c r="E668" s="11" t="s">
        <v>161</v>
      </c>
      <c r="F668" s="68" t="s">
        <v>718</v>
      </c>
    </row>
    <row r="669" spans="1:6" hidden="1">
      <c r="A669" s="6" t="s">
        <v>335</v>
      </c>
      <c r="B669" s="29">
        <v>58500131</v>
      </c>
      <c r="C669" s="8" t="s">
        <v>36</v>
      </c>
      <c r="D669" s="55">
        <v>45715</v>
      </c>
      <c r="E669" s="3" t="s">
        <v>315</v>
      </c>
      <c r="F669" s="3" t="s">
        <v>721</v>
      </c>
    </row>
    <row r="670" spans="1:6" hidden="1">
      <c r="A670" s="6" t="s">
        <v>335</v>
      </c>
      <c r="B670" s="29">
        <v>58500140</v>
      </c>
      <c r="C670" s="8" t="s">
        <v>36</v>
      </c>
      <c r="D670" s="55">
        <v>45715</v>
      </c>
      <c r="E670" s="3" t="s">
        <v>315</v>
      </c>
      <c r="F670" s="3" t="s">
        <v>722</v>
      </c>
    </row>
    <row r="671" spans="1:6" hidden="1">
      <c r="A671" s="6" t="s">
        <v>335</v>
      </c>
      <c r="B671" s="29">
        <v>58500144</v>
      </c>
      <c r="C671" s="8" t="s">
        <v>36</v>
      </c>
      <c r="D671" s="55">
        <v>45715</v>
      </c>
      <c r="E671" s="3" t="s">
        <v>315</v>
      </c>
      <c r="F671" s="3" t="s">
        <v>723</v>
      </c>
    </row>
    <row r="672" spans="1:6" hidden="1">
      <c r="A672" s="6" t="s">
        <v>335</v>
      </c>
      <c r="B672" s="29">
        <v>58500147</v>
      </c>
      <c r="C672" s="8" t="s">
        <v>36</v>
      </c>
      <c r="D672" s="55">
        <v>45715</v>
      </c>
      <c r="E672" s="3" t="s">
        <v>315</v>
      </c>
      <c r="F672" s="3" t="s">
        <v>724</v>
      </c>
    </row>
    <row r="673" spans="1:6" hidden="1">
      <c r="A673" s="6" t="s">
        <v>335</v>
      </c>
      <c r="B673" s="29">
        <v>58500151</v>
      </c>
      <c r="C673" s="8" t="s">
        <v>36</v>
      </c>
      <c r="D673" s="55">
        <v>45715</v>
      </c>
      <c r="E673" s="3" t="s">
        <v>315</v>
      </c>
      <c r="F673" s="3" t="s">
        <v>725</v>
      </c>
    </row>
    <row r="674" spans="1:6" hidden="1">
      <c r="A674" s="6" t="s">
        <v>335</v>
      </c>
      <c r="B674" s="29">
        <v>58500155</v>
      </c>
      <c r="C674" s="8" t="s">
        <v>36</v>
      </c>
      <c r="D674" s="55">
        <v>45715</v>
      </c>
      <c r="E674" s="3" t="s">
        <v>315</v>
      </c>
      <c r="F674" s="3" t="s">
        <v>726</v>
      </c>
    </row>
    <row r="675" spans="1:6" hidden="1">
      <c r="A675" s="6" t="s">
        <v>335</v>
      </c>
      <c r="B675" s="29">
        <v>58500158</v>
      </c>
      <c r="C675" s="8" t="s">
        <v>36</v>
      </c>
      <c r="D675" s="55">
        <v>45715</v>
      </c>
      <c r="E675" s="3" t="s">
        <v>315</v>
      </c>
      <c r="F675" s="3" t="s">
        <v>727</v>
      </c>
    </row>
    <row r="676" spans="1:6" hidden="1">
      <c r="A676" s="6" t="s">
        <v>335</v>
      </c>
      <c r="B676" s="29">
        <v>58500162</v>
      </c>
      <c r="C676" s="8" t="s">
        <v>36</v>
      </c>
      <c r="D676" s="55">
        <v>45715</v>
      </c>
      <c r="E676" s="3" t="s">
        <v>315</v>
      </c>
      <c r="F676" s="3" t="s">
        <v>728</v>
      </c>
    </row>
    <row r="677" spans="1:6" hidden="1">
      <c r="A677" s="6" t="s">
        <v>335</v>
      </c>
      <c r="B677" s="29">
        <v>58500167</v>
      </c>
      <c r="C677" s="8" t="s">
        <v>36</v>
      </c>
      <c r="D677" s="55">
        <v>45715</v>
      </c>
      <c r="E677" s="3" t="s">
        <v>315</v>
      </c>
      <c r="F677" s="3" t="s">
        <v>726</v>
      </c>
    </row>
    <row r="678" spans="1:6" hidden="1">
      <c r="A678" s="6" t="s">
        <v>335</v>
      </c>
      <c r="B678" s="29">
        <v>58500173</v>
      </c>
      <c r="C678" s="8" t="s">
        <v>36</v>
      </c>
      <c r="D678" s="55">
        <v>45715</v>
      </c>
      <c r="E678" s="3" t="s">
        <v>315</v>
      </c>
      <c r="F678" s="3" t="s">
        <v>343</v>
      </c>
    </row>
    <row r="679" spans="1:6" hidden="1">
      <c r="A679" s="6" t="s">
        <v>335</v>
      </c>
      <c r="B679" s="29">
        <v>58500175</v>
      </c>
      <c r="C679" s="8" t="s">
        <v>36</v>
      </c>
      <c r="D679" s="55">
        <v>45715</v>
      </c>
      <c r="E679" s="3" t="s">
        <v>315</v>
      </c>
      <c r="F679" s="3" t="s">
        <v>342</v>
      </c>
    </row>
    <row r="680" spans="1:6" hidden="1">
      <c r="A680" s="6" t="s">
        <v>335</v>
      </c>
      <c r="B680" s="29">
        <v>58500180</v>
      </c>
      <c r="C680" s="8" t="s">
        <v>36</v>
      </c>
      <c r="D680" s="55">
        <v>45715</v>
      </c>
      <c r="E680" s="3" t="s">
        <v>315</v>
      </c>
      <c r="F680" s="3" t="s">
        <v>729</v>
      </c>
    </row>
    <row r="681" spans="1:6" hidden="1">
      <c r="A681" s="6" t="s">
        <v>335</v>
      </c>
      <c r="B681" s="29">
        <v>58500184</v>
      </c>
      <c r="C681" s="8" t="s">
        <v>36</v>
      </c>
      <c r="D681" s="55">
        <v>45715</v>
      </c>
      <c r="E681" s="3" t="s">
        <v>315</v>
      </c>
      <c r="F681" s="3" t="s">
        <v>729</v>
      </c>
    </row>
    <row r="682" spans="1:6" hidden="1">
      <c r="A682" s="6" t="s">
        <v>335</v>
      </c>
      <c r="B682" s="29">
        <v>58500190</v>
      </c>
      <c r="C682" s="8" t="s">
        <v>36</v>
      </c>
      <c r="D682" s="55">
        <v>45715</v>
      </c>
      <c r="E682" s="3" t="s">
        <v>315</v>
      </c>
      <c r="F682" s="3" t="s">
        <v>340</v>
      </c>
    </row>
    <row r="683" spans="1:6" hidden="1">
      <c r="A683" s="6" t="s">
        <v>335</v>
      </c>
      <c r="B683" s="29">
        <v>58500197</v>
      </c>
      <c r="C683" s="8" t="s">
        <v>36</v>
      </c>
      <c r="D683" s="55">
        <v>45715</v>
      </c>
      <c r="E683" s="3" t="s">
        <v>315</v>
      </c>
      <c r="F683" s="3" t="s">
        <v>339</v>
      </c>
    </row>
    <row r="684" spans="1:6" hidden="1">
      <c r="A684" s="6" t="s">
        <v>335</v>
      </c>
      <c r="B684" s="29">
        <v>58500200</v>
      </c>
      <c r="C684" s="8" t="s">
        <v>36</v>
      </c>
      <c r="D684" s="55">
        <v>45715</v>
      </c>
      <c r="E684" s="3" t="s">
        <v>315</v>
      </c>
      <c r="F684" s="3" t="s">
        <v>730</v>
      </c>
    </row>
    <row r="685" spans="1:6" hidden="1">
      <c r="A685" s="6" t="s">
        <v>335</v>
      </c>
      <c r="B685" s="29">
        <v>58500204</v>
      </c>
      <c r="C685" s="8" t="s">
        <v>36</v>
      </c>
      <c r="D685" s="55">
        <v>45715</v>
      </c>
      <c r="E685" s="3" t="s">
        <v>315</v>
      </c>
      <c r="F685" s="3" t="s">
        <v>726</v>
      </c>
    </row>
    <row r="686" spans="1:6" hidden="1">
      <c r="A686" s="6" t="s">
        <v>335</v>
      </c>
      <c r="B686" s="29">
        <v>58500206</v>
      </c>
      <c r="C686" s="8" t="s">
        <v>36</v>
      </c>
      <c r="D686" s="55">
        <v>45715</v>
      </c>
      <c r="E686" s="3" t="s">
        <v>315</v>
      </c>
      <c r="F686" s="3" t="s">
        <v>337</v>
      </c>
    </row>
    <row r="687" spans="1:6" hidden="1">
      <c r="A687" s="6" t="s">
        <v>335</v>
      </c>
      <c r="B687" s="29">
        <v>58500211</v>
      </c>
      <c r="C687" s="8" t="s">
        <v>36</v>
      </c>
      <c r="D687" s="55">
        <v>45715</v>
      </c>
      <c r="E687" s="3" t="s">
        <v>315</v>
      </c>
      <c r="F687" s="3" t="s">
        <v>336</v>
      </c>
    </row>
    <row r="688" spans="1:6" hidden="1">
      <c r="A688" s="73" t="s">
        <v>567</v>
      </c>
      <c r="B688" s="41">
        <v>59506815</v>
      </c>
      <c r="C688" s="56" t="s">
        <v>36</v>
      </c>
      <c r="D688" s="20">
        <v>45716</v>
      </c>
      <c r="E688" s="4" t="s">
        <v>367</v>
      </c>
      <c r="F688" s="41" t="s">
        <v>731</v>
      </c>
    </row>
    <row r="689" spans="1:6" hidden="1">
      <c r="A689" s="73" t="s">
        <v>567</v>
      </c>
      <c r="B689" s="41">
        <v>59506821</v>
      </c>
      <c r="C689" s="56" t="s">
        <v>36</v>
      </c>
      <c r="D689" s="20">
        <v>45716</v>
      </c>
      <c r="E689" s="4" t="s">
        <v>367</v>
      </c>
      <c r="F689" s="41" t="s">
        <v>732</v>
      </c>
    </row>
    <row r="690" spans="1:6" hidden="1">
      <c r="A690" s="73" t="s">
        <v>567</v>
      </c>
      <c r="B690" s="41">
        <v>59506828</v>
      </c>
      <c r="C690" s="56" t="s">
        <v>36</v>
      </c>
      <c r="D690" s="20">
        <v>45716</v>
      </c>
      <c r="E690" s="4" t="s">
        <v>367</v>
      </c>
      <c r="F690" s="41" t="s">
        <v>733</v>
      </c>
    </row>
    <row r="691" spans="1:6" hidden="1">
      <c r="A691" s="41" t="s">
        <v>567</v>
      </c>
      <c r="B691" s="41">
        <v>62510624</v>
      </c>
      <c r="C691" s="56" t="s">
        <v>36</v>
      </c>
      <c r="D691" s="20">
        <v>45719</v>
      </c>
      <c r="E691" s="3" t="s">
        <v>367</v>
      </c>
      <c r="F691" s="41" t="s">
        <v>734</v>
      </c>
    </row>
    <row r="692" spans="1:6" hidden="1">
      <c r="A692" s="41" t="s">
        <v>567</v>
      </c>
      <c r="B692" s="41">
        <v>62510633</v>
      </c>
      <c r="C692" s="56" t="s">
        <v>36</v>
      </c>
      <c r="D692" s="20">
        <v>45719</v>
      </c>
      <c r="E692" s="3" t="s">
        <v>367</v>
      </c>
      <c r="F692" s="41" t="s">
        <v>735</v>
      </c>
    </row>
    <row r="693" spans="1:6" hidden="1">
      <c r="A693" s="43" t="s">
        <v>567</v>
      </c>
      <c r="B693" s="43">
        <v>62510650</v>
      </c>
      <c r="C693" s="61" t="s">
        <v>36</v>
      </c>
      <c r="D693" s="21">
        <v>45719</v>
      </c>
      <c r="E693" s="45" t="s">
        <v>367</v>
      </c>
      <c r="F693" s="43" t="s">
        <v>736</v>
      </c>
    </row>
    <row r="694" spans="1:6" hidden="1">
      <c r="A694" s="41" t="s">
        <v>737</v>
      </c>
      <c r="B694" s="41">
        <v>63506713</v>
      </c>
      <c r="C694" s="56" t="s">
        <v>36</v>
      </c>
      <c r="D694" s="42">
        <v>45720</v>
      </c>
      <c r="E694" s="3" t="s">
        <v>367</v>
      </c>
      <c r="F694" s="41" t="s">
        <v>738</v>
      </c>
    </row>
    <row r="695" spans="1:6" hidden="1">
      <c r="A695" s="41" t="s">
        <v>737</v>
      </c>
      <c r="B695" s="41">
        <v>63506798</v>
      </c>
      <c r="C695" s="56" t="s">
        <v>36</v>
      </c>
      <c r="D695" s="42">
        <v>45720</v>
      </c>
      <c r="E695" s="3" t="s">
        <v>367</v>
      </c>
      <c r="F695" s="41" t="s">
        <v>739</v>
      </c>
    </row>
    <row r="696" spans="1:6" hidden="1">
      <c r="A696" s="41" t="s">
        <v>737</v>
      </c>
      <c r="B696" s="41">
        <v>63506835</v>
      </c>
      <c r="C696" s="56" t="s">
        <v>36</v>
      </c>
      <c r="D696" s="42">
        <v>45720</v>
      </c>
      <c r="E696" s="3" t="s">
        <v>367</v>
      </c>
      <c r="F696" s="41" t="s">
        <v>740</v>
      </c>
    </row>
    <row r="697" spans="1:6" hidden="1">
      <c r="A697" s="41" t="s">
        <v>737</v>
      </c>
      <c r="B697" s="41">
        <v>63506882</v>
      </c>
      <c r="C697" s="56" t="s">
        <v>36</v>
      </c>
      <c r="D697" s="42">
        <v>45720</v>
      </c>
      <c r="E697" s="3" t="s">
        <v>367</v>
      </c>
      <c r="F697" s="41" t="s">
        <v>741</v>
      </c>
    </row>
    <row r="698" spans="1:6" hidden="1">
      <c r="A698" s="41" t="s">
        <v>737</v>
      </c>
      <c r="B698" s="41">
        <v>63506927</v>
      </c>
      <c r="C698" s="56" t="s">
        <v>36</v>
      </c>
      <c r="D698" s="42">
        <v>45720</v>
      </c>
      <c r="E698" s="3" t="s">
        <v>367</v>
      </c>
      <c r="F698" s="41" t="s">
        <v>742</v>
      </c>
    </row>
    <row r="699" spans="1:6" hidden="1">
      <c r="A699" s="41" t="s">
        <v>737</v>
      </c>
      <c r="B699" s="41">
        <v>63506990</v>
      </c>
      <c r="C699" s="56" t="s">
        <v>36</v>
      </c>
      <c r="D699" s="42">
        <v>45720</v>
      </c>
      <c r="E699" s="3" t="s">
        <v>367</v>
      </c>
      <c r="F699" s="41" t="s">
        <v>743</v>
      </c>
    </row>
    <row r="700" spans="1:6" hidden="1">
      <c r="A700" s="41" t="s">
        <v>737</v>
      </c>
      <c r="B700" s="41">
        <v>63507052</v>
      </c>
      <c r="C700" s="56" t="s">
        <v>36</v>
      </c>
      <c r="D700" s="42">
        <v>45720</v>
      </c>
      <c r="E700" s="3" t="s">
        <v>367</v>
      </c>
      <c r="F700" s="41" t="s">
        <v>744</v>
      </c>
    </row>
    <row r="701" spans="1:6" hidden="1">
      <c r="A701" s="41" t="s">
        <v>737</v>
      </c>
      <c r="B701" s="41">
        <v>63507110</v>
      </c>
      <c r="C701" s="56" t="s">
        <v>36</v>
      </c>
      <c r="D701" s="42">
        <v>45720</v>
      </c>
      <c r="E701" s="3" t="s">
        <v>367</v>
      </c>
      <c r="F701" s="41" t="s">
        <v>745</v>
      </c>
    </row>
    <row r="702" spans="1:6" hidden="1">
      <c r="A702" s="41" t="s">
        <v>737</v>
      </c>
      <c r="B702" s="41">
        <v>63507170</v>
      </c>
      <c r="C702" s="56" t="s">
        <v>36</v>
      </c>
      <c r="D702" s="42">
        <v>45720</v>
      </c>
      <c r="E702" s="3" t="s">
        <v>367</v>
      </c>
      <c r="F702" s="41" t="s">
        <v>746</v>
      </c>
    </row>
    <row r="703" spans="1:6" hidden="1">
      <c r="A703" s="41" t="s">
        <v>737</v>
      </c>
      <c r="B703" s="41">
        <v>63507263</v>
      </c>
      <c r="C703" s="56" t="s">
        <v>36</v>
      </c>
      <c r="D703" s="42">
        <v>45720</v>
      </c>
      <c r="E703" s="3" t="s">
        <v>367</v>
      </c>
      <c r="F703" s="41" t="s">
        <v>747</v>
      </c>
    </row>
    <row r="704" spans="1:6" hidden="1">
      <c r="A704" s="41" t="s">
        <v>311</v>
      </c>
      <c r="B704" s="29">
        <v>63508545</v>
      </c>
      <c r="C704" s="56" t="s">
        <v>36</v>
      </c>
      <c r="D704" s="42">
        <v>45720</v>
      </c>
      <c r="E704" s="3" t="s">
        <v>315</v>
      </c>
      <c r="F704" s="3" t="s">
        <v>748</v>
      </c>
    </row>
    <row r="705" spans="1:6" hidden="1">
      <c r="A705" s="41" t="s">
        <v>311</v>
      </c>
      <c r="B705" s="29">
        <v>63508556</v>
      </c>
      <c r="C705" s="56" t="s">
        <v>36</v>
      </c>
      <c r="D705" s="42">
        <v>45720</v>
      </c>
      <c r="E705" s="3" t="s">
        <v>315</v>
      </c>
      <c r="F705" s="3" t="s">
        <v>748</v>
      </c>
    </row>
    <row r="706" spans="1:6" hidden="1">
      <c r="A706" s="69" t="s">
        <v>749</v>
      </c>
      <c r="B706" s="71">
        <v>63509146</v>
      </c>
      <c r="C706" s="56" t="s">
        <v>36</v>
      </c>
      <c r="D706" s="42">
        <v>45720</v>
      </c>
      <c r="E706" s="3" t="s">
        <v>315</v>
      </c>
      <c r="F706" s="60" t="s">
        <v>750</v>
      </c>
    </row>
    <row r="707" spans="1:6" hidden="1">
      <c r="A707" s="41" t="s">
        <v>749</v>
      </c>
      <c r="B707" s="74">
        <v>63509173</v>
      </c>
      <c r="C707" s="56" t="s">
        <v>36</v>
      </c>
      <c r="D707" s="42">
        <v>45720</v>
      </c>
      <c r="E707" s="3" t="s">
        <v>315</v>
      </c>
      <c r="F707" s="3" t="s">
        <v>751</v>
      </c>
    </row>
    <row r="708" spans="1:6" hidden="1">
      <c r="A708" s="41" t="s">
        <v>749</v>
      </c>
      <c r="B708" s="74">
        <v>63509176</v>
      </c>
      <c r="C708" s="56" t="s">
        <v>36</v>
      </c>
      <c r="D708" s="42">
        <v>45720</v>
      </c>
      <c r="E708" s="3" t="s">
        <v>315</v>
      </c>
      <c r="F708" s="3" t="s">
        <v>752</v>
      </c>
    </row>
    <row r="709" spans="1:6" hidden="1">
      <c r="A709" s="41" t="s">
        <v>749</v>
      </c>
      <c r="B709" s="74">
        <v>63509184</v>
      </c>
      <c r="C709" s="56" t="s">
        <v>36</v>
      </c>
      <c r="D709" s="42">
        <v>45720</v>
      </c>
      <c r="E709" s="3" t="s">
        <v>315</v>
      </c>
      <c r="F709" s="3" t="s">
        <v>753</v>
      </c>
    </row>
    <row r="710" spans="1:6" hidden="1">
      <c r="A710" s="41" t="s">
        <v>749</v>
      </c>
      <c r="B710" s="74">
        <v>63509188</v>
      </c>
      <c r="C710" s="56" t="s">
        <v>36</v>
      </c>
      <c r="D710" s="42">
        <v>45720</v>
      </c>
      <c r="E710" s="3" t="s">
        <v>315</v>
      </c>
      <c r="F710" s="3" t="s">
        <v>754</v>
      </c>
    </row>
    <row r="711" spans="1:6" hidden="1">
      <c r="A711" s="41" t="s">
        <v>749</v>
      </c>
      <c r="B711" s="74">
        <v>63509195</v>
      </c>
      <c r="C711" s="56" t="s">
        <v>36</v>
      </c>
      <c r="D711" s="42">
        <v>45720</v>
      </c>
      <c r="E711" s="3" t="s">
        <v>315</v>
      </c>
      <c r="F711" s="3" t="s">
        <v>755</v>
      </c>
    </row>
    <row r="712" spans="1:6" hidden="1">
      <c r="A712" s="41" t="s">
        <v>749</v>
      </c>
      <c r="B712" s="74">
        <v>63509198</v>
      </c>
      <c r="C712" s="56" t="s">
        <v>36</v>
      </c>
      <c r="D712" s="42">
        <v>45720</v>
      </c>
      <c r="E712" s="3" t="s">
        <v>315</v>
      </c>
      <c r="F712" s="3" t="s">
        <v>756</v>
      </c>
    </row>
    <row r="713" spans="1:6" hidden="1">
      <c r="A713" s="41" t="s">
        <v>749</v>
      </c>
      <c r="B713" s="74">
        <v>63509220</v>
      </c>
      <c r="C713" s="56" t="s">
        <v>36</v>
      </c>
      <c r="D713" s="42">
        <v>45720</v>
      </c>
      <c r="E713" s="3" t="s">
        <v>315</v>
      </c>
      <c r="F713" s="3" t="s">
        <v>757</v>
      </c>
    </row>
    <row r="714" spans="1:6" hidden="1">
      <c r="A714" s="41" t="s">
        <v>749</v>
      </c>
      <c r="B714" s="74">
        <v>63509226</v>
      </c>
      <c r="C714" s="56" t="s">
        <v>36</v>
      </c>
      <c r="D714" s="42">
        <v>45720</v>
      </c>
      <c r="E714" s="3" t="s">
        <v>315</v>
      </c>
      <c r="F714" s="3" t="s">
        <v>758</v>
      </c>
    </row>
    <row r="715" spans="1:6" hidden="1">
      <c r="A715" s="41" t="s">
        <v>749</v>
      </c>
      <c r="B715" s="74">
        <v>63509235</v>
      </c>
      <c r="C715" s="56" t="s">
        <v>36</v>
      </c>
      <c r="D715" s="42">
        <v>45720</v>
      </c>
      <c r="E715" s="3" t="s">
        <v>315</v>
      </c>
      <c r="F715" s="3" t="s">
        <v>759</v>
      </c>
    </row>
    <row r="716" spans="1:6" hidden="1">
      <c r="A716" s="41" t="s">
        <v>749</v>
      </c>
      <c r="B716" s="74">
        <v>63509258</v>
      </c>
      <c r="C716" s="56" t="s">
        <v>36</v>
      </c>
      <c r="D716" s="42">
        <v>45720</v>
      </c>
      <c r="E716" s="3" t="s">
        <v>315</v>
      </c>
      <c r="F716" s="3" t="s">
        <v>760</v>
      </c>
    </row>
    <row r="717" spans="1:6" hidden="1">
      <c r="A717" s="41" t="s">
        <v>749</v>
      </c>
      <c r="B717" s="74">
        <v>63509266</v>
      </c>
      <c r="C717" s="56" t="s">
        <v>36</v>
      </c>
      <c r="D717" s="42">
        <v>45720</v>
      </c>
      <c r="E717" s="3" t="s">
        <v>315</v>
      </c>
      <c r="F717" s="3" t="s">
        <v>761</v>
      </c>
    </row>
    <row r="718" spans="1:6" hidden="1">
      <c r="A718" s="41" t="s">
        <v>749</v>
      </c>
      <c r="B718" s="74">
        <v>63509281</v>
      </c>
      <c r="C718" s="56" t="s">
        <v>36</v>
      </c>
      <c r="D718" s="42">
        <v>45720</v>
      </c>
      <c r="E718" s="3" t="s">
        <v>315</v>
      </c>
      <c r="F718" s="3" t="s">
        <v>762</v>
      </c>
    </row>
    <row r="719" spans="1:6" hidden="1">
      <c r="A719" s="41" t="s">
        <v>749</v>
      </c>
      <c r="B719" s="74">
        <v>64500533</v>
      </c>
      <c r="C719" s="56" t="s">
        <v>36</v>
      </c>
      <c r="D719" s="42">
        <v>45720</v>
      </c>
      <c r="E719" s="3" t="s">
        <v>315</v>
      </c>
      <c r="F719" s="3" t="s">
        <v>763</v>
      </c>
    </row>
    <row r="720" spans="1:6" hidden="1">
      <c r="A720" s="41" t="s">
        <v>749</v>
      </c>
      <c r="B720" s="74">
        <v>63509297</v>
      </c>
      <c r="C720" s="56" t="s">
        <v>36</v>
      </c>
      <c r="D720" s="42">
        <v>45720</v>
      </c>
      <c r="E720" s="3" t="s">
        <v>315</v>
      </c>
      <c r="F720" s="3" t="s">
        <v>764</v>
      </c>
    </row>
    <row r="721" spans="1:6" hidden="1">
      <c r="A721" s="41" t="s">
        <v>749</v>
      </c>
      <c r="B721" s="74">
        <v>63509304</v>
      </c>
      <c r="C721" s="56" t="s">
        <v>36</v>
      </c>
      <c r="D721" s="42">
        <v>45720</v>
      </c>
      <c r="E721" s="3" t="s">
        <v>315</v>
      </c>
      <c r="F721" s="3" t="s">
        <v>765</v>
      </c>
    </row>
    <row r="722" spans="1:6" hidden="1">
      <c r="A722" s="41" t="s">
        <v>749</v>
      </c>
      <c r="B722" s="74">
        <v>63509316</v>
      </c>
      <c r="C722" s="56" t="s">
        <v>36</v>
      </c>
      <c r="D722" s="42">
        <v>45720</v>
      </c>
      <c r="E722" s="3" t="s">
        <v>315</v>
      </c>
      <c r="F722" s="3" t="s">
        <v>766</v>
      </c>
    </row>
    <row r="723" spans="1:6" hidden="1">
      <c r="A723" s="41" t="s">
        <v>749</v>
      </c>
      <c r="B723" s="74">
        <v>63509322</v>
      </c>
      <c r="C723" s="56" t="s">
        <v>36</v>
      </c>
      <c r="D723" s="42">
        <v>45720</v>
      </c>
      <c r="E723" s="3" t="s">
        <v>315</v>
      </c>
      <c r="F723" s="3" t="s">
        <v>767</v>
      </c>
    </row>
    <row r="724" spans="1:6" hidden="1">
      <c r="A724" s="41" t="s">
        <v>749</v>
      </c>
      <c r="B724" s="74">
        <v>63509359</v>
      </c>
      <c r="C724" s="56" t="s">
        <v>36</v>
      </c>
      <c r="D724" s="42">
        <v>45720</v>
      </c>
      <c r="E724" s="3" t="s">
        <v>315</v>
      </c>
      <c r="F724" s="3" t="s">
        <v>768</v>
      </c>
    </row>
    <row r="725" spans="1:6" hidden="1">
      <c r="A725" s="41" t="s">
        <v>749</v>
      </c>
      <c r="B725" s="74">
        <v>63509368</v>
      </c>
      <c r="C725" s="56" t="s">
        <v>36</v>
      </c>
      <c r="D725" s="42">
        <v>45720</v>
      </c>
      <c r="E725" s="3" t="s">
        <v>315</v>
      </c>
      <c r="F725" s="3" t="s">
        <v>769</v>
      </c>
    </row>
    <row r="726" spans="1:6" hidden="1">
      <c r="A726" s="41" t="s">
        <v>749</v>
      </c>
      <c r="B726" s="74">
        <v>63509377</v>
      </c>
      <c r="C726" s="56" t="s">
        <v>36</v>
      </c>
      <c r="D726" s="42">
        <v>45720</v>
      </c>
      <c r="E726" s="3" t="s">
        <v>315</v>
      </c>
      <c r="F726" s="3" t="s">
        <v>770</v>
      </c>
    </row>
    <row r="727" spans="1:6" hidden="1">
      <c r="A727" s="41" t="s">
        <v>749</v>
      </c>
      <c r="B727" s="74">
        <v>63509381</v>
      </c>
      <c r="C727" s="56" t="s">
        <v>36</v>
      </c>
      <c r="D727" s="42">
        <v>45720</v>
      </c>
      <c r="E727" s="3" t="s">
        <v>315</v>
      </c>
      <c r="F727" s="3" t="s">
        <v>771</v>
      </c>
    </row>
    <row r="728" spans="1:6" hidden="1">
      <c r="A728" s="41" t="s">
        <v>749</v>
      </c>
      <c r="B728" s="74">
        <v>63509388</v>
      </c>
      <c r="C728" s="56" t="s">
        <v>36</v>
      </c>
      <c r="D728" s="42">
        <v>45720</v>
      </c>
      <c r="E728" s="3" t="s">
        <v>315</v>
      </c>
      <c r="F728" s="3" t="s">
        <v>772</v>
      </c>
    </row>
    <row r="729" spans="1:6" hidden="1">
      <c r="A729" s="41" t="s">
        <v>749</v>
      </c>
      <c r="B729" s="74">
        <v>63509397</v>
      </c>
      <c r="C729" s="56" t="s">
        <v>36</v>
      </c>
      <c r="D729" s="42">
        <v>45720</v>
      </c>
      <c r="E729" s="3" t="s">
        <v>315</v>
      </c>
      <c r="F729" s="3" t="s">
        <v>773</v>
      </c>
    </row>
    <row r="730" spans="1:6" hidden="1">
      <c r="A730" s="41" t="s">
        <v>749</v>
      </c>
      <c r="B730" s="74">
        <v>63509399</v>
      </c>
      <c r="C730" s="56" t="s">
        <v>36</v>
      </c>
      <c r="D730" s="42">
        <v>45720</v>
      </c>
      <c r="E730" s="3" t="s">
        <v>315</v>
      </c>
      <c r="F730" s="3" t="s">
        <v>774</v>
      </c>
    </row>
    <row r="731" spans="1:6" hidden="1">
      <c r="A731" s="41" t="s">
        <v>749</v>
      </c>
      <c r="B731" s="74">
        <v>63509411</v>
      </c>
      <c r="C731" s="56" t="s">
        <v>36</v>
      </c>
      <c r="D731" s="42">
        <v>45720</v>
      </c>
      <c r="E731" s="3" t="s">
        <v>315</v>
      </c>
      <c r="F731" s="3" t="s">
        <v>775</v>
      </c>
    </row>
    <row r="732" spans="1:6" hidden="1">
      <c r="A732" s="41" t="s">
        <v>749</v>
      </c>
      <c r="B732" s="74">
        <v>63509426</v>
      </c>
      <c r="C732" s="56" t="s">
        <v>36</v>
      </c>
      <c r="D732" s="42">
        <v>45720</v>
      </c>
      <c r="E732" s="3" t="s">
        <v>315</v>
      </c>
      <c r="F732" s="3" t="s">
        <v>776</v>
      </c>
    </row>
    <row r="733" spans="1:6" hidden="1">
      <c r="A733" s="41" t="s">
        <v>749</v>
      </c>
      <c r="B733" s="74">
        <v>63509435</v>
      </c>
      <c r="C733" s="56" t="s">
        <v>36</v>
      </c>
      <c r="D733" s="42">
        <v>45720</v>
      </c>
      <c r="E733" s="3" t="s">
        <v>315</v>
      </c>
      <c r="F733" s="3" t="s">
        <v>777</v>
      </c>
    </row>
    <row r="734" spans="1:6" hidden="1">
      <c r="A734" s="41" t="s">
        <v>749</v>
      </c>
      <c r="B734" s="74">
        <v>63509438</v>
      </c>
      <c r="C734" s="56" t="s">
        <v>36</v>
      </c>
      <c r="D734" s="42">
        <v>45720</v>
      </c>
      <c r="E734" s="3" t="s">
        <v>315</v>
      </c>
      <c r="F734" s="3" t="s">
        <v>778</v>
      </c>
    </row>
    <row r="735" spans="1:6" hidden="1">
      <c r="A735" s="41" t="s">
        <v>749</v>
      </c>
      <c r="B735" s="74">
        <v>63509451</v>
      </c>
      <c r="C735" s="56" t="s">
        <v>36</v>
      </c>
      <c r="D735" s="42">
        <v>45720</v>
      </c>
      <c r="E735" s="3" t="s">
        <v>315</v>
      </c>
      <c r="F735" s="3" t="s">
        <v>779</v>
      </c>
    </row>
    <row r="736" spans="1:6" hidden="1">
      <c r="A736" s="18" t="s">
        <v>780</v>
      </c>
      <c r="B736" s="18">
        <v>65503931</v>
      </c>
      <c r="C736" s="77" t="s">
        <v>36</v>
      </c>
      <c r="D736" s="76">
        <v>45722</v>
      </c>
      <c r="E736" s="3" t="s">
        <v>315</v>
      </c>
      <c r="F736" s="18" t="s">
        <v>781</v>
      </c>
    </row>
    <row r="737" spans="1:6" hidden="1">
      <c r="A737" s="18" t="s">
        <v>780</v>
      </c>
      <c r="B737" s="18">
        <v>65503959</v>
      </c>
      <c r="C737" s="78" t="s">
        <v>36</v>
      </c>
      <c r="D737" s="55">
        <v>45722</v>
      </c>
      <c r="E737" s="30" t="s">
        <v>315</v>
      </c>
      <c r="F737" s="18" t="s">
        <v>782</v>
      </c>
    </row>
    <row r="738" spans="1:6" hidden="1">
      <c r="A738" s="18" t="s">
        <v>780</v>
      </c>
      <c r="B738" s="18">
        <v>65503976</v>
      </c>
      <c r="C738" s="78" t="s">
        <v>36</v>
      </c>
      <c r="D738" s="55">
        <v>45722</v>
      </c>
      <c r="E738" s="30" t="s">
        <v>315</v>
      </c>
      <c r="F738" s="18" t="s">
        <v>783</v>
      </c>
    </row>
    <row r="739" spans="1:6" hidden="1">
      <c r="A739" s="18" t="s">
        <v>780</v>
      </c>
      <c r="B739" s="18">
        <v>65503998</v>
      </c>
      <c r="C739" s="78" t="s">
        <v>36</v>
      </c>
      <c r="D739" s="55">
        <v>45722</v>
      </c>
      <c r="E739" s="30" t="s">
        <v>315</v>
      </c>
      <c r="F739" s="18" t="s">
        <v>784</v>
      </c>
    </row>
    <row r="740" spans="1:6" hidden="1">
      <c r="A740" s="18" t="s">
        <v>780</v>
      </c>
      <c r="B740" s="18">
        <v>65504004</v>
      </c>
      <c r="C740" s="78" t="s">
        <v>36</v>
      </c>
      <c r="D740" s="55">
        <v>45722</v>
      </c>
      <c r="E740" s="30" t="s">
        <v>315</v>
      </c>
      <c r="F740" s="18" t="s">
        <v>785</v>
      </c>
    </row>
    <row r="741" spans="1:6" hidden="1">
      <c r="A741" s="18" t="s">
        <v>780</v>
      </c>
      <c r="B741" s="18">
        <v>65504040</v>
      </c>
      <c r="C741" s="78" t="s">
        <v>36</v>
      </c>
      <c r="D741" s="55">
        <v>45722</v>
      </c>
      <c r="E741" s="30" t="s">
        <v>315</v>
      </c>
      <c r="F741" s="18" t="s">
        <v>786</v>
      </c>
    </row>
    <row r="742" spans="1:6" hidden="1">
      <c r="A742" s="18" t="s">
        <v>780</v>
      </c>
      <c r="B742" s="18">
        <v>65504059</v>
      </c>
      <c r="C742" s="78" t="s">
        <v>36</v>
      </c>
      <c r="D742" s="55">
        <v>45722</v>
      </c>
      <c r="E742" s="30" t="s">
        <v>315</v>
      </c>
      <c r="F742" s="18" t="s">
        <v>787</v>
      </c>
    </row>
    <row r="743" spans="1:6" hidden="1">
      <c r="A743" s="18" t="s">
        <v>780</v>
      </c>
      <c r="B743" s="18">
        <v>65504096</v>
      </c>
      <c r="C743" s="78" t="s">
        <v>36</v>
      </c>
      <c r="D743" s="55">
        <v>45722</v>
      </c>
      <c r="E743" s="30" t="s">
        <v>315</v>
      </c>
      <c r="F743" s="18" t="s">
        <v>788</v>
      </c>
    </row>
    <row r="744" spans="1:6" hidden="1">
      <c r="A744" s="18" t="s">
        <v>780</v>
      </c>
      <c r="B744" s="18">
        <v>65504108</v>
      </c>
      <c r="C744" s="78" t="s">
        <v>36</v>
      </c>
      <c r="D744" s="55">
        <v>45722</v>
      </c>
      <c r="E744" s="30" t="s">
        <v>315</v>
      </c>
      <c r="F744" s="18" t="s">
        <v>789</v>
      </c>
    </row>
    <row r="745" spans="1:6" hidden="1">
      <c r="A745" s="18" t="s">
        <v>780</v>
      </c>
      <c r="B745" s="18">
        <v>65504150</v>
      </c>
      <c r="C745" s="78" t="s">
        <v>36</v>
      </c>
      <c r="D745" s="55">
        <v>45722</v>
      </c>
      <c r="E745" s="30" t="s">
        <v>315</v>
      </c>
      <c r="F745" s="18" t="s">
        <v>790</v>
      </c>
    </row>
    <row r="746" spans="1:6" hidden="1">
      <c r="A746" s="18" t="s">
        <v>780</v>
      </c>
      <c r="B746" s="18">
        <v>65504164</v>
      </c>
      <c r="C746" s="78" t="s">
        <v>36</v>
      </c>
      <c r="D746" s="55">
        <v>45722</v>
      </c>
      <c r="E746" s="30" t="s">
        <v>315</v>
      </c>
      <c r="F746" s="18" t="s">
        <v>791</v>
      </c>
    </row>
    <row r="747" spans="1:6" hidden="1">
      <c r="A747" s="18" t="s">
        <v>780</v>
      </c>
      <c r="B747" s="18">
        <v>65504187</v>
      </c>
      <c r="C747" s="78" t="s">
        <v>36</v>
      </c>
      <c r="D747" s="55">
        <v>45722</v>
      </c>
      <c r="E747" s="30" t="s">
        <v>315</v>
      </c>
      <c r="F747" s="18" t="s">
        <v>792</v>
      </c>
    </row>
    <row r="748" spans="1:6" hidden="1">
      <c r="A748" s="18" t="s">
        <v>780</v>
      </c>
      <c r="B748" s="18">
        <v>65504195</v>
      </c>
      <c r="C748" s="78" t="s">
        <v>36</v>
      </c>
      <c r="D748" s="55">
        <v>45722</v>
      </c>
      <c r="E748" s="30" t="s">
        <v>315</v>
      </c>
      <c r="F748" s="18" t="s">
        <v>793</v>
      </c>
    </row>
    <row r="749" spans="1:6" hidden="1">
      <c r="A749" s="18" t="s">
        <v>780</v>
      </c>
      <c r="B749" s="18">
        <v>65504210</v>
      </c>
      <c r="C749" s="78" t="s">
        <v>36</v>
      </c>
      <c r="D749" s="55">
        <v>45722</v>
      </c>
      <c r="E749" s="30" t="s">
        <v>315</v>
      </c>
      <c r="F749" s="18" t="s">
        <v>794</v>
      </c>
    </row>
    <row r="750" spans="1:6" hidden="1">
      <c r="A750" s="70" t="s">
        <v>780</v>
      </c>
      <c r="B750" s="70">
        <v>65504234</v>
      </c>
      <c r="C750" s="79" t="s">
        <v>36</v>
      </c>
      <c r="D750" s="55">
        <v>45722</v>
      </c>
      <c r="E750" s="30" t="s">
        <v>315</v>
      </c>
      <c r="F750" s="70" t="s">
        <v>795</v>
      </c>
    </row>
    <row r="751" spans="1:6" hidden="1">
      <c r="A751" s="18" t="s">
        <v>796</v>
      </c>
      <c r="B751" s="18">
        <v>65505251</v>
      </c>
      <c r="C751" s="78" t="s">
        <v>36</v>
      </c>
      <c r="D751" s="55">
        <v>45722</v>
      </c>
      <c r="E751" s="30" t="s">
        <v>315</v>
      </c>
      <c r="F751" s="18" t="s">
        <v>797</v>
      </c>
    </row>
    <row r="752" spans="1:6" hidden="1">
      <c r="A752" s="18" t="s">
        <v>796</v>
      </c>
      <c r="B752" s="18">
        <v>65505281</v>
      </c>
      <c r="C752" s="78" t="s">
        <v>36</v>
      </c>
      <c r="D752" s="55">
        <v>45722</v>
      </c>
      <c r="E752" s="30" t="s">
        <v>315</v>
      </c>
      <c r="F752" s="18" t="s">
        <v>798</v>
      </c>
    </row>
    <row r="753" spans="1:6" hidden="1">
      <c r="A753" s="18" t="s">
        <v>796</v>
      </c>
      <c r="B753" s="18">
        <v>65505299</v>
      </c>
      <c r="C753" s="78" t="s">
        <v>36</v>
      </c>
      <c r="D753" s="55">
        <v>45722</v>
      </c>
      <c r="E753" s="30" t="s">
        <v>315</v>
      </c>
      <c r="F753" s="18" t="s">
        <v>799</v>
      </c>
    </row>
    <row r="754" spans="1:6" hidden="1">
      <c r="A754" s="18" t="s">
        <v>796</v>
      </c>
      <c r="B754" s="18">
        <v>65505316</v>
      </c>
      <c r="C754" s="78" t="s">
        <v>36</v>
      </c>
      <c r="D754" s="55">
        <v>45722</v>
      </c>
      <c r="E754" s="30" t="s">
        <v>315</v>
      </c>
      <c r="F754" s="18" t="s">
        <v>800</v>
      </c>
    </row>
    <row r="755" spans="1:6" hidden="1">
      <c r="A755" s="18" t="s">
        <v>796</v>
      </c>
      <c r="B755" s="18">
        <v>65505367</v>
      </c>
      <c r="C755" s="78" t="s">
        <v>36</v>
      </c>
      <c r="D755" s="55">
        <v>45722</v>
      </c>
      <c r="E755" s="30" t="s">
        <v>315</v>
      </c>
      <c r="F755" s="18" t="s">
        <v>801</v>
      </c>
    </row>
    <row r="756" spans="1:6" hidden="1">
      <c r="A756" s="18" t="s">
        <v>796</v>
      </c>
      <c r="B756" s="18">
        <v>65505409</v>
      </c>
      <c r="C756" s="78" t="s">
        <v>36</v>
      </c>
      <c r="D756" s="55">
        <v>45722</v>
      </c>
      <c r="E756" s="30" t="s">
        <v>315</v>
      </c>
      <c r="F756" s="18" t="s">
        <v>802</v>
      </c>
    </row>
    <row r="757" spans="1:6" hidden="1">
      <c r="A757" s="18" t="s">
        <v>796</v>
      </c>
      <c r="B757" s="18">
        <v>65505445</v>
      </c>
      <c r="C757" s="78" t="s">
        <v>36</v>
      </c>
      <c r="D757" s="55">
        <v>45722</v>
      </c>
      <c r="E757" s="30" t="s">
        <v>315</v>
      </c>
      <c r="F757" s="18" t="s">
        <v>803</v>
      </c>
    </row>
    <row r="758" spans="1:6" hidden="1">
      <c r="A758" s="18" t="s">
        <v>796</v>
      </c>
      <c r="B758" s="18">
        <v>65505524</v>
      </c>
      <c r="C758" s="78" t="s">
        <v>36</v>
      </c>
      <c r="D758" s="55">
        <v>45722</v>
      </c>
      <c r="E758" s="30" t="s">
        <v>315</v>
      </c>
      <c r="F758" s="18" t="s">
        <v>804</v>
      </c>
    </row>
    <row r="759" spans="1:6" hidden="1">
      <c r="A759" s="18" t="s">
        <v>796</v>
      </c>
      <c r="B759" s="18">
        <v>65505570</v>
      </c>
      <c r="C759" s="78" t="s">
        <v>36</v>
      </c>
      <c r="D759" s="55">
        <v>45722</v>
      </c>
      <c r="E759" s="30" t="s">
        <v>315</v>
      </c>
      <c r="F759" s="18" t="s">
        <v>805</v>
      </c>
    </row>
    <row r="760" spans="1:6" hidden="1">
      <c r="A760" s="18" t="s">
        <v>796</v>
      </c>
      <c r="B760" s="18">
        <v>65505591</v>
      </c>
      <c r="C760" s="78" t="s">
        <v>36</v>
      </c>
      <c r="D760" s="55">
        <v>45722</v>
      </c>
      <c r="E760" s="30" t="s">
        <v>315</v>
      </c>
      <c r="F760" s="18" t="s">
        <v>806</v>
      </c>
    </row>
    <row r="761" spans="1:6" hidden="1">
      <c r="A761" s="18" t="s">
        <v>796</v>
      </c>
      <c r="B761" s="18">
        <v>65505650</v>
      </c>
      <c r="C761" s="78" t="s">
        <v>36</v>
      </c>
      <c r="D761" s="55">
        <v>45722</v>
      </c>
      <c r="E761" s="30" t="s">
        <v>315</v>
      </c>
      <c r="F761" s="18" t="s">
        <v>807</v>
      </c>
    </row>
    <row r="762" spans="1:6" hidden="1">
      <c r="A762" s="18" t="s">
        <v>796</v>
      </c>
      <c r="B762" s="18">
        <v>65505682</v>
      </c>
      <c r="C762" s="78" t="s">
        <v>36</v>
      </c>
      <c r="D762" s="55">
        <v>45722</v>
      </c>
      <c r="E762" s="30" t="s">
        <v>315</v>
      </c>
      <c r="F762" s="18" t="s">
        <v>808</v>
      </c>
    </row>
    <row r="763" spans="1:6" hidden="1">
      <c r="A763" s="18" t="s">
        <v>796</v>
      </c>
      <c r="B763" s="18">
        <v>65505696</v>
      </c>
      <c r="C763" s="78" t="s">
        <v>36</v>
      </c>
      <c r="D763" s="55">
        <v>45722</v>
      </c>
      <c r="E763" s="30" t="s">
        <v>315</v>
      </c>
      <c r="F763" s="18" t="s">
        <v>809</v>
      </c>
    </row>
    <row r="764" spans="1:6" hidden="1">
      <c r="A764" s="18" t="s">
        <v>796</v>
      </c>
      <c r="B764" s="18">
        <v>65505728</v>
      </c>
      <c r="C764" s="78" t="s">
        <v>36</v>
      </c>
      <c r="D764" s="55">
        <v>45722</v>
      </c>
      <c r="E764" s="30" t="s">
        <v>315</v>
      </c>
      <c r="F764" s="18" t="s">
        <v>810</v>
      </c>
    </row>
    <row r="765" spans="1:6" hidden="1">
      <c r="A765" s="18" t="s">
        <v>796</v>
      </c>
      <c r="B765" s="18">
        <v>65505750</v>
      </c>
      <c r="C765" s="78" t="s">
        <v>36</v>
      </c>
      <c r="D765" s="55">
        <v>45722</v>
      </c>
      <c r="E765" s="30" t="s">
        <v>315</v>
      </c>
      <c r="F765" s="18" t="s">
        <v>811</v>
      </c>
    </row>
    <row r="766" spans="1:6" hidden="1">
      <c r="A766" s="18" t="s">
        <v>796</v>
      </c>
      <c r="B766" s="18">
        <v>65505814</v>
      </c>
      <c r="C766" s="78" t="s">
        <v>36</v>
      </c>
      <c r="D766" s="55">
        <v>45722</v>
      </c>
      <c r="E766" s="30" t="s">
        <v>315</v>
      </c>
      <c r="F766" s="18" t="s">
        <v>812</v>
      </c>
    </row>
    <row r="767" spans="1:6" hidden="1">
      <c r="A767" s="18" t="s">
        <v>796</v>
      </c>
      <c r="B767" s="18">
        <v>65505831</v>
      </c>
      <c r="C767" s="78" t="s">
        <v>36</v>
      </c>
      <c r="D767" s="55">
        <v>45722</v>
      </c>
      <c r="E767" s="30" t="s">
        <v>315</v>
      </c>
      <c r="F767" s="18" t="s">
        <v>813</v>
      </c>
    </row>
    <row r="768" spans="1:6" hidden="1">
      <c r="A768" s="18" t="s">
        <v>796</v>
      </c>
      <c r="B768" s="18">
        <v>65505876</v>
      </c>
      <c r="C768" s="78" t="s">
        <v>36</v>
      </c>
      <c r="D768" s="55">
        <v>45722</v>
      </c>
      <c r="E768" s="30" t="s">
        <v>315</v>
      </c>
      <c r="F768" s="18" t="s">
        <v>814</v>
      </c>
    </row>
    <row r="769" spans="1:6" hidden="1">
      <c r="A769" s="18" t="s">
        <v>796</v>
      </c>
      <c r="B769" s="18">
        <v>65505913</v>
      </c>
      <c r="C769" s="78" t="s">
        <v>36</v>
      </c>
      <c r="D769" s="55">
        <v>45722</v>
      </c>
      <c r="E769" s="30" t="s">
        <v>315</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138</v>
      </c>
      <c r="H2" s="71" t="s">
        <v>280</v>
      </c>
      <c r="I2" s="139">
        <v>45695</v>
      </c>
      <c r="J2" s="145"/>
      <c r="K2" s="145"/>
      <c r="L2" s="145"/>
      <c r="M2" s="145"/>
      <c r="N2" s="145"/>
      <c r="O2" s="145"/>
      <c r="P2" s="145"/>
      <c r="Q2" s="146"/>
      <c r="R2" s="71" t="s">
        <v>817</v>
      </c>
    </row>
    <row r="3" spans="1:18" hidden="1">
      <c r="A3" s="29" t="s">
        <v>816</v>
      </c>
      <c r="B3" s="29"/>
      <c r="C3" s="29">
        <v>38505213</v>
      </c>
      <c r="G3" s="29" t="s">
        <v>138</v>
      </c>
      <c r="H3" s="29" t="s">
        <v>280</v>
      </c>
      <c r="I3" s="120">
        <v>45695</v>
      </c>
      <c r="P3" s="134"/>
      <c r="R3" s="29" t="s">
        <v>818</v>
      </c>
    </row>
    <row r="4" spans="1:18" hidden="1">
      <c r="A4" s="41" t="s">
        <v>819</v>
      </c>
      <c r="B4" s="41"/>
      <c r="C4" s="41">
        <v>50507609</v>
      </c>
      <c r="G4" s="29" t="s">
        <v>138</v>
      </c>
      <c r="H4" s="29" t="s">
        <v>77</v>
      </c>
      <c r="I4" s="120">
        <v>45707</v>
      </c>
      <c r="P4" s="134"/>
      <c r="R4" s="41" t="s">
        <v>820</v>
      </c>
    </row>
    <row r="5" spans="1:18" hidden="1">
      <c r="A5" s="41" t="s">
        <v>819</v>
      </c>
      <c r="B5" s="41"/>
      <c r="C5" s="41">
        <v>50507859</v>
      </c>
      <c r="G5" s="29" t="s">
        <v>138</v>
      </c>
      <c r="H5" s="29" t="s">
        <v>77</v>
      </c>
      <c r="I5" s="120">
        <v>45707</v>
      </c>
      <c r="P5" s="134"/>
      <c r="R5" s="41" t="s">
        <v>821</v>
      </c>
    </row>
    <row r="6" spans="1:18" hidden="1">
      <c r="A6" s="147" t="s">
        <v>822</v>
      </c>
      <c r="B6" s="147"/>
      <c r="C6" s="29">
        <v>21507562</v>
      </c>
      <c r="G6" s="29" t="s">
        <v>138</v>
      </c>
      <c r="H6" s="29" t="s">
        <v>316</v>
      </c>
      <c r="I6" s="120">
        <v>45678</v>
      </c>
      <c r="P6" s="134"/>
      <c r="R6" s="29"/>
    </row>
    <row r="7" spans="1:18" hidden="1">
      <c r="A7" s="147" t="s">
        <v>822</v>
      </c>
      <c r="B7" s="147"/>
      <c r="C7" s="29">
        <v>21507565</v>
      </c>
      <c r="G7" s="29" t="s">
        <v>138</v>
      </c>
      <c r="H7" s="29" t="s">
        <v>316</v>
      </c>
      <c r="I7" s="120">
        <v>45678</v>
      </c>
      <c r="P7" s="134"/>
      <c r="R7" s="29"/>
    </row>
    <row r="8" spans="1:18" hidden="1">
      <c r="A8" s="147" t="s">
        <v>822</v>
      </c>
      <c r="B8" s="147"/>
      <c r="C8" s="29">
        <v>21507568</v>
      </c>
      <c r="G8" s="29" t="s">
        <v>138</v>
      </c>
      <c r="H8" s="29" t="s">
        <v>316</v>
      </c>
      <c r="I8" s="120">
        <v>45678</v>
      </c>
      <c r="P8" s="134"/>
      <c r="R8" s="29"/>
    </row>
    <row r="9" spans="1:18" hidden="1">
      <c r="A9" s="147" t="s">
        <v>822</v>
      </c>
      <c r="B9" s="147"/>
      <c r="C9" s="29">
        <v>21507569</v>
      </c>
      <c r="G9" s="29" t="s">
        <v>138</v>
      </c>
      <c r="H9" s="29" t="s">
        <v>316</v>
      </c>
      <c r="I9" s="120">
        <v>45678</v>
      </c>
      <c r="P9" s="134"/>
      <c r="R9" s="29"/>
    </row>
    <row r="10" spans="1:18" hidden="1">
      <c r="A10" s="147" t="s">
        <v>822</v>
      </c>
      <c r="B10" s="147"/>
      <c r="C10" s="29">
        <v>21507570</v>
      </c>
      <c r="G10" s="29" t="s">
        <v>138</v>
      </c>
      <c r="H10" s="29" t="s">
        <v>316</v>
      </c>
      <c r="I10" s="120">
        <v>45678</v>
      </c>
      <c r="P10" s="134"/>
      <c r="R10" s="29"/>
    </row>
    <row r="11" spans="1:18" hidden="1">
      <c r="A11" s="29" t="s">
        <v>328</v>
      </c>
      <c r="B11" s="29"/>
      <c r="C11" s="29">
        <v>30503735</v>
      </c>
      <c r="G11" s="29" t="s">
        <v>823</v>
      </c>
      <c r="H11" s="29" t="s">
        <v>329</v>
      </c>
      <c r="I11" s="120">
        <v>45686</v>
      </c>
      <c r="P11" s="134"/>
      <c r="R11" s="29" t="s">
        <v>330</v>
      </c>
    </row>
    <row r="12" spans="1:18" hidden="1">
      <c r="A12" s="29" t="s">
        <v>328</v>
      </c>
      <c r="B12" s="29"/>
      <c r="C12" s="29">
        <v>30503776</v>
      </c>
      <c r="G12" s="29" t="s">
        <v>823</v>
      </c>
      <c r="H12" s="29" t="s">
        <v>329</v>
      </c>
      <c r="I12" s="120">
        <v>45686</v>
      </c>
      <c r="P12" s="134"/>
      <c r="R12" s="29" t="s">
        <v>331</v>
      </c>
    </row>
    <row r="13" spans="1:18" hidden="1">
      <c r="A13" s="29" t="s">
        <v>328</v>
      </c>
      <c r="B13" s="29"/>
      <c r="C13" s="29">
        <v>30503798</v>
      </c>
      <c r="G13" s="29" t="s">
        <v>823</v>
      </c>
      <c r="H13" s="29" t="s">
        <v>329</v>
      </c>
      <c r="I13" s="120">
        <v>45686</v>
      </c>
      <c r="P13" s="134"/>
      <c r="R13" s="29" t="s">
        <v>332</v>
      </c>
    </row>
    <row r="14" spans="1:18" hidden="1">
      <c r="A14" s="29" t="s">
        <v>328</v>
      </c>
      <c r="B14" s="29"/>
      <c r="C14" s="29">
        <v>30503821</v>
      </c>
      <c r="G14" s="29" t="s">
        <v>823</v>
      </c>
      <c r="H14" s="29" t="s">
        <v>329</v>
      </c>
      <c r="I14" s="120">
        <v>45686</v>
      </c>
      <c r="P14" s="134"/>
      <c r="R14" s="29" t="s">
        <v>333</v>
      </c>
    </row>
    <row r="15" spans="1:18" hidden="1">
      <c r="A15" s="29" t="s">
        <v>328</v>
      </c>
      <c r="B15" s="29"/>
      <c r="C15" s="29">
        <v>30503763</v>
      </c>
      <c r="G15" s="29" t="s">
        <v>823</v>
      </c>
      <c r="H15" s="29" t="s">
        <v>329</v>
      </c>
      <c r="I15" s="120">
        <v>45686</v>
      </c>
      <c r="P15" s="134"/>
      <c r="R15" s="29" t="s">
        <v>334</v>
      </c>
    </row>
    <row r="16" spans="1:18" hidden="1">
      <c r="A16" s="29" t="s">
        <v>328</v>
      </c>
      <c r="B16" s="29"/>
      <c r="C16" s="29">
        <v>35505134</v>
      </c>
      <c r="G16" s="29" t="s">
        <v>823</v>
      </c>
      <c r="H16" s="29" t="s">
        <v>329</v>
      </c>
      <c r="I16" s="120">
        <v>45691</v>
      </c>
      <c r="P16" s="134"/>
      <c r="R16" s="29" t="s">
        <v>333</v>
      </c>
    </row>
    <row r="17" spans="1:19" hidden="1">
      <c r="A17" s="29" t="s">
        <v>328</v>
      </c>
      <c r="B17" s="29"/>
      <c r="C17" s="29">
        <v>35505087</v>
      </c>
      <c r="G17" s="29" t="s">
        <v>823</v>
      </c>
      <c r="H17" s="29" t="s">
        <v>329</v>
      </c>
      <c r="I17" s="120">
        <v>45691</v>
      </c>
      <c r="P17" s="134"/>
      <c r="R17" s="29" t="s">
        <v>332</v>
      </c>
    </row>
    <row r="18" spans="1:19" hidden="1">
      <c r="A18" s="29" t="s">
        <v>328</v>
      </c>
      <c r="B18" s="29"/>
      <c r="C18" s="29">
        <v>35504960</v>
      </c>
      <c r="G18" s="29" t="s">
        <v>823</v>
      </c>
      <c r="H18" s="29" t="s">
        <v>329</v>
      </c>
      <c r="I18" s="120">
        <v>45691</v>
      </c>
      <c r="J18" s="29"/>
      <c r="K18" s="29"/>
      <c r="L18" s="29"/>
      <c r="M18" s="29"/>
      <c r="N18" s="29"/>
      <c r="O18" s="29"/>
      <c r="P18" s="29"/>
      <c r="Q18" s="81"/>
      <c r="R18" s="29" t="s">
        <v>391</v>
      </c>
      <c r="S18" s="123"/>
    </row>
    <row r="19" spans="1:19" hidden="1">
      <c r="A19" s="29" t="s">
        <v>328</v>
      </c>
      <c r="B19" s="29"/>
      <c r="C19" s="29">
        <v>35504929</v>
      </c>
      <c r="G19" s="29" t="s">
        <v>823</v>
      </c>
      <c r="H19" s="29" t="s">
        <v>329</v>
      </c>
      <c r="I19" s="120">
        <v>45691</v>
      </c>
      <c r="J19" s="29"/>
      <c r="K19" s="29"/>
      <c r="L19" s="29"/>
      <c r="M19" s="29"/>
      <c r="N19" s="29"/>
      <c r="O19" s="29"/>
      <c r="P19" s="29"/>
      <c r="Q19" s="81"/>
      <c r="R19" s="29" t="s">
        <v>330</v>
      </c>
      <c r="S19" s="123"/>
    </row>
    <row r="20" spans="1:19" hidden="1">
      <c r="A20" s="29" t="s">
        <v>328</v>
      </c>
      <c r="B20" s="29"/>
      <c r="C20" s="29">
        <v>35504891</v>
      </c>
      <c r="G20" s="29" t="s">
        <v>823</v>
      </c>
      <c r="H20" s="29" t="s">
        <v>329</v>
      </c>
      <c r="I20" s="120">
        <v>45691</v>
      </c>
      <c r="J20" s="29"/>
      <c r="K20" s="29"/>
      <c r="L20" s="29"/>
      <c r="M20" s="29"/>
      <c r="N20" s="29"/>
      <c r="O20" s="29"/>
      <c r="P20" s="29"/>
      <c r="Q20" s="81"/>
      <c r="R20" s="29" t="s">
        <v>331</v>
      </c>
      <c r="S20" s="123"/>
    </row>
    <row r="21" spans="1:19" hidden="1">
      <c r="A21" s="29" t="s">
        <v>328</v>
      </c>
      <c r="B21" s="29"/>
      <c r="C21" s="29">
        <v>35504415</v>
      </c>
      <c r="G21" s="29" t="s">
        <v>823</v>
      </c>
      <c r="H21" s="29" t="s">
        <v>329</v>
      </c>
      <c r="I21" s="120">
        <v>45691</v>
      </c>
      <c r="J21" s="29"/>
      <c r="K21" s="29"/>
      <c r="L21" s="29"/>
      <c r="M21" s="29"/>
      <c r="N21" s="29"/>
      <c r="O21" s="29"/>
      <c r="P21" s="29"/>
      <c r="Q21" s="81"/>
      <c r="R21" s="29" t="s">
        <v>334</v>
      </c>
      <c r="S21" s="123"/>
    </row>
    <row r="22" spans="1:19" hidden="1">
      <c r="A22" s="29" t="s">
        <v>384</v>
      </c>
      <c r="B22" s="29"/>
      <c r="C22" s="29">
        <v>35506238</v>
      </c>
      <c r="G22" s="29" t="s">
        <v>823</v>
      </c>
      <c r="H22" s="29" t="s">
        <v>329</v>
      </c>
      <c r="I22" s="120">
        <v>45691</v>
      </c>
      <c r="J22" s="29"/>
      <c r="K22" s="29"/>
      <c r="L22" s="29"/>
      <c r="M22" s="29"/>
      <c r="N22" s="29"/>
      <c r="O22" s="29"/>
      <c r="P22" s="29"/>
      <c r="Q22" s="81"/>
      <c r="R22" s="29" t="s">
        <v>385</v>
      </c>
      <c r="S22" s="123"/>
    </row>
    <row r="23" spans="1:19" hidden="1">
      <c r="A23" s="29" t="s">
        <v>384</v>
      </c>
      <c r="B23" s="29"/>
      <c r="C23" s="29">
        <v>35506199</v>
      </c>
      <c r="G23" s="29" t="s">
        <v>823</v>
      </c>
      <c r="H23" s="29" t="s">
        <v>329</v>
      </c>
      <c r="I23" s="120">
        <v>45691</v>
      </c>
      <c r="J23" s="29"/>
      <c r="K23" s="29"/>
      <c r="L23" s="29"/>
      <c r="M23" s="29"/>
      <c r="N23" s="29"/>
      <c r="O23" s="29"/>
      <c r="P23" s="29"/>
      <c r="Q23" s="81"/>
      <c r="R23" s="29" t="s">
        <v>386</v>
      </c>
      <c r="S23" s="123"/>
    </row>
    <row r="24" spans="1:19" hidden="1">
      <c r="A24" s="29" t="s">
        <v>384</v>
      </c>
      <c r="B24" s="29"/>
      <c r="C24" s="29">
        <v>35506159</v>
      </c>
      <c r="G24" s="29" t="s">
        <v>823</v>
      </c>
      <c r="H24" s="29" t="s">
        <v>329</v>
      </c>
      <c r="I24" s="120">
        <v>45691</v>
      </c>
      <c r="J24" s="29"/>
      <c r="K24" s="29"/>
      <c r="L24" s="29"/>
      <c r="M24" s="29"/>
      <c r="N24" s="29"/>
      <c r="O24" s="29"/>
      <c r="P24" s="29"/>
      <c r="Q24" s="81"/>
      <c r="R24" s="29" t="s">
        <v>387</v>
      </c>
      <c r="S24" s="123"/>
    </row>
    <row r="25" spans="1:19" hidden="1">
      <c r="A25" s="29" t="s">
        <v>384</v>
      </c>
      <c r="B25" s="29"/>
      <c r="C25" s="29">
        <v>35506111</v>
      </c>
      <c r="G25" s="29" t="s">
        <v>823</v>
      </c>
      <c r="H25" s="29" t="s">
        <v>329</v>
      </c>
      <c r="I25" s="120">
        <v>45691</v>
      </c>
      <c r="J25" s="29"/>
      <c r="K25" s="29"/>
      <c r="L25" s="29"/>
      <c r="M25" s="29"/>
      <c r="N25" s="29"/>
      <c r="O25" s="29"/>
      <c r="P25" s="29"/>
      <c r="Q25" s="81"/>
      <c r="R25" s="29" t="s">
        <v>388</v>
      </c>
      <c r="S25" s="123"/>
    </row>
    <row r="26" spans="1:19" hidden="1">
      <c r="A26" s="29" t="s">
        <v>384</v>
      </c>
      <c r="B26" s="29"/>
      <c r="C26" s="29">
        <v>35506054</v>
      </c>
      <c r="G26" s="29" t="s">
        <v>823</v>
      </c>
      <c r="H26" s="29" t="s">
        <v>329</v>
      </c>
      <c r="I26" s="120">
        <v>45691</v>
      </c>
      <c r="J26" s="29"/>
      <c r="K26" s="29"/>
      <c r="L26" s="29"/>
      <c r="M26" s="29"/>
      <c r="N26" s="29"/>
      <c r="O26" s="29"/>
      <c r="P26" s="29"/>
      <c r="Q26" s="81"/>
      <c r="R26" s="29" t="s">
        <v>389</v>
      </c>
      <c r="S26" s="123"/>
    </row>
    <row r="27" spans="1:19" hidden="1">
      <c r="A27" s="29" t="s">
        <v>384</v>
      </c>
      <c r="B27" s="29"/>
      <c r="C27" s="29">
        <v>35505986</v>
      </c>
      <c r="G27" s="29" t="s">
        <v>823</v>
      </c>
      <c r="H27" s="29" t="s">
        <v>329</v>
      </c>
      <c r="I27" s="120">
        <v>45691</v>
      </c>
      <c r="J27" s="29"/>
      <c r="K27" s="29"/>
      <c r="L27" s="29"/>
      <c r="M27" s="29"/>
      <c r="N27" s="29"/>
      <c r="O27" s="29"/>
      <c r="P27" s="29"/>
      <c r="Q27" s="81"/>
      <c r="R27" s="29" t="s">
        <v>390</v>
      </c>
      <c r="S27" s="123"/>
    </row>
    <row r="28" spans="1:19" hidden="1">
      <c r="A28" s="29" t="s">
        <v>366</v>
      </c>
      <c r="B28" s="29"/>
      <c r="C28" s="29">
        <v>35510080</v>
      </c>
      <c r="G28" s="29" t="s">
        <v>823</v>
      </c>
      <c r="H28" s="29" t="s">
        <v>367</v>
      </c>
      <c r="I28" s="120">
        <v>45691</v>
      </c>
      <c r="J28" s="29"/>
      <c r="K28" s="29"/>
      <c r="L28" s="29"/>
      <c r="M28" s="29"/>
      <c r="N28" s="29"/>
      <c r="O28" s="29"/>
      <c r="P28" s="29"/>
      <c r="Q28" s="81"/>
      <c r="R28" s="29" t="s">
        <v>371</v>
      </c>
      <c r="S28" s="123"/>
    </row>
    <row r="29" spans="1:19" hidden="1">
      <c r="A29" s="29" t="s">
        <v>366</v>
      </c>
      <c r="B29" s="29"/>
      <c r="C29" s="29">
        <v>35510070</v>
      </c>
      <c r="G29" s="29" t="s">
        <v>823</v>
      </c>
      <c r="H29" s="29" t="s">
        <v>367</v>
      </c>
      <c r="I29" s="120">
        <v>45691</v>
      </c>
      <c r="J29" s="29"/>
      <c r="K29" s="29"/>
      <c r="L29" s="29"/>
      <c r="M29" s="29"/>
      <c r="N29" s="29"/>
      <c r="O29" s="29"/>
      <c r="P29" s="29"/>
      <c r="Q29" s="81"/>
      <c r="R29" s="29" t="s">
        <v>372</v>
      </c>
      <c r="S29" s="123"/>
    </row>
    <row r="30" spans="1:19" hidden="1">
      <c r="A30" s="29" t="s">
        <v>366</v>
      </c>
      <c r="B30" s="29"/>
      <c r="C30" s="29">
        <v>35510055</v>
      </c>
      <c r="G30" s="29" t="s">
        <v>823</v>
      </c>
      <c r="H30" s="29" t="s">
        <v>367</v>
      </c>
      <c r="I30" s="120">
        <v>45691</v>
      </c>
      <c r="J30" s="29"/>
      <c r="K30" s="29"/>
      <c r="L30" s="29"/>
      <c r="M30" s="29"/>
      <c r="N30" s="29"/>
      <c r="O30" s="29"/>
      <c r="P30" s="29"/>
      <c r="Q30" s="81"/>
      <c r="R30" s="29" t="s">
        <v>373</v>
      </c>
      <c r="S30" s="123"/>
    </row>
    <row r="31" spans="1:19" hidden="1">
      <c r="A31" s="29" t="s">
        <v>366</v>
      </c>
      <c r="B31" s="29"/>
      <c r="C31" s="29">
        <v>35510045</v>
      </c>
      <c r="G31" s="29" t="s">
        <v>823</v>
      </c>
      <c r="H31" s="29" t="s">
        <v>367</v>
      </c>
      <c r="I31" s="120">
        <v>45691</v>
      </c>
      <c r="J31" s="29"/>
      <c r="K31" s="29"/>
      <c r="L31" s="29"/>
      <c r="M31" s="29"/>
      <c r="N31" s="29"/>
      <c r="O31" s="29"/>
      <c r="P31" s="29"/>
      <c r="Q31" s="81"/>
      <c r="R31" s="29" t="s">
        <v>374</v>
      </c>
      <c r="S31" s="123"/>
    </row>
    <row r="32" spans="1:19" hidden="1">
      <c r="A32" s="29" t="s">
        <v>366</v>
      </c>
      <c r="B32" s="29"/>
      <c r="C32" s="29">
        <v>35510032</v>
      </c>
      <c r="G32" s="29" t="s">
        <v>823</v>
      </c>
      <c r="H32" s="29" t="s">
        <v>367</v>
      </c>
      <c r="I32" s="120">
        <v>45691</v>
      </c>
      <c r="J32" s="29"/>
      <c r="K32" s="29"/>
      <c r="L32" s="29"/>
      <c r="M32" s="29"/>
      <c r="N32" s="29"/>
      <c r="O32" s="29"/>
      <c r="P32" s="29"/>
      <c r="Q32" s="81"/>
      <c r="R32" s="29" t="s">
        <v>375</v>
      </c>
      <c r="S32" s="123"/>
    </row>
    <row r="33" spans="1:19" hidden="1">
      <c r="A33" s="29" t="s">
        <v>366</v>
      </c>
      <c r="B33" s="29"/>
      <c r="C33" s="29">
        <v>35510022</v>
      </c>
      <c r="G33" s="29" t="s">
        <v>823</v>
      </c>
      <c r="H33" s="29" t="s">
        <v>367</v>
      </c>
      <c r="I33" s="120">
        <v>45691</v>
      </c>
      <c r="J33" s="29"/>
      <c r="K33" s="29"/>
      <c r="L33" s="29"/>
      <c r="M33" s="29"/>
      <c r="N33" s="29"/>
      <c r="O33" s="29"/>
      <c r="P33" s="29"/>
      <c r="Q33" s="81"/>
      <c r="R33" s="29" t="s">
        <v>376</v>
      </c>
      <c r="S33" s="123"/>
    </row>
    <row r="34" spans="1:19" hidden="1">
      <c r="A34" s="29" t="s">
        <v>366</v>
      </c>
      <c r="B34" s="29"/>
      <c r="C34" s="29">
        <v>35510009</v>
      </c>
      <c r="G34" s="29" t="s">
        <v>823</v>
      </c>
      <c r="H34" s="29" t="s">
        <v>367</v>
      </c>
      <c r="I34" s="120">
        <v>45691</v>
      </c>
      <c r="J34" s="29"/>
      <c r="K34" s="29"/>
      <c r="L34" s="29"/>
      <c r="M34" s="29"/>
      <c r="N34" s="29"/>
      <c r="O34" s="29"/>
      <c r="P34" s="29"/>
      <c r="Q34" s="81"/>
      <c r="R34" s="29" t="s">
        <v>377</v>
      </c>
      <c r="S34" s="123"/>
    </row>
    <row r="35" spans="1:19" hidden="1">
      <c r="A35" s="29" t="s">
        <v>366</v>
      </c>
      <c r="B35" s="29"/>
      <c r="C35" s="29">
        <v>35509989</v>
      </c>
      <c r="G35" s="29" t="s">
        <v>823</v>
      </c>
      <c r="H35" s="29" t="s">
        <v>367</v>
      </c>
      <c r="I35" s="120">
        <v>45691</v>
      </c>
      <c r="J35" s="29"/>
      <c r="K35" s="29"/>
      <c r="L35" s="29"/>
      <c r="M35" s="29"/>
      <c r="N35" s="29"/>
      <c r="O35" s="29"/>
      <c r="P35" s="29"/>
      <c r="Q35" s="81"/>
      <c r="R35" s="29" t="s">
        <v>378</v>
      </c>
      <c r="S35" s="123"/>
    </row>
    <row r="36" spans="1:19" hidden="1">
      <c r="A36" s="29" t="s">
        <v>366</v>
      </c>
      <c r="B36" s="29"/>
      <c r="C36" s="29">
        <v>37508582</v>
      </c>
      <c r="G36" s="29" t="s">
        <v>823</v>
      </c>
      <c r="H36" s="29" t="s">
        <v>367</v>
      </c>
      <c r="I36" s="120">
        <v>45693</v>
      </c>
      <c r="J36" s="29"/>
      <c r="K36" s="29"/>
      <c r="L36" s="29"/>
      <c r="M36" s="29"/>
      <c r="N36" s="29"/>
      <c r="O36" s="29"/>
      <c r="P36" s="29"/>
      <c r="Q36" s="81"/>
      <c r="R36" s="29" t="s">
        <v>477</v>
      </c>
      <c r="S36" s="123"/>
    </row>
    <row r="37" spans="1:19" hidden="1">
      <c r="A37" s="29" t="s">
        <v>366</v>
      </c>
      <c r="B37" s="29"/>
      <c r="C37" s="29">
        <v>37508534</v>
      </c>
      <c r="G37" s="29" t="s">
        <v>823</v>
      </c>
      <c r="H37" s="29" t="s">
        <v>367</v>
      </c>
      <c r="I37" s="120">
        <v>45693</v>
      </c>
      <c r="J37" s="29"/>
      <c r="K37" s="29"/>
      <c r="L37" s="29"/>
      <c r="M37" s="29"/>
      <c r="N37" s="29"/>
      <c r="O37" s="29"/>
      <c r="P37" s="29"/>
      <c r="Q37" s="81"/>
      <c r="R37" s="29" t="s">
        <v>479</v>
      </c>
      <c r="S37" s="123"/>
    </row>
    <row r="38" spans="1:19" hidden="1">
      <c r="A38" s="29" t="s">
        <v>366</v>
      </c>
      <c r="B38" s="29"/>
      <c r="C38" s="29">
        <v>37508555</v>
      </c>
      <c r="G38" s="29" t="s">
        <v>823</v>
      </c>
      <c r="H38" s="29" t="s">
        <v>367</v>
      </c>
      <c r="I38" s="120">
        <v>45693</v>
      </c>
      <c r="J38" s="29"/>
      <c r="K38" s="29"/>
      <c r="L38" s="29"/>
      <c r="M38" s="29"/>
      <c r="N38" s="29"/>
      <c r="O38" s="29"/>
      <c r="P38" s="29"/>
      <c r="Q38" s="81"/>
      <c r="R38" s="29" t="s">
        <v>478</v>
      </c>
      <c r="S38" s="123"/>
    </row>
    <row r="39" spans="1:19" hidden="1">
      <c r="A39" s="29" t="s">
        <v>366</v>
      </c>
      <c r="B39" s="29"/>
      <c r="C39" s="29">
        <v>37508444</v>
      </c>
      <c r="G39" s="29" t="s">
        <v>823</v>
      </c>
      <c r="H39" s="29" t="s">
        <v>367</v>
      </c>
      <c r="I39" s="120">
        <v>45693</v>
      </c>
      <c r="J39" s="29"/>
      <c r="K39" s="29"/>
      <c r="L39" s="29"/>
      <c r="M39" s="29"/>
      <c r="N39" s="29"/>
      <c r="O39" s="29"/>
      <c r="P39" s="29"/>
      <c r="Q39" s="81"/>
      <c r="R39" s="29" t="s">
        <v>481</v>
      </c>
      <c r="S39" s="123"/>
    </row>
    <row r="40" spans="1:19" hidden="1">
      <c r="A40" s="29" t="s">
        <v>366</v>
      </c>
      <c r="B40" s="29"/>
      <c r="C40" s="29">
        <v>37508509</v>
      </c>
      <c r="G40" s="29" t="s">
        <v>823</v>
      </c>
      <c r="H40" s="29" t="s">
        <v>367</v>
      </c>
      <c r="I40" s="120">
        <v>45693</v>
      </c>
      <c r="J40" s="29"/>
      <c r="K40" s="29"/>
      <c r="L40" s="29"/>
      <c r="M40" s="29"/>
      <c r="N40" s="29"/>
      <c r="O40" s="29"/>
      <c r="P40" s="29"/>
      <c r="Q40" s="81"/>
      <c r="R40" s="29" t="s">
        <v>480</v>
      </c>
      <c r="S40" s="123"/>
    </row>
    <row r="41" spans="1:19" hidden="1">
      <c r="A41" s="29" t="s">
        <v>366</v>
      </c>
      <c r="B41" s="29"/>
      <c r="C41" s="29">
        <v>37508419</v>
      </c>
      <c r="G41" s="29" t="s">
        <v>823</v>
      </c>
      <c r="H41" s="29" t="s">
        <v>367</v>
      </c>
      <c r="I41" s="120">
        <v>45693</v>
      </c>
      <c r="J41" s="29"/>
      <c r="K41" s="29"/>
      <c r="L41" s="29"/>
      <c r="M41" s="29"/>
      <c r="N41" s="29"/>
      <c r="O41" s="29"/>
      <c r="P41" s="29"/>
      <c r="Q41" s="81"/>
      <c r="R41" s="29" t="s">
        <v>482</v>
      </c>
      <c r="S41" s="123"/>
    </row>
    <row r="42" spans="1:19" hidden="1">
      <c r="A42" s="29" t="s">
        <v>366</v>
      </c>
      <c r="B42" s="29"/>
      <c r="C42" s="29">
        <v>37508391</v>
      </c>
      <c r="G42" s="29" t="s">
        <v>823</v>
      </c>
      <c r="H42" s="29" t="s">
        <v>367</v>
      </c>
      <c r="I42" s="120">
        <v>45693</v>
      </c>
      <c r="J42" s="29"/>
      <c r="K42" s="29"/>
      <c r="L42" s="29"/>
      <c r="M42" s="29"/>
      <c r="N42" s="29"/>
      <c r="O42" s="29"/>
      <c r="P42" s="29"/>
      <c r="Q42" s="81"/>
      <c r="R42" s="29" t="s">
        <v>483</v>
      </c>
      <c r="S42" s="123"/>
    </row>
    <row r="43" spans="1:19" hidden="1">
      <c r="A43" s="29" t="s">
        <v>366</v>
      </c>
      <c r="B43" s="29"/>
      <c r="C43" s="29">
        <v>37508358</v>
      </c>
      <c r="G43" s="29" t="s">
        <v>823</v>
      </c>
      <c r="H43" s="29" t="s">
        <v>367</v>
      </c>
      <c r="I43" s="120">
        <v>45693</v>
      </c>
      <c r="J43" s="29"/>
      <c r="K43" s="29"/>
      <c r="L43" s="29"/>
      <c r="M43" s="29"/>
      <c r="N43" s="29"/>
      <c r="O43" s="29"/>
      <c r="P43" s="29"/>
      <c r="Q43" s="81"/>
      <c r="R43" s="29" t="s">
        <v>484</v>
      </c>
      <c r="S43" s="123"/>
    </row>
    <row r="44" spans="1:19" hidden="1">
      <c r="A44" s="29" t="s">
        <v>366</v>
      </c>
      <c r="B44" s="29"/>
      <c r="C44" s="29">
        <v>36500028</v>
      </c>
      <c r="G44" s="29" t="s">
        <v>823</v>
      </c>
      <c r="H44" s="29" t="s">
        <v>367</v>
      </c>
      <c r="I44" s="120">
        <v>45692</v>
      </c>
      <c r="J44" s="29"/>
      <c r="K44" s="29"/>
      <c r="L44" s="29"/>
      <c r="M44" s="29"/>
      <c r="N44" s="29"/>
      <c r="O44" s="29"/>
      <c r="P44" s="29"/>
      <c r="Q44" s="81"/>
      <c r="R44" s="29" t="s">
        <v>373</v>
      </c>
      <c r="S44" s="123"/>
    </row>
    <row r="45" spans="1:19" hidden="1">
      <c r="A45" s="29" t="s">
        <v>366</v>
      </c>
      <c r="B45" s="29"/>
      <c r="C45" s="29">
        <v>36500027</v>
      </c>
      <c r="G45" s="29" t="s">
        <v>823</v>
      </c>
      <c r="H45" s="29" t="s">
        <v>367</v>
      </c>
      <c r="I45" s="120">
        <v>45692</v>
      </c>
      <c r="J45" s="29"/>
      <c r="K45" s="29"/>
      <c r="L45" s="29"/>
      <c r="M45" s="29"/>
      <c r="N45" s="29"/>
      <c r="O45" s="29"/>
      <c r="P45" s="29"/>
      <c r="Q45" s="81"/>
      <c r="R45" s="29" t="s">
        <v>374</v>
      </c>
      <c r="S45" s="123"/>
    </row>
    <row r="46" spans="1:19" hidden="1">
      <c r="A46" s="29" t="s">
        <v>366</v>
      </c>
      <c r="B46" s="29"/>
      <c r="C46" s="29">
        <v>36500026</v>
      </c>
      <c r="G46" s="29" t="s">
        <v>823</v>
      </c>
      <c r="H46" s="29" t="s">
        <v>367</v>
      </c>
      <c r="I46" s="120">
        <v>45692</v>
      </c>
      <c r="J46" s="29"/>
      <c r="K46" s="29"/>
      <c r="L46" s="29"/>
      <c r="M46" s="29"/>
      <c r="N46" s="29"/>
      <c r="O46" s="29"/>
      <c r="P46" s="29"/>
      <c r="Q46" s="81"/>
      <c r="R46" s="29" t="s">
        <v>375</v>
      </c>
      <c r="S46" s="123"/>
    </row>
    <row r="47" spans="1:19" hidden="1">
      <c r="A47" s="29" t="s">
        <v>366</v>
      </c>
      <c r="B47" s="29"/>
      <c r="C47" s="29">
        <v>36500024</v>
      </c>
      <c r="G47" s="29" t="s">
        <v>823</v>
      </c>
      <c r="H47" s="29" t="s">
        <v>367</v>
      </c>
      <c r="I47" s="120">
        <v>45692</v>
      </c>
      <c r="J47" s="29"/>
      <c r="K47" s="29"/>
      <c r="L47" s="29"/>
      <c r="M47" s="29"/>
      <c r="N47" s="29"/>
      <c r="O47" s="29"/>
      <c r="P47" s="29"/>
      <c r="Q47" s="81"/>
      <c r="R47" s="29" t="s">
        <v>376</v>
      </c>
      <c r="S47" s="123"/>
    </row>
    <row r="48" spans="1:19" hidden="1">
      <c r="A48" s="29" t="s">
        <v>366</v>
      </c>
      <c r="B48" s="29"/>
      <c r="C48" s="29">
        <v>36500023</v>
      </c>
      <c r="G48" s="29" t="s">
        <v>823</v>
      </c>
      <c r="H48" s="29" t="s">
        <v>367</v>
      </c>
      <c r="I48" s="120">
        <v>45692</v>
      </c>
      <c r="J48" s="29"/>
      <c r="K48" s="29"/>
      <c r="L48" s="29"/>
      <c r="M48" s="29"/>
      <c r="N48" s="29"/>
      <c r="O48" s="29"/>
      <c r="P48" s="29"/>
      <c r="Q48" s="81"/>
      <c r="R48" s="29" t="s">
        <v>377</v>
      </c>
      <c r="S48" s="123"/>
    </row>
    <row r="49" spans="1:19" hidden="1">
      <c r="A49" s="29" t="s">
        <v>366</v>
      </c>
      <c r="B49" s="29"/>
      <c r="C49" s="29">
        <v>36500022</v>
      </c>
      <c r="G49" s="29" t="s">
        <v>823</v>
      </c>
      <c r="H49" s="29" t="s">
        <v>367</v>
      </c>
      <c r="I49" s="120">
        <v>45692</v>
      </c>
      <c r="J49" s="29"/>
      <c r="K49" s="29"/>
      <c r="L49" s="29"/>
      <c r="M49" s="29"/>
      <c r="N49" s="29"/>
      <c r="O49" s="29"/>
      <c r="P49" s="29"/>
      <c r="Q49" s="81"/>
      <c r="R49" s="29" t="s">
        <v>378</v>
      </c>
      <c r="S49" s="123"/>
    </row>
    <row r="50" spans="1:19" hidden="1">
      <c r="A50" s="29" t="s">
        <v>366</v>
      </c>
      <c r="B50" s="29"/>
      <c r="C50" s="29">
        <v>36500021</v>
      </c>
      <c r="G50" s="29" t="s">
        <v>823</v>
      </c>
      <c r="H50" s="29" t="s">
        <v>367</v>
      </c>
      <c r="I50" s="120">
        <v>45692</v>
      </c>
      <c r="J50" s="29"/>
      <c r="K50" s="29"/>
      <c r="L50" s="29"/>
      <c r="M50" s="29"/>
      <c r="N50" s="29"/>
      <c r="O50" s="29"/>
      <c r="P50" s="29"/>
      <c r="Q50" s="81"/>
      <c r="R50" s="29" t="s">
        <v>372</v>
      </c>
      <c r="S50" s="123"/>
    </row>
    <row r="51" spans="1:19" hidden="1">
      <c r="A51" s="29" t="s">
        <v>366</v>
      </c>
      <c r="B51" s="29"/>
      <c r="C51" s="29">
        <v>36500020</v>
      </c>
      <c r="G51" s="29" t="s">
        <v>823</v>
      </c>
      <c r="H51" s="29" t="s">
        <v>367</v>
      </c>
      <c r="I51" s="120">
        <v>45692</v>
      </c>
      <c r="J51" s="29"/>
      <c r="K51" s="29"/>
      <c r="L51" s="29"/>
      <c r="M51" s="29"/>
      <c r="N51" s="29"/>
      <c r="O51" s="29"/>
      <c r="P51" s="29"/>
      <c r="Q51" s="81"/>
      <c r="R51" s="29" t="s">
        <v>371</v>
      </c>
      <c r="S51" s="123"/>
    </row>
    <row r="52" spans="1:19" hidden="1">
      <c r="A52" s="29" t="s">
        <v>366</v>
      </c>
      <c r="B52" s="29"/>
      <c r="C52" s="29">
        <v>41510494</v>
      </c>
      <c r="G52" s="29" t="s">
        <v>823</v>
      </c>
      <c r="H52" s="29" t="s">
        <v>367</v>
      </c>
      <c r="I52" s="120">
        <v>45694</v>
      </c>
      <c r="J52" s="29"/>
      <c r="K52" s="29"/>
      <c r="L52" s="29"/>
      <c r="M52" s="29"/>
      <c r="N52" s="29"/>
      <c r="O52" s="29"/>
      <c r="P52" s="29"/>
      <c r="Q52" s="81"/>
      <c r="R52" s="29" t="s">
        <v>446</v>
      </c>
      <c r="S52" s="123"/>
    </row>
    <row r="53" spans="1:19" hidden="1">
      <c r="A53" s="29" t="s">
        <v>366</v>
      </c>
      <c r="B53" s="29"/>
      <c r="C53" s="29">
        <v>41510481</v>
      </c>
      <c r="G53" s="29" t="s">
        <v>823</v>
      </c>
      <c r="H53" s="29" t="s">
        <v>367</v>
      </c>
      <c r="I53" s="120">
        <v>45694</v>
      </c>
      <c r="J53" s="29"/>
      <c r="K53" s="29"/>
      <c r="L53" s="29"/>
      <c r="M53" s="29"/>
      <c r="N53" s="29"/>
      <c r="O53" s="29"/>
      <c r="P53" s="29"/>
      <c r="Q53" s="81"/>
      <c r="R53" s="29" t="s">
        <v>447</v>
      </c>
      <c r="S53" s="123"/>
    </row>
    <row r="54" spans="1:19" hidden="1">
      <c r="A54" s="29" t="s">
        <v>366</v>
      </c>
      <c r="B54" s="29"/>
      <c r="C54" s="29">
        <v>41510470</v>
      </c>
      <c r="G54" s="29" t="s">
        <v>823</v>
      </c>
      <c r="H54" s="29" t="s">
        <v>367</v>
      </c>
      <c r="I54" s="120">
        <v>45694</v>
      </c>
      <c r="J54" s="29"/>
      <c r="K54" s="29"/>
      <c r="L54" s="29"/>
      <c r="M54" s="29"/>
      <c r="N54" s="29"/>
      <c r="O54" s="29"/>
      <c r="P54" s="29"/>
      <c r="Q54" s="81"/>
      <c r="R54" s="29" t="s">
        <v>448</v>
      </c>
      <c r="S54" s="123"/>
    </row>
    <row r="55" spans="1:19" hidden="1">
      <c r="A55" s="29" t="s">
        <v>366</v>
      </c>
      <c r="B55" s="29"/>
      <c r="C55" s="29">
        <v>41510452</v>
      </c>
      <c r="G55" s="29" t="s">
        <v>823</v>
      </c>
      <c r="H55" s="29" t="s">
        <v>367</v>
      </c>
      <c r="I55" s="120">
        <v>45694</v>
      </c>
      <c r="J55" s="29"/>
      <c r="K55" s="29"/>
      <c r="L55" s="29"/>
      <c r="M55" s="29"/>
      <c r="N55" s="29"/>
      <c r="O55" s="29"/>
      <c r="P55" s="29"/>
      <c r="Q55" s="81"/>
      <c r="R55" s="29" t="s">
        <v>449</v>
      </c>
      <c r="S55" s="123"/>
    </row>
    <row r="56" spans="1:19" hidden="1">
      <c r="A56" s="29" t="s">
        <v>366</v>
      </c>
      <c r="B56" s="29"/>
      <c r="C56" s="29">
        <v>41510441</v>
      </c>
      <c r="G56" s="29" t="s">
        <v>823</v>
      </c>
      <c r="H56" s="29" t="s">
        <v>367</v>
      </c>
      <c r="I56" s="120">
        <v>45694</v>
      </c>
      <c r="J56" s="29"/>
      <c r="K56" s="29"/>
      <c r="L56" s="29"/>
      <c r="M56" s="29"/>
      <c r="N56" s="29"/>
      <c r="O56" s="29"/>
      <c r="P56" s="29"/>
      <c r="Q56" s="81"/>
      <c r="R56" s="29" t="s">
        <v>450</v>
      </c>
      <c r="S56" s="123"/>
    </row>
    <row r="57" spans="1:19" hidden="1">
      <c r="A57" s="29" t="s">
        <v>366</v>
      </c>
      <c r="B57" s="29"/>
      <c r="C57" s="29">
        <v>41510437</v>
      </c>
      <c r="G57" s="29" t="s">
        <v>823</v>
      </c>
      <c r="H57" s="29" t="s">
        <v>367</v>
      </c>
      <c r="I57" s="120">
        <v>45694</v>
      </c>
      <c r="J57" s="29"/>
      <c r="K57" s="29"/>
      <c r="L57" s="29"/>
      <c r="M57" s="29"/>
      <c r="N57" s="29"/>
      <c r="O57" s="29"/>
      <c r="P57" s="29"/>
      <c r="Q57" s="81"/>
      <c r="R57" s="29" t="s">
        <v>451</v>
      </c>
      <c r="S57" s="123"/>
    </row>
    <row r="58" spans="1:19" hidden="1">
      <c r="A58" s="29" t="s">
        <v>366</v>
      </c>
      <c r="B58" s="29"/>
      <c r="C58" s="29">
        <v>41510416</v>
      </c>
      <c r="G58" s="29" t="s">
        <v>823</v>
      </c>
      <c r="H58" s="29" t="s">
        <v>367</v>
      </c>
      <c r="I58" s="120">
        <v>45694</v>
      </c>
      <c r="J58" s="29"/>
      <c r="K58" s="29"/>
      <c r="L58" s="29"/>
      <c r="M58" s="29"/>
      <c r="N58" s="29"/>
      <c r="O58" s="29"/>
      <c r="P58" s="29"/>
      <c r="Q58" s="81"/>
      <c r="R58" s="29" t="s">
        <v>452</v>
      </c>
      <c r="S58" s="123"/>
    </row>
    <row r="59" spans="1:19" hidden="1">
      <c r="A59" s="29" t="s">
        <v>366</v>
      </c>
      <c r="B59" s="29"/>
      <c r="C59" s="29">
        <v>41510403</v>
      </c>
      <c r="G59" s="29" t="s">
        <v>823</v>
      </c>
      <c r="H59" s="29" t="s">
        <v>367</v>
      </c>
      <c r="I59" s="120">
        <v>45694</v>
      </c>
      <c r="J59" s="29"/>
      <c r="K59" s="29"/>
      <c r="L59" s="29"/>
      <c r="M59" s="29"/>
      <c r="N59" s="29"/>
      <c r="O59" s="29"/>
      <c r="P59" s="29"/>
      <c r="Q59" s="81"/>
      <c r="R59" s="29" t="s">
        <v>453</v>
      </c>
      <c r="S59" s="123"/>
    </row>
    <row r="60" spans="1:19" hidden="1">
      <c r="A60" s="29" t="s">
        <v>366</v>
      </c>
      <c r="B60" s="29"/>
      <c r="C60" s="29">
        <v>41510390</v>
      </c>
      <c r="G60" s="29" t="s">
        <v>823</v>
      </c>
      <c r="H60" s="29" t="s">
        <v>367</v>
      </c>
      <c r="I60" s="120">
        <v>45694</v>
      </c>
      <c r="J60" s="29"/>
      <c r="K60" s="29"/>
      <c r="L60" s="29"/>
      <c r="M60" s="29"/>
      <c r="N60" s="29"/>
      <c r="O60" s="29"/>
      <c r="P60" s="29"/>
      <c r="Q60" s="81"/>
      <c r="R60" s="29" t="s">
        <v>454</v>
      </c>
      <c r="S60" s="123"/>
    </row>
    <row r="61" spans="1:19" hidden="1">
      <c r="A61" s="29" t="s">
        <v>366</v>
      </c>
      <c r="B61" s="29"/>
      <c r="C61" s="29">
        <v>41510380</v>
      </c>
      <c r="G61" s="29" t="s">
        <v>823</v>
      </c>
      <c r="H61" s="29" t="s">
        <v>367</v>
      </c>
      <c r="I61" s="120">
        <v>45694</v>
      </c>
      <c r="J61" s="29"/>
      <c r="K61" s="29"/>
      <c r="L61" s="29"/>
      <c r="M61" s="29"/>
      <c r="N61" s="29"/>
      <c r="O61" s="29"/>
      <c r="P61" s="29"/>
      <c r="Q61" s="81"/>
      <c r="R61" s="29" t="s">
        <v>455</v>
      </c>
      <c r="S61" s="123"/>
    </row>
    <row r="62" spans="1:19" hidden="1">
      <c r="A62" s="29" t="s">
        <v>366</v>
      </c>
      <c r="B62" s="29"/>
      <c r="C62" s="29">
        <v>41510370</v>
      </c>
      <c r="G62" s="29" t="s">
        <v>823</v>
      </c>
      <c r="H62" s="29" t="s">
        <v>367</v>
      </c>
      <c r="I62" s="120">
        <v>45694</v>
      </c>
      <c r="J62" s="29"/>
      <c r="K62" s="29"/>
      <c r="L62" s="29"/>
      <c r="M62" s="29"/>
      <c r="N62" s="29"/>
      <c r="O62" s="29"/>
      <c r="P62" s="29"/>
      <c r="Q62" s="81"/>
      <c r="R62" s="29" t="s">
        <v>456</v>
      </c>
      <c r="S62" s="123"/>
    </row>
    <row r="63" spans="1:19" hidden="1">
      <c r="A63" s="29" t="s">
        <v>366</v>
      </c>
      <c r="B63" s="29"/>
      <c r="C63" s="29">
        <v>41510351</v>
      </c>
      <c r="G63" s="29" t="s">
        <v>823</v>
      </c>
      <c r="H63" s="29" t="s">
        <v>367</v>
      </c>
      <c r="I63" s="120">
        <v>45694</v>
      </c>
      <c r="J63" s="29"/>
      <c r="K63" s="29"/>
      <c r="L63" s="29"/>
      <c r="M63" s="29"/>
      <c r="N63" s="29"/>
      <c r="O63" s="29"/>
      <c r="P63" s="29"/>
      <c r="Q63" s="81"/>
      <c r="R63" s="29" t="s">
        <v>457</v>
      </c>
      <c r="S63" s="123"/>
    </row>
    <row r="64" spans="1:19" hidden="1">
      <c r="A64" s="29" t="s">
        <v>366</v>
      </c>
      <c r="B64" s="29"/>
      <c r="C64" s="29">
        <v>41510329</v>
      </c>
      <c r="G64" s="29" t="s">
        <v>823</v>
      </c>
      <c r="H64" s="29" t="s">
        <v>367</v>
      </c>
      <c r="I64" s="120">
        <v>45694</v>
      </c>
      <c r="J64" s="29"/>
      <c r="K64" s="29"/>
      <c r="L64" s="29"/>
      <c r="M64" s="29"/>
      <c r="N64" s="29"/>
      <c r="O64" s="29"/>
      <c r="P64" s="29"/>
      <c r="Q64" s="81"/>
      <c r="R64" s="29" t="s">
        <v>458</v>
      </c>
      <c r="S64" s="123"/>
    </row>
    <row r="65" spans="1:19" hidden="1">
      <c r="A65" s="41" t="s">
        <v>366</v>
      </c>
      <c r="B65" s="41"/>
      <c r="C65" s="41">
        <v>36500020</v>
      </c>
      <c r="G65" s="84" t="s">
        <v>823</v>
      </c>
      <c r="H65" s="29" t="s">
        <v>367</v>
      </c>
      <c r="I65" s="42">
        <v>45693</v>
      </c>
      <c r="J65" s="29"/>
      <c r="K65" s="29"/>
      <c r="L65" s="29"/>
      <c r="M65" s="29"/>
      <c r="N65" s="29"/>
      <c r="O65" s="29"/>
      <c r="P65" s="29"/>
      <c r="Q65" s="81"/>
      <c r="R65" s="41" t="s">
        <v>824</v>
      </c>
      <c r="S65" s="123"/>
    </row>
    <row r="66" spans="1:19" hidden="1">
      <c r="A66" s="41" t="s">
        <v>366</v>
      </c>
      <c r="B66" s="41"/>
      <c r="C66" s="41">
        <v>36500021</v>
      </c>
      <c r="G66" s="84" t="s">
        <v>823</v>
      </c>
      <c r="H66" s="29" t="s">
        <v>367</v>
      </c>
      <c r="I66" s="42">
        <v>45693</v>
      </c>
      <c r="J66" s="29"/>
      <c r="K66" s="29"/>
      <c r="L66" s="29"/>
      <c r="M66" s="29"/>
      <c r="N66" s="29"/>
      <c r="O66" s="29"/>
      <c r="P66" s="29"/>
      <c r="Q66" s="81"/>
      <c r="R66" s="41" t="s">
        <v>825</v>
      </c>
      <c r="S66" s="123"/>
    </row>
    <row r="67" spans="1:19" hidden="1">
      <c r="A67" s="41" t="s">
        <v>366</v>
      </c>
      <c r="B67" s="41"/>
      <c r="C67" s="41">
        <v>36500022</v>
      </c>
      <c r="G67" s="84" t="s">
        <v>823</v>
      </c>
      <c r="H67" s="29" t="s">
        <v>367</v>
      </c>
      <c r="I67" s="42">
        <v>45693</v>
      </c>
      <c r="J67" s="29"/>
      <c r="K67" s="29"/>
      <c r="L67" s="29"/>
      <c r="M67" s="29"/>
      <c r="N67" s="29"/>
      <c r="O67" s="29"/>
      <c r="P67" s="29"/>
      <c r="Q67" s="81"/>
      <c r="R67" s="41" t="s">
        <v>826</v>
      </c>
      <c r="S67" s="123"/>
    </row>
    <row r="68" spans="1:19" hidden="1">
      <c r="A68" s="41" t="s">
        <v>366</v>
      </c>
      <c r="B68" s="41"/>
      <c r="C68" s="41">
        <v>36500023</v>
      </c>
      <c r="G68" s="84" t="s">
        <v>823</v>
      </c>
      <c r="H68" s="29" t="s">
        <v>367</v>
      </c>
      <c r="I68" s="42">
        <v>45693</v>
      </c>
      <c r="J68" s="29"/>
      <c r="K68" s="29"/>
      <c r="L68" s="29"/>
      <c r="M68" s="29"/>
      <c r="N68" s="29"/>
      <c r="O68" s="29"/>
      <c r="P68" s="29"/>
      <c r="Q68" s="81"/>
      <c r="R68" s="41" t="s">
        <v>827</v>
      </c>
      <c r="S68" s="123"/>
    </row>
    <row r="69" spans="1:19" hidden="1">
      <c r="A69" s="41" t="s">
        <v>366</v>
      </c>
      <c r="B69" s="41"/>
      <c r="C69" s="41">
        <v>36500024</v>
      </c>
      <c r="G69" s="84" t="s">
        <v>823</v>
      </c>
      <c r="H69" s="29" t="s">
        <v>367</v>
      </c>
      <c r="I69" s="42">
        <v>45693</v>
      </c>
      <c r="J69" s="29"/>
      <c r="K69" s="29"/>
      <c r="L69" s="29"/>
      <c r="M69" s="29"/>
      <c r="N69" s="29"/>
      <c r="O69" s="29"/>
      <c r="P69" s="29"/>
      <c r="Q69" s="81"/>
      <c r="R69" s="41" t="s">
        <v>828</v>
      </c>
      <c r="S69" s="123"/>
    </row>
    <row r="70" spans="1:19" hidden="1">
      <c r="A70" s="41" t="s">
        <v>366</v>
      </c>
      <c r="B70" s="41"/>
      <c r="C70" s="41">
        <v>36500026</v>
      </c>
      <c r="G70" s="84" t="s">
        <v>823</v>
      </c>
      <c r="H70" s="29" t="s">
        <v>367</v>
      </c>
      <c r="I70" s="42">
        <v>45693</v>
      </c>
      <c r="J70" s="29"/>
      <c r="K70" s="29"/>
      <c r="L70" s="29"/>
      <c r="M70" s="29"/>
      <c r="N70" s="29"/>
      <c r="O70" s="29"/>
      <c r="P70" s="29"/>
      <c r="Q70" s="81"/>
      <c r="R70" s="41" t="s">
        <v>829</v>
      </c>
      <c r="S70" s="123"/>
    </row>
    <row r="71" spans="1:19" hidden="1">
      <c r="A71" s="41" t="s">
        <v>366</v>
      </c>
      <c r="B71" s="41"/>
      <c r="C71" s="41">
        <v>36500027</v>
      </c>
      <c r="G71" s="84" t="s">
        <v>823</v>
      </c>
      <c r="H71" s="29" t="s">
        <v>367</v>
      </c>
      <c r="I71" s="42">
        <v>45693</v>
      </c>
      <c r="J71" s="29"/>
      <c r="K71" s="29"/>
      <c r="L71" s="29"/>
      <c r="M71" s="29"/>
      <c r="N71" s="29"/>
      <c r="O71" s="29"/>
      <c r="P71" s="29"/>
      <c r="Q71" s="81"/>
      <c r="R71" s="41" t="s">
        <v>830</v>
      </c>
      <c r="S71" s="123"/>
    </row>
    <row r="72" spans="1:19" hidden="1">
      <c r="A72" s="41" t="s">
        <v>366</v>
      </c>
      <c r="B72" s="41"/>
      <c r="C72" s="41">
        <v>36500028</v>
      </c>
      <c r="G72" s="84" t="s">
        <v>823</v>
      </c>
      <c r="H72" s="29" t="s">
        <v>367</v>
      </c>
      <c r="I72" s="42">
        <v>45693</v>
      </c>
      <c r="J72" s="29"/>
      <c r="K72" s="29"/>
      <c r="L72" s="29"/>
      <c r="M72" s="29"/>
      <c r="N72" s="29"/>
      <c r="O72" s="29"/>
      <c r="P72" s="29"/>
      <c r="Q72" s="81"/>
      <c r="R72" s="41" t="s">
        <v>831</v>
      </c>
      <c r="S72" s="123"/>
    </row>
    <row r="73" spans="1:19" hidden="1">
      <c r="A73" s="41" t="s">
        <v>366</v>
      </c>
      <c r="B73" s="41"/>
      <c r="C73" s="41">
        <v>38506867</v>
      </c>
      <c r="G73" s="84" t="s">
        <v>823</v>
      </c>
      <c r="H73" s="29" t="s">
        <v>367</v>
      </c>
      <c r="I73" s="42">
        <v>45695</v>
      </c>
      <c r="J73" s="29"/>
      <c r="K73" s="29"/>
      <c r="L73" s="29"/>
      <c r="M73" s="29"/>
      <c r="N73" s="29"/>
      <c r="O73" s="29"/>
      <c r="P73" s="29"/>
      <c r="Q73" s="81"/>
      <c r="R73" s="41" t="s">
        <v>832</v>
      </c>
      <c r="S73" s="123"/>
    </row>
    <row r="74" spans="1:19" hidden="1">
      <c r="A74" s="41" t="s">
        <v>366</v>
      </c>
      <c r="B74" s="41"/>
      <c r="C74" s="41">
        <v>38506877</v>
      </c>
      <c r="G74" s="84" t="s">
        <v>823</v>
      </c>
      <c r="H74" s="29" t="s">
        <v>367</v>
      </c>
      <c r="I74" s="42">
        <v>45695</v>
      </c>
      <c r="J74" s="29"/>
      <c r="K74" s="29"/>
      <c r="L74" s="29"/>
      <c r="M74" s="29"/>
      <c r="N74" s="29"/>
      <c r="O74" s="29"/>
      <c r="P74" s="29"/>
      <c r="Q74" s="81"/>
      <c r="R74" s="41" t="s">
        <v>833</v>
      </c>
      <c r="S74" s="123"/>
    </row>
    <row r="75" spans="1:19" hidden="1">
      <c r="A75" s="41" t="s">
        <v>366</v>
      </c>
      <c r="B75" s="41"/>
      <c r="C75" s="41">
        <v>3506891</v>
      </c>
      <c r="G75" s="84" t="s">
        <v>823</v>
      </c>
      <c r="H75" s="29" t="s">
        <v>367</v>
      </c>
      <c r="I75" s="42">
        <v>45695</v>
      </c>
      <c r="J75" s="29"/>
      <c r="K75" s="29"/>
      <c r="L75" s="29"/>
      <c r="M75" s="29"/>
      <c r="N75" s="29"/>
      <c r="O75" s="29"/>
      <c r="P75" s="29"/>
      <c r="Q75" s="81"/>
      <c r="R75" s="41" t="s">
        <v>603</v>
      </c>
      <c r="S75" s="123"/>
    </row>
    <row r="76" spans="1:19" hidden="1">
      <c r="A76" s="41" t="s">
        <v>366</v>
      </c>
      <c r="B76" s="41"/>
      <c r="C76" s="41">
        <v>35506896</v>
      </c>
      <c r="G76" s="84" t="s">
        <v>823</v>
      </c>
      <c r="H76" s="29" t="s">
        <v>367</v>
      </c>
      <c r="I76" s="42">
        <v>45695</v>
      </c>
      <c r="J76" s="29"/>
      <c r="K76" s="29"/>
      <c r="L76" s="29"/>
      <c r="M76" s="29"/>
      <c r="N76" s="29"/>
      <c r="O76" s="29"/>
      <c r="P76" s="29"/>
      <c r="Q76" s="81"/>
      <c r="R76" s="41" t="s">
        <v>604</v>
      </c>
      <c r="S76" s="123"/>
    </row>
    <row r="77" spans="1:19" hidden="1">
      <c r="A77" s="41" t="s">
        <v>366</v>
      </c>
      <c r="B77" s="41"/>
      <c r="C77" s="41">
        <v>37508488</v>
      </c>
      <c r="G77" s="84" t="s">
        <v>823</v>
      </c>
      <c r="H77" s="29" t="s">
        <v>367</v>
      </c>
      <c r="I77" s="42">
        <v>45694</v>
      </c>
      <c r="J77" s="29"/>
      <c r="K77" s="29"/>
      <c r="L77" s="29"/>
      <c r="M77" s="29"/>
      <c r="N77" s="29"/>
      <c r="O77" s="29"/>
      <c r="P77" s="29"/>
      <c r="Q77" s="81"/>
      <c r="R77" s="41" t="s">
        <v>834</v>
      </c>
      <c r="S77" s="123"/>
    </row>
    <row r="78" spans="1:19" hidden="1">
      <c r="A78" s="41" t="s">
        <v>366</v>
      </c>
      <c r="B78" s="41"/>
      <c r="C78" s="41">
        <v>38506900</v>
      </c>
      <c r="G78" s="84" t="s">
        <v>823</v>
      </c>
      <c r="H78" s="29" t="s">
        <v>367</v>
      </c>
      <c r="I78" s="42">
        <v>45695</v>
      </c>
      <c r="J78" s="29"/>
      <c r="K78" s="29"/>
      <c r="L78" s="29"/>
      <c r="M78" s="29"/>
      <c r="N78" s="29"/>
      <c r="O78" s="29"/>
      <c r="P78" s="29"/>
      <c r="Q78" s="81"/>
      <c r="R78" s="41" t="s">
        <v>835</v>
      </c>
      <c r="S78" s="123"/>
    </row>
    <row r="79" spans="1:19" hidden="1">
      <c r="A79" s="41" t="s">
        <v>366</v>
      </c>
      <c r="B79" s="41"/>
      <c r="C79" s="41">
        <v>38506904</v>
      </c>
      <c r="G79" s="84" t="s">
        <v>823</v>
      </c>
      <c r="H79" s="29" t="s">
        <v>367</v>
      </c>
      <c r="I79" s="42">
        <v>45695</v>
      </c>
      <c r="J79" s="29"/>
      <c r="K79" s="29"/>
      <c r="L79" s="29"/>
      <c r="M79" s="29"/>
      <c r="N79" s="29"/>
      <c r="O79" s="29"/>
      <c r="P79" s="29"/>
      <c r="Q79" s="81"/>
      <c r="R79" s="41" t="s">
        <v>836</v>
      </c>
      <c r="S79" s="123"/>
    </row>
    <row r="80" spans="1:19" hidden="1">
      <c r="A80" s="41" t="s">
        <v>366</v>
      </c>
      <c r="B80" s="41"/>
      <c r="C80" s="41">
        <v>38506907</v>
      </c>
      <c r="G80" s="84" t="s">
        <v>823</v>
      </c>
      <c r="H80" s="29" t="s">
        <v>367</v>
      </c>
      <c r="I80" s="42">
        <v>45695</v>
      </c>
      <c r="J80" s="29"/>
      <c r="K80" s="29"/>
      <c r="L80" s="29"/>
      <c r="M80" s="29"/>
      <c r="N80" s="29"/>
      <c r="O80" s="29"/>
      <c r="P80" s="29"/>
      <c r="Q80" s="81"/>
      <c r="R80" s="41" t="s">
        <v>837</v>
      </c>
      <c r="S80" s="123"/>
    </row>
    <row r="81" spans="1:19" hidden="1">
      <c r="A81" s="41" t="s">
        <v>366</v>
      </c>
      <c r="B81" s="41"/>
      <c r="C81" s="41">
        <v>37508574</v>
      </c>
      <c r="G81" s="84" t="s">
        <v>823</v>
      </c>
      <c r="H81" s="29" t="s">
        <v>367</v>
      </c>
      <c r="I81" s="42">
        <v>45695</v>
      </c>
      <c r="J81" s="29"/>
      <c r="K81" s="29"/>
      <c r="L81" s="29"/>
      <c r="M81" s="29"/>
      <c r="N81" s="29"/>
      <c r="O81" s="29"/>
      <c r="P81" s="29"/>
      <c r="Q81" s="81"/>
      <c r="R81" s="41" t="s">
        <v>838</v>
      </c>
      <c r="S81" s="123"/>
    </row>
    <row r="82" spans="1:19" hidden="1">
      <c r="A82" s="41" t="s">
        <v>366</v>
      </c>
      <c r="B82" s="41"/>
      <c r="C82" s="41">
        <v>38506910</v>
      </c>
      <c r="G82" s="84" t="s">
        <v>823</v>
      </c>
      <c r="H82" s="29" t="s">
        <v>367</v>
      </c>
      <c r="I82" s="42">
        <v>45695</v>
      </c>
      <c r="J82" s="29"/>
      <c r="K82" s="29"/>
      <c r="L82" s="29"/>
      <c r="M82" s="29"/>
      <c r="N82" s="29"/>
      <c r="O82" s="29"/>
      <c r="P82" s="29"/>
      <c r="Q82" s="81"/>
      <c r="R82" s="41" t="s">
        <v>839</v>
      </c>
      <c r="S82" s="123"/>
    </row>
    <row r="83" spans="1:19" hidden="1">
      <c r="A83" s="41" t="s">
        <v>366</v>
      </c>
      <c r="B83" s="41"/>
      <c r="C83" s="41">
        <v>38506913</v>
      </c>
      <c r="G83" s="84" t="s">
        <v>823</v>
      </c>
      <c r="H83" s="29" t="s">
        <v>367</v>
      </c>
      <c r="I83" s="42">
        <v>45695</v>
      </c>
      <c r="J83" s="29"/>
      <c r="K83" s="29"/>
      <c r="L83" s="29"/>
      <c r="M83" s="29"/>
      <c r="N83" s="29"/>
      <c r="O83" s="29"/>
      <c r="P83" s="29"/>
      <c r="Q83" s="81"/>
      <c r="R83" s="41" t="s">
        <v>840</v>
      </c>
      <c r="S83" s="123"/>
    </row>
    <row r="84" spans="1:19" hidden="1">
      <c r="A84" s="41" t="s">
        <v>366</v>
      </c>
      <c r="B84" s="41"/>
      <c r="C84" s="41">
        <v>41510329</v>
      </c>
      <c r="G84" s="84" t="s">
        <v>823</v>
      </c>
      <c r="H84" s="29" t="s">
        <v>367</v>
      </c>
      <c r="I84" s="42">
        <v>45698</v>
      </c>
      <c r="J84" s="29"/>
      <c r="K84" s="29"/>
      <c r="L84" s="29"/>
      <c r="M84" s="29"/>
      <c r="N84" s="29"/>
      <c r="O84" s="29"/>
      <c r="P84" s="29"/>
      <c r="Q84" s="81"/>
      <c r="R84" s="41" t="s">
        <v>841</v>
      </c>
      <c r="S84" s="123"/>
    </row>
    <row r="85" spans="1:19" hidden="1">
      <c r="A85" s="41" t="s">
        <v>366</v>
      </c>
      <c r="B85" s="41"/>
      <c r="C85" s="41">
        <v>41510351</v>
      </c>
      <c r="G85" s="84" t="s">
        <v>823</v>
      </c>
      <c r="H85" s="29" t="s">
        <v>367</v>
      </c>
      <c r="I85" s="42">
        <v>45698</v>
      </c>
      <c r="J85" s="29"/>
      <c r="K85" s="29"/>
      <c r="L85" s="29"/>
      <c r="M85" s="29"/>
      <c r="N85" s="29"/>
      <c r="O85" s="29"/>
      <c r="P85" s="29"/>
      <c r="Q85" s="81"/>
      <c r="R85" s="41" t="s">
        <v>842</v>
      </c>
      <c r="S85" s="123"/>
    </row>
    <row r="86" spans="1:19" hidden="1">
      <c r="A86" s="41" t="s">
        <v>366</v>
      </c>
      <c r="B86" s="41"/>
      <c r="C86" s="41">
        <v>41510370</v>
      </c>
      <c r="G86" s="84" t="s">
        <v>823</v>
      </c>
      <c r="H86" s="29" t="s">
        <v>367</v>
      </c>
      <c r="I86" s="42">
        <v>45698</v>
      </c>
      <c r="J86" s="29"/>
      <c r="K86" s="29"/>
      <c r="L86" s="29"/>
      <c r="M86" s="29"/>
      <c r="N86" s="29"/>
      <c r="O86" s="29"/>
      <c r="P86" s="29"/>
      <c r="Q86" s="81"/>
      <c r="R86" s="41" t="s">
        <v>843</v>
      </c>
      <c r="S86" s="123"/>
    </row>
    <row r="87" spans="1:19" hidden="1">
      <c r="A87" s="41" t="s">
        <v>366</v>
      </c>
      <c r="B87" s="41"/>
      <c r="C87" s="41">
        <v>41510380</v>
      </c>
      <c r="G87" s="84" t="s">
        <v>823</v>
      </c>
      <c r="H87" s="29" t="s">
        <v>367</v>
      </c>
      <c r="I87" s="42">
        <v>45698</v>
      </c>
      <c r="J87" s="29"/>
      <c r="K87" s="29"/>
      <c r="L87" s="29"/>
      <c r="M87" s="29"/>
      <c r="N87" s="29"/>
      <c r="O87" s="29"/>
      <c r="P87" s="29"/>
      <c r="Q87" s="81"/>
      <c r="R87" s="41" t="s">
        <v>844</v>
      </c>
      <c r="S87" s="123"/>
    </row>
    <row r="88" spans="1:19" hidden="1">
      <c r="A88" s="41" t="s">
        <v>366</v>
      </c>
      <c r="B88" s="41"/>
      <c r="C88" s="41">
        <v>41510390</v>
      </c>
      <c r="G88" s="84" t="s">
        <v>823</v>
      </c>
      <c r="H88" s="29" t="s">
        <v>367</v>
      </c>
      <c r="I88" s="42">
        <v>45698</v>
      </c>
      <c r="J88" s="29"/>
      <c r="K88" s="29"/>
      <c r="L88" s="29"/>
      <c r="M88" s="29"/>
      <c r="N88" s="29"/>
      <c r="O88" s="29"/>
      <c r="P88" s="29"/>
      <c r="Q88" s="81"/>
      <c r="R88" s="41" t="s">
        <v>845</v>
      </c>
      <c r="S88" s="123"/>
    </row>
    <row r="89" spans="1:19" hidden="1">
      <c r="A89" s="41" t="s">
        <v>366</v>
      </c>
      <c r="B89" s="41"/>
      <c r="C89" s="41">
        <v>41510403</v>
      </c>
      <c r="G89" s="84" t="s">
        <v>823</v>
      </c>
      <c r="H89" s="29" t="s">
        <v>367</v>
      </c>
      <c r="I89" s="42">
        <v>45698</v>
      </c>
      <c r="J89" s="29"/>
      <c r="K89" s="29"/>
      <c r="L89" s="29"/>
      <c r="M89" s="29"/>
      <c r="N89" s="29"/>
      <c r="O89" s="29"/>
      <c r="P89" s="29"/>
      <c r="Q89" s="81"/>
      <c r="R89" s="41" t="s">
        <v>846</v>
      </c>
      <c r="S89" s="123"/>
    </row>
    <row r="90" spans="1:19" hidden="1">
      <c r="A90" s="41" t="s">
        <v>366</v>
      </c>
      <c r="B90" s="41"/>
      <c r="C90" s="41">
        <v>41510416</v>
      </c>
      <c r="G90" s="84" t="s">
        <v>823</v>
      </c>
      <c r="H90" s="29" t="s">
        <v>367</v>
      </c>
      <c r="I90" s="42">
        <v>45698</v>
      </c>
      <c r="J90" s="29"/>
      <c r="K90" s="29"/>
      <c r="L90" s="29"/>
      <c r="M90" s="29"/>
      <c r="N90" s="29"/>
      <c r="O90" s="29"/>
      <c r="P90" s="29"/>
      <c r="Q90" s="81"/>
      <c r="R90" s="41" t="s">
        <v>847</v>
      </c>
      <c r="S90" s="123"/>
    </row>
    <row r="91" spans="1:19" hidden="1">
      <c r="A91" s="41" t="s">
        <v>366</v>
      </c>
      <c r="B91" s="41"/>
      <c r="C91" s="41">
        <v>41510437</v>
      </c>
      <c r="G91" s="84" t="s">
        <v>823</v>
      </c>
      <c r="H91" s="29" t="s">
        <v>367</v>
      </c>
      <c r="I91" s="42">
        <v>45698</v>
      </c>
      <c r="J91" s="29"/>
      <c r="K91" s="29"/>
      <c r="L91" s="29"/>
      <c r="M91" s="29"/>
      <c r="N91" s="29"/>
      <c r="O91" s="29"/>
      <c r="P91" s="29"/>
      <c r="Q91" s="81"/>
      <c r="R91" s="41" t="s">
        <v>848</v>
      </c>
      <c r="S91" s="123"/>
    </row>
    <row r="92" spans="1:19" hidden="1">
      <c r="A92" s="41" t="s">
        <v>366</v>
      </c>
      <c r="B92" s="41"/>
      <c r="C92" s="41">
        <v>41510441</v>
      </c>
      <c r="G92" s="84" t="s">
        <v>823</v>
      </c>
      <c r="H92" s="29" t="s">
        <v>367</v>
      </c>
      <c r="I92" s="42">
        <v>45698</v>
      </c>
      <c r="J92" s="29"/>
      <c r="K92" s="29"/>
      <c r="L92" s="29"/>
      <c r="M92" s="29"/>
      <c r="N92" s="29"/>
      <c r="O92" s="29"/>
      <c r="P92" s="29"/>
      <c r="Q92" s="81"/>
      <c r="R92" s="41" t="s">
        <v>849</v>
      </c>
      <c r="S92" s="123"/>
    </row>
    <row r="93" spans="1:19" hidden="1">
      <c r="A93" s="41" t="s">
        <v>366</v>
      </c>
      <c r="B93" s="41"/>
      <c r="C93" s="41">
        <v>41510452</v>
      </c>
      <c r="G93" s="84" t="s">
        <v>823</v>
      </c>
      <c r="H93" s="29" t="s">
        <v>367</v>
      </c>
      <c r="I93" s="42">
        <v>45698</v>
      </c>
      <c r="J93" s="29"/>
      <c r="K93" s="29"/>
      <c r="L93" s="29"/>
      <c r="M93" s="29"/>
      <c r="N93" s="29"/>
      <c r="O93" s="29"/>
      <c r="P93" s="29"/>
      <c r="Q93" s="81"/>
      <c r="R93" s="41" t="s">
        <v>850</v>
      </c>
      <c r="S93" s="123"/>
    </row>
    <row r="94" spans="1:19" hidden="1">
      <c r="A94" s="41" t="s">
        <v>366</v>
      </c>
      <c r="B94" s="41"/>
      <c r="C94" s="41">
        <v>41510470</v>
      </c>
      <c r="G94" s="84" t="s">
        <v>823</v>
      </c>
      <c r="H94" s="29" t="s">
        <v>367</v>
      </c>
      <c r="I94" s="42">
        <v>45698</v>
      </c>
      <c r="J94" s="29"/>
      <c r="K94" s="29"/>
      <c r="L94" s="29"/>
      <c r="M94" s="29"/>
      <c r="N94" s="29"/>
      <c r="O94" s="29"/>
      <c r="P94" s="29"/>
      <c r="Q94" s="81"/>
      <c r="R94" s="41" t="s">
        <v>851</v>
      </c>
      <c r="S94" s="123"/>
    </row>
    <row r="95" spans="1:19" hidden="1">
      <c r="A95" s="41" t="s">
        <v>366</v>
      </c>
      <c r="B95" s="41"/>
      <c r="C95" s="41">
        <v>41510481</v>
      </c>
      <c r="G95" s="84" t="s">
        <v>823</v>
      </c>
      <c r="H95" s="29" t="s">
        <v>367</v>
      </c>
      <c r="I95" s="42">
        <v>45698</v>
      </c>
      <c r="J95" s="29"/>
      <c r="K95" s="29"/>
      <c r="L95" s="29"/>
      <c r="M95" s="29"/>
      <c r="N95" s="29"/>
      <c r="O95" s="29"/>
      <c r="P95" s="29"/>
      <c r="Q95" s="81"/>
      <c r="R95" s="41" t="s">
        <v>852</v>
      </c>
      <c r="S95" s="123"/>
    </row>
    <row r="96" spans="1:19" hidden="1">
      <c r="A96" s="41" t="s">
        <v>366</v>
      </c>
      <c r="B96" s="41"/>
      <c r="C96" s="41">
        <v>41510494</v>
      </c>
      <c r="G96" s="84" t="s">
        <v>823</v>
      </c>
      <c r="H96" s="29" t="s">
        <v>367</v>
      </c>
      <c r="I96" s="42">
        <v>45698</v>
      </c>
      <c r="J96" s="29"/>
      <c r="K96" s="29"/>
      <c r="L96" s="29"/>
      <c r="M96" s="29"/>
      <c r="N96" s="29"/>
      <c r="O96" s="29"/>
      <c r="P96" s="29"/>
      <c r="Q96" s="81"/>
      <c r="R96" s="41" t="s">
        <v>853</v>
      </c>
      <c r="S96" s="123"/>
    </row>
    <row r="97" spans="1:19" hidden="1">
      <c r="A97" s="29" t="s">
        <v>366</v>
      </c>
      <c r="B97" s="29"/>
      <c r="C97" s="29">
        <v>38506913</v>
      </c>
      <c r="G97" s="29" t="s">
        <v>823</v>
      </c>
      <c r="H97" s="29" t="s">
        <v>367</v>
      </c>
      <c r="I97" s="120">
        <v>45694</v>
      </c>
      <c r="J97" s="29"/>
      <c r="K97" s="29"/>
      <c r="L97" s="29"/>
      <c r="M97" s="29"/>
      <c r="N97" s="29"/>
      <c r="O97" s="29"/>
      <c r="P97" s="29"/>
      <c r="Q97" s="81"/>
      <c r="R97" s="29" t="s">
        <v>368</v>
      </c>
      <c r="S97" s="123"/>
    </row>
    <row r="98" spans="1:19" hidden="1">
      <c r="A98" s="29" t="s">
        <v>366</v>
      </c>
      <c r="B98" s="29"/>
      <c r="C98" s="29">
        <v>38506910</v>
      </c>
      <c r="G98" s="29" t="s">
        <v>823</v>
      </c>
      <c r="H98" s="29" t="s">
        <v>367</v>
      </c>
      <c r="I98" s="120">
        <v>45694</v>
      </c>
      <c r="J98" s="29"/>
      <c r="K98" s="29"/>
      <c r="L98" s="29"/>
      <c r="M98" s="29"/>
      <c r="N98" s="29"/>
      <c r="O98" s="29"/>
      <c r="P98" s="29"/>
      <c r="Q98" s="81"/>
      <c r="R98" s="29" t="s">
        <v>477</v>
      </c>
      <c r="S98" s="123"/>
    </row>
    <row r="99" spans="1:19" hidden="1">
      <c r="A99" s="29" t="s">
        <v>366</v>
      </c>
      <c r="B99" s="29"/>
      <c r="C99" s="29">
        <v>38506907</v>
      </c>
      <c r="G99" s="29" t="s">
        <v>823</v>
      </c>
      <c r="H99" s="29" t="s">
        <v>367</v>
      </c>
      <c r="I99" s="120">
        <v>45694</v>
      </c>
      <c r="J99" s="29"/>
      <c r="K99" s="29"/>
      <c r="L99" s="29"/>
      <c r="M99" s="29"/>
      <c r="N99" s="29"/>
      <c r="O99" s="29"/>
      <c r="P99" s="29"/>
      <c r="Q99" s="81"/>
      <c r="R99" s="29" t="s">
        <v>478</v>
      </c>
      <c r="S99" s="123"/>
    </row>
    <row r="100" spans="1:19" hidden="1">
      <c r="A100" s="29" t="s">
        <v>366</v>
      </c>
      <c r="B100" s="29"/>
      <c r="C100" s="29">
        <v>38506904</v>
      </c>
      <c r="G100" s="29" t="s">
        <v>823</v>
      </c>
      <c r="H100" s="29" t="s">
        <v>367</v>
      </c>
      <c r="I100" s="120">
        <v>45694</v>
      </c>
      <c r="J100" s="29"/>
      <c r="K100" s="29"/>
      <c r="L100" s="29"/>
      <c r="M100" s="29"/>
      <c r="N100" s="29"/>
      <c r="O100" s="29"/>
      <c r="P100" s="29"/>
      <c r="Q100" s="81"/>
      <c r="R100" s="29" t="s">
        <v>479</v>
      </c>
      <c r="S100" s="123"/>
    </row>
    <row r="101" spans="1:19" hidden="1">
      <c r="A101" s="29" t="s">
        <v>366</v>
      </c>
      <c r="B101" s="29"/>
      <c r="C101" s="29">
        <v>38506900</v>
      </c>
      <c r="G101" s="29" t="s">
        <v>823</v>
      </c>
      <c r="H101" s="29" t="s">
        <v>367</v>
      </c>
      <c r="I101" s="120">
        <v>45694</v>
      </c>
      <c r="J101" s="29"/>
      <c r="K101" s="29"/>
      <c r="L101" s="29"/>
      <c r="M101" s="29"/>
      <c r="N101" s="29"/>
      <c r="O101" s="29"/>
      <c r="P101" s="29"/>
      <c r="Q101" s="81"/>
      <c r="R101" s="29" t="s">
        <v>480</v>
      </c>
      <c r="S101" s="123"/>
    </row>
    <row r="102" spans="1:19" hidden="1">
      <c r="A102" s="29" t="s">
        <v>366</v>
      </c>
      <c r="B102" s="29"/>
      <c r="C102" s="29">
        <v>38506896</v>
      </c>
      <c r="G102" s="29" t="s">
        <v>823</v>
      </c>
      <c r="H102" s="29" t="s">
        <v>367</v>
      </c>
      <c r="I102" s="120">
        <v>45694</v>
      </c>
      <c r="J102" s="29"/>
      <c r="K102" s="29"/>
      <c r="L102" s="29"/>
      <c r="M102" s="29"/>
      <c r="N102" s="29"/>
      <c r="O102" s="29"/>
      <c r="P102" s="29"/>
      <c r="Q102" s="81"/>
      <c r="R102" s="29" t="s">
        <v>481</v>
      </c>
      <c r="S102" s="123"/>
    </row>
    <row r="103" spans="1:19" hidden="1">
      <c r="A103" s="29" t="s">
        <v>366</v>
      </c>
      <c r="B103" s="29"/>
      <c r="C103" s="29">
        <v>38506891</v>
      </c>
      <c r="G103" s="29" t="s">
        <v>823</v>
      </c>
      <c r="H103" s="29" t="s">
        <v>367</v>
      </c>
      <c r="I103" s="120">
        <v>45694</v>
      </c>
      <c r="J103" s="29"/>
      <c r="K103" s="29"/>
      <c r="L103" s="29"/>
      <c r="M103" s="29"/>
      <c r="N103" s="29"/>
      <c r="O103" s="29"/>
      <c r="P103" s="29"/>
      <c r="Q103" s="81"/>
      <c r="R103" s="29" t="s">
        <v>482</v>
      </c>
      <c r="S103" s="123"/>
    </row>
    <row r="104" spans="1:19" hidden="1">
      <c r="A104" s="29" t="s">
        <v>366</v>
      </c>
      <c r="B104" s="29"/>
      <c r="C104" s="29">
        <v>38506877</v>
      </c>
      <c r="G104" s="29" t="s">
        <v>823</v>
      </c>
      <c r="H104" s="29" t="s">
        <v>367</v>
      </c>
      <c r="I104" s="120">
        <v>45694</v>
      </c>
      <c r="J104" s="29"/>
      <c r="K104" s="29"/>
      <c r="L104" s="29"/>
      <c r="M104" s="29"/>
      <c r="N104" s="29"/>
      <c r="O104" s="29"/>
      <c r="P104" s="29"/>
      <c r="Q104" s="81"/>
      <c r="R104" s="29" t="s">
        <v>483</v>
      </c>
      <c r="S104" s="123"/>
    </row>
    <row r="105" spans="1:19" hidden="1">
      <c r="A105" s="29" t="s">
        <v>366</v>
      </c>
      <c r="B105" s="29"/>
      <c r="C105" s="29">
        <v>38506867</v>
      </c>
      <c r="G105" s="29" t="s">
        <v>823</v>
      </c>
      <c r="H105" s="29" t="s">
        <v>367</v>
      </c>
      <c r="I105" s="120">
        <v>45694</v>
      </c>
      <c r="J105" s="29"/>
      <c r="K105" s="29"/>
      <c r="L105" s="29"/>
      <c r="M105" s="29"/>
      <c r="N105" s="29"/>
      <c r="O105" s="29"/>
      <c r="P105" s="29"/>
      <c r="Q105" s="81"/>
      <c r="R105" s="29" t="s">
        <v>484</v>
      </c>
      <c r="S105" s="123"/>
    </row>
    <row r="106" spans="1:19" hidden="1">
      <c r="A106" s="29" t="s">
        <v>366</v>
      </c>
      <c r="B106" s="29"/>
      <c r="C106" s="29">
        <v>37508574</v>
      </c>
      <c r="G106" s="29" t="s">
        <v>823</v>
      </c>
      <c r="H106" s="29" t="s">
        <v>367</v>
      </c>
      <c r="I106" s="120">
        <v>45694</v>
      </c>
      <c r="J106" s="29"/>
      <c r="K106" s="29"/>
      <c r="L106" s="29"/>
      <c r="M106" s="29"/>
      <c r="N106" s="29"/>
      <c r="O106" s="29"/>
      <c r="P106" s="29"/>
      <c r="Q106" s="81"/>
      <c r="R106" s="29" t="s">
        <v>506</v>
      </c>
      <c r="S106" s="123"/>
    </row>
    <row r="107" spans="1:19" hidden="1">
      <c r="A107" s="29" t="s">
        <v>366</v>
      </c>
      <c r="B107" s="29"/>
      <c r="C107" s="29">
        <v>37508571</v>
      </c>
      <c r="G107" s="29" t="s">
        <v>823</v>
      </c>
      <c r="H107" s="29" t="s">
        <v>367</v>
      </c>
      <c r="I107" s="120">
        <v>45694</v>
      </c>
      <c r="J107" s="29"/>
      <c r="K107" s="29"/>
      <c r="L107" s="29"/>
      <c r="M107" s="29"/>
      <c r="N107" s="29"/>
      <c r="O107" s="29"/>
      <c r="P107" s="29"/>
      <c r="Q107" s="81"/>
      <c r="R107" s="29" t="s">
        <v>506</v>
      </c>
      <c r="S107" s="123"/>
    </row>
    <row r="108" spans="1:19" hidden="1">
      <c r="A108" s="29" t="s">
        <v>854</v>
      </c>
      <c r="B108" s="29"/>
      <c r="C108" s="29">
        <v>37506123</v>
      </c>
      <c r="G108" s="29" t="s">
        <v>823</v>
      </c>
      <c r="H108" s="29" t="s">
        <v>161</v>
      </c>
      <c r="I108" s="120">
        <v>45694</v>
      </c>
      <c r="J108" s="29"/>
      <c r="K108" s="29"/>
      <c r="L108" s="29"/>
      <c r="M108" s="29"/>
      <c r="N108" s="29"/>
      <c r="O108" s="29"/>
      <c r="P108" s="29"/>
      <c r="Q108" s="81"/>
      <c r="R108" s="29" t="s">
        <v>855</v>
      </c>
      <c r="S108" s="123"/>
    </row>
    <row r="109" spans="1:19" hidden="1">
      <c r="A109" s="29" t="s">
        <v>392</v>
      </c>
      <c r="B109" s="29"/>
      <c r="C109" s="29">
        <v>35501743</v>
      </c>
      <c r="G109" s="29" t="s">
        <v>823</v>
      </c>
      <c r="H109" s="29" t="s">
        <v>315</v>
      </c>
      <c r="I109" s="120">
        <v>45692</v>
      </c>
      <c r="J109" s="29"/>
      <c r="K109" s="29"/>
      <c r="L109" s="29"/>
      <c r="M109" s="29"/>
      <c r="N109" s="29"/>
      <c r="O109" s="29"/>
      <c r="P109" s="29"/>
      <c r="Q109" s="81"/>
      <c r="R109" s="29" t="s">
        <v>393</v>
      </c>
      <c r="S109" s="123"/>
    </row>
    <row r="110" spans="1:19" hidden="1">
      <c r="A110" s="29" t="s">
        <v>392</v>
      </c>
      <c r="B110" s="29"/>
      <c r="C110" s="29">
        <v>35501713</v>
      </c>
      <c r="G110" s="29" t="s">
        <v>823</v>
      </c>
      <c r="H110" s="29" t="s">
        <v>315</v>
      </c>
      <c r="I110" s="120">
        <v>45692</v>
      </c>
      <c r="J110" s="29"/>
      <c r="K110" s="29"/>
      <c r="L110" s="29"/>
      <c r="M110" s="29"/>
      <c r="N110" s="29"/>
      <c r="O110" s="29"/>
      <c r="P110" s="29"/>
      <c r="Q110" s="81"/>
      <c r="R110" s="29" t="s">
        <v>393</v>
      </c>
      <c r="S110" s="123"/>
    </row>
    <row r="111" spans="1:19" hidden="1">
      <c r="A111" s="29" t="s">
        <v>392</v>
      </c>
      <c r="B111" s="29"/>
      <c r="C111" s="29">
        <v>35501673</v>
      </c>
      <c r="G111" s="29" t="s">
        <v>823</v>
      </c>
      <c r="H111" s="29" t="s">
        <v>315</v>
      </c>
      <c r="I111" s="120">
        <v>45692</v>
      </c>
      <c r="J111" s="29"/>
      <c r="K111" s="29"/>
      <c r="L111" s="29"/>
      <c r="M111" s="29"/>
      <c r="N111" s="29"/>
      <c r="O111" s="29"/>
      <c r="P111" s="29"/>
      <c r="Q111" s="81"/>
      <c r="R111" s="29" t="s">
        <v>394</v>
      </c>
      <c r="S111" s="123"/>
    </row>
    <row r="112" spans="1:19" hidden="1">
      <c r="A112" s="29" t="s">
        <v>392</v>
      </c>
      <c r="B112" s="29"/>
      <c r="C112" s="29">
        <v>35501638</v>
      </c>
      <c r="G112" s="29" t="s">
        <v>823</v>
      </c>
      <c r="H112" s="29" t="s">
        <v>315</v>
      </c>
      <c r="I112" s="120">
        <v>45692</v>
      </c>
      <c r="J112" s="29"/>
      <c r="K112" s="29"/>
      <c r="L112" s="29"/>
      <c r="M112" s="29"/>
      <c r="N112" s="29"/>
      <c r="O112" s="29"/>
      <c r="P112" s="29"/>
      <c r="Q112" s="81"/>
      <c r="R112" s="29" t="s">
        <v>395</v>
      </c>
      <c r="S112" s="123"/>
    </row>
    <row r="113" spans="1:19" hidden="1">
      <c r="A113" s="29" t="s">
        <v>392</v>
      </c>
      <c r="B113" s="29"/>
      <c r="C113" s="29">
        <v>35501580</v>
      </c>
      <c r="G113" s="29" t="s">
        <v>823</v>
      </c>
      <c r="H113" s="29" t="s">
        <v>315</v>
      </c>
      <c r="I113" s="120">
        <v>45692</v>
      </c>
      <c r="J113" s="29"/>
      <c r="K113" s="29"/>
      <c r="L113" s="29"/>
      <c r="M113" s="29"/>
      <c r="N113" s="29"/>
      <c r="O113" s="29"/>
      <c r="P113" s="29"/>
      <c r="Q113" s="81"/>
      <c r="R113" s="29" t="s">
        <v>393</v>
      </c>
      <c r="S113" s="123"/>
    </row>
    <row r="114" spans="1:19" hidden="1">
      <c r="A114" s="29" t="s">
        <v>392</v>
      </c>
      <c r="B114" s="29"/>
      <c r="C114" s="29">
        <v>35501515</v>
      </c>
      <c r="G114" s="29" t="s">
        <v>823</v>
      </c>
      <c r="H114" s="29" t="s">
        <v>315</v>
      </c>
      <c r="I114" s="120">
        <v>45692</v>
      </c>
      <c r="J114" s="29"/>
      <c r="K114" s="29"/>
      <c r="L114" s="29"/>
      <c r="M114" s="29"/>
      <c r="N114" s="29"/>
      <c r="O114" s="29"/>
      <c r="P114" s="29"/>
      <c r="Q114" s="81"/>
      <c r="R114" s="29" t="s">
        <v>396</v>
      </c>
      <c r="S114" s="123"/>
    </row>
    <row r="115" spans="1:19" hidden="1">
      <c r="A115" s="29" t="s">
        <v>392</v>
      </c>
      <c r="B115" s="29"/>
      <c r="C115" s="29">
        <v>35501463</v>
      </c>
      <c r="G115" s="29" t="s">
        <v>823</v>
      </c>
      <c r="H115" s="29" t="s">
        <v>315</v>
      </c>
      <c r="I115" s="120">
        <v>45692</v>
      </c>
      <c r="J115" s="29"/>
      <c r="K115" s="29"/>
      <c r="L115" s="29"/>
      <c r="M115" s="29"/>
      <c r="N115" s="29"/>
      <c r="O115" s="29"/>
      <c r="P115" s="29"/>
      <c r="Q115" s="81"/>
      <c r="R115" s="29" t="s">
        <v>397</v>
      </c>
      <c r="S115" s="123"/>
    </row>
    <row r="116" spans="1:19" hidden="1">
      <c r="A116" s="29" t="s">
        <v>392</v>
      </c>
      <c r="B116" s="29"/>
      <c r="C116" s="29">
        <v>35501422</v>
      </c>
      <c r="G116" s="29" t="s">
        <v>823</v>
      </c>
      <c r="H116" s="29" t="s">
        <v>315</v>
      </c>
      <c r="I116" s="120">
        <v>45692</v>
      </c>
      <c r="J116" s="29"/>
      <c r="K116" s="29"/>
      <c r="L116" s="29"/>
      <c r="M116" s="29"/>
      <c r="N116" s="29"/>
      <c r="O116" s="29"/>
      <c r="P116" s="29"/>
      <c r="Q116" s="81"/>
      <c r="R116" s="29" t="s">
        <v>398</v>
      </c>
      <c r="S116" s="123"/>
    </row>
    <row r="117" spans="1:19" hidden="1">
      <c r="A117" s="29" t="s">
        <v>392</v>
      </c>
      <c r="B117" s="29"/>
      <c r="C117" s="29">
        <v>35501396</v>
      </c>
      <c r="G117" s="29" t="s">
        <v>823</v>
      </c>
      <c r="H117" s="29" t="s">
        <v>315</v>
      </c>
      <c r="I117" s="120">
        <v>45692</v>
      </c>
      <c r="J117" s="29"/>
      <c r="K117" s="29"/>
      <c r="L117" s="29"/>
      <c r="M117" s="29"/>
      <c r="N117" s="29"/>
      <c r="O117" s="29"/>
      <c r="P117" s="29"/>
      <c r="Q117" s="81"/>
      <c r="R117" s="29" t="s">
        <v>398</v>
      </c>
      <c r="S117" s="123"/>
    </row>
    <row r="118" spans="1:19" hidden="1">
      <c r="A118" s="29" t="s">
        <v>392</v>
      </c>
      <c r="B118" s="29"/>
      <c r="C118" s="29">
        <v>35501337</v>
      </c>
      <c r="G118" s="29" t="s">
        <v>823</v>
      </c>
      <c r="H118" s="29" t="s">
        <v>315</v>
      </c>
      <c r="I118" s="120">
        <v>45692</v>
      </c>
      <c r="J118" s="29"/>
      <c r="K118" s="29"/>
      <c r="L118" s="29"/>
      <c r="M118" s="29"/>
      <c r="N118" s="29"/>
      <c r="O118" s="29"/>
      <c r="P118" s="29"/>
      <c r="Q118" s="81"/>
      <c r="R118" s="29" t="s">
        <v>397</v>
      </c>
      <c r="S118" s="123"/>
    </row>
    <row r="119" spans="1:19" hidden="1">
      <c r="A119" s="29" t="s">
        <v>392</v>
      </c>
      <c r="B119" s="29"/>
      <c r="C119" s="29">
        <v>35501254</v>
      </c>
      <c r="G119" s="29" t="s">
        <v>823</v>
      </c>
      <c r="H119" s="29" t="s">
        <v>315</v>
      </c>
      <c r="I119" s="120">
        <v>45692</v>
      </c>
      <c r="J119" s="29"/>
      <c r="K119" s="29"/>
      <c r="L119" s="29"/>
      <c r="M119" s="29"/>
      <c r="N119" s="29"/>
      <c r="O119" s="29"/>
      <c r="P119" s="29"/>
      <c r="Q119" s="81"/>
      <c r="R119" s="29" t="s">
        <v>399</v>
      </c>
      <c r="S119" s="123"/>
    </row>
    <row r="120" spans="1:19" hidden="1">
      <c r="A120" s="29" t="s">
        <v>392</v>
      </c>
      <c r="B120" s="29"/>
      <c r="C120" s="29">
        <v>35501215</v>
      </c>
      <c r="G120" s="29" t="s">
        <v>823</v>
      </c>
      <c r="H120" s="29" t="s">
        <v>315</v>
      </c>
      <c r="I120" s="120">
        <v>45692</v>
      </c>
      <c r="J120" s="29"/>
      <c r="K120" s="29"/>
      <c r="L120" s="29"/>
      <c r="M120" s="29"/>
      <c r="N120" s="29"/>
      <c r="O120" s="29"/>
      <c r="P120" s="29"/>
      <c r="Q120" s="81"/>
      <c r="R120" s="29" t="s">
        <v>400</v>
      </c>
      <c r="S120" s="123"/>
    </row>
    <row r="121" spans="1:19" hidden="1">
      <c r="A121" s="29" t="s">
        <v>392</v>
      </c>
      <c r="B121" s="29"/>
      <c r="C121" s="29">
        <v>35501170</v>
      </c>
      <c r="G121" s="29" t="s">
        <v>823</v>
      </c>
      <c r="H121" s="29" t="s">
        <v>315</v>
      </c>
      <c r="I121" s="120">
        <v>45692</v>
      </c>
      <c r="J121" s="29"/>
      <c r="K121" s="29"/>
      <c r="L121" s="29"/>
      <c r="M121" s="29"/>
      <c r="N121" s="29"/>
      <c r="O121" s="29"/>
      <c r="P121" s="29"/>
      <c r="Q121" s="81"/>
      <c r="R121" s="29" t="s">
        <v>401</v>
      </c>
      <c r="S121" s="123"/>
    </row>
    <row r="122" spans="1:19" hidden="1">
      <c r="A122" s="29" t="s">
        <v>392</v>
      </c>
      <c r="B122" s="29"/>
      <c r="C122" s="29">
        <v>35501116</v>
      </c>
      <c r="G122" s="29" t="s">
        <v>823</v>
      </c>
      <c r="H122" s="29" t="s">
        <v>315</v>
      </c>
      <c r="I122" s="120">
        <v>45692</v>
      </c>
      <c r="J122" s="29"/>
      <c r="K122" s="29"/>
      <c r="L122" s="29"/>
      <c r="M122" s="29"/>
      <c r="N122" s="29"/>
      <c r="O122" s="29"/>
      <c r="P122" s="29"/>
      <c r="Q122" s="81"/>
      <c r="R122" s="29" t="s">
        <v>402</v>
      </c>
      <c r="S122" s="123"/>
    </row>
    <row r="123" spans="1:19" hidden="1">
      <c r="A123" s="29" t="s">
        <v>392</v>
      </c>
      <c r="B123" s="29"/>
      <c r="C123" s="29">
        <v>35501047</v>
      </c>
      <c r="G123" s="29" t="s">
        <v>823</v>
      </c>
      <c r="H123" s="29" t="s">
        <v>315</v>
      </c>
      <c r="I123" s="120">
        <v>45692</v>
      </c>
      <c r="J123" s="29"/>
      <c r="K123" s="29"/>
      <c r="L123" s="29"/>
      <c r="M123" s="29"/>
      <c r="N123" s="29"/>
      <c r="O123" s="29"/>
      <c r="P123" s="29"/>
      <c r="Q123" s="81"/>
      <c r="R123" s="29" t="s">
        <v>403</v>
      </c>
      <c r="S123" s="123"/>
    </row>
    <row r="124" spans="1:19" hidden="1">
      <c r="A124" s="29" t="s">
        <v>392</v>
      </c>
      <c r="B124" s="29"/>
      <c r="C124" s="29">
        <v>35501040</v>
      </c>
      <c r="G124" s="29" t="s">
        <v>823</v>
      </c>
      <c r="H124" s="29" t="s">
        <v>315</v>
      </c>
      <c r="I124" s="120">
        <v>45692</v>
      </c>
      <c r="J124" s="29"/>
      <c r="K124" s="29"/>
      <c r="L124" s="29"/>
      <c r="M124" s="29"/>
      <c r="N124" s="29"/>
      <c r="O124" s="29"/>
      <c r="P124" s="29"/>
      <c r="Q124" s="81"/>
      <c r="R124" s="29" t="s">
        <v>404</v>
      </c>
      <c r="S124" s="123"/>
    </row>
    <row r="125" spans="1:19" hidden="1">
      <c r="A125" s="29" t="s">
        <v>392</v>
      </c>
      <c r="B125" s="29"/>
      <c r="C125" s="29">
        <v>35501016</v>
      </c>
      <c r="G125" s="29" t="s">
        <v>823</v>
      </c>
      <c r="H125" s="29" t="s">
        <v>315</v>
      </c>
      <c r="I125" s="120">
        <v>45692</v>
      </c>
      <c r="J125" s="29"/>
      <c r="K125" s="29"/>
      <c r="L125" s="29"/>
      <c r="M125" s="29"/>
      <c r="N125" s="29"/>
      <c r="O125" s="29"/>
      <c r="P125" s="29"/>
      <c r="Q125" s="81"/>
      <c r="R125" s="29" t="s">
        <v>405</v>
      </c>
      <c r="S125" s="123"/>
    </row>
    <row r="126" spans="1:19" hidden="1">
      <c r="A126" s="29" t="s">
        <v>392</v>
      </c>
      <c r="B126" s="29"/>
      <c r="C126" s="29">
        <v>35500932</v>
      </c>
      <c r="G126" s="29" t="s">
        <v>823</v>
      </c>
      <c r="H126" s="29" t="s">
        <v>315</v>
      </c>
      <c r="I126" s="120">
        <v>45692</v>
      </c>
      <c r="J126" s="29"/>
      <c r="K126" s="29"/>
      <c r="L126" s="29"/>
      <c r="M126" s="29"/>
      <c r="N126" s="29"/>
      <c r="O126" s="29"/>
      <c r="P126" s="29"/>
      <c r="Q126" s="81"/>
      <c r="R126" s="29" t="s">
        <v>406</v>
      </c>
      <c r="S126" s="123"/>
    </row>
    <row r="127" spans="1:19" hidden="1">
      <c r="A127" s="29" t="s">
        <v>392</v>
      </c>
      <c r="B127" s="29"/>
      <c r="C127" s="29">
        <v>35500884</v>
      </c>
      <c r="G127" s="29" t="s">
        <v>823</v>
      </c>
      <c r="H127" s="29" t="s">
        <v>315</v>
      </c>
      <c r="I127" s="120">
        <v>45692</v>
      </c>
      <c r="J127" s="29"/>
      <c r="K127" s="29"/>
      <c r="L127" s="29"/>
      <c r="M127" s="29"/>
      <c r="N127" s="29"/>
      <c r="O127" s="29"/>
      <c r="P127" s="29"/>
      <c r="Q127" s="81"/>
      <c r="R127" s="29" t="s">
        <v>407</v>
      </c>
      <c r="S127" s="123"/>
    </row>
    <row r="128" spans="1:19" hidden="1">
      <c r="A128" s="29" t="s">
        <v>392</v>
      </c>
      <c r="B128" s="29"/>
      <c r="C128" s="29">
        <v>35500859</v>
      </c>
      <c r="G128" s="29" t="s">
        <v>823</v>
      </c>
      <c r="H128" s="29" t="s">
        <v>315</v>
      </c>
      <c r="I128" s="120">
        <v>45692</v>
      </c>
      <c r="J128" s="29"/>
      <c r="K128" s="29"/>
      <c r="L128" s="29"/>
      <c r="M128" s="29"/>
      <c r="N128" s="29"/>
      <c r="O128" s="29"/>
      <c r="P128" s="29"/>
      <c r="Q128" s="81"/>
      <c r="R128" s="29" t="s">
        <v>408</v>
      </c>
      <c r="S128" s="123"/>
    </row>
    <row r="129" spans="1:19" hidden="1">
      <c r="A129" s="29" t="s">
        <v>392</v>
      </c>
      <c r="B129" s="29"/>
      <c r="C129" s="29">
        <v>35500813</v>
      </c>
      <c r="G129" s="29" t="s">
        <v>823</v>
      </c>
      <c r="H129" s="29" t="s">
        <v>315</v>
      </c>
      <c r="I129" s="120">
        <v>45692</v>
      </c>
      <c r="J129" s="29"/>
      <c r="K129" s="29"/>
      <c r="L129" s="29"/>
      <c r="M129" s="29"/>
      <c r="N129" s="29"/>
      <c r="O129" s="29"/>
      <c r="P129" s="29"/>
      <c r="Q129" s="81"/>
      <c r="R129" s="29" t="s">
        <v>409</v>
      </c>
      <c r="S129" s="123"/>
    </row>
    <row r="130" spans="1:19" hidden="1">
      <c r="A130" s="29" t="s">
        <v>392</v>
      </c>
      <c r="B130" s="29"/>
      <c r="C130" s="29">
        <v>35500760</v>
      </c>
      <c r="G130" s="29" t="s">
        <v>823</v>
      </c>
      <c r="H130" s="29" t="s">
        <v>315</v>
      </c>
      <c r="I130" s="120">
        <v>45692</v>
      </c>
      <c r="J130" s="29"/>
      <c r="K130" s="29"/>
      <c r="L130" s="29"/>
      <c r="M130" s="29"/>
      <c r="N130" s="29"/>
      <c r="O130" s="29"/>
      <c r="P130" s="29"/>
      <c r="Q130" s="81"/>
      <c r="R130" s="29" t="s">
        <v>410</v>
      </c>
      <c r="S130" s="123"/>
    </row>
    <row r="131" spans="1:19" hidden="1">
      <c r="A131" s="29" t="s">
        <v>392</v>
      </c>
      <c r="B131" s="29"/>
      <c r="C131" s="29">
        <v>35500721</v>
      </c>
      <c r="G131" s="29" t="s">
        <v>823</v>
      </c>
      <c r="H131" s="29" t="s">
        <v>315</v>
      </c>
      <c r="I131" s="120">
        <v>45692</v>
      </c>
      <c r="J131" s="29"/>
      <c r="K131" s="29"/>
      <c r="L131" s="29"/>
      <c r="M131" s="29"/>
      <c r="N131" s="29"/>
      <c r="O131" s="29"/>
      <c r="P131" s="29"/>
      <c r="Q131" s="81"/>
      <c r="R131" s="29" t="s">
        <v>407</v>
      </c>
      <c r="S131" s="123"/>
    </row>
    <row r="132" spans="1:19" hidden="1">
      <c r="A132" s="147" t="s">
        <v>392</v>
      </c>
      <c r="B132" s="147"/>
      <c r="C132" s="29">
        <v>35501396</v>
      </c>
      <c r="G132" s="29" t="s">
        <v>823</v>
      </c>
      <c r="H132" s="29" t="s">
        <v>315</v>
      </c>
      <c r="I132" s="148">
        <v>45692</v>
      </c>
      <c r="J132" s="29"/>
      <c r="K132" s="29"/>
      <c r="L132" s="29"/>
      <c r="M132" s="29"/>
      <c r="N132" s="29"/>
      <c r="O132" s="29"/>
      <c r="P132" s="29"/>
      <c r="Q132" s="81"/>
      <c r="R132" s="149" t="s">
        <v>411</v>
      </c>
      <c r="S132" s="123"/>
    </row>
    <row r="133" spans="1:19" hidden="1">
      <c r="A133" s="147" t="s">
        <v>392</v>
      </c>
      <c r="B133" s="147"/>
      <c r="C133" s="29">
        <v>35501422</v>
      </c>
      <c r="G133" s="29" t="s">
        <v>823</v>
      </c>
      <c r="H133" s="29" t="s">
        <v>315</v>
      </c>
      <c r="I133" s="148">
        <v>45692</v>
      </c>
      <c r="J133" s="29"/>
      <c r="K133" s="29"/>
      <c r="L133" s="29"/>
      <c r="M133" s="29"/>
      <c r="N133" s="29"/>
      <c r="O133" s="29"/>
      <c r="P133" s="29"/>
      <c r="Q133" s="81"/>
      <c r="R133" s="149" t="s">
        <v>412</v>
      </c>
      <c r="S133" s="123"/>
    </row>
    <row r="134" spans="1:19" hidden="1">
      <c r="A134" s="147" t="s">
        <v>392</v>
      </c>
      <c r="B134" s="147"/>
      <c r="C134" s="29">
        <v>35501463</v>
      </c>
      <c r="G134" s="29" t="s">
        <v>823</v>
      </c>
      <c r="H134" s="29" t="s">
        <v>315</v>
      </c>
      <c r="I134" s="148">
        <v>45692</v>
      </c>
      <c r="J134" s="29"/>
      <c r="K134" s="29"/>
      <c r="L134" s="29"/>
      <c r="M134" s="29"/>
      <c r="N134" s="29"/>
      <c r="O134" s="29"/>
      <c r="P134" s="29"/>
      <c r="Q134" s="81"/>
      <c r="R134" s="149" t="s">
        <v>413</v>
      </c>
      <c r="S134" s="123"/>
    </row>
    <row r="135" spans="1:19" hidden="1">
      <c r="A135" s="147" t="s">
        <v>392</v>
      </c>
      <c r="B135" s="147"/>
      <c r="C135" s="29">
        <v>35500721</v>
      </c>
      <c r="G135" s="29" t="s">
        <v>823</v>
      </c>
      <c r="H135" s="29" t="s">
        <v>315</v>
      </c>
      <c r="I135" s="148">
        <v>45692</v>
      </c>
      <c r="J135" s="29"/>
      <c r="K135" s="29"/>
      <c r="L135" s="29"/>
      <c r="M135" s="29"/>
      <c r="N135" s="29"/>
      <c r="O135" s="29"/>
      <c r="P135" s="29"/>
      <c r="Q135" s="81"/>
      <c r="R135" s="149" t="s">
        <v>414</v>
      </c>
      <c r="S135" s="123"/>
    </row>
    <row r="136" spans="1:19" hidden="1">
      <c r="A136" s="147" t="s">
        <v>392</v>
      </c>
      <c r="B136" s="147"/>
      <c r="C136" s="29">
        <v>35500760</v>
      </c>
      <c r="G136" s="29" t="s">
        <v>823</v>
      </c>
      <c r="H136" s="29" t="s">
        <v>315</v>
      </c>
      <c r="I136" s="148">
        <v>45692</v>
      </c>
      <c r="J136" s="29"/>
      <c r="K136" s="29"/>
      <c r="L136" s="29"/>
      <c r="M136" s="29"/>
      <c r="N136" s="29"/>
      <c r="O136" s="29"/>
      <c r="P136" s="29"/>
      <c r="Q136" s="81"/>
      <c r="R136" s="149" t="s">
        <v>415</v>
      </c>
      <c r="S136" s="123"/>
    </row>
    <row r="137" spans="1:19" hidden="1">
      <c r="A137" s="147" t="s">
        <v>392</v>
      </c>
      <c r="B137" s="147"/>
      <c r="C137" s="29">
        <v>35500813</v>
      </c>
      <c r="G137" s="29" t="s">
        <v>823</v>
      </c>
      <c r="H137" s="29" t="s">
        <v>315</v>
      </c>
      <c r="I137" s="148">
        <v>45692</v>
      </c>
      <c r="J137" s="29"/>
      <c r="K137" s="29"/>
      <c r="L137" s="29"/>
      <c r="M137" s="29"/>
      <c r="N137" s="29"/>
      <c r="O137" s="29"/>
      <c r="P137" s="29"/>
      <c r="Q137" s="81"/>
      <c r="R137" s="149" t="s">
        <v>416</v>
      </c>
      <c r="S137" s="123"/>
    </row>
    <row r="138" spans="1:19" hidden="1">
      <c r="A138" s="147" t="s">
        <v>392</v>
      </c>
      <c r="B138" s="147"/>
      <c r="C138" s="29">
        <v>35500859</v>
      </c>
      <c r="G138" s="29" t="s">
        <v>823</v>
      </c>
      <c r="H138" s="29" t="s">
        <v>315</v>
      </c>
      <c r="I138" s="148">
        <v>45692</v>
      </c>
      <c r="J138" s="29"/>
      <c r="K138" s="29"/>
      <c r="L138" s="29"/>
      <c r="M138" s="29"/>
      <c r="N138" s="29"/>
      <c r="O138" s="29"/>
      <c r="P138" s="29"/>
      <c r="Q138" s="81"/>
      <c r="R138" s="149" t="s">
        <v>417</v>
      </c>
      <c r="S138" s="123"/>
    </row>
    <row r="139" spans="1:19" hidden="1">
      <c r="A139" s="147" t="s">
        <v>392</v>
      </c>
      <c r="B139" s="147"/>
      <c r="C139" s="29">
        <v>35500884</v>
      </c>
      <c r="G139" s="29" t="s">
        <v>823</v>
      </c>
      <c r="H139" s="29" t="s">
        <v>315</v>
      </c>
      <c r="I139" s="148">
        <v>45692</v>
      </c>
      <c r="J139" s="29"/>
      <c r="K139" s="29"/>
      <c r="L139" s="29"/>
      <c r="M139" s="29"/>
      <c r="N139" s="29"/>
      <c r="O139" s="29"/>
      <c r="P139" s="29"/>
      <c r="Q139" s="81"/>
      <c r="R139" s="149" t="s">
        <v>418</v>
      </c>
      <c r="S139" s="123"/>
    </row>
    <row r="140" spans="1:19" hidden="1">
      <c r="A140" s="147" t="s">
        <v>392</v>
      </c>
      <c r="B140" s="147"/>
      <c r="C140" s="29">
        <v>35500932</v>
      </c>
      <c r="G140" s="29" t="s">
        <v>823</v>
      </c>
      <c r="H140" s="29" t="s">
        <v>315</v>
      </c>
      <c r="I140" s="148">
        <v>45692</v>
      </c>
      <c r="J140" s="29"/>
      <c r="K140" s="29"/>
      <c r="L140" s="29"/>
      <c r="M140" s="29"/>
      <c r="N140" s="29"/>
      <c r="O140" s="29"/>
      <c r="P140" s="29"/>
      <c r="Q140" s="81"/>
      <c r="R140" s="149" t="s">
        <v>419</v>
      </c>
      <c r="S140" s="123"/>
    </row>
    <row r="141" spans="1:19" hidden="1">
      <c r="A141" s="147" t="s">
        <v>392</v>
      </c>
      <c r="B141" s="147"/>
      <c r="C141" s="29">
        <v>35501016</v>
      </c>
      <c r="G141" s="29" t="s">
        <v>823</v>
      </c>
      <c r="H141" s="29" t="s">
        <v>315</v>
      </c>
      <c r="I141" s="148">
        <v>45692</v>
      </c>
      <c r="J141" s="29"/>
      <c r="K141" s="29"/>
      <c r="L141" s="29"/>
      <c r="M141" s="29"/>
      <c r="N141" s="29"/>
      <c r="O141" s="29"/>
      <c r="P141" s="29"/>
      <c r="Q141" s="81"/>
      <c r="R141" s="149" t="s">
        <v>420</v>
      </c>
      <c r="S141" s="123"/>
    </row>
    <row r="142" spans="1:19" hidden="1">
      <c r="A142" s="147" t="s">
        <v>392</v>
      </c>
      <c r="B142" s="147"/>
      <c r="C142" s="29">
        <v>35501040</v>
      </c>
      <c r="G142" s="29" t="s">
        <v>823</v>
      </c>
      <c r="H142" s="29" t="s">
        <v>315</v>
      </c>
      <c r="I142" s="148">
        <v>45692</v>
      </c>
      <c r="J142" s="29"/>
      <c r="K142" s="29"/>
      <c r="L142" s="29"/>
      <c r="M142" s="29"/>
      <c r="N142" s="29"/>
      <c r="O142" s="29"/>
      <c r="P142" s="29"/>
      <c r="Q142" s="81"/>
      <c r="R142" s="149" t="s">
        <v>421</v>
      </c>
      <c r="S142" s="123"/>
    </row>
    <row r="143" spans="1:19" hidden="1">
      <c r="A143" s="147" t="s">
        <v>392</v>
      </c>
      <c r="B143" s="147"/>
      <c r="C143" s="29">
        <v>35501047</v>
      </c>
      <c r="G143" s="29" t="s">
        <v>823</v>
      </c>
      <c r="H143" s="29" t="s">
        <v>315</v>
      </c>
      <c r="I143" s="148">
        <v>45692</v>
      </c>
      <c r="J143" s="29"/>
      <c r="K143" s="29"/>
      <c r="L143" s="29"/>
      <c r="M143" s="29"/>
      <c r="N143" s="29"/>
      <c r="O143" s="29"/>
      <c r="P143" s="29"/>
      <c r="Q143" s="81"/>
      <c r="R143" s="149" t="s">
        <v>422</v>
      </c>
      <c r="S143" s="123"/>
    </row>
    <row r="144" spans="1:19" hidden="1">
      <c r="A144" s="147" t="s">
        <v>392</v>
      </c>
      <c r="B144" s="147"/>
      <c r="C144" s="29">
        <v>35501116</v>
      </c>
      <c r="G144" s="29" t="s">
        <v>823</v>
      </c>
      <c r="H144" s="29" t="s">
        <v>315</v>
      </c>
      <c r="I144" s="148">
        <v>45692</v>
      </c>
      <c r="J144" s="29"/>
      <c r="K144" s="29"/>
      <c r="L144" s="29"/>
      <c r="M144" s="29"/>
      <c r="N144" s="29"/>
      <c r="O144" s="29"/>
      <c r="P144" s="29"/>
      <c r="Q144" s="81"/>
      <c r="R144" s="149" t="s">
        <v>423</v>
      </c>
      <c r="S144" s="123"/>
    </row>
    <row r="145" spans="1:19" hidden="1">
      <c r="A145" s="147" t="s">
        <v>392</v>
      </c>
      <c r="B145" s="147"/>
      <c r="C145" s="29">
        <v>35501170</v>
      </c>
      <c r="G145" s="29" t="s">
        <v>823</v>
      </c>
      <c r="H145" s="29" t="s">
        <v>315</v>
      </c>
      <c r="I145" s="148">
        <v>45692</v>
      </c>
      <c r="J145" s="29"/>
      <c r="K145" s="29"/>
      <c r="L145" s="29"/>
      <c r="M145" s="29"/>
      <c r="N145" s="29"/>
      <c r="O145" s="29"/>
      <c r="P145" s="29"/>
      <c r="Q145" s="81"/>
      <c r="R145" s="149" t="s">
        <v>424</v>
      </c>
      <c r="S145" s="123"/>
    </row>
    <row r="146" spans="1:19" hidden="1">
      <c r="A146" s="147" t="s">
        <v>392</v>
      </c>
      <c r="B146" s="147"/>
      <c r="C146" s="29">
        <v>35501215</v>
      </c>
      <c r="G146" s="29" t="s">
        <v>823</v>
      </c>
      <c r="H146" s="29" t="s">
        <v>315</v>
      </c>
      <c r="I146" s="148">
        <v>45692</v>
      </c>
      <c r="J146" s="29"/>
      <c r="K146" s="29"/>
      <c r="L146" s="29"/>
      <c r="M146" s="29"/>
      <c r="N146" s="29"/>
      <c r="O146" s="29"/>
      <c r="P146" s="29"/>
      <c r="Q146" s="81"/>
      <c r="R146" s="149" t="s">
        <v>425</v>
      </c>
      <c r="S146" s="123"/>
    </row>
    <row r="147" spans="1:19" hidden="1">
      <c r="A147" s="147" t="s">
        <v>392</v>
      </c>
      <c r="B147" s="147"/>
      <c r="C147" s="29">
        <v>35501254</v>
      </c>
      <c r="G147" s="29" t="s">
        <v>823</v>
      </c>
      <c r="H147" s="29" t="s">
        <v>315</v>
      </c>
      <c r="I147" s="148">
        <v>45692</v>
      </c>
      <c r="J147" s="29"/>
      <c r="K147" s="29"/>
      <c r="L147" s="29"/>
      <c r="M147" s="29"/>
      <c r="N147" s="29"/>
      <c r="O147" s="29"/>
      <c r="P147" s="29"/>
      <c r="Q147" s="81"/>
      <c r="R147" s="149" t="s">
        <v>426</v>
      </c>
      <c r="S147" s="123"/>
    </row>
    <row r="148" spans="1:19" hidden="1">
      <c r="A148" s="147" t="s">
        <v>392</v>
      </c>
      <c r="B148" s="147"/>
      <c r="C148" s="29">
        <v>35501337</v>
      </c>
      <c r="G148" s="29" t="s">
        <v>823</v>
      </c>
      <c r="H148" s="29" t="s">
        <v>315</v>
      </c>
      <c r="I148" s="148">
        <v>45692</v>
      </c>
      <c r="J148" s="29"/>
      <c r="K148" s="29"/>
      <c r="L148" s="29"/>
      <c r="M148" s="29"/>
      <c r="N148" s="29"/>
      <c r="O148" s="29"/>
      <c r="P148" s="29"/>
      <c r="Q148" s="81"/>
      <c r="R148" s="149" t="s">
        <v>427</v>
      </c>
      <c r="S148" s="123"/>
    </row>
    <row r="149" spans="1:19" hidden="1">
      <c r="A149" s="147" t="s">
        <v>392</v>
      </c>
      <c r="B149" s="147"/>
      <c r="C149" s="29">
        <v>35501515</v>
      </c>
      <c r="G149" s="29" t="s">
        <v>823</v>
      </c>
      <c r="H149" s="29" t="s">
        <v>315</v>
      </c>
      <c r="I149" s="148">
        <v>45692</v>
      </c>
      <c r="J149" s="29"/>
      <c r="K149" s="29"/>
      <c r="L149" s="29"/>
      <c r="M149" s="29"/>
      <c r="N149" s="29"/>
      <c r="O149" s="29"/>
      <c r="P149" s="29"/>
      <c r="Q149" s="81"/>
      <c r="R149" s="149" t="s">
        <v>428</v>
      </c>
      <c r="S149" s="123"/>
    </row>
    <row r="150" spans="1:19" hidden="1">
      <c r="A150" s="147" t="s">
        <v>392</v>
      </c>
      <c r="B150" s="147"/>
      <c r="C150" s="29">
        <v>35501713</v>
      </c>
      <c r="G150" s="29" t="s">
        <v>823</v>
      </c>
      <c r="H150" s="29" t="s">
        <v>315</v>
      </c>
      <c r="I150" s="148">
        <v>45692</v>
      </c>
      <c r="J150" s="29"/>
      <c r="K150" s="29"/>
      <c r="L150" s="29"/>
      <c r="M150" s="29"/>
      <c r="N150" s="29"/>
      <c r="O150" s="29"/>
      <c r="P150" s="29"/>
      <c r="Q150" s="81"/>
      <c r="R150" s="149" t="s">
        <v>429</v>
      </c>
      <c r="S150" s="123"/>
    </row>
    <row r="151" spans="1:19" hidden="1">
      <c r="A151" s="147" t="s">
        <v>392</v>
      </c>
      <c r="B151" s="147"/>
      <c r="C151" s="29">
        <v>35501638</v>
      </c>
      <c r="G151" s="29" t="s">
        <v>823</v>
      </c>
      <c r="H151" s="29" t="s">
        <v>315</v>
      </c>
      <c r="I151" s="148">
        <v>45692</v>
      </c>
      <c r="J151" s="29"/>
      <c r="K151" s="29"/>
      <c r="L151" s="29"/>
      <c r="M151" s="29"/>
      <c r="N151" s="29"/>
      <c r="O151" s="29"/>
      <c r="P151" s="29"/>
      <c r="Q151" s="81"/>
      <c r="R151" s="149" t="s">
        <v>430</v>
      </c>
      <c r="S151" s="123"/>
    </row>
    <row r="152" spans="1:19" hidden="1">
      <c r="A152" s="147" t="s">
        <v>392</v>
      </c>
      <c r="B152" s="147"/>
      <c r="C152" s="29">
        <v>35501673</v>
      </c>
      <c r="G152" s="29" t="s">
        <v>823</v>
      </c>
      <c r="H152" s="29" t="s">
        <v>315</v>
      </c>
      <c r="I152" s="148">
        <v>45692</v>
      </c>
      <c r="J152" s="29"/>
      <c r="K152" s="29"/>
      <c r="L152" s="29"/>
      <c r="M152" s="29"/>
      <c r="N152" s="29"/>
      <c r="O152" s="29"/>
      <c r="P152" s="29"/>
      <c r="Q152" s="81"/>
      <c r="R152" s="149" t="s">
        <v>431</v>
      </c>
      <c r="S152" s="123"/>
    </row>
    <row r="153" spans="1:19" hidden="1">
      <c r="A153" s="147" t="s">
        <v>392</v>
      </c>
      <c r="B153" s="147"/>
      <c r="C153" s="29">
        <v>35501743</v>
      </c>
      <c r="G153" s="29" t="s">
        <v>823</v>
      </c>
      <c r="H153" s="29" t="s">
        <v>315</v>
      </c>
      <c r="I153" s="148">
        <v>45692</v>
      </c>
      <c r="J153" s="29"/>
      <c r="K153" s="29"/>
      <c r="L153" s="29"/>
      <c r="M153" s="29"/>
      <c r="N153" s="29"/>
      <c r="O153" s="29"/>
      <c r="P153" s="29"/>
      <c r="Q153" s="81"/>
      <c r="R153" s="149" t="s">
        <v>432</v>
      </c>
      <c r="S153" s="123"/>
    </row>
    <row r="154" spans="1:19" hidden="1">
      <c r="A154" s="29" t="s">
        <v>309</v>
      </c>
      <c r="B154" s="29"/>
      <c r="C154" s="29">
        <v>18500300</v>
      </c>
      <c r="G154" s="29" t="s">
        <v>823</v>
      </c>
      <c r="H154" s="29" t="s">
        <v>292</v>
      </c>
      <c r="I154" s="120">
        <v>45675</v>
      </c>
      <c r="J154" s="29"/>
      <c r="K154" s="29"/>
      <c r="L154" s="29"/>
      <c r="M154" s="29"/>
      <c r="N154" s="29"/>
      <c r="O154" s="29"/>
      <c r="P154" s="29"/>
      <c r="Q154" s="81"/>
      <c r="R154" s="29"/>
      <c r="S154" s="123"/>
    </row>
    <row r="155" spans="1:19" hidden="1">
      <c r="A155" s="29" t="s">
        <v>309</v>
      </c>
      <c r="B155" s="29"/>
      <c r="C155" s="29">
        <v>18500282</v>
      </c>
      <c r="G155" s="29" t="s">
        <v>823</v>
      </c>
      <c r="H155" s="29" t="s">
        <v>292</v>
      </c>
      <c r="I155" s="120">
        <v>45675</v>
      </c>
      <c r="J155" s="29"/>
      <c r="K155" s="29"/>
      <c r="L155" s="29"/>
      <c r="M155" s="29"/>
      <c r="N155" s="29"/>
      <c r="O155" s="29"/>
      <c r="P155" s="29"/>
      <c r="Q155" s="81"/>
      <c r="R155" s="29"/>
      <c r="S155" s="123"/>
    </row>
    <row r="156" spans="1:19" hidden="1">
      <c r="A156" s="29" t="s">
        <v>309</v>
      </c>
      <c r="B156" s="29"/>
      <c r="C156" s="29">
        <v>18500294</v>
      </c>
      <c r="G156" s="29" t="s">
        <v>823</v>
      </c>
      <c r="H156" s="29" t="s">
        <v>292</v>
      </c>
      <c r="I156" s="120">
        <v>45675</v>
      </c>
      <c r="J156" s="29"/>
      <c r="K156" s="29"/>
      <c r="L156" s="29"/>
      <c r="M156" s="29"/>
      <c r="N156" s="29"/>
      <c r="O156" s="29"/>
      <c r="P156" s="29"/>
      <c r="Q156" s="81"/>
      <c r="R156" s="29"/>
      <c r="S156" s="123"/>
    </row>
    <row r="157" spans="1:19" hidden="1">
      <c r="A157" s="29" t="s">
        <v>309</v>
      </c>
      <c r="B157" s="29"/>
      <c r="C157" s="29">
        <v>18500272</v>
      </c>
      <c r="G157" s="29" t="s">
        <v>823</v>
      </c>
      <c r="H157" s="29" t="s">
        <v>292</v>
      </c>
      <c r="I157" s="120">
        <v>45675</v>
      </c>
      <c r="J157" s="29"/>
      <c r="K157" s="29"/>
      <c r="L157" s="29"/>
      <c r="M157" s="29"/>
      <c r="N157" s="29"/>
      <c r="O157" s="29"/>
      <c r="P157" s="29"/>
      <c r="Q157" s="81"/>
      <c r="R157" s="29"/>
      <c r="S157" s="123"/>
    </row>
    <row r="158" spans="1:19" hidden="1">
      <c r="A158" s="29" t="s">
        <v>309</v>
      </c>
      <c r="B158" s="29"/>
      <c r="C158" s="29">
        <v>18500276</v>
      </c>
      <c r="G158" s="29" t="s">
        <v>823</v>
      </c>
      <c r="H158" s="29" t="s">
        <v>292</v>
      </c>
      <c r="I158" s="120">
        <v>45675</v>
      </c>
      <c r="J158" s="29"/>
      <c r="K158" s="29"/>
      <c r="L158" s="29"/>
      <c r="M158" s="29"/>
      <c r="N158" s="29"/>
      <c r="O158" s="29"/>
      <c r="P158" s="29"/>
      <c r="Q158" s="81"/>
      <c r="R158" s="29"/>
      <c r="S158" s="123"/>
    </row>
    <row r="159" spans="1:19" hidden="1">
      <c r="A159" s="147" t="s">
        <v>309</v>
      </c>
      <c r="B159" s="147"/>
      <c r="C159" s="29">
        <v>21507602</v>
      </c>
      <c r="G159" s="29" t="s">
        <v>823</v>
      </c>
      <c r="H159" s="29" t="s">
        <v>315</v>
      </c>
      <c r="I159" s="120">
        <v>45679</v>
      </c>
      <c r="J159" s="29"/>
      <c r="K159" s="29"/>
      <c r="L159" s="29"/>
      <c r="M159" s="29"/>
      <c r="N159" s="29"/>
      <c r="O159" s="29"/>
      <c r="P159" s="29"/>
      <c r="Q159" s="81"/>
      <c r="R159" s="29"/>
      <c r="S159" s="123"/>
    </row>
    <row r="160" spans="1:19" hidden="1">
      <c r="A160" s="147" t="s">
        <v>309</v>
      </c>
      <c r="B160" s="147"/>
      <c r="C160" s="29">
        <v>22500600</v>
      </c>
      <c r="G160" s="29" t="s">
        <v>823</v>
      </c>
      <c r="H160" s="29" t="s">
        <v>315</v>
      </c>
      <c r="I160" s="120">
        <v>45679</v>
      </c>
      <c r="J160" s="29"/>
      <c r="K160" s="29"/>
      <c r="L160" s="29"/>
      <c r="M160" s="29"/>
      <c r="N160" s="29"/>
      <c r="O160" s="29"/>
      <c r="P160" s="29"/>
      <c r="Q160" s="81"/>
      <c r="R160" s="29"/>
      <c r="S160" s="123"/>
    </row>
    <row r="161" spans="1:19" hidden="1">
      <c r="A161" s="147" t="s">
        <v>309</v>
      </c>
      <c r="B161" s="147"/>
      <c r="C161" s="29">
        <v>22500667</v>
      </c>
      <c r="G161" s="29" t="s">
        <v>823</v>
      </c>
      <c r="H161" s="29" t="s">
        <v>315</v>
      </c>
      <c r="I161" s="120">
        <v>45679</v>
      </c>
      <c r="J161" s="29"/>
      <c r="K161" s="29"/>
      <c r="L161" s="29"/>
      <c r="M161" s="29"/>
      <c r="N161" s="29"/>
      <c r="O161" s="29"/>
      <c r="P161" s="29"/>
      <c r="Q161" s="81"/>
      <c r="R161" s="29"/>
      <c r="S161" s="123"/>
    </row>
    <row r="162" spans="1:19" hidden="1">
      <c r="A162" s="147" t="s">
        <v>309</v>
      </c>
      <c r="B162" s="147"/>
      <c r="C162" s="29">
        <v>22500718</v>
      </c>
      <c r="G162" s="29" t="s">
        <v>823</v>
      </c>
      <c r="H162" s="29" t="s">
        <v>315</v>
      </c>
      <c r="I162" s="120">
        <v>45679</v>
      </c>
      <c r="J162" s="29"/>
      <c r="K162" s="29"/>
      <c r="L162" s="29"/>
      <c r="M162" s="29"/>
      <c r="N162" s="29"/>
      <c r="O162" s="29"/>
      <c r="P162" s="29"/>
      <c r="Q162" s="81"/>
      <c r="R162" s="29"/>
      <c r="S162" s="123"/>
    </row>
    <row r="163" spans="1:19" hidden="1">
      <c r="A163" s="147" t="s">
        <v>309</v>
      </c>
      <c r="B163" s="147"/>
      <c r="C163" s="41">
        <v>48503822</v>
      </c>
      <c r="G163" s="29" t="s">
        <v>823</v>
      </c>
      <c r="H163" s="29" t="s">
        <v>315</v>
      </c>
      <c r="I163" s="42">
        <v>45705</v>
      </c>
      <c r="J163" s="29"/>
      <c r="K163" s="29"/>
      <c r="L163" s="29"/>
      <c r="M163" s="29"/>
      <c r="N163" s="29"/>
      <c r="O163" s="29"/>
      <c r="P163" s="29"/>
      <c r="Q163" s="81"/>
      <c r="R163" s="133" t="s">
        <v>518</v>
      </c>
      <c r="S163" s="123"/>
    </row>
    <row r="164" spans="1:19" hidden="1">
      <c r="A164" s="147" t="s">
        <v>309</v>
      </c>
      <c r="B164" s="147"/>
      <c r="C164" s="41">
        <v>48503862</v>
      </c>
      <c r="G164" s="29" t="s">
        <v>823</v>
      </c>
      <c r="H164" s="29" t="s">
        <v>315</v>
      </c>
      <c r="I164" s="42">
        <v>45705</v>
      </c>
      <c r="J164" s="29"/>
      <c r="K164" s="29"/>
      <c r="L164" s="29"/>
      <c r="M164" s="29"/>
      <c r="N164" s="29"/>
      <c r="O164" s="29"/>
      <c r="P164" s="29"/>
      <c r="Q164" s="81"/>
      <c r="R164" s="133" t="s">
        <v>519</v>
      </c>
      <c r="S164" s="123"/>
    </row>
    <row r="165" spans="1:19" hidden="1">
      <c r="A165" s="147" t="s">
        <v>309</v>
      </c>
      <c r="B165" s="147"/>
      <c r="C165" s="41">
        <v>48503899</v>
      </c>
      <c r="G165" s="29" t="s">
        <v>823</v>
      </c>
      <c r="H165" s="29" t="s">
        <v>315</v>
      </c>
      <c r="I165" s="42">
        <v>45705</v>
      </c>
      <c r="J165" s="29"/>
      <c r="K165" s="29"/>
      <c r="L165" s="29"/>
      <c r="M165" s="29"/>
      <c r="N165" s="29"/>
      <c r="O165" s="29"/>
      <c r="P165" s="29"/>
      <c r="Q165" s="81"/>
      <c r="R165" s="133" t="s">
        <v>520</v>
      </c>
      <c r="S165" s="123"/>
    </row>
    <row r="166" spans="1:19" hidden="1">
      <c r="A166" s="147" t="s">
        <v>309</v>
      </c>
      <c r="B166" s="147"/>
      <c r="C166" s="41">
        <v>48503938</v>
      </c>
      <c r="G166" s="29" t="s">
        <v>823</v>
      </c>
      <c r="H166" s="29" t="s">
        <v>315</v>
      </c>
      <c r="I166" s="42">
        <v>45705</v>
      </c>
      <c r="J166" s="29"/>
      <c r="K166" s="29"/>
      <c r="L166" s="29"/>
      <c r="M166" s="29"/>
      <c r="N166" s="29"/>
      <c r="O166" s="29"/>
      <c r="P166" s="29"/>
      <c r="Q166" s="81"/>
      <c r="R166" s="133" t="s">
        <v>521</v>
      </c>
      <c r="S166" s="123"/>
    </row>
    <row r="167" spans="1:19" hidden="1">
      <c r="A167" s="147" t="s">
        <v>309</v>
      </c>
      <c r="B167" s="147"/>
      <c r="C167" s="41">
        <v>48504049</v>
      </c>
      <c r="G167" s="29" t="s">
        <v>823</v>
      </c>
      <c r="H167" s="29" t="s">
        <v>315</v>
      </c>
      <c r="I167" s="42">
        <v>45705</v>
      </c>
      <c r="J167" s="29"/>
      <c r="K167" s="29"/>
      <c r="L167" s="29"/>
      <c r="M167" s="29"/>
      <c r="N167" s="29"/>
      <c r="O167" s="29"/>
      <c r="P167" s="29"/>
      <c r="Q167" s="81"/>
      <c r="R167" s="133" t="s">
        <v>522</v>
      </c>
      <c r="S167" s="123"/>
    </row>
    <row r="168" spans="1:19" hidden="1">
      <c r="A168" s="147" t="s">
        <v>309</v>
      </c>
      <c r="B168" s="147"/>
      <c r="C168" s="41">
        <v>48504019</v>
      </c>
      <c r="G168" s="29" t="s">
        <v>823</v>
      </c>
      <c r="H168" s="29" t="s">
        <v>315</v>
      </c>
      <c r="I168" s="42">
        <v>45705</v>
      </c>
      <c r="J168" s="29"/>
      <c r="K168" s="29"/>
      <c r="L168" s="29"/>
      <c r="M168" s="29"/>
      <c r="N168" s="29"/>
      <c r="O168" s="29"/>
      <c r="P168" s="29"/>
      <c r="Q168" s="81"/>
      <c r="R168" s="133" t="s">
        <v>523</v>
      </c>
      <c r="S168" s="123"/>
    </row>
    <row r="169" spans="1:19" hidden="1">
      <c r="A169" s="147" t="s">
        <v>309</v>
      </c>
      <c r="B169" s="147"/>
      <c r="C169" s="41">
        <v>48504110</v>
      </c>
      <c r="G169" s="29" t="s">
        <v>823</v>
      </c>
      <c r="H169" s="29" t="s">
        <v>315</v>
      </c>
      <c r="I169" s="42">
        <v>45705</v>
      </c>
      <c r="J169" s="29"/>
      <c r="K169" s="29"/>
      <c r="L169" s="29"/>
      <c r="M169" s="29"/>
      <c r="N169" s="29"/>
      <c r="O169" s="29"/>
      <c r="P169" s="29"/>
      <c r="Q169" s="81"/>
      <c r="R169" s="133" t="s">
        <v>524</v>
      </c>
      <c r="S169" s="123"/>
    </row>
    <row r="170" spans="1:19" hidden="1">
      <c r="A170" s="147" t="s">
        <v>309</v>
      </c>
      <c r="B170" s="147"/>
      <c r="C170" s="41">
        <v>48504133</v>
      </c>
      <c r="G170" s="29" t="s">
        <v>823</v>
      </c>
      <c r="H170" s="29" t="s">
        <v>315</v>
      </c>
      <c r="I170" s="42">
        <v>45705</v>
      </c>
      <c r="J170" s="29"/>
      <c r="K170" s="29"/>
      <c r="L170" s="29"/>
      <c r="M170" s="29"/>
      <c r="N170" s="29"/>
      <c r="O170" s="29"/>
      <c r="P170" s="29"/>
      <c r="Q170" s="81"/>
      <c r="R170" s="133" t="s">
        <v>525</v>
      </c>
      <c r="S170" s="123"/>
    </row>
    <row r="171" spans="1:19" hidden="1">
      <c r="A171" s="147" t="s">
        <v>309</v>
      </c>
      <c r="B171" s="147"/>
      <c r="C171" s="41">
        <v>48504220</v>
      </c>
      <c r="G171" s="29" t="s">
        <v>823</v>
      </c>
      <c r="H171" s="29" t="s">
        <v>315</v>
      </c>
      <c r="I171" s="42">
        <v>45705</v>
      </c>
      <c r="J171" s="29"/>
      <c r="K171" s="29"/>
      <c r="L171" s="29"/>
      <c r="M171" s="29"/>
      <c r="N171" s="29"/>
      <c r="O171" s="29"/>
      <c r="P171" s="29"/>
      <c r="Q171" s="81"/>
      <c r="R171" s="133" t="s">
        <v>526</v>
      </c>
      <c r="S171" s="123"/>
    </row>
    <row r="172" spans="1:19" hidden="1">
      <c r="A172" s="147" t="s">
        <v>309</v>
      </c>
      <c r="B172" s="147"/>
      <c r="C172" s="41">
        <v>48504325</v>
      </c>
      <c r="G172" s="29" t="s">
        <v>823</v>
      </c>
      <c r="H172" s="29" t="s">
        <v>315</v>
      </c>
      <c r="I172" s="42">
        <v>45705</v>
      </c>
      <c r="J172" s="29"/>
      <c r="K172" s="29"/>
      <c r="L172" s="29"/>
      <c r="M172" s="29"/>
      <c r="N172" s="29"/>
      <c r="O172" s="29"/>
      <c r="P172" s="29"/>
      <c r="Q172" s="81"/>
      <c r="R172" s="133" t="s">
        <v>527</v>
      </c>
      <c r="S172" s="123"/>
    </row>
    <row r="173" spans="1:19" hidden="1">
      <c r="A173" s="147" t="s">
        <v>309</v>
      </c>
      <c r="B173" s="147"/>
      <c r="C173" s="41">
        <v>48504378</v>
      </c>
      <c r="G173" s="29" t="s">
        <v>823</v>
      </c>
      <c r="H173" s="29" t="s">
        <v>315</v>
      </c>
      <c r="I173" s="42">
        <v>45705</v>
      </c>
      <c r="J173" s="29"/>
      <c r="K173" s="29"/>
      <c r="L173" s="29"/>
      <c r="M173" s="29"/>
      <c r="N173" s="29"/>
      <c r="O173" s="29"/>
      <c r="P173" s="29"/>
      <c r="Q173" s="81"/>
      <c r="R173" s="133" t="s">
        <v>528</v>
      </c>
      <c r="S173" s="123"/>
    </row>
    <row r="174" spans="1:19" hidden="1">
      <c r="A174" s="147" t="s">
        <v>309</v>
      </c>
      <c r="B174" s="147"/>
      <c r="C174" s="41">
        <v>48504399</v>
      </c>
      <c r="G174" s="29" t="s">
        <v>823</v>
      </c>
      <c r="H174" s="29" t="s">
        <v>315</v>
      </c>
      <c r="I174" s="42">
        <v>45705</v>
      </c>
      <c r="J174" s="29"/>
      <c r="K174" s="29"/>
      <c r="L174" s="29"/>
      <c r="M174" s="29"/>
      <c r="N174" s="29"/>
      <c r="O174" s="29"/>
      <c r="P174" s="29"/>
      <c r="Q174" s="81"/>
      <c r="R174" s="133" t="s">
        <v>529</v>
      </c>
      <c r="S174" s="123"/>
    </row>
    <row r="175" spans="1:19" hidden="1">
      <c r="A175" s="147" t="s">
        <v>309</v>
      </c>
      <c r="B175" s="147"/>
      <c r="C175" s="41">
        <v>48504525</v>
      </c>
      <c r="G175" s="29" t="s">
        <v>823</v>
      </c>
      <c r="H175" s="29" t="s">
        <v>315</v>
      </c>
      <c r="I175" s="42">
        <v>45705</v>
      </c>
      <c r="J175" s="29"/>
      <c r="K175" s="29"/>
      <c r="L175" s="29"/>
      <c r="M175" s="29"/>
      <c r="N175" s="29"/>
      <c r="O175" s="29"/>
      <c r="P175" s="29"/>
      <c r="Q175" s="81"/>
      <c r="R175" s="133" t="s">
        <v>530</v>
      </c>
      <c r="S175" s="123"/>
    </row>
    <row r="176" spans="1:19" hidden="1">
      <c r="A176" s="147" t="s">
        <v>309</v>
      </c>
      <c r="B176" s="147"/>
      <c r="C176" s="41">
        <v>48504593</v>
      </c>
      <c r="G176" s="29" t="s">
        <v>823</v>
      </c>
      <c r="H176" s="29" t="s">
        <v>315</v>
      </c>
      <c r="I176" s="42">
        <v>45705</v>
      </c>
      <c r="J176" s="29"/>
      <c r="K176" s="29"/>
      <c r="L176" s="29"/>
      <c r="M176" s="29"/>
      <c r="N176" s="29"/>
      <c r="O176" s="29"/>
      <c r="P176" s="29"/>
      <c r="Q176" s="81"/>
      <c r="R176" s="133" t="s">
        <v>531</v>
      </c>
      <c r="S176" s="123"/>
    </row>
    <row r="177" spans="1:19" hidden="1">
      <c r="A177" s="147" t="s">
        <v>309</v>
      </c>
      <c r="B177" s="147"/>
      <c r="C177" s="41">
        <v>48504635</v>
      </c>
      <c r="G177" s="29" t="s">
        <v>823</v>
      </c>
      <c r="H177" s="29" t="s">
        <v>315</v>
      </c>
      <c r="I177" s="42">
        <v>45705</v>
      </c>
      <c r="J177" s="29"/>
      <c r="K177" s="29"/>
      <c r="L177" s="29"/>
      <c r="M177" s="29"/>
      <c r="N177" s="29"/>
      <c r="O177" s="29"/>
      <c r="P177" s="29"/>
      <c r="Q177" s="81"/>
      <c r="R177" s="133" t="s">
        <v>532</v>
      </c>
      <c r="S177" s="123"/>
    </row>
    <row r="178" spans="1:19" hidden="1">
      <c r="A178" s="147" t="s">
        <v>309</v>
      </c>
      <c r="B178" s="147"/>
      <c r="C178" s="41">
        <v>48504665</v>
      </c>
      <c r="G178" s="29" t="s">
        <v>823</v>
      </c>
      <c r="H178" s="29" t="s">
        <v>315</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315</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315</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315</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315</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315</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315</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315</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315</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315</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315</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315</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315</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315</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315</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315</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315</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315</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315</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315</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315</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315</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315</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315</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315</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315</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315</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315</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315</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315</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315</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315</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315</v>
      </c>
      <c r="I210" s="42">
        <v>45705</v>
      </c>
      <c r="J210" s="29"/>
      <c r="K210" s="29"/>
      <c r="L210" s="29"/>
      <c r="M210" s="29"/>
      <c r="N210" s="29"/>
      <c r="O210" s="29"/>
      <c r="P210" s="29"/>
      <c r="Q210" s="81"/>
      <c r="R210" s="41" t="s">
        <v>564</v>
      </c>
      <c r="S210" s="123"/>
    </row>
    <row r="211" spans="1:19" hidden="1">
      <c r="A211" s="29" t="s">
        <v>379</v>
      </c>
      <c r="B211" s="29"/>
      <c r="C211" s="29">
        <v>37505890</v>
      </c>
      <c r="G211" s="29" t="s">
        <v>823</v>
      </c>
      <c r="H211" s="29" t="s">
        <v>291</v>
      </c>
      <c r="I211" s="120">
        <v>45694</v>
      </c>
      <c r="J211" s="29"/>
      <c r="K211" s="29"/>
      <c r="L211" s="29"/>
      <c r="M211" s="29"/>
      <c r="N211" s="29"/>
      <c r="O211" s="29"/>
      <c r="P211" s="29"/>
      <c r="Q211" s="81"/>
      <c r="R211" s="29" t="s">
        <v>856</v>
      </c>
      <c r="S211" s="123"/>
    </row>
    <row r="212" spans="1:19" hidden="1">
      <c r="A212" s="29" t="s">
        <v>379</v>
      </c>
      <c r="B212" s="29"/>
      <c r="C212" s="29">
        <v>37505866</v>
      </c>
      <c r="G212" s="29" t="s">
        <v>823</v>
      </c>
      <c r="H212" s="29" t="s">
        <v>291</v>
      </c>
      <c r="I212" s="120">
        <v>45694</v>
      </c>
      <c r="J212" s="29"/>
      <c r="K212" s="29"/>
      <c r="L212" s="29"/>
      <c r="M212" s="29"/>
      <c r="N212" s="29"/>
      <c r="O212" s="29"/>
      <c r="P212" s="29"/>
      <c r="Q212" s="81"/>
      <c r="R212" s="29" t="s">
        <v>857</v>
      </c>
      <c r="S212" s="123"/>
    </row>
    <row r="213" spans="1:19" hidden="1">
      <c r="A213" s="29" t="s">
        <v>379</v>
      </c>
      <c r="B213" s="29"/>
      <c r="C213" s="29">
        <v>37505708</v>
      </c>
      <c r="G213" s="29" t="s">
        <v>823</v>
      </c>
      <c r="H213" s="29" t="s">
        <v>291</v>
      </c>
      <c r="I213" s="120">
        <v>45694</v>
      </c>
      <c r="J213" s="29"/>
      <c r="K213" s="29"/>
      <c r="L213" s="29"/>
      <c r="M213" s="29"/>
      <c r="N213" s="29"/>
      <c r="O213" s="29"/>
      <c r="P213" s="29"/>
      <c r="Q213" s="81"/>
      <c r="R213" s="29" t="s">
        <v>858</v>
      </c>
      <c r="S213" s="123"/>
    </row>
    <row r="214" spans="1:19" hidden="1">
      <c r="A214" s="29" t="s">
        <v>379</v>
      </c>
      <c r="B214" s="29"/>
      <c r="C214" s="29">
        <v>37505692</v>
      </c>
      <c r="G214" s="29" t="s">
        <v>823</v>
      </c>
      <c r="H214" s="29" t="s">
        <v>291</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161</v>
      </c>
      <c r="I215" s="120">
        <v>45694</v>
      </c>
      <c r="J215" s="29"/>
      <c r="K215" s="29"/>
      <c r="L215" s="29"/>
      <c r="M215" s="29"/>
      <c r="N215" s="29"/>
      <c r="O215" s="29"/>
      <c r="P215" s="29"/>
      <c r="Q215" s="81"/>
      <c r="R215" s="29" t="s">
        <v>860</v>
      </c>
      <c r="S215" s="123"/>
    </row>
    <row r="216" spans="1:19" hidden="1">
      <c r="A216" s="29" t="s">
        <v>379</v>
      </c>
      <c r="B216" s="29"/>
      <c r="C216" s="29">
        <v>37505653</v>
      </c>
      <c r="G216" s="29" t="s">
        <v>823</v>
      </c>
      <c r="H216" s="29" t="s">
        <v>291</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161</v>
      </c>
      <c r="I217" s="120">
        <v>45694</v>
      </c>
      <c r="J217" s="29"/>
      <c r="K217" s="29"/>
      <c r="L217" s="29"/>
      <c r="M217" s="29"/>
      <c r="N217" s="29"/>
      <c r="O217" s="29"/>
      <c r="P217" s="29"/>
      <c r="Q217" s="81"/>
      <c r="R217" s="29" t="s">
        <v>860</v>
      </c>
      <c r="S217" s="123"/>
    </row>
    <row r="218" spans="1:19" hidden="1">
      <c r="A218" s="29" t="s">
        <v>379</v>
      </c>
      <c r="B218" s="29"/>
      <c r="C218" s="29">
        <v>37505767</v>
      </c>
      <c r="G218" s="29" t="s">
        <v>823</v>
      </c>
      <c r="H218" s="29" t="s">
        <v>291</v>
      </c>
      <c r="I218" s="120">
        <v>45694</v>
      </c>
      <c r="J218" s="29"/>
      <c r="K218" s="29"/>
      <c r="L218" s="29"/>
      <c r="M218" s="29"/>
      <c r="N218" s="29"/>
      <c r="O218" s="29"/>
      <c r="P218" s="29"/>
      <c r="Q218" s="81"/>
      <c r="R218" s="29" t="s">
        <v>858</v>
      </c>
      <c r="S218" s="123"/>
    </row>
    <row r="219" spans="1:19" hidden="1">
      <c r="A219" s="29" t="s">
        <v>379</v>
      </c>
      <c r="B219" s="29"/>
      <c r="C219" s="29">
        <v>37505730</v>
      </c>
      <c r="G219" s="29" t="s">
        <v>823</v>
      </c>
      <c r="H219" s="29" t="s">
        <v>291</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161</v>
      </c>
      <c r="I220" s="120">
        <v>45694</v>
      </c>
      <c r="J220" s="29"/>
      <c r="K220" s="29"/>
      <c r="L220" s="29"/>
      <c r="M220" s="29"/>
      <c r="N220" s="29"/>
      <c r="O220" s="29"/>
      <c r="P220" s="29"/>
      <c r="Q220" s="81"/>
      <c r="R220" s="29" t="s">
        <v>862</v>
      </c>
      <c r="S220" s="123"/>
    </row>
    <row r="221" spans="1:19" hidden="1">
      <c r="A221" s="29" t="s">
        <v>379</v>
      </c>
      <c r="B221" s="29"/>
      <c r="C221" s="29">
        <v>35509789</v>
      </c>
      <c r="G221" s="29" t="s">
        <v>823</v>
      </c>
      <c r="H221" s="29" t="s">
        <v>291</v>
      </c>
      <c r="I221" s="120">
        <v>45691</v>
      </c>
      <c r="J221" s="29"/>
      <c r="K221" s="29"/>
      <c r="L221" s="29"/>
      <c r="M221" s="29"/>
      <c r="N221" s="29"/>
      <c r="O221" s="29"/>
      <c r="P221" s="29"/>
      <c r="Q221" s="81"/>
      <c r="R221" s="29" t="s">
        <v>380</v>
      </c>
      <c r="S221" s="123"/>
    </row>
    <row r="222" spans="1:19" hidden="1">
      <c r="A222" s="29" t="s">
        <v>379</v>
      </c>
      <c r="B222" s="29"/>
      <c r="C222" s="29">
        <v>35509780</v>
      </c>
      <c r="G222" s="29" t="s">
        <v>823</v>
      </c>
      <c r="H222" s="29" t="s">
        <v>291</v>
      </c>
      <c r="I222" s="120">
        <v>45691</v>
      </c>
      <c r="J222" s="29"/>
      <c r="K222" s="29"/>
      <c r="L222" s="29"/>
      <c r="M222" s="29"/>
      <c r="N222" s="29"/>
      <c r="O222" s="29"/>
      <c r="P222" s="29"/>
      <c r="Q222" s="81"/>
      <c r="R222" s="29" t="s">
        <v>381</v>
      </c>
      <c r="S222" s="123"/>
    </row>
    <row r="223" spans="1:19" hidden="1">
      <c r="A223" s="29" t="s">
        <v>379</v>
      </c>
      <c r="B223" s="29"/>
      <c r="C223" s="29">
        <v>35509774</v>
      </c>
      <c r="G223" s="29" t="s">
        <v>823</v>
      </c>
      <c r="H223" s="29" t="s">
        <v>291</v>
      </c>
      <c r="I223" s="120">
        <v>45691</v>
      </c>
      <c r="J223" s="29"/>
      <c r="K223" s="29"/>
      <c r="L223" s="29"/>
      <c r="M223" s="29"/>
      <c r="N223" s="29"/>
      <c r="O223" s="29"/>
      <c r="P223" s="29"/>
      <c r="Q223" s="81"/>
      <c r="R223" s="29" t="s">
        <v>381</v>
      </c>
      <c r="S223" s="123"/>
    </row>
    <row r="224" spans="1:19" hidden="1">
      <c r="A224" s="29" t="s">
        <v>379</v>
      </c>
      <c r="B224" s="29"/>
      <c r="C224" s="29">
        <v>35509764</v>
      </c>
      <c r="G224" s="29" t="s">
        <v>823</v>
      </c>
      <c r="H224" s="29" t="s">
        <v>291</v>
      </c>
      <c r="I224" s="120">
        <v>45691</v>
      </c>
      <c r="J224" s="29"/>
      <c r="K224" s="29"/>
      <c r="L224" s="29"/>
      <c r="M224" s="29"/>
      <c r="N224" s="29"/>
      <c r="O224" s="29"/>
      <c r="P224" s="29"/>
      <c r="Q224" s="81"/>
      <c r="R224" s="29" t="s">
        <v>382</v>
      </c>
      <c r="S224" s="123"/>
    </row>
    <row r="225" spans="1:19" hidden="1">
      <c r="A225" s="29" t="s">
        <v>379</v>
      </c>
      <c r="B225" s="29"/>
      <c r="C225" s="29">
        <v>35509750</v>
      </c>
      <c r="G225" s="29" t="s">
        <v>823</v>
      </c>
      <c r="H225" s="29" t="s">
        <v>291</v>
      </c>
      <c r="I225" s="120">
        <v>45691</v>
      </c>
      <c r="J225" s="29"/>
      <c r="K225" s="29"/>
      <c r="L225" s="29"/>
      <c r="M225" s="29"/>
      <c r="N225" s="29"/>
      <c r="O225" s="29"/>
      <c r="P225" s="29"/>
      <c r="Q225" s="81"/>
      <c r="R225" s="29" t="s">
        <v>383</v>
      </c>
      <c r="S225" s="123"/>
    </row>
    <row r="226" spans="1:19" hidden="1">
      <c r="A226" s="29" t="s">
        <v>854</v>
      </c>
      <c r="B226" s="29"/>
      <c r="C226" s="29">
        <v>36501750</v>
      </c>
      <c r="G226" s="29" t="s">
        <v>823</v>
      </c>
      <c r="H226" s="29" t="s">
        <v>161</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161</v>
      </c>
      <c r="I227" s="120">
        <v>45692</v>
      </c>
      <c r="J227" s="29"/>
      <c r="K227" s="29"/>
      <c r="L227" s="29"/>
      <c r="M227" s="29"/>
      <c r="N227" s="29"/>
      <c r="O227" s="29"/>
      <c r="P227" s="29"/>
      <c r="Q227" s="81"/>
      <c r="R227" s="29" t="s">
        <v>434</v>
      </c>
      <c r="S227" s="123"/>
    </row>
    <row r="228" spans="1:19" hidden="1">
      <c r="A228" s="29" t="s">
        <v>854</v>
      </c>
      <c r="B228" s="29"/>
      <c r="C228" s="29">
        <v>36501220</v>
      </c>
      <c r="G228" s="29" t="s">
        <v>823</v>
      </c>
      <c r="H228" s="29" t="s">
        <v>161</v>
      </c>
      <c r="I228" s="120">
        <v>45692</v>
      </c>
      <c r="J228" s="29"/>
      <c r="K228" s="29"/>
      <c r="L228" s="29"/>
      <c r="M228" s="29"/>
      <c r="N228" s="29"/>
      <c r="O228" s="29"/>
      <c r="P228" s="29"/>
      <c r="Q228" s="81"/>
      <c r="R228" s="29" t="s">
        <v>471</v>
      </c>
      <c r="S228" s="123"/>
    </row>
    <row r="229" spans="1:19" hidden="1">
      <c r="A229" s="29" t="s">
        <v>854</v>
      </c>
      <c r="B229" s="29"/>
      <c r="C229" s="29">
        <v>35509618</v>
      </c>
      <c r="G229" s="29" t="s">
        <v>823</v>
      </c>
      <c r="H229" s="29" t="s">
        <v>161</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161</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161</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161</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161</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161</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161</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161</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161</v>
      </c>
      <c r="I237" s="120">
        <v>45694</v>
      </c>
      <c r="J237" s="29"/>
      <c r="K237" s="29"/>
      <c r="L237" s="29"/>
      <c r="M237" s="29"/>
      <c r="N237" s="29"/>
      <c r="O237" s="29"/>
      <c r="P237" s="29"/>
      <c r="Q237" s="81"/>
      <c r="R237" s="29" t="s">
        <v>870</v>
      </c>
      <c r="S237" s="123"/>
    </row>
    <row r="238" spans="1:19" hidden="1">
      <c r="A238" s="29" t="s">
        <v>379</v>
      </c>
      <c r="B238" s="29"/>
      <c r="C238" s="29">
        <v>37505640</v>
      </c>
      <c r="G238" s="29" t="s">
        <v>823</v>
      </c>
      <c r="H238" s="29" t="s">
        <v>291</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161</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161</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161</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161</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161</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161</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161</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161</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161</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161</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161</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161</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161</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161</v>
      </c>
      <c r="I252" s="120">
        <v>45691</v>
      </c>
      <c r="P252" s="134"/>
      <c r="R252" s="29" t="s">
        <v>864</v>
      </c>
    </row>
    <row r="253" spans="1:19" hidden="1">
      <c r="A253" s="29" t="s">
        <v>854</v>
      </c>
      <c r="B253" s="29"/>
      <c r="C253" s="29">
        <v>35509633</v>
      </c>
      <c r="G253" s="29" t="s">
        <v>823</v>
      </c>
      <c r="H253" s="29" t="s">
        <v>161</v>
      </c>
      <c r="I253" s="120">
        <v>45691</v>
      </c>
      <c r="P253" s="134"/>
      <c r="R253" s="29" t="s">
        <v>865</v>
      </c>
    </row>
    <row r="254" spans="1:19" hidden="1">
      <c r="A254" s="29" t="s">
        <v>854</v>
      </c>
      <c r="B254" s="29"/>
      <c r="C254" s="29">
        <v>35509658</v>
      </c>
      <c r="G254" s="29" t="s">
        <v>823</v>
      </c>
      <c r="H254" s="29" t="s">
        <v>161</v>
      </c>
      <c r="I254" s="120">
        <v>45691</v>
      </c>
      <c r="P254" s="134"/>
      <c r="R254" s="29" t="s">
        <v>866</v>
      </c>
    </row>
    <row r="255" spans="1:19" hidden="1">
      <c r="A255" s="29" t="s">
        <v>854</v>
      </c>
      <c r="B255" s="29"/>
      <c r="C255" s="29">
        <v>37506123</v>
      </c>
      <c r="G255" s="29" t="s">
        <v>823</v>
      </c>
      <c r="H255" s="29" t="s">
        <v>161</v>
      </c>
      <c r="I255" s="120">
        <v>45694</v>
      </c>
      <c r="P255" s="134"/>
      <c r="R255" s="29" t="s">
        <v>855</v>
      </c>
    </row>
    <row r="256" spans="1:19" hidden="1">
      <c r="A256" s="29" t="s">
        <v>854</v>
      </c>
      <c r="B256" s="29"/>
      <c r="C256" s="29">
        <v>37506111</v>
      </c>
      <c r="G256" s="29" t="s">
        <v>823</v>
      </c>
      <c r="H256" s="29" t="s">
        <v>161</v>
      </c>
      <c r="I256" s="120">
        <v>45694</v>
      </c>
      <c r="P256" s="134"/>
      <c r="R256" s="29" t="s">
        <v>872</v>
      </c>
    </row>
    <row r="257" spans="1:18" hidden="1">
      <c r="A257" s="29" t="s">
        <v>854</v>
      </c>
      <c r="B257" s="29"/>
      <c r="C257" s="29">
        <v>37506073</v>
      </c>
      <c r="G257" s="29" t="s">
        <v>823</v>
      </c>
      <c r="H257" s="29" t="s">
        <v>161</v>
      </c>
      <c r="I257" s="120">
        <v>45694</v>
      </c>
      <c r="P257" s="134"/>
      <c r="R257" s="29" t="s">
        <v>872</v>
      </c>
    </row>
    <row r="258" spans="1:18" hidden="1">
      <c r="A258" s="29" t="s">
        <v>854</v>
      </c>
      <c r="B258" s="29"/>
      <c r="C258" s="29">
        <v>37506056</v>
      </c>
      <c r="G258" s="29" t="s">
        <v>823</v>
      </c>
      <c r="H258" s="29" t="s">
        <v>161</v>
      </c>
      <c r="I258" s="120">
        <v>45694</v>
      </c>
      <c r="P258" s="134"/>
      <c r="R258" s="29" t="s">
        <v>869</v>
      </c>
    </row>
    <row r="259" spans="1:18" hidden="1">
      <c r="A259" s="29" t="s">
        <v>854</v>
      </c>
      <c r="B259" s="29"/>
      <c r="C259" s="29">
        <v>37506038</v>
      </c>
      <c r="G259" s="29" t="s">
        <v>823</v>
      </c>
      <c r="H259" s="29" t="s">
        <v>161</v>
      </c>
      <c r="I259" s="120">
        <v>45694</v>
      </c>
      <c r="P259" s="134"/>
      <c r="R259" s="29" t="s">
        <v>867</v>
      </c>
    </row>
    <row r="260" spans="1:18" hidden="1">
      <c r="A260" s="29" t="s">
        <v>854</v>
      </c>
      <c r="B260" s="29"/>
      <c r="C260" s="29">
        <v>37505985</v>
      </c>
      <c r="G260" s="29" t="s">
        <v>823</v>
      </c>
      <c r="H260" s="29" t="s">
        <v>161</v>
      </c>
      <c r="I260" s="120">
        <v>45694</v>
      </c>
      <c r="P260" s="134"/>
      <c r="R260" s="29" t="s">
        <v>868</v>
      </c>
    </row>
    <row r="261" spans="1:18" hidden="1">
      <c r="A261" s="29" t="s">
        <v>854</v>
      </c>
      <c r="B261" s="29"/>
      <c r="C261" s="29">
        <v>37505961</v>
      </c>
      <c r="G261" s="29" t="s">
        <v>823</v>
      </c>
      <c r="H261" s="29" t="s">
        <v>161</v>
      </c>
      <c r="I261" s="120">
        <v>45694</v>
      </c>
      <c r="P261" s="134"/>
      <c r="R261" s="29" t="s">
        <v>869</v>
      </c>
    </row>
    <row r="262" spans="1:18" hidden="1">
      <c r="A262" s="29" t="s">
        <v>854</v>
      </c>
      <c r="B262" s="29"/>
      <c r="C262" s="29">
        <v>37505929</v>
      </c>
      <c r="G262" s="29" t="s">
        <v>823</v>
      </c>
      <c r="H262" s="29" t="s">
        <v>161</v>
      </c>
      <c r="I262" s="120">
        <v>45694</v>
      </c>
      <c r="P262" s="134"/>
      <c r="R262" s="29" t="s">
        <v>860</v>
      </c>
    </row>
    <row r="263" spans="1:18" hidden="1">
      <c r="A263" s="29" t="s">
        <v>854</v>
      </c>
      <c r="B263" s="29"/>
      <c r="C263" s="29">
        <v>37505902</v>
      </c>
      <c r="G263" s="29" t="s">
        <v>823</v>
      </c>
      <c r="H263" s="29" t="s">
        <v>161</v>
      </c>
      <c r="I263" s="120">
        <v>45694</v>
      </c>
      <c r="P263" s="134"/>
      <c r="R263" s="29" t="s">
        <v>860</v>
      </c>
    </row>
    <row r="264" spans="1:18" hidden="1">
      <c r="A264" s="29" t="s">
        <v>379</v>
      </c>
      <c r="B264" s="29"/>
      <c r="C264" s="29">
        <v>37505890</v>
      </c>
      <c r="G264" s="29" t="s">
        <v>823</v>
      </c>
      <c r="H264" s="29" t="s">
        <v>291</v>
      </c>
      <c r="I264" s="120">
        <v>45694</v>
      </c>
      <c r="P264" s="134"/>
      <c r="R264" s="29" t="s">
        <v>856</v>
      </c>
    </row>
    <row r="265" spans="1:18" hidden="1">
      <c r="A265" s="29" t="s">
        <v>379</v>
      </c>
      <c r="B265" s="29"/>
      <c r="C265" s="29">
        <v>37505866</v>
      </c>
      <c r="G265" s="29" t="s">
        <v>823</v>
      </c>
      <c r="H265" s="29" t="s">
        <v>291</v>
      </c>
      <c r="I265" s="120">
        <v>45694</v>
      </c>
      <c r="P265" s="134"/>
      <c r="R265" s="29" t="s">
        <v>857</v>
      </c>
    </row>
    <row r="266" spans="1:18" hidden="1">
      <c r="A266" s="29" t="s">
        <v>854</v>
      </c>
      <c r="B266" s="29"/>
      <c r="C266" s="29">
        <v>37505858</v>
      </c>
      <c r="G266" s="29" t="s">
        <v>823</v>
      </c>
      <c r="H266" s="29" t="s">
        <v>161</v>
      </c>
      <c r="I266" s="120">
        <v>45694</v>
      </c>
      <c r="P266" s="134"/>
      <c r="R266" s="29" t="s">
        <v>860</v>
      </c>
    </row>
    <row r="267" spans="1:18" hidden="1">
      <c r="A267" s="29" t="s">
        <v>379</v>
      </c>
      <c r="B267" s="29"/>
      <c r="C267" s="29">
        <v>37505767</v>
      </c>
      <c r="G267" s="29" t="s">
        <v>823</v>
      </c>
      <c r="H267" s="29" t="s">
        <v>291</v>
      </c>
      <c r="I267" s="120">
        <v>45694</v>
      </c>
      <c r="P267" s="134"/>
      <c r="R267" s="29" t="s">
        <v>858</v>
      </c>
    </row>
    <row r="268" spans="1:18" hidden="1">
      <c r="A268" s="29" t="s">
        <v>379</v>
      </c>
      <c r="B268" s="29"/>
      <c r="C268" s="29">
        <v>37505730</v>
      </c>
      <c r="G268" s="29" t="s">
        <v>823</v>
      </c>
      <c r="H268" s="29" t="s">
        <v>291</v>
      </c>
      <c r="I268" s="120">
        <v>45694</v>
      </c>
      <c r="P268" s="134"/>
      <c r="R268" s="29" t="s">
        <v>858</v>
      </c>
    </row>
    <row r="269" spans="1:18" hidden="1">
      <c r="A269" s="29" t="s">
        <v>379</v>
      </c>
      <c r="B269" s="29"/>
      <c r="C269" s="29">
        <v>37505708</v>
      </c>
      <c r="G269" s="29" t="s">
        <v>823</v>
      </c>
      <c r="H269" s="29" t="s">
        <v>291</v>
      </c>
      <c r="I269" s="120">
        <v>45694</v>
      </c>
      <c r="P269" s="134"/>
      <c r="R269" s="29" t="s">
        <v>858</v>
      </c>
    </row>
    <row r="270" spans="1:18" hidden="1">
      <c r="A270" s="29" t="s">
        <v>379</v>
      </c>
      <c r="B270" s="29"/>
      <c r="C270" s="29">
        <v>37505692</v>
      </c>
      <c r="G270" s="29" t="s">
        <v>823</v>
      </c>
      <c r="H270" s="29" t="s">
        <v>291</v>
      </c>
      <c r="I270" s="120">
        <v>45694</v>
      </c>
      <c r="P270" s="134"/>
      <c r="R270" s="29" t="s">
        <v>859</v>
      </c>
    </row>
    <row r="271" spans="1:18" hidden="1">
      <c r="A271" s="29" t="s">
        <v>854</v>
      </c>
      <c r="B271" s="29"/>
      <c r="C271" s="29">
        <v>37505682</v>
      </c>
      <c r="G271" s="29" t="s">
        <v>823</v>
      </c>
      <c r="H271" s="29" t="s">
        <v>161</v>
      </c>
      <c r="I271" s="120">
        <v>45694</v>
      </c>
      <c r="P271" s="134"/>
      <c r="R271" s="29" t="s">
        <v>860</v>
      </c>
    </row>
    <row r="272" spans="1:18" hidden="1">
      <c r="A272" s="29" t="s">
        <v>379</v>
      </c>
      <c r="B272" s="29"/>
      <c r="C272" s="29">
        <v>37505653</v>
      </c>
      <c r="G272" s="29" t="s">
        <v>823</v>
      </c>
      <c r="H272" s="29" t="s">
        <v>291</v>
      </c>
      <c r="I272" s="120">
        <v>45694</v>
      </c>
      <c r="P272" s="134"/>
      <c r="R272" s="29" t="s">
        <v>861</v>
      </c>
    </row>
    <row r="273" spans="1:18" hidden="1">
      <c r="A273" s="29" t="s">
        <v>854</v>
      </c>
      <c r="B273" s="29"/>
      <c r="C273" s="29">
        <v>37505642</v>
      </c>
      <c r="G273" s="29" t="s">
        <v>823</v>
      </c>
      <c r="H273" s="29" t="s">
        <v>161</v>
      </c>
      <c r="I273" s="120">
        <v>45694</v>
      </c>
      <c r="P273" s="134"/>
      <c r="R273" s="29" t="s">
        <v>870</v>
      </c>
    </row>
    <row r="274" spans="1:18" hidden="1">
      <c r="A274" s="29" t="s">
        <v>379</v>
      </c>
      <c r="B274" s="29"/>
      <c r="C274" s="29">
        <v>37505640</v>
      </c>
      <c r="G274" s="29" t="s">
        <v>823</v>
      </c>
      <c r="H274" s="29" t="s">
        <v>291</v>
      </c>
      <c r="I274" s="120">
        <v>45694</v>
      </c>
      <c r="P274" s="134"/>
      <c r="R274" s="29" t="s">
        <v>871</v>
      </c>
    </row>
    <row r="275" spans="1:18" hidden="1">
      <c r="A275" s="29" t="s">
        <v>854</v>
      </c>
      <c r="B275" s="29"/>
      <c r="C275" s="29">
        <v>37505599</v>
      </c>
      <c r="G275" s="29" t="s">
        <v>823</v>
      </c>
      <c r="H275" s="29" t="s">
        <v>161</v>
      </c>
      <c r="I275" s="120">
        <v>45694</v>
      </c>
      <c r="P275" s="134"/>
      <c r="R275" s="29" t="s">
        <v>862</v>
      </c>
    </row>
    <row r="276" spans="1:18" hidden="1">
      <c r="A276" s="29" t="s">
        <v>854</v>
      </c>
      <c r="B276" s="29"/>
      <c r="C276" s="29">
        <v>37505280</v>
      </c>
      <c r="G276" s="29" t="s">
        <v>823</v>
      </c>
      <c r="H276" s="29" t="s">
        <v>161</v>
      </c>
      <c r="I276" s="120">
        <v>45694</v>
      </c>
      <c r="P276" s="134"/>
      <c r="R276" s="29" t="s">
        <v>862</v>
      </c>
    </row>
    <row r="277" spans="1:18" hidden="1">
      <c r="A277" s="29" t="s">
        <v>854</v>
      </c>
      <c r="B277" s="29"/>
      <c r="C277" s="29">
        <v>37505252</v>
      </c>
      <c r="G277" s="29" t="s">
        <v>823</v>
      </c>
      <c r="H277" s="29" t="s">
        <v>161</v>
      </c>
      <c r="I277" s="120">
        <v>45694</v>
      </c>
      <c r="P277" s="134"/>
      <c r="R277" s="29" t="s">
        <v>862</v>
      </c>
    </row>
    <row r="278" spans="1:18" hidden="1">
      <c r="A278" s="29" t="s">
        <v>854</v>
      </c>
      <c r="B278" s="29"/>
      <c r="C278" s="29">
        <v>37505229</v>
      </c>
      <c r="G278" s="29" t="s">
        <v>823</v>
      </c>
      <c r="H278" s="29" t="s">
        <v>161</v>
      </c>
      <c r="I278" s="120">
        <v>45694</v>
      </c>
      <c r="P278" s="134"/>
      <c r="R278" s="29" t="s">
        <v>873</v>
      </c>
    </row>
    <row r="279" spans="1:18" hidden="1">
      <c r="A279" s="29" t="s">
        <v>854</v>
      </c>
      <c r="B279" s="29"/>
      <c r="C279" s="29">
        <v>37505213</v>
      </c>
      <c r="G279" s="29" t="s">
        <v>823</v>
      </c>
      <c r="H279" s="29" t="s">
        <v>161</v>
      </c>
      <c r="I279" s="120">
        <v>45694</v>
      </c>
      <c r="P279" s="134"/>
      <c r="R279" s="29" t="s">
        <v>874</v>
      </c>
    </row>
    <row r="280" spans="1:18" hidden="1">
      <c r="A280" s="29" t="s">
        <v>854</v>
      </c>
      <c r="B280" s="29"/>
      <c r="C280" s="29">
        <v>37505183</v>
      </c>
      <c r="G280" s="29" t="s">
        <v>823</v>
      </c>
      <c r="H280" s="29" t="s">
        <v>161</v>
      </c>
      <c r="I280" s="120">
        <v>45694</v>
      </c>
      <c r="P280" s="134"/>
      <c r="R280" s="29" t="s">
        <v>875</v>
      </c>
    </row>
    <row r="281" spans="1:18" hidden="1">
      <c r="A281" s="29" t="s">
        <v>854</v>
      </c>
      <c r="B281" s="29"/>
      <c r="C281" s="29">
        <v>37505094</v>
      </c>
      <c r="G281" s="29" t="s">
        <v>823</v>
      </c>
      <c r="H281" s="29" t="s">
        <v>161</v>
      </c>
      <c r="I281" s="120">
        <v>45694</v>
      </c>
      <c r="P281" s="134"/>
      <c r="R281" s="29" t="s">
        <v>876</v>
      </c>
    </row>
    <row r="282" spans="1:18" hidden="1">
      <c r="A282" s="29" t="s">
        <v>854</v>
      </c>
      <c r="B282" s="29"/>
      <c r="C282" s="29">
        <v>37505037</v>
      </c>
      <c r="G282" s="29" t="s">
        <v>823</v>
      </c>
      <c r="H282" s="29" t="s">
        <v>161</v>
      </c>
      <c r="I282" s="120">
        <v>45694</v>
      </c>
      <c r="P282" s="134"/>
      <c r="R282" s="29" t="s">
        <v>877</v>
      </c>
    </row>
    <row r="283" spans="1:18" hidden="1">
      <c r="A283" s="29" t="s">
        <v>854</v>
      </c>
      <c r="B283" s="29"/>
      <c r="C283" s="29">
        <v>37502907</v>
      </c>
      <c r="G283" s="29" t="s">
        <v>823</v>
      </c>
      <c r="H283" s="29" t="s">
        <v>161</v>
      </c>
      <c r="I283" s="120">
        <v>45694</v>
      </c>
      <c r="P283" s="134"/>
      <c r="R283" s="29" t="s">
        <v>878</v>
      </c>
    </row>
    <row r="284" spans="1:18" hidden="1">
      <c r="A284" s="29" t="s">
        <v>854</v>
      </c>
      <c r="B284" s="29"/>
      <c r="C284" s="29">
        <v>37502781</v>
      </c>
      <c r="G284" s="29" t="s">
        <v>823</v>
      </c>
      <c r="H284" s="29" t="s">
        <v>161</v>
      </c>
      <c r="I284" s="120">
        <v>45694</v>
      </c>
      <c r="P284" s="134"/>
      <c r="R284" s="29" t="s">
        <v>879</v>
      </c>
    </row>
    <row r="285" spans="1:18" hidden="1">
      <c r="A285" s="29" t="s">
        <v>854</v>
      </c>
      <c r="B285" s="29"/>
      <c r="C285" s="29">
        <v>36501750</v>
      </c>
      <c r="G285" s="29" t="s">
        <v>823</v>
      </c>
      <c r="H285" s="29" t="s">
        <v>161</v>
      </c>
      <c r="I285" s="120">
        <v>45692</v>
      </c>
      <c r="P285" s="134"/>
      <c r="R285" s="29" t="s">
        <v>863</v>
      </c>
    </row>
    <row r="286" spans="1:18" hidden="1">
      <c r="A286" s="29" t="s">
        <v>854</v>
      </c>
      <c r="B286" s="29"/>
      <c r="C286" s="29">
        <v>36501703</v>
      </c>
      <c r="G286" s="29" t="s">
        <v>823</v>
      </c>
      <c r="H286" s="29" t="s">
        <v>161</v>
      </c>
      <c r="I286" s="120">
        <v>45692</v>
      </c>
      <c r="P286" s="134"/>
      <c r="R286" s="29" t="s">
        <v>434</v>
      </c>
    </row>
    <row r="287" spans="1:18" hidden="1">
      <c r="A287" s="29" t="s">
        <v>854</v>
      </c>
      <c r="B287" s="29"/>
      <c r="C287" s="29">
        <v>36501220</v>
      </c>
      <c r="G287" s="29" t="s">
        <v>823</v>
      </c>
      <c r="H287" s="29" t="s">
        <v>161</v>
      </c>
      <c r="I287" s="120">
        <v>45692</v>
      </c>
      <c r="P287" s="134"/>
      <c r="R287" s="29" t="s">
        <v>471</v>
      </c>
    </row>
    <row r="288" spans="1:18" hidden="1">
      <c r="A288" s="29" t="s">
        <v>438</v>
      </c>
      <c r="B288" s="29"/>
      <c r="C288" s="29">
        <v>36508939</v>
      </c>
      <c r="G288" s="29" t="s">
        <v>823</v>
      </c>
      <c r="H288" s="147" t="s">
        <v>439</v>
      </c>
      <c r="I288" s="120">
        <v>45692</v>
      </c>
      <c r="P288" s="134"/>
      <c r="R288" s="29" t="s">
        <v>507</v>
      </c>
    </row>
    <row r="289" spans="1:18" hidden="1">
      <c r="A289" s="29" t="s">
        <v>438</v>
      </c>
      <c r="B289" s="29"/>
      <c r="C289" s="29">
        <v>36508971</v>
      </c>
      <c r="G289" s="29" t="s">
        <v>823</v>
      </c>
      <c r="H289" s="147" t="s">
        <v>439</v>
      </c>
      <c r="I289" s="120">
        <v>45692</v>
      </c>
      <c r="P289" s="134"/>
      <c r="R289" s="29" t="s">
        <v>505</v>
      </c>
    </row>
    <row r="290" spans="1:18" hidden="1">
      <c r="A290" s="29" t="s">
        <v>438</v>
      </c>
      <c r="B290" s="29"/>
      <c r="C290" s="29">
        <v>36509009</v>
      </c>
      <c r="G290" s="29" t="s">
        <v>823</v>
      </c>
      <c r="H290" s="147" t="s">
        <v>439</v>
      </c>
      <c r="I290" s="120">
        <v>45692</v>
      </c>
      <c r="P290" s="134"/>
      <c r="R290" s="29" t="s">
        <v>881</v>
      </c>
    </row>
    <row r="291" spans="1:18" hidden="1">
      <c r="A291" s="29" t="s">
        <v>438</v>
      </c>
      <c r="B291" s="29"/>
      <c r="C291" s="29">
        <v>36509029</v>
      </c>
      <c r="G291" s="29" t="s">
        <v>823</v>
      </c>
      <c r="H291" s="147" t="s">
        <v>439</v>
      </c>
      <c r="I291" s="120">
        <v>45692</v>
      </c>
      <c r="P291" s="134"/>
      <c r="R291" s="29" t="s">
        <v>882</v>
      </c>
    </row>
    <row r="292" spans="1:18" hidden="1">
      <c r="A292" s="29" t="s">
        <v>438</v>
      </c>
      <c r="B292" s="29"/>
      <c r="C292" s="29">
        <v>37508603</v>
      </c>
      <c r="G292" s="29" t="s">
        <v>823</v>
      </c>
      <c r="H292" s="147" t="s">
        <v>439</v>
      </c>
      <c r="I292" s="120">
        <v>45692</v>
      </c>
      <c r="P292" s="134"/>
      <c r="R292" s="29" t="s">
        <v>882</v>
      </c>
    </row>
    <row r="293" spans="1:18" hidden="1">
      <c r="A293" s="29" t="s">
        <v>438</v>
      </c>
      <c r="B293" s="29"/>
      <c r="C293" s="29">
        <v>37508593</v>
      </c>
      <c r="G293" s="29" t="s">
        <v>823</v>
      </c>
      <c r="H293" s="147" t="s">
        <v>439</v>
      </c>
      <c r="I293" s="120">
        <v>45692</v>
      </c>
      <c r="P293" s="134"/>
      <c r="R293" s="29" t="s">
        <v>881</v>
      </c>
    </row>
    <row r="294" spans="1:18" hidden="1">
      <c r="A294" s="29" t="s">
        <v>438</v>
      </c>
      <c r="B294" s="29"/>
      <c r="C294" s="29">
        <v>36508894</v>
      </c>
      <c r="G294" s="29" t="s">
        <v>823</v>
      </c>
      <c r="H294" s="147" t="s">
        <v>439</v>
      </c>
      <c r="I294" s="120">
        <v>45692</v>
      </c>
      <c r="P294" s="134"/>
      <c r="R294" s="29" t="s">
        <v>508</v>
      </c>
    </row>
    <row r="295" spans="1:18" hidden="1">
      <c r="A295" s="29" t="s">
        <v>438</v>
      </c>
      <c r="B295" s="29"/>
      <c r="C295" s="29">
        <v>36508864</v>
      </c>
      <c r="G295" s="29" t="s">
        <v>823</v>
      </c>
      <c r="H295" s="147" t="s">
        <v>439</v>
      </c>
      <c r="I295" s="120">
        <v>45692</v>
      </c>
      <c r="P295" s="134"/>
      <c r="R295" s="29" t="s">
        <v>510</v>
      </c>
    </row>
    <row r="296" spans="1:18" hidden="1">
      <c r="A296" s="29" t="s">
        <v>290</v>
      </c>
      <c r="B296" s="29"/>
      <c r="C296" s="29">
        <v>36505090</v>
      </c>
      <c r="G296" s="29" t="s">
        <v>823</v>
      </c>
      <c r="H296" s="29" t="s">
        <v>315</v>
      </c>
      <c r="I296" s="120">
        <v>45692</v>
      </c>
      <c r="P296" s="134"/>
      <c r="R296" s="29" t="s">
        <v>883</v>
      </c>
    </row>
    <row r="297" spans="1:18" hidden="1">
      <c r="A297" s="29" t="s">
        <v>290</v>
      </c>
      <c r="B297" s="29"/>
      <c r="C297" s="29">
        <v>36505041</v>
      </c>
      <c r="G297" s="29" t="s">
        <v>823</v>
      </c>
      <c r="H297" s="29" t="s">
        <v>315</v>
      </c>
      <c r="I297" s="120">
        <v>45692</v>
      </c>
      <c r="P297" s="134"/>
      <c r="R297" s="29" t="s">
        <v>884</v>
      </c>
    </row>
    <row r="298" spans="1:18" hidden="1">
      <c r="A298" s="29" t="s">
        <v>290</v>
      </c>
      <c r="B298" s="29"/>
      <c r="C298" s="29">
        <v>36505003</v>
      </c>
      <c r="G298" s="29" t="s">
        <v>823</v>
      </c>
      <c r="H298" s="29" t="s">
        <v>315</v>
      </c>
      <c r="I298" s="120">
        <v>45692</v>
      </c>
      <c r="P298" s="134"/>
      <c r="R298" s="29" t="s">
        <v>885</v>
      </c>
    </row>
    <row r="299" spans="1:18" hidden="1">
      <c r="A299" s="29" t="s">
        <v>290</v>
      </c>
      <c r="B299" s="29"/>
      <c r="C299" s="29">
        <v>36504973</v>
      </c>
      <c r="G299" s="29" t="s">
        <v>823</v>
      </c>
      <c r="H299" s="29" t="s">
        <v>315</v>
      </c>
      <c r="I299" s="120">
        <v>45692</v>
      </c>
      <c r="P299" s="134"/>
      <c r="R299" s="29" t="s">
        <v>886</v>
      </c>
    </row>
    <row r="300" spans="1:18" hidden="1">
      <c r="A300" s="29" t="s">
        <v>290</v>
      </c>
      <c r="B300" s="29"/>
      <c r="C300" s="29">
        <v>36504920</v>
      </c>
      <c r="G300" s="29" t="s">
        <v>823</v>
      </c>
      <c r="H300" s="29" t="s">
        <v>315</v>
      </c>
      <c r="I300" s="120">
        <v>45692</v>
      </c>
      <c r="P300" s="134"/>
      <c r="R300" s="29" t="s">
        <v>887</v>
      </c>
    </row>
    <row r="301" spans="1:18" hidden="1">
      <c r="A301" s="29" t="s">
        <v>290</v>
      </c>
      <c r="B301" s="29"/>
      <c r="C301" s="29">
        <v>36504794</v>
      </c>
      <c r="G301" s="29" t="s">
        <v>823</v>
      </c>
      <c r="H301" s="29" t="s">
        <v>315</v>
      </c>
      <c r="I301" s="120">
        <v>45692</v>
      </c>
      <c r="P301" s="134"/>
      <c r="R301" s="29" t="s">
        <v>888</v>
      </c>
    </row>
    <row r="302" spans="1:18" hidden="1">
      <c r="A302" s="29" t="s">
        <v>438</v>
      </c>
      <c r="B302" s="29"/>
      <c r="C302" s="29">
        <v>36500830</v>
      </c>
      <c r="G302" s="29" t="s">
        <v>823</v>
      </c>
      <c r="H302" s="147" t="s">
        <v>439</v>
      </c>
      <c r="I302" s="120">
        <v>45692</v>
      </c>
      <c r="P302" s="134"/>
      <c r="R302" s="29" t="s">
        <v>889</v>
      </c>
    </row>
    <row r="303" spans="1:18" hidden="1">
      <c r="A303" s="29" t="s">
        <v>366</v>
      </c>
      <c r="B303" s="29"/>
      <c r="C303" s="29">
        <v>36500028</v>
      </c>
      <c r="G303" s="29" t="s">
        <v>823</v>
      </c>
      <c r="H303" s="29" t="s">
        <v>367</v>
      </c>
      <c r="I303" s="120">
        <v>45692</v>
      </c>
      <c r="P303" s="134"/>
      <c r="R303" s="29" t="s">
        <v>373</v>
      </c>
    </row>
    <row r="304" spans="1:18" hidden="1">
      <c r="A304" s="29" t="s">
        <v>366</v>
      </c>
      <c r="B304" s="29"/>
      <c r="C304" s="29">
        <v>36500027</v>
      </c>
      <c r="G304" s="29" t="s">
        <v>823</v>
      </c>
      <c r="H304" s="29" t="s">
        <v>367</v>
      </c>
      <c r="I304" s="120">
        <v>45692</v>
      </c>
      <c r="P304" s="134"/>
      <c r="R304" s="29" t="s">
        <v>374</v>
      </c>
    </row>
    <row r="305" spans="1:18" hidden="1">
      <c r="A305" s="29" t="s">
        <v>366</v>
      </c>
      <c r="B305" s="29"/>
      <c r="C305" s="29">
        <v>36500026</v>
      </c>
      <c r="G305" s="29" t="s">
        <v>823</v>
      </c>
      <c r="H305" s="29" t="s">
        <v>367</v>
      </c>
      <c r="I305" s="120">
        <v>45692</v>
      </c>
      <c r="P305" s="134"/>
      <c r="R305" s="29" t="s">
        <v>375</v>
      </c>
    </row>
    <row r="306" spans="1:18" hidden="1">
      <c r="A306" s="29" t="s">
        <v>366</v>
      </c>
      <c r="B306" s="29"/>
      <c r="C306" s="29">
        <v>36500024</v>
      </c>
      <c r="G306" s="29" t="s">
        <v>823</v>
      </c>
      <c r="H306" s="29" t="s">
        <v>367</v>
      </c>
      <c r="I306" s="120">
        <v>45692</v>
      </c>
      <c r="P306" s="134"/>
      <c r="R306" s="29" t="s">
        <v>376</v>
      </c>
    </row>
    <row r="307" spans="1:18" hidden="1">
      <c r="A307" s="29" t="s">
        <v>366</v>
      </c>
      <c r="B307" s="29"/>
      <c r="C307" s="29">
        <v>36500023</v>
      </c>
      <c r="G307" s="29" t="s">
        <v>823</v>
      </c>
      <c r="H307" s="29" t="s">
        <v>367</v>
      </c>
      <c r="I307" s="120">
        <v>45692</v>
      </c>
      <c r="P307" s="134"/>
      <c r="R307" s="29" t="s">
        <v>377</v>
      </c>
    </row>
    <row r="308" spans="1:18" hidden="1">
      <c r="A308" s="29" t="s">
        <v>366</v>
      </c>
      <c r="B308" s="29"/>
      <c r="C308" s="29">
        <v>36500022</v>
      </c>
      <c r="G308" s="29" t="s">
        <v>823</v>
      </c>
      <c r="H308" s="29" t="s">
        <v>367</v>
      </c>
      <c r="I308" s="120">
        <v>45692</v>
      </c>
      <c r="P308" s="134"/>
      <c r="R308" s="29" t="s">
        <v>378</v>
      </c>
    </row>
    <row r="309" spans="1:18" hidden="1">
      <c r="A309" s="29" t="s">
        <v>366</v>
      </c>
      <c r="B309" s="29"/>
      <c r="C309" s="29">
        <v>36500021</v>
      </c>
      <c r="G309" s="29" t="s">
        <v>823</v>
      </c>
      <c r="H309" s="29" t="s">
        <v>367</v>
      </c>
      <c r="I309" s="120">
        <v>45692</v>
      </c>
      <c r="P309" s="134"/>
      <c r="R309" s="29" t="s">
        <v>372</v>
      </c>
    </row>
    <row r="310" spans="1:18" hidden="1">
      <c r="A310" s="29" t="s">
        <v>366</v>
      </c>
      <c r="B310" s="29"/>
      <c r="C310" s="29">
        <v>36500020</v>
      </c>
      <c r="G310" s="29" t="s">
        <v>823</v>
      </c>
      <c r="H310" s="29" t="s">
        <v>367</v>
      </c>
      <c r="I310" s="120">
        <v>45692</v>
      </c>
      <c r="P310" s="134"/>
      <c r="R310" s="29" t="s">
        <v>371</v>
      </c>
    </row>
    <row r="311" spans="1:18" ht="201.75" hidden="1">
      <c r="A311" s="147" t="s">
        <v>438</v>
      </c>
      <c r="B311" s="147"/>
      <c r="C311" s="150">
        <v>36508864</v>
      </c>
      <c r="G311" s="29" t="s">
        <v>823</v>
      </c>
      <c r="H311" s="147" t="s">
        <v>439</v>
      </c>
      <c r="I311" s="148">
        <v>45693</v>
      </c>
      <c r="P311" s="134"/>
      <c r="R311" s="149" t="s">
        <v>890</v>
      </c>
    </row>
    <row r="312" spans="1:18" ht="216.75" hidden="1">
      <c r="A312" s="147" t="s">
        <v>438</v>
      </c>
      <c r="B312" s="147"/>
      <c r="C312" s="150">
        <v>36508894</v>
      </c>
      <c r="G312" s="29" t="s">
        <v>823</v>
      </c>
      <c r="H312" s="147" t="s">
        <v>439</v>
      </c>
      <c r="I312" s="148">
        <v>45693</v>
      </c>
      <c r="P312" s="134"/>
      <c r="R312" s="149" t="s">
        <v>891</v>
      </c>
    </row>
    <row r="313" spans="1:18" ht="201.75" hidden="1">
      <c r="A313" s="147" t="s">
        <v>438</v>
      </c>
      <c r="B313" s="147"/>
      <c r="C313" s="150">
        <v>36508918</v>
      </c>
      <c r="G313" s="29" t="s">
        <v>823</v>
      </c>
      <c r="H313" s="147" t="s">
        <v>439</v>
      </c>
      <c r="I313" s="148">
        <v>45693</v>
      </c>
      <c r="P313" s="134"/>
      <c r="R313" s="149" t="s">
        <v>892</v>
      </c>
    </row>
    <row r="314" spans="1:18" ht="201.75" hidden="1">
      <c r="A314" s="147" t="s">
        <v>438</v>
      </c>
      <c r="B314" s="147"/>
      <c r="C314" s="150">
        <v>36508939</v>
      </c>
      <c r="G314" s="29" t="s">
        <v>823</v>
      </c>
      <c r="H314" s="147" t="s">
        <v>439</v>
      </c>
      <c r="I314" s="148">
        <v>45693</v>
      </c>
      <c r="P314" s="134"/>
      <c r="R314" s="149" t="s">
        <v>893</v>
      </c>
    </row>
    <row r="315" spans="1:18" ht="201.75" hidden="1">
      <c r="A315" s="147" t="s">
        <v>438</v>
      </c>
      <c r="B315" s="147"/>
      <c r="C315" s="150">
        <v>36508971</v>
      </c>
      <c r="G315" s="29" t="s">
        <v>823</v>
      </c>
      <c r="H315" s="147" t="s">
        <v>439</v>
      </c>
      <c r="I315" s="148">
        <v>45693</v>
      </c>
      <c r="P315" s="134"/>
      <c r="R315" s="149" t="s">
        <v>894</v>
      </c>
    </row>
    <row r="316" spans="1:18" ht="216.75" hidden="1">
      <c r="A316" s="147" t="s">
        <v>438</v>
      </c>
      <c r="B316" s="147"/>
      <c r="C316" s="150">
        <v>36509009</v>
      </c>
      <c r="G316" s="29" t="s">
        <v>823</v>
      </c>
      <c r="H316" s="147" t="s">
        <v>439</v>
      </c>
      <c r="I316" s="148">
        <v>45693</v>
      </c>
      <c r="P316" s="134"/>
      <c r="R316" s="149" t="s">
        <v>895</v>
      </c>
    </row>
    <row r="317" spans="1:18" ht="201.75" hidden="1">
      <c r="A317" s="147" t="s">
        <v>438</v>
      </c>
      <c r="B317" s="147"/>
      <c r="C317" s="150">
        <v>36509029</v>
      </c>
      <c r="G317" s="29" t="s">
        <v>823</v>
      </c>
      <c r="H317" s="147" t="s">
        <v>439</v>
      </c>
      <c r="I317" s="148">
        <v>45693</v>
      </c>
      <c r="P317" s="134"/>
      <c r="R317" s="149" t="s">
        <v>896</v>
      </c>
    </row>
    <row r="318" spans="1:18" hidden="1">
      <c r="A318" s="147" t="s">
        <v>290</v>
      </c>
      <c r="B318" s="147"/>
      <c r="C318" s="150">
        <v>36504794</v>
      </c>
      <c r="G318" s="29" t="s">
        <v>823</v>
      </c>
      <c r="H318" s="29" t="s">
        <v>315</v>
      </c>
      <c r="I318" s="148">
        <v>45693</v>
      </c>
      <c r="P318" s="134"/>
      <c r="R318" s="149" t="s">
        <v>642</v>
      </c>
    </row>
    <row r="319" spans="1:18" hidden="1">
      <c r="A319" s="147" t="s">
        <v>290</v>
      </c>
      <c r="B319" s="147"/>
      <c r="C319" s="150">
        <v>36504920</v>
      </c>
      <c r="G319" s="29" t="s">
        <v>823</v>
      </c>
      <c r="H319" s="29" t="s">
        <v>315</v>
      </c>
      <c r="I319" s="148">
        <v>45693</v>
      </c>
      <c r="P319" s="134"/>
      <c r="R319" s="149" t="s">
        <v>643</v>
      </c>
    </row>
    <row r="320" spans="1:18" hidden="1">
      <c r="A320" s="147" t="s">
        <v>290</v>
      </c>
      <c r="B320" s="147"/>
      <c r="C320" s="150">
        <v>36504973</v>
      </c>
      <c r="G320" s="29" t="s">
        <v>823</v>
      </c>
      <c r="H320" s="29" t="s">
        <v>315</v>
      </c>
      <c r="I320" s="148">
        <v>45693</v>
      </c>
      <c r="P320" s="134"/>
      <c r="R320" s="149" t="s">
        <v>644</v>
      </c>
    </row>
    <row r="321" spans="1:18" hidden="1">
      <c r="A321" s="147" t="s">
        <v>290</v>
      </c>
      <c r="B321" s="147"/>
      <c r="C321" s="150">
        <v>36505003</v>
      </c>
      <c r="G321" s="29" t="s">
        <v>823</v>
      </c>
      <c r="H321" s="29" t="s">
        <v>315</v>
      </c>
      <c r="I321" s="148">
        <v>45693</v>
      </c>
      <c r="P321" s="134"/>
      <c r="R321" s="149" t="s">
        <v>645</v>
      </c>
    </row>
    <row r="322" spans="1:18" hidden="1">
      <c r="A322" s="147" t="s">
        <v>290</v>
      </c>
      <c r="B322" s="147"/>
      <c r="C322" s="150">
        <v>36505041</v>
      </c>
      <c r="G322" s="29" t="s">
        <v>823</v>
      </c>
      <c r="H322" s="29" t="s">
        <v>315</v>
      </c>
      <c r="I322" s="148">
        <v>45693</v>
      </c>
      <c r="P322" s="134"/>
      <c r="R322" s="149" t="s">
        <v>646</v>
      </c>
    </row>
    <row r="323" spans="1:18" hidden="1">
      <c r="A323" s="147" t="s">
        <v>290</v>
      </c>
      <c r="B323" s="147"/>
      <c r="C323" s="150">
        <v>36505090</v>
      </c>
      <c r="G323" s="29" t="s">
        <v>823</v>
      </c>
      <c r="H323" s="29" t="s">
        <v>315</v>
      </c>
      <c r="I323" s="148">
        <v>45693</v>
      </c>
      <c r="P323" s="134"/>
      <c r="R323" s="149" t="s">
        <v>647</v>
      </c>
    </row>
    <row r="324" spans="1:18" hidden="1">
      <c r="A324" s="29" t="s">
        <v>366</v>
      </c>
      <c r="B324" s="29"/>
      <c r="C324" s="29">
        <v>37508582</v>
      </c>
      <c r="G324" s="29" t="s">
        <v>823</v>
      </c>
      <c r="H324" s="29" t="s">
        <v>367</v>
      </c>
      <c r="I324" s="120">
        <v>45693</v>
      </c>
      <c r="P324" s="134"/>
      <c r="R324" s="29" t="s">
        <v>477</v>
      </c>
    </row>
    <row r="325" spans="1:18" hidden="1">
      <c r="A325" s="29" t="s">
        <v>366</v>
      </c>
      <c r="B325" s="29"/>
      <c r="C325" s="29">
        <v>37508534</v>
      </c>
      <c r="G325" s="29" t="s">
        <v>823</v>
      </c>
      <c r="H325" s="29" t="s">
        <v>367</v>
      </c>
      <c r="I325" s="120">
        <v>45693</v>
      </c>
      <c r="P325" s="134"/>
      <c r="R325" s="29" t="s">
        <v>479</v>
      </c>
    </row>
    <row r="326" spans="1:18" hidden="1">
      <c r="A326" s="29" t="s">
        <v>366</v>
      </c>
      <c r="B326" s="29"/>
      <c r="C326" s="29">
        <v>37508555</v>
      </c>
      <c r="G326" s="29" t="s">
        <v>823</v>
      </c>
      <c r="H326" s="29" t="s">
        <v>367</v>
      </c>
      <c r="I326" s="120">
        <v>45693</v>
      </c>
      <c r="P326" s="134"/>
      <c r="R326" s="29" t="s">
        <v>478</v>
      </c>
    </row>
    <row r="327" spans="1:18" hidden="1">
      <c r="A327" s="29" t="s">
        <v>366</v>
      </c>
      <c r="B327" s="29"/>
      <c r="C327" s="29">
        <v>37508444</v>
      </c>
      <c r="G327" s="29" t="s">
        <v>823</v>
      </c>
      <c r="H327" s="29" t="s">
        <v>367</v>
      </c>
      <c r="I327" s="120">
        <v>45693</v>
      </c>
      <c r="P327" s="134"/>
      <c r="R327" s="29" t="s">
        <v>481</v>
      </c>
    </row>
    <row r="328" spans="1:18" hidden="1">
      <c r="A328" s="29" t="s">
        <v>366</v>
      </c>
      <c r="B328" s="29"/>
      <c r="C328" s="29">
        <v>37508509</v>
      </c>
      <c r="G328" s="29" t="s">
        <v>823</v>
      </c>
      <c r="H328" s="29" t="s">
        <v>367</v>
      </c>
      <c r="I328" s="120">
        <v>45693</v>
      </c>
      <c r="P328" s="134"/>
      <c r="R328" s="29" t="s">
        <v>480</v>
      </c>
    </row>
    <row r="329" spans="1:18" hidden="1">
      <c r="A329" s="29" t="s">
        <v>366</v>
      </c>
      <c r="B329" s="29"/>
      <c r="C329" s="29">
        <v>37508419</v>
      </c>
      <c r="G329" s="29" t="s">
        <v>823</v>
      </c>
      <c r="H329" s="29" t="s">
        <v>367</v>
      </c>
      <c r="I329" s="120">
        <v>45693</v>
      </c>
      <c r="P329" s="134"/>
      <c r="R329" s="29" t="s">
        <v>482</v>
      </c>
    </row>
    <row r="330" spans="1:18" hidden="1">
      <c r="A330" s="29" t="s">
        <v>366</v>
      </c>
      <c r="B330" s="29"/>
      <c r="C330" s="29">
        <v>37508391</v>
      </c>
      <c r="G330" s="29" t="s">
        <v>823</v>
      </c>
      <c r="H330" s="29" t="s">
        <v>367</v>
      </c>
      <c r="I330" s="120">
        <v>45693</v>
      </c>
      <c r="P330" s="134"/>
      <c r="R330" s="29" t="s">
        <v>483</v>
      </c>
    </row>
    <row r="331" spans="1:18" hidden="1">
      <c r="A331" s="29" t="s">
        <v>366</v>
      </c>
      <c r="B331" s="29"/>
      <c r="C331" s="29">
        <v>37508358</v>
      </c>
      <c r="G331" s="29" t="s">
        <v>823</v>
      </c>
      <c r="H331" s="29" t="s">
        <v>367</v>
      </c>
      <c r="I331" s="120">
        <v>45693</v>
      </c>
      <c r="P331" s="134"/>
      <c r="R331" s="29" t="s">
        <v>484</v>
      </c>
    </row>
    <row r="332" spans="1:18" hidden="1">
      <c r="A332" s="29" t="s">
        <v>854</v>
      </c>
      <c r="B332" s="29"/>
      <c r="C332" s="29">
        <v>37504943</v>
      </c>
      <c r="G332" s="29" t="s">
        <v>823</v>
      </c>
      <c r="H332" s="29" t="s">
        <v>161</v>
      </c>
      <c r="I332" s="120">
        <v>45693</v>
      </c>
      <c r="P332" s="134"/>
      <c r="R332" s="29" t="s">
        <v>880</v>
      </c>
    </row>
    <row r="333" spans="1:18" hidden="1">
      <c r="A333" s="84" t="s">
        <v>687</v>
      </c>
      <c r="B333" s="84"/>
      <c r="C333" s="84">
        <v>34509810</v>
      </c>
      <c r="G333" s="84" t="s">
        <v>823</v>
      </c>
      <c r="H333" s="88" t="s">
        <v>358</v>
      </c>
      <c r="I333" s="85">
        <v>45691</v>
      </c>
      <c r="P333" s="134"/>
      <c r="R333" s="84" t="s">
        <v>688</v>
      </c>
    </row>
    <row r="334" spans="1:18" hidden="1">
      <c r="A334" s="84" t="s">
        <v>687</v>
      </c>
      <c r="B334" s="84"/>
      <c r="C334" s="84">
        <v>34509844</v>
      </c>
      <c r="G334" s="84" t="s">
        <v>823</v>
      </c>
      <c r="H334" s="88" t="s">
        <v>358</v>
      </c>
      <c r="I334" s="85">
        <v>45691</v>
      </c>
      <c r="P334" s="134"/>
      <c r="R334" s="84" t="s">
        <v>689</v>
      </c>
    </row>
    <row r="335" spans="1:18" hidden="1">
      <c r="A335" s="84" t="s">
        <v>687</v>
      </c>
      <c r="B335" s="84"/>
      <c r="C335" s="84">
        <v>34509930</v>
      </c>
      <c r="G335" s="84" t="s">
        <v>823</v>
      </c>
      <c r="H335" s="88" t="s">
        <v>358</v>
      </c>
      <c r="I335" s="85">
        <v>45691</v>
      </c>
      <c r="P335" s="134"/>
      <c r="R335" s="84" t="s">
        <v>690</v>
      </c>
    </row>
    <row r="336" spans="1:18" hidden="1">
      <c r="A336" s="84" t="s">
        <v>687</v>
      </c>
      <c r="B336" s="84"/>
      <c r="C336" s="84">
        <v>34509957</v>
      </c>
      <c r="G336" s="84" t="s">
        <v>823</v>
      </c>
      <c r="H336" s="88" t="s">
        <v>358</v>
      </c>
      <c r="I336" s="85">
        <v>45691</v>
      </c>
      <c r="P336" s="134"/>
      <c r="R336" s="84" t="s">
        <v>691</v>
      </c>
    </row>
    <row r="337" spans="1:19" hidden="1">
      <c r="A337" s="84" t="s">
        <v>357</v>
      </c>
      <c r="B337" s="84"/>
      <c r="C337" s="84">
        <v>18500302</v>
      </c>
      <c r="G337" s="84" t="s">
        <v>823</v>
      </c>
      <c r="H337" s="88" t="s">
        <v>358</v>
      </c>
      <c r="I337" s="85">
        <v>45675</v>
      </c>
      <c r="P337" s="134"/>
      <c r="R337" s="84" t="s">
        <v>680</v>
      </c>
    </row>
    <row r="338" spans="1:19" hidden="1">
      <c r="A338" s="84" t="s">
        <v>357</v>
      </c>
      <c r="B338" s="84"/>
      <c r="C338" s="84">
        <v>18500307</v>
      </c>
      <c r="G338" s="84" t="s">
        <v>823</v>
      </c>
      <c r="H338" s="88" t="s">
        <v>358</v>
      </c>
      <c r="I338" s="85">
        <v>45675</v>
      </c>
      <c r="P338" s="134"/>
      <c r="R338" s="84" t="s">
        <v>681</v>
      </c>
    </row>
    <row r="339" spans="1:19" hidden="1">
      <c r="A339" s="84" t="s">
        <v>357</v>
      </c>
      <c r="B339" s="84"/>
      <c r="C339" s="84">
        <v>18500310</v>
      </c>
      <c r="G339" s="84" t="s">
        <v>823</v>
      </c>
      <c r="H339" s="88" t="s">
        <v>358</v>
      </c>
      <c r="I339" s="85">
        <v>45675</v>
      </c>
      <c r="P339" s="134"/>
      <c r="R339" s="84" t="s">
        <v>682</v>
      </c>
    </row>
    <row r="340" spans="1:19" hidden="1">
      <c r="A340" s="84" t="s">
        <v>357</v>
      </c>
      <c r="B340" s="84"/>
      <c r="C340" s="84">
        <v>18500314</v>
      </c>
      <c r="G340" s="84" t="s">
        <v>823</v>
      </c>
      <c r="H340" s="88" t="s">
        <v>358</v>
      </c>
      <c r="I340" s="85">
        <v>45675</v>
      </c>
      <c r="P340" s="134"/>
      <c r="R340" s="84" t="s">
        <v>683</v>
      </c>
    </row>
    <row r="341" spans="1:19" hidden="1">
      <c r="A341" s="84" t="s">
        <v>357</v>
      </c>
      <c r="B341" s="84"/>
      <c r="C341" s="84">
        <v>18500316</v>
      </c>
      <c r="G341" s="84" t="s">
        <v>823</v>
      </c>
      <c r="H341" s="88" t="s">
        <v>358</v>
      </c>
      <c r="I341" s="85">
        <v>45675</v>
      </c>
      <c r="P341" s="134"/>
      <c r="R341" s="84" t="s">
        <v>684</v>
      </c>
    </row>
    <row r="342" spans="1:19" hidden="1">
      <c r="A342" s="84" t="s">
        <v>357</v>
      </c>
      <c r="B342" s="84"/>
      <c r="C342" s="84">
        <v>18500318</v>
      </c>
      <c r="G342" s="84" t="s">
        <v>823</v>
      </c>
      <c r="H342" s="88" t="s">
        <v>358</v>
      </c>
      <c r="I342" s="85">
        <v>45675</v>
      </c>
      <c r="P342" s="134"/>
      <c r="R342" s="84" t="s">
        <v>685</v>
      </c>
    </row>
    <row r="343" spans="1:19" hidden="1">
      <c r="A343" s="84" t="s">
        <v>357</v>
      </c>
      <c r="B343" s="84"/>
      <c r="C343" s="84">
        <v>18500320</v>
      </c>
      <c r="G343" s="84" t="s">
        <v>823</v>
      </c>
      <c r="H343" s="88" t="s">
        <v>358</v>
      </c>
      <c r="I343" s="85">
        <v>45675</v>
      </c>
      <c r="P343" s="134"/>
      <c r="R343" s="84" t="s">
        <v>686</v>
      </c>
    </row>
    <row r="344" spans="1:19" hidden="1">
      <c r="A344" s="29" t="s">
        <v>357</v>
      </c>
      <c r="B344" s="29"/>
      <c r="C344" s="29">
        <v>30504564</v>
      </c>
      <c r="G344" s="29" t="s">
        <v>823</v>
      </c>
      <c r="H344" s="29" t="s">
        <v>358</v>
      </c>
      <c r="I344" s="120">
        <v>45686</v>
      </c>
      <c r="J344" s="29"/>
      <c r="K344" s="29"/>
      <c r="L344" s="29"/>
      <c r="M344" s="29"/>
      <c r="N344" s="29"/>
      <c r="O344" s="29"/>
      <c r="P344" s="29"/>
      <c r="Q344" s="81"/>
      <c r="R344" s="29" t="s">
        <v>359</v>
      </c>
      <c r="S344" s="123"/>
    </row>
    <row r="345" spans="1:19" hidden="1">
      <c r="A345" s="29" t="s">
        <v>357</v>
      </c>
      <c r="B345" s="29"/>
      <c r="C345" s="29">
        <v>30504222</v>
      </c>
      <c r="G345" s="29" t="s">
        <v>823</v>
      </c>
      <c r="H345" s="29" t="s">
        <v>358</v>
      </c>
      <c r="I345" s="120">
        <v>45686</v>
      </c>
      <c r="J345" s="29"/>
      <c r="K345" s="29"/>
      <c r="L345" s="29"/>
      <c r="M345" s="29"/>
      <c r="N345" s="29"/>
      <c r="O345" s="29"/>
      <c r="P345" s="29"/>
      <c r="Q345" s="81"/>
      <c r="R345" s="29" t="s">
        <v>360</v>
      </c>
      <c r="S345" s="123"/>
    </row>
    <row r="346" spans="1:19" hidden="1">
      <c r="A346" s="29" t="s">
        <v>897</v>
      </c>
      <c r="B346" s="29"/>
      <c r="C346" s="29">
        <v>36504999</v>
      </c>
      <c r="G346" s="29" t="s">
        <v>138</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138</v>
      </c>
      <c r="H347" s="29" t="s">
        <v>316</v>
      </c>
      <c r="I347" s="120">
        <v>45692</v>
      </c>
      <c r="J347" s="29"/>
      <c r="K347" s="29"/>
      <c r="L347" s="29"/>
      <c r="M347" s="29"/>
      <c r="N347" s="29"/>
      <c r="O347" s="29"/>
      <c r="P347" s="29"/>
      <c r="Q347" s="81"/>
      <c r="R347" s="29"/>
      <c r="S347" s="123"/>
    </row>
    <row r="348" spans="1:19" ht="15.75" hidden="1">
      <c r="A348" s="29" t="s">
        <v>897</v>
      </c>
      <c r="B348" s="29"/>
      <c r="C348" s="121">
        <v>36505390</v>
      </c>
      <c r="G348" s="29" t="s">
        <v>138</v>
      </c>
      <c r="H348" s="29" t="s">
        <v>316</v>
      </c>
      <c r="I348" s="120">
        <v>45692</v>
      </c>
      <c r="J348" s="29"/>
      <c r="K348" s="29"/>
      <c r="L348" s="29"/>
      <c r="M348" s="29"/>
      <c r="N348" s="29"/>
      <c r="O348" s="29"/>
      <c r="P348" s="29"/>
      <c r="Q348" s="81"/>
      <c r="R348" s="29"/>
      <c r="S348" s="123"/>
    </row>
    <row r="349" spans="1:19" ht="15.75" hidden="1">
      <c r="A349" s="29" t="s">
        <v>897</v>
      </c>
      <c r="B349" s="29"/>
      <c r="C349" s="121">
        <v>36505446</v>
      </c>
      <c r="G349" s="29" t="s">
        <v>138</v>
      </c>
      <c r="H349" s="29" t="s">
        <v>316</v>
      </c>
      <c r="I349" s="120">
        <v>45692</v>
      </c>
      <c r="J349" s="29"/>
      <c r="K349" s="29"/>
      <c r="L349" s="29"/>
      <c r="M349" s="29"/>
      <c r="N349" s="29"/>
      <c r="O349" s="29"/>
      <c r="P349" s="29"/>
      <c r="Q349" s="81"/>
      <c r="R349" s="29"/>
      <c r="S349" s="123"/>
    </row>
    <row r="350" spans="1:19" ht="15.75" hidden="1">
      <c r="A350" s="29" t="s">
        <v>897</v>
      </c>
      <c r="B350" s="29"/>
      <c r="C350" s="121">
        <v>36505501</v>
      </c>
      <c r="G350" s="29" t="s">
        <v>138</v>
      </c>
      <c r="H350" s="29" t="s">
        <v>316</v>
      </c>
      <c r="I350" s="120">
        <v>45692</v>
      </c>
      <c r="J350" s="29"/>
      <c r="K350" s="29"/>
      <c r="L350" s="29"/>
      <c r="M350" s="29"/>
      <c r="N350" s="29"/>
      <c r="O350" s="29"/>
      <c r="P350" s="29"/>
      <c r="Q350" s="81"/>
      <c r="R350" s="29"/>
      <c r="S350" s="123"/>
    </row>
    <row r="351" spans="1:19" ht="15.75" hidden="1">
      <c r="A351" s="29" t="s">
        <v>897</v>
      </c>
      <c r="B351" s="29"/>
      <c r="C351" s="121">
        <v>36504194</v>
      </c>
      <c r="G351" s="29" t="s">
        <v>138</v>
      </c>
      <c r="H351" s="29" t="s">
        <v>316</v>
      </c>
      <c r="I351" s="120">
        <v>45692</v>
      </c>
      <c r="J351" s="29"/>
      <c r="K351" s="29"/>
      <c r="L351" s="29"/>
      <c r="M351" s="29"/>
      <c r="N351" s="29"/>
      <c r="O351" s="29"/>
      <c r="P351" s="29"/>
      <c r="Q351" s="81"/>
      <c r="R351" s="29"/>
      <c r="S351" s="123"/>
    </row>
    <row r="352" spans="1:19" ht="15.75" hidden="1">
      <c r="A352" s="29" t="s">
        <v>897</v>
      </c>
      <c r="B352" s="29"/>
      <c r="C352" s="121">
        <v>36504399</v>
      </c>
      <c r="G352" s="29" t="s">
        <v>138</v>
      </c>
      <c r="H352" s="29" t="s">
        <v>316</v>
      </c>
      <c r="I352" s="120">
        <v>45692</v>
      </c>
      <c r="J352" s="29"/>
      <c r="K352" s="29"/>
      <c r="L352" s="29"/>
      <c r="M352" s="29"/>
      <c r="N352" s="29"/>
      <c r="O352" s="29"/>
      <c r="P352" s="29"/>
      <c r="Q352" s="81"/>
      <c r="R352" s="29"/>
      <c r="S352" s="123"/>
    </row>
    <row r="353" spans="1:19" ht="15.75" hidden="1">
      <c r="A353" s="29" t="s">
        <v>897</v>
      </c>
      <c r="B353" s="29"/>
      <c r="C353" s="121">
        <v>36504493</v>
      </c>
      <c r="G353" s="29" t="s">
        <v>138</v>
      </c>
      <c r="H353" s="29" t="s">
        <v>316</v>
      </c>
      <c r="I353" s="120">
        <v>45692</v>
      </c>
      <c r="J353" s="29"/>
      <c r="K353" s="29"/>
      <c r="L353" s="29"/>
      <c r="M353" s="29"/>
      <c r="N353" s="29"/>
      <c r="O353" s="29"/>
      <c r="P353" s="29"/>
      <c r="Q353" s="81"/>
      <c r="R353" s="29"/>
      <c r="S353" s="123"/>
    </row>
    <row r="354" spans="1:19" ht="15.75" hidden="1">
      <c r="A354" s="29" t="s">
        <v>897</v>
      </c>
      <c r="B354" s="29"/>
      <c r="C354" s="121">
        <v>36504549</v>
      </c>
      <c r="G354" s="29" t="s">
        <v>138</v>
      </c>
      <c r="H354" s="29" t="s">
        <v>316</v>
      </c>
      <c r="I354" s="120">
        <v>45692</v>
      </c>
      <c r="J354" s="29"/>
      <c r="K354" s="29"/>
      <c r="L354" s="29"/>
      <c r="M354" s="29"/>
      <c r="N354" s="29"/>
      <c r="O354" s="29"/>
      <c r="P354" s="29"/>
      <c r="Q354" s="81"/>
      <c r="R354" s="29"/>
      <c r="S354" s="123"/>
    </row>
    <row r="355" spans="1:19" ht="15.75" hidden="1">
      <c r="A355" s="29" t="s">
        <v>897</v>
      </c>
      <c r="B355" s="29"/>
      <c r="C355" s="121">
        <v>36504718</v>
      </c>
      <c r="G355" s="29" t="s">
        <v>138</v>
      </c>
      <c r="H355" s="29" t="s">
        <v>316</v>
      </c>
      <c r="I355" s="120">
        <v>45692</v>
      </c>
      <c r="J355" s="29"/>
      <c r="K355" s="29"/>
      <c r="L355" s="29"/>
      <c r="M355" s="29"/>
      <c r="N355" s="29"/>
      <c r="O355" s="29"/>
      <c r="P355" s="29"/>
      <c r="Q355" s="81"/>
      <c r="R355" s="29"/>
      <c r="S355" s="123"/>
    </row>
    <row r="356" spans="1:19" hidden="1">
      <c r="A356" s="29" t="s">
        <v>897</v>
      </c>
      <c r="B356" s="29"/>
      <c r="C356" s="29">
        <v>36505051</v>
      </c>
      <c r="G356" s="29" t="s">
        <v>138</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138</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138</v>
      </c>
      <c r="H358" s="29" t="s">
        <v>486</v>
      </c>
      <c r="I358" s="120">
        <v>45692</v>
      </c>
      <c r="J358" s="29"/>
      <c r="K358" s="29"/>
      <c r="L358" s="29"/>
      <c r="M358" s="29"/>
      <c r="N358" s="29"/>
      <c r="O358" s="29"/>
      <c r="P358" s="29"/>
      <c r="Q358" s="81"/>
      <c r="R358" s="29" t="s">
        <v>901</v>
      </c>
      <c r="S358" s="123"/>
    </row>
    <row r="359" spans="1:19" hidden="1">
      <c r="A359" s="29" t="s">
        <v>897</v>
      </c>
      <c r="B359" s="29"/>
      <c r="C359" s="29">
        <v>36505501</v>
      </c>
      <c r="G359" s="29" t="s">
        <v>138</v>
      </c>
      <c r="H359" s="29" t="s">
        <v>486</v>
      </c>
      <c r="I359" s="120">
        <v>45692</v>
      </c>
      <c r="J359" s="29"/>
      <c r="K359" s="29"/>
      <c r="L359" s="29"/>
      <c r="M359" s="29"/>
      <c r="N359" s="29"/>
      <c r="O359" s="29"/>
      <c r="P359" s="29"/>
      <c r="Q359" s="81"/>
      <c r="R359" s="29" t="s">
        <v>902</v>
      </c>
      <c r="S359" s="123"/>
    </row>
    <row r="360" spans="1:19" hidden="1">
      <c r="A360" s="29" t="s">
        <v>897</v>
      </c>
      <c r="B360" s="29"/>
      <c r="C360" s="29">
        <v>36505446</v>
      </c>
      <c r="G360" s="29" t="s">
        <v>138</v>
      </c>
      <c r="H360" s="29" t="s">
        <v>486</v>
      </c>
      <c r="I360" s="120">
        <v>45692</v>
      </c>
      <c r="J360" s="29"/>
      <c r="K360" s="29"/>
      <c r="L360" s="29"/>
      <c r="M360" s="29"/>
      <c r="N360" s="29"/>
      <c r="O360" s="29"/>
      <c r="P360" s="29"/>
      <c r="Q360" s="81"/>
      <c r="R360" s="29" t="s">
        <v>903</v>
      </c>
      <c r="S360" s="123"/>
    </row>
    <row r="361" spans="1:19" hidden="1">
      <c r="A361" s="29" t="s">
        <v>897</v>
      </c>
      <c r="B361" s="29"/>
      <c r="C361" s="29">
        <v>36505390</v>
      </c>
      <c r="G361" s="29" t="s">
        <v>138</v>
      </c>
      <c r="H361" s="29" t="s">
        <v>486</v>
      </c>
      <c r="I361" s="120">
        <v>45692</v>
      </c>
      <c r="J361" s="29"/>
      <c r="K361" s="29"/>
      <c r="L361" s="29"/>
      <c r="M361" s="29"/>
      <c r="N361" s="29"/>
      <c r="O361" s="29"/>
      <c r="P361" s="29"/>
      <c r="Q361" s="81"/>
      <c r="R361" s="29" t="s">
        <v>903</v>
      </c>
      <c r="S361" s="123"/>
    </row>
    <row r="362" spans="1:19" hidden="1">
      <c r="A362" s="29" t="s">
        <v>897</v>
      </c>
      <c r="B362" s="29"/>
      <c r="C362" s="29">
        <v>36505340</v>
      </c>
      <c r="G362" s="29" t="s">
        <v>138</v>
      </c>
      <c r="H362" s="29" t="s">
        <v>486</v>
      </c>
      <c r="I362" s="120">
        <v>45692</v>
      </c>
      <c r="J362" s="29"/>
      <c r="K362" s="29"/>
      <c r="L362" s="29"/>
      <c r="M362" s="29"/>
      <c r="N362" s="29"/>
      <c r="O362" s="29"/>
      <c r="P362" s="29"/>
      <c r="Q362" s="81"/>
      <c r="R362" s="29" t="s">
        <v>904</v>
      </c>
      <c r="S362" s="123"/>
    </row>
    <row r="363" spans="1:19" hidden="1">
      <c r="A363" s="29" t="s">
        <v>897</v>
      </c>
      <c r="B363" s="29"/>
      <c r="C363" s="29">
        <v>36505299</v>
      </c>
      <c r="G363" s="29" t="s">
        <v>138</v>
      </c>
      <c r="H363" s="29" t="s">
        <v>486</v>
      </c>
      <c r="I363" s="120">
        <v>45692</v>
      </c>
      <c r="J363" s="29"/>
      <c r="K363" s="29"/>
      <c r="L363" s="29"/>
      <c r="M363" s="29"/>
      <c r="N363" s="29"/>
      <c r="O363" s="29"/>
      <c r="P363" s="29"/>
      <c r="Q363" s="81"/>
      <c r="R363" s="29" t="s">
        <v>905</v>
      </c>
      <c r="S363" s="123"/>
    </row>
    <row r="364" spans="1:19" hidden="1">
      <c r="A364" s="29" t="s">
        <v>897</v>
      </c>
      <c r="B364" s="29"/>
      <c r="C364" s="29">
        <v>36505254</v>
      </c>
      <c r="G364" s="29" t="s">
        <v>138</v>
      </c>
      <c r="H364" s="29" t="s">
        <v>486</v>
      </c>
      <c r="I364" s="120">
        <v>45692</v>
      </c>
      <c r="J364" s="29"/>
      <c r="K364" s="29"/>
      <c r="L364" s="29"/>
      <c r="M364" s="29"/>
      <c r="N364" s="29"/>
      <c r="O364" s="29"/>
      <c r="P364" s="29"/>
      <c r="Q364" s="81"/>
      <c r="R364" s="29" t="s">
        <v>906</v>
      </c>
      <c r="S364" s="123"/>
    </row>
    <row r="365" spans="1:19" hidden="1">
      <c r="A365" s="29" t="s">
        <v>897</v>
      </c>
      <c r="B365" s="29"/>
      <c r="C365" s="29">
        <v>36505184</v>
      </c>
      <c r="G365" s="29" t="s">
        <v>138</v>
      </c>
      <c r="H365" s="29" t="s">
        <v>486</v>
      </c>
      <c r="I365" s="120">
        <v>45692</v>
      </c>
      <c r="J365" s="29"/>
      <c r="K365" s="29"/>
      <c r="L365" s="29"/>
      <c r="M365" s="29"/>
      <c r="N365" s="29"/>
      <c r="O365" s="29"/>
      <c r="P365" s="29"/>
      <c r="Q365" s="81"/>
      <c r="R365" s="29" t="s">
        <v>907</v>
      </c>
      <c r="S365" s="123"/>
    </row>
    <row r="366" spans="1:19" ht="15.75" hidden="1">
      <c r="A366" s="29" t="s">
        <v>897</v>
      </c>
      <c r="B366" s="29"/>
      <c r="C366" s="121">
        <v>36504303</v>
      </c>
      <c r="G366" s="29" t="s">
        <v>138</v>
      </c>
      <c r="H366" s="29" t="s">
        <v>316</v>
      </c>
      <c r="I366" s="120">
        <v>45692</v>
      </c>
      <c r="J366" s="29"/>
      <c r="P366" s="134"/>
      <c r="R366" s="29"/>
    </row>
    <row r="367" spans="1:19" ht="15.75" hidden="1">
      <c r="A367" s="29" t="s">
        <v>897</v>
      </c>
      <c r="B367" s="29"/>
      <c r="C367" s="121">
        <v>36504399</v>
      </c>
      <c r="G367" s="29" t="s">
        <v>138</v>
      </c>
      <c r="H367" s="29" t="s">
        <v>316</v>
      </c>
      <c r="I367" s="120">
        <v>45692</v>
      </c>
      <c r="J367" s="29"/>
      <c r="P367" s="134"/>
      <c r="R367" s="29"/>
    </row>
    <row r="368" spans="1:19" ht="15.75" hidden="1">
      <c r="A368" s="29" t="s">
        <v>897</v>
      </c>
      <c r="B368" s="29"/>
      <c r="C368" s="121">
        <v>36504493</v>
      </c>
      <c r="G368" s="29" t="s">
        <v>138</v>
      </c>
      <c r="H368" s="29" t="s">
        <v>316</v>
      </c>
      <c r="I368" s="120">
        <v>45692</v>
      </c>
      <c r="J368" s="29"/>
      <c r="P368" s="134"/>
      <c r="R368" s="29"/>
    </row>
    <row r="369" spans="1:18" ht="15.75" hidden="1">
      <c r="A369" s="29" t="s">
        <v>897</v>
      </c>
      <c r="B369" s="29"/>
      <c r="C369" s="121">
        <v>36504549</v>
      </c>
      <c r="G369" s="29" t="s">
        <v>138</v>
      </c>
      <c r="H369" s="29" t="s">
        <v>316</v>
      </c>
      <c r="I369" s="120">
        <v>45692</v>
      </c>
      <c r="J369" s="29"/>
      <c r="P369" s="134"/>
      <c r="R369" s="29"/>
    </row>
    <row r="370" spans="1:18" ht="15.75" hidden="1">
      <c r="A370" s="29" t="s">
        <v>897</v>
      </c>
      <c r="B370" s="29"/>
      <c r="C370" s="121">
        <v>36504718</v>
      </c>
      <c r="G370" s="29" t="s">
        <v>138</v>
      </c>
      <c r="H370" s="29" t="s">
        <v>316</v>
      </c>
      <c r="I370" s="120">
        <v>45692</v>
      </c>
      <c r="J370" s="29"/>
      <c r="P370" s="134"/>
      <c r="R370" s="29"/>
    </row>
    <row r="371" spans="1:18" ht="15.75" hidden="1">
      <c r="A371" s="29" t="s">
        <v>897</v>
      </c>
      <c r="B371" s="29"/>
      <c r="C371" s="121">
        <v>36504907</v>
      </c>
      <c r="G371" s="29" t="s">
        <v>138</v>
      </c>
      <c r="H371" s="29" t="s">
        <v>316</v>
      </c>
      <c r="I371" s="120">
        <v>45692</v>
      </c>
      <c r="J371" s="29"/>
      <c r="P371" s="134"/>
      <c r="R371" s="29"/>
    </row>
    <row r="372" spans="1:18" hidden="1">
      <c r="A372" s="29" t="s">
        <v>897</v>
      </c>
      <c r="B372" s="29"/>
      <c r="C372" s="29">
        <v>36504999</v>
      </c>
      <c r="G372" s="29" t="s">
        <v>138</v>
      </c>
      <c r="H372" s="29" t="s">
        <v>898</v>
      </c>
      <c r="I372" s="120">
        <v>45692</v>
      </c>
      <c r="J372" s="29"/>
      <c r="P372" s="134"/>
      <c r="R372" s="29" t="s">
        <v>899</v>
      </c>
    </row>
    <row r="373" spans="1:18" hidden="1">
      <c r="A373" s="29" t="s">
        <v>897</v>
      </c>
      <c r="B373" s="29"/>
      <c r="C373" s="29">
        <v>36505051</v>
      </c>
      <c r="G373" s="29" t="s">
        <v>138</v>
      </c>
      <c r="H373" s="29" t="s">
        <v>898</v>
      </c>
      <c r="I373" s="120">
        <v>45692</v>
      </c>
      <c r="J373" s="29"/>
      <c r="P373" s="134"/>
      <c r="R373" s="29" t="s">
        <v>900</v>
      </c>
    </row>
    <row r="374" spans="1:18" hidden="1">
      <c r="A374" s="29" t="s">
        <v>897</v>
      </c>
      <c r="B374" s="29"/>
      <c r="C374" s="29">
        <v>36505051</v>
      </c>
      <c r="G374" s="29" t="s">
        <v>138</v>
      </c>
      <c r="H374" s="29" t="s">
        <v>898</v>
      </c>
      <c r="I374" s="120">
        <v>45692</v>
      </c>
      <c r="J374" s="29"/>
      <c r="P374" s="134"/>
      <c r="R374" s="29" t="s">
        <v>900</v>
      </c>
    </row>
    <row r="375" spans="1:18" hidden="1">
      <c r="A375" s="29" t="s">
        <v>897</v>
      </c>
      <c r="B375" s="29"/>
      <c r="C375" s="29">
        <v>36505123</v>
      </c>
      <c r="G375" s="29" t="s">
        <v>138</v>
      </c>
      <c r="H375" s="29" t="s">
        <v>898</v>
      </c>
      <c r="I375" s="120">
        <v>45694</v>
      </c>
      <c r="J375" s="29"/>
      <c r="P375" s="134"/>
      <c r="R375" s="29" t="s">
        <v>908</v>
      </c>
    </row>
    <row r="376" spans="1:18" hidden="1">
      <c r="A376" s="29" t="s">
        <v>897</v>
      </c>
      <c r="B376" s="29"/>
      <c r="C376" s="29">
        <v>36505184</v>
      </c>
      <c r="G376" s="29" t="s">
        <v>138</v>
      </c>
      <c r="H376" s="29" t="s">
        <v>486</v>
      </c>
      <c r="I376" s="120">
        <v>45692</v>
      </c>
      <c r="J376" s="29"/>
      <c r="P376" s="134"/>
      <c r="R376" s="29" t="s">
        <v>907</v>
      </c>
    </row>
    <row r="377" spans="1:18" hidden="1">
      <c r="A377" s="29" t="s">
        <v>897</v>
      </c>
      <c r="B377" s="29"/>
      <c r="C377" s="29">
        <v>36505254</v>
      </c>
      <c r="G377" s="29" t="s">
        <v>138</v>
      </c>
      <c r="H377" s="29" t="s">
        <v>486</v>
      </c>
      <c r="I377" s="120">
        <v>45692</v>
      </c>
      <c r="J377" s="29"/>
      <c r="P377" s="134"/>
      <c r="R377" s="29" t="s">
        <v>906</v>
      </c>
    </row>
    <row r="378" spans="1:18" hidden="1">
      <c r="A378" s="29" t="s">
        <v>897</v>
      </c>
      <c r="B378" s="29"/>
      <c r="C378" s="29">
        <v>36505299</v>
      </c>
      <c r="G378" s="29" t="s">
        <v>138</v>
      </c>
      <c r="H378" s="29" t="s">
        <v>486</v>
      </c>
      <c r="I378" s="120">
        <v>45692</v>
      </c>
      <c r="J378" s="29"/>
      <c r="P378" s="134"/>
      <c r="R378" s="29" t="s">
        <v>905</v>
      </c>
    </row>
    <row r="379" spans="1:18" ht="15.75" hidden="1">
      <c r="A379" s="29" t="s">
        <v>897</v>
      </c>
      <c r="B379" s="29"/>
      <c r="C379" s="121">
        <v>36505340</v>
      </c>
      <c r="G379" s="29" t="s">
        <v>138</v>
      </c>
      <c r="H379" s="29" t="s">
        <v>316</v>
      </c>
      <c r="I379" s="120">
        <v>45692</v>
      </c>
      <c r="J379" s="29"/>
      <c r="P379" s="134"/>
      <c r="R379" s="29"/>
    </row>
    <row r="380" spans="1:18" hidden="1">
      <c r="A380" s="29" t="s">
        <v>897</v>
      </c>
      <c r="B380" s="29"/>
      <c r="C380" s="29">
        <v>36505340</v>
      </c>
      <c r="G380" s="29" t="s">
        <v>138</v>
      </c>
      <c r="H380" s="29" t="s">
        <v>486</v>
      </c>
      <c r="I380" s="120">
        <v>45692</v>
      </c>
      <c r="J380" s="29"/>
      <c r="P380" s="134"/>
      <c r="R380" s="29" t="s">
        <v>904</v>
      </c>
    </row>
    <row r="381" spans="1:18" ht="15.75" hidden="1">
      <c r="A381" s="29" t="s">
        <v>897</v>
      </c>
      <c r="B381" s="29"/>
      <c r="C381" s="121">
        <v>36505390</v>
      </c>
      <c r="G381" s="29" t="s">
        <v>138</v>
      </c>
      <c r="H381" s="29" t="s">
        <v>316</v>
      </c>
      <c r="I381" s="120">
        <v>45692</v>
      </c>
      <c r="J381" s="29"/>
      <c r="P381" s="134"/>
      <c r="R381" s="29"/>
    </row>
    <row r="382" spans="1:18" hidden="1">
      <c r="A382" s="29" t="s">
        <v>897</v>
      </c>
      <c r="B382" s="29"/>
      <c r="C382" s="29">
        <v>36505390</v>
      </c>
      <c r="G382" s="29" t="s">
        <v>138</v>
      </c>
      <c r="H382" s="29" t="s">
        <v>486</v>
      </c>
      <c r="I382" s="120">
        <v>45692</v>
      </c>
      <c r="J382" s="29"/>
      <c r="P382" s="134"/>
      <c r="R382" s="29" t="s">
        <v>903</v>
      </c>
    </row>
    <row r="383" spans="1:18" ht="15.75" hidden="1">
      <c r="A383" s="29" t="s">
        <v>897</v>
      </c>
      <c r="B383" s="29"/>
      <c r="C383" s="121">
        <v>36505446</v>
      </c>
      <c r="G383" s="29" t="s">
        <v>138</v>
      </c>
      <c r="H383" s="29" t="s">
        <v>316</v>
      </c>
      <c r="I383" s="120">
        <v>45692</v>
      </c>
      <c r="J383" s="29"/>
      <c r="P383" s="134"/>
      <c r="R383" s="29"/>
    </row>
    <row r="384" spans="1:18" hidden="1">
      <c r="A384" s="29" t="s">
        <v>897</v>
      </c>
      <c r="B384" s="29"/>
      <c r="C384" s="29">
        <v>36505446</v>
      </c>
      <c r="G384" s="29" t="s">
        <v>138</v>
      </c>
      <c r="H384" s="29" t="s">
        <v>486</v>
      </c>
      <c r="I384" s="120">
        <v>45692</v>
      </c>
      <c r="J384" s="29"/>
      <c r="P384" s="134"/>
      <c r="R384" s="29" t="s">
        <v>903</v>
      </c>
    </row>
    <row r="385" spans="1:19" ht="15.75" hidden="1">
      <c r="A385" s="29" t="s">
        <v>897</v>
      </c>
      <c r="B385" s="29"/>
      <c r="C385" s="121">
        <v>36505501</v>
      </c>
      <c r="G385" s="29" t="s">
        <v>138</v>
      </c>
      <c r="H385" s="29" t="s">
        <v>316</v>
      </c>
      <c r="I385" s="120">
        <v>45692</v>
      </c>
      <c r="J385" s="29"/>
      <c r="P385" s="134"/>
      <c r="R385" s="29"/>
    </row>
    <row r="386" spans="1:19" hidden="1">
      <c r="A386" s="29" t="s">
        <v>897</v>
      </c>
      <c r="B386" s="29"/>
      <c r="C386" s="29">
        <v>36505501</v>
      </c>
      <c r="G386" s="29" t="s">
        <v>138</v>
      </c>
      <c r="H386" s="29" t="s">
        <v>486</v>
      </c>
      <c r="I386" s="120">
        <v>45692</v>
      </c>
      <c r="J386" s="29"/>
      <c r="P386" s="134"/>
      <c r="R386" s="29" t="s">
        <v>902</v>
      </c>
    </row>
    <row r="387" spans="1:19" hidden="1">
      <c r="A387" s="29" t="s">
        <v>897</v>
      </c>
      <c r="B387" s="29"/>
      <c r="C387" s="29">
        <v>36505123</v>
      </c>
      <c r="G387" s="29" t="s">
        <v>138</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138</v>
      </c>
      <c r="H388" s="29" t="s">
        <v>486</v>
      </c>
      <c r="I388" s="120">
        <v>45692</v>
      </c>
      <c r="J388" s="29"/>
      <c r="P388" s="134"/>
      <c r="R388" s="29" t="s">
        <v>901</v>
      </c>
    </row>
    <row r="389" spans="1:19" hidden="1">
      <c r="A389" s="41" t="s">
        <v>819</v>
      </c>
      <c r="B389" s="41"/>
      <c r="C389" s="41">
        <v>50507785</v>
      </c>
      <c r="G389" s="29" t="s">
        <v>138</v>
      </c>
      <c r="H389" s="29" t="s">
        <v>77</v>
      </c>
      <c r="I389" s="120">
        <v>45707</v>
      </c>
      <c r="J389" s="29"/>
      <c r="P389" s="134"/>
      <c r="R389" s="41" t="s">
        <v>909</v>
      </c>
    </row>
    <row r="390" spans="1:19" hidden="1">
      <c r="A390" s="41" t="s">
        <v>819</v>
      </c>
      <c r="B390" s="41"/>
      <c r="C390" s="41">
        <v>50507819</v>
      </c>
      <c r="G390" s="29" t="s">
        <v>138</v>
      </c>
      <c r="H390" s="29" t="s">
        <v>77</v>
      </c>
      <c r="I390" s="120">
        <v>45707</v>
      </c>
      <c r="J390" s="29"/>
      <c r="P390" s="134"/>
      <c r="R390" s="41" t="s">
        <v>910</v>
      </c>
    </row>
    <row r="391" spans="1:19" hidden="1">
      <c r="A391" s="41" t="s">
        <v>819</v>
      </c>
      <c r="B391" s="41"/>
      <c r="C391" s="41">
        <v>50507838</v>
      </c>
      <c r="G391" s="29" t="s">
        <v>138</v>
      </c>
      <c r="H391" s="29" t="s">
        <v>77</v>
      </c>
      <c r="I391" s="120">
        <v>45707</v>
      </c>
      <c r="J391" s="29"/>
      <c r="P391" s="134"/>
      <c r="R391" s="41" t="s">
        <v>911</v>
      </c>
    </row>
    <row r="392" spans="1:19" hidden="1">
      <c r="A392" s="41" t="s">
        <v>819</v>
      </c>
      <c r="B392" s="41"/>
      <c r="C392" s="41">
        <v>50507640</v>
      </c>
      <c r="G392" s="29" t="s">
        <v>138</v>
      </c>
      <c r="H392" s="29" t="s">
        <v>77</v>
      </c>
      <c r="I392" s="120">
        <v>45707</v>
      </c>
      <c r="J392" s="29"/>
      <c r="P392" s="134"/>
      <c r="R392" s="41" t="s">
        <v>912</v>
      </c>
    </row>
    <row r="393" spans="1:19" hidden="1">
      <c r="A393" s="41" t="s">
        <v>819</v>
      </c>
      <c r="B393" s="41"/>
      <c r="C393" s="41">
        <v>50507678</v>
      </c>
      <c r="G393" s="29" t="s">
        <v>138</v>
      </c>
      <c r="H393" s="29" t="s">
        <v>77</v>
      </c>
      <c r="I393" s="120">
        <v>45707</v>
      </c>
      <c r="J393" s="29"/>
      <c r="P393" s="134"/>
      <c r="R393" s="41" t="s">
        <v>913</v>
      </c>
    </row>
    <row r="394" spans="1:19" hidden="1">
      <c r="A394" s="41" t="s">
        <v>819</v>
      </c>
      <c r="B394" s="41"/>
      <c r="C394" s="41">
        <v>50507713</v>
      </c>
      <c r="G394" s="29" t="s">
        <v>138</v>
      </c>
      <c r="H394" s="29" t="s">
        <v>77</v>
      </c>
      <c r="I394" s="120">
        <v>45707</v>
      </c>
      <c r="J394" s="29"/>
      <c r="P394" s="134"/>
      <c r="R394" s="41" t="s">
        <v>914</v>
      </c>
    </row>
    <row r="395" spans="1:19" hidden="1">
      <c r="A395" s="41" t="s">
        <v>819</v>
      </c>
      <c r="B395" s="41"/>
      <c r="C395" s="41">
        <v>50507757</v>
      </c>
      <c r="G395" s="29" t="s">
        <v>138</v>
      </c>
      <c r="H395" s="29" t="s">
        <v>77</v>
      </c>
      <c r="I395" s="120">
        <v>45707</v>
      </c>
      <c r="J395" s="29"/>
      <c r="P395" s="134"/>
      <c r="R395" s="41" t="s">
        <v>915</v>
      </c>
    </row>
    <row r="396" spans="1:19" hidden="1">
      <c r="A396" s="41" t="s">
        <v>819</v>
      </c>
      <c r="B396" s="41"/>
      <c r="C396" s="41">
        <v>50507609</v>
      </c>
      <c r="G396" s="29" t="s">
        <v>138</v>
      </c>
      <c r="H396" s="29" t="s">
        <v>280</v>
      </c>
      <c r="I396" s="42">
        <v>45707</v>
      </c>
      <c r="P396" s="134"/>
      <c r="R396" s="41" t="s">
        <v>820</v>
      </c>
    </row>
    <row r="397" spans="1:19" hidden="1">
      <c r="A397" s="41" t="s">
        <v>819</v>
      </c>
      <c r="B397" s="41"/>
      <c r="C397" s="41">
        <v>50507859</v>
      </c>
      <c r="G397" s="29" t="s">
        <v>138</v>
      </c>
      <c r="H397" s="29" t="s">
        <v>280</v>
      </c>
      <c r="I397" s="42">
        <v>45707</v>
      </c>
      <c r="P397" s="134"/>
      <c r="R397" s="41" t="s">
        <v>821</v>
      </c>
    </row>
    <row r="398" spans="1:19" hidden="1">
      <c r="A398" s="41" t="s">
        <v>819</v>
      </c>
      <c r="B398" s="41"/>
      <c r="C398" s="41">
        <v>50507785</v>
      </c>
      <c r="G398" s="29" t="s">
        <v>138</v>
      </c>
      <c r="H398" s="29" t="s">
        <v>280</v>
      </c>
      <c r="I398" s="42">
        <v>45707</v>
      </c>
      <c r="P398" s="134"/>
      <c r="R398" s="41" t="s">
        <v>909</v>
      </c>
    </row>
    <row r="399" spans="1:19" hidden="1">
      <c r="A399" s="41" t="s">
        <v>819</v>
      </c>
      <c r="B399" s="41"/>
      <c r="C399" s="41">
        <v>50507819</v>
      </c>
      <c r="G399" s="29" t="s">
        <v>138</v>
      </c>
      <c r="H399" s="29" t="s">
        <v>280</v>
      </c>
      <c r="I399" s="42">
        <v>45707</v>
      </c>
      <c r="P399" s="134"/>
      <c r="R399" s="41" t="s">
        <v>910</v>
      </c>
    </row>
    <row r="400" spans="1:19" hidden="1">
      <c r="A400" s="41" t="s">
        <v>819</v>
      </c>
      <c r="B400" s="41"/>
      <c r="C400" s="41">
        <v>50507838</v>
      </c>
      <c r="G400" s="29" t="s">
        <v>138</v>
      </c>
      <c r="H400" s="29" t="s">
        <v>280</v>
      </c>
      <c r="I400" s="42">
        <v>45707</v>
      </c>
      <c r="P400" s="134"/>
      <c r="R400" s="41" t="s">
        <v>911</v>
      </c>
    </row>
    <row r="401" spans="1:18" hidden="1">
      <c r="A401" s="41" t="s">
        <v>819</v>
      </c>
      <c r="B401" s="41"/>
      <c r="C401" s="41">
        <v>50507640</v>
      </c>
      <c r="G401" s="29" t="s">
        <v>138</v>
      </c>
      <c r="H401" s="29" t="s">
        <v>280</v>
      </c>
      <c r="I401" s="42">
        <v>45707</v>
      </c>
      <c r="P401" s="134"/>
      <c r="R401" s="41" t="s">
        <v>912</v>
      </c>
    </row>
    <row r="402" spans="1:18" hidden="1">
      <c r="A402" s="41" t="s">
        <v>819</v>
      </c>
      <c r="B402" s="41"/>
      <c r="C402" s="41">
        <v>50507678</v>
      </c>
      <c r="G402" s="29" t="s">
        <v>138</v>
      </c>
      <c r="H402" s="29" t="s">
        <v>280</v>
      </c>
      <c r="I402" s="42">
        <v>45707</v>
      </c>
      <c r="P402" s="134"/>
      <c r="R402" s="41" t="s">
        <v>913</v>
      </c>
    </row>
    <row r="403" spans="1:18" hidden="1">
      <c r="A403" s="41" t="s">
        <v>819</v>
      </c>
      <c r="B403" s="41"/>
      <c r="C403" s="41">
        <v>50507713</v>
      </c>
      <c r="G403" s="29" t="s">
        <v>138</v>
      </c>
      <c r="H403" s="29" t="s">
        <v>280</v>
      </c>
      <c r="I403" s="42">
        <v>45707</v>
      </c>
      <c r="P403" s="134"/>
      <c r="R403" s="41" t="s">
        <v>914</v>
      </c>
    </row>
    <row r="404" spans="1:18" hidden="1">
      <c r="A404" s="41" t="s">
        <v>819</v>
      </c>
      <c r="B404" s="41"/>
      <c r="C404" s="41">
        <v>50507757</v>
      </c>
      <c r="G404" s="29" t="s">
        <v>138</v>
      </c>
      <c r="H404" s="29" t="s">
        <v>280</v>
      </c>
      <c r="I404" s="42">
        <v>45707</v>
      </c>
      <c r="P404" s="134"/>
      <c r="R404" s="41" t="s">
        <v>915</v>
      </c>
    </row>
    <row r="405" spans="1:18" hidden="1">
      <c r="A405" s="41" t="s">
        <v>819</v>
      </c>
      <c r="B405" s="41"/>
      <c r="C405" s="41">
        <v>50507609</v>
      </c>
      <c r="G405" s="29" t="s">
        <v>138</v>
      </c>
      <c r="H405" s="29" t="s">
        <v>280</v>
      </c>
      <c r="I405" s="42">
        <v>45707</v>
      </c>
      <c r="P405" s="134"/>
      <c r="R405" s="41" t="s">
        <v>820</v>
      </c>
    </row>
    <row r="406" spans="1:18" hidden="1">
      <c r="A406" s="41" t="s">
        <v>819</v>
      </c>
      <c r="B406" s="41"/>
      <c r="C406" s="41">
        <v>50507859</v>
      </c>
      <c r="G406" s="29" t="s">
        <v>138</v>
      </c>
      <c r="H406" s="29" t="s">
        <v>280</v>
      </c>
      <c r="I406" s="42">
        <v>45707</v>
      </c>
      <c r="P406" s="134"/>
      <c r="R406" s="41" t="s">
        <v>821</v>
      </c>
    </row>
    <row r="407" spans="1:18" hidden="1">
      <c r="A407" s="41" t="s">
        <v>819</v>
      </c>
      <c r="B407" s="41"/>
      <c r="C407" s="41">
        <v>50507785</v>
      </c>
      <c r="G407" s="29" t="s">
        <v>138</v>
      </c>
      <c r="H407" s="29" t="s">
        <v>280</v>
      </c>
      <c r="I407" s="42">
        <v>45707</v>
      </c>
      <c r="P407" s="134"/>
      <c r="R407" s="41" t="s">
        <v>909</v>
      </c>
    </row>
    <row r="408" spans="1:18" hidden="1">
      <c r="A408" s="41" t="s">
        <v>819</v>
      </c>
      <c r="B408" s="41"/>
      <c r="C408" s="41">
        <v>50507819</v>
      </c>
      <c r="G408" s="29" t="s">
        <v>138</v>
      </c>
      <c r="H408" s="29" t="s">
        <v>280</v>
      </c>
      <c r="I408" s="42">
        <v>45707</v>
      </c>
      <c r="P408" s="134"/>
      <c r="R408" s="41" t="s">
        <v>910</v>
      </c>
    </row>
    <row r="409" spans="1:18" hidden="1">
      <c r="A409" s="41" t="s">
        <v>819</v>
      </c>
      <c r="B409" s="41"/>
      <c r="C409" s="41">
        <v>50507838</v>
      </c>
      <c r="G409" s="29" t="s">
        <v>138</v>
      </c>
      <c r="H409" s="29" t="s">
        <v>280</v>
      </c>
      <c r="I409" s="42">
        <v>45707</v>
      </c>
      <c r="P409" s="134"/>
      <c r="R409" s="41" t="s">
        <v>911</v>
      </c>
    </row>
    <row r="410" spans="1:18" hidden="1">
      <c r="A410" s="41" t="s">
        <v>819</v>
      </c>
      <c r="B410" s="41"/>
      <c r="C410" s="41">
        <v>50507640</v>
      </c>
      <c r="G410" s="29" t="s">
        <v>138</v>
      </c>
      <c r="H410" s="29" t="s">
        <v>280</v>
      </c>
      <c r="I410" s="42">
        <v>45707</v>
      </c>
      <c r="P410" s="134"/>
      <c r="R410" s="41" t="s">
        <v>912</v>
      </c>
    </row>
    <row r="411" spans="1:18" hidden="1">
      <c r="A411" s="41" t="s">
        <v>819</v>
      </c>
      <c r="B411" s="41"/>
      <c r="C411" s="41">
        <v>50507678</v>
      </c>
      <c r="G411" s="29" t="s">
        <v>138</v>
      </c>
      <c r="H411" s="29" t="s">
        <v>280</v>
      </c>
      <c r="I411" s="42">
        <v>45707</v>
      </c>
      <c r="P411" s="134"/>
      <c r="R411" s="41" t="s">
        <v>913</v>
      </c>
    </row>
    <row r="412" spans="1:18" hidden="1">
      <c r="A412" s="41" t="s">
        <v>819</v>
      </c>
      <c r="B412" s="41"/>
      <c r="C412" s="41">
        <v>50507713</v>
      </c>
      <c r="G412" s="29" t="s">
        <v>138</v>
      </c>
      <c r="H412" s="29" t="s">
        <v>280</v>
      </c>
      <c r="I412" s="42">
        <v>45707</v>
      </c>
      <c r="P412" s="134"/>
      <c r="R412" s="41" t="s">
        <v>914</v>
      </c>
    </row>
    <row r="413" spans="1:18" hidden="1">
      <c r="A413" s="41" t="s">
        <v>819</v>
      </c>
      <c r="B413" s="41"/>
      <c r="C413" s="41">
        <v>50507757</v>
      </c>
      <c r="G413" s="29" t="s">
        <v>138</v>
      </c>
      <c r="H413" s="29" t="s">
        <v>280</v>
      </c>
      <c r="I413" s="42">
        <v>45707</v>
      </c>
      <c r="P413" s="134"/>
      <c r="R413" s="41" t="s">
        <v>915</v>
      </c>
    </row>
    <row r="414" spans="1:18" hidden="1">
      <c r="A414" s="41" t="s">
        <v>819</v>
      </c>
      <c r="B414" s="41"/>
      <c r="C414" s="41">
        <v>50507609</v>
      </c>
      <c r="G414" s="29" t="s">
        <v>138</v>
      </c>
      <c r="H414" s="29" t="s">
        <v>77</v>
      </c>
      <c r="I414" s="120">
        <v>45707</v>
      </c>
      <c r="J414" s="29"/>
      <c r="K414" s="29"/>
      <c r="L414" s="29"/>
      <c r="M414" s="29"/>
      <c r="N414" s="29"/>
      <c r="P414" s="134"/>
      <c r="R414" s="41" t="s">
        <v>820</v>
      </c>
    </row>
    <row r="415" spans="1:18" hidden="1">
      <c r="A415" s="41" t="s">
        <v>819</v>
      </c>
      <c r="B415" s="41"/>
      <c r="C415" s="41">
        <v>50507859</v>
      </c>
      <c r="G415" s="29" t="s">
        <v>138</v>
      </c>
      <c r="H415" s="29" t="s">
        <v>77</v>
      </c>
      <c r="I415" s="120">
        <v>45707</v>
      </c>
      <c r="J415" s="29"/>
      <c r="K415" s="29"/>
      <c r="L415" s="29"/>
      <c r="M415" s="29"/>
      <c r="N415" s="29"/>
      <c r="P415" s="134"/>
      <c r="R415" s="41" t="s">
        <v>821</v>
      </c>
    </row>
    <row r="416" spans="1:18" hidden="1">
      <c r="A416" s="41" t="s">
        <v>819</v>
      </c>
      <c r="B416" s="41"/>
      <c r="C416" s="41">
        <v>50507785</v>
      </c>
      <c r="G416" s="29" t="s">
        <v>138</v>
      </c>
      <c r="H416" s="29" t="s">
        <v>77</v>
      </c>
      <c r="I416" s="120">
        <v>45707</v>
      </c>
      <c r="J416" s="29"/>
      <c r="K416" s="29"/>
      <c r="L416" s="29"/>
      <c r="M416" s="29"/>
      <c r="N416" s="29"/>
      <c r="P416" s="134"/>
      <c r="R416" s="41" t="s">
        <v>909</v>
      </c>
    </row>
    <row r="417" spans="1:19" hidden="1">
      <c r="A417" s="41" t="s">
        <v>819</v>
      </c>
      <c r="B417" s="41"/>
      <c r="C417" s="41">
        <v>50507819</v>
      </c>
      <c r="G417" s="29" t="s">
        <v>138</v>
      </c>
      <c r="H417" s="29" t="s">
        <v>77</v>
      </c>
      <c r="I417" s="120">
        <v>45707</v>
      </c>
      <c r="J417" s="29"/>
      <c r="K417" s="29"/>
      <c r="L417" s="29"/>
      <c r="M417" s="29"/>
      <c r="N417" s="29"/>
      <c r="P417" s="134"/>
      <c r="R417" s="41" t="s">
        <v>910</v>
      </c>
    </row>
    <row r="418" spans="1:19" hidden="1">
      <c r="A418" s="41" t="s">
        <v>819</v>
      </c>
      <c r="B418" s="41"/>
      <c r="C418" s="41">
        <v>50507838</v>
      </c>
      <c r="G418" s="29" t="s">
        <v>138</v>
      </c>
      <c r="H418" s="29" t="s">
        <v>77</v>
      </c>
      <c r="I418" s="120">
        <v>45707</v>
      </c>
      <c r="J418" s="29"/>
      <c r="K418" s="29"/>
      <c r="L418" s="29"/>
      <c r="M418" s="29"/>
      <c r="N418" s="29"/>
      <c r="P418" s="134"/>
      <c r="R418" s="41" t="s">
        <v>911</v>
      </c>
    </row>
    <row r="419" spans="1:19" hidden="1">
      <c r="A419" s="41" t="s">
        <v>819</v>
      </c>
      <c r="B419" s="41"/>
      <c r="C419" s="41">
        <v>50507640</v>
      </c>
      <c r="G419" s="29" t="s">
        <v>138</v>
      </c>
      <c r="H419" s="29" t="s">
        <v>77</v>
      </c>
      <c r="I419" s="120">
        <v>45707</v>
      </c>
      <c r="J419" s="29"/>
      <c r="K419" s="29"/>
      <c r="L419" s="29"/>
      <c r="M419" s="29"/>
      <c r="N419" s="29"/>
      <c r="P419" s="134"/>
      <c r="R419" s="41" t="s">
        <v>912</v>
      </c>
    </row>
    <row r="420" spans="1:19" hidden="1">
      <c r="A420" s="41" t="s">
        <v>819</v>
      </c>
      <c r="B420" s="41"/>
      <c r="C420" s="41">
        <v>50507678</v>
      </c>
      <c r="G420" s="29" t="s">
        <v>138</v>
      </c>
      <c r="H420" s="29" t="s">
        <v>77</v>
      </c>
      <c r="I420" s="120">
        <v>45707</v>
      </c>
      <c r="J420" s="29"/>
      <c r="K420" s="29"/>
      <c r="L420" s="29"/>
      <c r="M420" s="29"/>
      <c r="N420" s="29"/>
      <c r="P420" s="134"/>
      <c r="R420" s="41" t="s">
        <v>913</v>
      </c>
    </row>
    <row r="421" spans="1:19" hidden="1">
      <c r="A421" s="41" t="s">
        <v>819</v>
      </c>
      <c r="B421" s="41"/>
      <c r="C421" s="41">
        <v>50507713</v>
      </c>
      <c r="G421" s="29" t="s">
        <v>138</v>
      </c>
      <c r="H421" s="29" t="s">
        <v>77</v>
      </c>
      <c r="I421" s="120">
        <v>45707</v>
      </c>
      <c r="J421" s="29"/>
      <c r="K421" s="29"/>
      <c r="L421" s="29"/>
      <c r="M421" s="29"/>
      <c r="N421" s="29"/>
      <c r="P421" s="134"/>
      <c r="R421" s="41" t="s">
        <v>914</v>
      </c>
    </row>
    <row r="422" spans="1:19" hidden="1">
      <c r="A422" s="41" t="s">
        <v>819</v>
      </c>
      <c r="B422" s="41"/>
      <c r="C422" s="41">
        <v>50507757</v>
      </c>
      <c r="G422" s="29" t="s">
        <v>138</v>
      </c>
      <c r="H422" s="29" t="s">
        <v>77</v>
      </c>
      <c r="I422" s="120">
        <v>45707</v>
      </c>
      <c r="J422" s="29"/>
      <c r="K422" s="29"/>
      <c r="L422" s="29"/>
      <c r="M422" s="29"/>
      <c r="N422" s="29"/>
      <c r="P422" s="134"/>
      <c r="R422" s="41" t="s">
        <v>915</v>
      </c>
    </row>
    <row r="423" spans="1:19" hidden="1">
      <c r="A423" s="147" t="s">
        <v>916</v>
      </c>
      <c r="B423" s="147"/>
      <c r="C423" s="29">
        <v>6508035</v>
      </c>
      <c r="G423" s="29" t="s">
        <v>138</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138</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138</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138</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138</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138</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138</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138</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138</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138</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138</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138</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138</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138</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138</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138</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138</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138</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138</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138</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138</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138</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138</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138</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138</v>
      </c>
      <c r="H447" s="29" t="s">
        <v>917</v>
      </c>
      <c r="I447" s="120">
        <v>45659</v>
      </c>
      <c r="J447" s="29"/>
      <c r="K447" s="29"/>
      <c r="L447" s="29"/>
      <c r="M447" s="29"/>
      <c r="N447" s="29"/>
      <c r="O447" s="29"/>
      <c r="P447" s="29"/>
      <c r="Q447" s="81"/>
      <c r="R447" s="29"/>
      <c r="S447" s="123"/>
    </row>
    <row r="448" spans="1:19" hidden="1">
      <c r="A448" s="29" t="s">
        <v>916</v>
      </c>
      <c r="B448" s="29"/>
      <c r="C448" s="29">
        <v>35500215</v>
      </c>
      <c r="G448" s="29" t="s">
        <v>138</v>
      </c>
      <c r="H448" s="29" t="s">
        <v>316</v>
      </c>
      <c r="I448" s="120">
        <v>45659</v>
      </c>
      <c r="J448" s="29"/>
      <c r="K448" s="29"/>
      <c r="L448" s="29"/>
      <c r="M448" s="29"/>
      <c r="N448" s="29"/>
      <c r="O448" s="29"/>
      <c r="P448" s="29"/>
      <c r="Q448" s="81"/>
      <c r="R448" s="29" t="s">
        <v>918</v>
      </c>
      <c r="S448" s="123"/>
    </row>
    <row r="449" spans="1:19" hidden="1">
      <c r="A449" s="29" t="s">
        <v>916</v>
      </c>
      <c r="B449" s="29"/>
      <c r="C449" s="29">
        <v>31503960</v>
      </c>
      <c r="G449" s="29" t="s">
        <v>138</v>
      </c>
      <c r="H449" s="29" t="s">
        <v>316</v>
      </c>
      <c r="I449" s="120">
        <v>45659</v>
      </c>
      <c r="J449" s="29"/>
      <c r="K449" s="29"/>
      <c r="L449" s="29"/>
      <c r="M449" s="29"/>
      <c r="N449" s="29"/>
      <c r="O449" s="29"/>
      <c r="P449" s="29"/>
      <c r="Q449" s="81"/>
      <c r="R449" s="29" t="s">
        <v>919</v>
      </c>
      <c r="S449" s="123"/>
    </row>
    <row r="450" spans="1:19" hidden="1">
      <c r="A450" s="29" t="s">
        <v>916</v>
      </c>
      <c r="B450" s="29"/>
      <c r="C450" s="29">
        <v>32500495</v>
      </c>
      <c r="G450" s="29" t="s">
        <v>138</v>
      </c>
      <c r="H450" s="29" t="s">
        <v>316</v>
      </c>
      <c r="I450" s="120">
        <v>45659</v>
      </c>
      <c r="J450" s="29"/>
      <c r="K450" s="29"/>
      <c r="L450" s="29"/>
      <c r="M450" s="29"/>
      <c r="N450" s="29"/>
      <c r="O450" s="29"/>
      <c r="P450" s="29"/>
      <c r="Q450" s="81"/>
      <c r="R450" s="29" t="s">
        <v>920</v>
      </c>
      <c r="S450" s="123"/>
    </row>
    <row r="451" spans="1:19" hidden="1">
      <c r="A451" s="29" t="s">
        <v>916</v>
      </c>
      <c r="B451" s="29"/>
      <c r="C451" s="29">
        <v>35500151</v>
      </c>
      <c r="G451" s="29" t="s">
        <v>138</v>
      </c>
      <c r="H451" s="29" t="s">
        <v>316</v>
      </c>
      <c r="I451" s="120">
        <v>45659</v>
      </c>
      <c r="J451" s="29"/>
      <c r="K451" s="29"/>
      <c r="L451" s="29"/>
      <c r="M451" s="29"/>
      <c r="N451" s="29"/>
      <c r="O451" s="29"/>
      <c r="P451" s="29"/>
      <c r="Q451" s="81"/>
      <c r="R451" s="29" t="s">
        <v>921</v>
      </c>
      <c r="S451" s="123"/>
    </row>
    <row r="452" spans="1:19" hidden="1">
      <c r="A452" s="147" t="s">
        <v>916</v>
      </c>
      <c r="B452" s="147"/>
      <c r="C452" s="29">
        <v>6508035</v>
      </c>
      <c r="G452" s="29" t="s">
        <v>138</v>
      </c>
      <c r="H452" s="29" t="s">
        <v>917</v>
      </c>
      <c r="I452" s="120">
        <v>45659</v>
      </c>
      <c r="J452" s="29"/>
      <c r="P452" s="134"/>
      <c r="R452" s="29"/>
    </row>
    <row r="453" spans="1:19" hidden="1">
      <c r="A453" s="147" t="s">
        <v>916</v>
      </c>
      <c r="B453" s="147"/>
      <c r="C453" s="29">
        <v>6508102</v>
      </c>
      <c r="G453" s="29" t="s">
        <v>138</v>
      </c>
      <c r="H453" s="29" t="s">
        <v>917</v>
      </c>
      <c r="I453" s="120">
        <v>45659</v>
      </c>
      <c r="J453" s="29"/>
      <c r="P453" s="134"/>
      <c r="R453" s="29"/>
    </row>
    <row r="454" spans="1:19" hidden="1">
      <c r="A454" s="147" t="s">
        <v>916</v>
      </c>
      <c r="B454" s="147"/>
      <c r="C454" s="29">
        <v>6508109</v>
      </c>
      <c r="G454" s="29" t="s">
        <v>138</v>
      </c>
      <c r="H454" s="29" t="s">
        <v>917</v>
      </c>
      <c r="I454" s="120">
        <v>45659</v>
      </c>
      <c r="J454" s="29"/>
      <c r="P454" s="134"/>
      <c r="R454" s="29"/>
    </row>
    <row r="455" spans="1:19" hidden="1">
      <c r="A455" s="147" t="s">
        <v>916</v>
      </c>
      <c r="B455" s="147"/>
      <c r="C455" s="29">
        <v>6508118</v>
      </c>
      <c r="G455" s="29" t="s">
        <v>138</v>
      </c>
      <c r="H455" s="29" t="s">
        <v>917</v>
      </c>
      <c r="I455" s="120">
        <v>45659</v>
      </c>
      <c r="J455" s="29"/>
      <c r="P455" s="134"/>
      <c r="R455" s="29"/>
    </row>
    <row r="456" spans="1:19" hidden="1">
      <c r="A456" s="147" t="s">
        <v>916</v>
      </c>
      <c r="B456" s="147"/>
      <c r="C456" s="29">
        <v>6508147</v>
      </c>
      <c r="G456" s="29" t="s">
        <v>138</v>
      </c>
      <c r="H456" s="29" t="s">
        <v>917</v>
      </c>
      <c r="I456" s="120">
        <v>45659</v>
      </c>
      <c r="J456" s="29"/>
      <c r="P456" s="134"/>
      <c r="R456" s="29"/>
    </row>
    <row r="457" spans="1:19" hidden="1">
      <c r="A457" s="147" t="s">
        <v>916</v>
      </c>
      <c r="B457" s="147"/>
      <c r="C457" s="29">
        <v>6508194</v>
      </c>
      <c r="G457" s="29" t="s">
        <v>138</v>
      </c>
      <c r="H457" s="29" t="s">
        <v>917</v>
      </c>
      <c r="I457" s="120">
        <v>45659</v>
      </c>
      <c r="J457" s="29"/>
      <c r="P457" s="134"/>
      <c r="R457" s="29"/>
    </row>
    <row r="458" spans="1:19" hidden="1">
      <c r="A458" s="147" t="s">
        <v>916</v>
      </c>
      <c r="B458" s="147"/>
      <c r="C458" s="29">
        <v>6508205</v>
      </c>
      <c r="G458" s="29" t="s">
        <v>138</v>
      </c>
      <c r="H458" s="29" t="s">
        <v>917</v>
      </c>
      <c r="I458" s="120">
        <v>45659</v>
      </c>
      <c r="J458" s="29"/>
      <c r="P458" s="134"/>
      <c r="R458" s="29"/>
    </row>
    <row r="459" spans="1:19" hidden="1">
      <c r="A459" s="147" t="s">
        <v>916</v>
      </c>
      <c r="B459" s="147"/>
      <c r="C459" s="29">
        <v>6508233</v>
      </c>
      <c r="G459" s="29" t="s">
        <v>138</v>
      </c>
      <c r="H459" s="29" t="s">
        <v>917</v>
      </c>
      <c r="I459" s="120">
        <v>45659</v>
      </c>
      <c r="J459" s="29"/>
      <c r="P459" s="134"/>
      <c r="R459" s="29"/>
    </row>
    <row r="460" spans="1:19" hidden="1">
      <c r="A460" s="147" t="s">
        <v>916</v>
      </c>
      <c r="B460" s="147"/>
      <c r="C460" s="29">
        <v>6508247</v>
      </c>
      <c r="G460" s="29" t="s">
        <v>138</v>
      </c>
      <c r="H460" s="29" t="s">
        <v>917</v>
      </c>
      <c r="I460" s="120">
        <v>45659</v>
      </c>
      <c r="J460" s="29"/>
      <c r="P460" s="134"/>
      <c r="R460" s="29"/>
    </row>
    <row r="461" spans="1:19" hidden="1">
      <c r="A461" s="147" t="s">
        <v>916</v>
      </c>
      <c r="B461" s="147"/>
      <c r="C461" s="29">
        <v>6508254</v>
      </c>
      <c r="G461" s="29" t="s">
        <v>138</v>
      </c>
      <c r="H461" s="29" t="s">
        <v>917</v>
      </c>
      <c r="I461" s="120">
        <v>45659</v>
      </c>
      <c r="J461" s="29"/>
      <c r="P461" s="134"/>
      <c r="R461" s="29"/>
    </row>
    <row r="462" spans="1:19" hidden="1">
      <c r="A462" s="147" t="s">
        <v>916</v>
      </c>
      <c r="B462" s="147"/>
      <c r="C462" s="29">
        <v>6508313</v>
      </c>
      <c r="G462" s="29" t="s">
        <v>138</v>
      </c>
      <c r="H462" s="29" t="s">
        <v>917</v>
      </c>
      <c r="I462" s="120">
        <v>45659</v>
      </c>
      <c r="J462" s="29"/>
      <c r="P462" s="134"/>
      <c r="R462" s="29"/>
    </row>
    <row r="463" spans="1:19" hidden="1">
      <c r="A463" s="147" t="s">
        <v>916</v>
      </c>
      <c r="B463" s="147"/>
      <c r="C463" s="29">
        <v>6508324</v>
      </c>
      <c r="G463" s="29" t="s">
        <v>138</v>
      </c>
      <c r="H463" s="29" t="s">
        <v>917</v>
      </c>
      <c r="I463" s="120">
        <v>45659</v>
      </c>
      <c r="J463" s="29"/>
      <c r="P463" s="134"/>
      <c r="R463" s="29"/>
    </row>
    <row r="464" spans="1:19" hidden="1">
      <c r="A464" s="147" t="s">
        <v>916</v>
      </c>
      <c r="B464" s="147"/>
      <c r="C464" s="29">
        <v>6508339</v>
      </c>
      <c r="G464" s="29" t="s">
        <v>138</v>
      </c>
      <c r="H464" s="29" t="s">
        <v>917</v>
      </c>
      <c r="I464" s="120">
        <v>45659</v>
      </c>
      <c r="J464" s="29"/>
      <c r="P464" s="134"/>
      <c r="R464" s="29"/>
    </row>
    <row r="465" spans="1:18" hidden="1">
      <c r="A465" s="147" t="s">
        <v>916</v>
      </c>
      <c r="B465" s="147"/>
      <c r="C465" s="29">
        <v>6508357</v>
      </c>
      <c r="G465" s="29" t="s">
        <v>138</v>
      </c>
      <c r="H465" s="29" t="s">
        <v>917</v>
      </c>
      <c r="I465" s="120">
        <v>45659</v>
      </c>
      <c r="J465" s="29"/>
      <c r="P465" s="134"/>
      <c r="R465" s="29"/>
    </row>
    <row r="466" spans="1:18" hidden="1">
      <c r="A466" s="147" t="s">
        <v>916</v>
      </c>
      <c r="B466" s="147"/>
      <c r="C466" s="29">
        <v>6508367</v>
      </c>
      <c r="G466" s="29" t="s">
        <v>138</v>
      </c>
      <c r="H466" s="29" t="s">
        <v>917</v>
      </c>
      <c r="I466" s="120">
        <v>45659</v>
      </c>
      <c r="J466" s="29"/>
      <c r="P466" s="134"/>
      <c r="R466" s="29"/>
    </row>
    <row r="467" spans="1:18" hidden="1">
      <c r="A467" s="147" t="s">
        <v>916</v>
      </c>
      <c r="B467" s="147"/>
      <c r="C467" s="29">
        <v>6508375</v>
      </c>
      <c r="G467" s="29" t="s">
        <v>138</v>
      </c>
      <c r="H467" s="29" t="s">
        <v>917</v>
      </c>
      <c r="I467" s="120">
        <v>45659</v>
      </c>
      <c r="J467" s="29"/>
      <c r="P467" s="134"/>
      <c r="R467" s="29"/>
    </row>
    <row r="468" spans="1:18" hidden="1">
      <c r="A468" s="147" t="s">
        <v>916</v>
      </c>
      <c r="B468" s="147"/>
      <c r="C468" s="29">
        <v>6508420</v>
      </c>
      <c r="G468" s="29" t="s">
        <v>138</v>
      </c>
      <c r="H468" s="29" t="s">
        <v>917</v>
      </c>
      <c r="I468" s="120">
        <v>45659</v>
      </c>
      <c r="J468" s="29"/>
      <c r="P468" s="134"/>
      <c r="R468" s="29"/>
    </row>
    <row r="469" spans="1:18" hidden="1">
      <c r="A469" s="147" t="s">
        <v>916</v>
      </c>
      <c r="B469" s="147"/>
      <c r="C469" s="29">
        <v>6508410</v>
      </c>
      <c r="G469" s="29" t="s">
        <v>138</v>
      </c>
      <c r="H469" s="29" t="s">
        <v>917</v>
      </c>
      <c r="I469" s="120">
        <v>45659</v>
      </c>
      <c r="J469" s="29"/>
      <c r="P469" s="134"/>
      <c r="R469" s="29"/>
    </row>
    <row r="470" spans="1:18" hidden="1">
      <c r="A470" s="147" t="s">
        <v>916</v>
      </c>
      <c r="B470" s="147"/>
      <c r="C470" s="29">
        <v>6508430</v>
      </c>
      <c r="G470" s="29" t="s">
        <v>138</v>
      </c>
      <c r="H470" s="29" t="s">
        <v>917</v>
      </c>
      <c r="I470" s="120">
        <v>45659</v>
      </c>
      <c r="J470" s="29"/>
      <c r="P470" s="134"/>
      <c r="R470" s="29"/>
    </row>
    <row r="471" spans="1:18" hidden="1">
      <c r="A471" s="147" t="s">
        <v>916</v>
      </c>
      <c r="B471" s="147"/>
      <c r="C471" s="29">
        <v>6508443</v>
      </c>
      <c r="G471" s="29" t="s">
        <v>138</v>
      </c>
      <c r="H471" s="29" t="s">
        <v>917</v>
      </c>
      <c r="I471" s="120">
        <v>45659</v>
      </c>
      <c r="J471" s="29"/>
      <c r="P471" s="134"/>
      <c r="R471" s="29"/>
    </row>
    <row r="472" spans="1:18" hidden="1">
      <c r="A472" s="147" t="s">
        <v>916</v>
      </c>
      <c r="B472" s="147"/>
      <c r="C472" s="29">
        <v>6508466</v>
      </c>
      <c r="G472" s="29" t="s">
        <v>138</v>
      </c>
      <c r="H472" s="29" t="s">
        <v>917</v>
      </c>
      <c r="I472" s="120">
        <v>45659</v>
      </c>
      <c r="J472" s="29"/>
      <c r="P472" s="134"/>
      <c r="R472" s="29"/>
    </row>
    <row r="473" spans="1:18" hidden="1">
      <c r="A473" s="147" t="s">
        <v>916</v>
      </c>
      <c r="B473" s="147"/>
      <c r="C473" s="29">
        <v>6508486</v>
      </c>
      <c r="G473" s="29" t="s">
        <v>138</v>
      </c>
      <c r="H473" s="29" t="s">
        <v>917</v>
      </c>
      <c r="I473" s="120">
        <v>45659</v>
      </c>
      <c r="J473" s="29"/>
      <c r="P473" s="134"/>
      <c r="R473" s="29"/>
    </row>
    <row r="474" spans="1:18" hidden="1">
      <c r="A474" s="147" t="s">
        <v>916</v>
      </c>
      <c r="B474" s="147"/>
      <c r="C474" s="29">
        <v>6508492</v>
      </c>
      <c r="G474" s="29" t="s">
        <v>138</v>
      </c>
      <c r="H474" s="29" t="s">
        <v>917</v>
      </c>
      <c r="I474" s="120">
        <v>45659</v>
      </c>
      <c r="J474" s="29"/>
      <c r="P474" s="134"/>
      <c r="R474" s="29"/>
    </row>
    <row r="475" spans="1:18" hidden="1">
      <c r="A475" s="147" t="s">
        <v>916</v>
      </c>
      <c r="B475" s="147"/>
      <c r="C475" s="29">
        <v>6508513</v>
      </c>
      <c r="G475" s="29" t="s">
        <v>138</v>
      </c>
      <c r="H475" s="29" t="s">
        <v>917</v>
      </c>
      <c r="I475" s="120">
        <v>45659</v>
      </c>
      <c r="J475" s="29"/>
      <c r="P475" s="134"/>
      <c r="R475" s="29"/>
    </row>
    <row r="476" spans="1:18" hidden="1">
      <c r="A476" s="147" t="s">
        <v>916</v>
      </c>
      <c r="B476" s="147"/>
      <c r="C476" s="29">
        <v>6508521</v>
      </c>
      <c r="G476" s="29" t="s">
        <v>138</v>
      </c>
      <c r="H476" s="29" t="s">
        <v>917</v>
      </c>
      <c r="I476" s="120">
        <v>45659</v>
      </c>
      <c r="J476" s="29"/>
      <c r="P476" s="134"/>
      <c r="R476" s="29"/>
    </row>
    <row r="477" spans="1:18" hidden="1">
      <c r="A477" s="29" t="s">
        <v>916</v>
      </c>
      <c r="B477" s="29"/>
      <c r="C477" s="29">
        <v>35500215</v>
      </c>
      <c r="G477" s="29" t="s">
        <v>138</v>
      </c>
      <c r="H477" s="29" t="s">
        <v>922</v>
      </c>
      <c r="I477" s="120">
        <v>45659</v>
      </c>
      <c r="J477" s="29"/>
      <c r="P477" s="134"/>
      <c r="R477" s="29" t="s">
        <v>918</v>
      </c>
    </row>
    <row r="478" spans="1:18" hidden="1">
      <c r="A478" s="29" t="s">
        <v>916</v>
      </c>
      <c r="B478" s="29"/>
      <c r="C478" s="29">
        <v>31503960</v>
      </c>
      <c r="G478" s="29" t="s">
        <v>138</v>
      </c>
      <c r="H478" s="29" t="s">
        <v>922</v>
      </c>
      <c r="I478" s="120">
        <v>45659</v>
      </c>
      <c r="J478" s="29"/>
      <c r="P478" s="134"/>
      <c r="R478" s="29" t="s">
        <v>919</v>
      </c>
    </row>
    <row r="479" spans="1:18" hidden="1">
      <c r="A479" s="29" t="s">
        <v>916</v>
      </c>
      <c r="B479" s="29"/>
      <c r="C479" s="29">
        <v>32500495</v>
      </c>
      <c r="G479" s="29" t="s">
        <v>138</v>
      </c>
      <c r="H479" s="29" t="s">
        <v>922</v>
      </c>
      <c r="I479" s="120">
        <v>45659</v>
      </c>
      <c r="J479" s="29"/>
      <c r="P479" s="134"/>
      <c r="R479" s="29" t="s">
        <v>920</v>
      </c>
    </row>
    <row r="480" spans="1:18" hidden="1">
      <c r="A480" s="29" t="s">
        <v>916</v>
      </c>
      <c r="B480" s="29"/>
      <c r="C480" s="29">
        <v>35500151</v>
      </c>
      <c r="G480" s="29" t="s">
        <v>138</v>
      </c>
      <c r="H480" s="29" t="s">
        <v>922</v>
      </c>
      <c r="I480" s="120">
        <v>45659</v>
      </c>
      <c r="J480" s="29"/>
      <c r="P480" s="134"/>
      <c r="R480" s="29" t="s">
        <v>921</v>
      </c>
    </row>
    <row r="481" spans="1:19" hidden="1">
      <c r="A481" s="147" t="s">
        <v>923</v>
      </c>
      <c r="B481" s="147"/>
      <c r="C481" s="29">
        <v>16507757</v>
      </c>
      <c r="G481" s="29" t="s">
        <v>138</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138</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138</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138</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138</v>
      </c>
      <c r="H485" s="29" t="s">
        <v>316</v>
      </c>
      <c r="I485" s="120">
        <v>45692</v>
      </c>
      <c r="J485" s="29"/>
      <c r="K485" s="29"/>
      <c r="L485" s="29"/>
      <c r="M485" s="29"/>
      <c r="N485" s="29"/>
      <c r="O485" s="29"/>
      <c r="P485" s="29"/>
      <c r="Q485" s="81"/>
      <c r="R485" s="29"/>
      <c r="S485" s="123"/>
    </row>
    <row r="486" spans="1:19" hidden="1">
      <c r="A486" s="147" t="s">
        <v>923</v>
      </c>
      <c r="B486" s="147"/>
      <c r="C486" s="29">
        <v>16507757</v>
      </c>
      <c r="G486" s="29" t="s">
        <v>138</v>
      </c>
      <c r="H486" s="29" t="s">
        <v>924</v>
      </c>
      <c r="I486" s="120">
        <v>45673</v>
      </c>
      <c r="J486" s="29"/>
      <c r="P486" s="134"/>
    </row>
    <row r="487" spans="1:19" hidden="1">
      <c r="A487" s="147" t="s">
        <v>923</v>
      </c>
      <c r="B487" s="147"/>
      <c r="C487" s="29">
        <v>16507726</v>
      </c>
      <c r="G487" s="29" t="s">
        <v>138</v>
      </c>
      <c r="H487" s="29" t="s">
        <v>924</v>
      </c>
      <c r="I487" s="120">
        <v>45673</v>
      </c>
      <c r="J487" s="29"/>
      <c r="P487" s="134"/>
    </row>
    <row r="488" spans="1:19" hidden="1">
      <c r="A488" s="147" t="s">
        <v>923</v>
      </c>
      <c r="B488" s="147"/>
      <c r="C488" s="29">
        <v>16507786</v>
      </c>
      <c r="G488" s="29" t="s">
        <v>138</v>
      </c>
      <c r="H488" s="29" t="s">
        <v>924</v>
      </c>
      <c r="I488" s="120">
        <v>45673</v>
      </c>
      <c r="J488" s="29"/>
      <c r="P488" s="134"/>
    </row>
    <row r="489" spans="1:19" hidden="1">
      <c r="A489" s="147" t="s">
        <v>923</v>
      </c>
      <c r="B489" s="147"/>
      <c r="C489" s="29">
        <v>35500151</v>
      </c>
      <c r="G489" s="29" t="s">
        <v>138</v>
      </c>
      <c r="H489" s="29" t="s">
        <v>316</v>
      </c>
      <c r="I489" s="120">
        <v>45692</v>
      </c>
      <c r="J489" s="29"/>
      <c r="P489" s="134"/>
    </row>
    <row r="490" spans="1:19" hidden="1">
      <c r="A490" s="147" t="s">
        <v>925</v>
      </c>
      <c r="B490" s="147"/>
      <c r="C490" s="29">
        <v>21507458</v>
      </c>
      <c r="G490" s="29" t="s">
        <v>138</v>
      </c>
      <c r="H490" s="29" t="s">
        <v>316</v>
      </c>
      <c r="I490" s="120">
        <v>45678</v>
      </c>
      <c r="J490" s="29"/>
      <c r="K490" s="29"/>
      <c r="L490" s="29"/>
      <c r="M490" s="29"/>
      <c r="N490" s="29"/>
      <c r="O490" s="29"/>
      <c r="P490" s="29"/>
      <c r="Q490" s="81"/>
      <c r="R490" s="29"/>
      <c r="S490" s="123"/>
    </row>
    <row r="491" spans="1:19" hidden="1">
      <c r="A491" s="147" t="s">
        <v>925</v>
      </c>
      <c r="B491" s="147"/>
      <c r="C491" s="29">
        <v>21507496</v>
      </c>
      <c r="G491" s="29" t="s">
        <v>138</v>
      </c>
      <c r="H491" s="29" t="s">
        <v>316</v>
      </c>
      <c r="I491" s="120">
        <v>45678</v>
      </c>
      <c r="J491" s="29"/>
      <c r="K491" s="29"/>
      <c r="L491" s="29"/>
      <c r="M491" s="29"/>
      <c r="N491" s="29"/>
      <c r="O491" s="29"/>
      <c r="P491" s="29"/>
      <c r="Q491" s="81"/>
      <c r="R491" s="29"/>
      <c r="S491" s="123"/>
    </row>
    <row r="492" spans="1:19" hidden="1">
      <c r="A492" s="147" t="s">
        <v>925</v>
      </c>
      <c r="B492" s="147"/>
      <c r="C492" s="29">
        <v>21507508</v>
      </c>
      <c r="G492" s="29" t="s">
        <v>138</v>
      </c>
      <c r="H492" s="29" t="s">
        <v>316</v>
      </c>
      <c r="I492" s="120">
        <v>45678</v>
      </c>
      <c r="J492" s="29"/>
      <c r="K492" s="29"/>
      <c r="L492" s="29"/>
      <c r="M492" s="29"/>
      <c r="N492" s="29"/>
      <c r="O492" s="29"/>
      <c r="P492" s="29"/>
      <c r="Q492" s="81"/>
      <c r="R492" s="29"/>
      <c r="S492" s="123"/>
    </row>
    <row r="493" spans="1:19" hidden="1">
      <c r="A493" s="147" t="s">
        <v>925</v>
      </c>
      <c r="B493" s="147"/>
      <c r="C493" s="29">
        <v>21507522</v>
      </c>
      <c r="G493" s="29" t="s">
        <v>138</v>
      </c>
      <c r="H493" s="29" t="s">
        <v>316</v>
      </c>
      <c r="I493" s="120">
        <v>45678</v>
      </c>
      <c r="J493" s="29"/>
      <c r="K493" s="29"/>
      <c r="L493" s="29"/>
      <c r="M493" s="29"/>
      <c r="N493" s="29"/>
      <c r="O493" s="29"/>
      <c r="P493" s="29"/>
      <c r="Q493" s="81"/>
      <c r="R493" s="29"/>
      <c r="S493" s="123"/>
    </row>
    <row r="494" spans="1:19" hidden="1">
      <c r="A494" s="147" t="s">
        <v>925</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925</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925</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925</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925</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925</v>
      </c>
      <c r="B499" s="147"/>
      <c r="C499" s="29">
        <v>15508079</v>
      </c>
      <c r="G499" s="29" t="s">
        <v>138</v>
      </c>
      <c r="H499" s="29" t="s">
        <v>77</v>
      </c>
      <c r="I499" s="120">
        <v>45672</v>
      </c>
      <c r="J499" s="29"/>
      <c r="P499" s="134"/>
    </row>
    <row r="500" spans="1:19" hidden="1">
      <c r="A500" s="147" t="s">
        <v>925</v>
      </c>
      <c r="B500" s="147"/>
      <c r="C500" s="29">
        <v>15508117</v>
      </c>
      <c r="G500" s="29" t="s">
        <v>138</v>
      </c>
      <c r="H500" s="29" t="s">
        <v>77</v>
      </c>
      <c r="I500" s="120">
        <v>45672</v>
      </c>
      <c r="J500" s="29"/>
      <c r="P500" s="134"/>
    </row>
    <row r="501" spans="1:19" hidden="1">
      <c r="A501" s="147" t="s">
        <v>925</v>
      </c>
      <c r="B501" s="147"/>
      <c r="C501" s="29">
        <v>15508166</v>
      </c>
      <c r="G501" s="29" t="s">
        <v>138</v>
      </c>
      <c r="H501" s="29" t="s">
        <v>77</v>
      </c>
      <c r="I501" s="120">
        <v>45672</v>
      </c>
      <c r="J501" s="29"/>
      <c r="P501" s="134"/>
    </row>
    <row r="502" spans="1:19" hidden="1">
      <c r="A502" s="147" t="s">
        <v>925</v>
      </c>
      <c r="B502" s="147"/>
      <c r="C502" s="29">
        <v>15508197</v>
      </c>
      <c r="G502" s="29" t="s">
        <v>138</v>
      </c>
      <c r="H502" s="29" t="s">
        <v>77</v>
      </c>
      <c r="I502" s="120">
        <v>45672</v>
      </c>
      <c r="J502" s="29"/>
      <c r="P502" s="134"/>
    </row>
    <row r="503" spans="1:19" hidden="1">
      <c r="A503" s="147" t="s">
        <v>925</v>
      </c>
      <c r="B503" s="147"/>
      <c r="C503" s="29">
        <v>15508138</v>
      </c>
      <c r="G503" s="29" t="s">
        <v>138</v>
      </c>
      <c r="H503" s="29" t="s">
        <v>77</v>
      </c>
      <c r="I503" s="120">
        <v>45672</v>
      </c>
      <c r="J503" s="29"/>
      <c r="P503" s="134"/>
    </row>
    <row r="504" spans="1:19" hidden="1">
      <c r="A504" s="147" t="s">
        <v>925</v>
      </c>
      <c r="B504" s="147"/>
      <c r="C504" s="29">
        <v>21507458</v>
      </c>
      <c r="G504" s="29" t="s">
        <v>138</v>
      </c>
      <c r="H504" s="29" t="s">
        <v>316</v>
      </c>
      <c r="I504" s="120">
        <v>45678</v>
      </c>
      <c r="J504" s="29"/>
      <c r="P504" s="134"/>
    </row>
    <row r="505" spans="1:19" hidden="1">
      <c r="A505" s="147" t="s">
        <v>925</v>
      </c>
      <c r="B505" s="147"/>
      <c r="C505" s="29">
        <v>21507496</v>
      </c>
      <c r="G505" s="29" t="s">
        <v>138</v>
      </c>
      <c r="H505" s="29" t="s">
        <v>316</v>
      </c>
      <c r="I505" s="120">
        <v>45678</v>
      </c>
      <c r="J505" s="29"/>
      <c r="P505" s="134"/>
    </row>
    <row r="506" spans="1:19" hidden="1">
      <c r="A506" s="147" t="s">
        <v>925</v>
      </c>
      <c r="B506" s="147"/>
      <c r="C506" s="29">
        <v>21507508</v>
      </c>
      <c r="G506" s="29" t="s">
        <v>138</v>
      </c>
      <c r="H506" s="29" t="s">
        <v>316</v>
      </c>
      <c r="I506" s="120">
        <v>45678</v>
      </c>
      <c r="J506" s="29"/>
      <c r="P506" s="134"/>
    </row>
    <row r="507" spans="1:19" hidden="1">
      <c r="A507" s="147" t="s">
        <v>925</v>
      </c>
      <c r="B507" s="147"/>
      <c r="C507" s="29">
        <v>21507522</v>
      </c>
      <c r="G507" s="29" t="s">
        <v>138</v>
      </c>
      <c r="H507" s="29" t="s">
        <v>316</v>
      </c>
      <c r="I507" s="120">
        <v>45678</v>
      </c>
      <c r="J507" s="29"/>
      <c r="P507" s="134"/>
    </row>
    <row r="508" spans="1:19" hidden="1">
      <c r="A508" s="147" t="s">
        <v>926</v>
      </c>
      <c r="B508" s="147"/>
      <c r="C508" s="29">
        <v>15508269</v>
      </c>
      <c r="G508" s="29" t="s">
        <v>138</v>
      </c>
      <c r="H508" s="29" t="s">
        <v>77</v>
      </c>
      <c r="I508" s="120">
        <v>45672</v>
      </c>
      <c r="J508" s="29"/>
      <c r="P508" s="134"/>
    </row>
    <row r="509" spans="1:19" hidden="1">
      <c r="A509" s="147" t="s">
        <v>926</v>
      </c>
      <c r="B509" s="147"/>
      <c r="C509" s="29">
        <v>15508306</v>
      </c>
      <c r="G509" s="29" t="s">
        <v>138</v>
      </c>
      <c r="H509" s="29" t="s">
        <v>77</v>
      </c>
      <c r="I509" s="120">
        <v>45672</v>
      </c>
      <c r="J509" s="29"/>
      <c r="P509" s="134"/>
    </row>
    <row r="510" spans="1:19" hidden="1">
      <c r="A510" s="147" t="s">
        <v>926</v>
      </c>
      <c r="B510" s="147"/>
      <c r="C510" s="29">
        <v>15508345</v>
      </c>
      <c r="G510" s="29" t="s">
        <v>138</v>
      </c>
      <c r="H510" s="29" t="s">
        <v>77</v>
      </c>
      <c r="I510" s="120">
        <v>45672</v>
      </c>
      <c r="J510" s="29"/>
      <c r="P510" s="134"/>
    </row>
    <row r="511" spans="1:19" hidden="1">
      <c r="A511" s="147" t="s">
        <v>926</v>
      </c>
      <c r="B511" s="147"/>
      <c r="C511" s="29">
        <v>15508377</v>
      </c>
      <c r="G511" s="29" t="s">
        <v>138</v>
      </c>
      <c r="H511" s="29" t="s">
        <v>77</v>
      </c>
      <c r="I511" s="120">
        <v>45672</v>
      </c>
      <c r="J511" s="29"/>
      <c r="P511" s="134"/>
    </row>
    <row r="512" spans="1:19" hidden="1">
      <c r="A512" s="147" t="s">
        <v>926</v>
      </c>
      <c r="B512" s="147"/>
      <c r="C512" s="29">
        <v>21507541</v>
      </c>
      <c r="G512" s="29" t="s">
        <v>138</v>
      </c>
      <c r="H512" s="29" t="s">
        <v>316</v>
      </c>
      <c r="I512" s="120">
        <v>45678</v>
      </c>
      <c r="J512" s="29"/>
      <c r="P512" s="134"/>
    </row>
    <row r="513" spans="1:19" hidden="1">
      <c r="A513" s="147" t="s">
        <v>926</v>
      </c>
      <c r="B513" s="147"/>
      <c r="C513" s="29">
        <v>21507542</v>
      </c>
      <c r="G513" s="29" t="s">
        <v>138</v>
      </c>
      <c r="H513" s="29" t="s">
        <v>316</v>
      </c>
      <c r="I513" s="120">
        <v>45678</v>
      </c>
      <c r="J513" s="29"/>
      <c r="P513" s="134"/>
    </row>
    <row r="514" spans="1:19" hidden="1">
      <c r="A514" s="147" t="s">
        <v>926</v>
      </c>
      <c r="B514" s="147"/>
      <c r="C514" s="29">
        <v>21507549</v>
      </c>
      <c r="G514" s="29" t="s">
        <v>138</v>
      </c>
      <c r="H514" s="29" t="s">
        <v>316</v>
      </c>
      <c r="I514" s="120">
        <v>45678</v>
      </c>
      <c r="J514" s="29"/>
      <c r="P514" s="134"/>
    </row>
    <row r="515" spans="1:19" hidden="1">
      <c r="A515" s="147" t="s">
        <v>926</v>
      </c>
      <c r="B515" s="147"/>
      <c r="C515" s="29">
        <v>21507541</v>
      </c>
      <c r="G515" s="29" t="s">
        <v>138</v>
      </c>
      <c r="H515" s="29" t="s">
        <v>316</v>
      </c>
      <c r="I515" s="120">
        <v>45678</v>
      </c>
      <c r="J515" s="29"/>
      <c r="K515" s="29"/>
      <c r="L515" s="29"/>
      <c r="M515" s="29"/>
      <c r="N515" s="29"/>
      <c r="O515" s="29"/>
      <c r="P515" s="29"/>
      <c r="Q515" s="81"/>
      <c r="R515" s="29"/>
      <c r="S515" s="123"/>
    </row>
    <row r="516" spans="1:19" hidden="1">
      <c r="A516" s="147" t="s">
        <v>926</v>
      </c>
      <c r="B516" s="147"/>
      <c r="C516" s="29">
        <v>21507542</v>
      </c>
      <c r="G516" s="29" t="s">
        <v>138</v>
      </c>
      <c r="H516" s="29" t="s">
        <v>316</v>
      </c>
      <c r="I516" s="120">
        <v>45678</v>
      </c>
      <c r="J516" s="29"/>
      <c r="K516" s="29"/>
      <c r="L516" s="29"/>
      <c r="M516" s="29"/>
      <c r="N516" s="29"/>
      <c r="O516" s="29"/>
      <c r="P516" s="29"/>
      <c r="Q516" s="81"/>
      <c r="R516" s="29"/>
      <c r="S516" s="123"/>
    </row>
    <row r="517" spans="1:19" hidden="1">
      <c r="A517" s="147" t="s">
        <v>926</v>
      </c>
      <c r="B517" s="147"/>
      <c r="C517" s="29">
        <v>21507549</v>
      </c>
      <c r="G517" s="29" t="s">
        <v>138</v>
      </c>
      <c r="H517" s="29" t="s">
        <v>316</v>
      </c>
      <c r="I517" s="120">
        <v>45678</v>
      </c>
      <c r="J517" s="29"/>
      <c r="K517" s="29"/>
      <c r="L517" s="29"/>
      <c r="M517" s="29"/>
      <c r="N517" s="29"/>
      <c r="O517" s="29"/>
      <c r="P517" s="29"/>
      <c r="Q517" s="81"/>
      <c r="R517" s="29"/>
      <c r="S517" s="123"/>
    </row>
    <row r="518" spans="1:19" hidden="1">
      <c r="A518" s="147" t="s">
        <v>926</v>
      </c>
      <c r="B518" s="147"/>
      <c r="C518" s="29">
        <v>21507550</v>
      </c>
      <c r="G518" s="29" t="s">
        <v>138</v>
      </c>
      <c r="H518" s="29" t="s">
        <v>316</v>
      </c>
      <c r="I518" s="120">
        <v>45678</v>
      </c>
      <c r="J518" s="29"/>
      <c r="K518" s="29"/>
      <c r="L518" s="29"/>
      <c r="M518" s="29"/>
      <c r="N518" s="29"/>
      <c r="O518" s="29"/>
      <c r="P518" s="29"/>
      <c r="Q518" s="81"/>
      <c r="R518" s="29"/>
      <c r="S518" s="123"/>
    </row>
    <row r="519" spans="1:19" hidden="1">
      <c r="A519" s="147" t="s">
        <v>926</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926</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926</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926</v>
      </c>
      <c r="B522" s="147"/>
      <c r="C522" s="29">
        <v>15508377</v>
      </c>
      <c r="G522" s="29" t="s">
        <v>138</v>
      </c>
      <c r="H522" s="29" t="s">
        <v>77</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290</v>
      </c>
      <c r="B524" s="151"/>
      <c r="C524" s="29">
        <v>10507009</v>
      </c>
      <c r="D524" s="29"/>
      <c r="F524" s="29"/>
      <c r="G524" s="29" t="s">
        <v>823</v>
      </c>
      <c r="H524" s="29" t="s">
        <v>291</v>
      </c>
      <c r="I524" s="120">
        <v>45658</v>
      </c>
      <c r="J524" s="120">
        <f>WORKDAY(I524, 3)</f>
        <v>45663</v>
      </c>
      <c r="K524" s="120"/>
      <c r="L524" s="120"/>
      <c r="M524" s="120"/>
      <c r="N524" s="120"/>
      <c r="O524" s="119" t="s">
        <v>929</v>
      </c>
      <c r="P524" s="120"/>
      <c r="Q524" s="135"/>
      <c r="R524" s="29"/>
      <c r="S524" s="123"/>
    </row>
    <row r="525" spans="1:19" hidden="1">
      <c r="A525" s="147" t="s">
        <v>290</v>
      </c>
      <c r="B525" s="147"/>
      <c r="C525" s="29">
        <v>10507037</v>
      </c>
      <c r="D525" s="29"/>
      <c r="F525" s="29"/>
      <c r="G525" s="29" t="s">
        <v>823</v>
      </c>
      <c r="H525" s="29" t="s">
        <v>291</v>
      </c>
      <c r="I525" s="120">
        <v>45658</v>
      </c>
      <c r="J525" s="120">
        <f>WORKDAY(I525, 3)</f>
        <v>45663</v>
      </c>
      <c r="K525" s="120"/>
      <c r="L525" s="120"/>
      <c r="M525" s="120"/>
      <c r="N525" s="120"/>
      <c r="O525" s="119" t="s">
        <v>929</v>
      </c>
      <c r="P525" s="120"/>
      <c r="Q525" s="135"/>
      <c r="R525" s="29"/>
      <c r="S525" s="123"/>
    </row>
    <row r="526" spans="1:19" hidden="1">
      <c r="A526" s="147" t="s">
        <v>290</v>
      </c>
      <c r="B526" s="147"/>
      <c r="C526" s="29">
        <v>10507027</v>
      </c>
      <c r="D526" s="29"/>
      <c r="F526" s="29"/>
      <c r="G526" s="29" t="s">
        <v>823</v>
      </c>
      <c r="H526" s="29" t="s">
        <v>291</v>
      </c>
      <c r="I526" s="120">
        <v>45658</v>
      </c>
      <c r="J526" s="120">
        <f>WORKDAY(I526, 3)</f>
        <v>45663</v>
      </c>
      <c r="K526" s="120"/>
      <c r="L526" s="120"/>
      <c r="M526" s="120"/>
      <c r="N526" s="120"/>
      <c r="O526" s="119" t="s">
        <v>929</v>
      </c>
      <c r="P526" s="120"/>
      <c r="Q526" s="135"/>
      <c r="R526" s="29"/>
      <c r="S526" s="123"/>
    </row>
    <row r="527" spans="1:19" hidden="1">
      <c r="A527" s="147" t="s">
        <v>290</v>
      </c>
      <c r="B527" s="147"/>
      <c r="C527" s="29">
        <v>10507008</v>
      </c>
      <c r="D527" s="29"/>
      <c r="F527" s="29"/>
      <c r="G527" s="29" t="s">
        <v>823</v>
      </c>
      <c r="H527" s="29" t="s">
        <v>291</v>
      </c>
      <c r="I527" s="120">
        <v>45658</v>
      </c>
      <c r="J527" s="120">
        <f>WORKDAY(I527, 3)</f>
        <v>45663</v>
      </c>
      <c r="K527" s="120"/>
      <c r="L527" s="120"/>
      <c r="M527" s="120"/>
      <c r="N527" s="120"/>
      <c r="O527" s="119" t="s">
        <v>929</v>
      </c>
      <c r="P527" s="120"/>
      <c r="Q527" s="135"/>
      <c r="R527" s="29"/>
      <c r="S527" s="123"/>
    </row>
    <row r="528" spans="1:19" hidden="1">
      <c r="A528" s="147" t="s">
        <v>290</v>
      </c>
      <c r="B528" s="147"/>
      <c r="C528" s="29">
        <v>10507102</v>
      </c>
      <c r="D528" s="29"/>
      <c r="F528" s="29"/>
      <c r="G528" s="29" t="s">
        <v>823</v>
      </c>
      <c r="H528" s="29" t="s">
        <v>291</v>
      </c>
      <c r="I528" s="120">
        <v>45658</v>
      </c>
      <c r="J528" s="120">
        <f>WORKDAY(I528, 3)</f>
        <v>45663</v>
      </c>
      <c r="K528" s="120"/>
      <c r="L528" s="120"/>
      <c r="M528" s="120"/>
      <c r="N528" s="120"/>
      <c r="O528" s="119" t="s">
        <v>929</v>
      </c>
      <c r="P528" s="120"/>
      <c r="Q528" s="135"/>
      <c r="R528" s="29"/>
      <c r="S528" s="123"/>
    </row>
    <row r="529" spans="1:19" hidden="1">
      <c r="A529" s="147" t="s">
        <v>290</v>
      </c>
      <c r="B529" s="147"/>
      <c r="C529" s="29">
        <v>10507007</v>
      </c>
      <c r="D529" s="29"/>
      <c r="F529" s="29"/>
      <c r="G529" s="29" t="s">
        <v>823</v>
      </c>
      <c r="H529" s="29" t="s">
        <v>291</v>
      </c>
      <c r="I529" s="120">
        <v>45658</v>
      </c>
      <c r="J529" s="120">
        <f>WORKDAY(I529, 3)</f>
        <v>45663</v>
      </c>
      <c r="K529" s="120"/>
      <c r="L529" s="120"/>
      <c r="M529" s="120"/>
      <c r="N529" s="120"/>
      <c r="O529" s="119" t="s">
        <v>929</v>
      </c>
      <c r="P529" s="120"/>
      <c r="Q529" s="135"/>
      <c r="R529" s="29"/>
      <c r="S529" s="123"/>
    </row>
    <row r="530" spans="1:19" hidden="1">
      <c r="A530" s="147" t="s">
        <v>290</v>
      </c>
      <c r="B530" s="147"/>
      <c r="C530" s="29">
        <v>10507014</v>
      </c>
      <c r="D530" s="29"/>
      <c r="F530" s="29"/>
      <c r="G530" s="29" t="s">
        <v>823</v>
      </c>
      <c r="H530" s="29" t="s">
        <v>291</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138</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138</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138</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138</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138</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138</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138</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138</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138</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138</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138</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138</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138</v>
      </c>
      <c r="H543" s="29" t="s">
        <v>917</v>
      </c>
      <c r="I543" s="120">
        <v>45659</v>
      </c>
      <c r="J543" s="120">
        <f>WORKDAY(I543, 3)</f>
        <v>45664</v>
      </c>
      <c r="K543" s="120"/>
      <c r="L543" s="120"/>
      <c r="M543" s="120"/>
      <c r="N543" s="120"/>
      <c r="O543" s="119" t="s">
        <v>929</v>
      </c>
      <c r="P543" s="120"/>
      <c r="Q543" s="135"/>
      <c r="R543" s="29"/>
      <c r="S543" s="123"/>
    </row>
    <row r="544" spans="1:19" hidden="1">
      <c r="A544" s="147" t="s">
        <v>290</v>
      </c>
      <c r="B544" s="147"/>
      <c r="C544" s="29">
        <v>9504725</v>
      </c>
      <c r="D544" s="29"/>
      <c r="F544" s="29"/>
      <c r="G544" s="29" t="s">
        <v>823</v>
      </c>
      <c r="H544" s="127" t="s">
        <v>292</v>
      </c>
      <c r="I544" s="120">
        <v>45666</v>
      </c>
      <c r="J544" s="120">
        <f>WORKDAY(I544, 3)</f>
        <v>45671</v>
      </c>
      <c r="K544" s="120"/>
      <c r="L544" s="120"/>
      <c r="M544" s="120"/>
      <c r="N544" s="120"/>
      <c r="O544" s="119" t="s">
        <v>929</v>
      </c>
      <c r="P544" s="120"/>
      <c r="Q544" s="135"/>
      <c r="R544" s="127" t="s">
        <v>293</v>
      </c>
      <c r="S544" s="123"/>
    </row>
    <row r="545" spans="1:19" ht="29.25" hidden="1">
      <c r="A545" s="147" t="s">
        <v>290</v>
      </c>
      <c r="B545" s="147"/>
      <c r="C545" s="29">
        <v>9502380</v>
      </c>
      <c r="D545" s="29"/>
      <c r="F545" s="29"/>
      <c r="G545" s="29" t="s">
        <v>823</v>
      </c>
      <c r="H545" s="127" t="s">
        <v>292</v>
      </c>
      <c r="I545" s="120">
        <v>45666</v>
      </c>
      <c r="J545" s="120">
        <f>WORKDAY(I545, 3)</f>
        <v>45671</v>
      </c>
      <c r="K545" s="120"/>
      <c r="L545" s="120"/>
      <c r="M545" s="120"/>
      <c r="N545" s="120"/>
      <c r="O545" s="119" t="s">
        <v>929</v>
      </c>
      <c r="P545" s="120"/>
      <c r="Q545" s="135"/>
      <c r="R545" s="127" t="s">
        <v>294</v>
      </c>
      <c r="S545" s="123"/>
    </row>
    <row r="546" spans="1:19" ht="29.25" hidden="1">
      <c r="A546" s="147" t="s">
        <v>290</v>
      </c>
      <c r="B546" s="147"/>
      <c r="C546" s="29">
        <v>9501187</v>
      </c>
      <c r="D546" s="29"/>
      <c r="F546" s="29"/>
      <c r="G546" s="29" t="s">
        <v>823</v>
      </c>
      <c r="H546" s="127" t="s">
        <v>292</v>
      </c>
      <c r="I546" s="120">
        <v>45666</v>
      </c>
      <c r="J546" s="120">
        <f>WORKDAY(I546, 3)</f>
        <v>45671</v>
      </c>
      <c r="K546" s="120"/>
      <c r="L546" s="120"/>
      <c r="M546" s="120"/>
      <c r="N546" s="120"/>
      <c r="O546" s="119" t="s">
        <v>929</v>
      </c>
      <c r="P546" s="120"/>
      <c r="Q546" s="135"/>
      <c r="R546" s="127" t="s">
        <v>295</v>
      </c>
      <c r="S546" s="123"/>
    </row>
    <row r="547" spans="1:19" hidden="1">
      <c r="A547" s="147" t="s">
        <v>290</v>
      </c>
      <c r="B547" s="147"/>
      <c r="C547" s="29">
        <v>10507009</v>
      </c>
      <c r="D547" s="29"/>
      <c r="F547" s="29"/>
      <c r="G547" s="29" t="s">
        <v>823</v>
      </c>
      <c r="H547" s="29" t="s">
        <v>291</v>
      </c>
      <c r="I547" s="120">
        <v>45667</v>
      </c>
      <c r="J547" s="120">
        <f>WORKDAY(I547, 3)</f>
        <v>45672</v>
      </c>
      <c r="K547" s="120"/>
      <c r="L547" s="120"/>
      <c r="M547" s="120"/>
      <c r="N547" s="120"/>
      <c r="O547" s="119" t="s">
        <v>929</v>
      </c>
      <c r="P547" s="120"/>
      <c r="Q547" s="135"/>
      <c r="R547" s="29" t="s">
        <v>296</v>
      </c>
      <c r="S547" s="123"/>
    </row>
    <row r="548" spans="1:19" hidden="1">
      <c r="A548" s="147" t="s">
        <v>290</v>
      </c>
      <c r="B548" s="147"/>
      <c r="C548" s="29">
        <v>10507014</v>
      </c>
      <c r="D548" s="29"/>
      <c r="F548" s="29"/>
      <c r="G548" s="29" t="s">
        <v>823</v>
      </c>
      <c r="H548" s="29" t="s">
        <v>291</v>
      </c>
      <c r="I548" s="120">
        <v>45667</v>
      </c>
      <c r="J548" s="120">
        <f>WORKDAY(I548, 3)</f>
        <v>45672</v>
      </c>
      <c r="K548" s="120"/>
      <c r="L548" s="120"/>
      <c r="M548" s="120"/>
      <c r="N548" s="120"/>
      <c r="O548" s="119" t="s">
        <v>929</v>
      </c>
      <c r="P548" s="120"/>
      <c r="Q548" s="135"/>
      <c r="R548" s="29" t="s">
        <v>296</v>
      </c>
      <c r="S548" s="123"/>
    </row>
    <row r="549" spans="1:19" hidden="1">
      <c r="A549" s="147" t="s">
        <v>290</v>
      </c>
      <c r="B549" s="147"/>
      <c r="C549" s="29">
        <v>10507027</v>
      </c>
      <c r="D549" s="29"/>
      <c r="F549" s="29"/>
      <c r="G549" s="29" t="s">
        <v>823</v>
      </c>
      <c r="H549" s="29" t="s">
        <v>291</v>
      </c>
      <c r="I549" s="120">
        <v>45667</v>
      </c>
      <c r="J549" s="120">
        <f>WORKDAY(I549, 3)</f>
        <v>45672</v>
      </c>
      <c r="K549" s="120"/>
      <c r="L549" s="120"/>
      <c r="M549" s="120"/>
      <c r="N549" s="120"/>
      <c r="O549" s="119" t="s">
        <v>929</v>
      </c>
      <c r="P549" s="120"/>
      <c r="Q549" s="135"/>
      <c r="R549" s="29" t="s">
        <v>296</v>
      </c>
      <c r="S549" s="123"/>
    </row>
    <row r="550" spans="1:19" hidden="1">
      <c r="A550" s="147" t="s">
        <v>290</v>
      </c>
      <c r="B550" s="147"/>
      <c r="C550" s="29">
        <v>10507008</v>
      </c>
      <c r="D550" s="29"/>
      <c r="F550" s="29"/>
      <c r="G550" s="29" t="s">
        <v>823</v>
      </c>
      <c r="H550" s="29" t="s">
        <v>291</v>
      </c>
      <c r="I550" s="120">
        <v>45667</v>
      </c>
      <c r="J550" s="120">
        <f>WORKDAY(I550, 3)</f>
        <v>45672</v>
      </c>
      <c r="K550" s="120"/>
      <c r="L550" s="120"/>
      <c r="M550" s="120"/>
      <c r="N550" s="120"/>
      <c r="O550" s="119" t="s">
        <v>929</v>
      </c>
      <c r="P550" s="120"/>
      <c r="Q550" s="135"/>
      <c r="R550" s="29" t="s">
        <v>296</v>
      </c>
      <c r="S550" s="123"/>
    </row>
    <row r="551" spans="1:19" hidden="1">
      <c r="A551" s="147" t="s">
        <v>290</v>
      </c>
      <c r="B551" s="147"/>
      <c r="C551" s="29">
        <v>10507003</v>
      </c>
      <c r="D551" s="29"/>
      <c r="F551" s="29"/>
      <c r="G551" s="29" t="s">
        <v>823</v>
      </c>
      <c r="H551" s="29" t="s">
        <v>291</v>
      </c>
      <c r="I551" s="120">
        <v>45667</v>
      </c>
      <c r="J551" s="120">
        <f>WORKDAY(I551, 3)</f>
        <v>45672</v>
      </c>
      <c r="K551" s="120"/>
      <c r="L551" s="120"/>
      <c r="M551" s="120"/>
      <c r="N551" s="120"/>
      <c r="O551" s="119" t="s">
        <v>929</v>
      </c>
      <c r="P551" s="120"/>
      <c r="Q551" s="135"/>
      <c r="R551" s="29" t="s">
        <v>296</v>
      </c>
      <c r="S551" s="123"/>
    </row>
    <row r="552" spans="1:19" hidden="1">
      <c r="A552" s="147" t="s">
        <v>290</v>
      </c>
      <c r="B552" s="147"/>
      <c r="C552" s="29">
        <v>8509919</v>
      </c>
      <c r="D552" s="29"/>
      <c r="F552" s="29"/>
      <c r="G552" s="29" t="s">
        <v>823</v>
      </c>
      <c r="H552" s="127" t="s">
        <v>292</v>
      </c>
      <c r="I552" s="120">
        <v>45668</v>
      </c>
      <c r="J552" s="120">
        <f>WORKDAY(I552, 3)</f>
        <v>45672</v>
      </c>
      <c r="K552" s="120"/>
      <c r="L552" s="120"/>
      <c r="M552" s="120"/>
      <c r="N552" s="120"/>
      <c r="O552" s="119" t="s">
        <v>929</v>
      </c>
      <c r="P552" s="120"/>
      <c r="Q552" s="135"/>
      <c r="R552" s="127" t="s">
        <v>297</v>
      </c>
      <c r="S552" s="123"/>
    </row>
    <row r="553" spans="1:19" ht="29.25" hidden="1">
      <c r="A553" s="147" t="s">
        <v>290</v>
      </c>
      <c r="B553" s="147"/>
      <c r="C553" s="29">
        <v>8509573</v>
      </c>
      <c r="D553" s="29"/>
      <c r="F553" s="29"/>
      <c r="G553" s="29" t="s">
        <v>823</v>
      </c>
      <c r="H553" s="127" t="s">
        <v>292</v>
      </c>
      <c r="I553" s="120">
        <v>45668</v>
      </c>
      <c r="J553" s="120">
        <f>WORKDAY(I553, 3)</f>
        <v>45672</v>
      </c>
      <c r="K553" s="120"/>
      <c r="L553" s="120"/>
      <c r="M553" s="120"/>
      <c r="N553" s="120"/>
      <c r="O553" s="119" t="s">
        <v>929</v>
      </c>
      <c r="P553" s="120"/>
      <c r="Q553" s="135"/>
      <c r="R553" s="127" t="s">
        <v>298</v>
      </c>
      <c r="S553" s="123"/>
    </row>
    <row r="554" spans="1:19" ht="29.25" hidden="1">
      <c r="A554" s="147" t="s">
        <v>290</v>
      </c>
      <c r="B554" s="147"/>
      <c r="C554" s="29">
        <v>14509553</v>
      </c>
      <c r="D554" s="29"/>
      <c r="F554" s="29"/>
      <c r="G554" s="29" t="s">
        <v>823</v>
      </c>
      <c r="H554" s="127" t="s">
        <v>292</v>
      </c>
      <c r="I554" s="120">
        <v>45671</v>
      </c>
      <c r="J554" s="120">
        <f>WORKDAY(I554, 3)</f>
        <v>45674</v>
      </c>
      <c r="K554" s="120"/>
      <c r="L554" s="120"/>
      <c r="M554" s="120"/>
      <c r="N554" s="120"/>
      <c r="O554" s="119" t="s">
        <v>929</v>
      </c>
      <c r="P554" s="120"/>
      <c r="Q554" s="135"/>
      <c r="R554" s="127" t="s">
        <v>299</v>
      </c>
      <c r="S554" s="123"/>
    </row>
    <row r="555" spans="1:19" hidden="1">
      <c r="A555" s="147" t="s">
        <v>290</v>
      </c>
      <c r="B555" s="147"/>
      <c r="C555" s="29">
        <v>14509533</v>
      </c>
      <c r="D555" s="29"/>
      <c r="F555" s="29"/>
      <c r="G555" s="29" t="s">
        <v>823</v>
      </c>
      <c r="H555" s="127" t="s">
        <v>292</v>
      </c>
      <c r="I555" s="120">
        <v>45671</v>
      </c>
      <c r="J555" s="120">
        <f>WORKDAY(I555, 3)</f>
        <v>45674</v>
      </c>
      <c r="K555" s="120"/>
      <c r="L555" s="120"/>
      <c r="M555" s="120"/>
      <c r="N555" s="120"/>
      <c r="O555" s="119" t="s">
        <v>929</v>
      </c>
      <c r="P555" s="120"/>
      <c r="Q555" s="135"/>
      <c r="R555" s="127" t="s">
        <v>300</v>
      </c>
      <c r="S555" s="123"/>
    </row>
    <row r="556" spans="1:19" hidden="1">
      <c r="A556" s="147" t="s">
        <v>290</v>
      </c>
      <c r="B556" s="147"/>
      <c r="C556" s="29">
        <v>14509506</v>
      </c>
      <c r="D556" s="29"/>
      <c r="F556" s="29"/>
      <c r="G556" s="29" t="s">
        <v>823</v>
      </c>
      <c r="H556" s="127" t="s">
        <v>292</v>
      </c>
      <c r="I556" s="120">
        <v>45671</v>
      </c>
      <c r="J556" s="120">
        <f>WORKDAY(I556, 3)</f>
        <v>45674</v>
      </c>
      <c r="K556" s="120"/>
      <c r="L556" s="120"/>
      <c r="M556" s="120"/>
      <c r="N556" s="120"/>
      <c r="O556" s="119" t="s">
        <v>929</v>
      </c>
      <c r="P556" s="120"/>
      <c r="Q556" s="135"/>
      <c r="R556" s="127" t="s">
        <v>301</v>
      </c>
      <c r="S556" s="123"/>
    </row>
    <row r="557" spans="1:19" hidden="1">
      <c r="A557" s="147" t="s">
        <v>290</v>
      </c>
      <c r="B557" s="147"/>
      <c r="C557" s="29">
        <v>14509481</v>
      </c>
      <c r="D557" s="29"/>
      <c r="F557" s="29"/>
      <c r="G557" s="29" t="s">
        <v>823</v>
      </c>
      <c r="H557" s="127" t="s">
        <v>292</v>
      </c>
      <c r="I557" s="120">
        <v>45671</v>
      </c>
      <c r="J557" s="120">
        <f>WORKDAY(I557, 3)</f>
        <v>45674</v>
      </c>
      <c r="K557" s="120"/>
      <c r="L557" s="120"/>
      <c r="M557" s="120"/>
      <c r="N557" s="120"/>
      <c r="O557" s="119" t="s">
        <v>929</v>
      </c>
      <c r="P557" s="120"/>
      <c r="Q557" s="135"/>
      <c r="R557" s="127" t="s">
        <v>302</v>
      </c>
      <c r="S557" s="123"/>
    </row>
    <row r="558" spans="1:19" hidden="1">
      <c r="A558" s="147" t="s">
        <v>290</v>
      </c>
      <c r="B558" s="147"/>
      <c r="C558" s="29">
        <v>9504332</v>
      </c>
      <c r="D558" s="29"/>
      <c r="F558" s="29"/>
      <c r="G558" s="29" t="s">
        <v>823</v>
      </c>
      <c r="H558" s="127" t="s">
        <v>292</v>
      </c>
      <c r="I558" s="120">
        <v>45671</v>
      </c>
      <c r="J558" s="120">
        <f>WORKDAY(I558, 3)</f>
        <v>45674</v>
      </c>
      <c r="K558" s="120"/>
      <c r="L558" s="120"/>
      <c r="M558" s="120"/>
      <c r="N558" s="120"/>
      <c r="O558" s="119" t="s">
        <v>929</v>
      </c>
      <c r="P558" s="120"/>
      <c r="Q558" s="135"/>
      <c r="R558" s="127" t="s">
        <v>303</v>
      </c>
      <c r="S558" s="123"/>
    </row>
    <row r="559" spans="1:19" ht="29.25" hidden="1">
      <c r="A559" s="147" t="s">
        <v>290</v>
      </c>
      <c r="B559" s="147"/>
      <c r="C559" s="29">
        <v>14509608</v>
      </c>
      <c r="D559" s="29"/>
      <c r="F559" s="29"/>
      <c r="G559" s="29" t="s">
        <v>823</v>
      </c>
      <c r="H559" s="127" t="s">
        <v>292</v>
      </c>
      <c r="I559" s="120">
        <v>45671</v>
      </c>
      <c r="J559" s="120">
        <f>WORKDAY(I559, 3)</f>
        <v>45674</v>
      </c>
      <c r="K559" s="120"/>
      <c r="L559" s="120"/>
      <c r="M559" s="120"/>
      <c r="N559" s="120"/>
      <c r="O559" s="119" t="s">
        <v>929</v>
      </c>
      <c r="P559" s="120"/>
      <c r="Q559" s="135"/>
      <c r="R559" s="127" t="s">
        <v>304</v>
      </c>
      <c r="S559" s="123"/>
    </row>
    <row r="560" spans="1:19" ht="29.25" hidden="1">
      <c r="A560" s="147" t="s">
        <v>290</v>
      </c>
      <c r="B560" s="147"/>
      <c r="C560" s="29">
        <v>14509573</v>
      </c>
      <c r="D560" s="29"/>
      <c r="F560" s="29"/>
      <c r="G560" s="29" t="s">
        <v>823</v>
      </c>
      <c r="H560" s="127" t="s">
        <v>292</v>
      </c>
      <c r="I560" s="120">
        <v>45671</v>
      </c>
      <c r="J560" s="120">
        <f>WORKDAY(I560, 3)</f>
        <v>45674</v>
      </c>
      <c r="K560" s="120"/>
      <c r="L560" s="120"/>
      <c r="M560" s="120"/>
      <c r="N560" s="120"/>
      <c r="O560" s="119" t="s">
        <v>929</v>
      </c>
      <c r="P560" s="120"/>
      <c r="Q560" s="135"/>
      <c r="R560" s="127" t="s">
        <v>305</v>
      </c>
      <c r="S560" s="123"/>
    </row>
    <row r="561" spans="1:19" hidden="1">
      <c r="A561" s="147" t="s">
        <v>290</v>
      </c>
      <c r="B561" s="147"/>
      <c r="C561" s="29">
        <v>14509450</v>
      </c>
      <c r="D561" s="29"/>
      <c r="F561" s="29"/>
      <c r="G561" s="29" t="s">
        <v>823</v>
      </c>
      <c r="H561" s="127" t="s">
        <v>292</v>
      </c>
      <c r="I561" s="120">
        <v>45671</v>
      </c>
      <c r="J561" s="120">
        <f>WORKDAY(I561, 3)</f>
        <v>45674</v>
      </c>
      <c r="K561" s="120"/>
      <c r="L561" s="120"/>
      <c r="M561" s="120"/>
      <c r="N561" s="120"/>
      <c r="O561" s="119" t="s">
        <v>929</v>
      </c>
      <c r="P561" s="120"/>
      <c r="Q561" s="135"/>
      <c r="R561" s="127" t="s">
        <v>306</v>
      </c>
      <c r="S561" s="123"/>
    </row>
    <row r="562" spans="1:19" hidden="1">
      <c r="A562" s="147" t="s">
        <v>931</v>
      </c>
      <c r="B562" s="147"/>
      <c r="C562" s="41">
        <v>16500038</v>
      </c>
      <c r="D562" s="41"/>
      <c r="F562" s="41"/>
      <c r="G562" s="29" t="s">
        <v>138</v>
      </c>
      <c r="H562" s="29" t="s">
        <v>316</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138</v>
      </c>
      <c r="H563" s="29" t="s">
        <v>316</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138</v>
      </c>
      <c r="H564" s="29" t="s">
        <v>316</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138</v>
      </c>
      <c r="H565" s="29" t="s">
        <v>316</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138</v>
      </c>
      <c r="H566" s="29" t="s">
        <v>316</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138</v>
      </c>
      <c r="H567" s="29" t="s">
        <v>316</v>
      </c>
      <c r="I567" s="120">
        <v>45673</v>
      </c>
      <c r="J567" s="120">
        <f>WORKDAY(I567, 3)</f>
        <v>45678</v>
      </c>
      <c r="K567" s="120"/>
      <c r="L567" s="120"/>
      <c r="M567" s="120"/>
      <c r="N567" s="120"/>
      <c r="O567" s="119" t="s">
        <v>929</v>
      </c>
      <c r="P567" s="120"/>
      <c r="Q567" s="135"/>
      <c r="R567" s="29" t="s">
        <v>937</v>
      </c>
      <c r="S567" s="123"/>
    </row>
    <row r="568" spans="1:19" hidden="1">
      <c r="A568" s="29" t="s">
        <v>290</v>
      </c>
      <c r="B568" s="29"/>
      <c r="C568" s="29">
        <v>17507042</v>
      </c>
      <c r="D568" s="29"/>
      <c r="F568" s="29"/>
      <c r="G568" s="29" t="s">
        <v>823</v>
      </c>
      <c r="H568" s="29" t="s">
        <v>308</v>
      </c>
      <c r="I568" s="120">
        <v>45674</v>
      </c>
      <c r="J568" s="120">
        <f>WORKDAY(I568, 3)</f>
        <v>45679</v>
      </c>
      <c r="K568" s="120"/>
      <c r="L568" s="120"/>
      <c r="M568" s="120"/>
      <c r="N568" s="120"/>
      <c r="O568" s="119" t="s">
        <v>929</v>
      </c>
      <c r="P568" s="120"/>
      <c r="Q568" s="135"/>
      <c r="R568" s="29"/>
      <c r="S568" s="123"/>
    </row>
    <row r="569" spans="1:19" hidden="1">
      <c r="A569" s="29" t="s">
        <v>290</v>
      </c>
      <c r="B569" s="29"/>
      <c r="C569" s="29">
        <v>17507045</v>
      </c>
      <c r="D569" s="29"/>
      <c r="F569" s="29"/>
      <c r="G569" s="29" t="s">
        <v>823</v>
      </c>
      <c r="H569" s="29" t="s">
        <v>308</v>
      </c>
      <c r="I569" s="120">
        <v>45674</v>
      </c>
      <c r="J569" s="120">
        <f>WORKDAY(I569, 3)</f>
        <v>45679</v>
      </c>
      <c r="K569" s="120"/>
      <c r="L569" s="120"/>
      <c r="M569" s="120"/>
      <c r="N569" s="120"/>
      <c r="O569" s="119" t="s">
        <v>929</v>
      </c>
      <c r="P569" s="120"/>
      <c r="Q569" s="135"/>
      <c r="R569" s="29"/>
      <c r="S569" s="123"/>
    </row>
    <row r="570" spans="1:19" hidden="1">
      <c r="A570" s="29" t="s">
        <v>290</v>
      </c>
      <c r="B570" s="29"/>
      <c r="C570" s="29">
        <v>17507052</v>
      </c>
      <c r="D570" s="29"/>
      <c r="F570" s="29"/>
      <c r="G570" s="29" t="s">
        <v>823</v>
      </c>
      <c r="H570" s="29" t="s">
        <v>308</v>
      </c>
      <c r="I570" s="120">
        <v>45674</v>
      </c>
      <c r="J570" s="120">
        <f>WORKDAY(I570, 3)</f>
        <v>45679</v>
      </c>
      <c r="K570" s="120"/>
      <c r="L570" s="120"/>
      <c r="M570" s="120"/>
      <c r="N570" s="120"/>
      <c r="O570" s="119" t="s">
        <v>929</v>
      </c>
      <c r="P570" s="120"/>
      <c r="Q570" s="135"/>
      <c r="R570" s="29"/>
      <c r="S570" s="123"/>
    </row>
    <row r="571" spans="1:19" hidden="1">
      <c r="A571" s="29" t="s">
        <v>290</v>
      </c>
      <c r="B571" s="29"/>
      <c r="C571" s="29">
        <v>17507041</v>
      </c>
      <c r="D571" s="29"/>
      <c r="F571" s="29"/>
      <c r="G571" s="29" t="s">
        <v>823</v>
      </c>
      <c r="H571" s="29" t="s">
        <v>308</v>
      </c>
      <c r="I571" s="120">
        <v>45674</v>
      </c>
      <c r="J571" s="120">
        <f>WORKDAY(I571, 3)</f>
        <v>45679</v>
      </c>
      <c r="K571" s="120"/>
      <c r="L571" s="120"/>
      <c r="M571" s="120"/>
      <c r="N571" s="120"/>
      <c r="O571" s="119" t="s">
        <v>929</v>
      </c>
      <c r="P571" s="120"/>
      <c r="Q571" s="135"/>
      <c r="R571" s="29"/>
      <c r="S571" s="123"/>
    </row>
    <row r="572" spans="1:19" hidden="1">
      <c r="A572" s="29" t="s">
        <v>290</v>
      </c>
      <c r="B572" s="29"/>
      <c r="C572" s="29">
        <v>17507047</v>
      </c>
      <c r="D572" s="29"/>
      <c r="F572" s="29"/>
      <c r="G572" s="29" t="s">
        <v>823</v>
      </c>
      <c r="H572" s="29" t="s">
        <v>308</v>
      </c>
      <c r="I572" s="120">
        <v>45674</v>
      </c>
      <c r="J572" s="120">
        <f>WORKDAY(I572, 3)</f>
        <v>45679</v>
      </c>
      <c r="K572" s="120"/>
      <c r="L572" s="120"/>
      <c r="M572" s="120"/>
      <c r="N572" s="120"/>
      <c r="O572" s="119" t="s">
        <v>929</v>
      </c>
      <c r="P572" s="120"/>
      <c r="Q572" s="135"/>
      <c r="R572" s="29"/>
      <c r="S572" s="123"/>
    </row>
    <row r="573" spans="1:19" hidden="1">
      <c r="A573" s="29" t="s">
        <v>290</v>
      </c>
      <c r="B573" s="29"/>
      <c r="C573" s="29">
        <v>17507044</v>
      </c>
      <c r="D573" s="29"/>
      <c r="F573" s="29"/>
      <c r="G573" s="29" t="s">
        <v>823</v>
      </c>
      <c r="H573" s="29" t="s">
        <v>308</v>
      </c>
      <c r="I573" s="120">
        <v>45674</v>
      </c>
      <c r="J573" s="120">
        <f>WORKDAY(I573, 3)</f>
        <v>45679</v>
      </c>
      <c r="K573" s="120"/>
      <c r="L573" s="120"/>
      <c r="M573" s="120"/>
      <c r="N573" s="120"/>
      <c r="O573" s="119" t="s">
        <v>929</v>
      </c>
      <c r="P573" s="120"/>
      <c r="Q573" s="135"/>
      <c r="R573" s="29"/>
      <c r="S573" s="123"/>
    </row>
    <row r="574" spans="1:19" hidden="1">
      <c r="A574" s="29" t="s">
        <v>290</v>
      </c>
      <c r="B574" s="29"/>
      <c r="C574" s="29">
        <v>18500390</v>
      </c>
      <c r="D574" s="29"/>
      <c r="F574" s="29"/>
      <c r="G574" s="29" t="s">
        <v>823</v>
      </c>
      <c r="H574" s="29" t="s">
        <v>308</v>
      </c>
      <c r="I574" s="120">
        <v>45674</v>
      </c>
      <c r="J574" s="120">
        <f>WORKDAY(I574, 3)</f>
        <v>45679</v>
      </c>
      <c r="K574" s="120"/>
      <c r="L574" s="120"/>
      <c r="M574" s="120"/>
      <c r="N574" s="120"/>
      <c r="O574" s="119" t="s">
        <v>929</v>
      </c>
      <c r="P574" s="120"/>
      <c r="Q574" s="135"/>
      <c r="R574" s="29"/>
      <c r="S574" s="123"/>
    </row>
    <row r="575" spans="1:19" hidden="1">
      <c r="A575" s="29" t="s">
        <v>290</v>
      </c>
      <c r="B575" s="29"/>
      <c r="C575" s="29">
        <v>18500398</v>
      </c>
      <c r="D575" s="29"/>
      <c r="F575" s="29"/>
      <c r="G575" s="29" t="s">
        <v>823</v>
      </c>
      <c r="H575" s="29" t="s">
        <v>308</v>
      </c>
      <c r="I575" s="120">
        <v>45674</v>
      </c>
      <c r="J575" s="120">
        <f>WORKDAY(I575, 3)</f>
        <v>45679</v>
      </c>
      <c r="K575" s="120"/>
      <c r="L575" s="120"/>
      <c r="M575" s="120"/>
      <c r="N575" s="120"/>
      <c r="O575" s="119" t="s">
        <v>929</v>
      </c>
      <c r="P575" s="120"/>
      <c r="Q575" s="135"/>
      <c r="R575" s="29"/>
      <c r="S575" s="123"/>
    </row>
    <row r="576" spans="1:19" hidden="1">
      <c r="A576" s="29" t="s">
        <v>290</v>
      </c>
      <c r="B576" s="29"/>
      <c r="C576" s="29">
        <v>18500403</v>
      </c>
      <c r="D576" s="29"/>
      <c r="F576" s="29"/>
      <c r="G576" s="29" t="s">
        <v>823</v>
      </c>
      <c r="H576" s="29" t="s">
        <v>308</v>
      </c>
      <c r="I576" s="120">
        <v>45674</v>
      </c>
      <c r="J576" s="120">
        <f>WORKDAY(I576, 3)</f>
        <v>45679</v>
      </c>
      <c r="K576" s="120"/>
      <c r="L576" s="120"/>
      <c r="M576" s="120"/>
      <c r="N576" s="120"/>
      <c r="O576" s="119" t="s">
        <v>929</v>
      </c>
      <c r="P576" s="120"/>
      <c r="Q576" s="135"/>
      <c r="R576" s="29"/>
      <c r="S576" s="123"/>
    </row>
    <row r="577" spans="1:19" hidden="1">
      <c r="A577" s="29" t="s">
        <v>310</v>
      </c>
      <c r="B577" s="29"/>
      <c r="C577" s="29">
        <v>18500450</v>
      </c>
      <c r="D577" s="29"/>
      <c r="F577" s="29"/>
      <c r="G577" s="29" t="s">
        <v>823</v>
      </c>
      <c r="H577" s="29" t="s">
        <v>292</v>
      </c>
      <c r="I577" s="120">
        <v>45675</v>
      </c>
      <c r="J577" s="120">
        <f>WORKDAY(I577, 3)</f>
        <v>45679</v>
      </c>
      <c r="K577" s="120"/>
      <c r="L577" s="120"/>
      <c r="M577" s="120"/>
      <c r="N577" s="120"/>
      <c r="O577" s="119" t="s">
        <v>929</v>
      </c>
      <c r="P577" s="120"/>
      <c r="Q577" s="135"/>
      <c r="R577" s="29"/>
      <c r="S577" s="123"/>
    </row>
    <row r="578" spans="1:19" hidden="1">
      <c r="A578" s="29" t="s">
        <v>310</v>
      </c>
      <c r="B578" s="29"/>
      <c r="C578" s="29">
        <v>18500435</v>
      </c>
      <c r="D578" s="29"/>
      <c r="F578" s="29"/>
      <c r="G578" s="29" t="s">
        <v>823</v>
      </c>
      <c r="H578" s="29" t="s">
        <v>292</v>
      </c>
      <c r="I578" s="120">
        <v>45675</v>
      </c>
      <c r="J578" s="120">
        <f>WORKDAY(I578, 3)</f>
        <v>45679</v>
      </c>
      <c r="K578" s="120"/>
      <c r="L578" s="120"/>
      <c r="M578" s="120"/>
      <c r="N578" s="120"/>
      <c r="O578" s="119" t="s">
        <v>929</v>
      </c>
      <c r="P578" s="120"/>
      <c r="Q578" s="135"/>
      <c r="R578" s="29"/>
      <c r="S578" s="123"/>
    </row>
    <row r="579" spans="1:19" hidden="1">
      <c r="A579" s="29" t="s">
        <v>310</v>
      </c>
      <c r="B579" s="29"/>
      <c r="C579" s="29">
        <v>18500418</v>
      </c>
      <c r="D579" s="29"/>
      <c r="F579" s="29"/>
      <c r="G579" s="29" t="s">
        <v>823</v>
      </c>
      <c r="H579" s="29" t="s">
        <v>292</v>
      </c>
      <c r="I579" s="120">
        <v>45675</v>
      </c>
      <c r="J579" s="120">
        <f>WORKDAY(I579, 3)</f>
        <v>45679</v>
      </c>
      <c r="K579" s="120"/>
      <c r="L579" s="120"/>
      <c r="M579" s="120"/>
      <c r="N579" s="120"/>
      <c r="O579" s="119" t="s">
        <v>929</v>
      </c>
      <c r="P579" s="120"/>
      <c r="Q579" s="135"/>
      <c r="R579" s="29"/>
      <c r="S579" s="123"/>
    </row>
    <row r="580" spans="1:19" hidden="1">
      <c r="A580" s="29" t="s">
        <v>310</v>
      </c>
      <c r="B580" s="29"/>
      <c r="C580" s="29">
        <v>18500457</v>
      </c>
      <c r="D580" s="29"/>
      <c r="F580" s="29"/>
      <c r="G580" s="29" t="s">
        <v>823</v>
      </c>
      <c r="H580" s="29" t="s">
        <v>292</v>
      </c>
      <c r="I580" s="120">
        <v>45675</v>
      </c>
      <c r="J580" s="120">
        <f>WORKDAY(I580, 3)</f>
        <v>45679</v>
      </c>
      <c r="K580" s="120"/>
      <c r="L580" s="120"/>
      <c r="M580" s="120"/>
      <c r="N580" s="120"/>
      <c r="O580" s="119" t="s">
        <v>929</v>
      </c>
      <c r="P580" s="120"/>
      <c r="Q580" s="135"/>
      <c r="R580" s="29"/>
      <c r="S580" s="123"/>
    </row>
    <row r="581" spans="1:19" hidden="1">
      <c r="A581" s="29" t="s">
        <v>290</v>
      </c>
      <c r="B581" s="29"/>
      <c r="C581" s="29">
        <v>18500404</v>
      </c>
      <c r="D581" s="29"/>
      <c r="F581" s="29"/>
      <c r="G581" s="29" t="s">
        <v>823</v>
      </c>
      <c r="H581" s="29" t="s">
        <v>308</v>
      </c>
      <c r="I581" s="120">
        <v>45675</v>
      </c>
      <c r="J581" s="120">
        <f>WORKDAY(I581, 3)</f>
        <v>45679</v>
      </c>
      <c r="K581" s="120"/>
      <c r="L581" s="120"/>
      <c r="M581" s="120"/>
      <c r="N581" s="120"/>
      <c r="O581" s="119" t="s">
        <v>929</v>
      </c>
      <c r="P581" s="120"/>
      <c r="Q581" s="135"/>
      <c r="R581" s="29"/>
      <c r="S581" s="123"/>
    </row>
    <row r="582" spans="1:19" hidden="1">
      <c r="A582" s="29" t="s">
        <v>290</v>
      </c>
      <c r="B582" s="29"/>
      <c r="C582" s="29">
        <v>18500420</v>
      </c>
      <c r="D582" s="29"/>
      <c r="F582" s="29"/>
      <c r="G582" s="29" t="s">
        <v>823</v>
      </c>
      <c r="H582" s="29" t="s">
        <v>308</v>
      </c>
      <c r="I582" s="120">
        <v>45675</v>
      </c>
      <c r="J582" s="120">
        <f>WORKDAY(I582, 3)</f>
        <v>45679</v>
      </c>
      <c r="K582" s="120"/>
      <c r="L582" s="120"/>
      <c r="M582" s="120"/>
      <c r="N582" s="120"/>
      <c r="O582" s="119" t="s">
        <v>929</v>
      </c>
      <c r="P582" s="120"/>
      <c r="Q582" s="135"/>
      <c r="R582" s="29"/>
      <c r="S582" s="123"/>
    </row>
    <row r="583" spans="1:19" hidden="1">
      <c r="A583" s="29" t="s">
        <v>290</v>
      </c>
      <c r="B583" s="29"/>
      <c r="C583" s="29">
        <v>18500460</v>
      </c>
      <c r="D583" s="29"/>
      <c r="F583" s="29"/>
      <c r="G583" s="29" t="s">
        <v>823</v>
      </c>
      <c r="H583" s="29" t="s">
        <v>308</v>
      </c>
      <c r="I583" s="120">
        <v>45675</v>
      </c>
      <c r="J583" s="120">
        <f>WORKDAY(I583, 3)</f>
        <v>45679</v>
      </c>
      <c r="K583" s="120"/>
      <c r="L583" s="120"/>
      <c r="M583" s="120"/>
      <c r="N583" s="120"/>
      <c r="O583" s="119" t="s">
        <v>929</v>
      </c>
      <c r="P583" s="120"/>
      <c r="Q583" s="135"/>
      <c r="R583" s="29"/>
      <c r="S583" s="123"/>
    </row>
    <row r="584" spans="1:19" hidden="1">
      <c r="A584" s="29" t="s">
        <v>290</v>
      </c>
      <c r="B584" s="29"/>
      <c r="C584" s="29">
        <v>18500464</v>
      </c>
      <c r="D584" s="29"/>
      <c r="F584" s="29"/>
      <c r="G584" s="29" t="s">
        <v>823</v>
      </c>
      <c r="H584" s="29" t="s">
        <v>308</v>
      </c>
      <c r="I584" s="120">
        <v>45675</v>
      </c>
      <c r="J584" s="120">
        <f>WORKDAY(I584, 3)</f>
        <v>45679</v>
      </c>
      <c r="K584" s="120"/>
      <c r="L584" s="120"/>
      <c r="M584" s="120"/>
      <c r="N584" s="120"/>
      <c r="O584" s="119" t="s">
        <v>929</v>
      </c>
      <c r="P584" s="120"/>
      <c r="Q584" s="135"/>
      <c r="R584" s="29"/>
      <c r="S584" s="123"/>
    </row>
    <row r="585" spans="1:19" hidden="1">
      <c r="A585" s="29" t="s">
        <v>290</v>
      </c>
      <c r="B585" s="29"/>
      <c r="C585" s="29">
        <v>18500456</v>
      </c>
      <c r="D585" s="29"/>
      <c r="F585" s="29"/>
      <c r="G585" s="29" t="s">
        <v>823</v>
      </c>
      <c r="H585" s="29" t="s">
        <v>308</v>
      </c>
      <c r="I585" s="120">
        <v>45675</v>
      </c>
      <c r="J585" s="120">
        <f>WORKDAY(I585, 3)</f>
        <v>45679</v>
      </c>
      <c r="K585" s="120"/>
      <c r="L585" s="120"/>
      <c r="M585" s="120"/>
      <c r="N585" s="120"/>
      <c r="O585" s="119" t="s">
        <v>929</v>
      </c>
      <c r="P585" s="120"/>
      <c r="Q585" s="135"/>
      <c r="R585" s="29"/>
      <c r="S585" s="123"/>
    </row>
    <row r="586" spans="1:19" hidden="1">
      <c r="A586" s="29" t="s">
        <v>311</v>
      </c>
      <c r="B586" s="29"/>
      <c r="C586" s="29">
        <v>18500500</v>
      </c>
      <c r="D586" s="29"/>
      <c r="F586" s="29"/>
      <c r="G586" s="29" t="s">
        <v>823</v>
      </c>
      <c r="H586" s="29" t="s">
        <v>308</v>
      </c>
      <c r="I586" s="120">
        <v>45675</v>
      </c>
      <c r="J586" s="120">
        <f>WORKDAY(I586, 3)</f>
        <v>45679</v>
      </c>
      <c r="K586" s="120"/>
      <c r="L586" s="120"/>
      <c r="M586" s="120"/>
      <c r="N586" s="120"/>
      <c r="O586" s="119" t="s">
        <v>929</v>
      </c>
      <c r="P586" s="120"/>
      <c r="Q586" s="135"/>
      <c r="R586" s="29"/>
      <c r="S586" s="123"/>
    </row>
    <row r="587" spans="1:19" hidden="1">
      <c r="A587" s="29" t="s">
        <v>311</v>
      </c>
      <c r="B587" s="29"/>
      <c r="C587" s="29">
        <v>18500497</v>
      </c>
      <c r="D587" s="29"/>
      <c r="F587" s="29"/>
      <c r="G587" s="29" t="s">
        <v>823</v>
      </c>
      <c r="H587" s="29" t="s">
        <v>308</v>
      </c>
      <c r="I587" s="120">
        <v>45675</v>
      </c>
      <c r="J587" s="120">
        <f>WORKDAY(I587, 3)</f>
        <v>45679</v>
      </c>
      <c r="K587" s="120"/>
      <c r="L587" s="120"/>
      <c r="M587" s="120"/>
      <c r="N587" s="120"/>
      <c r="O587" s="119" t="s">
        <v>929</v>
      </c>
      <c r="P587" s="120"/>
      <c r="Q587" s="135"/>
      <c r="R587" s="29"/>
      <c r="S587" s="123"/>
    </row>
    <row r="588" spans="1:19" hidden="1">
      <c r="A588" s="29" t="s">
        <v>311</v>
      </c>
      <c r="B588" s="29"/>
      <c r="C588" s="29">
        <v>18500494</v>
      </c>
      <c r="D588" s="29"/>
      <c r="F588" s="29"/>
      <c r="G588" s="29" t="s">
        <v>823</v>
      </c>
      <c r="H588" s="29" t="s">
        <v>308</v>
      </c>
      <c r="I588" s="120">
        <v>45675</v>
      </c>
      <c r="J588" s="120">
        <f>WORKDAY(I588, 3)</f>
        <v>45679</v>
      </c>
      <c r="K588" s="120"/>
      <c r="L588" s="120"/>
      <c r="M588" s="120"/>
      <c r="N588" s="120"/>
      <c r="O588" s="119" t="s">
        <v>929</v>
      </c>
      <c r="P588" s="120"/>
      <c r="Q588" s="135"/>
      <c r="R588" s="29"/>
      <c r="S588" s="123"/>
    </row>
    <row r="589" spans="1:19" hidden="1">
      <c r="A589" s="29" t="s">
        <v>311</v>
      </c>
      <c r="B589" s="29"/>
      <c r="C589" s="29">
        <v>18500492</v>
      </c>
      <c r="D589" s="29"/>
      <c r="F589" s="29"/>
      <c r="G589" s="29" t="s">
        <v>823</v>
      </c>
      <c r="H589" s="29" t="s">
        <v>308</v>
      </c>
      <c r="I589" s="120">
        <v>45675</v>
      </c>
      <c r="J589" s="120">
        <f>WORKDAY(I589, 3)</f>
        <v>45679</v>
      </c>
      <c r="K589" s="120"/>
      <c r="L589" s="120"/>
      <c r="M589" s="120"/>
      <c r="N589" s="120"/>
      <c r="O589" s="119" t="s">
        <v>929</v>
      </c>
      <c r="P589" s="120"/>
      <c r="Q589" s="135"/>
      <c r="R589" s="29"/>
      <c r="S589" s="123"/>
    </row>
    <row r="590" spans="1:19" hidden="1">
      <c r="A590" s="29" t="s">
        <v>311</v>
      </c>
      <c r="B590" s="29"/>
      <c r="C590" s="29">
        <v>18500484</v>
      </c>
      <c r="D590" s="29"/>
      <c r="F590" s="29"/>
      <c r="G590" s="29" t="s">
        <v>823</v>
      </c>
      <c r="H590" s="29" t="s">
        <v>308</v>
      </c>
      <c r="I590" s="120">
        <v>45675</v>
      </c>
      <c r="J590" s="120">
        <f>WORKDAY(I590, 3)</f>
        <v>45679</v>
      </c>
      <c r="K590" s="120"/>
      <c r="L590" s="120"/>
      <c r="M590" s="120"/>
      <c r="N590" s="120"/>
      <c r="O590" s="119" t="s">
        <v>929</v>
      </c>
      <c r="P590" s="120"/>
      <c r="Q590" s="135"/>
      <c r="R590" s="29"/>
      <c r="S590" s="123"/>
    </row>
    <row r="591" spans="1:19" hidden="1">
      <c r="A591" s="29" t="s">
        <v>311</v>
      </c>
      <c r="B591" s="29"/>
      <c r="C591" s="29">
        <v>18500512</v>
      </c>
      <c r="D591" s="29"/>
      <c r="F591" s="29"/>
      <c r="G591" s="29" t="s">
        <v>823</v>
      </c>
      <c r="H591" s="29" t="s">
        <v>308</v>
      </c>
      <c r="I591" s="120">
        <v>45675</v>
      </c>
      <c r="J591" s="120">
        <f>WORKDAY(I591, 3)</f>
        <v>45679</v>
      </c>
      <c r="K591" s="120"/>
      <c r="L591" s="120"/>
      <c r="M591" s="120"/>
      <c r="N591" s="120"/>
      <c r="O591" s="119" t="s">
        <v>929</v>
      </c>
      <c r="P591" s="120"/>
      <c r="Q591" s="135"/>
      <c r="R591" s="29"/>
      <c r="S591" s="123"/>
    </row>
    <row r="592" spans="1:19" hidden="1">
      <c r="A592" s="29" t="s">
        <v>311</v>
      </c>
      <c r="B592" s="29"/>
      <c r="C592" s="29">
        <v>18500511</v>
      </c>
      <c r="D592" s="29"/>
      <c r="F592" s="29"/>
      <c r="G592" s="29" t="s">
        <v>823</v>
      </c>
      <c r="H592" s="29" t="s">
        <v>308</v>
      </c>
      <c r="I592" s="120">
        <v>45675</v>
      </c>
      <c r="J592" s="120">
        <f>WORKDAY(I592, 3)</f>
        <v>45679</v>
      </c>
      <c r="K592" s="120"/>
      <c r="L592" s="120"/>
      <c r="M592" s="120"/>
      <c r="N592" s="120"/>
      <c r="O592" s="119" t="s">
        <v>929</v>
      </c>
      <c r="P592" s="120"/>
      <c r="Q592" s="135"/>
      <c r="R592" s="29"/>
      <c r="S592" s="123"/>
    </row>
    <row r="593" spans="1:19" hidden="1">
      <c r="A593" s="29" t="s">
        <v>311</v>
      </c>
      <c r="B593" s="29"/>
      <c r="C593" s="29">
        <v>18500510</v>
      </c>
      <c r="D593" s="29"/>
      <c r="F593" s="29"/>
      <c r="G593" s="29" t="s">
        <v>823</v>
      </c>
      <c r="H593" s="29" t="s">
        <v>308</v>
      </c>
      <c r="I593" s="120">
        <v>45675</v>
      </c>
      <c r="J593" s="120">
        <f>WORKDAY(I593, 3)</f>
        <v>45679</v>
      </c>
      <c r="K593" s="120"/>
      <c r="L593" s="120"/>
      <c r="M593" s="120"/>
      <c r="N593" s="120"/>
      <c r="O593" s="119" t="s">
        <v>929</v>
      </c>
      <c r="P593" s="120"/>
      <c r="Q593" s="135"/>
      <c r="R593" s="29"/>
      <c r="S593" s="123"/>
    </row>
    <row r="594" spans="1:19" hidden="1">
      <c r="A594" s="29" t="s">
        <v>311</v>
      </c>
      <c r="B594" s="29"/>
      <c r="C594" s="29">
        <v>18500507</v>
      </c>
      <c r="D594" s="29"/>
      <c r="F594" s="29"/>
      <c r="G594" s="29" t="s">
        <v>823</v>
      </c>
      <c r="H594" s="29" t="s">
        <v>308</v>
      </c>
      <c r="I594" s="120">
        <v>45675</v>
      </c>
      <c r="J594" s="120">
        <f>WORKDAY(I594, 3)</f>
        <v>45679</v>
      </c>
      <c r="K594" s="120"/>
      <c r="L594" s="120"/>
      <c r="M594" s="120"/>
      <c r="N594" s="120"/>
      <c r="O594" s="119" t="s">
        <v>929</v>
      </c>
      <c r="P594" s="120"/>
      <c r="Q594" s="135"/>
      <c r="R594" s="29"/>
      <c r="S594" s="123"/>
    </row>
    <row r="595" spans="1:19" hidden="1">
      <c r="A595" s="147" t="s">
        <v>312</v>
      </c>
      <c r="B595" s="147"/>
      <c r="C595" s="29">
        <v>21507573</v>
      </c>
      <c r="D595" s="29"/>
      <c r="F595" s="29"/>
      <c r="G595" s="29" t="s">
        <v>823</v>
      </c>
      <c r="H595" s="29" t="s">
        <v>292</v>
      </c>
      <c r="I595" s="120">
        <v>45679</v>
      </c>
      <c r="J595" s="120">
        <f>WORKDAY(I595, 3)</f>
        <v>45684</v>
      </c>
      <c r="K595" s="120"/>
      <c r="L595" s="120"/>
      <c r="M595" s="120"/>
      <c r="N595" s="120"/>
      <c r="O595" s="119" t="s">
        <v>929</v>
      </c>
      <c r="P595" s="120"/>
      <c r="Q595" s="135"/>
      <c r="R595" s="29"/>
      <c r="S595" s="123"/>
    </row>
    <row r="596" spans="1:19" hidden="1">
      <c r="A596" s="147" t="s">
        <v>312</v>
      </c>
      <c r="B596" s="147"/>
      <c r="C596" s="29">
        <v>21507579</v>
      </c>
      <c r="D596" s="29"/>
      <c r="F596" s="29"/>
      <c r="G596" s="29" t="s">
        <v>823</v>
      </c>
      <c r="H596" s="29" t="s">
        <v>292</v>
      </c>
      <c r="I596" s="120">
        <v>45679</v>
      </c>
      <c r="J596" s="120">
        <f>WORKDAY(I596, 3)</f>
        <v>45684</v>
      </c>
      <c r="K596" s="120"/>
      <c r="L596" s="120"/>
      <c r="M596" s="120"/>
      <c r="N596" s="120"/>
      <c r="O596" s="119" t="s">
        <v>929</v>
      </c>
      <c r="P596" s="120"/>
      <c r="Q596" s="135"/>
      <c r="R596" s="29"/>
      <c r="S596" s="123"/>
    </row>
    <row r="597" spans="1:19" hidden="1">
      <c r="A597" s="147" t="s">
        <v>312</v>
      </c>
      <c r="B597" s="147"/>
      <c r="C597" s="29">
        <v>21507599</v>
      </c>
      <c r="D597" s="29"/>
      <c r="F597" s="29"/>
      <c r="G597" s="29" t="s">
        <v>823</v>
      </c>
      <c r="H597" s="29" t="s">
        <v>292</v>
      </c>
      <c r="I597" s="120">
        <v>45679</v>
      </c>
      <c r="J597" s="120">
        <f>WORKDAY(I597, 3)</f>
        <v>45684</v>
      </c>
      <c r="K597" s="120"/>
      <c r="L597" s="120"/>
      <c r="M597" s="120"/>
      <c r="N597" s="120"/>
      <c r="O597" s="119" t="s">
        <v>929</v>
      </c>
      <c r="P597" s="120"/>
      <c r="Q597" s="135"/>
      <c r="R597" s="29"/>
      <c r="S597" s="123"/>
    </row>
    <row r="598" spans="1:19" hidden="1">
      <c r="A598" s="147" t="s">
        <v>312</v>
      </c>
      <c r="B598" s="147"/>
      <c r="C598" s="29">
        <v>22500644</v>
      </c>
      <c r="D598" s="29"/>
      <c r="F598" s="29"/>
      <c r="G598" s="29" t="s">
        <v>823</v>
      </c>
      <c r="H598" s="29" t="s">
        <v>292</v>
      </c>
      <c r="I598" s="120">
        <v>45679</v>
      </c>
      <c r="J598" s="120">
        <f>WORKDAY(I598, 3)</f>
        <v>45684</v>
      </c>
      <c r="K598" s="120"/>
      <c r="L598" s="120"/>
      <c r="M598" s="120"/>
      <c r="N598" s="120"/>
      <c r="O598" s="119" t="s">
        <v>929</v>
      </c>
      <c r="P598" s="120"/>
      <c r="Q598" s="135"/>
      <c r="R598" s="29"/>
      <c r="S598" s="123"/>
    </row>
    <row r="599" spans="1:19" hidden="1">
      <c r="A599" s="147" t="s">
        <v>290</v>
      </c>
      <c r="B599" s="147"/>
      <c r="C599" s="29">
        <v>23507043</v>
      </c>
      <c r="D599" s="29"/>
      <c r="F599" s="29"/>
      <c r="G599" s="29" t="s">
        <v>823</v>
      </c>
      <c r="H599" s="29" t="s">
        <v>315</v>
      </c>
      <c r="I599" s="120">
        <v>45680</v>
      </c>
      <c r="J599" s="120">
        <f>WORKDAY(I599, 3)</f>
        <v>45685</v>
      </c>
      <c r="K599" s="120"/>
      <c r="L599" s="120"/>
      <c r="M599" s="120"/>
      <c r="N599" s="120">
        <v>45686</v>
      </c>
      <c r="O599" s="119" t="s">
        <v>10</v>
      </c>
      <c r="P599" s="152"/>
      <c r="Q599" s="153"/>
      <c r="R599" s="29"/>
      <c r="S599" s="123"/>
    </row>
    <row r="600" spans="1:19" hidden="1">
      <c r="A600" s="147" t="s">
        <v>290</v>
      </c>
      <c r="B600" s="147"/>
      <c r="C600" s="29">
        <v>23507048</v>
      </c>
      <c r="D600" s="29"/>
      <c r="F600" s="29"/>
      <c r="G600" s="29" t="s">
        <v>823</v>
      </c>
      <c r="H600" s="29" t="s">
        <v>315</v>
      </c>
      <c r="I600" s="120">
        <v>45680</v>
      </c>
      <c r="J600" s="120">
        <f>WORKDAY(I600, 3)</f>
        <v>45685</v>
      </c>
      <c r="K600" s="120"/>
      <c r="L600" s="120"/>
      <c r="M600" s="120"/>
      <c r="N600" s="120">
        <v>45685</v>
      </c>
      <c r="O600" s="119" t="s">
        <v>10</v>
      </c>
      <c r="P600" s="152"/>
      <c r="Q600" s="153"/>
      <c r="R600" s="29"/>
      <c r="S600" s="123"/>
    </row>
    <row r="601" spans="1:19" hidden="1">
      <c r="A601" s="147" t="s">
        <v>290</v>
      </c>
      <c r="B601" s="147"/>
      <c r="C601" s="29">
        <v>23507056</v>
      </c>
      <c r="D601" s="29"/>
      <c r="F601" s="29"/>
      <c r="G601" s="29" t="s">
        <v>823</v>
      </c>
      <c r="H601" s="29" t="s">
        <v>315</v>
      </c>
      <c r="I601" s="120">
        <v>45680</v>
      </c>
      <c r="J601" s="120">
        <f>WORKDAY(I601, 3)</f>
        <v>45685</v>
      </c>
      <c r="K601" s="120"/>
      <c r="L601" s="120"/>
      <c r="M601" s="120"/>
      <c r="N601" s="120">
        <v>45685</v>
      </c>
      <c r="O601" s="119" t="s">
        <v>10</v>
      </c>
      <c r="P601" s="152"/>
      <c r="Q601" s="153"/>
      <c r="R601" s="29"/>
      <c r="S601" s="123"/>
    </row>
    <row r="602" spans="1:19" hidden="1">
      <c r="A602" s="147" t="s">
        <v>290</v>
      </c>
      <c r="B602" s="147"/>
      <c r="C602" s="29">
        <v>23507059</v>
      </c>
      <c r="D602" s="29"/>
      <c r="F602" s="29"/>
      <c r="G602" s="29" t="s">
        <v>823</v>
      </c>
      <c r="H602" s="29" t="s">
        <v>315</v>
      </c>
      <c r="I602" s="120">
        <v>45680</v>
      </c>
      <c r="J602" s="120">
        <f>WORKDAY(I602, 3)</f>
        <v>45685</v>
      </c>
      <c r="K602" s="120"/>
      <c r="L602" s="120"/>
      <c r="M602" s="120"/>
      <c r="N602" s="120">
        <v>45685</v>
      </c>
      <c r="O602" s="119" t="s">
        <v>10</v>
      </c>
      <c r="P602" s="152"/>
      <c r="Q602" s="153"/>
      <c r="R602" s="29"/>
      <c r="S602" s="123"/>
    </row>
    <row r="603" spans="1:19" hidden="1">
      <c r="A603" s="147" t="s">
        <v>290</v>
      </c>
      <c r="B603" s="147"/>
      <c r="C603" s="29">
        <v>23507062</v>
      </c>
      <c r="D603" s="29"/>
      <c r="F603" s="29"/>
      <c r="G603" s="29" t="s">
        <v>823</v>
      </c>
      <c r="H603" s="29" t="s">
        <v>315</v>
      </c>
      <c r="I603" s="120">
        <v>45680</v>
      </c>
      <c r="J603" s="120">
        <f>WORKDAY(I603, 3)</f>
        <v>45685</v>
      </c>
      <c r="K603" s="120"/>
      <c r="L603" s="120"/>
      <c r="M603" s="120"/>
      <c r="N603" s="120">
        <v>45685</v>
      </c>
      <c r="O603" s="119" t="s">
        <v>10</v>
      </c>
      <c r="P603" s="152"/>
      <c r="Q603" s="153"/>
      <c r="R603" s="29"/>
      <c r="S603" s="123"/>
    </row>
    <row r="604" spans="1:19" hidden="1">
      <c r="A604" s="147" t="s">
        <v>290</v>
      </c>
      <c r="B604" s="147"/>
      <c r="C604" s="29">
        <v>23507159</v>
      </c>
      <c r="D604" s="29"/>
      <c r="F604" s="29"/>
      <c r="G604" s="29" t="s">
        <v>823</v>
      </c>
      <c r="H604" s="29" t="s">
        <v>315</v>
      </c>
      <c r="I604" s="120">
        <v>45680</v>
      </c>
      <c r="J604" s="120">
        <f>WORKDAY(I604, 3)</f>
        <v>45685</v>
      </c>
      <c r="K604" s="120"/>
      <c r="L604" s="120"/>
      <c r="M604" s="120"/>
      <c r="N604" s="120">
        <v>45686</v>
      </c>
      <c r="O604" s="119" t="s">
        <v>10</v>
      </c>
      <c r="P604" s="152"/>
      <c r="Q604" s="153"/>
      <c r="R604" s="29"/>
      <c r="S604" s="123"/>
    </row>
    <row r="605" spans="1:19" hidden="1">
      <c r="A605" s="147" t="s">
        <v>290</v>
      </c>
      <c r="B605" s="147"/>
      <c r="C605" s="29">
        <v>23507163</v>
      </c>
      <c r="D605" s="29"/>
      <c r="F605" s="29"/>
      <c r="G605" s="29" t="s">
        <v>823</v>
      </c>
      <c r="H605" s="29" t="s">
        <v>315</v>
      </c>
      <c r="I605" s="120">
        <v>45680</v>
      </c>
      <c r="J605" s="120">
        <f>WORKDAY(I605, 3)</f>
        <v>45685</v>
      </c>
      <c r="K605" s="120"/>
      <c r="L605" s="120"/>
      <c r="M605" s="120"/>
      <c r="N605" s="120">
        <v>45686</v>
      </c>
      <c r="O605" s="119" t="s">
        <v>10</v>
      </c>
      <c r="P605" s="152"/>
      <c r="Q605" s="153"/>
      <c r="R605" s="29"/>
      <c r="S605" s="123"/>
    </row>
    <row r="606" spans="1:19" hidden="1">
      <c r="A606" s="147" t="s">
        <v>290</v>
      </c>
      <c r="B606" s="147"/>
      <c r="C606" s="29">
        <v>23507171</v>
      </c>
      <c r="D606" s="29"/>
      <c r="F606" s="29"/>
      <c r="G606" s="29" t="s">
        <v>823</v>
      </c>
      <c r="H606" s="29" t="s">
        <v>315</v>
      </c>
      <c r="I606" s="120">
        <v>45680</v>
      </c>
      <c r="J606" s="120">
        <f>WORKDAY(I606, 3)</f>
        <v>45685</v>
      </c>
      <c r="K606" s="120"/>
      <c r="L606" s="120"/>
      <c r="M606" s="120"/>
      <c r="N606" s="120">
        <v>45686</v>
      </c>
      <c r="O606" s="119" t="s">
        <v>10</v>
      </c>
      <c r="P606" s="152"/>
      <c r="Q606" s="153"/>
      <c r="R606" s="29"/>
      <c r="S606" s="123"/>
    </row>
    <row r="607" spans="1:19" hidden="1">
      <c r="A607" s="147" t="s">
        <v>290</v>
      </c>
      <c r="B607" s="147"/>
      <c r="C607" s="29">
        <v>23507179</v>
      </c>
      <c r="D607" s="29"/>
      <c r="F607" s="29"/>
      <c r="G607" s="29" t="s">
        <v>823</v>
      </c>
      <c r="H607" s="29" t="s">
        <v>315</v>
      </c>
      <c r="I607" s="120">
        <v>45680</v>
      </c>
      <c r="J607" s="120">
        <f>WORKDAY(I607, 3)</f>
        <v>45685</v>
      </c>
      <c r="K607" s="120"/>
      <c r="L607" s="120"/>
      <c r="M607" s="120"/>
      <c r="N607" s="120">
        <v>45686</v>
      </c>
      <c r="O607" s="119" t="s">
        <v>10</v>
      </c>
      <c r="P607" s="152"/>
      <c r="Q607" s="153"/>
      <c r="S607" s="123"/>
    </row>
    <row r="608" spans="1:19" hidden="1">
      <c r="A608" s="147" t="s">
        <v>290</v>
      </c>
      <c r="B608" s="147"/>
      <c r="C608" s="29">
        <v>23507191</v>
      </c>
      <c r="D608" s="29"/>
      <c r="F608" s="29"/>
      <c r="G608" s="29" t="s">
        <v>823</v>
      </c>
      <c r="H608" s="29" t="s">
        <v>315</v>
      </c>
      <c r="I608" s="120">
        <v>45680</v>
      </c>
      <c r="J608" s="120">
        <f>WORKDAY(I608, 3)</f>
        <v>45685</v>
      </c>
      <c r="K608" s="120"/>
      <c r="L608" s="120"/>
      <c r="M608" s="120"/>
      <c r="N608" s="120">
        <v>45686</v>
      </c>
      <c r="O608" s="119" t="s">
        <v>10</v>
      </c>
      <c r="P608" s="152"/>
      <c r="Q608" s="153"/>
      <c r="R608" s="29"/>
      <c r="S608" s="123"/>
    </row>
    <row r="609" spans="1:19" hidden="1">
      <c r="A609" s="147" t="s">
        <v>290</v>
      </c>
      <c r="B609" s="147"/>
      <c r="C609" s="29">
        <v>23507136</v>
      </c>
      <c r="D609" s="29"/>
      <c r="F609" s="29"/>
      <c r="G609" s="29" t="s">
        <v>823</v>
      </c>
      <c r="H609" s="29" t="s">
        <v>315</v>
      </c>
      <c r="I609" s="120">
        <v>45680</v>
      </c>
      <c r="J609" s="120">
        <f>WORKDAY(I609, 3)</f>
        <v>45685</v>
      </c>
      <c r="K609" s="120"/>
      <c r="L609" s="120"/>
      <c r="M609" s="120"/>
      <c r="N609" s="120">
        <v>45685</v>
      </c>
      <c r="O609" s="119" t="s">
        <v>10</v>
      </c>
      <c r="P609" s="152"/>
      <c r="Q609" s="153"/>
      <c r="R609" s="29"/>
      <c r="S609" s="123"/>
    </row>
    <row r="610" spans="1:19" hidden="1">
      <c r="A610" s="147" t="s">
        <v>290</v>
      </c>
      <c r="B610" s="147"/>
      <c r="C610" s="29">
        <v>23507151</v>
      </c>
      <c r="D610" s="29"/>
      <c r="F610" s="29"/>
      <c r="G610" s="29" t="s">
        <v>823</v>
      </c>
      <c r="H610" s="29" t="s">
        <v>315</v>
      </c>
      <c r="I610" s="120">
        <v>45680</v>
      </c>
      <c r="J610" s="120">
        <f>WORKDAY(I610, 3)</f>
        <v>45685</v>
      </c>
      <c r="K610" s="120"/>
      <c r="L610" s="120"/>
      <c r="M610" s="120"/>
      <c r="N610" s="120">
        <v>45685</v>
      </c>
      <c r="O610" s="119" t="s">
        <v>10</v>
      </c>
      <c r="P610" s="152"/>
      <c r="Q610" s="153"/>
      <c r="R610" s="29"/>
      <c r="S610" s="123"/>
    </row>
    <row r="611" spans="1:19" hidden="1">
      <c r="A611" s="147" t="s">
        <v>290</v>
      </c>
      <c r="B611" s="147"/>
      <c r="C611" s="29">
        <v>23507194</v>
      </c>
      <c r="D611" s="29"/>
      <c r="F611" s="29"/>
      <c r="G611" s="29" t="s">
        <v>823</v>
      </c>
      <c r="H611" s="29" t="s">
        <v>315</v>
      </c>
      <c r="I611" s="120">
        <v>45680</v>
      </c>
      <c r="J611" s="120">
        <f>WORKDAY(I611, 3)</f>
        <v>45685</v>
      </c>
      <c r="K611" s="120"/>
      <c r="L611" s="120"/>
      <c r="M611" s="120"/>
      <c r="N611" s="120">
        <v>45686</v>
      </c>
      <c r="O611" s="119" t="s">
        <v>10</v>
      </c>
      <c r="P611" s="152"/>
      <c r="Q611" s="153"/>
      <c r="R611" s="29"/>
      <c r="S611" s="123"/>
    </row>
    <row r="612" spans="1:19" hidden="1">
      <c r="A612" s="147" t="s">
        <v>290</v>
      </c>
      <c r="B612" s="147"/>
      <c r="C612" s="29">
        <v>23506914</v>
      </c>
      <c r="D612" s="29"/>
      <c r="F612" s="29"/>
      <c r="G612" s="29" t="s">
        <v>823</v>
      </c>
      <c r="H612" s="29" t="s">
        <v>315</v>
      </c>
      <c r="I612" s="120">
        <v>45680</v>
      </c>
      <c r="J612" s="120">
        <f>WORKDAY(I612, 3)</f>
        <v>45685</v>
      </c>
      <c r="K612" s="120"/>
      <c r="L612" s="120"/>
      <c r="M612" s="120"/>
      <c r="N612" s="120">
        <v>45684</v>
      </c>
      <c r="O612" s="119" t="s">
        <v>10</v>
      </c>
      <c r="P612" s="152"/>
      <c r="Q612" s="153"/>
      <c r="R612" s="29"/>
      <c r="S612" s="123"/>
    </row>
    <row r="613" spans="1:19" hidden="1">
      <c r="A613" s="147" t="s">
        <v>290</v>
      </c>
      <c r="B613" s="147"/>
      <c r="C613" s="29">
        <v>23506922</v>
      </c>
      <c r="D613" s="29"/>
      <c r="F613" s="29"/>
      <c r="G613" s="29" t="s">
        <v>823</v>
      </c>
      <c r="H613" s="29" t="s">
        <v>315</v>
      </c>
      <c r="I613" s="120">
        <v>45680</v>
      </c>
      <c r="J613" s="120">
        <f>WORKDAY(I613, 3)</f>
        <v>45685</v>
      </c>
      <c r="K613" s="120"/>
      <c r="L613" s="120"/>
      <c r="M613" s="120"/>
      <c r="N613" s="120">
        <v>45685</v>
      </c>
      <c r="O613" s="119" t="s">
        <v>10</v>
      </c>
      <c r="P613" s="152"/>
      <c r="Q613" s="153"/>
      <c r="R613" s="29"/>
      <c r="S613" s="123"/>
    </row>
    <row r="614" spans="1:19" hidden="1">
      <c r="A614" s="147" t="s">
        <v>290</v>
      </c>
      <c r="B614" s="147"/>
      <c r="C614" s="29">
        <v>23507031</v>
      </c>
      <c r="D614" s="29"/>
      <c r="F614" s="29"/>
      <c r="G614" s="29" t="s">
        <v>823</v>
      </c>
      <c r="H614" s="29" t="s">
        <v>315</v>
      </c>
      <c r="I614" s="120">
        <v>45680</v>
      </c>
      <c r="J614" s="120">
        <f>WORKDAY(I614, 3)</f>
        <v>45685</v>
      </c>
      <c r="K614" s="120"/>
      <c r="L614" s="120"/>
      <c r="M614" s="120"/>
      <c r="N614" s="120">
        <v>45685</v>
      </c>
      <c r="O614" s="119" t="s">
        <v>10</v>
      </c>
      <c r="P614" s="152"/>
      <c r="Q614" s="153"/>
      <c r="R614" s="29"/>
      <c r="S614" s="123"/>
    </row>
    <row r="615" spans="1:19" hidden="1">
      <c r="A615" s="147" t="s">
        <v>290</v>
      </c>
      <c r="B615" s="147"/>
      <c r="C615" s="29">
        <v>23506945</v>
      </c>
      <c r="D615" s="29"/>
      <c r="F615" s="29"/>
      <c r="G615" s="29" t="s">
        <v>823</v>
      </c>
      <c r="H615" s="29" t="s">
        <v>315</v>
      </c>
      <c r="I615" s="120">
        <v>45680</v>
      </c>
      <c r="J615" s="120">
        <f>WORKDAY(I615, 3)</f>
        <v>45685</v>
      </c>
      <c r="K615" s="120"/>
      <c r="L615" s="120"/>
      <c r="M615" s="120"/>
      <c r="N615" s="120">
        <v>45685</v>
      </c>
      <c r="O615" s="119" t="s">
        <v>10</v>
      </c>
      <c r="P615" s="152"/>
      <c r="Q615" s="153"/>
      <c r="R615" s="29"/>
      <c r="S615" s="123"/>
    </row>
    <row r="616" spans="1:19" hidden="1">
      <c r="A616" s="147" t="s">
        <v>290</v>
      </c>
      <c r="B616" s="147"/>
      <c r="C616" s="29">
        <v>23507034</v>
      </c>
      <c r="D616" s="29"/>
      <c r="F616" s="29"/>
      <c r="G616" s="29" t="s">
        <v>823</v>
      </c>
      <c r="H616" s="29" t="s">
        <v>315</v>
      </c>
      <c r="I616" s="120">
        <v>45680</v>
      </c>
      <c r="J616" s="120">
        <f>WORKDAY(I616, 3)</f>
        <v>45685</v>
      </c>
      <c r="K616" s="120"/>
      <c r="L616" s="120"/>
      <c r="M616" s="120"/>
      <c r="N616" s="120">
        <v>45685</v>
      </c>
      <c r="O616" s="119" t="s">
        <v>10</v>
      </c>
      <c r="P616" s="152"/>
      <c r="Q616" s="153"/>
      <c r="R616" s="29"/>
      <c r="S616" s="123"/>
    </row>
    <row r="617" spans="1:19" hidden="1">
      <c r="A617" s="147" t="s">
        <v>290</v>
      </c>
      <c r="B617" s="147"/>
      <c r="C617" s="29">
        <v>23507035</v>
      </c>
      <c r="D617" s="29"/>
      <c r="F617" s="29"/>
      <c r="G617" s="29" t="s">
        <v>823</v>
      </c>
      <c r="H617" s="29" t="s">
        <v>315</v>
      </c>
      <c r="I617" s="120">
        <v>45680</v>
      </c>
      <c r="J617" s="120">
        <f>WORKDAY(I617, 3)</f>
        <v>45685</v>
      </c>
      <c r="K617" s="120"/>
      <c r="L617" s="120"/>
      <c r="M617" s="120"/>
      <c r="N617" s="120">
        <v>45686</v>
      </c>
      <c r="O617" s="119" t="s">
        <v>10</v>
      </c>
      <c r="P617" s="152"/>
      <c r="Q617" s="153"/>
      <c r="R617" s="29"/>
      <c r="S617" s="123"/>
    </row>
    <row r="618" spans="1:19" hidden="1">
      <c r="A618" s="147" t="s">
        <v>290</v>
      </c>
      <c r="B618" s="147"/>
      <c r="C618" s="29">
        <v>23507066</v>
      </c>
      <c r="D618" s="29"/>
      <c r="F618" s="29"/>
      <c r="G618" s="29" t="s">
        <v>823</v>
      </c>
      <c r="H618" s="29" t="s">
        <v>315</v>
      </c>
      <c r="I618" s="120">
        <v>45680</v>
      </c>
      <c r="J618" s="120">
        <f>WORKDAY(I618, 3)</f>
        <v>45685</v>
      </c>
      <c r="K618" s="120"/>
      <c r="L618" s="120"/>
      <c r="M618" s="120"/>
      <c r="N618" s="120">
        <v>45684</v>
      </c>
      <c r="O618" s="119" t="s">
        <v>10</v>
      </c>
      <c r="P618" s="152"/>
      <c r="Q618" s="153"/>
      <c r="R618" s="29"/>
      <c r="S618" s="123"/>
    </row>
    <row r="619" spans="1:19" hidden="1">
      <c r="A619" s="147" t="s">
        <v>290</v>
      </c>
      <c r="B619" s="147"/>
      <c r="C619" s="29">
        <v>23507071</v>
      </c>
      <c r="D619" s="29"/>
      <c r="F619" s="29"/>
      <c r="G619" s="29" t="s">
        <v>823</v>
      </c>
      <c r="H619" s="29" t="s">
        <v>315</v>
      </c>
      <c r="I619" s="120">
        <v>45680</v>
      </c>
      <c r="J619" s="120">
        <f>WORKDAY(I619, 3)</f>
        <v>45685</v>
      </c>
      <c r="K619" s="120"/>
      <c r="L619" s="120"/>
      <c r="M619" s="120"/>
      <c r="N619" s="120">
        <v>45684</v>
      </c>
      <c r="O619" s="119" t="s">
        <v>10</v>
      </c>
      <c r="P619" s="152"/>
      <c r="Q619" s="153"/>
      <c r="R619" s="29"/>
      <c r="S619" s="123"/>
    </row>
    <row r="620" spans="1:19" hidden="1">
      <c r="A620" s="147" t="s">
        <v>290</v>
      </c>
      <c r="B620" s="147"/>
      <c r="C620" s="29">
        <v>23507082</v>
      </c>
      <c r="D620" s="29"/>
      <c r="F620" s="29"/>
      <c r="G620" s="29" t="s">
        <v>823</v>
      </c>
      <c r="H620" s="29" t="s">
        <v>315</v>
      </c>
      <c r="I620" s="120">
        <v>45680</v>
      </c>
      <c r="J620" s="120">
        <f>WORKDAY(I620, 3)</f>
        <v>45685</v>
      </c>
      <c r="K620" s="120"/>
      <c r="L620" s="120"/>
      <c r="M620" s="120"/>
      <c r="N620" s="120">
        <v>45685</v>
      </c>
      <c r="O620" s="119" t="s">
        <v>10</v>
      </c>
      <c r="P620" s="152"/>
      <c r="Q620" s="153"/>
      <c r="R620" s="29"/>
      <c r="S620" s="123"/>
    </row>
    <row r="621" spans="1:19" hidden="1">
      <c r="A621" s="147" t="s">
        <v>290</v>
      </c>
      <c r="B621" s="147"/>
      <c r="C621" s="29">
        <v>23507111</v>
      </c>
      <c r="D621" s="29"/>
      <c r="F621" s="29"/>
      <c r="G621" s="29" t="s">
        <v>823</v>
      </c>
      <c r="H621" s="29" t="s">
        <v>315</v>
      </c>
      <c r="I621" s="120">
        <v>45680</v>
      </c>
      <c r="J621" s="120">
        <f>WORKDAY(I621, 3)</f>
        <v>45685</v>
      </c>
      <c r="K621" s="120"/>
      <c r="L621" s="120"/>
      <c r="M621" s="120"/>
      <c r="N621" s="120">
        <v>45685</v>
      </c>
      <c r="O621" s="119" t="s">
        <v>10</v>
      </c>
      <c r="P621" s="152"/>
      <c r="Q621" s="153"/>
      <c r="R621" s="29"/>
      <c r="S621" s="123"/>
    </row>
    <row r="622" spans="1:19" hidden="1">
      <c r="A622" s="147" t="s">
        <v>290</v>
      </c>
      <c r="B622" s="147"/>
      <c r="C622" s="29">
        <v>23507030</v>
      </c>
      <c r="D622" s="29"/>
      <c r="F622" s="29"/>
      <c r="G622" s="29" t="s">
        <v>823</v>
      </c>
      <c r="H622" s="29" t="s">
        <v>315</v>
      </c>
      <c r="I622" s="120">
        <v>45680</v>
      </c>
      <c r="J622" s="120">
        <f>WORKDAY(I622, 3)</f>
        <v>45685</v>
      </c>
      <c r="K622" s="120"/>
      <c r="L622" s="120"/>
      <c r="M622" s="120"/>
      <c r="N622" s="120">
        <v>45707</v>
      </c>
      <c r="O622" s="119" t="s">
        <v>10</v>
      </c>
      <c r="P622" s="152"/>
      <c r="Q622" s="153"/>
      <c r="R622" s="29"/>
      <c r="S622" s="123"/>
    </row>
    <row r="623" spans="1:19" hidden="1">
      <c r="A623" s="147" t="s">
        <v>290</v>
      </c>
      <c r="B623" s="147"/>
      <c r="C623" s="29">
        <v>23507088</v>
      </c>
      <c r="D623" s="29"/>
      <c r="F623" s="29"/>
      <c r="G623" s="29" t="s">
        <v>823</v>
      </c>
      <c r="H623" s="29" t="s">
        <v>315</v>
      </c>
      <c r="I623" s="120">
        <v>45680</v>
      </c>
      <c r="J623" s="120">
        <f>WORKDAY(I623, 3)</f>
        <v>45685</v>
      </c>
      <c r="K623" s="120"/>
      <c r="L623" s="120"/>
      <c r="M623" s="120"/>
      <c r="N623" s="120">
        <v>45693</v>
      </c>
      <c r="O623" s="119" t="s">
        <v>10</v>
      </c>
      <c r="P623" s="152"/>
      <c r="Q623" s="153"/>
      <c r="R623" s="29"/>
      <c r="S623" s="123"/>
    </row>
    <row r="624" spans="1:19" hidden="1">
      <c r="A624" s="147" t="s">
        <v>290</v>
      </c>
      <c r="B624" s="147"/>
      <c r="C624" s="29">
        <v>23507092</v>
      </c>
      <c r="D624" s="29"/>
      <c r="F624" s="29"/>
      <c r="G624" s="29" t="s">
        <v>823</v>
      </c>
      <c r="H624" s="29" t="s">
        <v>315</v>
      </c>
      <c r="I624" s="120">
        <v>45680</v>
      </c>
      <c r="J624" s="120">
        <f>WORKDAY(I624, 3)</f>
        <v>45685</v>
      </c>
      <c r="K624" s="120"/>
      <c r="L624" s="120"/>
      <c r="M624" s="120"/>
      <c r="N624" s="120">
        <v>45693</v>
      </c>
      <c r="O624" s="119" t="s">
        <v>10</v>
      </c>
      <c r="P624" s="152"/>
      <c r="Q624" s="153"/>
      <c r="R624" s="29"/>
      <c r="S624" s="123"/>
    </row>
    <row r="625" spans="1:19" hidden="1">
      <c r="A625" s="147" t="s">
        <v>290</v>
      </c>
      <c r="B625" s="147"/>
      <c r="C625" s="29">
        <v>23507096</v>
      </c>
      <c r="D625" s="29"/>
      <c r="F625" s="29"/>
      <c r="G625" s="29" t="s">
        <v>823</v>
      </c>
      <c r="H625" s="29" t="s">
        <v>315</v>
      </c>
      <c r="I625" s="120">
        <v>45680</v>
      </c>
      <c r="J625" s="120">
        <f>WORKDAY(I625, 3)</f>
        <v>45685</v>
      </c>
      <c r="K625" s="120"/>
      <c r="L625" s="120"/>
      <c r="M625" s="120"/>
      <c r="N625" s="120">
        <v>45687</v>
      </c>
      <c r="O625" s="119" t="s">
        <v>10</v>
      </c>
      <c r="P625" s="152"/>
      <c r="Q625" s="153"/>
      <c r="R625" s="29"/>
      <c r="S625" s="123"/>
    </row>
    <row r="626" spans="1:19" hidden="1">
      <c r="A626" s="147" t="s">
        <v>290</v>
      </c>
      <c r="B626" s="147"/>
      <c r="C626" s="29">
        <v>23507104</v>
      </c>
      <c r="D626" s="29"/>
      <c r="F626" s="29"/>
      <c r="G626" s="29" t="s">
        <v>823</v>
      </c>
      <c r="H626" s="29" t="s">
        <v>315</v>
      </c>
      <c r="I626" s="120">
        <v>45680</v>
      </c>
      <c r="J626" s="120">
        <f>WORKDAY(I626, 3)</f>
        <v>45685</v>
      </c>
      <c r="K626" s="120"/>
      <c r="L626" s="120"/>
      <c r="M626" s="120"/>
      <c r="N626" s="120">
        <v>45687</v>
      </c>
      <c r="O626" s="119" t="s">
        <v>10</v>
      </c>
      <c r="P626" s="152"/>
      <c r="Q626" s="153"/>
      <c r="R626" s="29"/>
      <c r="S626" s="123"/>
    </row>
    <row r="627" spans="1:19" hidden="1">
      <c r="A627" s="29" t="s">
        <v>312</v>
      </c>
      <c r="B627" s="29"/>
      <c r="C627" s="29">
        <v>29507354</v>
      </c>
      <c r="D627" s="29"/>
      <c r="F627" s="29"/>
      <c r="G627" s="29" t="s">
        <v>823</v>
      </c>
      <c r="H627" s="29" t="s">
        <v>316</v>
      </c>
      <c r="I627" s="120">
        <v>45684</v>
      </c>
      <c r="J627" s="120">
        <f>WORKDAY(I627, 3)</f>
        <v>45687</v>
      </c>
      <c r="K627" s="120"/>
      <c r="L627" s="120"/>
      <c r="M627" s="120"/>
      <c r="N627" s="120"/>
      <c r="O627" s="119" t="s">
        <v>929</v>
      </c>
      <c r="P627" s="120"/>
      <c r="Q627" s="135"/>
      <c r="R627" s="29" t="s">
        <v>317</v>
      </c>
      <c r="S627" s="123"/>
    </row>
    <row r="628" spans="1:19" hidden="1">
      <c r="A628" s="29" t="s">
        <v>312</v>
      </c>
      <c r="B628" s="29"/>
      <c r="C628" s="29">
        <v>28507244</v>
      </c>
      <c r="D628" s="29"/>
      <c r="F628" s="29"/>
      <c r="G628" s="29" t="s">
        <v>823</v>
      </c>
      <c r="H628" s="29" t="s">
        <v>316</v>
      </c>
      <c r="I628" s="120">
        <v>45684</v>
      </c>
      <c r="J628" s="120">
        <f>WORKDAY(I628, 3)</f>
        <v>45687</v>
      </c>
      <c r="K628" s="120"/>
      <c r="L628" s="120"/>
      <c r="M628" s="120"/>
      <c r="N628" s="120"/>
      <c r="O628" s="119" t="s">
        <v>929</v>
      </c>
      <c r="P628" s="120"/>
      <c r="Q628" s="135"/>
      <c r="R628" s="29" t="s">
        <v>318</v>
      </c>
      <c r="S628" s="123"/>
    </row>
    <row r="629" spans="1:19" hidden="1">
      <c r="A629" s="29" t="s">
        <v>312</v>
      </c>
      <c r="B629" s="29"/>
      <c r="C629" s="29">
        <v>28506894</v>
      </c>
      <c r="D629" s="29"/>
      <c r="F629" s="29"/>
      <c r="G629" s="29" t="s">
        <v>823</v>
      </c>
      <c r="H629" s="29" t="s">
        <v>316</v>
      </c>
      <c r="I629" s="120">
        <v>45684</v>
      </c>
      <c r="J629" s="120">
        <f>WORKDAY(I629, 3)</f>
        <v>45687</v>
      </c>
      <c r="K629" s="120"/>
      <c r="L629" s="120"/>
      <c r="M629" s="120"/>
      <c r="N629" s="120"/>
      <c r="O629" s="119" t="s">
        <v>929</v>
      </c>
      <c r="P629" s="120"/>
      <c r="Q629" s="135"/>
      <c r="R629" s="29" t="s">
        <v>319</v>
      </c>
      <c r="S629" s="123"/>
    </row>
    <row r="630" spans="1:19" hidden="1">
      <c r="A630" s="29" t="s">
        <v>312</v>
      </c>
      <c r="B630" s="29"/>
      <c r="C630" s="29">
        <v>28506868</v>
      </c>
      <c r="D630" s="29"/>
      <c r="F630" s="29"/>
      <c r="G630" s="29" t="s">
        <v>823</v>
      </c>
      <c r="H630" s="29" t="s">
        <v>316</v>
      </c>
      <c r="I630" s="120">
        <v>45684</v>
      </c>
      <c r="J630" s="120">
        <f>WORKDAY(I630, 3)</f>
        <v>45687</v>
      </c>
      <c r="K630" s="120"/>
      <c r="L630" s="120"/>
      <c r="M630" s="120"/>
      <c r="N630" s="120"/>
      <c r="O630" s="119" t="s">
        <v>929</v>
      </c>
      <c r="P630" s="120"/>
      <c r="Q630" s="135"/>
      <c r="R630" s="29" t="s">
        <v>320</v>
      </c>
      <c r="S630" s="123"/>
    </row>
    <row r="631" spans="1:19" hidden="1">
      <c r="A631" s="29" t="s">
        <v>312</v>
      </c>
      <c r="B631" s="29"/>
      <c r="C631" s="29">
        <v>28506849</v>
      </c>
      <c r="D631" s="29"/>
      <c r="F631" s="29"/>
      <c r="G631" s="29" t="s">
        <v>823</v>
      </c>
      <c r="H631" s="29" t="s">
        <v>316</v>
      </c>
      <c r="I631" s="120">
        <v>45684</v>
      </c>
      <c r="J631" s="120">
        <f>WORKDAY(I631, 3)</f>
        <v>45687</v>
      </c>
      <c r="K631" s="120"/>
      <c r="L631" s="120"/>
      <c r="M631" s="120"/>
      <c r="N631" s="120"/>
      <c r="O631" s="119" t="s">
        <v>929</v>
      </c>
      <c r="P631" s="120"/>
      <c r="Q631" s="135"/>
      <c r="R631" s="29" t="s">
        <v>321</v>
      </c>
      <c r="S631" s="123"/>
    </row>
    <row r="632" spans="1:19" hidden="1">
      <c r="A632" s="29" t="s">
        <v>312</v>
      </c>
      <c r="B632" s="29"/>
      <c r="C632" s="29">
        <v>28506322</v>
      </c>
      <c r="D632" s="29"/>
      <c r="F632" s="29"/>
      <c r="G632" s="29" t="s">
        <v>823</v>
      </c>
      <c r="H632" s="29" t="s">
        <v>316</v>
      </c>
      <c r="I632" s="120">
        <v>45684</v>
      </c>
      <c r="J632" s="120">
        <f>WORKDAY(I632, 3)</f>
        <v>45687</v>
      </c>
      <c r="K632" s="120"/>
      <c r="L632" s="120"/>
      <c r="M632" s="120"/>
      <c r="N632" s="120"/>
      <c r="O632" s="119" t="s">
        <v>929</v>
      </c>
      <c r="P632" s="120"/>
      <c r="Q632" s="135"/>
      <c r="R632" s="29" t="s">
        <v>321</v>
      </c>
      <c r="S632" s="123"/>
    </row>
    <row r="633" spans="1:19" hidden="1">
      <c r="A633" s="29" t="s">
        <v>312</v>
      </c>
      <c r="B633" s="29"/>
      <c r="C633" s="29">
        <v>28506204</v>
      </c>
      <c r="D633" s="29"/>
      <c r="F633" s="29"/>
      <c r="G633" s="29" t="s">
        <v>823</v>
      </c>
      <c r="H633" s="29" t="s">
        <v>316</v>
      </c>
      <c r="I633" s="120">
        <v>45684</v>
      </c>
      <c r="J633" s="120">
        <f>WORKDAY(I633, 3)</f>
        <v>45687</v>
      </c>
      <c r="K633" s="120"/>
      <c r="L633" s="120"/>
      <c r="M633" s="120"/>
      <c r="N633" s="120"/>
      <c r="O633" s="119" t="s">
        <v>929</v>
      </c>
      <c r="P633" s="120"/>
      <c r="Q633" s="135"/>
      <c r="R633" s="29" t="s">
        <v>322</v>
      </c>
      <c r="S633" s="123"/>
    </row>
    <row r="634" spans="1:19" hidden="1">
      <c r="A634" s="29" t="s">
        <v>312</v>
      </c>
      <c r="B634" s="29"/>
      <c r="C634" s="29">
        <v>28506093</v>
      </c>
      <c r="D634" s="29"/>
      <c r="F634" s="29"/>
      <c r="G634" s="29" t="s">
        <v>823</v>
      </c>
      <c r="H634" s="29" t="s">
        <v>316</v>
      </c>
      <c r="I634" s="120">
        <v>45684</v>
      </c>
      <c r="J634" s="120">
        <f>WORKDAY(I634, 3)</f>
        <v>45687</v>
      </c>
      <c r="K634" s="120"/>
      <c r="L634" s="120"/>
      <c r="M634" s="120"/>
      <c r="N634" s="120"/>
      <c r="O634" s="119" t="s">
        <v>929</v>
      </c>
      <c r="P634" s="120"/>
      <c r="Q634" s="135"/>
      <c r="R634" s="29" t="s">
        <v>323</v>
      </c>
      <c r="S634" s="123"/>
    </row>
    <row r="635" spans="1:19" hidden="1">
      <c r="A635" s="29" t="s">
        <v>312</v>
      </c>
      <c r="B635" s="29"/>
      <c r="C635" s="29">
        <v>28506035</v>
      </c>
      <c r="D635" s="29"/>
      <c r="F635" s="29"/>
      <c r="G635" s="29" t="s">
        <v>823</v>
      </c>
      <c r="H635" s="29" t="s">
        <v>316</v>
      </c>
      <c r="I635" s="120">
        <v>45684</v>
      </c>
      <c r="J635" s="120">
        <f>WORKDAY(I635, 3)</f>
        <v>45687</v>
      </c>
      <c r="K635" s="120"/>
      <c r="L635" s="120"/>
      <c r="M635" s="120"/>
      <c r="N635" s="120"/>
      <c r="O635" s="119" t="s">
        <v>929</v>
      </c>
      <c r="P635" s="120"/>
      <c r="Q635" s="135"/>
      <c r="R635" s="29" t="s">
        <v>323</v>
      </c>
      <c r="S635" s="123"/>
    </row>
    <row r="636" spans="1:19" hidden="1">
      <c r="A636" s="29" t="s">
        <v>312</v>
      </c>
      <c r="B636" s="29"/>
      <c r="C636" s="29">
        <v>28505069</v>
      </c>
      <c r="D636" s="29"/>
      <c r="F636" s="29"/>
      <c r="G636" s="29" t="s">
        <v>823</v>
      </c>
      <c r="H636" s="29" t="s">
        <v>316</v>
      </c>
      <c r="I636" s="120">
        <v>45684</v>
      </c>
      <c r="J636" s="120">
        <f>WORKDAY(I636, 3)</f>
        <v>45687</v>
      </c>
      <c r="K636" s="120"/>
      <c r="L636" s="120"/>
      <c r="M636" s="120"/>
      <c r="N636" s="120"/>
      <c r="O636" s="119" t="s">
        <v>929</v>
      </c>
      <c r="P636" s="120"/>
      <c r="Q636" s="135"/>
      <c r="R636" s="29" t="s">
        <v>324</v>
      </c>
      <c r="S636" s="123"/>
    </row>
    <row r="637" spans="1:19" hidden="1">
      <c r="A637" s="29" t="s">
        <v>312</v>
      </c>
      <c r="B637" s="29"/>
      <c r="C637" s="29">
        <v>28505038</v>
      </c>
      <c r="D637" s="29"/>
      <c r="F637" s="29"/>
      <c r="G637" s="29" t="s">
        <v>823</v>
      </c>
      <c r="H637" s="29" t="s">
        <v>316</v>
      </c>
      <c r="I637" s="120">
        <v>45684</v>
      </c>
      <c r="J637" s="120">
        <f>WORKDAY(I637, 3)</f>
        <v>45687</v>
      </c>
      <c r="K637" s="120"/>
      <c r="L637" s="120"/>
      <c r="M637" s="120"/>
      <c r="N637" s="120"/>
      <c r="O637" s="119" t="s">
        <v>929</v>
      </c>
      <c r="P637" s="120"/>
      <c r="Q637" s="135"/>
      <c r="R637" s="29" t="s">
        <v>325</v>
      </c>
      <c r="S637" s="123"/>
    </row>
    <row r="638" spans="1:19" hidden="1">
      <c r="A638" s="29" t="s">
        <v>312</v>
      </c>
      <c r="B638" s="29"/>
      <c r="C638" s="29">
        <v>28504900</v>
      </c>
      <c r="D638" s="29"/>
      <c r="F638" s="29"/>
      <c r="G638" s="29" t="s">
        <v>823</v>
      </c>
      <c r="H638" s="29" t="s">
        <v>316</v>
      </c>
      <c r="I638" s="120">
        <v>45684</v>
      </c>
      <c r="J638" s="120">
        <f>WORKDAY(I638, 3)</f>
        <v>45687</v>
      </c>
      <c r="K638" s="120"/>
      <c r="L638" s="120"/>
      <c r="M638" s="120"/>
      <c r="N638" s="120"/>
      <c r="O638" s="119" t="s">
        <v>929</v>
      </c>
      <c r="P638" s="120"/>
      <c r="Q638" s="135"/>
      <c r="R638" s="29" t="s">
        <v>326</v>
      </c>
      <c r="S638" s="123"/>
    </row>
    <row r="639" spans="1:19" hidden="1">
      <c r="A639" s="29" t="s">
        <v>312</v>
      </c>
      <c r="B639" s="29"/>
      <c r="C639" s="29">
        <v>28504725</v>
      </c>
      <c r="D639" s="29"/>
      <c r="F639" s="29"/>
      <c r="G639" s="29" t="s">
        <v>823</v>
      </c>
      <c r="H639" s="29" t="s">
        <v>316</v>
      </c>
      <c r="I639" s="120">
        <v>45684</v>
      </c>
      <c r="J639" s="120">
        <f>WORKDAY(I639, 3)</f>
        <v>45687</v>
      </c>
      <c r="K639" s="120"/>
      <c r="L639" s="120"/>
      <c r="M639" s="120"/>
      <c r="N639" s="120"/>
      <c r="O639" s="119" t="s">
        <v>929</v>
      </c>
      <c r="P639" s="120"/>
      <c r="Q639" s="135"/>
      <c r="R639" s="29" t="s">
        <v>327</v>
      </c>
      <c r="S639" s="123"/>
    </row>
    <row r="640" spans="1:19" hidden="1">
      <c r="A640" s="29" t="s">
        <v>335</v>
      </c>
      <c r="B640" s="29"/>
      <c r="C640" s="29">
        <v>30508309</v>
      </c>
      <c r="D640" s="29"/>
      <c r="F640" s="29"/>
      <c r="G640" s="29" t="s">
        <v>823</v>
      </c>
      <c r="H640" s="29" t="s">
        <v>315</v>
      </c>
      <c r="I640" s="120">
        <v>45686</v>
      </c>
      <c r="J640" s="120">
        <f>WORKDAY(I640, 3)</f>
        <v>45691</v>
      </c>
      <c r="K640" s="120"/>
      <c r="L640" s="120"/>
      <c r="M640" s="120"/>
      <c r="N640" s="120"/>
      <c r="O640" s="119" t="s">
        <v>929</v>
      </c>
      <c r="P640" s="120"/>
      <c r="Q640" s="135"/>
      <c r="R640" s="29" t="s">
        <v>336</v>
      </c>
      <c r="S640" s="123"/>
    </row>
    <row r="641" spans="1:19" hidden="1">
      <c r="A641" s="29" t="s">
        <v>335</v>
      </c>
      <c r="B641" s="29"/>
      <c r="C641" s="29">
        <v>30508305</v>
      </c>
      <c r="D641" s="29"/>
      <c r="F641" s="29"/>
      <c r="G641" s="29" t="s">
        <v>823</v>
      </c>
      <c r="H641" s="29" t="s">
        <v>315</v>
      </c>
      <c r="I641" s="120">
        <v>45686</v>
      </c>
      <c r="J641" s="120">
        <f>WORKDAY(I641, 3)</f>
        <v>45691</v>
      </c>
      <c r="K641" s="120"/>
      <c r="L641" s="120"/>
      <c r="M641" s="120"/>
      <c r="N641" s="120"/>
      <c r="O641" s="119" t="s">
        <v>929</v>
      </c>
      <c r="P641" s="120"/>
      <c r="Q641" s="135"/>
      <c r="R641" s="29" t="s">
        <v>337</v>
      </c>
      <c r="S641" s="123"/>
    </row>
    <row r="642" spans="1:19" hidden="1">
      <c r="A642" s="29" t="s">
        <v>335</v>
      </c>
      <c r="B642" s="29"/>
      <c r="C642" s="29">
        <v>30508300</v>
      </c>
      <c r="D642" s="29"/>
      <c r="F642" s="29"/>
      <c r="G642" s="29" t="s">
        <v>823</v>
      </c>
      <c r="H642" s="29" t="s">
        <v>315</v>
      </c>
      <c r="I642" s="120">
        <v>45686</v>
      </c>
      <c r="J642" s="120">
        <f>WORKDAY(I642, 3)</f>
        <v>45691</v>
      </c>
      <c r="K642" s="120"/>
      <c r="L642" s="120"/>
      <c r="M642" s="120"/>
      <c r="N642" s="120"/>
      <c r="O642" s="119" t="s">
        <v>929</v>
      </c>
      <c r="P642" s="120"/>
      <c r="Q642" s="135"/>
      <c r="R642" s="29" t="s">
        <v>338</v>
      </c>
      <c r="S642" s="123"/>
    </row>
    <row r="643" spans="1:19" hidden="1">
      <c r="A643" s="29" t="s">
        <v>335</v>
      </c>
      <c r="B643" s="29"/>
      <c r="C643" s="29">
        <v>30508297</v>
      </c>
      <c r="D643" s="29"/>
      <c r="F643" s="29"/>
      <c r="G643" s="29" t="s">
        <v>823</v>
      </c>
      <c r="H643" s="29" t="s">
        <v>315</v>
      </c>
      <c r="I643" s="120">
        <v>45686</v>
      </c>
      <c r="J643" s="120">
        <f>WORKDAY(I643, 3)</f>
        <v>45691</v>
      </c>
      <c r="K643" s="120"/>
      <c r="L643" s="120"/>
      <c r="M643" s="120"/>
      <c r="N643" s="120"/>
      <c r="O643" s="119" t="s">
        <v>929</v>
      </c>
      <c r="P643" s="120"/>
      <c r="Q643" s="135"/>
      <c r="R643" s="29" t="s">
        <v>338</v>
      </c>
      <c r="S643" s="123"/>
    </row>
    <row r="644" spans="1:19" hidden="1">
      <c r="A644" s="29" t="s">
        <v>335</v>
      </c>
      <c r="B644" s="29"/>
      <c r="C644" s="29">
        <v>30508294</v>
      </c>
      <c r="D644" s="29"/>
      <c r="F644" s="29"/>
      <c r="G644" s="29" t="s">
        <v>823</v>
      </c>
      <c r="H644" s="29" t="s">
        <v>315</v>
      </c>
      <c r="I644" s="120">
        <v>45686</v>
      </c>
      <c r="J644" s="120">
        <f>WORKDAY(I644, 3)</f>
        <v>45691</v>
      </c>
      <c r="K644" s="120"/>
      <c r="L644" s="120"/>
      <c r="M644" s="120"/>
      <c r="N644" s="120"/>
      <c r="O644" s="119" t="s">
        <v>929</v>
      </c>
      <c r="P644" s="120"/>
      <c r="Q644" s="135"/>
      <c r="R644" s="29" t="s">
        <v>339</v>
      </c>
      <c r="S644" s="123"/>
    </row>
    <row r="645" spans="1:19" hidden="1">
      <c r="A645" s="29" t="s">
        <v>335</v>
      </c>
      <c r="B645" s="29"/>
      <c r="C645" s="29">
        <v>30508293</v>
      </c>
      <c r="D645" s="29"/>
      <c r="F645" s="29"/>
      <c r="G645" s="29" t="s">
        <v>823</v>
      </c>
      <c r="H645" s="29" t="s">
        <v>315</v>
      </c>
      <c r="I645" s="120">
        <v>45686</v>
      </c>
      <c r="J645" s="120">
        <f>WORKDAY(I645, 3)</f>
        <v>45691</v>
      </c>
      <c r="K645" s="120"/>
      <c r="L645" s="120"/>
      <c r="M645" s="120"/>
      <c r="N645" s="120"/>
      <c r="O645" s="119" t="s">
        <v>929</v>
      </c>
      <c r="P645" s="120"/>
      <c r="Q645" s="135"/>
      <c r="R645" s="29" t="s">
        <v>340</v>
      </c>
      <c r="S645" s="123"/>
    </row>
    <row r="646" spans="1:19" hidden="1">
      <c r="A646" s="29" t="s">
        <v>335</v>
      </c>
      <c r="B646" s="29"/>
      <c r="C646" s="29">
        <v>30508290</v>
      </c>
      <c r="D646" s="29"/>
      <c r="F646" s="29"/>
      <c r="G646" s="29" t="s">
        <v>823</v>
      </c>
      <c r="H646" s="29" t="s">
        <v>315</v>
      </c>
      <c r="I646" s="120">
        <v>45686</v>
      </c>
      <c r="J646" s="120">
        <f>WORKDAY(I646, 3)</f>
        <v>45691</v>
      </c>
      <c r="K646" s="120"/>
      <c r="L646" s="120"/>
      <c r="M646" s="120"/>
      <c r="N646" s="120"/>
      <c r="O646" s="119" t="s">
        <v>929</v>
      </c>
      <c r="P646" s="120"/>
      <c r="Q646" s="135"/>
      <c r="R646" s="29" t="s">
        <v>341</v>
      </c>
      <c r="S646" s="123"/>
    </row>
    <row r="647" spans="1:19" hidden="1">
      <c r="A647" s="29" t="s">
        <v>335</v>
      </c>
      <c r="B647" s="29"/>
      <c r="C647" s="29">
        <v>30508289</v>
      </c>
      <c r="D647" s="29"/>
      <c r="F647" s="29"/>
      <c r="G647" s="29" t="s">
        <v>823</v>
      </c>
      <c r="H647" s="29" t="s">
        <v>315</v>
      </c>
      <c r="I647" s="120">
        <v>45686</v>
      </c>
      <c r="J647" s="120">
        <f>WORKDAY(I647, 3)</f>
        <v>45691</v>
      </c>
      <c r="K647" s="120"/>
      <c r="L647" s="120"/>
      <c r="M647" s="120"/>
      <c r="N647" s="120"/>
      <c r="O647" s="119" t="s">
        <v>929</v>
      </c>
      <c r="P647" s="120"/>
      <c r="Q647" s="135"/>
      <c r="R647" s="29" t="s">
        <v>341</v>
      </c>
      <c r="S647" s="123"/>
    </row>
    <row r="648" spans="1:19" hidden="1">
      <c r="A648" s="29" t="s">
        <v>335</v>
      </c>
      <c r="B648" s="29"/>
      <c r="C648" s="29">
        <v>30508284</v>
      </c>
      <c r="D648" s="29"/>
      <c r="F648" s="29"/>
      <c r="G648" s="29" t="s">
        <v>823</v>
      </c>
      <c r="H648" s="29" t="s">
        <v>315</v>
      </c>
      <c r="I648" s="120">
        <v>45686</v>
      </c>
      <c r="J648" s="120">
        <f>WORKDAY(I648, 3)</f>
        <v>45691</v>
      </c>
      <c r="K648" s="120"/>
      <c r="L648" s="120"/>
      <c r="M648" s="120"/>
      <c r="N648" s="120"/>
      <c r="O648" s="119" t="s">
        <v>929</v>
      </c>
      <c r="P648" s="120"/>
      <c r="Q648" s="135"/>
      <c r="R648" s="29" t="s">
        <v>342</v>
      </c>
      <c r="S648" s="123"/>
    </row>
    <row r="649" spans="1:19" hidden="1">
      <c r="A649" s="29" t="s">
        <v>335</v>
      </c>
      <c r="B649" s="29"/>
      <c r="C649" s="29">
        <v>30508281</v>
      </c>
      <c r="D649" s="29"/>
      <c r="F649" s="29"/>
      <c r="G649" s="29" t="s">
        <v>823</v>
      </c>
      <c r="H649" s="29" t="s">
        <v>315</v>
      </c>
      <c r="I649" s="120">
        <v>45686</v>
      </c>
      <c r="J649" s="120">
        <f>WORKDAY(I649, 3)</f>
        <v>45691</v>
      </c>
      <c r="K649" s="120"/>
      <c r="L649" s="120"/>
      <c r="M649" s="120"/>
      <c r="N649" s="120"/>
      <c r="O649" s="119" t="s">
        <v>929</v>
      </c>
      <c r="P649" s="120"/>
      <c r="Q649" s="135"/>
      <c r="R649" s="29" t="s">
        <v>343</v>
      </c>
      <c r="S649" s="123"/>
    </row>
    <row r="650" spans="1:19" hidden="1">
      <c r="A650" s="29" t="s">
        <v>335</v>
      </c>
      <c r="B650" s="29"/>
      <c r="C650" s="29">
        <v>30508277</v>
      </c>
      <c r="D650" s="29"/>
      <c r="F650" s="29"/>
      <c r="G650" s="29" t="s">
        <v>823</v>
      </c>
      <c r="H650" s="29" t="s">
        <v>315</v>
      </c>
      <c r="I650" s="120">
        <v>45686</v>
      </c>
      <c r="J650" s="120">
        <f>WORKDAY(I650, 3)</f>
        <v>45691</v>
      </c>
      <c r="K650" s="120"/>
      <c r="L650" s="120"/>
      <c r="M650" s="120"/>
      <c r="N650" s="120"/>
      <c r="O650" s="119" t="s">
        <v>929</v>
      </c>
      <c r="P650" s="120"/>
      <c r="Q650" s="135"/>
      <c r="R650" s="29" t="s">
        <v>344</v>
      </c>
      <c r="S650" s="123"/>
    </row>
    <row r="651" spans="1:19" hidden="1">
      <c r="A651" s="29" t="s">
        <v>335</v>
      </c>
      <c r="B651" s="29"/>
      <c r="C651" s="29">
        <v>30508275</v>
      </c>
      <c r="D651" s="29"/>
      <c r="F651" s="29"/>
      <c r="G651" s="29" t="s">
        <v>823</v>
      </c>
      <c r="H651" s="29" t="s">
        <v>315</v>
      </c>
      <c r="I651" s="120">
        <v>45686</v>
      </c>
      <c r="J651" s="120">
        <f>WORKDAY(I651, 3)</f>
        <v>45691</v>
      </c>
      <c r="K651" s="120"/>
      <c r="L651" s="120"/>
      <c r="M651" s="120"/>
      <c r="N651" s="120"/>
      <c r="O651" s="119" t="s">
        <v>929</v>
      </c>
      <c r="P651" s="120"/>
      <c r="Q651" s="135"/>
      <c r="R651" s="29" t="s">
        <v>344</v>
      </c>
      <c r="S651" s="123"/>
    </row>
    <row r="652" spans="1:19" hidden="1">
      <c r="A652" s="29" t="s">
        <v>335</v>
      </c>
      <c r="B652" s="29"/>
      <c r="C652" s="29">
        <v>30508271</v>
      </c>
      <c r="D652" s="29"/>
      <c r="F652" s="29"/>
      <c r="G652" s="29" t="s">
        <v>823</v>
      </c>
      <c r="H652" s="29" t="s">
        <v>315</v>
      </c>
      <c r="I652" s="120">
        <v>45686</v>
      </c>
      <c r="J652" s="120">
        <f>WORKDAY(I652, 3)</f>
        <v>45691</v>
      </c>
      <c r="K652" s="120"/>
      <c r="L652" s="120"/>
      <c r="M652" s="120"/>
      <c r="N652" s="120"/>
      <c r="O652" s="119" t="s">
        <v>929</v>
      </c>
      <c r="P652" s="120"/>
      <c r="Q652" s="135"/>
      <c r="R652" s="29" t="s">
        <v>345</v>
      </c>
      <c r="S652" s="123"/>
    </row>
    <row r="653" spans="1:19" hidden="1">
      <c r="A653" s="29" t="s">
        <v>335</v>
      </c>
      <c r="B653" s="29"/>
      <c r="C653" s="29">
        <v>30508265</v>
      </c>
      <c r="D653" s="29"/>
      <c r="F653" s="29"/>
      <c r="G653" s="29" t="s">
        <v>823</v>
      </c>
      <c r="H653" s="29" t="s">
        <v>315</v>
      </c>
      <c r="I653" s="120">
        <v>45686</v>
      </c>
      <c r="J653" s="120">
        <f>WORKDAY(I653, 3)</f>
        <v>45691</v>
      </c>
      <c r="K653" s="120"/>
      <c r="L653" s="120"/>
      <c r="M653" s="120"/>
      <c r="N653" s="120"/>
      <c r="O653" s="119" t="s">
        <v>929</v>
      </c>
      <c r="P653" s="120"/>
      <c r="Q653" s="135"/>
      <c r="R653" s="29" t="s">
        <v>344</v>
      </c>
      <c r="S653" s="123"/>
    </row>
    <row r="654" spans="1:19" hidden="1">
      <c r="A654" s="29" t="s">
        <v>335</v>
      </c>
      <c r="B654" s="29"/>
      <c r="C654" s="29">
        <v>30508261</v>
      </c>
      <c r="D654" s="29"/>
      <c r="F654" s="29"/>
      <c r="G654" s="29" t="s">
        <v>823</v>
      </c>
      <c r="H654" s="29" t="s">
        <v>315</v>
      </c>
      <c r="I654" s="120">
        <v>45686</v>
      </c>
      <c r="J654" s="120">
        <f>WORKDAY(I654, 3)</f>
        <v>45691</v>
      </c>
      <c r="K654" s="120"/>
      <c r="L654" s="120"/>
      <c r="M654" s="120"/>
      <c r="N654" s="120"/>
      <c r="O654" s="119" t="s">
        <v>929</v>
      </c>
      <c r="P654" s="120"/>
      <c r="Q654" s="135"/>
      <c r="R654" s="29" t="s">
        <v>346</v>
      </c>
      <c r="S654" s="123"/>
    </row>
    <row r="655" spans="1:19" hidden="1">
      <c r="A655" s="29" t="s">
        <v>335</v>
      </c>
      <c r="B655" s="29"/>
      <c r="C655" s="29">
        <v>30508258</v>
      </c>
      <c r="D655" s="29"/>
      <c r="F655" s="29"/>
      <c r="G655" s="29" t="s">
        <v>823</v>
      </c>
      <c r="H655" s="29" t="s">
        <v>315</v>
      </c>
      <c r="I655" s="120">
        <v>45686</v>
      </c>
      <c r="J655" s="120">
        <f>WORKDAY(I655, 3)</f>
        <v>45691</v>
      </c>
      <c r="K655" s="120"/>
      <c r="L655" s="120"/>
      <c r="M655" s="120"/>
      <c r="N655" s="120"/>
      <c r="O655" s="119" t="s">
        <v>929</v>
      </c>
      <c r="P655" s="120"/>
      <c r="Q655" s="135"/>
      <c r="R655" s="29" t="s">
        <v>347</v>
      </c>
      <c r="S655" s="123"/>
    </row>
    <row r="656" spans="1:19" hidden="1">
      <c r="A656" s="29" t="s">
        <v>335</v>
      </c>
      <c r="B656" s="29"/>
      <c r="C656" s="29">
        <v>30508255</v>
      </c>
      <c r="D656" s="29"/>
      <c r="F656" s="29"/>
      <c r="G656" s="29" t="s">
        <v>823</v>
      </c>
      <c r="H656" s="29" t="s">
        <v>315</v>
      </c>
      <c r="I656" s="120">
        <v>45686</v>
      </c>
      <c r="J656" s="120">
        <f>WORKDAY(I656, 3)</f>
        <v>45691</v>
      </c>
      <c r="K656" s="120"/>
      <c r="L656" s="120"/>
      <c r="M656" s="120"/>
      <c r="N656" s="120"/>
      <c r="O656" s="119" t="s">
        <v>929</v>
      </c>
      <c r="P656" s="120"/>
      <c r="Q656" s="135"/>
      <c r="R656" s="29" t="s">
        <v>348</v>
      </c>
      <c r="S656" s="123"/>
    </row>
    <row r="657" spans="1:19" hidden="1">
      <c r="A657" s="29" t="s">
        <v>335</v>
      </c>
      <c r="B657" s="29"/>
      <c r="C657" s="29">
        <v>30508249</v>
      </c>
      <c r="D657" s="29"/>
      <c r="F657" s="29"/>
      <c r="G657" s="29" t="s">
        <v>823</v>
      </c>
      <c r="H657" s="29" t="s">
        <v>315</v>
      </c>
      <c r="I657" s="120">
        <v>45686</v>
      </c>
      <c r="J657" s="120">
        <f>WORKDAY(I657, 3)</f>
        <v>45691</v>
      </c>
      <c r="K657" s="120"/>
      <c r="L657" s="120"/>
      <c r="M657" s="120"/>
      <c r="N657" s="120"/>
      <c r="O657" s="119" t="s">
        <v>929</v>
      </c>
      <c r="P657" s="120"/>
      <c r="Q657" s="135"/>
      <c r="R657" s="29" t="s">
        <v>349</v>
      </c>
      <c r="S657" s="123"/>
    </row>
    <row r="658" spans="1:19" hidden="1">
      <c r="A658" s="29" t="s">
        <v>335</v>
      </c>
      <c r="B658" s="29"/>
      <c r="C658" s="29">
        <v>30508244</v>
      </c>
      <c r="D658" s="29"/>
      <c r="F658" s="29"/>
      <c r="G658" s="29" t="s">
        <v>823</v>
      </c>
      <c r="H658" s="29" t="s">
        <v>315</v>
      </c>
      <c r="I658" s="120">
        <v>45686</v>
      </c>
      <c r="J658" s="120">
        <f>WORKDAY(I658, 3)</f>
        <v>45691</v>
      </c>
      <c r="K658" s="120"/>
      <c r="L658" s="120"/>
      <c r="M658" s="120"/>
      <c r="N658" s="120"/>
      <c r="O658" s="119" t="s">
        <v>929</v>
      </c>
      <c r="P658" s="120"/>
      <c r="Q658" s="135"/>
      <c r="R658" s="29" t="s">
        <v>347</v>
      </c>
      <c r="S658" s="123"/>
    </row>
    <row r="659" spans="1:19" hidden="1">
      <c r="A659" s="29" t="s">
        <v>335</v>
      </c>
      <c r="B659" s="29"/>
      <c r="C659" s="29">
        <v>30508237</v>
      </c>
      <c r="D659" s="29"/>
      <c r="F659" s="29"/>
      <c r="G659" s="29" t="s">
        <v>823</v>
      </c>
      <c r="H659" s="29" t="s">
        <v>315</v>
      </c>
      <c r="I659" s="120">
        <v>45686</v>
      </c>
      <c r="J659" s="120">
        <f>WORKDAY(I659, 3)</f>
        <v>45691</v>
      </c>
      <c r="K659" s="120"/>
      <c r="L659" s="120"/>
      <c r="M659" s="120"/>
      <c r="N659" s="120"/>
      <c r="O659" s="119" t="s">
        <v>929</v>
      </c>
      <c r="P659" s="120"/>
      <c r="Q659" s="135"/>
      <c r="R659" s="29" t="s">
        <v>350</v>
      </c>
      <c r="S659" s="123"/>
    </row>
    <row r="660" spans="1:19" hidden="1">
      <c r="A660" s="29" t="s">
        <v>335</v>
      </c>
      <c r="B660" s="29"/>
      <c r="C660" s="29">
        <v>30508222</v>
      </c>
      <c r="D660" s="29"/>
      <c r="F660" s="29"/>
      <c r="G660" s="29" t="s">
        <v>823</v>
      </c>
      <c r="H660" s="29" t="s">
        <v>315</v>
      </c>
      <c r="I660" s="120">
        <v>45686</v>
      </c>
      <c r="J660" s="120">
        <f>WORKDAY(I660, 3)</f>
        <v>45691</v>
      </c>
      <c r="K660" s="120"/>
      <c r="L660" s="120"/>
      <c r="M660" s="120"/>
      <c r="N660" s="120"/>
      <c r="O660" s="119" t="s">
        <v>929</v>
      </c>
      <c r="P660" s="120"/>
      <c r="Q660" s="135"/>
      <c r="R660" s="29" t="s">
        <v>351</v>
      </c>
      <c r="S660" s="123"/>
    </row>
    <row r="661" spans="1:19" hidden="1">
      <c r="A661" s="29" t="s">
        <v>335</v>
      </c>
      <c r="B661" s="29"/>
      <c r="C661" s="29">
        <v>30508211</v>
      </c>
      <c r="D661" s="29"/>
      <c r="F661" s="29"/>
      <c r="G661" s="29" t="s">
        <v>823</v>
      </c>
      <c r="H661" s="29" t="s">
        <v>315</v>
      </c>
      <c r="I661" s="120">
        <v>45686</v>
      </c>
      <c r="J661" s="120">
        <f>WORKDAY(I661, 3)</f>
        <v>45691</v>
      </c>
      <c r="K661" s="120"/>
      <c r="L661" s="120"/>
      <c r="M661" s="120"/>
      <c r="N661" s="120"/>
      <c r="O661" s="119" t="s">
        <v>929</v>
      </c>
      <c r="P661" s="120"/>
      <c r="Q661" s="135"/>
      <c r="R661" s="29" t="s">
        <v>352</v>
      </c>
      <c r="S661" s="123"/>
    </row>
    <row r="662" spans="1:19" hidden="1">
      <c r="A662" s="29" t="s">
        <v>335</v>
      </c>
      <c r="B662" s="29"/>
      <c r="C662" s="29">
        <v>30508208</v>
      </c>
      <c r="D662" s="29"/>
      <c r="F662" s="29"/>
      <c r="G662" s="29" t="s">
        <v>823</v>
      </c>
      <c r="H662" s="29" t="s">
        <v>315</v>
      </c>
      <c r="I662" s="120">
        <v>45686</v>
      </c>
      <c r="J662" s="120">
        <f>WORKDAY(I662, 3)</f>
        <v>45691</v>
      </c>
      <c r="K662" s="120"/>
      <c r="L662" s="120"/>
      <c r="M662" s="120"/>
      <c r="N662" s="120"/>
      <c r="O662" s="119" t="s">
        <v>929</v>
      </c>
      <c r="P662" s="120"/>
      <c r="Q662" s="135"/>
      <c r="R662" s="29" t="s">
        <v>353</v>
      </c>
      <c r="S662" s="123"/>
    </row>
    <row r="663" spans="1:19" hidden="1">
      <c r="A663" s="29" t="s">
        <v>335</v>
      </c>
      <c r="B663" s="29"/>
      <c r="C663" s="29">
        <v>30508205</v>
      </c>
      <c r="D663" s="29"/>
      <c r="F663" s="29"/>
      <c r="G663" s="29" t="s">
        <v>823</v>
      </c>
      <c r="H663" s="29" t="s">
        <v>315</v>
      </c>
      <c r="I663" s="120">
        <v>45686</v>
      </c>
      <c r="J663" s="120">
        <f>WORKDAY(I663, 3)</f>
        <v>45691</v>
      </c>
      <c r="K663" s="120"/>
      <c r="L663" s="120"/>
      <c r="M663" s="120"/>
      <c r="N663" s="120"/>
      <c r="O663" s="119" t="s">
        <v>929</v>
      </c>
      <c r="P663" s="120"/>
      <c r="Q663" s="135"/>
      <c r="R663" s="29" t="s">
        <v>354</v>
      </c>
      <c r="S663" s="123"/>
    </row>
    <row r="664" spans="1:19" hidden="1">
      <c r="A664" s="29" t="s">
        <v>335</v>
      </c>
      <c r="B664" s="29"/>
      <c r="C664" s="29">
        <v>30508203</v>
      </c>
      <c r="D664" s="29"/>
      <c r="F664" s="29"/>
      <c r="G664" s="29" t="s">
        <v>823</v>
      </c>
      <c r="H664" s="29" t="s">
        <v>315</v>
      </c>
      <c r="I664" s="120">
        <v>45686</v>
      </c>
      <c r="J664" s="120">
        <f>WORKDAY(I664, 3)</f>
        <v>45691</v>
      </c>
      <c r="K664" s="120"/>
      <c r="L664" s="120"/>
      <c r="M664" s="120"/>
      <c r="N664" s="120"/>
      <c r="O664" s="119" t="s">
        <v>929</v>
      </c>
      <c r="P664" s="120"/>
      <c r="Q664" s="135"/>
      <c r="R664" s="29" t="s">
        <v>355</v>
      </c>
      <c r="S664" s="123"/>
    </row>
    <row r="665" spans="1:19" hidden="1">
      <c r="A665" s="29" t="s">
        <v>335</v>
      </c>
      <c r="B665" s="29"/>
      <c r="C665" s="29">
        <v>30508196</v>
      </c>
      <c r="D665" s="29"/>
      <c r="F665" s="29"/>
      <c r="G665" s="29" t="s">
        <v>823</v>
      </c>
      <c r="H665" s="29" t="s">
        <v>315</v>
      </c>
      <c r="I665" s="120">
        <v>45686</v>
      </c>
      <c r="J665" s="120">
        <f>WORKDAY(I665, 3)</f>
        <v>45691</v>
      </c>
      <c r="K665" s="120"/>
      <c r="L665" s="120"/>
      <c r="M665" s="120"/>
      <c r="N665" s="120"/>
      <c r="O665" s="119" t="s">
        <v>929</v>
      </c>
      <c r="P665" s="120"/>
      <c r="Q665" s="135"/>
      <c r="R665" s="29" t="s">
        <v>356</v>
      </c>
      <c r="S665" s="123"/>
    </row>
    <row r="666" spans="1:19" hidden="1">
      <c r="A666" s="29" t="s">
        <v>335</v>
      </c>
      <c r="B666" s="29"/>
      <c r="C666" s="29">
        <v>30508192</v>
      </c>
      <c r="D666" s="29"/>
      <c r="F666" s="29"/>
      <c r="G666" s="29" t="s">
        <v>823</v>
      </c>
      <c r="H666" s="29" t="s">
        <v>315</v>
      </c>
      <c r="I666" s="120">
        <v>45686</v>
      </c>
      <c r="J666" s="120">
        <f>WORKDAY(I666, 3)</f>
        <v>45691</v>
      </c>
      <c r="K666" s="120"/>
      <c r="L666" s="120"/>
      <c r="M666" s="120"/>
      <c r="N666" s="120"/>
      <c r="O666" s="119" t="s">
        <v>929</v>
      </c>
      <c r="P666" s="120"/>
      <c r="Q666" s="135"/>
      <c r="R666" s="29" t="s">
        <v>356</v>
      </c>
      <c r="S666" s="123"/>
    </row>
    <row r="667" spans="1:19" hidden="1">
      <c r="A667" s="29" t="s">
        <v>312</v>
      </c>
      <c r="B667" s="29"/>
      <c r="C667" s="29">
        <v>30503694</v>
      </c>
      <c r="D667" s="29"/>
      <c r="F667" s="29"/>
      <c r="G667" s="29" t="s">
        <v>823</v>
      </c>
      <c r="H667" s="29" t="s">
        <v>316</v>
      </c>
      <c r="I667" s="120">
        <v>45686</v>
      </c>
      <c r="J667" s="120">
        <f>WORKDAY(I667, 3)</f>
        <v>45691</v>
      </c>
      <c r="K667" s="120"/>
      <c r="L667" s="120"/>
      <c r="M667" s="120"/>
      <c r="N667" s="120"/>
      <c r="O667" s="119" t="s">
        <v>929</v>
      </c>
      <c r="P667" s="120"/>
      <c r="Q667" s="135"/>
      <c r="R667" s="29" t="s">
        <v>361</v>
      </c>
      <c r="S667" s="123"/>
    </row>
    <row r="668" spans="1:19" hidden="1">
      <c r="A668" s="29" t="s">
        <v>312</v>
      </c>
      <c r="B668" s="29"/>
      <c r="C668" s="29">
        <v>30503155</v>
      </c>
      <c r="D668" s="29"/>
      <c r="F668" s="29"/>
      <c r="G668" s="29" t="s">
        <v>823</v>
      </c>
      <c r="H668" s="29" t="s">
        <v>316</v>
      </c>
      <c r="I668" s="120">
        <v>45686</v>
      </c>
      <c r="J668" s="120">
        <f>WORKDAY(I668, 3)</f>
        <v>45691</v>
      </c>
      <c r="K668" s="120"/>
      <c r="L668" s="120"/>
      <c r="M668" s="120"/>
      <c r="N668" s="120"/>
      <c r="O668" s="119" t="s">
        <v>929</v>
      </c>
      <c r="P668" s="120"/>
      <c r="Q668" s="135"/>
      <c r="R668" s="29" t="s">
        <v>362</v>
      </c>
      <c r="S668" s="123"/>
    </row>
    <row r="669" spans="1:19" hidden="1">
      <c r="A669" s="29" t="s">
        <v>312</v>
      </c>
      <c r="B669" s="29"/>
      <c r="C669" s="29">
        <v>30502388</v>
      </c>
      <c r="D669" s="29"/>
      <c r="F669" s="29"/>
      <c r="G669" s="29" t="s">
        <v>823</v>
      </c>
      <c r="H669" s="29" t="s">
        <v>316</v>
      </c>
      <c r="I669" s="120">
        <v>45686</v>
      </c>
      <c r="J669" s="120">
        <f>WORKDAY(I669, 3)</f>
        <v>45691</v>
      </c>
      <c r="K669" s="120"/>
      <c r="L669" s="120"/>
      <c r="M669" s="120"/>
      <c r="N669" s="120"/>
      <c r="O669" s="119" t="s">
        <v>929</v>
      </c>
      <c r="P669" s="120"/>
      <c r="Q669" s="135"/>
      <c r="R669" s="29" t="s">
        <v>363</v>
      </c>
      <c r="S669" s="123"/>
    </row>
    <row r="670" spans="1:19" hidden="1">
      <c r="A670" s="29" t="s">
        <v>312</v>
      </c>
      <c r="B670" s="29"/>
      <c r="C670" s="29">
        <v>30502328</v>
      </c>
      <c r="D670" s="29"/>
      <c r="F670" s="29"/>
      <c r="G670" s="29" t="s">
        <v>823</v>
      </c>
      <c r="H670" s="29" t="s">
        <v>316</v>
      </c>
      <c r="I670" s="120">
        <v>45686</v>
      </c>
      <c r="J670" s="120">
        <f>WORKDAY(I670, 3)</f>
        <v>45691</v>
      </c>
      <c r="K670" s="120"/>
      <c r="L670" s="120"/>
      <c r="M670" s="120"/>
      <c r="N670" s="120"/>
      <c r="O670" s="119" t="s">
        <v>929</v>
      </c>
      <c r="P670" s="120"/>
      <c r="Q670" s="135"/>
      <c r="R670" s="29" t="s">
        <v>364</v>
      </c>
      <c r="S670" s="123"/>
    </row>
    <row r="671" spans="1:19" hidden="1">
      <c r="A671" s="29" t="s">
        <v>312</v>
      </c>
      <c r="B671" s="29"/>
      <c r="C671" s="29">
        <v>30502052</v>
      </c>
      <c r="D671" s="29"/>
      <c r="F671" s="29"/>
      <c r="G671" s="29" t="s">
        <v>823</v>
      </c>
      <c r="H671" s="29" t="s">
        <v>316</v>
      </c>
      <c r="I671" s="120">
        <v>45686</v>
      </c>
      <c r="J671" s="120">
        <f>WORKDAY(I671, 3)</f>
        <v>45691</v>
      </c>
      <c r="K671" s="120"/>
      <c r="L671" s="120"/>
      <c r="M671" s="120"/>
      <c r="N671" s="120"/>
      <c r="O671" s="119" t="s">
        <v>929</v>
      </c>
      <c r="P671" s="120"/>
      <c r="Q671" s="135"/>
      <c r="R671" s="29" t="s">
        <v>365</v>
      </c>
      <c r="S671" s="123"/>
    </row>
    <row r="672" spans="1:19" hidden="1">
      <c r="A672" s="147" t="s">
        <v>335</v>
      </c>
      <c r="B672" s="147"/>
      <c r="C672" s="29">
        <v>31500021</v>
      </c>
      <c r="D672" s="29"/>
      <c r="F672" s="29"/>
      <c r="G672" s="29" t="s">
        <v>823</v>
      </c>
      <c r="H672" s="29" t="s">
        <v>315</v>
      </c>
      <c r="I672" s="120">
        <v>45688</v>
      </c>
      <c r="J672" s="120">
        <f>WORKDAY(I672, 3)</f>
        <v>45693</v>
      </c>
      <c r="K672" s="120"/>
      <c r="L672" s="120"/>
      <c r="M672" s="120"/>
      <c r="N672" s="120">
        <v>45703</v>
      </c>
      <c r="O672" s="119" t="s">
        <v>10</v>
      </c>
      <c r="P672" s="152"/>
      <c r="Q672" s="153"/>
      <c r="R672" s="29"/>
      <c r="S672" s="123"/>
    </row>
    <row r="673" spans="1:19" hidden="1">
      <c r="A673" s="147" t="s">
        <v>335</v>
      </c>
      <c r="B673" s="147"/>
      <c r="C673" s="29">
        <v>31500022</v>
      </c>
      <c r="D673" s="29"/>
      <c r="F673" s="29"/>
      <c r="G673" s="29" t="s">
        <v>823</v>
      </c>
      <c r="H673" s="29" t="s">
        <v>315</v>
      </c>
      <c r="I673" s="120">
        <v>45688</v>
      </c>
      <c r="J673" s="120">
        <f>WORKDAY(I673, 3)</f>
        <v>45693</v>
      </c>
      <c r="K673" s="120"/>
      <c r="L673" s="120"/>
      <c r="M673" s="120"/>
      <c r="N673" s="120">
        <v>45692</v>
      </c>
      <c r="O673" s="119" t="s">
        <v>10</v>
      </c>
      <c r="P673" s="152"/>
      <c r="Q673" s="153"/>
      <c r="R673" s="29"/>
      <c r="S673" s="123"/>
    </row>
    <row r="674" spans="1:19" hidden="1">
      <c r="A674" s="147" t="s">
        <v>335</v>
      </c>
      <c r="B674" s="147"/>
      <c r="C674" s="29">
        <v>31500023</v>
      </c>
      <c r="D674" s="29"/>
      <c r="F674" s="29"/>
      <c r="G674" s="29" t="s">
        <v>823</v>
      </c>
      <c r="H674" s="29" t="s">
        <v>315</v>
      </c>
      <c r="I674" s="120">
        <v>45688</v>
      </c>
      <c r="J674" s="120">
        <f>WORKDAY(I674, 3)</f>
        <v>45693</v>
      </c>
      <c r="K674" s="120"/>
      <c r="L674" s="120"/>
      <c r="M674" s="120"/>
      <c r="N674" s="120">
        <v>45692</v>
      </c>
      <c r="O674" s="119" t="s">
        <v>10</v>
      </c>
      <c r="P674" s="152"/>
      <c r="Q674" s="153"/>
      <c r="R674" s="29"/>
      <c r="S674" s="123"/>
    </row>
    <row r="675" spans="1:19" hidden="1">
      <c r="A675" s="147" t="s">
        <v>335</v>
      </c>
      <c r="B675" s="147"/>
      <c r="C675" s="29">
        <v>31500025</v>
      </c>
      <c r="D675" s="29"/>
      <c r="F675" s="29"/>
      <c r="G675" s="29" t="s">
        <v>823</v>
      </c>
      <c r="H675" s="29" t="s">
        <v>315</v>
      </c>
      <c r="I675" s="120">
        <v>45688</v>
      </c>
      <c r="J675" s="120">
        <f>WORKDAY(I675, 3)</f>
        <v>45693</v>
      </c>
      <c r="K675" s="120"/>
      <c r="L675" s="120"/>
      <c r="M675" s="120"/>
      <c r="N675" s="120">
        <v>45696</v>
      </c>
      <c r="O675" s="119" t="s">
        <v>10</v>
      </c>
      <c r="P675" s="152"/>
      <c r="Q675" s="153"/>
      <c r="R675" s="29"/>
      <c r="S675" s="123"/>
    </row>
    <row r="676" spans="1:19" hidden="1">
      <c r="A676" s="147" t="s">
        <v>335</v>
      </c>
      <c r="B676" s="147"/>
      <c r="C676" s="29">
        <v>31500028</v>
      </c>
      <c r="D676" s="29"/>
      <c r="F676" s="29"/>
      <c r="G676" s="29" t="s">
        <v>823</v>
      </c>
      <c r="H676" s="29" t="s">
        <v>315</v>
      </c>
      <c r="I676" s="120">
        <v>45688</v>
      </c>
      <c r="J676" s="120">
        <f>WORKDAY(I676, 3)</f>
        <v>45693</v>
      </c>
      <c r="K676" s="120"/>
      <c r="L676" s="120"/>
      <c r="M676" s="120"/>
      <c r="N676" s="120">
        <v>45696</v>
      </c>
      <c r="O676" s="119" t="s">
        <v>10</v>
      </c>
      <c r="P676" s="152"/>
      <c r="Q676" s="153"/>
      <c r="R676" s="29"/>
      <c r="S676" s="123"/>
    </row>
    <row r="677" spans="1:19" hidden="1">
      <c r="A677" s="147" t="s">
        <v>335</v>
      </c>
      <c r="B677" s="147"/>
      <c r="C677" s="29">
        <v>31500031</v>
      </c>
      <c r="D677" s="29"/>
      <c r="F677" s="29"/>
      <c r="G677" s="29" t="s">
        <v>823</v>
      </c>
      <c r="H677" s="29" t="s">
        <v>315</v>
      </c>
      <c r="I677" s="120">
        <v>45688</v>
      </c>
      <c r="J677" s="120">
        <f>WORKDAY(I677, 3)</f>
        <v>45693</v>
      </c>
      <c r="K677" s="120"/>
      <c r="L677" s="120"/>
      <c r="M677" s="120"/>
      <c r="N677" s="120">
        <v>45696</v>
      </c>
      <c r="O677" s="119" t="s">
        <v>10</v>
      </c>
      <c r="P677" s="152"/>
      <c r="Q677" s="153"/>
      <c r="R677" s="29"/>
      <c r="S677" s="123"/>
    </row>
    <row r="678" spans="1:19" hidden="1">
      <c r="A678" s="147" t="s">
        <v>335</v>
      </c>
      <c r="B678" s="147"/>
      <c r="C678" s="29">
        <v>31500033</v>
      </c>
      <c r="D678" s="29"/>
      <c r="F678" s="29"/>
      <c r="G678" s="29" t="s">
        <v>823</v>
      </c>
      <c r="H678" s="29" t="s">
        <v>315</v>
      </c>
      <c r="I678" s="120">
        <v>45688</v>
      </c>
      <c r="J678" s="120">
        <f>WORKDAY(I678, 3)</f>
        <v>45693</v>
      </c>
      <c r="K678" s="120"/>
      <c r="L678" s="120"/>
      <c r="M678" s="120"/>
      <c r="N678" s="120">
        <v>45696</v>
      </c>
      <c r="O678" s="119" t="s">
        <v>10</v>
      </c>
      <c r="P678" s="152"/>
      <c r="Q678" s="153"/>
      <c r="R678" s="29"/>
      <c r="S678" s="123"/>
    </row>
    <row r="679" spans="1:19" hidden="1">
      <c r="A679" s="147" t="s">
        <v>335</v>
      </c>
      <c r="B679" s="147"/>
      <c r="C679" s="29">
        <v>31500035</v>
      </c>
      <c r="D679" s="29"/>
      <c r="F679" s="29"/>
      <c r="G679" s="29" t="s">
        <v>823</v>
      </c>
      <c r="H679" s="29" t="s">
        <v>315</v>
      </c>
      <c r="I679" s="120">
        <v>45688</v>
      </c>
      <c r="J679" s="120">
        <f>WORKDAY(I679, 3)</f>
        <v>45693</v>
      </c>
      <c r="K679" s="120"/>
      <c r="L679" s="120"/>
      <c r="M679" s="120"/>
      <c r="N679" s="120">
        <v>45698</v>
      </c>
      <c r="O679" s="119" t="s">
        <v>10</v>
      </c>
      <c r="P679" s="152"/>
      <c r="Q679" s="153"/>
      <c r="R679" s="29"/>
      <c r="S679" s="123"/>
    </row>
    <row r="680" spans="1:19" hidden="1">
      <c r="A680" s="147" t="s">
        <v>335</v>
      </c>
      <c r="B680" s="147"/>
      <c r="C680" s="29">
        <v>31500036</v>
      </c>
      <c r="D680" s="29"/>
      <c r="F680" s="29"/>
      <c r="G680" s="29" t="s">
        <v>823</v>
      </c>
      <c r="H680" s="29" t="s">
        <v>315</v>
      </c>
      <c r="I680" s="120">
        <v>45688</v>
      </c>
      <c r="J680" s="120">
        <f>WORKDAY(I680, 3)</f>
        <v>45693</v>
      </c>
      <c r="K680" s="120"/>
      <c r="L680" s="120"/>
      <c r="M680" s="120"/>
      <c r="N680" s="120">
        <v>45699</v>
      </c>
      <c r="O680" s="119" t="s">
        <v>10</v>
      </c>
      <c r="P680" s="152"/>
      <c r="Q680" s="153"/>
      <c r="R680" s="29"/>
      <c r="S680" s="123"/>
    </row>
    <row r="681" spans="1:19" hidden="1">
      <c r="A681" s="147" t="s">
        <v>335</v>
      </c>
      <c r="B681" s="147"/>
      <c r="C681" s="29">
        <v>31500037</v>
      </c>
      <c r="D681" s="29"/>
      <c r="F681" s="29"/>
      <c r="G681" s="29" t="s">
        <v>823</v>
      </c>
      <c r="H681" s="29" t="s">
        <v>315</v>
      </c>
      <c r="I681" s="120">
        <v>45688</v>
      </c>
      <c r="J681" s="120">
        <f>WORKDAY(I681, 3)</f>
        <v>45693</v>
      </c>
      <c r="K681" s="120"/>
      <c r="L681" s="120"/>
      <c r="M681" s="120"/>
      <c r="N681" s="120">
        <v>45703</v>
      </c>
      <c r="O681" s="119" t="s">
        <v>10</v>
      </c>
      <c r="P681" s="152"/>
      <c r="Q681" s="153"/>
      <c r="R681" s="29"/>
      <c r="S681" s="123"/>
    </row>
    <row r="682" spans="1:19" hidden="1">
      <c r="A682" s="147" t="s">
        <v>335</v>
      </c>
      <c r="B682" s="147"/>
      <c r="C682" s="29">
        <v>31500038</v>
      </c>
      <c r="D682" s="29"/>
      <c r="F682" s="29"/>
      <c r="G682" s="29" t="s">
        <v>823</v>
      </c>
      <c r="H682" s="29" t="s">
        <v>315</v>
      </c>
      <c r="I682" s="120">
        <v>45688</v>
      </c>
      <c r="J682" s="120">
        <f>WORKDAY(I682, 3)</f>
        <v>45693</v>
      </c>
      <c r="K682" s="120"/>
      <c r="L682" s="120"/>
      <c r="M682" s="120"/>
      <c r="N682" s="120">
        <v>45703</v>
      </c>
      <c r="O682" s="119" t="s">
        <v>10</v>
      </c>
      <c r="P682" s="152"/>
      <c r="Q682" s="153"/>
      <c r="R682" s="29"/>
      <c r="S682" s="123"/>
    </row>
    <row r="683" spans="1:19" hidden="1">
      <c r="A683" s="147" t="s">
        <v>335</v>
      </c>
      <c r="B683" s="147"/>
      <c r="C683" s="29">
        <v>31500039</v>
      </c>
      <c r="D683" s="29"/>
      <c r="F683" s="29"/>
      <c r="G683" s="29" t="s">
        <v>823</v>
      </c>
      <c r="H683" s="29" t="s">
        <v>315</v>
      </c>
      <c r="I683" s="120">
        <v>45688</v>
      </c>
      <c r="J683" s="120">
        <f>WORKDAY(I683, 3)</f>
        <v>45693</v>
      </c>
      <c r="K683" s="120"/>
      <c r="L683" s="120"/>
      <c r="M683" s="120"/>
      <c r="N683" s="120">
        <v>45698</v>
      </c>
      <c r="O683" s="119" t="s">
        <v>10</v>
      </c>
      <c r="P683" s="152"/>
      <c r="Q683" s="153"/>
      <c r="R683" s="29"/>
      <c r="S683" s="123"/>
    </row>
    <row r="684" spans="1:19" hidden="1">
      <c r="A684" s="147" t="s">
        <v>335</v>
      </c>
      <c r="B684" s="147"/>
      <c r="C684" s="29">
        <v>31500040</v>
      </c>
      <c r="D684" s="29"/>
      <c r="F684" s="29"/>
      <c r="G684" s="29" t="s">
        <v>823</v>
      </c>
      <c r="H684" s="29" t="s">
        <v>315</v>
      </c>
      <c r="I684" s="120">
        <v>45688</v>
      </c>
      <c r="J684" s="120">
        <f>WORKDAY(I684, 3)</f>
        <v>45693</v>
      </c>
      <c r="K684" s="120"/>
      <c r="L684" s="120"/>
      <c r="M684" s="120"/>
      <c r="N684" s="120">
        <v>45698</v>
      </c>
      <c r="O684" s="119" t="s">
        <v>10</v>
      </c>
      <c r="P684" s="152"/>
      <c r="Q684" s="153"/>
      <c r="R684" s="29"/>
      <c r="S684" s="123"/>
    </row>
    <row r="685" spans="1:19" hidden="1">
      <c r="A685" s="147" t="s">
        <v>335</v>
      </c>
      <c r="B685" s="147"/>
      <c r="C685" s="29">
        <v>31500041</v>
      </c>
      <c r="D685" s="29"/>
      <c r="F685" s="29"/>
      <c r="G685" s="29" t="s">
        <v>823</v>
      </c>
      <c r="H685" s="29" t="s">
        <v>315</v>
      </c>
      <c r="I685" s="120">
        <v>45688</v>
      </c>
      <c r="J685" s="120">
        <f>WORKDAY(I685, 3)</f>
        <v>45693</v>
      </c>
      <c r="K685" s="120"/>
      <c r="L685" s="120"/>
      <c r="M685" s="120"/>
      <c r="N685" s="120">
        <v>45703</v>
      </c>
      <c r="O685" s="119" t="s">
        <v>10</v>
      </c>
      <c r="P685" s="152"/>
      <c r="Q685" s="153"/>
      <c r="R685" s="29"/>
      <c r="S685" s="123"/>
    </row>
    <row r="686" spans="1:19" hidden="1">
      <c r="A686" s="147" t="s">
        <v>335</v>
      </c>
      <c r="B686" s="147"/>
      <c r="C686" s="29">
        <v>31500042</v>
      </c>
      <c r="D686" s="29"/>
      <c r="F686" s="29"/>
      <c r="G686" s="29" t="s">
        <v>823</v>
      </c>
      <c r="H686" s="29" t="s">
        <v>315</v>
      </c>
      <c r="I686" s="120">
        <v>45688</v>
      </c>
      <c r="J686" s="120">
        <f>WORKDAY(I686, 3)</f>
        <v>45693</v>
      </c>
      <c r="K686" s="120"/>
      <c r="L686" s="120"/>
      <c r="M686" s="120"/>
      <c r="N686" s="120">
        <v>45703</v>
      </c>
      <c r="O686" s="119" t="s">
        <v>10</v>
      </c>
      <c r="P686" s="152"/>
      <c r="Q686" s="153"/>
      <c r="R686" s="29"/>
      <c r="S686" s="123"/>
    </row>
    <row r="687" spans="1:19" hidden="1">
      <c r="A687" s="147" t="s">
        <v>335</v>
      </c>
      <c r="B687" s="147"/>
      <c r="C687" s="29">
        <v>31500043</v>
      </c>
      <c r="D687" s="29"/>
      <c r="F687" s="29"/>
      <c r="G687" s="29" t="s">
        <v>823</v>
      </c>
      <c r="H687" s="29" t="s">
        <v>315</v>
      </c>
      <c r="I687" s="120">
        <v>45688</v>
      </c>
      <c r="J687" s="120">
        <f>WORKDAY(I687, 3)</f>
        <v>45693</v>
      </c>
      <c r="K687" s="120"/>
      <c r="L687" s="120"/>
      <c r="M687" s="120"/>
      <c r="N687" s="120">
        <v>45703</v>
      </c>
      <c r="O687" s="119" t="s">
        <v>10</v>
      </c>
      <c r="P687" s="152"/>
      <c r="Q687" s="153"/>
      <c r="R687" s="29"/>
      <c r="S687" s="123"/>
    </row>
    <row r="688" spans="1:19" hidden="1">
      <c r="A688" s="147" t="s">
        <v>335</v>
      </c>
      <c r="B688" s="147"/>
      <c r="C688" s="29">
        <v>31500044</v>
      </c>
      <c r="D688" s="29"/>
      <c r="F688" s="29"/>
      <c r="G688" s="29" t="s">
        <v>823</v>
      </c>
      <c r="H688" s="29" t="s">
        <v>315</v>
      </c>
      <c r="I688" s="120">
        <v>45688</v>
      </c>
      <c r="J688" s="120">
        <f>WORKDAY(I688, 3)</f>
        <v>45693</v>
      </c>
      <c r="K688" s="120"/>
      <c r="L688" s="120"/>
      <c r="M688" s="120"/>
      <c r="N688" s="120">
        <v>45699</v>
      </c>
      <c r="O688" s="119" t="s">
        <v>10</v>
      </c>
      <c r="P688" s="152"/>
      <c r="Q688" s="153"/>
      <c r="R688" s="29"/>
      <c r="S688" s="123"/>
    </row>
    <row r="689" spans="1:19" hidden="1">
      <c r="A689" s="147" t="s">
        <v>335</v>
      </c>
      <c r="B689" s="147"/>
      <c r="C689" s="29">
        <v>31500045</v>
      </c>
      <c r="D689" s="29"/>
      <c r="F689" s="29"/>
      <c r="G689" s="29" t="s">
        <v>823</v>
      </c>
      <c r="H689" s="29" t="s">
        <v>315</v>
      </c>
      <c r="I689" s="120">
        <v>45688</v>
      </c>
      <c r="J689" s="120">
        <f>WORKDAY(I689, 3)</f>
        <v>45693</v>
      </c>
      <c r="K689" s="120"/>
      <c r="L689" s="120"/>
      <c r="M689" s="120"/>
      <c r="N689" s="120">
        <v>45699</v>
      </c>
      <c r="O689" s="119" t="s">
        <v>10</v>
      </c>
      <c r="P689" s="152"/>
      <c r="Q689" s="153"/>
      <c r="R689" s="29"/>
      <c r="S689" s="123"/>
    </row>
    <row r="690" spans="1:19" hidden="1">
      <c r="A690" s="147" t="s">
        <v>335</v>
      </c>
      <c r="B690" s="147"/>
      <c r="C690" s="29">
        <v>31500046</v>
      </c>
      <c r="D690" s="29"/>
      <c r="F690" s="29"/>
      <c r="G690" s="29" t="s">
        <v>823</v>
      </c>
      <c r="H690" s="29" t="s">
        <v>315</v>
      </c>
      <c r="I690" s="120">
        <v>45688</v>
      </c>
      <c r="J690" s="120">
        <f>WORKDAY(I690, 3)</f>
        <v>45693</v>
      </c>
      <c r="K690" s="120"/>
      <c r="L690" s="120"/>
      <c r="M690" s="120"/>
      <c r="N690" s="120">
        <v>45698</v>
      </c>
      <c r="O690" s="119" t="s">
        <v>10</v>
      </c>
      <c r="P690" s="152"/>
      <c r="Q690" s="153"/>
      <c r="R690" s="29"/>
      <c r="S690" s="123"/>
    </row>
    <row r="691" spans="1:19" hidden="1">
      <c r="A691" s="147" t="s">
        <v>335</v>
      </c>
      <c r="B691" s="147"/>
      <c r="C691" s="29">
        <v>31500047</v>
      </c>
      <c r="D691" s="29"/>
      <c r="F691" s="29"/>
      <c r="G691" s="29" t="s">
        <v>823</v>
      </c>
      <c r="H691" s="29" t="s">
        <v>315</v>
      </c>
      <c r="I691" s="120">
        <v>45688</v>
      </c>
      <c r="J691" s="120">
        <f>WORKDAY(I691, 3)</f>
        <v>45693</v>
      </c>
      <c r="K691" s="120"/>
      <c r="L691" s="120"/>
      <c r="M691" s="120"/>
      <c r="N691" s="120">
        <v>45699</v>
      </c>
      <c r="O691" s="119" t="s">
        <v>10</v>
      </c>
      <c r="P691" s="152"/>
      <c r="Q691" s="153"/>
      <c r="R691" s="29"/>
      <c r="S691" s="123"/>
    </row>
    <row r="692" spans="1:19" hidden="1">
      <c r="A692" s="147" t="s">
        <v>335</v>
      </c>
      <c r="B692" s="147"/>
      <c r="C692" s="29">
        <v>31500048</v>
      </c>
      <c r="D692" s="29"/>
      <c r="F692" s="29"/>
      <c r="G692" s="29" t="s">
        <v>823</v>
      </c>
      <c r="H692" s="29" t="s">
        <v>315</v>
      </c>
      <c r="I692" s="120">
        <v>45688</v>
      </c>
      <c r="J692" s="120">
        <f>WORKDAY(I692, 3)</f>
        <v>45693</v>
      </c>
      <c r="K692" s="120"/>
      <c r="L692" s="120"/>
      <c r="M692" s="120"/>
      <c r="N692" s="120">
        <v>45694</v>
      </c>
      <c r="O692" s="119" t="s">
        <v>10</v>
      </c>
      <c r="P692" s="152"/>
      <c r="Q692" s="153"/>
      <c r="R692" s="29"/>
      <c r="S692" s="123"/>
    </row>
    <row r="693" spans="1:19" hidden="1">
      <c r="A693" s="147" t="s">
        <v>335</v>
      </c>
      <c r="B693" s="147"/>
      <c r="C693" s="29">
        <v>31500049</v>
      </c>
      <c r="D693" s="29"/>
      <c r="F693" s="29"/>
      <c r="G693" s="29" t="s">
        <v>823</v>
      </c>
      <c r="H693" s="29" t="s">
        <v>315</v>
      </c>
      <c r="I693" s="120">
        <v>45688</v>
      </c>
      <c r="J693" s="120">
        <f>WORKDAY(I693, 3)</f>
        <v>45693</v>
      </c>
      <c r="K693" s="120"/>
      <c r="L693" s="120"/>
      <c r="M693" s="120"/>
      <c r="N693" s="120">
        <v>45698</v>
      </c>
      <c r="O693" s="119" t="s">
        <v>10</v>
      </c>
      <c r="P693" s="152"/>
      <c r="Q693" s="153"/>
      <c r="R693" s="29"/>
      <c r="S693" s="123"/>
    </row>
    <row r="694" spans="1:19" hidden="1">
      <c r="A694" s="147" t="s">
        <v>335</v>
      </c>
      <c r="B694" s="147"/>
      <c r="C694" s="29">
        <v>31500051</v>
      </c>
      <c r="D694" s="29"/>
      <c r="F694" s="29"/>
      <c r="G694" s="29" t="s">
        <v>823</v>
      </c>
      <c r="H694" s="29" t="s">
        <v>315</v>
      </c>
      <c r="I694" s="120">
        <v>45688</v>
      </c>
      <c r="J694" s="120">
        <f>WORKDAY(I694, 3)</f>
        <v>45693</v>
      </c>
      <c r="K694" s="120"/>
      <c r="L694" s="120"/>
      <c r="M694" s="120"/>
      <c r="N694" s="120">
        <v>45694</v>
      </c>
      <c r="O694" s="119" t="s">
        <v>10</v>
      </c>
      <c r="P694" s="152"/>
      <c r="Q694" s="153"/>
      <c r="R694" s="29"/>
      <c r="S694" s="123"/>
    </row>
    <row r="695" spans="1:19" hidden="1">
      <c r="A695" s="147" t="s">
        <v>335</v>
      </c>
      <c r="B695" s="147"/>
      <c r="C695" s="29">
        <v>31500052</v>
      </c>
      <c r="D695" s="29"/>
      <c r="F695" s="29"/>
      <c r="G695" s="29" t="s">
        <v>823</v>
      </c>
      <c r="H695" s="29" t="s">
        <v>315</v>
      </c>
      <c r="I695" s="120">
        <v>45688</v>
      </c>
      <c r="J695" s="120">
        <f>WORKDAY(I695, 3)</f>
        <v>45693</v>
      </c>
      <c r="K695" s="120"/>
      <c r="L695" s="120"/>
      <c r="M695" s="120"/>
      <c r="N695" s="120">
        <v>45694</v>
      </c>
      <c r="O695" s="119" t="s">
        <v>10</v>
      </c>
      <c r="P695" s="152"/>
      <c r="Q695" s="153"/>
      <c r="R695" s="29"/>
      <c r="S695" s="123"/>
    </row>
    <row r="696" spans="1:19" hidden="1">
      <c r="A696" s="147" t="s">
        <v>335</v>
      </c>
      <c r="B696" s="147"/>
      <c r="C696" s="29">
        <v>31500053</v>
      </c>
      <c r="D696" s="29"/>
      <c r="F696" s="29"/>
      <c r="G696" s="29" t="s">
        <v>823</v>
      </c>
      <c r="H696" s="29" t="s">
        <v>315</v>
      </c>
      <c r="I696" s="120">
        <v>45688</v>
      </c>
      <c r="J696" s="120">
        <f>WORKDAY(I696, 3)</f>
        <v>45693</v>
      </c>
      <c r="K696" s="120"/>
      <c r="L696" s="120"/>
      <c r="M696" s="120"/>
      <c r="N696" s="120">
        <v>45694</v>
      </c>
      <c r="O696" s="119" t="s">
        <v>10</v>
      </c>
      <c r="P696" s="152"/>
      <c r="Q696" s="153"/>
      <c r="R696" s="29"/>
      <c r="S696" s="123"/>
    </row>
    <row r="697" spans="1:19" hidden="1">
      <c r="A697" s="147" t="s">
        <v>335</v>
      </c>
      <c r="B697" s="147"/>
      <c r="C697" s="29">
        <v>31500054</v>
      </c>
      <c r="D697" s="29"/>
      <c r="F697" s="29"/>
      <c r="G697" s="29" t="s">
        <v>823</v>
      </c>
      <c r="H697" s="29" t="s">
        <v>315</v>
      </c>
      <c r="I697" s="120">
        <v>45688</v>
      </c>
      <c r="J697" s="120">
        <f>WORKDAY(I697, 3)</f>
        <v>45693</v>
      </c>
      <c r="K697" s="120"/>
      <c r="L697" s="120"/>
      <c r="M697" s="120"/>
      <c r="N697" s="120">
        <v>45699</v>
      </c>
      <c r="O697" s="119" t="s">
        <v>10</v>
      </c>
      <c r="P697" s="152"/>
      <c r="Q697" s="153"/>
      <c r="R697" s="29"/>
      <c r="S697" s="123"/>
    </row>
    <row r="698" spans="1:19" hidden="1">
      <c r="A698" s="147" t="s">
        <v>335</v>
      </c>
      <c r="B698" s="147"/>
      <c r="C698" s="29">
        <v>31500055</v>
      </c>
      <c r="D698" s="29"/>
      <c r="F698" s="29"/>
      <c r="G698" s="29" t="s">
        <v>823</v>
      </c>
      <c r="H698" s="29" t="s">
        <v>315</v>
      </c>
      <c r="I698" s="120">
        <v>45688</v>
      </c>
      <c r="J698" s="120">
        <f>WORKDAY(I698, 3)</f>
        <v>45693</v>
      </c>
      <c r="K698" s="120"/>
      <c r="L698" s="120"/>
      <c r="M698" s="120"/>
      <c r="N698" s="120">
        <v>45699</v>
      </c>
      <c r="O698" s="119" t="s">
        <v>10</v>
      </c>
      <c r="P698" s="152"/>
      <c r="Q698" s="153"/>
      <c r="R698" s="29"/>
      <c r="S698" s="123"/>
    </row>
    <row r="699" spans="1:19" hidden="1">
      <c r="A699" s="29" t="s">
        <v>335</v>
      </c>
      <c r="B699" s="29"/>
      <c r="C699" s="29">
        <v>31500054</v>
      </c>
      <c r="D699" s="29"/>
      <c r="F699" s="29"/>
      <c r="G699" s="29" t="s">
        <v>823</v>
      </c>
      <c r="H699" s="29" t="s">
        <v>315</v>
      </c>
      <c r="I699" s="120">
        <v>45688</v>
      </c>
      <c r="J699" s="120">
        <f>WORKDAY(I699, 3)</f>
        <v>45693</v>
      </c>
      <c r="K699" s="120"/>
      <c r="L699" s="120"/>
      <c r="M699" s="120"/>
      <c r="N699" s="120">
        <v>45699</v>
      </c>
      <c r="O699" s="119" t="s">
        <v>10</v>
      </c>
      <c r="P699" s="152"/>
      <c r="Q699" s="153"/>
      <c r="R699" s="29" t="s">
        <v>338</v>
      </c>
      <c r="S699" s="123"/>
    </row>
    <row r="700" spans="1:19" hidden="1">
      <c r="A700" s="29" t="s">
        <v>335</v>
      </c>
      <c r="B700" s="29"/>
      <c r="C700" s="29">
        <v>31500053</v>
      </c>
      <c r="D700" s="29"/>
      <c r="F700" s="29"/>
      <c r="G700" s="29" t="s">
        <v>823</v>
      </c>
      <c r="H700" s="29" t="s">
        <v>315</v>
      </c>
      <c r="I700" s="120">
        <v>45688</v>
      </c>
      <c r="J700" s="120">
        <f>WORKDAY(I700, 3)</f>
        <v>45693</v>
      </c>
      <c r="K700" s="120"/>
      <c r="L700" s="120"/>
      <c r="M700" s="120"/>
      <c r="N700" s="120">
        <v>45694</v>
      </c>
      <c r="O700" s="119" t="s">
        <v>10</v>
      </c>
      <c r="P700" s="152"/>
      <c r="Q700" s="153"/>
      <c r="R700" s="29" t="s">
        <v>337</v>
      </c>
      <c r="S700" s="123"/>
    </row>
    <row r="701" spans="1:19" hidden="1">
      <c r="A701" s="29" t="s">
        <v>335</v>
      </c>
      <c r="B701" s="29"/>
      <c r="C701" s="29">
        <v>31500052</v>
      </c>
      <c r="D701" s="29"/>
      <c r="F701" s="29"/>
      <c r="G701" s="29" t="s">
        <v>823</v>
      </c>
      <c r="H701" s="29" t="s">
        <v>315</v>
      </c>
      <c r="I701" s="120">
        <v>45688</v>
      </c>
      <c r="J701" s="120">
        <f>WORKDAY(I701, 3)</f>
        <v>45693</v>
      </c>
      <c r="K701" s="120"/>
      <c r="L701" s="120"/>
      <c r="M701" s="120"/>
      <c r="N701" s="120">
        <v>45694</v>
      </c>
      <c r="O701" s="119" t="s">
        <v>10</v>
      </c>
      <c r="P701" s="152"/>
      <c r="Q701" s="153"/>
      <c r="R701" s="29" t="s">
        <v>338</v>
      </c>
      <c r="S701" s="123"/>
    </row>
    <row r="702" spans="1:19" hidden="1">
      <c r="A702" s="29" t="s">
        <v>335</v>
      </c>
      <c r="B702" s="29"/>
      <c r="C702" s="29">
        <v>31500051</v>
      </c>
      <c r="D702" s="29"/>
      <c r="F702" s="29"/>
      <c r="G702" s="29" t="s">
        <v>823</v>
      </c>
      <c r="H702" s="29" t="s">
        <v>315</v>
      </c>
      <c r="I702" s="120">
        <v>45688</v>
      </c>
      <c r="J702" s="120">
        <f>WORKDAY(I702, 3)</f>
        <v>45693</v>
      </c>
      <c r="K702" s="120"/>
      <c r="L702" s="120"/>
      <c r="M702" s="120"/>
      <c r="N702" s="120">
        <v>45694</v>
      </c>
      <c r="O702" s="119" t="s">
        <v>10</v>
      </c>
      <c r="P702" s="152"/>
      <c r="Q702" s="153"/>
      <c r="R702" s="29" t="s">
        <v>339</v>
      </c>
      <c r="S702" s="123"/>
    </row>
    <row r="703" spans="1:19" hidden="1">
      <c r="A703" s="29" t="s">
        <v>335</v>
      </c>
      <c r="B703" s="29"/>
      <c r="C703" s="29">
        <v>31500049</v>
      </c>
      <c r="D703" s="29"/>
      <c r="F703" s="29"/>
      <c r="G703" s="29" t="s">
        <v>823</v>
      </c>
      <c r="H703" s="29" t="s">
        <v>315</v>
      </c>
      <c r="I703" s="120">
        <v>45688</v>
      </c>
      <c r="J703" s="120">
        <f>WORKDAY(I703, 3)</f>
        <v>45693</v>
      </c>
      <c r="K703" s="120"/>
      <c r="L703" s="120"/>
      <c r="M703" s="120"/>
      <c r="N703" s="120">
        <v>45698</v>
      </c>
      <c r="O703" s="119" t="s">
        <v>10</v>
      </c>
      <c r="P703" s="152"/>
      <c r="Q703" s="153"/>
      <c r="R703" s="29" t="s">
        <v>340</v>
      </c>
      <c r="S703" s="123"/>
    </row>
    <row r="704" spans="1:19" hidden="1">
      <c r="A704" s="29" t="s">
        <v>335</v>
      </c>
      <c r="B704" s="29"/>
      <c r="C704" s="29">
        <v>31500048</v>
      </c>
      <c r="D704" s="29"/>
      <c r="F704" s="29"/>
      <c r="G704" s="29" t="s">
        <v>823</v>
      </c>
      <c r="H704" s="29" t="s">
        <v>315</v>
      </c>
      <c r="I704" s="120">
        <v>45688</v>
      </c>
      <c r="J704" s="120">
        <f>WORKDAY(I704, 3)</f>
        <v>45693</v>
      </c>
      <c r="K704" s="120"/>
      <c r="L704" s="120"/>
      <c r="M704" s="120"/>
      <c r="N704" s="120">
        <v>45694</v>
      </c>
      <c r="O704" s="119" t="s">
        <v>10</v>
      </c>
      <c r="P704" s="152"/>
      <c r="Q704" s="153"/>
      <c r="R704" s="29" t="s">
        <v>341</v>
      </c>
      <c r="S704" s="123"/>
    </row>
    <row r="705" spans="1:19" hidden="1">
      <c r="A705" s="29" t="s">
        <v>335</v>
      </c>
      <c r="B705" s="29"/>
      <c r="C705" s="29">
        <v>31500047</v>
      </c>
      <c r="D705" s="29"/>
      <c r="F705" s="29"/>
      <c r="G705" s="29" t="s">
        <v>823</v>
      </c>
      <c r="H705" s="29" t="s">
        <v>315</v>
      </c>
      <c r="I705" s="120">
        <v>45688</v>
      </c>
      <c r="J705" s="120">
        <f>WORKDAY(I705, 3)</f>
        <v>45693</v>
      </c>
      <c r="K705" s="120"/>
      <c r="L705" s="120"/>
      <c r="M705" s="120"/>
      <c r="N705" s="120">
        <v>45699</v>
      </c>
      <c r="O705" s="119" t="s">
        <v>10</v>
      </c>
      <c r="P705" s="152"/>
      <c r="Q705" s="153"/>
      <c r="R705" s="29" t="s">
        <v>341</v>
      </c>
      <c r="S705" s="123"/>
    </row>
    <row r="706" spans="1:19" hidden="1">
      <c r="A706" s="29" t="s">
        <v>335</v>
      </c>
      <c r="B706" s="29"/>
      <c r="C706" s="29">
        <v>31500046</v>
      </c>
      <c r="D706" s="29"/>
      <c r="F706" s="29"/>
      <c r="G706" s="29" t="s">
        <v>823</v>
      </c>
      <c r="H706" s="29" t="s">
        <v>315</v>
      </c>
      <c r="I706" s="120">
        <v>45688</v>
      </c>
      <c r="J706" s="120">
        <f>WORKDAY(I706, 3)</f>
        <v>45693</v>
      </c>
      <c r="K706" s="120"/>
      <c r="L706" s="120"/>
      <c r="M706" s="120"/>
      <c r="N706" s="120">
        <v>45698</v>
      </c>
      <c r="O706" s="119" t="s">
        <v>10</v>
      </c>
      <c r="P706" s="152"/>
      <c r="Q706" s="153"/>
      <c r="R706" s="29" t="s">
        <v>342</v>
      </c>
      <c r="S706" s="123"/>
    </row>
    <row r="707" spans="1:19" hidden="1">
      <c r="A707" s="29" t="s">
        <v>335</v>
      </c>
      <c r="B707" s="29"/>
      <c r="C707" s="29">
        <v>31500045</v>
      </c>
      <c r="D707" s="29"/>
      <c r="F707" s="29"/>
      <c r="G707" s="29" t="s">
        <v>823</v>
      </c>
      <c r="H707" s="29" t="s">
        <v>315</v>
      </c>
      <c r="I707" s="120">
        <v>45688</v>
      </c>
      <c r="J707" s="120">
        <f>WORKDAY(I707, 3)</f>
        <v>45693</v>
      </c>
      <c r="K707" s="120"/>
      <c r="L707" s="120"/>
      <c r="M707" s="120"/>
      <c r="N707" s="120">
        <v>45698</v>
      </c>
      <c r="O707" s="119" t="s">
        <v>10</v>
      </c>
      <c r="P707" s="152"/>
      <c r="Q707" s="153"/>
      <c r="R707" s="29" t="s">
        <v>343</v>
      </c>
      <c r="S707" s="123"/>
    </row>
    <row r="708" spans="1:19" hidden="1">
      <c r="A708" s="29" t="s">
        <v>335</v>
      </c>
      <c r="B708" s="29"/>
      <c r="C708" s="29">
        <v>31500044</v>
      </c>
      <c r="D708" s="29"/>
      <c r="F708" s="29"/>
      <c r="G708" s="29" t="s">
        <v>823</v>
      </c>
      <c r="H708" s="29" t="s">
        <v>315</v>
      </c>
      <c r="I708" s="120">
        <v>45688</v>
      </c>
      <c r="J708" s="120">
        <f>WORKDAY(I708, 3)</f>
        <v>45693</v>
      </c>
      <c r="K708" s="120"/>
      <c r="L708" s="120"/>
      <c r="M708" s="120"/>
      <c r="N708" s="120">
        <v>45699</v>
      </c>
      <c r="O708" s="119" t="s">
        <v>10</v>
      </c>
      <c r="P708" s="152"/>
      <c r="Q708" s="153"/>
      <c r="R708" s="29" t="s">
        <v>344</v>
      </c>
      <c r="S708" s="123"/>
    </row>
    <row r="709" spans="1:19" hidden="1">
      <c r="A709" s="29" t="s">
        <v>335</v>
      </c>
      <c r="B709" s="29"/>
      <c r="C709" s="29">
        <v>31500043</v>
      </c>
      <c r="D709" s="29"/>
      <c r="F709" s="29"/>
      <c r="G709" s="29" t="s">
        <v>823</v>
      </c>
      <c r="H709" s="29" t="s">
        <v>315</v>
      </c>
      <c r="I709" s="120">
        <v>45688</v>
      </c>
      <c r="J709" s="120">
        <f>WORKDAY(I709, 3)</f>
        <v>45693</v>
      </c>
      <c r="K709" s="120"/>
      <c r="L709" s="120"/>
      <c r="M709" s="120"/>
      <c r="N709" s="120">
        <v>45703</v>
      </c>
      <c r="O709" s="119" t="s">
        <v>10</v>
      </c>
      <c r="P709" s="152"/>
      <c r="Q709" s="153"/>
      <c r="R709" s="29" t="s">
        <v>344</v>
      </c>
      <c r="S709" s="123"/>
    </row>
    <row r="710" spans="1:19" hidden="1">
      <c r="A710" s="29" t="s">
        <v>335</v>
      </c>
      <c r="B710" s="29"/>
      <c r="C710" s="29">
        <v>31500042</v>
      </c>
      <c r="D710" s="29"/>
      <c r="F710" s="29"/>
      <c r="G710" s="29" t="s">
        <v>823</v>
      </c>
      <c r="H710" s="29" t="s">
        <v>315</v>
      </c>
      <c r="I710" s="120">
        <v>45688</v>
      </c>
      <c r="J710" s="120">
        <f>WORKDAY(I710, 3)</f>
        <v>45693</v>
      </c>
      <c r="K710" s="120"/>
      <c r="L710" s="120"/>
      <c r="M710" s="120"/>
      <c r="N710" s="120">
        <v>45703</v>
      </c>
      <c r="O710" s="119" t="s">
        <v>10</v>
      </c>
      <c r="P710" s="152"/>
      <c r="Q710" s="153"/>
      <c r="R710" s="29" t="s">
        <v>349</v>
      </c>
      <c r="S710" s="123"/>
    </row>
    <row r="711" spans="1:19" hidden="1">
      <c r="A711" s="29" t="s">
        <v>335</v>
      </c>
      <c r="B711" s="29"/>
      <c r="C711" s="29">
        <v>31500041</v>
      </c>
      <c r="D711" s="29"/>
      <c r="F711" s="29"/>
      <c r="G711" s="29" t="s">
        <v>823</v>
      </c>
      <c r="H711" s="29" t="s">
        <v>315</v>
      </c>
      <c r="I711" s="120">
        <v>45688</v>
      </c>
      <c r="J711" s="120">
        <f>WORKDAY(I711, 3)</f>
        <v>45693</v>
      </c>
      <c r="K711" s="120"/>
      <c r="L711" s="120"/>
      <c r="M711" s="120"/>
      <c r="N711" s="120">
        <v>45703</v>
      </c>
      <c r="O711" s="119" t="s">
        <v>10</v>
      </c>
      <c r="P711" s="152"/>
      <c r="Q711" s="153"/>
      <c r="R711" s="29" t="s">
        <v>344</v>
      </c>
      <c r="S711" s="123"/>
    </row>
    <row r="712" spans="1:19" hidden="1">
      <c r="A712" s="29" t="s">
        <v>335</v>
      </c>
      <c r="B712" s="29"/>
      <c r="C712" s="29">
        <v>31500040</v>
      </c>
      <c r="D712" s="29"/>
      <c r="F712" s="29"/>
      <c r="G712" s="29" t="s">
        <v>823</v>
      </c>
      <c r="H712" s="29" t="s">
        <v>315</v>
      </c>
      <c r="I712" s="120">
        <v>45688</v>
      </c>
      <c r="J712" s="120">
        <f>WORKDAY(I712, 3)</f>
        <v>45693</v>
      </c>
      <c r="K712" s="120"/>
      <c r="L712" s="120"/>
      <c r="M712" s="120"/>
      <c r="N712" s="120">
        <v>45698</v>
      </c>
      <c r="O712" s="119" t="s">
        <v>10</v>
      </c>
      <c r="P712" s="152"/>
      <c r="Q712" s="153"/>
      <c r="R712" s="29" t="s">
        <v>346</v>
      </c>
      <c r="S712" s="123"/>
    </row>
    <row r="713" spans="1:19" hidden="1">
      <c r="A713" s="29" t="s">
        <v>335</v>
      </c>
      <c r="B713" s="29"/>
      <c r="C713" s="29">
        <v>31500039</v>
      </c>
      <c r="D713" s="29"/>
      <c r="F713" s="29"/>
      <c r="G713" s="29" t="s">
        <v>823</v>
      </c>
      <c r="H713" s="29" t="s">
        <v>315</v>
      </c>
      <c r="I713" s="120">
        <v>45688</v>
      </c>
      <c r="J713" s="120">
        <f>WORKDAY(I713, 3)</f>
        <v>45693</v>
      </c>
      <c r="K713" s="120"/>
      <c r="L713" s="120"/>
      <c r="M713" s="120"/>
      <c r="N713" s="120">
        <v>45699</v>
      </c>
      <c r="O713" s="119" t="s">
        <v>10</v>
      </c>
      <c r="P713" s="152"/>
      <c r="Q713" s="153"/>
      <c r="R713" s="29" t="s">
        <v>347</v>
      </c>
      <c r="S713" s="123"/>
    </row>
    <row r="714" spans="1:19" hidden="1">
      <c r="A714" s="29" t="s">
        <v>335</v>
      </c>
      <c r="B714" s="29"/>
      <c r="C714" s="29">
        <v>31500038</v>
      </c>
      <c r="D714" s="29"/>
      <c r="F714" s="29"/>
      <c r="G714" s="29" t="s">
        <v>823</v>
      </c>
      <c r="H714" s="29" t="s">
        <v>315</v>
      </c>
      <c r="I714" s="120">
        <v>45688</v>
      </c>
      <c r="J714" s="120">
        <f>WORKDAY(I714, 3)</f>
        <v>45693</v>
      </c>
      <c r="K714" s="120"/>
      <c r="L714" s="120"/>
      <c r="M714" s="120"/>
      <c r="N714" s="120">
        <v>45699</v>
      </c>
      <c r="O714" s="119" t="s">
        <v>10</v>
      </c>
      <c r="P714" s="152"/>
      <c r="Q714" s="153"/>
      <c r="R714" s="29" t="s">
        <v>348</v>
      </c>
      <c r="S714" s="123"/>
    </row>
    <row r="715" spans="1:19" hidden="1">
      <c r="A715" s="29" t="s">
        <v>335</v>
      </c>
      <c r="B715" s="29"/>
      <c r="C715" s="29">
        <v>31500037</v>
      </c>
      <c r="D715" s="29"/>
      <c r="F715" s="29"/>
      <c r="G715" s="29" t="s">
        <v>823</v>
      </c>
      <c r="H715" s="29" t="s">
        <v>315</v>
      </c>
      <c r="I715" s="120">
        <v>45688</v>
      </c>
      <c r="J715" s="120">
        <f>WORKDAY(I715, 3)</f>
        <v>45693</v>
      </c>
      <c r="K715" s="120"/>
      <c r="L715" s="120"/>
      <c r="M715" s="120"/>
      <c r="N715" s="120">
        <v>45703</v>
      </c>
      <c r="O715" s="119" t="s">
        <v>10</v>
      </c>
      <c r="P715" s="152"/>
      <c r="Q715" s="153"/>
      <c r="R715" s="29" t="s">
        <v>345</v>
      </c>
      <c r="S715" s="123"/>
    </row>
    <row r="716" spans="1:19" hidden="1">
      <c r="A716" s="29" t="s">
        <v>335</v>
      </c>
      <c r="B716" s="29"/>
      <c r="C716" s="29">
        <v>31500036</v>
      </c>
      <c r="D716" s="29"/>
      <c r="F716" s="29"/>
      <c r="G716" s="29" t="s">
        <v>823</v>
      </c>
      <c r="H716" s="29" t="s">
        <v>315</v>
      </c>
      <c r="I716" s="120">
        <v>45688</v>
      </c>
      <c r="J716" s="120">
        <f>WORKDAY(I716, 3)</f>
        <v>45693</v>
      </c>
      <c r="K716" s="120"/>
      <c r="L716" s="120"/>
      <c r="M716" s="120"/>
      <c r="N716" s="120">
        <v>45699</v>
      </c>
      <c r="O716" s="119" t="s">
        <v>10</v>
      </c>
      <c r="P716" s="152"/>
      <c r="Q716" s="153"/>
      <c r="R716" s="29" t="s">
        <v>347</v>
      </c>
      <c r="S716" s="123"/>
    </row>
    <row r="717" spans="1:19" hidden="1">
      <c r="A717" s="29" t="s">
        <v>335</v>
      </c>
      <c r="B717" s="29"/>
      <c r="C717" s="29">
        <v>31500035</v>
      </c>
      <c r="D717" s="29"/>
      <c r="F717" s="29"/>
      <c r="G717" s="29" t="s">
        <v>823</v>
      </c>
      <c r="H717" s="29" t="s">
        <v>315</v>
      </c>
      <c r="I717" s="120">
        <v>45688</v>
      </c>
      <c r="J717" s="120">
        <f>WORKDAY(I717, 3)</f>
        <v>45693</v>
      </c>
      <c r="K717" s="120"/>
      <c r="L717" s="120"/>
      <c r="M717" s="120"/>
      <c r="N717" s="120">
        <v>45696</v>
      </c>
      <c r="O717" s="119" t="s">
        <v>10</v>
      </c>
      <c r="P717" s="152"/>
      <c r="Q717" s="153"/>
      <c r="R717" s="29" t="s">
        <v>350</v>
      </c>
      <c r="S717" s="123"/>
    </row>
    <row r="718" spans="1:19" hidden="1">
      <c r="A718" s="29" t="s">
        <v>335</v>
      </c>
      <c r="B718" s="29"/>
      <c r="C718" s="29">
        <v>31500033</v>
      </c>
      <c r="D718" s="29"/>
      <c r="F718" s="29"/>
      <c r="G718" s="29" t="s">
        <v>823</v>
      </c>
      <c r="H718" s="29" t="s">
        <v>315</v>
      </c>
      <c r="I718" s="120">
        <v>45688</v>
      </c>
      <c r="J718" s="120">
        <f>WORKDAY(I718, 3)</f>
        <v>45693</v>
      </c>
      <c r="K718" s="120"/>
      <c r="L718" s="120"/>
      <c r="M718" s="120"/>
      <c r="N718" s="120">
        <v>45696</v>
      </c>
      <c r="O718" s="119" t="s">
        <v>10</v>
      </c>
      <c r="P718" s="152"/>
      <c r="Q718" s="153"/>
      <c r="R718" s="29" t="s">
        <v>351</v>
      </c>
      <c r="S718" s="123"/>
    </row>
    <row r="719" spans="1:19" hidden="1">
      <c r="A719" s="29" t="s">
        <v>335</v>
      </c>
      <c r="B719" s="29"/>
      <c r="C719" s="29">
        <v>31500031</v>
      </c>
      <c r="D719" s="29"/>
      <c r="F719" s="29"/>
      <c r="G719" s="29" t="s">
        <v>823</v>
      </c>
      <c r="H719" s="29" t="s">
        <v>315</v>
      </c>
      <c r="I719" s="120">
        <v>45688</v>
      </c>
      <c r="J719" s="120">
        <f>WORKDAY(I719, 3)</f>
        <v>45693</v>
      </c>
      <c r="K719" s="120"/>
      <c r="L719" s="120"/>
      <c r="M719" s="120"/>
      <c r="N719" s="120">
        <v>45696</v>
      </c>
      <c r="O719" s="119" t="s">
        <v>10</v>
      </c>
      <c r="P719" s="152"/>
      <c r="Q719" s="153"/>
      <c r="R719" s="29" t="s">
        <v>352</v>
      </c>
      <c r="S719" s="123"/>
    </row>
    <row r="720" spans="1:19" hidden="1">
      <c r="A720" s="29" t="s">
        <v>335</v>
      </c>
      <c r="B720" s="29"/>
      <c r="C720" s="29">
        <v>31500028</v>
      </c>
      <c r="D720" s="29"/>
      <c r="F720" s="29"/>
      <c r="G720" s="29" t="s">
        <v>823</v>
      </c>
      <c r="H720" s="29" t="s">
        <v>315</v>
      </c>
      <c r="I720" s="120">
        <v>45688</v>
      </c>
      <c r="J720" s="120">
        <f>WORKDAY(I720, 3)</f>
        <v>45693</v>
      </c>
      <c r="K720" s="120"/>
      <c r="L720" s="120"/>
      <c r="M720" s="120"/>
      <c r="N720" s="120">
        <v>45696</v>
      </c>
      <c r="O720" s="119" t="s">
        <v>10</v>
      </c>
      <c r="P720" s="152"/>
      <c r="Q720" s="153"/>
      <c r="R720" s="29" t="s">
        <v>353</v>
      </c>
      <c r="S720" s="123"/>
    </row>
    <row r="721" spans="1:19" hidden="1">
      <c r="A721" s="29" t="s">
        <v>335</v>
      </c>
      <c r="B721" s="29"/>
      <c r="C721" s="29">
        <v>31500025</v>
      </c>
      <c r="D721" s="29"/>
      <c r="F721" s="29"/>
      <c r="G721" s="29" t="s">
        <v>823</v>
      </c>
      <c r="H721" s="29" t="s">
        <v>315</v>
      </c>
      <c r="I721" s="120">
        <v>45688</v>
      </c>
      <c r="J721" s="120">
        <f>WORKDAY(I721, 3)</f>
        <v>45693</v>
      </c>
      <c r="K721" s="120"/>
      <c r="L721" s="120"/>
      <c r="M721" s="120"/>
      <c r="N721" s="120">
        <v>45696</v>
      </c>
      <c r="O721" s="119" t="s">
        <v>10</v>
      </c>
      <c r="P721" s="152"/>
      <c r="Q721" s="153"/>
      <c r="R721" s="29" t="s">
        <v>354</v>
      </c>
      <c r="S721" s="123"/>
    </row>
    <row r="722" spans="1:19" hidden="1">
      <c r="A722" s="29" t="s">
        <v>335</v>
      </c>
      <c r="B722" s="29"/>
      <c r="C722" s="29">
        <v>31500023</v>
      </c>
      <c r="D722" s="29"/>
      <c r="F722" s="29"/>
      <c r="G722" s="29" t="s">
        <v>823</v>
      </c>
      <c r="H722" s="29" t="s">
        <v>315</v>
      </c>
      <c r="I722" s="120">
        <v>45688</v>
      </c>
      <c r="J722" s="120">
        <f>WORKDAY(I722, 3)</f>
        <v>45693</v>
      </c>
      <c r="K722" s="120"/>
      <c r="L722" s="120"/>
      <c r="M722" s="120"/>
      <c r="N722" s="120">
        <v>45692</v>
      </c>
      <c r="O722" s="119" t="s">
        <v>10</v>
      </c>
      <c r="P722" s="152"/>
      <c r="Q722" s="153"/>
      <c r="R722" s="29" t="s">
        <v>355</v>
      </c>
      <c r="S722" s="123"/>
    </row>
    <row r="723" spans="1:19" hidden="1">
      <c r="A723" s="29" t="s">
        <v>335</v>
      </c>
      <c r="B723" s="29"/>
      <c r="C723" s="29">
        <v>31500022</v>
      </c>
      <c r="D723" s="29"/>
      <c r="F723" s="29"/>
      <c r="G723" s="29" t="s">
        <v>823</v>
      </c>
      <c r="H723" s="29" t="s">
        <v>315</v>
      </c>
      <c r="I723" s="120">
        <v>45688</v>
      </c>
      <c r="J723" s="120">
        <f>WORKDAY(I723, 3)</f>
        <v>45693</v>
      </c>
      <c r="K723" s="120"/>
      <c r="L723" s="120"/>
      <c r="M723" s="120"/>
      <c r="N723" s="120">
        <v>45692</v>
      </c>
      <c r="O723" s="119" t="s">
        <v>10</v>
      </c>
      <c r="P723" s="152"/>
      <c r="Q723" s="153"/>
      <c r="R723" s="29" t="s">
        <v>356</v>
      </c>
      <c r="S723" s="123"/>
    </row>
    <row r="724" spans="1:19" hidden="1">
      <c r="A724" s="29" t="s">
        <v>335</v>
      </c>
      <c r="B724" s="29"/>
      <c r="C724" s="29">
        <v>31500021</v>
      </c>
      <c r="D724" s="29"/>
      <c r="F724" s="29"/>
      <c r="G724" s="29" t="s">
        <v>823</v>
      </c>
      <c r="H724" s="29" t="s">
        <v>315</v>
      </c>
      <c r="I724" s="120">
        <v>45688</v>
      </c>
      <c r="J724" s="120">
        <f>WORKDAY(I724, 3)</f>
        <v>45693</v>
      </c>
      <c r="K724" s="120"/>
      <c r="L724" s="120"/>
      <c r="M724" s="120"/>
      <c r="N724" s="120">
        <v>45703</v>
      </c>
      <c r="O724" s="119" t="s">
        <v>10</v>
      </c>
      <c r="P724" s="152"/>
      <c r="Q724" s="153"/>
      <c r="R724" s="29" t="s">
        <v>356</v>
      </c>
      <c r="S724" s="123"/>
    </row>
    <row r="725" spans="1:19" hidden="1">
      <c r="A725" s="29" t="s">
        <v>369</v>
      </c>
      <c r="B725" s="29"/>
      <c r="C725" s="29">
        <v>35509586</v>
      </c>
      <c r="D725" s="29"/>
      <c r="F725" s="29"/>
      <c r="G725" s="29" t="s">
        <v>823</v>
      </c>
      <c r="H725" s="29" t="s">
        <v>161</v>
      </c>
      <c r="I725" s="120">
        <v>45691</v>
      </c>
      <c r="J725" s="120">
        <f>WORKDAY(I725, 3)</f>
        <v>45694</v>
      </c>
      <c r="K725" s="120">
        <v>45729</v>
      </c>
      <c r="L725" s="120"/>
      <c r="M725" s="120"/>
      <c r="N725" s="120"/>
      <c r="O725" s="119" t="s">
        <v>929</v>
      </c>
      <c r="P725" s="120"/>
      <c r="Q725" s="135"/>
      <c r="R725" s="29" t="s">
        <v>370</v>
      </c>
      <c r="S725" s="123"/>
    </row>
    <row r="726" spans="1:19" hidden="1">
      <c r="A726" s="29" t="s">
        <v>335</v>
      </c>
      <c r="B726" s="29"/>
      <c r="C726" s="29">
        <v>31500055</v>
      </c>
      <c r="D726" s="29"/>
      <c r="F726" s="29"/>
      <c r="G726" s="29" t="s">
        <v>823</v>
      </c>
      <c r="H726" s="29" t="s">
        <v>315</v>
      </c>
      <c r="I726" s="120">
        <v>45691</v>
      </c>
      <c r="J726" s="120">
        <f>WORKDAY(I726, 3)</f>
        <v>45694</v>
      </c>
      <c r="K726" s="120"/>
      <c r="L726" s="120"/>
      <c r="M726" s="120"/>
      <c r="N726" s="120">
        <v>45699</v>
      </c>
      <c r="O726" s="119" t="s">
        <v>10</v>
      </c>
      <c r="P726" s="152"/>
      <c r="Q726" s="153"/>
      <c r="R726" s="29" t="s">
        <v>336</v>
      </c>
      <c r="S726" s="123"/>
    </row>
    <row r="727" spans="1:19" ht="15.75" hidden="1">
      <c r="A727" s="29" t="s">
        <v>938</v>
      </c>
      <c r="B727" s="29"/>
      <c r="C727" s="121">
        <v>36504907</v>
      </c>
      <c r="D727" s="121"/>
      <c r="F727" s="121"/>
      <c r="G727" s="29" t="s">
        <v>138</v>
      </c>
      <c r="H727" s="29" t="s">
        <v>316</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138</v>
      </c>
      <c r="H728" s="29" t="s">
        <v>316</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138</v>
      </c>
      <c r="H729" s="29" t="s">
        <v>316</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138</v>
      </c>
      <c r="H730" s="29" t="s">
        <v>316</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138</v>
      </c>
      <c r="H731" s="29" t="s">
        <v>316</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138</v>
      </c>
      <c r="H732" s="29" t="s">
        <v>316</v>
      </c>
      <c r="I732" s="120">
        <v>45692</v>
      </c>
      <c r="J732" s="120">
        <f>WORKDAY(I732, 3)</f>
        <v>45695</v>
      </c>
      <c r="K732" s="120"/>
      <c r="L732" s="120"/>
      <c r="M732" s="120"/>
      <c r="N732" s="120"/>
      <c r="O732" s="119" t="s">
        <v>929</v>
      </c>
      <c r="P732" s="120"/>
      <c r="Q732" s="135"/>
      <c r="R732" s="29"/>
      <c r="S732" s="123"/>
    </row>
    <row r="733" spans="1:19" hidden="1">
      <c r="A733" s="29" t="s">
        <v>433</v>
      </c>
      <c r="B733" s="29"/>
      <c r="C733" s="29">
        <v>36501666</v>
      </c>
      <c r="D733" s="29"/>
      <c r="F733" s="29"/>
      <c r="G733" s="29" t="s">
        <v>823</v>
      </c>
      <c r="H733" s="29" t="s">
        <v>161</v>
      </c>
      <c r="I733" s="120">
        <v>45692</v>
      </c>
      <c r="J733" s="120">
        <f>WORKDAY(I733, 3)</f>
        <v>45695</v>
      </c>
      <c r="K733" s="120"/>
      <c r="L733" s="120"/>
      <c r="M733" s="120"/>
      <c r="N733" s="120">
        <v>45697</v>
      </c>
      <c r="O733" s="119" t="s">
        <v>10</v>
      </c>
      <c r="P733" s="152"/>
      <c r="Q733" s="153"/>
      <c r="R733" s="29" t="s">
        <v>434</v>
      </c>
      <c r="S733" s="123"/>
    </row>
    <row r="734" spans="1:19" hidden="1">
      <c r="A734" s="29" t="s">
        <v>433</v>
      </c>
      <c r="B734" s="29"/>
      <c r="C734" s="29">
        <v>36501547</v>
      </c>
      <c r="D734" s="29"/>
      <c r="F734" s="29"/>
      <c r="G734" s="29" t="s">
        <v>823</v>
      </c>
      <c r="H734" s="29" t="s">
        <v>161</v>
      </c>
      <c r="I734" s="120">
        <v>45692</v>
      </c>
      <c r="J734" s="120">
        <f>WORKDAY(I734, 3)</f>
        <v>45695</v>
      </c>
      <c r="K734" s="120">
        <v>45729</v>
      </c>
      <c r="L734" s="120"/>
      <c r="M734" s="120"/>
      <c r="N734" s="120"/>
      <c r="O734" s="119" t="s">
        <v>939</v>
      </c>
      <c r="P734" s="120"/>
      <c r="Q734" s="135"/>
      <c r="R734" s="29" t="s">
        <v>435</v>
      </c>
      <c r="S734" s="123"/>
    </row>
    <row r="735" spans="1:19" hidden="1">
      <c r="A735" s="29" t="s">
        <v>433</v>
      </c>
      <c r="B735" s="29"/>
      <c r="C735" s="29">
        <v>36501450</v>
      </c>
      <c r="D735" s="29"/>
      <c r="F735" s="29"/>
      <c r="G735" s="29" t="s">
        <v>823</v>
      </c>
      <c r="H735" s="29" t="s">
        <v>161</v>
      </c>
      <c r="I735" s="120">
        <v>45692</v>
      </c>
      <c r="J735" s="120">
        <f>WORKDAY(I735, 3)</f>
        <v>45695</v>
      </c>
      <c r="K735" s="120">
        <v>45729</v>
      </c>
      <c r="L735" s="120"/>
      <c r="M735" s="120"/>
      <c r="N735" s="120"/>
      <c r="O735" s="119" t="s">
        <v>939</v>
      </c>
      <c r="P735" s="120"/>
      <c r="Q735" s="135"/>
      <c r="R735" s="29" t="s">
        <v>436</v>
      </c>
      <c r="S735" s="123"/>
    </row>
    <row r="736" spans="1:19" hidden="1">
      <c r="A736" s="29" t="s">
        <v>433</v>
      </c>
      <c r="B736" s="29"/>
      <c r="C736" s="29">
        <v>36501361</v>
      </c>
      <c r="D736" s="29"/>
      <c r="F736" s="29"/>
      <c r="G736" s="29" t="s">
        <v>823</v>
      </c>
      <c r="H736" s="29" t="s">
        <v>161</v>
      </c>
      <c r="I736" s="120">
        <v>45692</v>
      </c>
      <c r="J736" s="120">
        <f>WORKDAY(I736, 3)</f>
        <v>45695</v>
      </c>
      <c r="K736" s="120">
        <v>45729</v>
      </c>
      <c r="L736" s="120"/>
      <c r="M736" s="120"/>
      <c r="N736" s="120"/>
      <c r="O736" s="119" t="s">
        <v>939</v>
      </c>
      <c r="P736" s="120"/>
      <c r="Q736" s="135"/>
      <c r="R736" s="29" t="s">
        <v>437</v>
      </c>
      <c r="S736" s="123"/>
    </row>
    <row r="737" spans="1:19" hidden="1">
      <c r="A737" s="29" t="s">
        <v>433</v>
      </c>
      <c r="B737" s="29"/>
      <c r="C737" s="29">
        <v>35509604</v>
      </c>
      <c r="D737" s="29"/>
      <c r="F737" s="29"/>
      <c r="G737" s="29" t="s">
        <v>823</v>
      </c>
      <c r="H737" s="29" t="s">
        <v>161</v>
      </c>
      <c r="I737" s="120">
        <v>45692</v>
      </c>
      <c r="J737" s="120">
        <f>WORKDAY(I737, 3)</f>
        <v>45695</v>
      </c>
      <c r="K737" s="120"/>
      <c r="L737" s="120"/>
      <c r="M737" s="120"/>
      <c r="N737" s="120">
        <v>45697</v>
      </c>
      <c r="O737" s="119" t="s">
        <v>10</v>
      </c>
      <c r="P737" s="152"/>
      <c r="Q737" s="153"/>
      <c r="R737" s="29" t="s">
        <v>370</v>
      </c>
      <c r="S737" s="123"/>
    </row>
    <row r="738" spans="1:19" hidden="1">
      <c r="A738" s="29" t="s">
        <v>438</v>
      </c>
      <c r="B738" s="29"/>
      <c r="C738" s="29">
        <v>36508939</v>
      </c>
      <c r="D738" s="29"/>
      <c r="F738" s="29"/>
      <c r="G738" s="29" t="s">
        <v>823</v>
      </c>
      <c r="H738" s="147" t="s">
        <v>439</v>
      </c>
      <c r="I738" s="120">
        <v>45692</v>
      </c>
      <c r="J738" s="120">
        <f>WORKDAY(I738, 3)</f>
        <v>45695</v>
      </c>
      <c r="K738" s="120"/>
      <c r="L738" s="120"/>
      <c r="M738" s="120"/>
      <c r="N738" s="120"/>
      <c r="O738" s="119" t="s">
        <v>929</v>
      </c>
      <c r="P738" s="120"/>
      <c r="Q738" s="135"/>
      <c r="R738" s="29" t="s">
        <v>507</v>
      </c>
      <c r="S738" s="123"/>
    </row>
    <row r="739" spans="1:19" hidden="1">
      <c r="A739" s="29" t="s">
        <v>438</v>
      </c>
      <c r="B739" s="29"/>
      <c r="C739" s="29">
        <v>36508971</v>
      </c>
      <c r="D739" s="29"/>
      <c r="F739" s="29"/>
      <c r="G739" s="29" t="s">
        <v>823</v>
      </c>
      <c r="H739" s="147" t="s">
        <v>439</v>
      </c>
      <c r="I739" s="120">
        <v>45692</v>
      </c>
      <c r="J739" s="120">
        <f>WORKDAY(I739, 3)</f>
        <v>45695</v>
      </c>
      <c r="K739" s="120"/>
      <c r="L739" s="120"/>
      <c r="M739" s="120"/>
      <c r="N739" s="120"/>
      <c r="O739" s="119" t="s">
        <v>929</v>
      </c>
      <c r="P739" s="120"/>
      <c r="Q739" s="135"/>
      <c r="R739" s="29" t="s">
        <v>505</v>
      </c>
      <c r="S739" s="123"/>
    </row>
    <row r="740" spans="1:19" hidden="1">
      <c r="A740" s="29" t="s">
        <v>438</v>
      </c>
      <c r="B740" s="29"/>
      <c r="C740" s="29">
        <v>36509009</v>
      </c>
      <c r="D740" s="29"/>
      <c r="F740" s="29"/>
      <c r="G740" s="29" t="s">
        <v>823</v>
      </c>
      <c r="H740" s="147" t="s">
        <v>439</v>
      </c>
      <c r="I740" s="120">
        <v>45692</v>
      </c>
      <c r="J740" s="120">
        <f>WORKDAY(I740, 3)</f>
        <v>45695</v>
      </c>
      <c r="K740" s="120"/>
      <c r="L740" s="120"/>
      <c r="M740" s="120"/>
      <c r="N740" s="120"/>
      <c r="O740" s="119" t="s">
        <v>929</v>
      </c>
      <c r="P740" s="120"/>
      <c r="Q740" s="135"/>
      <c r="R740" s="29" t="s">
        <v>881</v>
      </c>
      <c r="S740" s="123"/>
    </row>
    <row r="741" spans="1:19" hidden="1">
      <c r="A741" s="29" t="s">
        <v>438</v>
      </c>
      <c r="B741" s="29"/>
      <c r="C741" s="29">
        <v>36509029</v>
      </c>
      <c r="D741" s="29"/>
      <c r="F741" s="29"/>
      <c r="G741" s="29" t="s">
        <v>823</v>
      </c>
      <c r="H741" s="147" t="s">
        <v>439</v>
      </c>
      <c r="I741" s="120">
        <v>45692</v>
      </c>
      <c r="J741" s="120">
        <f>WORKDAY(I741, 3)</f>
        <v>45695</v>
      </c>
      <c r="K741" s="120"/>
      <c r="L741" s="120"/>
      <c r="M741" s="120"/>
      <c r="N741" s="120"/>
      <c r="O741" s="119" t="s">
        <v>929</v>
      </c>
      <c r="P741" s="120"/>
      <c r="Q741" s="135"/>
      <c r="R741" s="29" t="s">
        <v>882</v>
      </c>
      <c r="S741" s="123"/>
    </row>
    <row r="742" spans="1:19" hidden="1">
      <c r="A742" s="29" t="s">
        <v>438</v>
      </c>
      <c r="B742" s="29"/>
      <c r="C742" s="29">
        <v>37508603</v>
      </c>
      <c r="D742" s="29"/>
      <c r="F742" s="29"/>
      <c r="G742" s="29" t="s">
        <v>823</v>
      </c>
      <c r="H742" s="147" t="s">
        <v>439</v>
      </c>
      <c r="I742" s="120">
        <v>45692</v>
      </c>
      <c r="J742" s="120">
        <f>WORKDAY(I742, 3)</f>
        <v>45695</v>
      </c>
      <c r="K742" s="120"/>
      <c r="L742" s="120"/>
      <c r="M742" s="120"/>
      <c r="N742" s="120"/>
      <c r="O742" s="119" t="s">
        <v>929</v>
      </c>
      <c r="P742" s="120"/>
      <c r="Q742" s="135"/>
      <c r="R742" s="29" t="s">
        <v>882</v>
      </c>
      <c r="S742" s="123"/>
    </row>
    <row r="743" spans="1:19" hidden="1">
      <c r="A743" s="29" t="s">
        <v>438</v>
      </c>
      <c r="B743" s="29"/>
      <c r="C743" s="29">
        <v>37508593</v>
      </c>
      <c r="D743" s="29"/>
      <c r="F743" s="29"/>
      <c r="G743" s="29" t="s">
        <v>823</v>
      </c>
      <c r="H743" s="147" t="s">
        <v>439</v>
      </c>
      <c r="I743" s="120">
        <v>45692</v>
      </c>
      <c r="J743" s="120">
        <f>WORKDAY(I743, 3)</f>
        <v>45695</v>
      </c>
      <c r="K743" s="120"/>
      <c r="L743" s="120"/>
      <c r="M743" s="120"/>
      <c r="N743" s="120"/>
      <c r="O743" s="119" t="s">
        <v>929</v>
      </c>
      <c r="P743" s="120"/>
      <c r="Q743" s="135"/>
      <c r="R743" s="29" t="s">
        <v>881</v>
      </c>
      <c r="S743" s="123"/>
    </row>
    <row r="744" spans="1:19" hidden="1">
      <c r="A744" s="29" t="s">
        <v>438</v>
      </c>
      <c r="B744" s="29"/>
      <c r="C744" s="29">
        <v>36508894</v>
      </c>
      <c r="D744" s="29"/>
      <c r="F744" s="29"/>
      <c r="G744" s="29" t="s">
        <v>823</v>
      </c>
      <c r="H744" s="147" t="s">
        <v>439</v>
      </c>
      <c r="I744" s="120">
        <v>45692</v>
      </c>
      <c r="J744" s="120">
        <f>WORKDAY(I744, 3)</f>
        <v>45695</v>
      </c>
      <c r="K744" s="120"/>
      <c r="L744" s="120"/>
      <c r="M744" s="120"/>
      <c r="N744" s="120"/>
      <c r="O744" s="119" t="s">
        <v>929</v>
      </c>
      <c r="P744" s="120"/>
      <c r="Q744" s="135"/>
      <c r="R744" s="29" t="s">
        <v>508</v>
      </c>
      <c r="S744" s="123"/>
    </row>
    <row r="745" spans="1:19" hidden="1">
      <c r="A745" s="29" t="s">
        <v>438</v>
      </c>
      <c r="B745" s="29"/>
      <c r="C745" s="29">
        <v>36508864</v>
      </c>
      <c r="D745" s="29"/>
      <c r="F745" s="29"/>
      <c r="G745" s="29" t="s">
        <v>823</v>
      </c>
      <c r="H745" s="147" t="s">
        <v>439</v>
      </c>
      <c r="I745" s="120">
        <v>45692</v>
      </c>
      <c r="J745" s="120">
        <f>WORKDAY(I745, 3)</f>
        <v>45695</v>
      </c>
      <c r="K745" s="120"/>
      <c r="L745" s="120"/>
      <c r="M745" s="120"/>
      <c r="N745" s="120"/>
      <c r="O745" s="119" t="s">
        <v>929</v>
      </c>
      <c r="P745" s="120"/>
      <c r="Q745" s="135"/>
      <c r="R745" s="29" t="s">
        <v>510</v>
      </c>
      <c r="S745" s="123"/>
    </row>
    <row r="746" spans="1:19" hidden="1">
      <c r="A746" s="29" t="s">
        <v>290</v>
      </c>
      <c r="B746" s="29"/>
      <c r="C746" s="29">
        <v>36505090</v>
      </c>
      <c r="D746" s="29"/>
      <c r="F746" s="29"/>
      <c r="G746" s="29" t="s">
        <v>823</v>
      </c>
      <c r="H746" s="29" t="s">
        <v>315</v>
      </c>
      <c r="I746" s="120">
        <v>45693</v>
      </c>
      <c r="J746" s="120">
        <f>WORKDAY(I746, 3)</f>
        <v>45698</v>
      </c>
      <c r="K746" s="120">
        <v>45729</v>
      </c>
      <c r="L746" s="120"/>
      <c r="M746" s="120"/>
      <c r="N746" s="120"/>
      <c r="O746" s="119" t="s">
        <v>929</v>
      </c>
      <c r="P746" s="120"/>
      <c r="Q746" s="135"/>
      <c r="R746" s="29" t="s">
        <v>883</v>
      </c>
      <c r="S746" s="123"/>
    </row>
    <row r="747" spans="1:19" hidden="1">
      <c r="A747" s="29" t="s">
        <v>290</v>
      </c>
      <c r="B747" s="29"/>
      <c r="C747" s="29">
        <v>36505041</v>
      </c>
      <c r="D747" s="29"/>
      <c r="F747" s="29"/>
      <c r="G747" s="29" t="s">
        <v>823</v>
      </c>
      <c r="H747" s="29" t="s">
        <v>315</v>
      </c>
      <c r="I747" s="120">
        <v>45693</v>
      </c>
      <c r="J747" s="120">
        <f>WORKDAY(I747, 3)</f>
        <v>45698</v>
      </c>
      <c r="K747" s="120">
        <v>45729</v>
      </c>
      <c r="L747" s="120"/>
      <c r="M747" s="120"/>
      <c r="N747" s="120"/>
      <c r="O747" s="119" t="s">
        <v>929</v>
      </c>
      <c r="P747" s="120"/>
      <c r="Q747" s="135"/>
      <c r="R747" s="29" t="s">
        <v>884</v>
      </c>
      <c r="S747" s="123"/>
    </row>
    <row r="748" spans="1:19" hidden="1">
      <c r="A748" s="29" t="s">
        <v>290</v>
      </c>
      <c r="B748" s="29"/>
      <c r="C748" s="29">
        <v>36505003</v>
      </c>
      <c r="D748" s="29"/>
      <c r="F748" s="29"/>
      <c r="G748" s="29" t="s">
        <v>823</v>
      </c>
      <c r="H748" s="29" t="s">
        <v>315</v>
      </c>
      <c r="I748" s="120">
        <v>45693</v>
      </c>
      <c r="J748" s="120">
        <f>WORKDAY(I748, 3)</f>
        <v>45698</v>
      </c>
      <c r="K748" s="120">
        <v>45729</v>
      </c>
      <c r="L748" s="120"/>
      <c r="M748" s="120"/>
      <c r="N748" s="120"/>
      <c r="O748" s="119" t="s">
        <v>929</v>
      </c>
      <c r="P748" s="120"/>
      <c r="Q748" s="135"/>
      <c r="R748" s="29" t="s">
        <v>885</v>
      </c>
      <c r="S748" s="123"/>
    </row>
    <row r="749" spans="1:19" hidden="1">
      <c r="A749" s="29" t="s">
        <v>290</v>
      </c>
      <c r="B749" s="29"/>
      <c r="C749" s="29">
        <v>36504973</v>
      </c>
      <c r="D749" s="29"/>
      <c r="F749" s="29"/>
      <c r="G749" s="29" t="s">
        <v>823</v>
      </c>
      <c r="H749" s="29" t="s">
        <v>315</v>
      </c>
      <c r="I749" s="120">
        <v>45693</v>
      </c>
      <c r="J749" s="120">
        <f>WORKDAY(I749, 3)</f>
        <v>45698</v>
      </c>
      <c r="K749" s="120">
        <v>45729</v>
      </c>
      <c r="L749" s="120"/>
      <c r="M749" s="120"/>
      <c r="N749" s="120"/>
      <c r="O749" s="119" t="s">
        <v>929</v>
      </c>
      <c r="P749" s="120"/>
      <c r="Q749" s="135"/>
      <c r="R749" s="29" t="s">
        <v>886</v>
      </c>
      <c r="S749" s="123"/>
    </row>
    <row r="750" spans="1:19" hidden="1">
      <c r="A750" s="29" t="s">
        <v>290</v>
      </c>
      <c r="B750" s="29"/>
      <c r="C750" s="29">
        <v>36504920</v>
      </c>
      <c r="D750" s="29"/>
      <c r="F750" s="29"/>
      <c r="G750" s="29" t="s">
        <v>823</v>
      </c>
      <c r="H750" s="29" t="s">
        <v>315</v>
      </c>
      <c r="I750" s="120">
        <v>45693</v>
      </c>
      <c r="J750" s="120">
        <f>WORKDAY(I750, 3)</f>
        <v>45698</v>
      </c>
      <c r="K750" s="120">
        <v>45729</v>
      </c>
      <c r="L750" s="120"/>
      <c r="M750" s="120"/>
      <c r="N750" s="120"/>
      <c r="O750" s="119" t="s">
        <v>929</v>
      </c>
      <c r="P750" s="120"/>
      <c r="Q750" s="135"/>
      <c r="R750" s="29" t="s">
        <v>887</v>
      </c>
      <c r="S750" s="123"/>
    </row>
    <row r="751" spans="1:19" hidden="1">
      <c r="A751" s="29" t="s">
        <v>290</v>
      </c>
      <c r="B751" s="29"/>
      <c r="C751" s="29">
        <v>36504794</v>
      </c>
      <c r="D751" s="29"/>
      <c r="F751" s="29"/>
      <c r="G751" s="29" t="s">
        <v>823</v>
      </c>
      <c r="H751" s="29" t="s">
        <v>315</v>
      </c>
      <c r="I751" s="120">
        <v>45693</v>
      </c>
      <c r="J751" s="120">
        <f>WORKDAY(I751, 3)</f>
        <v>45698</v>
      </c>
      <c r="K751" s="120"/>
      <c r="L751" s="120"/>
      <c r="M751" s="120"/>
      <c r="N751" s="120">
        <v>45699</v>
      </c>
      <c r="O751" s="119" t="s">
        <v>10</v>
      </c>
      <c r="P751" s="152"/>
      <c r="Q751" s="153"/>
      <c r="R751" s="29" t="s">
        <v>888</v>
      </c>
      <c r="S751" s="123"/>
    </row>
    <row r="752" spans="1:19" hidden="1">
      <c r="A752" s="29" t="s">
        <v>438</v>
      </c>
      <c r="B752" s="29"/>
      <c r="C752" s="29">
        <v>36500830</v>
      </c>
      <c r="D752" s="29"/>
      <c r="F752" s="29"/>
      <c r="G752" s="29" t="s">
        <v>823</v>
      </c>
      <c r="H752" s="147" t="s">
        <v>439</v>
      </c>
      <c r="I752" s="120">
        <v>45692</v>
      </c>
      <c r="J752" s="120">
        <f>WORKDAY(I752, 3)</f>
        <v>45695</v>
      </c>
      <c r="K752" s="120"/>
      <c r="L752" s="120"/>
      <c r="M752" s="120"/>
      <c r="N752" s="120"/>
      <c r="O752" s="119" t="s">
        <v>929</v>
      </c>
      <c r="P752" s="120"/>
      <c r="Q752" s="135"/>
      <c r="R752" s="29" t="s">
        <v>889</v>
      </c>
      <c r="S752" s="123"/>
    </row>
    <row r="753" spans="1:19" ht="201.75" hidden="1">
      <c r="A753" s="147" t="s">
        <v>438</v>
      </c>
      <c r="B753" s="147"/>
      <c r="C753" s="150">
        <v>36508864</v>
      </c>
      <c r="D753" s="150"/>
      <c r="F753" s="150"/>
      <c r="G753" s="29" t="s">
        <v>823</v>
      </c>
      <c r="H753" s="147" t="s">
        <v>439</v>
      </c>
      <c r="I753" s="148">
        <v>45693</v>
      </c>
      <c r="J753" s="120">
        <f>WORKDAY(I753, 3)</f>
        <v>45698</v>
      </c>
      <c r="K753" s="148"/>
      <c r="L753" s="148"/>
      <c r="M753" s="148"/>
      <c r="N753" s="148"/>
      <c r="O753" s="119" t="s">
        <v>929</v>
      </c>
      <c r="P753" s="148"/>
      <c r="Q753" s="154"/>
      <c r="R753" s="149" t="s">
        <v>890</v>
      </c>
      <c r="S753" s="123"/>
    </row>
    <row r="754" spans="1:19" ht="216.75" hidden="1">
      <c r="A754" s="147" t="s">
        <v>438</v>
      </c>
      <c r="B754" s="147"/>
      <c r="C754" s="150">
        <v>36508894</v>
      </c>
      <c r="D754" s="150"/>
      <c r="F754" s="150"/>
      <c r="G754" s="29" t="s">
        <v>823</v>
      </c>
      <c r="H754" s="147" t="s">
        <v>439</v>
      </c>
      <c r="I754" s="148">
        <v>45693</v>
      </c>
      <c r="J754" s="120">
        <f>WORKDAY(I754, 3)</f>
        <v>45698</v>
      </c>
      <c r="K754" s="148"/>
      <c r="L754" s="148"/>
      <c r="M754" s="148"/>
      <c r="N754" s="148"/>
      <c r="O754" s="119" t="s">
        <v>929</v>
      </c>
      <c r="P754" s="148"/>
      <c r="Q754" s="154"/>
      <c r="R754" s="149" t="s">
        <v>891</v>
      </c>
      <c r="S754" s="123"/>
    </row>
    <row r="755" spans="1:19" ht="201.75" hidden="1">
      <c r="A755" s="147" t="s">
        <v>438</v>
      </c>
      <c r="B755" s="147"/>
      <c r="C755" s="150">
        <v>36508918</v>
      </c>
      <c r="D755" s="150"/>
      <c r="F755" s="150"/>
      <c r="G755" s="29" t="s">
        <v>823</v>
      </c>
      <c r="H755" s="147" t="s">
        <v>439</v>
      </c>
      <c r="I755" s="148">
        <v>45693</v>
      </c>
      <c r="J755" s="120">
        <f>WORKDAY(I755, 3)</f>
        <v>45698</v>
      </c>
      <c r="K755" s="148"/>
      <c r="L755" s="148"/>
      <c r="M755" s="148"/>
      <c r="N755" s="148"/>
      <c r="O755" s="119" t="s">
        <v>929</v>
      </c>
      <c r="P755" s="148"/>
      <c r="Q755" s="154"/>
      <c r="R755" s="149" t="s">
        <v>892</v>
      </c>
      <c r="S755" s="123"/>
    </row>
    <row r="756" spans="1:19" ht="201.75" hidden="1">
      <c r="A756" s="147" t="s">
        <v>438</v>
      </c>
      <c r="B756" s="147"/>
      <c r="C756" s="150">
        <v>36508939</v>
      </c>
      <c r="D756" s="150"/>
      <c r="F756" s="150"/>
      <c r="G756" s="29" t="s">
        <v>823</v>
      </c>
      <c r="H756" s="147" t="s">
        <v>439</v>
      </c>
      <c r="I756" s="148">
        <v>45693</v>
      </c>
      <c r="J756" s="120">
        <f>WORKDAY(I756, 3)</f>
        <v>45698</v>
      </c>
      <c r="K756" s="148"/>
      <c r="L756" s="148"/>
      <c r="M756" s="148"/>
      <c r="N756" s="148"/>
      <c r="O756" s="119" t="s">
        <v>929</v>
      </c>
      <c r="P756" s="148"/>
      <c r="Q756" s="154"/>
      <c r="R756" s="149" t="s">
        <v>893</v>
      </c>
      <c r="S756" s="123"/>
    </row>
    <row r="757" spans="1:19" ht="201.75" hidden="1">
      <c r="A757" s="147" t="s">
        <v>438</v>
      </c>
      <c r="B757" s="147"/>
      <c r="C757" s="150">
        <v>36508971</v>
      </c>
      <c r="D757" s="150"/>
      <c r="F757" s="150"/>
      <c r="G757" s="29" t="s">
        <v>823</v>
      </c>
      <c r="H757" s="147" t="s">
        <v>439</v>
      </c>
      <c r="I757" s="148">
        <v>45693</v>
      </c>
      <c r="J757" s="120">
        <f>WORKDAY(I757, 3)</f>
        <v>45698</v>
      </c>
      <c r="K757" s="148"/>
      <c r="L757" s="148"/>
      <c r="M757" s="148"/>
      <c r="N757" s="148"/>
      <c r="O757" s="119" t="s">
        <v>929</v>
      </c>
      <c r="P757" s="148"/>
      <c r="Q757" s="154"/>
      <c r="R757" s="149" t="s">
        <v>894</v>
      </c>
      <c r="S757" s="123"/>
    </row>
    <row r="758" spans="1:19" ht="216.75" hidden="1">
      <c r="A758" s="147" t="s">
        <v>438</v>
      </c>
      <c r="B758" s="147"/>
      <c r="C758" s="150">
        <v>36509009</v>
      </c>
      <c r="D758" s="150"/>
      <c r="F758" s="150"/>
      <c r="G758" s="29" t="s">
        <v>823</v>
      </c>
      <c r="H758" s="147" t="s">
        <v>439</v>
      </c>
      <c r="I758" s="148">
        <v>45693</v>
      </c>
      <c r="J758" s="120">
        <f>WORKDAY(I758, 3)</f>
        <v>45698</v>
      </c>
      <c r="K758" s="148"/>
      <c r="L758" s="148"/>
      <c r="M758" s="148"/>
      <c r="N758" s="148"/>
      <c r="O758" s="119" t="s">
        <v>929</v>
      </c>
      <c r="P758" s="148"/>
      <c r="Q758" s="154"/>
      <c r="R758" s="149" t="s">
        <v>895</v>
      </c>
      <c r="S758" s="123"/>
    </row>
    <row r="759" spans="1:19" ht="201.75" hidden="1">
      <c r="A759" s="147" t="s">
        <v>438</v>
      </c>
      <c r="B759" s="147"/>
      <c r="C759" s="150">
        <v>36509029</v>
      </c>
      <c r="D759" s="150"/>
      <c r="F759" s="150"/>
      <c r="G759" s="29" t="s">
        <v>823</v>
      </c>
      <c r="H759" s="147" t="s">
        <v>439</v>
      </c>
      <c r="I759" s="148">
        <v>45693</v>
      </c>
      <c r="J759" s="120">
        <f>WORKDAY(I759, 3)</f>
        <v>45698</v>
      </c>
      <c r="K759" s="148"/>
      <c r="L759" s="148"/>
      <c r="M759" s="148"/>
      <c r="N759" s="148"/>
      <c r="O759" s="119" t="s">
        <v>929</v>
      </c>
      <c r="P759" s="148"/>
      <c r="Q759" s="154"/>
      <c r="R759" s="149" t="s">
        <v>896</v>
      </c>
      <c r="S759" s="123"/>
    </row>
    <row r="760" spans="1:19" hidden="1">
      <c r="A760" s="147" t="s">
        <v>290</v>
      </c>
      <c r="B760" s="147"/>
      <c r="C760" s="150">
        <v>36504794</v>
      </c>
      <c r="D760" s="150"/>
      <c r="F760" s="150"/>
      <c r="G760" s="29" t="s">
        <v>823</v>
      </c>
      <c r="H760" s="29" t="s">
        <v>315</v>
      </c>
      <c r="I760" s="148">
        <v>45693</v>
      </c>
      <c r="J760" s="120">
        <f>WORKDAY(I760, 3)</f>
        <v>45698</v>
      </c>
      <c r="K760" s="148"/>
      <c r="L760" s="148"/>
      <c r="M760" s="148"/>
      <c r="N760" s="120">
        <v>45699</v>
      </c>
      <c r="O760" s="119" t="s">
        <v>10</v>
      </c>
      <c r="P760" s="152"/>
      <c r="Q760" s="153"/>
      <c r="R760" s="149" t="s">
        <v>642</v>
      </c>
      <c r="S760" s="123"/>
    </row>
    <row r="761" spans="1:19" hidden="1">
      <c r="A761" s="147" t="s">
        <v>290</v>
      </c>
      <c r="B761" s="147"/>
      <c r="C761" s="150">
        <v>36504920</v>
      </c>
      <c r="D761" s="150"/>
      <c r="F761" s="150"/>
      <c r="G761" s="29" t="s">
        <v>823</v>
      </c>
      <c r="H761" s="29" t="s">
        <v>315</v>
      </c>
      <c r="I761" s="148">
        <v>45693</v>
      </c>
      <c r="J761" s="120">
        <f>WORKDAY(I761, 3)</f>
        <v>45698</v>
      </c>
      <c r="K761" s="148"/>
      <c r="L761" s="148"/>
      <c r="M761" s="148"/>
      <c r="N761" s="120">
        <v>45698</v>
      </c>
      <c r="O761" s="119" t="s">
        <v>10</v>
      </c>
      <c r="P761" s="152"/>
      <c r="Q761" s="153"/>
      <c r="R761" s="149" t="s">
        <v>643</v>
      </c>
      <c r="S761" s="123"/>
    </row>
    <row r="762" spans="1:19" hidden="1">
      <c r="A762" s="147" t="s">
        <v>290</v>
      </c>
      <c r="B762" s="147"/>
      <c r="C762" s="150">
        <v>36504973</v>
      </c>
      <c r="D762" s="150"/>
      <c r="F762" s="150"/>
      <c r="G762" s="29" t="s">
        <v>823</v>
      </c>
      <c r="H762" s="29" t="s">
        <v>315</v>
      </c>
      <c r="I762" s="148">
        <v>45693</v>
      </c>
      <c r="J762" s="120">
        <f>WORKDAY(I762, 3)</f>
        <v>45698</v>
      </c>
      <c r="K762" s="148"/>
      <c r="L762" s="148"/>
      <c r="M762" s="148"/>
      <c r="N762" s="148">
        <v>45695</v>
      </c>
      <c r="O762" s="119" t="s">
        <v>10</v>
      </c>
      <c r="P762" s="152"/>
      <c r="Q762" s="153"/>
      <c r="R762" s="149" t="s">
        <v>644</v>
      </c>
      <c r="S762" s="123"/>
    </row>
    <row r="763" spans="1:19" hidden="1">
      <c r="A763" s="147" t="s">
        <v>290</v>
      </c>
      <c r="B763" s="147"/>
      <c r="C763" s="150">
        <v>36505003</v>
      </c>
      <c r="D763" s="150"/>
      <c r="F763" s="150"/>
      <c r="G763" s="29" t="s">
        <v>823</v>
      </c>
      <c r="H763" s="29" t="s">
        <v>315</v>
      </c>
      <c r="I763" s="148">
        <v>45693</v>
      </c>
      <c r="J763" s="120">
        <f>WORKDAY(I763, 3)</f>
        <v>45698</v>
      </c>
      <c r="K763" s="148"/>
      <c r="L763" s="148"/>
      <c r="M763" s="148"/>
      <c r="N763" s="148"/>
      <c r="O763" s="119" t="s">
        <v>929</v>
      </c>
      <c r="P763" s="148"/>
      <c r="Q763" s="154"/>
      <c r="R763" s="149" t="s">
        <v>645</v>
      </c>
      <c r="S763" s="123"/>
    </row>
    <row r="764" spans="1:19" hidden="1">
      <c r="A764" s="147" t="s">
        <v>290</v>
      </c>
      <c r="B764" s="147"/>
      <c r="C764" s="150">
        <v>36505041</v>
      </c>
      <c r="D764" s="150"/>
      <c r="F764" s="150"/>
      <c r="G764" s="29" t="s">
        <v>823</v>
      </c>
      <c r="H764" s="29" t="s">
        <v>315</v>
      </c>
      <c r="I764" s="148">
        <v>45693</v>
      </c>
      <c r="J764" s="120">
        <f>WORKDAY(I764, 3)</f>
        <v>45698</v>
      </c>
      <c r="K764" s="148"/>
      <c r="L764" s="148"/>
      <c r="M764" s="148"/>
      <c r="N764" s="148">
        <v>45695</v>
      </c>
      <c r="O764" s="119" t="s">
        <v>10</v>
      </c>
      <c r="P764" s="152"/>
      <c r="Q764" s="153"/>
      <c r="R764" s="149" t="s">
        <v>646</v>
      </c>
      <c r="S764" s="123"/>
    </row>
    <row r="765" spans="1:19" ht="144.75" hidden="1">
      <c r="A765" s="147" t="s">
        <v>438</v>
      </c>
      <c r="B765" s="147"/>
      <c r="C765" s="150">
        <v>37508603</v>
      </c>
      <c r="D765" s="150"/>
      <c r="F765" s="150"/>
      <c r="G765" s="29" t="s">
        <v>823</v>
      </c>
      <c r="H765" s="147" t="s">
        <v>439</v>
      </c>
      <c r="I765" s="148">
        <v>45694</v>
      </c>
      <c r="J765" s="120">
        <f>WORKDAY(I765, 3)</f>
        <v>45699</v>
      </c>
      <c r="K765" s="148"/>
      <c r="L765" s="148"/>
      <c r="M765" s="148"/>
      <c r="N765" s="148"/>
      <c r="O765" s="119" t="s">
        <v>929</v>
      </c>
      <c r="P765" s="148"/>
      <c r="Q765" s="154"/>
      <c r="R765" s="149" t="s">
        <v>440</v>
      </c>
      <c r="S765" s="123"/>
    </row>
    <row r="766" spans="1:19" ht="144.75" hidden="1">
      <c r="A766" s="147" t="s">
        <v>438</v>
      </c>
      <c r="B766" s="147"/>
      <c r="C766" s="150">
        <v>37508593</v>
      </c>
      <c r="D766" s="150"/>
      <c r="F766" s="150"/>
      <c r="G766" s="29" t="s">
        <v>823</v>
      </c>
      <c r="H766" s="147" t="s">
        <v>439</v>
      </c>
      <c r="I766" s="148">
        <v>45694</v>
      </c>
      <c r="J766" s="120">
        <f>WORKDAY(I766, 3)</f>
        <v>45699</v>
      </c>
      <c r="K766" s="148"/>
      <c r="L766" s="148"/>
      <c r="M766" s="148"/>
      <c r="N766" s="148"/>
      <c r="O766" s="119" t="s">
        <v>929</v>
      </c>
      <c r="P766" s="148"/>
      <c r="Q766" s="154"/>
      <c r="R766" s="149" t="s">
        <v>441</v>
      </c>
      <c r="S766" s="123"/>
    </row>
    <row r="767" spans="1:19" ht="144.75" hidden="1">
      <c r="A767" s="147" t="s">
        <v>438</v>
      </c>
      <c r="B767" s="147"/>
      <c r="C767" s="150">
        <v>37508575</v>
      </c>
      <c r="D767" s="150"/>
      <c r="F767" s="150"/>
      <c r="G767" s="29" t="s">
        <v>823</v>
      </c>
      <c r="H767" s="147" t="s">
        <v>439</v>
      </c>
      <c r="I767" s="148">
        <v>45694</v>
      </c>
      <c r="J767" s="120">
        <f>WORKDAY(I767, 3)</f>
        <v>45699</v>
      </c>
      <c r="K767" s="148"/>
      <c r="L767" s="148"/>
      <c r="M767" s="148"/>
      <c r="N767" s="148"/>
      <c r="O767" s="119" t="s">
        <v>929</v>
      </c>
      <c r="P767" s="148"/>
      <c r="Q767" s="154"/>
      <c r="R767" s="149" t="s">
        <v>442</v>
      </c>
      <c r="S767" s="123"/>
    </row>
    <row r="768" spans="1:19" ht="144.75" hidden="1">
      <c r="A768" s="147" t="s">
        <v>438</v>
      </c>
      <c r="B768" s="147"/>
      <c r="C768" s="150">
        <v>37508561</v>
      </c>
      <c r="D768" s="150"/>
      <c r="F768" s="150"/>
      <c r="G768" s="29" t="s">
        <v>823</v>
      </c>
      <c r="H768" s="147" t="s">
        <v>439</v>
      </c>
      <c r="I768" s="148">
        <v>45694</v>
      </c>
      <c r="J768" s="120">
        <f>WORKDAY(I768, 3)</f>
        <v>45699</v>
      </c>
      <c r="K768" s="148"/>
      <c r="L768" s="148"/>
      <c r="M768" s="148"/>
      <c r="N768" s="148"/>
      <c r="O768" s="119" t="s">
        <v>929</v>
      </c>
      <c r="P768" s="148"/>
      <c r="Q768" s="154"/>
      <c r="R768" s="149" t="s">
        <v>443</v>
      </c>
      <c r="S768" s="123"/>
    </row>
    <row r="769" spans="1:19" ht="144.75" hidden="1">
      <c r="A769" s="147" t="s">
        <v>438</v>
      </c>
      <c r="B769" s="147"/>
      <c r="C769" s="150">
        <v>37508541</v>
      </c>
      <c r="D769" s="150"/>
      <c r="F769" s="150"/>
      <c r="G769" s="29" t="s">
        <v>823</v>
      </c>
      <c r="H769" s="147" t="s">
        <v>439</v>
      </c>
      <c r="I769" s="148">
        <v>45694</v>
      </c>
      <c r="J769" s="120">
        <f>WORKDAY(I769, 3)</f>
        <v>45699</v>
      </c>
      <c r="K769" s="148"/>
      <c r="L769" s="148"/>
      <c r="M769" s="148"/>
      <c r="N769" s="148"/>
      <c r="O769" s="119" t="s">
        <v>929</v>
      </c>
      <c r="P769" s="148"/>
      <c r="Q769" s="154"/>
      <c r="R769" s="149" t="s">
        <v>444</v>
      </c>
      <c r="S769" s="123"/>
    </row>
    <row r="770" spans="1:19" ht="159" hidden="1">
      <c r="A770" s="147" t="s">
        <v>438</v>
      </c>
      <c r="B770" s="147"/>
      <c r="C770" s="150">
        <v>37508522</v>
      </c>
      <c r="D770" s="150"/>
      <c r="F770" s="150"/>
      <c r="G770" s="29" t="s">
        <v>823</v>
      </c>
      <c r="H770" s="147" t="s">
        <v>439</v>
      </c>
      <c r="I770" s="148">
        <v>45694</v>
      </c>
      <c r="J770" s="120">
        <f>WORKDAY(I770, 3)</f>
        <v>45699</v>
      </c>
      <c r="K770" s="148"/>
      <c r="L770" s="148"/>
      <c r="M770" s="148"/>
      <c r="N770" s="148"/>
      <c r="O770" s="119" t="s">
        <v>929</v>
      </c>
      <c r="P770" s="148"/>
      <c r="Q770" s="154"/>
      <c r="R770" s="149" t="s">
        <v>445</v>
      </c>
      <c r="S770" s="123"/>
    </row>
    <row r="771" spans="1:19" hidden="1">
      <c r="A771" s="29" t="s">
        <v>459</v>
      </c>
      <c r="B771" s="29"/>
      <c r="C771" s="29">
        <v>41510040</v>
      </c>
      <c r="D771" s="29"/>
      <c r="F771" s="29"/>
      <c r="G771" s="29" t="s">
        <v>823</v>
      </c>
      <c r="H771" s="29" t="s">
        <v>161</v>
      </c>
      <c r="I771" s="120">
        <v>45694</v>
      </c>
      <c r="J771" s="120">
        <f>WORKDAY(I771, 3)</f>
        <v>45699</v>
      </c>
      <c r="K771" s="120"/>
      <c r="L771" s="120"/>
      <c r="M771" s="120"/>
      <c r="N771" s="120">
        <v>45709</v>
      </c>
      <c r="O771" s="119" t="s">
        <v>10</v>
      </c>
      <c r="P771" s="152"/>
      <c r="Q771" s="153"/>
      <c r="R771" s="29" t="s">
        <v>460</v>
      </c>
      <c r="S771" s="123"/>
    </row>
    <row r="772" spans="1:19" hidden="1">
      <c r="A772" s="29" t="s">
        <v>459</v>
      </c>
      <c r="B772" s="29"/>
      <c r="C772" s="29">
        <v>41510026</v>
      </c>
      <c r="D772" s="29"/>
      <c r="F772" s="29"/>
      <c r="G772" s="29" t="s">
        <v>823</v>
      </c>
      <c r="H772" s="29" t="s">
        <v>161</v>
      </c>
      <c r="I772" s="120">
        <v>45694</v>
      </c>
      <c r="J772" s="120">
        <f>WORKDAY(I772, 3)</f>
        <v>45699</v>
      </c>
      <c r="K772" s="120"/>
      <c r="L772" s="120"/>
      <c r="M772" s="120"/>
      <c r="N772" s="120">
        <v>45710</v>
      </c>
      <c r="O772" s="119" t="s">
        <v>10</v>
      </c>
      <c r="P772" s="152"/>
      <c r="Q772" s="153"/>
      <c r="R772" s="29" t="s">
        <v>461</v>
      </c>
      <c r="S772" s="123"/>
    </row>
    <row r="773" spans="1:19" hidden="1">
      <c r="A773" s="29" t="s">
        <v>459</v>
      </c>
      <c r="B773" s="29"/>
      <c r="C773" s="29">
        <v>41510021</v>
      </c>
      <c r="D773" s="29"/>
      <c r="F773" s="29"/>
      <c r="G773" s="29" t="s">
        <v>823</v>
      </c>
      <c r="H773" s="29" t="s">
        <v>161</v>
      </c>
      <c r="I773" s="120">
        <v>45694</v>
      </c>
      <c r="J773" s="120">
        <f>WORKDAY(I773, 3)</f>
        <v>45699</v>
      </c>
      <c r="K773" s="120"/>
      <c r="L773" s="120"/>
      <c r="M773" s="120"/>
      <c r="N773" s="120">
        <v>45703</v>
      </c>
      <c r="O773" s="119" t="s">
        <v>10</v>
      </c>
      <c r="P773" s="152"/>
      <c r="Q773" s="153"/>
      <c r="R773" s="29" t="s">
        <v>462</v>
      </c>
      <c r="S773" s="123"/>
    </row>
    <row r="774" spans="1:19" hidden="1">
      <c r="A774" s="29" t="s">
        <v>459</v>
      </c>
      <c r="B774" s="29"/>
      <c r="C774" s="29">
        <v>41510011</v>
      </c>
      <c r="D774" s="29"/>
      <c r="F774" s="29"/>
      <c r="G774" s="29" t="s">
        <v>823</v>
      </c>
      <c r="H774" s="29" t="s">
        <v>161</v>
      </c>
      <c r="I774" s="120">
        <v>45694</v>
      </c>
      <c r="J774" s="120">
        <f>WORKDAY(I774, 3)</f>
        <v>45699</v>
      </c>
      <c r="K774" s="120"/>
      <c r="L774" s="120"/>
      <c r="M774" s="120"/>
      <c r="N774" s="120">
        <v>45710</v>
      </c>
      <c r="O774" s="119" t="s">
        <v>10</v>
      </c>
      <c r="P774" s="152"/>
      <c r="Q774" s="153"/>
      <c r="R774" s="29" t="s">
        <v>463</v>
      </c>
      <c r="S774" s="123"/>
    </row>
    <row r="775" spans="1:19" hidden="1">
      <c r="A775" s="29" t="s">
        <v>459</v>
      </c>
      <c r="B775" s="29"/>
      <c r="C775" s="29">
        <v>41510009</v>
      </c>
      <c r="D775" s="29"/>
      <c r="F775" s="29"/>
      <c r="G775" s="29" t="s">
        <v>823</v>
      </c>
      <c r="H775" s="29" t="s">
        <v>161</v>
      </c>
      <c r="I775" s="120">
        <v>45694</v>
      </c>
      <c r="J775" s="120">
        <f>WORKDAY(I775, 3)</f>
        <v>45699</v>
      </c>
      <c r="K775" s="120"/>
      <c r="L775" s="120"/>
      <c r="M775" s="120"/>
      <c r="N775" s="120">
        <v>45701</v>
      </c>
      <c r="O775" s="119" t="s">
        <v>10</v>
      </c>
      <c r="P775" s="152"/>
      <c r="Q775" s="153"/>
      <c r="R775" s="29" t="s">
        <v>464</v>
      </c>
      <c r="S775" s="123"/>
    </row>
    <row r="776" spans="1:19" hidden="1">
      <c r="A776" s="29" t="s">
        <v>459</v>
      </c>
      <c r="B776" s="29"/>
      <c r="C776" s="29">
        <v>41509998</v>
      </c>
      <c r="D776" s="29"/>
      <c r="F776" s="29"/>
      <c r="G776" s="29" t="s">
        <v>823</v>
      </c>
      <c r="H776" s="29" t="s">
        <v>161</v>
      </c>
      <c r="I776" s="120">
        <v>45694</v>
      </c>
      <c r="J776" s="120">
        <f>WORKDAY(I776, 3)</f>
        <v>45699</v>
      </c>
      <c r="K776" s="120"/>
      <c r="L776" s="120"/>
      <c r="M776" s="120"/>
      <c r="N776" s="148"/>
      <c r="O776" s="119" t="s">
        <v>929</v>
      </c>
      <c r="P776" s="148"/>
      <c r="Q776" s="154"/>
      <c r="R776" s="29" t="s">
        <v>463</v>
      </c>
      <c r="S776" s="123"/>
    </row>
    <row r="777" spans="1:19" hidden="1">
      <c r="A777" s="29" t="s">
        <v>459</v>
      </c>
      <c r="B777" s="29"/>
      <c r="C777" s="29">
        <v>41509965</v>
      </c>
      <c r="D777" s="29"/>
      <c r="F777" s="29"/>
      <c r="G777" s="29" t="s">
        <v>823</v>
      </c>
      <c r="H777" s="29" t="s">
        <v>161</v>
      </c>
      <c r="I777" s="120">
        <v>45694</v>
      </c>
      <c r="J777" s="120">
        <f>WORKDAY(I777, 3)</f>
        <v>45699</v>
      </c>
      <c r="K777" s="120"/>
      <c r="L777" s="120"/>
      <c r="M777" s="120"/>
      <c r="N777" s="120">
        <v>45709</v>
      </c>
      <c r="O777" s="119" t="s">
        <v>10</v>
      </c>
      <c r="P777" s="152"/>
      <c r="Q777" s="153"/>
      <c r="R777" s="29" t="s">
        <v>465</v>
      </c>
      <c r="S777" s="123"/>
    </row>
    <row r="778" spans="1:19" hidden="1">
      <c r="A778" s="29" t="s">
        <v>459</v>
      </c>
      <c r="B778" s="29"/>
      <c r="C778" s="29">
        <v>41509943</v>
      </c>
      <c r="D778" s="29"/>
      <c r="F778" s="29"/>
      <c r="G778" s="29" t="s">
        <v>823</v>
      </c>
      <c r="H778" s="29" t="s">
        <v>161</v>
      </c>
      <c r="I778" s="120">
        <v>45694</v>
      </c>
      <c r="J778" s="120">
        <f>WORKDAY(I778, 3)</f>
        <v>45699</v>
      </c>
      <c r="K778" s="120"/>
      <c r="L778" s="120"/>
      <c r="M778" s="120"/>
      <c r="N778" s="120">
        <v>45701</v>
      </c>
      <c r="O778" s="119" t="s">
        <v>10</v>
      </c>
      <c r="P778" s="152"/>
      <c r="Q778" s="153"/>
      <c r="R778" s="29" t="s">
        <v>466</v>
      </c>
      <c r="S778" s="123"/>
    </row>
    <row r="779" spans="1:19" hidden="1">
      <c r="A779" s="29" t="s">
        <v>459</v>
      </c>
      <c r="B779" s="29"/>
      <c r="C779" s="29">
        <v>41509932</v>
      </c>
      <c r="D779" s="29"/>
      <c r="F779" s="29"/>
      <c r="G779" s="29" t="s">
        <v>823</v>
      </c>
      <c r="H779" s="29" t="s">
        <v>161</v>
      </c>
      <c r="I779" s="120">
        <v>45694</v>
      </c>
      <c r="J779" s="120">
        <f>WORKDAY(I779, 3)</f>
        <v>45699</v>
      </c>
      <c r="K779" s="120"/>
      <c r="L779" s="120"/>
      <c r="M779" s="120"/>
      <c r="N779" s="120">
        <v>45706</v>
      </c>
      <c r="O779" s="119" t="s">
        <v>10</v>
      </c>
      <c r="P779" s="152"/>
      <c r="Q779" s="153"/>
      <c r="R779" s="29" t="s">
        <v>467</v>
      </c>
      <c r="S779" s="123"/>
    </row>
    <row r="780" spans="1:19" hidden="1">
      <c r="A780" s="29" t="s">
        <v>459</v>
      </c>
      <c r="B780" s="29"/>
      <c r="C780" s="29">
        <v>41509914</v>
      </c>
      <c r="D780" s="29"/>
      <c r="F780" s="29"/>
      <c r="G780" s="29" t="s">
        <v>823</v>
      </c>
      <c r="H780" s="29" t="s">
        <v>161</v>
      </c>
      <c r="I780" s="120">
        <v>45694</v>
      </c>
      <c r="J780" s="120">
        <f>WORKDAY(I780, 3)</f>
        <v>45699</v>
      </c>
      <c r="K780" s="120"/>
      <c r="L780" s="120"/>
      <c r="M780" s="120"/>
      <c r="N780" s="120">
        <v>45701</v>
      </c>
      <c r="O780" s="119" t="s">
        <v>10</v>
      </c>
      <c r="P780" s="152"/>
      <c r="Q780" s="153"/>
      <c r="R780" s="29" t="s">
        <v>468</v>
      </c>
      <c r="S780" s="123"/>
    </row>
    <row r="781" spans="1:19" hidden="1">
      <c r="A781" s="29" t="s">
        <v>459</v>
      </c>
      <c r="B781" s="29"/>
      <c r="C781" s="29">
        <v>41509898</v>
      </c>
      <c r="D781" s="29"/>
      <c r="F781" s="29"/>
      <c r="G781" s="29" t="s">
        <v>823</v>
      </c>
      <c r="H781" s="29" t="s">
        <v>161</v>
      </c>
      <c r="I781" s="120">
        <v>45694</v>
      </c>
      <c r="J781" s="120">
        <f>WORKDAY(I781, 3)</f>
        <v>45699</v>
      </c>
      <c r="K781" s="120"/>
      <c r="L781" s="120"/>
      <c r="M781" s="120"/>
      <c r="N781" s="120">
        <v>45702</v>
      </c>
      <c r="O781" s="119" t="s">
        <v>10</v>
      </c>
      <c r="P781" s="152"/>
      <c r="Q781" s="153"/>
      <c r="R781" s="29" t="s">
        <v>469</v>
      </c>
      <c r="S781" s="123"/>
    </row>
    <row r="782" spans="1:19" hidden="1">
      <c r="A782" s="29" t="s">
        <v>459</v>
      </c>
      <c r="B782" s="29"/>
      <c r="C782" s="29">
        <v>41509893</v>
      </c>
      <c r="D782" s="29"/>
      <c r="F782" s="29"/>
      <c r="G782" s="29" t="s">
        <v>823</v>
      </c>
      <c r="H782" s="29" t="s">
        <v>161</v>
      </c>
      <c r="I782" s="120">
        <v>45694</v>
      </c>
      <c r="J782" s="120">
        <f>WORKDAY(I782, 3)</f>
        <v>45699</v>
      </c>
      <c r="K782" s="120"/>
      <c r="L782" s="120"/>
      <c r="M782" s="120"/>
      <c r="N782" s="120">
        <v>45707</v>
      </c>
      <c r="O782" s="119" t="s">
        <v>10</v>
      </c>
      <c r="P782" s="152"/>
      <c r="Q782" s="153"/>
      <c r="R782" s="29" t="s">
        <v>470</v>
      </c>
      <c r="S782" s="123"/>
    </row>
    <row r="783" spans="1:19" hidden="1">
      <c r="A783" s="29" t="s">
        <v>459</v>
      </c>
      <c r="B783" s="29"/>
      <c r="C783" s="29">
        <v>41509884</v>
      </c>
      <c r="D783" s="29"/>
      <c r="F783" s="29"/>
      <c r="G783" s="29" t="s">
        <v>823</v>
      </c>
      <c r="H783" s="29" t="s">
        <v>161</v>
      </c>
      <c r="I783" s="120">
        <v>45694</v>
      </c>
      <c r="J783" s="120">
        <f>WORKDAY(I783, 3)</f>
        <v>45699</v>
      </c>
      <c r="K783" s="120">
        <v>45729</v>
      </c>
      <c r="L783" s="120"/>
      <c r="M783" s="120"/>
      <c r="N783" s="148"/>
      <c r="O783" s="119" t="s">
        <v>929</v>
      </c>
      <c r="P783" s="148"/>
      <c r="Q783" s="154"/>
      <c r="R783" s="29" t="s">
        <v>466</v>
      </c>
      <c r="S783" s="123"/>
    </row>
    <row r="784" spans="1:19" hidden="1">
      <c r="A784" s="29" t="s">
        <v>459</v>
      </c>
      <c r="B784" s="29"/>
      <c r="C784" s="29">
        <v>41509879</v>
      </c>
      <c r="D784" s="29"/>
      <c r="F784" s="29"/>
      <c r="G784" s="29" t="s">
        <v>823</v>
      </c>
      <c r="H784" s="29" t="s">
        <v>161</v>
      </c>
      <c r="I784" s="120">
        <v>45694</v>
      </c>
      <c r="J784" s="120">
        <f>WORKDAY(I784, 3)</f>
        <v>45699</v>
      </c>
      <c r="K784" s="120">
        <v>45729</v>
      </c>
      <c r="L784" s="120"/>
      <c r="M784" s="120"/>
      <c r="N784" s="148"/>
      <c r="O784" s="119" t="s">
        <v>929</v>
      </c>
      <c r="P784" s="148"/>
      <c r="Q784" s="154"/>
      <c r="R784" s="29" t="s">
        <v>466</v>
      </c>
      <c r="S784" s="123"/>
    </row>
    <row r="785" spans="1:19" hidden="1">
      <c r="A785" s="29" t="s">
        <v>459</v>
      </c>
      <c r="B785" s="29"/>
      <c r="C785" s="29">
        <v>41509833</v>
      </c>
      <c r="D785" s="29"/>
      <c r="F785" s="29"/>
      <c r="G785" s="29" t="s">
        <v>823</v>
      </c>
      <c r="H785" s="29" t="s">
        <v>161</v>
      </c>
      <c r="I785" s="120">
        <v>45694</v>
      </c>
      <c r="J785" s="120">
        <f>WORKDAY(I785, 3)</f>
        <v>45699</v>
      </c>
      <c r="K785" s="120">
        <v>45729</v>
      </c>
      <c r="L785" s="120"/>
      <c r="M785" s="120"/>
      <c r="N785" s="148"/>
      <c r="O785" s="119" t="s">
        <v>929</v>
      </c>
      <c r="P785" s="148"/>
      <c r="Q785" s="154"/>
      <c r="R785" s="29" t="s">
        <v>470</v>
      </c>
      <c r="S785" s="123"/>
    </row>
    <row r="786" spans="1:19" hidden="1">
      <c r="A786" s="29" t="s">
        <v>459</v>
      </c>
      <c r="B786" s="29"/>
      <c r="C786" s="29">
        <v>41509811</v>
      </c>
      <c r="D786" s="29"/>
      <c r="F786" s="29"/>
      <c r="G786" s="29" t="s">
        <v>823</v>
      </c>
      <c r="H786" s="29" t="s">
        <v>161</v>
      </c>
      <c r="I786" s="120">
        <v>45694</v>
      </c>
      <c r="J786" s="120">
        <f>WORKDAY(I786, 3)</f>
        <v>45699</v>
      </c>
      <c r="K786" s="120">
        <v>45729</v>
      </c>
      <c r="L786" s="120"/>
      <c r="M786" s="120"/>
      <c r="N786" s="148"/>
      <c r="O786" s="119" t="s">
        <v>929</v>
      </c>
      <c r="P786" s="148"/>
      <c r="Q786" s="154"/>
      <c r="R786" s="29" t="s">
        <v>469</v>
      </c>
      <c r="S786" s="123"/>
    </row>
    <row r="787" spans="1:19" hidden="1">
      <c r="A787" s="29" t="s">
        <v>459</v>
      </c>
      <c r="B787" s="29"/>
      <c r="C787" s="29">
        <v>41509791</v>
      </c>
      <c r="D787" s="29"/>
      <c r="F787" s="29"/>
      <c r="G787" s="29" t="s">
        <v>823</v>
      </c>
      <c r="H787" s="29" t="s">
        <v>161</v>
      </c>
      <c r="I787" s="120">
        <v>45694</v>
      </c>
      <c r="J787" s="120">
        <f>WORKDAY(I787, 3)</f>
        <v>45699</v>
      </c>
      <c r="K787" s="120">
        <v>45729</v>
      </c>
      <c r="L787" s="120"/>
      <c r="M787" s="120"/>
      <c r="N787" s="148"/>
      <c r="O787" s="119" t="s">
        <v>929</v>
      </c>
      <c r="P787" s="148"/>
      <c r="Q787" s="154"/>
      <c r="R787" s="29" t="s">
        <v>468</v>
      </c>
      <c r="S787" s="123"/>
    </row>
    <row r="788" spans="1:19" hidden="1">
      <c r="A788" s="29" t="s">
        <v>433</v>
      </c>
      <c r="B788" s="29"/>
      <c r="C788" s="29">
        <v>36501266</v>
      </c>
      <c r="D788" s="29"/>
      <c r="F788" s="29"/>
      <c r="G788" s="29" t="s">
        <v>823</v>
      </c>
      <c r="H788" s="29" t="s">
        <v>161</v>
      </c>
      <c r="I788" s="120">
        <v>45694</v>
      </c>
      <c r="J788" s="120">
        <f>WORKDAY(I788, 3)</f>
        <v>45699</v>
      </c>
      <c r="K788" s="120">
        <v>45729</v>
      </c>
      <c r="L788" s="120"/>
      <c r="M788" s="120"/>
      <c r="N788" s="148"/>
      <c r="O788" s="119" t="s">
        <v>929</v>
      </c>
      <c r="P788" s="148"/>
      <c r="Q788" s="154"/>
      <c r="R788" s="29" t="s">
        <v>471</v>
      </c>
      <c r="S788" s="123"/>
    </row>
    <row r="789" spans="1:19" hidden="1">
      <c r="A789" s="29" t="s">
        <v>472</v>
      </c>
      <c r="B789" s="29"/>
      <c r="C789" s="29">
        <v>39500386</v>
      </c>
      <c r="D789" s="29"/>
      <c r="F789" s="29"/>
      <c r="G789" s="29" t="s">
        <v>823</v>
      </c>
      <c r="H789" s="29" t="s">
        <v>473</v>
      </c>
      <c r="I789" s="120">
        <v>45694</v>
      </c>
      <c r="J789" s="120">
        <f>WORKDAY(I789, 3)</f>
        <v>45699</v>
      </c>
      <c r="K789" s="120">
        <v>45729</v>
      </c>
      <c r="L789" s="120"/>
      <c r="M789" s="120"/>
      <c r="N789" s="120"/>
      <c r="O789" s="119" t="s">
        <v>929</v>
      </c>
      <c r="P789" s="120"/>
      <c r="Q789" s="135"/>
      <c r="R789" s="29" t="s">
        <v>474</v>
      </c>
      <c r="S789" s="123"/>
    </row>
    <row r="790" spans="1:19" hidden="1">
      <c r="A790" s="29" t="s">
        <v>472</v>
      </c>
      <c r="B790" s="29"/>
      <c r="C790" s="29">
        <v>39500383</v>
      </c>
      <c r="D790" s="29"/>
      <c r="F790" s="29"/>
      <c r="G790" s="29" t="s">
        <v>823</v>
      </c>
      <c r="H790" s="29" t="s">
        <v>473</v>
      </c>
      <c r="I790" s="120">
        <v>45694</v>
      </c>
      <c r="J790" s="120">
        <f>WORKDAY(I790, 3)</f>
        <v>45699</v>
      </c>
      <c r="K790" s="120">
        <v>45729</v>
      </c>
      <c r="L790" s="120"/>
      <c r="M790" s="120"/>
      <c r="N790" s="120"/>
      <c r="O790" s="119" t="s">
        <v>929</v>
      </c>
      <c r="P790" s="120"/>
      <c r="Q790" s="135"/>
      <c r="R790" s="29" t="s">
        <v>475</v>
      </c>
      <c r="S790" s="123"/>
    </row>
    <row r="791" spans="1:19" hidden="1">
      <c r="A791" s="29" t="s">
        <v>472</v>
      </c>
      <c r="B791" s="29"/>
      <c r="C791" s="29">
        <v>39500377</v>
      </c>
      <c r="D791" s="29"/>
      <c r="F791" s="29"/>
      <c r="G791" s="29" t="s">
        <v>823</v>
      </c>
      <c r="H791" s="29" t="s">
        <v>473</v>
      </c>
      <c r="I791" s="120">
        <v>45694</v>
      </c>
      <c r="J791" s="120">
        <f>WORKDAY(I791, 3)</f>
        <v>45699</v>
      </c>
      <c r="K791" s="120">
        <v>45729</v>
      </c>
      <c r="L791" s="120"/>
      <c r="M791" s="120"/>
      <c r="N791" s="120"/>
      <c r="O791" s="119" t="s">
        <v>929</v>
      </c>
      <c r="P791" s="120"/>
      <c r="Q791" s="135"/>
      <c r="R791" s="29" t="s">
        <v>476</v>
      </c>
      <c r="S791" s="123"/>
    </row>
    <row r="792" spans="1:19" hidden="1">
      <c r="A792" s="29" t="s">
        <v>511</v>
      </c>
      <c r="B792" s="29"/>
      <c r="C792" s="29">
        <v>38505536</v>
      </c>
      <c r="D792" s="29"/>
      <c r="F792" s="29"/>
      <c r="G792" s="29" t="s">
        <v>823</v>
      </c>
      <c r="H792" s="29" t="s">
        <v>486</v>
      </c>
      <c r="I792" s="120">
        <v>45695</v>
      </c>
      <c r="J792" s="120">
        <f>WORKDAY(I792, 3)</f>
        <v>45700</v>
      </c>
      <c r="K792" s="120"/>
      <c r="L792" s="120"/>
      <c r="M792" s="120"/>
      <c r="N792" s="120"/>
      <c r="O792" s="119" t="s">
        <v>929</v>
      </c>
      <c r="P792" s="120"/>
      <c r="Q792" s="135"/>
      <c r="R792" s="29" t="s">
        <v>487</v>
      </c>
      <c r="S792" s="123"/>
    </row>
    <row r="793" spans="1:19" hidden="1">
      <c r="A793" s="29" t="s">
        <v>511</v>
      </c>
      <c r="B793" s="29"/>
      <c r="C793" s="29">
        <v>38505300</v>
      </c>
      <c r="D793" s="29"/>
      <c r="F793" s="29"/>
      <c r="G793" s="29" t="s">
        <v>823</v>
      </c>
      <c r="H793" s="29" t="s">
        <v>486</v>
      </c>
      <c r="I793" s="120">
        <v>45695</v>
      </c>
      <c r="J793" s="120">
        <f>WORKDAY(I793, 3)</f>
        <v>45700</v>
      </c>
      <c r="K793" s="120"/>
      <c r="L793" s="120"/>
      <c r="M793" s="120"/>
      <c r="N793" s="120"/>
      <c r="O793" s="119" t="s">
        <v>929</v>
      </c>
      <c r="P793" s="120"/>
      <c r="Q793" s="135"/>
      <c r="R793" s="29" t="s">
        <v>487</v>
      </c>
      <c r="S793" s="123"/>
    </row>
    <row r="794" spans="1:19" hidden="1">
      <c r="A794" s="29" t="s">
        <v>511</v>
      </c>
      <c r="B794" s="29"/>
      <c r="C794" s="29">
        <v>38505266</v>
      </c>
      <c r="D794" s="29"/>
      <c r="F794" s="29"/>
      <c r="G794" s="29" t="s">
        <v>823</v>
      </c>
      <c r="H794" s="29" t="s">
        <v>486</v>
      </c>
      <c r="I794" s="120">
        <v>45695</v>
      </c>
      <c r="J794" s="120">
        <f>WORKDAY(I794, 3)</f>
        <v>45700</v>
      </c>
      <c r="K794" s="120"/>
      <c r="L794" s="120"/>
      <c r="M794" s="120"/>
      <c r="N794" s="120"/>
      <c r="O794" s="119" t="s">
        <v>929</v>
      </c>
      <c r="P794" s="120"/>
      <c r="Q794" s="135"/>
      <c r="R794" s="29" t="s">
        <v>487</v>
      </c>
      <c r="S794" s="123"/>
    </row>
    <row r="795" spans="1:19" hidden="1">
      <c r="A795" s="29" t="s">
        <v>511</v>
      </c>
      <c r="B795" s="29"/>
      <c r="C795" s="29">
        <v>38505238</v>
      </c>
      <c r="D795" s="29"/>
      <c r="F795" s="29"/>
      <c r="G795" s="29" t="s">
        <v>823</v>
      </c>
      <c r="H795" s="29" t="s">
        <v>486</v>
      </c>
      <c r="I795" s="120">
        <v>45695</v>
      </c>
      <c r="J795" s="120">
        <f>WORKDAY(I795, 3)</f>
        <v>45700</v>
      </c>
      <c r="K795" s="120"/>
      <c r="L795" s="120"/>
      <c r="M795" s="120"/>
      <c r="N795" s="120"/>
      <c r="O795" s="119" t="s">
        <v>929</v>
      </c>
      <c r="P795" s="120"/>
      <c r="Q795" s="135"/>
      <c r="R795" s="29" t="s">
        <v>487</v>
      </c>
      <c r="S795" s="123"/>
    </row>
    <row r="796" spans="1:19" hidden="1">
      <c r="A796" s="29" t="s">
        <v>511</v>
      </c>
      <c r="B796" s="29"/>
      <c r="C796" s="29">
        <v>38505158</v>
      </c>
      <c r="D796" s="29"/>
      <c r="F796" s="29"/>
      <c r="G796" s="29" t="s">
        <v>823</v>
      </c>
      <c r="H796" s="29" t="s">
        <v>486</v>
      </c>
      <c r="I796" s="120">
        <v>45695</v>
      </c>
      <c r="J796" s="120">
        <f>WORKDAY(I796, 3)</f>
        <v>45700</v>
      </c>
      <c r="K796" s="120"/>
      <c r="L796" s="120"/>
      <c r="M796" s="120"/>
      <c r="N796" s="120"/>
      <c r="O796" s="119" t="s">
        <v>929</v>
      </c>
      <c r="P796" s="120"/>
      <c r="Q796" s="135"/>
      <c r="R796" s="29" t="s">
        <v>488</v>
      </c>
      <c r="S796" s="123"/>
    </row>
    <row r="797" spans="1:19" hidden="1">
      <c r="A797" s="29" t="s">
        <v>511</v>
      </c>
      <c r="B797" s="29"/>
      <c r="C797" s="29">
        <v>38505119</v>
      </c>
      <c r="D797" s="29"/>
      <c r="F797" s="29"/>
      <c r="G797" s="29" t="s">
        <v>823</v>
      </c>
      <c r="H797" s="29" t="s">
        <v>486</v>
      </c>
      <c r="I797" s="120">
        <v>45695</v>
      </c>
      <c r="J797" s="120">
        <f>WORKDAY(I797, 3)</f>
        <v>45700</v>
      </c>
      <c r="K797" s="120"/>
      <c r="L797" s="120"/>
      <c r="M797" s="120"/>
      <c r="N797" s="120"/>
      <c r="O797" s="119" t="s">
        <v>929</v>
      </c>
      <c r="P797" s="120"/>
      <c r="Q797" s="135"/>
      <c r="R797" s="29" t="s">
        <v>489</v>
      </c>
      <c r="S797" s="123"/>
    </row>
    <row r="798" spans="1:19" hidden="1">
      <c r="A798" s="29" t="s">
        <v>511</v>
      </c>
      <c r="B798" s="29"/>
      <c r="C798" s="29">
        <v>38505007</v>
      </c>
      <c r="D798" s="29"/>
      <c r="F798" s="29"/>
      <c r="G798" s="29" t="s">
        <v>823</v>
      </c>
      <c r="H798" s="29" t="s">
        <v>486</v>
      </c>
      <c r="I798" s="120">
        <v>45695</v>
      </c>
      <c r="J798" s="120">
        <f>WORKDAY(I798, 3)</f>
        <v>45700</v>
      </c>
      <c r="K798" s="120"/>
      <c r="L798" s="120"/>
      <c r="M798" s="120"/>
      <c r="N798" s="120"/>
      <c r="O798" s="119" t="s">
        <v>929</v>
      </c>
      <c r="P798" s="120"/>
      <c r="Q798" s="135"/>
      <c r="R798" s="29" t="s">
        <v>490</v>
      </c>
      <c r="S798" s="123"/>
    </row>
    <row r="799" spans="1:19" hidden="1">
      <c r="A799" s="29" t="s">
        <v>511</v>
      </c>
      <c r="B799" s="29"/>
      <c r="C799" s="29">
        <v>38504963</v>
      </c>
      <c r="D799" s="29"/>
      <c r="F799" s="29"/>
      <c r="G799" s="29" t="s">
        <v>823</v>
      </c>
      <c r="H799" s="29" t="s">
        <v>486</v>
      </c>
      <c r="I799" s="120">
        <v>45695</v>
      </c>
      <c r="J799" s="120">
        <f>WORKDAY(I799, 3)</f>
        <v>45700</v>
      </c>
      <c r="K799" s="120"/>
      <c r="L799" s="120"/>
      <c r="M799" s="120"/>
      <c r="N799" s="120"/>
      <c r="O799" s="119" t="s">
        <v>929</v>
      </c>
      <c r="P799" s="120"/>
      <c r="Q799" s="135"/>
      <c r="R799" s="29" t="s">
        <v>491</v>
      </c>
      <c r="S799" s="123"/>
    </row>
    <row r="800" spans="1:19" hidden="1">
      <c r="A800" s="29" t="s">
        <v>511</v>
      </c>
      <c r="B800" s="29"/>
      <c r="C800" s="29">
        <v>38504886</v>
      </c>
      <c r="D800" s="29"/>
      <c r="F800" s="29"/>
      <c r="G800" s="29" t="s">
        <v>823</v>
      </c>
      <c r="H800" s="29" t="s">
        <v>486</v>
      </c>
      <c r="I800" s="120">
        <v>45695</v>
      </c>
      <c r="J800" s="120">
        <f>WORKDAY(I800, 3)</f>
        <v>45700</v>
      </c>
      <c r="K800" s="120"/>
      <c r="L800" s="120"/>
      <c r="M800" s="120"/>
      <c r="N800" s="120"/>
      <c r="O800" s="119" t="s">
        <v>929</v>
      </c>
      <c r="P800" s="120"/>
      <c r="Q800" s="135"/>
      <c r="R800" s="29" t="s">
        <v>492</v>
      </c>
      <c r="S800" s="123"/>
    </row>
    <row r="801" spans="1:19" hidden="1">
      <c r="A801" s="29" t="s">
        <v>511</v>
      </c>
      <c r="B801" s="29"/>
      <c r="C801" s="29">
        <v>38504796</v>
      </c>
      <c r="D801" s="29"/>
      <c r="F801" s="29"/>
      <c r="G801" s="29" t="s">
        <v>823</v>
      </c>
      <c r="H801" s="29" t="s">
        <v>486</v>
      </c>
      <c r="I801" s="120">
        <v>45695</v>
      </c>
      <c r="J801" s="120">
        <f>WORKDAY(I801, 3)</f>
        <v>45700</v>
      </c>
      <c r="K801" s="120"/>
      <c r="L801" s="120"/>
      <c r="M801" s="120"/>
      <c r="N801" s="120"/>
      <c r="O801" s="119" t="s">
        <v>929</v>
      </c>
      <c r="P801" s="120"/>
      <c r="Q801" s="135"/>
      <c r="R801" s="29" t="s">
        <v>493</v>
      </c>
      <c r="S801" s="123"/>
    </row>
    <row r="802" spans="1:19" hidden="1">
      <c r="A802" s="29" t="s">
        <v>511</v>
      </c>
      <c r="B802" s="29"/>
      <c r="C802" s="29">
        <v>38504725</v>
      </c>
      <c r="D802" s="29"/>
      <c r="F802" s="29"/>
      <c r="G802" s="29" t="s">
        <v>823</v>
      </c>
      <c r="H802" s="29" t="s">
        <v>486</v>
      </c>
      <c r="I802" s="120">
        <v>45695</v>
      </c>
      <c r="J802" s="120">
        <f>WORKDAY(I802, 3)</f>
        <v>45700</v>
      </c>
      <c r="K802" s="120"/>
      <c r="L802" s="120"/>
      <c r="M802" s="120"/>
      <c r="N802" s="120"/>
      <c r="O802" s="119" t="s">
        <v>929</v>
      </c>
      <c r="P802" s="120"/>
      <c r="Q802" s="135"/>
      <c r="R802" s="29" t="s">
        <v>494</v>
      </c>
      <c r="S802" s="123"/>
    </row>
    <row r="803" spans="1:19" hidden="1">
      <c r="A803" s="29" t="s">
        <v>511</v>
      </c>
      <c r="B803" s="29"/>
      <c r="C803" s="29">
        <v>38504674</v>
      </c>
      <c r="D803" s="29"/>
      <c r="F803" s="29"/>
      <c r="G803" s="29" t="s">
        <v>823</v>
      </c>
      <c r="H803" s="29" t="s">
        <v>486</v>
      </c>
      <c r="I803" s="120">
        <v>45695</v>
      </c>
      <c r="J803" s="120">
        <f>WORKDAY(I803, 3)</f>
        <v>45700</v>
      </c>
      <c r="K803" s="120"/>
      <c r="L803" s="120"/>
      <c r="M803" s="120"/>
      <c r="N803" s="120"/>
      <c r="O803" s="119" t="s">
        <v>929</v>
      </c>
      <c r="P803" s="120"/>
      <c r="Q803" s="135"/>
      <c r="R803" s="29" t="s">
        <v>495</v>
      </c>
      <c r="S803" s="123"/>
    </row>
    <row r="804" spans="1:19" hidden="1">
      <c r="A804" s="29" t="s">
        <v>511</v>
      </c>
      <c r="B804" s="29"/>
      <c r="C804" s="29">
        <v>38504585</v>
      </c>
      <c r="D804" s="29"/>
      <c r="F804" s="29"/>
      <c r="G804" s="29" t="s">
        <v>823</v>
      </c>
      <c r="H804" s="29" t="s">
        <v>486</v>
      </c>
      <c r="I804" s="120">
        <v>45695</v>
      </c>
      <c r="J804" s="120">
        <f>WORKDAY(I804, 3)</f>
        <v>45700</v>
      </c>
      <c r="K804" s="120"/>
      <c r="L804" s="120"/>
      <c r="M804" s="120"/>
      <c r="N804" s="120"/>
      <c r="O804" s="119" t="s">
        <v>929</v>
      </c>
      <c r="P804" s="120"/>
      <c r="Q804" s="135"/>
      <c r="R804" s="29" t="s">
        <v>496</v>
      </c>
      <c r="S804" s="123"/>
    </row>
    <row r="805" spans="1:19" hidden="1">
      <c r="A805" s="29" t="s">
        <v>497</v>
      </c>
      <c r="B805" s="29"/>
      <c r="C805" s="29">
        <v>38503182</v>
      </c>
      <c r="D805" s="29"/>
      <c r="F805" s="29"/>
      <c r="G805" s="29" t="s">
        <v>823</v>
      </c>
      <c r="H805" s="29" t="s">
        <v>473</v>
      </c>
      <c r="I805" s="120">
        <v>45694</v>
      </c>
      <c r="J805" s="120">
        <f>WORKDAY(I805, 3)</f>
        <v>45699</v>
      </c>
      <c r="K805" s="120">
        <v>45723</v>
      </c>
      <c r="L805" s="120"/>
      <c r="M805" s="120"/>
      <c r="N805" s="120"/>
      <c r="O805" s="119" t="s">
        <v>940</v>
      </c>
      <c r="P805" s="120"/>
      <c r="Q805" s="135"/>
      <c r="R805" s="29" t="s">
        <v>498</v>
      </c>
      <c r="S805" s="123"/>
    </row>
    <row r="806" spans="1:19" hidden="1">
      <c r="A806" s="29" t="s">
        <v>497</v>
      </c>
      <c r="B806" s="29"/>
      <c r="C806" s="29">
        <v>38503161</v>
      </c>
      <c r="D806" s="29"/>
      <c r="F806" s="29"/>
      <c r="G806" s="29" t="s">
        <v>823</v>
      </c>
      <c r="H806" s="29" t="s">
        <v>473</v>
      </c>
      <c r="I806" s="120">
        <v>45694</v>
      </c>
      <c r="J806" s="120">
        <f>WORKDAY(I806, 3)</f>
        <v>45699</v>
      </c>
      <c r="K806" s="120">
        <v>45723</v>
      </c>
      <c r="L806" s="120"/>
      <c r="M806" s="120"/>
      <c r="N806" s="120"/>
      <c r="O806" s="119" t="s">
        <v>940</v>
      </c>
      <c r="P806" s="120"/>
      <c r="Q806" s="135"/>
      <c r="R806" s="29" t="s">
        <v>499</v>
      </c>
      <c r="S806" s="123"/>
    </row>
    <row r="807" spans="1:19" hidden="1">
      <c r="A807" s="29" t="s">
        <v>497</v>
      </c>
      <c r="B807" s="29"/>
      <c r="C807" s="29">
        <v>38503146</v>
      </c>
      <c r="D807" s="29"/>
      <c r="F807" s="29"/>
      <c r="G807" s="29" t="s">
        <v>823</v>
      </c>
      <c r="H807" s="29" t="s">
        <v>473</v>
      </c>
      <c r="I807" s="120">
        <v>45694</v>
      </c>
      <c r="J807" s="120">
        <f>WORKDAY(I807, 3)</f>
        <v>45699</v>
      </c>
      <c r="K807" s="120">
        <v>45723</v>
      </c>
      <c r="L807" s="120"/>
      <c r="M807" s="120"/>
      <c r="N807" s="120"/>
      <c r="O807" s="119" t="s">
        <v>940</v>
      </c>
      <c r="P807" s="120"/>
      <c r="Q807" s="135"/>
      <c r="R807" s="29" t="s">
        <v>500</v>
      </c>
      <c r="S807" s="123"/>
    </row>
    <row r="808" spans="1:19" hidden="1">
      <c r="A808" s="29" t="s">
        <v>497</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500</v>
      </c>
      <c r="S808" s="123"/>
    </row>
    <row r="809" spans="1:19" hidden="1">
      <c r="A809" s="29" t="s">
        <v>497</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501</v>
      </c>
      <c r="S809" s="123"/>
    </row>
    <row r="810" spans="1:19" hidden="1">
      <c r="A810" s="29" t="s">
        <v>497</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502</v>
      </c>
      <c r="S810" s="123"/>
    </row>
    <row r="811" spans="1:19" hidden="1">
      <c r="A811" s="29" t="s">
        <v>497</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503</v>
      </c>
      <c r="S811" s="123"/>
    </row>
    <row r="812" spans="1:19" hidden="1">
      <c r="A812" s="29" t="s">
        <v>497</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503</v>
      </c>
      <c r="S812" s="123"/>
    </row>
    <row r="813" spans="1:19" hidden="1">
      <c r="A813" s="29" t="s">
        <v>438</v>
      </c>
      <c r="B813" s="29"/>
      <c r="C813" s="29">
        <v>36508918</v>
      </c>
      <c r="D813" s="29"/>
      <c r="F813" s="29"/>
      <c r="G813" s="29" t="s">
        <v>823</v>
      </c>
      <c r="H813" s="147" t="s">
        <v>439</v>
      </c>
      <c r="I813" s="120">
        <v>45694</v>
      </c>
      <c r="J813" s="120">
        <f>WORKDAY(I813, 3)</f>
        <v>45699</v>
      </c>
      <c r="K813" s="120"/>
      <c r="L813" s="120"/>
      <c r="M813" s="120"/>
      <c r="N813" s="120"/>
      <c r="O813" s="119" t="s">
        <v>929</v>
      </c>
      <c r="P813" s="120"/>
      <c r="Q813" s="135"/>
      <c r="R813" s="29" t="s">
        <v>504</v>
      </c>
      <c r="S813" s="123"/>
    </row>
    <row r="814" spans="1:19" hidden="1">
      <c r="A814" s="29" t="s">
        <v>438</v>
      </c>
      <c r="B814" s="29"/>
      <c r="C814" s="29">
        <v>37508575</v>
      </c>
      <c r="D814" s="29"/>
      <c r="F814" s="29"/>
      <c r="G814" s="29" t="s">
        <v>823</v>
      </c>
      <c r="H814" s="147" t="s">
        <v>439</v>
      </c>
      <c r="I814" s="120">
        <v>45694</v>
      </c>
      <c r="J814" s="120">
        <f>WORKDAY(I814, 3)</f>
        <v>45699</v>
      </c>
      <c r="K814" s="120"/>
      <c r="L814" s="120"/>
      <c r="M814" s="120"/>
      <c r="N814" s="120"/>
      <c r="O814" s="119" t="s">
        <v>929</v>
      </c>
      <c r="P814" s="120"/>
      <c r="Q814" s="135"/>
      <c r="R814" s="29" t="s">
        <v>505</v>
      </c>
      <c r="S814" s="123"/>
    </row>
    <row r="815" spans="1:19" hidden="1">
      <c r="A815" s="29" t="s">
        <v>438</v>
      </c>
      <c r="B815" s="29"/>
      <c r="C815" s="29">
        <v>37508561</v>
      </c>
      <c r="D815" s="29"/>
      <c r="F815" s="29"/>
      <c r="G815" s="29" t="s">
        <v>823</v>
      </c>
      <c r="H815" s="147" t="s">
        <v>439</v>
      </c>
      <c r="I815" s="120">
        <v>45694</v>
      </c>
      <c r="J815" s="120">
        <f>WORKDAY(I815, 3)</f>
        <v>45699</v>
      </c>
      <c r="K815" s="120"/>
      <c r="L815" s="120"/>
      <c r="M815" s="120"/>
      <c r="N815" s="120"/>
      <c r="O815" s="119" t="s">
        <v>929</v>
      </c>
      <c r="P815" s="120"/>
      <c r="Q815" s="135"/>
      <c r="R815" s="29" t="s">
        <v>507</v>
      </c>
      <c r="S815" s="123"/>
    </row>
    <row r="816" spans="1:19" hidden="1">
      <c r="A816" s="29" t="s">
        <v>438</v>
      </c>
      <c r="B816" s="29"/>
      <c r="C816" s="29">
        <v>37508541</v>
      </c>
      <c r="D816" s="29"/>
      <c r="F816" s="29"/>
      <c r="G816" s="29" t="s">
        <v>823</v>
      </c>
      <c r="H816" s="147" t="s">
        <v>439</v>
      </c>
      <c r="I816" s="120">
        <v>45694</v>
      </c>
      <c r="J816" s="120">
        <f>WORKDAY(I816, 3)</f>
        <v>45699</v>
      </c>
      <c r="K816" s="120"/>
      <c r="L816" s="120"/>
      <c r="M816" s="120"/>
      <c r="N816" s="120"/>
      <c r="O816" s="119" t="s">
        <v>929</v>
      </c>
      <c r="P816" s="120"/>
      <c r="Q816" s="135"/>
      <c r="R816" s="29" t="s">
        <v>504</v>
      </c>
      <c r="S816" s="123"/>
    </row>
    <row r="817" spans="1:19" hidden="1">
      <c r="A817" s="29" t="s">
        <v>438</v>
      </c>
      <c r="B817" s="29"/>
      <c r="C817" s="29">
        <v>37508522</v>
      </c>
      <c r="D817" s="29"/>
      <c r="F817" s="29"/>
      <c r="G817" s="29" t="s">
        <v>823</v>
      </c>
      <c r="H817" s="147" t="s">
        <v>439</v>
      </c>
      <c r="I817" s="120">
        <v>45694</v>
      </c>
      <c r="J817" s="120">
        <f>WORKDAY(I817, 3)</f>
        <v>45699</v>
      </c>
      <c r="K817" s="120"/>
      <c r="L817" s="120"/>
      <c r="M817" s="120"/>
      <c r="N817" s="120"/>
      <c r="O817" s="119" t="s">
        <v>929</v>
      </c>
      <c r="P817" s="120"/>
      <c r="Q817" s="135"/>
      <c r="R817" s="29" t="s">
        <v>508</v>
      </c>
      <c r="S817" s="123"/>
    </row>
    <row r="818" spans="1:19" hidden="1">
      <c r="A818" s="29" t="s">
        <v>366</v>
      </c>
      <c r="B818" s="29"/>
      <c r="C818" s="29">
        <v>37508488</v>
      </c>
      <c r="D818" s="29"/>
      <c r="F818" s="29"/>
      <c r="G818" s="29" t="s">
        <v>823</v>
      </c>
      <c r="H818" s="29" t="s">
        <v>367</v>
      </c>
      <c r="I818" s="120">
        <v>45694</v>
      </c>
      <c r="J818" s="120">
        <f>WORKDAY(I818, 3)</f>
        <v>45699</v>
      </c>
      <c r="K818" s="120"/>
      <c r="L818" s="120"/>
      <c r="M818" s="120"/>
      <c r="N818" s="120">
        <v>45701</v>
      </c>
      <c r="O818" s="119" t="s">
        <v>10</v>
      </c>
      <c r="P818" s="152"/>
      <c r="Q818" s="153"/>
      <c r="R818" s="29" t="s">
        <v>509</v>
      </c>
      <c r="S818" s="123"/>
    </row>
    <row r="819" spans="1:19" hidden="1">
      <c r="A819" s="29" t="s">
        <v>438</v>
      </c>
      <c r="B819" s="29"/>
      <c r="C819" s="29">
        <v>37508476</v>
      </c>
      <c r="D819" s="29"/>
      <c r="F819" s="29"/>
      <c r="G819" s="29" t="s">
        <v>823</v>
      </c>
      <c r="H819" s="147" t="s">
        <v>439</v>
      </c>
      <c r="I819" s="120">
        <v>45694</v>
      </c>
      <c r="J819" s="120">
        <f>WORKDAY(I819, 3)</f>
        <v>45699</v>
      </c>
      <c r="K819" s="120"/>
      <c r="L819" s="120"/>
      <c r="M819" s="120"/>
      <c r="N819" s="120"/>
      <c r="O819" s="119" t="s">
        <v>929</v>
      </c>
      <c r="P819" s="120"/>
      <c r="Q819" s="135"/>
      <c r="R819" s="29" t="s">
        <v>510</v>
      </c>
      <c r="S819" s="123"/>
    </row>
    <row r="820" spans="1:19" hidden="1">
      <c r="A820" s="41" t="s">
        <v>335</v>
      </c>
      <c r="B820" s="41"/>
      <c r="C820" s="41">
        <v>35505986</v>
      </c>
      <c r="D820" s="41"/>
      <c r="F820" s="41"/>
      <c r="G820" s="29" t="s">
        <v>823</v>
      </c>
      <c r="H820" s="147" t="s">
        <v>280</v>
      </c>
      <c r="I820" s="148">
        <v>45695</v>
      </c>
      <c r="J820" s="120">
        <f>WORKDAY(I820, 3)</f>
        <v>45700</v>
      </c>
      <c r="K820" s="148"/>
      <c r="L820" s="148"/>
      <c r="M820" s="148"/>
      <c r="N820" s="120">
        <v>45698</v>
      </c>
      <c r="O820" s="119" t="s">
        <v>10</v>
      </c>
      <c r="P820" s="152"/>
      <c r="Q820" s="153"/>
      <c r="R820" s="149"/>
      <c r="S820" s="123"/>
    </row>
    <row r="821" spans="1:19" hidden="1">
      <c r="A821" s="41" t="s">
        <v>335</v>
      </c>
      <c r="B821" s="41"/>
      <c r="C821" s="41">
        <v>35506054</v>
      </c>
      <c r="D821" s="41"/>
      <c r="F821" s="41"/>
      <c r="G821" s="29" t="s">
        <v>823</v>
      </c>
      <c r="H821" s="147" t="s">
        <v>280</v>
      </c>
      <c r="I821" s="148">
        <v>45695</v>
      </c>
      <c r="J821" s="120">
        <f>WORKDAY(I821, 3)</f>
        <v>45700</v>
      </c>
      <c r="K821" s="148"/>
      <c r="L821" s="148"/>
      <c r="M821" s="148"/>
      <c r="N821" s="120">
        <v>45698</v>
      </c>
      <c r="O821" s="119" t="s">
        <v>10</v>
      </c>
      <c r="P821" s="152"/>
      <c r="Q821" s="153"/>
      <c r="R821" s="149"/>
      <c r="S821" s="123"/>
    </row>
    <row r="822" spans="1:19" hidden="1">
      <c r="A822" s="41" t="s">
        <v>335</v>
      </c>
      <c r="B822" s="41"/>
      <c r="C822" s="41">
        <v>35506111</v>
      </c>
      <c r="D822" s="41"/>
      <c r="F822" s="41"/>
      <c r="G822" s="29" t="s">
        <v>823</v>
      </c>
      <c r="H822" s="147" t="s">
        <v>280</v>
      </c>
      <c r="I822" s="148">
        <v>45695</v>
      </c>
      <c r="J822" s="120">
        <f>WORKDAY(I822, 3)</f>
        <v>45700</v>
      </c>
      <c r="K822" s="148"/>
      <c r="L822" s="148"/>
      <c r="M822" s="148"/>
      <c r="N822" s="148">
        <v>45717</v>
      </c>
      <c r="O822" s="119" t="s">
        <v>10</v>
      </c>
      <c r="P822" s="152"/>
      <c r="Q822" s="153"/>
      <c r="R822" s="149"/>
      <c r="S822" s="123"/>
    </row>
    <row r="823" spans="1:19" hidden="1">
      <c r="A823" s="41" t="s">
        <v>335</v>
      </c>
      <c r="B823" s="41"/>
      <c r="C823" s="41">
        <v>35506159</v>
      </c>
      <c r="D823" s="41"/>
      <c r="F823" s="41"/>
      <c r="G823" s="29" t="s">
        <v>823</v>
      </c>
      <c r="H823" s="147" t="s">
        <v>280</v>
      </c>
      <c r="I823" s="148">
        <v>45695</v>
      </c>
      <c r="J823" s="120">
        <f>WORKDAY(I823, 3)</f>
        <v>45700</v>
      </c>
      <c r="K823" s="148"/>
      <c r="L823" s="148"/>
      <c r="M823" s="148"/>
      <c r="N823" s="120">
        <v>45701</v>
      </c>
      <c r="O823" s="119" t="s">
        <v>10</v>
      </c>
      <c r="P823" s="152"/>
      <c r="Q823" s="153"/>
      <c r="R823" s="149"/>
      <c r="S823" s="123"/>
    </row>
    <row r="824" spans="1:19" hidden="1">
      <c r="A824" s="41" t="s">
        <v>335</v>
      </c>
      <c r="B824" s="41"/>
      <c r="C824" s="41">
        <v>35506199</v>
      </c>
      <c r="D824" s="41"/>
      <c r="F824" s="41"/>
      <c r="G824" s="29" t="s">
        <v>823</v>
      </c>
      <c r="H824" s="147" t="s">
        <v>280</v>
      </c>
      <c r="I824" s="148">
        <v>45695</v>
      </c>
      <c r="J824" s="120">
        <f>WORKDAY(I824, 3)</f>
        <v>45700</v>
      </c>
      <c r="K824" s="148"/>
      <c r="L824" s="148"/>
      <c r="M824" s="148"/>
      <c r="N824" s="120">
        <v>45701</v>
      </c>
      <c r="O824" s="119" t="s">
        <v>10</v>
      </c>
      <c r="P824" s="152"/>
      <c r="Q824" s="153"/>
      <c r="R824" s="149"/>
      <c r="S824" s="123"/>
    </row>
    <row r="825" spans="1:19" hidden="1">
      <c r="A825" s="41" t="s">
        <v>335</v>
      </c>
      <c r="B825" s="41"/>
      <c r="C825" s="41">
        <v>35506238</v>
      </c>
      <c r="D825" s="41"/>
      <c r="F825" s="41"/>
      <c r="G825" s="29" t="s">
        <v>823</v>
      </c>
      <c r="H825" s="147" t="s">
        <v>280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439</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439</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439</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439</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439</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439</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439</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439</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439</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439</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439</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439</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439</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138</v>
      </c>
      <c r="H839" s="29" t="s">
        <v>316</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138</v>
      </c>
      <c r="H840" s="29" t="s">
        <v>316</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138</v>
      </c>
      <c r="H841" s="29" t="s">
        <v>316</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138</v>
      </c>
      <c r="H842" s="29" t="s">
        <v>316</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138</v>
      </c>
      <c r="H843" s="29" t="s">
        <v>316</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138</v>
      </c>
      <c r="H844" s="29" t="s">
        <v>316</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138</v>
      </c>
      <c r="H845" s="29" t="s">
        <v>316</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138</v>
      </c>
      <c r="H846" s="29" t="s">
        <v>316</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138</v>
      </c>
      <c r="H847" s="29" t="s">
        <v>316</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138</v>
      </c>
      <c r="H848" s="29" t="s">
        <v>316</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138</v>
      </c>
      <c r="H849" s="29" t="s">
        <v>316</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138</v>
      </c>
      <c r="H850" s="29" t="s">
        <v>316</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138</v>
      </c>
      <c r="H851" s="29" t="s">
        <v>316</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138</v>
      </c>
      <c r="H852" s="29" t="s">
        <v>316</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138</v>
      </c>
      <c r="H853" s="29" t="s">
        <v>316</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138</v>
      </c>
      <c r="H854" s="29" t="s">
        <v>316</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138</v>
      </c>
      <c r="H855" s="29" t="s">
        <v>316</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138</v>
      </c>
      <c r="H856" s="29" t="s">
        <v>316</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138</v>
      </c>
      <c r="H857" s="29" t="s">
        <v>316</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138</v>
      </c>
      <c r="H858" s="29" t="s">
        <v>316</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138</v>
      </c>
      <c r="H859" s="29" t="s">
        <v>316</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138</v>
      </c>
      <c r="H860" s="29" t="s">
        <v>316</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138</v>
      </c>
      <c r="H861" s="29" t="s">
        <v>316</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138</v>
      </c>
      <c r="H862" s="29" t="s">
        <v>316</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138</v>
      </c>
      <c r="H863" s="29" t="s">
        <v>316</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138</v>
      </c>
      <c r="H864" s="29" t="s">
        <v>316</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138</v>
      </c>
      <c r="H865" s="29" t="s">
        <v>316</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138</v>
      </c>
      <c r="H866" s="29" t="s">
        <v>316</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138</v>
      </c>
      <c r="H867" s="29" t="s">
        <v>316</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138</v>
      </c>
      <c r="H868" s="29" t="s">
        <v>316</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138</v>
      </c>
      <c r="H869" s="29" t="s">
        <v>316</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138</v>
      </c>
      <c r="H870" s="29" t="s">
        <v>316</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138</v>
      </c>
      <c r="H871" s="29" t="s">
        <v>316</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138</v>
      </c>
      <c r="H872" s="29" t="s">
        <v>316</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138</v>
      </c>
      <c r="H873" s="29" t="s">
        <v>316</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138</v>
      </c>
      <c r="H874" s="29" t="s">
        <v>316</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138</v>
      </c>
      <c r="H875" s="29" t="s">
        <v>316</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138</v>
      </c>
      <c r="H876" s="29" t="s">
        <v>316</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138</v>
      </c>
      <c r="H877" s="29" t="s">
        <v>316</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138</v>
      </c>
      <c r="H878" s="29" t="s">
        <v>316</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138</v>
      </c>
      <c r="H879" s="29" t="s">
        <v>316</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138</v>
      </c>
      <c r="H880" s="29" t="s">
        <v>316</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138</v>
      </c>
      <c r="H881" s="29" t="s">
        <v>316</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138</v>
      </c>
      <c r="H882" s="29" t="s">
        <v>316</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138</v>
      </c>
      <c r="H883" s="29" t="s">
        <v>316</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138</v>
      </c>
      <c r="H884" s="29" t="s">
        <v>316</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138</v>
      </c>
      <c r="H885" s="29" t="s">
        <v>316</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138</v>
      </c>
      <c r="H886" s="29" t="s">
        <v>316</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138</v>
      </c>
      <c r="H887" s="29" t="s">
        <v>316</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138</v>
      </c>
      <c r="H888" s="29" t="s">
        <v>316</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138</v>
      </c>
      <c r="H889" s="29" t="s">
        <v>316</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138</v>
      </c>
      <c r="H890" s="29" t="s">
        <v>316</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138</v>
      </c>
      <c r="H891" s="29" t="s">
        <v>316</v>
      </c>
      <c r="I891" s="120">
        <v>45695</v>
      </c>
      <c r="J891" s="120">
        <f>WORKDAY(I891, 3)</f>
        <v>45700</v>
      </c>
      <c r="K891" s="120"/>
      <c r="L891" s="120"/>
      <c r="M891" s="120"/>
      <c r="N891" s="120"/>
      <c r="O891" s="119" t="s">
        <v>929</v>
      </c>
      <c r="P891" s="120"/>
      <c r="Q891" s="135"/>
      <c r="R891" s="29" t="s">
        <v>904</v>
      </c>
      <c r="S891" s="123"/>
    </row>
    <row r="892" spans="1:19" hidden="1">
      <c r="A892" s="29" t="s">
        <v>472</v>
      </c>
      <c r="B892" s="29"/>
      <c r="C892" s="29">
        <v>39500389</v>
      </c>
      <c r="D892" s="29"/>
      <c r="F892" s="29"/>
      <c r="G892" s="29" t="s">
        <v>823</v>
      </c>
      <c r="H892" s="29" t="s">
        <v>473</v>
      </c>
      <c r="I892" s="120">
        <v>45696</v>
      </c>
      <c r="J892" s="120">
        <f>WORKDAY(I892, 3)</f>
        <v>45700</v>
      </c>
      <c r="K892" s="120"/>
      <c r="L892" s="120"/>
      <c r="M892" s="120"/>
      <c r="N892" s="120">
        <v>45720</v>
      </c>
      <c r="O892" s="119" t="s">
        <v>10</v>
      </c>
      <c r="P892" s="152"/>
      <c r="Q892" s="153"/>
      <c r="R892" s="29" t="s">
        <v>512</v>
      </c>
      <c r="S892" s="123"/>
    </row>
    <row r="893" spans="1:19" hidden="1">
      <c r="A893" s="29" t="s">
        <v>472</v>
      </c>
      <c r="B893" s="29"/>
      <c r="C893" s="29">
        <v>39500387</v>
      </c>
      <c r="D893" s="29"/>
      <c r="F893" s="29"/>
      <c r="G893" s="29" t="s">
        <v>823</v>
      </c>
      <c r="H893" s="29" t="s">
        <v>473</v>
      </c>
      <c r="I893" s="120">
        <v>45696</v>
      </c>
      <c r="J893" s="120">
        <f>WORKDAY(I893, 3)</f>
        <v>45700</v>
      </c>
      <c r="K893" s="120"/>
      <c r="L893" s="120"/>
      <c r="M893" s="120"/>
      <c r="N893" s="120">
        <v>45710</v>
      </c>
      <c r="O893" s="119" t="s">
        <v>10</v>
      </c>
      <c r="P893" s="152"/>
      <c r="Q893" s="153"/>
      <c r="R893" s="29" t="s">
        <v>513</v>
      </c>
      <c r="S893" s="123"/>
    </row>
    <row r="894" spans="1:19" hidden="1">
      <c r="A894" s="29" t="s">
        <v>472</v>
      </c>
      <c r="B894" s="29"/>
      <c r="C894" s="29">
        <v>39500392</v>
      </c>
      <c r="D894" s="29"/>
      <c r="F894" s="29"/>
      <c r="G894" s="29" t="s">
        <v>823</v>
      </c>
      <c r="H894" s="29" t="s">
        <v>473</v>
      </c>
      <c r="I894" s="120">
        <v>45696</v>
      </c>
      <c r="J894" s="120">
        <f>WORKDAY(I894, 3)</f>
        <v>45700</v>
      </c>
      <c r="K894" s="120"/>
      <c r="L894" s="120"/>
      <c r="M894" s="120"/>
      <c r="N894" s="120">
        <v>45710</v>
      </c>
      <c r="O894" s="119" t="s">
        <v>10</v>
      </c>
      <c r="P894" s="152"/>
      <c r="Q894" s="153"/>
      <c r="R894" s="29" t="s">
        <v>513</v>
      </c>
      <c r="S894" s="123"/>
    </row>
    <row r="895" spans="1:19" hidden="1">
      <c r="A895" s="29" t="s">
        <v>472</v>
      </c>
      <c r="B895" s="29"/>
      <c r="C895" s="29">
        <v>39500391</v>
      </c>
      <c r="D895" s="29"/>
      <c r="F895" s="29"/>
      <c r="G895" s="29" t="s">
        <v>823</v>
      </c>
      <c r="H895" s="29" t="s">
        <v>473</v>
      </c>
      <c r="I895" s="120">
        <v>45696</v>
      </c>
      <c r="J895" s="120">
        <f>WORKDAY(I895, 3)</f>
        <v>45700</v>
      </c>
      <c r="K895" s="120"/>
      <c r="L895" s="120"/>
      <c r="M895" s="120"/>
      <c r="N895" s="120">
        <v>45710</v>
      </c>
      <c r="O895" s="119" t="s">
        <v>10</v>
      </c>
      <c r="P895" s="152"/>
      <c r="Q895" s="153"/>
      <c r="R895" s="29" t="s">
        <v>514</v>
      </c>
      <c r="S895" s="123"/>
    </row>
    <row r="896" spans="1:19" hidden="1">
      <c r="A896" s="29" t="s">
        <v>472</v>
      </c>
      <c r="B896" s="29"/>
      <c r="C896" s="29">
        <v>39500395</v>
      </c>
      <c r="D896" s="29"/>
      <c r="F896" s="29"/>
      <c r="G896" s="29" t="s">
        <v>823</v>
      </c>
      <c r="H896" s="29" t="s">
        <v>473</v>
      </c>
      <c r="I896" s="120">
        <v>45696</v>
      </c>
      <c r="J896" s="120">
        <f>WORKDAY(I896, 3)</f>
        <v>45700</v>
      </c>
      <c r="K896" s="120"/>
      <c r="L896" s="120"/>
      <c r="M896" s="120"/>
      <c r="N896" s="120">
        <v>45719</v>
      </c>
      <c r="O896" s="119" t="s">
        <v>10</v>
      </c>
      <c r="P896" s="152"/>
      <c r="Q896" s="153"/>
      <c r="R896" s="29" t="s">
        <v>515</v>
      </c>
      <c r="S896" s="123"/>
    </row>
    <row r="897" spans="1:19" hidden="1">
      <c r="A897" s="29" t="s">
        <v>472</v>
      </c>
      <c r="B897" s="29"/>
      <c r="C897" s="29">
        <v>39500399</v>
      </c>
      <c r="D897" s="29"/>
      <c r="F897" s="29"/>
      <c r="G897" s="29" t="s">
        <v>823</v>
      </c>
      <c r="H897" s="29" t="s">
        <v>473</v>
      </c>
      <c r="I897" s="120">
        <v>45696</v>
      </c>
      <c r="J897" s="120">
        <f>WORKDAY(I897, 3)</f>
        <v>45700</v>
      </c>
      <c r="K897" s="120"/>
      <c r="L897" s="120"/>
      <c r="M897" s="120"/>
      <c r="N897" s="120">
        <v>45710</v>
      </c>
      <c r="O897" s="119" t="s">
        <v>10</v>
      </c>
      <c r="P897" s="152"/>
      <c r="Q897" s="153"/>
      <c r="R897" s="29" t="s">
        <v>515</v>
      </c>
      <c r="S897" s="123"/>
    </row>
    <row r="898" spans="1:19" hidden="1">
      <c r="A898" s="29" t="s">
        <v>472</v>
      </c>
      <c r="B898" s="29"/>
      <c r="C898" s="29">
        <v>39500402</v>
      </c>
      <c r="D898" s="29"/>
      <c r="F898" s="29"/>
      <c r="G898" s="29" t="s">
        <v>823</v>
      </c>
      <c r="H898" s="29" t="s">
        <v>473</v>
      </c>
      <c r="I898" s="120">
        <v>45696</v>
      </c>
      <c r="J898" s="120">
        <f>WORKDAY(I898, 3)</f>
        <v>45700</v>
      </c>
      <c r="K898" s="120"/>
      <c r="L898" s="120"/>
      <c r="M898" s="120"/>
      <c r="N898" s="120">
        <v>45709</v>
      </c>
      <c r="O898" s="119" t="s">
        <v>10</v>
      </c>
      <c r="P898" s="152"/>
      <c r="Q898" s="153"/>
      <c r="R898" s="29" t="s">
        <v>516</v>
      </c>
      <c r="S898" s="123"/>
    </row>
    <row r="899" spans="1:19" hidden="1">
      <c r="A899" s="29" t="s">
        <v>472</v>
      </c>
      <c r="B899" s="29"/>
      <c r="C899" s="29">
        <v>39500404</v>
      </c>
      <c r="D899" s="29"/>
      <c r="F899" s="29"/>
      <c r="G899" s="29" t="s">
        <v>823</v>
      </c>
      <c r="H899" s="29" t="s">
        <v>473</v>
      </c>
      <c r="I899" s="120">
        <v>45696</v>
      </c>
      <c r="J899" s="120">
        <f>WORKDAY(I899, 3)</f>
        <v>45700</v>
      </c>
      <c r="K899" s="120"/>
      <c r="L899" s="120"/>
      <c r="M899" s="120"/>
      <c r="N899" s="120">
        <v>45709</v>
      </c>
      <c r="O899" s="119" t="s">
        <v>10</v>
      </c>
      <c r="P899" s="152"/>
      <c r="Q899" s="153"/>
      <c r="R899" s="29" t="s">
        <v>516</v>
      </c>
      <c r="S899" s="123"/>
    </row>
    <row r="900" spans="1:19" hidden="1">
      <c r="A900" s="29" t="s">
        <v>472</v>
      </c>
      <c r="B900" s="29"/>
      <c r="C900" s="29">
        <v>39500405</v>
      </c>
      <c r="D900" s="29"/>
      <c r="F900" s="29"/>
      <c r="G900" s="29" t="s">
        <v>823</v>
      </c>
      <c r="H900" s="29" t="s">
        <v>473</v>
      </c>
      <c r="I900" s="120">
        <v>45696</v>
      </c>
      <c r="J900" s="120">
        <f>WORKDAY(I900, 3)</f>
        <v>45700</v>
      </c>
      <c r="K900" s="120"/>
      <c r="L900" s="120"/>
      <c r="M900" s="120"/>
      <c r="N900" s="120">
        <v>45709</v>
      </c>
      <c r="O900" s="119" t="s">
        <v>10</v>
      </c>
      <c r="P900" s="152"/>
      <c r="Q900" s="153"/>
      <c r="R900" s="29" t="s">
        <v>517</v>
      </c>
      <c r="S900" s="123"/>
    </row>
    <row r="901" spans="1:19" hidden="1">
      <c r="A901" s="29" t="s">
        <v>472</v>
      </c>
      <c r="B901" s="29"/>
      <c r="C901" s="29">
        <v>39500411</v>
      </c>
      <c r="D901" s="29"/>
      <c r="F901" s="29"/>
      <c r="G901" s="29" t="s">
        <v>823</v>
      </c>
      <c r="H901" s="29" t="s">
        <v>473</v>
      </c>
      <c r="I901" s="120">
        <v>45696</v>
      </c>
      <c r="J901" s="120">
        <f>WORKDAY(I901, 3)</f>
        <v>45700</v>
      </c>
      <c r="K901" s="120"/>
      <c r="L901" s="120"/>
      <c r="M901" s="120"/>
      <c r="N901" s="120">
        <v>45710</v>
      </c>
      <c r="O901" s="119" t="s">
        <v>10</v>
      </c>
      <c r="P901" s="152"/>
      <c r="Q901" s="153"/>
      <c r="R901" s="29" t="s">
        <v>514</v>
      </c>
      <c r="S901" s="123"/>
    </row>
    <row r="902" spans="1:19" hidden="1">
      <c r="A902" s="29" t="s">
        <v>472</v>
      </c>
      <c r="B902" s="29"/>
      <c r="C902" s="29">
        <v>39500408</v>
      </c>
      <c r="D902" s="29"/>
      <c r="F902" s="29"/>
      <c r="G902" s="29" t="s">
        <v>823</v>
      </c>
      <c r="H902" s="29" t="s">
        <v>473</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486</v>
      </c>
      <c r="I903" s="120">
        <v>45701</v>
      </c>
      <c r="J903" s="120">
        <f>WORKDAY(I903, 3)</f>
        <v>45706</v>
      </c>
      <c r="K903" s="120"/>
      <c r="L903" s="120"/>
      <c r="M903" s="120"/>
      <c r="N903" s="120"/>
      <c r="O903" s="119" t="s">
        <v>929</v>
      </c>
      <c r="P903" s="120"/>
      <c r="Q903" s="135"/>
      <c r="R903" s="41" t="s">
        <v>452</v>
      </c>
      <c r="S903" s="123"/>
    </row>
    <row r="904" spans="1:19" hidden="1">
      <c r="A904" s="84" t="s">
        <v>511</v>
      </c>
      <c r="B904" s="84"/>
      <c r="C904" s="41">
        <v>44504071</v>
      </c>
      <c r="D904" s="41"/>
      <c r="F904" s="41"/>
      <c r="G904" s="29" t="s">
        <v>823</v>
      </c>
      <c r="H904" s="29" t="s">
        <v>486</v>
      </c>
      <c r="I904" s="120">
        <v>45701</v>
      </c>
      <c r="J904" s="120">
        <f>WORKDAY(I904, 3)</f>
        <v>45706</v>
      </c>
      <c r="K904" s="120"/>
      <c r="L904" s="120"/>
      <c r="M904" s="120"/>
      <c r="N904" s="120"/>
      <c r="O904" s="119" t="s">
        <v>929</v>
      </c>
      <c r="P904" s="120"/>
      <c r="Q904" s="135"/>
      <c r="R904" s="41" t="s">
        <v>452</v>
      </c>
      <c r="S904" s="123"/>
    </row>
    <row r="905" spans="1:19" hidden="1">
      <c r="A905" s="84" t="s">
        <v>511</v>
      </c>
      <c r="B905" s="84"/>
      <c r="C905" s="41">
        <v>44504166</v>
      </c>
      <c r="D905" s="41"/>
      <c r="F905" s="41"/>
      <c r="G905" s="29" t="s">
        <v>823</v>
      </c>
      <c r="H905" s="29" t="s">
        <v>486</v>
      </c>
      <c r="I905" s="120">
        <v>45701</v>
      </c>
      <c r="J905" s="120">
        <f>WORKDAY(I905, 3)</f>
        <v>45706</v>
      </c>
      <c r="K905" s="120"/>
      <c r="L905" s="120"/>
      <c r="M905" s="120"/>
      <c r="N905" s="120"/>
      <c r="O905" s="119" t="s">
        <v>929</v>
      </c>
      <c r="P905" s="120"/>
      <c r="Q905" s="135"/>
      <c r="R905" s="41" t="s">
        <v>452</v>
      </c>
      <c r="S905" s="123"/>
    </row>
    <row r="906" spans="1:19" hidden="1">
      <c r="A906" s="84" t="s">
        <v>511</v>
      </c>
      <c r="B906" s="84"/>
      <c r="C906" s="41">
        <v>44504210</v>
      </c>
      <c r="D906" s="41"/>
      <c r="F906" s="41"/>
      <c r="G906" s="29" t="s">
        <v>823</v>
      </c>
      <c r="H906" s="29" t="s">
        <v>486</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486</v>
      </c>
      <c r="I907" s="120">
        <v>45701</v>
      </c>
      <c r="J907" s="120">
        <f>WORKDAY(I907, 3)</f>
        <v>45706</v>
      </c>
      <c r="K907" s="120"/>
      <c r="L907" s="120"/>
      <c r="M907" s="120"/>
      <c r="N907" s="120"/>
      <c r="O907" s="119" t="s">
        <v>929</v>
      </c>
      <c r="P907" s="120"/>
      <c r="Q907" s="135"/>
      <c r="R907" s="41" t="s">
        <v>452</v>
      </c>
      <c r="S907" s="123"/>
    </row>
    <row r="908" spans="1:19" hidden="1">
      <c r="A908" s="84" t="s">
        <v>511</v>
      </c>
      <c r="B908" s="84"/>
      <c r="C908" s="41">
        <v>44504648</v>
      </c>
      <c r="D908" s="41"/>
      <c r="F908" s="41"/>
      <c r="G908" s="29" t="s">
        <v>823</v>
      </c>
      <c r="H908" s="29" t="s">
        <v>486</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486</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367</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367</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367</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367</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367</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367</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367</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367</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366</v>
      </c>
      <c r="B940" s="41"/>
      <c r="C940" s="41">
        <v>3506891</v>
      </c>
      <c r="D940" s="41"/>
      <c r="F940" s="41"/>
      <c r="G940" s="29" t="s">
        <v>823</v>
      </c>
      <c r="H940" s="29" t="s">
        <v>367</v>
      </c>
      <c r="I940" s="42">
        <v>45695</v>
      </c>
      <c r="J940" s="120">
        <f>WORKDAY(I940, 3)</f>
        <v>45700</v>
      </c>
      <c r="K940" s="42"/>
      <c r="L940" s="42"/>
      <c r="M940" s="42"/>
      <c r="N940" s="42"/>
      <c r="O940" s="119" t="s">
        <v>929</v>
      </c>
      <c r="P940" s="42"/>
      <c r="Q940" s="136"/>
      <c r="R940" s="41" t="s">
        <v>603</v>
      </c>
    </row>
    <row r="941" spans="1:19" hidden="1">
      <c r="A941" s="41" t="s">
        <v>366</v>
      </c>
      <c r="B941" s="41"/>
      <c r="C941" s="41">
        <v>35506896</v>
      </c>
      <c r="D941" s="41"/>
      <c r="F941" s="41"/>
      <c r="G941" s="29" t="s">
        <v>823</v>
      </c>
      <c r="H941" s="29" t="s">
        <v>367</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367</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367</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367</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367</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367</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367</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367</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367</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367</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367</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367</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367</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367</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367</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367</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367</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367</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367</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316</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316</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316</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316</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316</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316</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316</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316</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316</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316</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316</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316</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316</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316</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316</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316</v>
      </c>
      <c r="I975" s="42">
        <v>45707</v>
      </c>
      <c r="J975" s="120">
        <f>WORKDAY(I975, 3)</f>
        <v>45712</v>
      </c>
      <c r="K975" s="42"/>
      <c r="L975" s="42"/>
      <c r="M975" s="42"/>
      <c r="N975" s="42">
        <v>45714</v>
      </c>
      <c r="O975" s="119" t="s">
        <v>10</v>
      </c>
      <c r="P975" s="152"/>
      <c r="Q975" s="153"/>
      <c r="R975" s="41" t="s">
        <v>638</v>
      </c>
    </row>
    <row r="976" spans="1:18" hidden="1">
      <c r="A976" s="147" t="s">
        <v>290</v>
      </c>
      <c r="B976" s="147"/>
      <c r="C976" s="41">
        <v>51504010</v>
      </c>
      <c r="D976" s="41"/>
      <c r="F976" s="41"/>
      <c r="G976" s="41" t="s">
        <v>823</v>
      </c>
      <c r="H976" s="29" t="s">
        <v>315</v>
      </c>
      <c r="I976" s="42">
        <v>45708</v>
      </c>
      <c r="J976" s="120">
        <f>WORKDAY(I976, 3)</f>
        <v>45713</v>
      </c>
      <c r="K976" s="42"/>
      <c r="L976" s="42"/>
      <c r="M976" s="42"/>
      <c r="N976" s="42">
        <v>45714</v>
      </c>
      <c r="O976" s="119" t="s">
        <v>10</v>
      </c>
      <c r="P976" s="152"/>
      <c r="Q976" s="153"/>
      <c r="R976" s="41" t="s">
        <v>639</v>
      </c>
    </row>
    <row r="977" spans="1:18" hidden="1">
      <c r="A977" s="147" t="s">
        <v>290</v>
      </c>
      <c r="B977" s="147"/>
      <c r="C977" s="41">
        <v>51504029</v>
      </c>
      <c r="D977" s="41"/>
      <c r="F977" s="41"/>
      <c r="G977" s="41" t="s">
        <v>823</v>
      </c>
      <c r="H977" s="29" t="s">
        <v>315</v>
      </c>
      <c r="I977" s="42">
        <v>45708</v>
      </c>
      <c r="J977" s="120">
        <f>WORKDAY(I977, 3)</f>
        <v>45713</v>
      </c>
      <c r="K977" s="42"/>
      <c r="L977" s="42"/>
      <c r="M977" s="42"/>
      <c r="N977" s="42">
        <v>45714</v>
      </c>
      <c r="O977" s="119" t="s">
        <v>961</v>
      </c>
      <c r="P977" s="152"/>
      <c r="Q977" s="153"/>
      <c r="R977" s="41" t="s">
        <v>640</v>
      </c>
    </row>
    <row r="978" spans="1:18" hidden="1">
      <c r="A978" s="147" t="s">
        <v>290</v>
      </c>
      <c r="B978" s="147"/>
      <c r="C978" s="41">
        <v>51504084</v>
      </c>
      <c r="D978" s="41"/>
      <c r="F978" s="41"/>
      <c r="G978" s="41" t="s">
        <v>823</v>
      </c>
      <c r="H978" s="29" t="s">
        <v>315</v>
      </c>
      <c r="I978" s="42">
        <v>45708</v>
      </c>
      <c r="J978" s="120">
        <f>WORKDAY(I978, 3)</f>
        <v>45713</v>
      </c>
      <c r="K978" s="42"/>
      <c r="L978" s="42"/>
      <c r="M978" s="42"/>
      <c r="N978" s="42">
        <v>45714</v>
      </c>
      <c r="O978" s="119" t="s">
        <v>961</v>
      </c>
      <c r="P978" s="152"/>
      <c r="Q978" s="153"/>
      <c r="R978" s="41" t="s">
        <v>641</v>
      </c>
    </row>
    <row r="979" spans="1:18" hidden="1">
      <c r="A979" s="147" t="s">
        <v>290</v>
      </c>
      <c r="B979" s="147"/>
      <c r="C979" s="41">
        <v>51504102</v>
      </c>
      <c r="D979" s="41"/>
      <c r="F979" s="41"/>
      <c r="G979" s="41" t="s">
        <v>823</v>
      </c>
      <c r="H979" s="29" t="s">
        <v>315</v>
      </c>
      <c r="I979" s="42">
        <v>45708</v>
      </c>
      <c r="J979" s="120">
        <f>WORKDAY(I979, 3)</f>
        <v>45713</v>
      </c>
      <c r="K979" s="42"/>
      <c r="L979" s="42"/>
      <c r="M979" s="42"/>
      <c r="N979" s="42">
        <v>45720</v>
      </c>
      <c r="O979" s="119" t="s">
        <v>961</v>
      </c>
      <c r="P979" s="152"/>
      <c r="Q979" s="153"/>
      <c r="R979" s="41" t="s">
        <v>642</v>
      </c>
    </row>
    <row r="980" spans="1:18" hidden="1">
      <c r="A980" s="147" t="s">
        <v>290</v>
      </c>
      <c r="B980" s="147"/>
      <c r="C980" s="41">
        <v>51504117</v>
      </c>
      <c r="D980" s="41"/>
      <c r="F980" s="41"/>
      <c r="G980" s="41" t="s">
        <v>823</v>
      </c>
      <c r="H980" s="29" t="s">
        <v>315</v>
      </c>
      <c r="I980" s="42">
        <v>45708</v>
      </c>
      <c r="J980" s="120">
        <f>WORKDAY(I980, 3)</f>
        <v>45713</v>
      </c>
      <c r="K980" s="42"/>
      <c r="L980" s="42"/>
      <c r="M980" s="42"/>
      <c r="N980" s="42">
        <v>45714</v>
      </c>
      <c r="O980" s="119" t="s">
        <v>961</v>
      </c>
      <c r="P980" s="152"/>
      <c r="Q980" s="153"/>
      <c r="R980" s="41" t="s">
        <v>643</v>
      </c>
    </row>
    <row r="981" spans="1:18" hidden="1">
      <c r="A981" s="147" t="s">
        <v>290</v>
      </c>
      <c r="B981" s="147"/>
      <c r="C981" s="41">
        <v>51504128</v>
      </c>
      <c r="D981" s="41"/>
      <c r="F981" s="41"/>
      <c r="G981" s="41" t="s">
        <v>823</v>
      </c>
      <c r="H981" s="29" t="s">
        <v>315</v>
      </c>
      <c r="I981" s="42">
        <v>45708</v>
      </c>
      <c r="J981" s="120">
        <f>WORKDAY(I981, 3)</f>
        <v>45713</v>
      </c>
      <c r="K981" s="42"/>
      <c r="L981" s="42"/>
      <c r="M981" s="42"/>
      <c r="N981" s="42">
        <v>45714</v>
      </c>
      <c r="O981" s="119" t="s">
        <v>961</v>
      </c>
      <c r="P981" s="152"/>
      <c r="Q981" s="153"/>
      <c r="R981" s="41" t="s">
        <v>644</v>
      </c>
    </row>
    <row r="982" spans="1:18" hidden="1">
      <c r="A982" s="147" t="s">
        <v>290</v>
      </c>
      <c r="B982" s="147"/>
      <c r="C982" s="41">
        <v>51504144</v>
      </c>
      <c r="D982" s="41"/>
      <c r="F982" s="41"/>
      <c r="G982" s="41" t="s">
        <v>823</v>
      </c>
      <c r="H982" s="29" t="s">
        <v>315</v>
      </c>
      <c r="I982" s="42">
        <v>45708</v>
      </c>
      <c r="J982" s="120">
        <f>WORKDAY(I982, 3)</f>
        <v>45713</v>
      </c>
      <c r="K982" s="42">
        <v>45729</v>
      </c>
      <c r="L982" s="42"/>
      <c r="M982" s="42"/>
      <c r="N982" s="42"/>
      <c r="O982" s="119" t="s">
        <v>929</v>
      </c>
      <c r="P982" s="42"/>
      <c r="Q982" s="136"/>
      <c r="R982" s="41" t="s">
        <v>645</v>
      </c>
    </row>
    <row r="983" spans="1:18" hidden="1">
      <c r="A983" s="147" t="s">
        <v>290</v>
      </c>
      <c r="B983" s="147"/>
      <c r="C983" s="41">
        <v>51504155</v>
      </c>
      <c r="D983" s="41"/>
      <c r="F983" s="41"/>
      <c r="G983" s="41" t="s">
        <v>823</v>
      </c>
      <c r="H983" s="29" t="s">
        <v>315</v>
      </c>
      <c r="I983" s="42">
        <v>45708</v>
      </c>
      <c r="J983" s="120">
        <f>WORKDAY(I983, 3)</f>
        <v>45713</v>
      </c>
      <c r="K983" s="42">
        <v>45729</v>
      </c>
      <c r="L983" s="42"/>
      <c r="M983" s="42"/>
      <c r="N983" s="42"/>
      <c r="O983" s="119" t="s">
        <v>929</v>
      </c>
      <c r="P983" s="42"/>
      <c r="Q983" s="136"/>
      <c r="R983" s="41" t="s">
        <v>646</v>
      </c>
    </row>
    <row r="984" spans="1:18" hidden="1">
      <c r="A984" s="147" t="s">
        <v>290</v>
      </c>
      <c r="B984" s="147"/>
      <c r="C984" s="41">
        <v>51504170</v>
      </c>
      <c r="D984" s="41"/>
      <c r="F984" s="41"/>
      <c r="G984" s="41" t="s">
        <v>823</v>
      </c>
      <c r="H984" s="29" t="s">
        <v>315</v>
      </c>
      <c r="I984" s="42">
        <v>45708</v>
      </c>
      <c r="J984" s="120">
        <f>WORKDAY(I984, 3)</f>
        <v>45713</v>
      </c>
      <c r="K984" s="42"/>
      <c r="L984" s="42"/>
      <c r="M984" s="42"/>
      <c r="N984" s="42">
        <v>45715</v>
      </c>
      <c r="O984" s="119" t="s">
        <v>961</v>
      </c>
      <c r="P984" s="152"/>
      <c r="Q984" s="153"/>
      <c r="R984" s="41" t="s">
        <v>647</v>
      </c>
    </row>
    <row r="985" spans="1:18" hidden="1">
      <c r="A985" s="41" t="s">
        <v>311</v>
      </c>
      <c r="B985" s="41"/>
      <c r="C985" s="41">
        <v>51504891</v>
      </c>
      <c r="D985" s="41"/>
      <c r="F985" s="41"/>
      <c r="G985" s="41" t="s">
        <v>823</v>
      </c>
      <c r="H985" s="29" t="s">
        <v>315</v>
      </c>
      <c r="I985" s="42">
        <v>45708</v>
      </c>
      <c r="J985" s="120">
        <f>WORKDAY(I985, 3)</f>
        <v>45713</v>
      </c>
      <c r="K985" s="42"/>
      <c r="L985" s="42"/>
      <c r="M985" s="42"/>
      <c r="N985" s="42">
        <v>45719</v>
      </c>
      <c r="O985" s="119" t="s">
        <v>961</v>
      </c>
      <c r="P985" s="152"/>
      <c r="Q985" s="153"/>
      <c r="R985" s="41" t="s">
        <v>648</v>
      </c>
    </row>
    <row r="986" spans="1:18" hidden="1">
      <c r="A986" s="41" t="s">
        <v>311</v>
      </c>
      <c r="B986" s="41"/>
      <c r="C986" s="41">
        <v>51504936</v>
      </c>
      <c r="D986" s="41"/>
      <c r="F986" s="41"/>
      <c r="G986" s="41" t="s">
        <v>823</v>
      </c>
      <c r="H986" s="29" t="s">
        <v>315</v>
      </c>
      <c r="I986" s="42">
        <v>45708</v>
      </c>
      <c r="J986" s="120">
        <f>WORKDAY(I986, 3)</f>
        <v>45713</v>
      </c>
      <c r="K986" s="42"/>
      <c r="L986" s="42"/>
      <c r="M986" s="42"/>
      <c r="N986" s="42">
        <v>45719</v>
      </c>
      <c r="O986" s="119" t="s">
        <v>961</v>
      </c>
      <c r="P986" s="152"/>
      <c r="Q986" s="153"/>
      <c r="R986" s="41" t="s">
        <v>649</v>
      </c>
    </row>
    <row r="987" spans="1:18" hidden="1">
      <c r="A987" s="41" t="s">
        <v>311</v>
      </c>
      <c r="B987" s="41"/>
      <c r="C987" s="41">
        <v>51504989</v>
      </c>
      <c r="D987" s="41"/>
      <c r="F987" s="41"/>
      <c r="G987" s="41" t="s">
        <v>823</v>
      </c>
      <c r="H987" s="29" t="s">
        <v>315</v>
      </c>
      <c r="I987" s="42">
        <v>45708</v>
      </c>
      <c r="J987" s="120">
        <f>WORKDAY(I987, 3)</f>
        <v>45713</v>
      </c>
      <c r="K987" s="42"/>
      <c r="L987" s="42"/>
      <c r="M987" s="42"/>
      <c r="N987" s="42">
        <v>45719</v>
      </c>
      <c r="O987" s="119" t="s">
        <v>961</v>
      </c>
      <c r="P987" s="152"/>
      <c r="Q987" s="153"/>
      <c r="R987" s="41" t="s">
        <v>650</v>
      </c>
    </row>
    <row r="988" spans="1:18" hidden="1">
      <c r="A988" s="41" t="s">
        <v>311</v>
      </c>
      <c r="B988" s="41"/>
      <c r="C988" s="41">
        <v>51505022</v>
      </c>
      <c r="D988" s="41"/>
      <c r="F988" s="41"/>
      <c r="G988" s="41" t="s">
        <v>823</v>
      </c>
      <c r="H988" s="29" t="s">
        <v>315</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315</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315</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315</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315</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315</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315</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358</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358</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358</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358</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367</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367</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367</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367</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367</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367</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367</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367</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367</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367</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367</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367</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367</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367</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367</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367</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367</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367</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367</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367</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367</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367</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367</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367</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367</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367</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938</v>
      </c>
      <c r="B1045" s="147"/>
      <c r="C1045" s="121">
        <v>56503360</v>
      </c>
      <c r="D1045" s="121"/>
      <c r="F1045" s="121"/>
      <c r="G1045" s="29" t="s">
        <v>138</v>
      </c>
      <c r="H1045" s="29" t="s">
        <v>280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138</v>
      </c>
      <c r="H1046" s="29" t="s">
        <v>280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138</v>
      </c>
      <c r="H1047" s="29" t="s">
        <v>280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900</v>
      </c>
    </row>
    <row r="1051" spans="1:19" hidden="1">
      <c r="A1051" s="29" t="s">
        <v>438</v>
      </c>
      <c r="B1051" s="29"/>
      <c r="C1051" s="29">
        <v>48507590</v>
      </c>
      <c r="D1051" s="29"/>
      <c r="F1051" s="29"/>
      <c r="G1051" s="29" t="s">
        <v>823</v>
      </c>
      <c r="H1051" s="29" t="s">
        <v>161</v>
      </c>
      <c r="I1051" s="120">
        <v>45705</v>
      </c>
      <c r="J1051" s="120">
        <f>WORKDAY(I1051, 3)</f>
        <v>45708</v>
      </c>
      <c r="K1051" s="120"/>
      <c r="L1051" s="120"/>
      <c r="M1051" s="120"/>
      <c r="N1051" s="120"/>
      <c r="O1051" s="119" t="s">
        <v>929</v>
      </c>
      <c r="P1051" s="120"/>
      <c r="Q1051" s="135"/>
      <c r="R1051" s="29" t="s">
        <v>696</v>
      </c>
    </row>
    <row r="1052" spans="1:19" hidden="1">
      <c r="A1052" s="29" t="s">
        <v>438</v>
      </c>
      <c r="B1052" s="29"/>
      <c r="C1052" s="29">
        <v>48507534</v>
      </c>
      <c r="D1052" s="29"/>
      <c r="F1052" s="29"/>
      <c r="G1052" s="29" t="s">
        <v>823</v>
      </c>
      <c r="H1052" s="29" t="s">
        <v>161</v>
      </c>
      <c r="I1052" s="120">
        <v>45705</v>
      </c>
      <c r="J1052" s="120">
        <f>WORKDAY(I1052, 3)</f>
        <v>45708</v>
      </c>
      <c r="K1052" s="120"/>
      <c r="L1052" s="120"/>
      <c r="M1052" s="120"/>
      <c r="N1052" s="120"/>
      <c r="O1052" s="119" t="s">
        <v>929</v>
      </c>
      <c r="P1052" s="120"/>
      <c r="Q1052" s="135"/>
      <c r="R1052" s="29" t="s">
        <v>697</v>
      </c>
    </row>
    <row r="1053" spans="1:19" hidden="1">
      <c r="A1053" s="29" t="s">
        <v>438</v>
      </c>
      <c r="B1053" s="29"/>
      <c r="C1053" s="29">
        <v>48507486</v>
      </c>
      <c r="D1053" s="29"/>
      <c r="F1053" s="29"/>
      <c r="G1053" s="29" t="s">
        <v>823</v>
      </c>
      <c r="H1053" s="29" t="s">
        <v>161</v>
      </c>
      <c r="I1053" s="120">
        <v>45705</v>
      </c>
      <c r="J1053" s="120">
        <f>WORKDAY(I1053, 3)</f>
        <v>45708</v>
      </c>
      <c r="K1053" s="120"/>
      <c r="L1053" s="120"/>
      <c r="M1053" s="120"/>
      <c r="N1053" s="120"/>
      <c r="O1053" s="119" t="s">
        <v>929</v>
      </c>
      <c r="P1053" s="120"/>
      <c r="Q1053" s="135"/>
      <c r="R1053" s="29" t="s">
        <v>698</v>
      </c>
    </row>
    <row r="1054" spans="1:19" hidden="1">
      <c r="A1054" s="29" t="s">
        <v>438</v>
      </c>
      <c r="B1054" s="29"/>
      <c r="C1054" s="29">
        <v>48507387</v>
      </c>
      <c r="D1054" s="29"/>
      <c r="F1054" s="29"/>
      <c r="G1054" s="29" t="s">
        <v>823</v>
      </c>
      <c r="H1054" s="29" t="s">
        <v>161</v>
      </c>
      <c r="I1054" s="120">
        <v>45705</v>
      </c>
      <c r="J1054" s="120">
        <f>WORKDAY(I1054, 3)</f>
        <v>45708</v>
      </c>
      <c r="K1054" s="120"/>
      <c r="L1054" s="120"/>
      <c r="M1054" s="120"/>
      <c r="N1054" s="120"/>
      <c r="O1054" s="119" t="s">
        <v>929</v>
      </c>
      <c r="P1054" s="120"/>
      <c r="Q1054" s="135"/>
      <c r="R1054" s="29" t="s">
        <v>699</v>
      </c>
    </row>
    <row r="1055" spans="1:19" hidden="1">
      <c r="A1055" s="29" t="s">
        <v>438</v>
      </c>
      <c r="B1055" s="29"/>
      <c r="C1055" s="29">
        <v>48507301</v>
      </c>
      <c r="D1055" s="29"/>
      <c r="F1055" s="29"/>
      <c r="G1055" s="29" t="s">
        <v>823</v>
      </c>
      <c r="H1055" s="29" t="s">
        <v>161</v>
      </c>
      <c r="I1055" s="120">
        <v>45705</v>
      </c>
      <c r="J1055" s="120">
        <f>WORKDAY(I1055, 3)</f>
        <v>45708</v>
      </c>
      <c r="K1055" s="120"/>
      <c r="L1055" s="120"/>
      <c r="M1055" s="120"/>
      <c r="N1055" s="120"/>
      <c r="O1055" s="119" t="s">
        <v>929</v>
      </c>
      <c r="P1055" s="120"/>
      <c r="Q1055" s="135"/>
      <c r="R1055" s="29" t="s">
        <v>700</v>
      </c>
    </row>
    <row r="1056" spans="1:19" hidden="1">
      <c r="A1056" s="29" t="s">
        <v>438</v>
      </c>
      <c r="B1056" s="29"/>
      <c r="C1056" s="29">
        <v>48507163</v>
      </c>
      <c r="D1056" s="29"/>
      <c r="F1056" s="29"/>
      <c r="G1056" s="29" t="s">
        <v>823</v>
      </c>
      <c r="H1056" s="29" t="s">
        <v>161</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161</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161</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161</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161</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161</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161</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161</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161</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161</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161</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161</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161</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161</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161</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161</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161</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161</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161</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138</v>
      </c>
      <c r="H1075" s="29" t="s">
        <v>316</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138</v>
      </c>
      <c r="H1076" s="29" t="s">
        <v>316</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138</v>
      </c>
      <c r="H1077" s="29" t="s">
        <v>316</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138</v>
      </c>
      <c r="H1078" s="29" t="s">
        <v>316</v>
      </c>
      <c r="I1078" s="120">
        <v>45709</v>
      </c>
      <c r="J1078" s="120">
        <f>WORKDAY(I1078, 3)</f>
        <v>45714</v>
      </c>
      <c r="K1078" s="120"/>
      <c r="L1078" s="120"/>
      <c r="M1078" s="120"/>
      <c r="N1078" s="120"/>
      <c r="O1078" s="119" t="s">
        <v>929</v>
      </c>
      <c r="P1078" s="120"/>
      <c r="Q1078" s="135"/>
    </row>
    <row r="1079" spans="1:18" hidden="1">
      <c r="A1079" s="147" t="s">
        <v>335</v>
      </c>
      <c r="B1079" s="147"/>
      <c r="C1079" s="29">
        <v>58500131</v>
      </c>
      <c r="D1079" s="29"/>
      <c r="F1079" s="29"/>
      <c r="G1079" s="29" t="s">
        <v>823</v>
      </c>
      <c r="H1079" s="29" t="s">
        <v>315</v>
      </c>
      <c r="I1079" s="120">
        <v>45715</v>
      </c>
      <c r="J1079" s="120">
        <f>WORKDAY(I1079, 3)</f>
        <v>45720</v>
      </c>
      <c r="K1079" s="120"/>
      <c r="L1079" s="120"/>
      <c r="M1079" s="120"/>
      <c r="N1079" s="120">
        <v>45719</v>
      </c>
      <c r="O1079" s="119" t="s">
        <v>10</v>
      </c>
      <c r="P1079" s="152"/>
      <c r="Q1079" s="153"/>
      <c r="R1079" s="29" t="s">
        <v>721</v>
      </c>
    </row>
    <row r="1080" spans="1:18" hidden="1">
      <c r="A1080" s="147" t="s">
        <v>335</v>
      </c>
      <c r="B1080" s="147"/>
      <c r="C1080" s="29">
        <v>58500140</v>
      </c>
      <c r="D1080" s="29"/>
      <c r="F1080" s="29"/>
      <c r="G1080" s="29" t="s">
        <v>823</v>
      </c>
      <c r="H1080" s="29" t="s">
        <v>315</v>
      </c>
      <c r="I1080" s="120">
        <v>45715</v>
      </c>
      <c r="J1080" s="120">
        <f>WORKDAY(I1080, 3)</f>
        <v>45720</v>
      </c>
      <c r="K1080" s="120"/>
      <c r="L1080" s="120"/>
      <c r="M1080" s="120"/>
      <c r="N1080" s="120">
        <v>45719</v>
      </c>
      <c r="O1080" s="119" t="s">
        <v>10</v>
      </c>
      <c r="P1080" s="152"/>
      <c r="Q1080" s="153"/>
      <c r="R1080" s="29" t="s">
        <v>722</v>
      </c>
    </row>
    <row r="1081" spans="1:18" hidden="1">
      <c r="A1081" s="147" t="s">
        <v>335</v>
      </c>
      <c r="B1081" s="147"/>
      <c r="C1081" s="29">
        <v>58500144</v>
      </c>
      <c r="D1081" s="29"/>
      <c r="F1081" s="29"/>
      <c r="G1081" s="29" t="s">
        <v>823</v>
      </c>
      <c r="H1081" s="29" t="s">
        <v>315</v>
      </c>
      <c r="I1081" s="120">
        <v>45715</v>
      </c>
      <c r="J1081" s="120">
        <f>WORKDAY(I1081, 3)</f>
        <v>45720</v>
      </c>
      <c r="K1081" s="120"/>
      <c r="L1081" s="120"/>
      <c r="M1081" s="120"/>
      <c r="N1081" s="120">
        <v>45719</v>
      </c>
      <c r="O1081" s="119" t="s">
        <v>10</v>
      </c>
      <c r="P1081" s="152"/>
      <c r="Q1081" s="153"/>
      <c r="R1081" s="29" t="s">
        <v>723</v>
      </c>
    </row>
    <row r="1082" spans="1:18" hidden="1">
      <c r="A1082" s="147" t="s">
        <v>335</v>
      </c>
      <c r="B1082" s="147"/>
      <c r="C1082" s="29">
        <v>58500147</v>
      </c>
      <c r="D1082" s="29"/>
      <c r="F1082" s="29"/>
      <c r="G1082" s="29" t="s">
        <v>823</v>
      </c>
      <c r="H1082" s="29" t="s">
        <v>315</v>
      </c>
      <c r="I1082" s="120">
        <v>45715</v>
      </c>
      <c r="J1082" s="120">
        <f>WORKDAY(I1082, 3)</f>
        <v>45720</v>
      </c>
      <c r="K1082" s="120"/>
      <c r="L1082" s="120"/>
      <c r="M1082" s="120"/>
      <c r="N1082" s="120">
        <v>45719</v>
      </c>
      <c r="O1082" s="119" t="s">
        <v>10</v>
      </c>
      <c r="P1082" s="152"/>
      <c r="Q1082" s="153"/>
      <c r="R1082" s="29" t="s">
        <v>724</v>
      </c>
    </row>
    <row r="1083" spans="1:18" hidden="1">
      <c r="A1083" s="147" t="s">
        <v>335</v>
      </c>
      <c r="B1083" s="147"/>
      <c r="C1083" s="29">
        <v>58500151</v>
      </c>
      <c r="D1083" s="29"/>
      <c r="F1083" s="29"/>
      <c r="G1083" s="29" t="s">
        <v>823</v>
      </c>
      <c r="H1083" s="29" t="s">
        <v>315</v>
      </c>
      <c r="I1083" s="120">
        <v>45715</v>
      </c>
      <c r="J1083" s="120">
        <f>WORKDAY(I1083, 3)</f>
        <v>45720</v>
      </c>
      <c r="K1083" s="120"/>
      <c r="L1083" s="120"/>
      <c r="M1083" s="120"/>
      <c r="N1083" s="120">
        <v>45719</v>
      </c>
      <c r="O1083" s="119" t="s">
        <v>10</v>
      </c>
      <c r="P1083" s="152"/>
      <c r="Q1083" s="153"/>
      <c r="R1083" s="29" t="s">
        <v>725</v>
      </c>
    </row>
    <row r="1084" spans="1:18" hidden="1">
      <c r="A1084" s="147" t="s">
        <v>335</v>
      </c>
      <c r="B1084" s="147"/>
      <c r="C1084" s="29">
        <v>58500155</v>
      </c>
      <c r="D1084" s="29"/>
      <c r="F1084" s="29"/>
      <c r="G1084" s="29" t="s">
        <v>823</v>
      </c>
      <c r="H1084" s="29" t="s">
        <v>315</v>
      </c>
      <c r="I1084" s="120">
        <v>45715</v>
      </c>
      <c r="J1084" s="120">
        <f>WORKDAY(I1084, 3)</f>
        <v>45720</v>
      </c>
      <c r="K1084" s="120"/>
      <c r="L1084" s="120"/>
      <c r="M1084" s="120"/>
      <c r="N1084" s="120">
        <v>45719</v>
      </c>
      <c r="O1084" s="119" t="s">
        <v>10</v>
      </c>
      <c r="P1084" s="152"/>
      <c r="Q1084" s="153"/>
      <c r="R1084" s="29" t="s">
        <v>726</v>
      </c>
    </row>
    <row r="1085" spans="1:18" hidden="1">
      <c r="A1085" s="147" t="s">
        <v>335</v>
      </c>
      <c r="B1085" s="147"/>
      <c r="C1085" s="29">
        <v>58500158</v>
      </c>
      <c r="D1085" s="29"/>
      <c r="F1085" s="29"/>
      <c r="G1085" s="29" t="s">
        <v>823</v>
      </c>
      <c r="H1085" s="29" t="s">
        <v>315</v>
      </c>
      <c r="I1085" s="120">
        <v>45715</v>
      </c>
      <c r="J1085" s="120">
        <f>WORKDAY(I1085, 3)</f>
        <v>45720</v>
      </c>
      <c r="K1085" s="120"/>
      <c r="L1085" s="120"/>
      <c r="M1085" s="120"/>
      <c r="N1085" s="120">
        <v>45725</v>
      </c>
      <c r="O1085" s="119" t="s">
        <v>10</v>
      </c>
      <c r="P1085" s="152"/>
      <c r="Q1085" s="153"/>
      <c r="R1085" s="29" t="s">
        <v>727</v>
      </c>
    </row>
    <row r="1086" spans="1:18" hidden="1">
      <c r="A1086" s="147" t="s">
        <v>335</v>
      </c>
      <c r="B1086" s="147"/>
      <c r="C1086" s="29">
        <v>58500162</v>
      </c>
      <c r="D1086" s="29"/>
      <c r="F1086" s="29"/>
      <c r="G1086" s="29" t="s">
        <v>823</v>
      </c>
      <c r="H1086" s="29" t="s">
        <v>315</v>
      </c>
      <c r="I1086" s="120">
        <v>45715</v>
      </c>
      <c r="J1086" s="120">
        <f>WORKDAY(I1086, 3)</f>
        <v>45720</v>
      </c>
      <c r="K1086" s="120"/>
      <c r="L1086" s="120"/>
      <c r="M1086" s="120"/>
      <c r="N1086" s="120">
        <v>45725</v>
      </c>
      <c r="O1086" s="119" t="s">
        <v>10</v>
      </c>
      <c r="P1086" s="152"/>
      <c r="Q1086" s="153"/>
      <c r="R1086" s="29" t="s">
        <v>728</v>
      </c>
    </row>
    <row r="1087" spans="1:18" hidden="1">
      <c r="A1087" s="147" t="s">
        <v>335</v>
      </c>
      <c r="B1087" s="147"/>
      <c r="C1087" s="29">
        <v>58500167</v>
      </c>
      <c r="D1087" s="29"/>
      <c r="F1087" s="29"/>
      <c r="G1087" s="29" t="s">
        <v>823</v>
      </c>
      <c r="H1087" s="29" t="s">
        <v>315</v>
      </c>
      <c r="I1087" s="120">
        <v>45715</v>
      </c>
      <c r="J1087" s="120">
        <f>WORKDAY(I1087, 3)</f>
        <v>45720</v>
      </c>
      <c r="K1087" s="120"/>
      <c r="L1087" s="120"/>
      <c r="M1087" s="120"/>
      <c r="N1087" s="120">
        <v>45720</v>
      </c>
      <c r="O1087" s="119" t="s">
        <v>10</v>
      </c>
      <c r="P1087" s="152"/>
      <c r="Q1087" s="153"/>
      <c r="R1087" s="29" t="s">
        <v>726</v>
      </c>
    </row>
    <row r="1088" spans="1:18" hidden="1">
      <c r="A1088" s="147" t="s">
        <v>335</v>
      </c>
      <c r="B1088" s="147"/>
      <c r="C1088" s="29">
        <v>58500173</v>
      </c>
      <c r="D1088" s="29"/>
      <c r="F1088" s="29"/>
      <c r="G1088" s="29" t="s">
        <v>823</v>
      </c>
      <c r="H1088" s="29" t="s">
        <v>315</v>
      </c>
      <c r="I1088" s="120">
        <v>45715</v>
      </c>
      <c r="J1088" s="120">
        <f>WORKDAY(I1088, 3)</f>
        <v>45720</v>
      </c>
      <c r="K1088" s="120"/>
      <c r="L1088" s="120"/>
      <c r="M1088" s="120"/>
      <c r="N1088" s="120">
        <v>45720</v>
      </c>
      <c r="O1088" s="119" t="s">
        <v>10</v>
      </c>
      <c r="P1088" s="152"/>
      <c r="Q1088" s="153"/>
      <c r="R1088" s="29" t="s">
        <v>343</v>
      </c>
    </row>
    <row r="1089" spans="1:19" hidden="1">
      <c r="A1089" s="147" t="s">
        <v>335</v>
      </c>
      <c r="B1089" s="147"/>
      <c r="C1089" s="29">
        <v>58500175</v>
      </c>
      <c r="D1089" s="29"/>
      <c r="F1089" s="29"/>
      <c r="G1089" s="29" t="s">
        <v>823</v>
      </c>
      <c r="H1089" s="29" t="s">
        <v>315</v>
      </c>
      <c r="I1089" s="120">
        <v>45715</v>
      </c>
      <c r="J1089" s="120">
        <f>WORKDAY(I1089, 3)</f>
        <v>45720</v>
      </c>
      <c r="K1089" s="120"/>
      <c r="L1089" s="120"/>
      <c r="M1089" s="120"/>
      <c r="N1089" s="120">
        <v>45720</v>
      </c>
      <c r="O1089" s="119" t="s">
        <v>10</v>
      </c>
      <c r="P1089" s="152"/>
      <c r="Q1089" s="153"/>
      <c r="R1089" s="29" t="s">
        <v>342</v>
      </c>
    </row>
    <row r="1090" spans="1:19" hidden="1">
      <c r="A1090" s="147" t="s">
        <v>335</v>
      </c>
      <c r="B1090" s="147"/>
      <c r="C1090" s="29">
        <v>58500180</v>
      </c>
      <c r="D1090" s="29"/>
      <c r="F1090" s="29"/>
      <c r="G1090" s="29" t="s">
        <v>823</v>
      </c>
      <c r="H1090" s="29" t="s">
        <v>315</v>
      </c>
      <c r="I1090" s="120">
        <v>45715</v>
      </c>
      <c r="J1090" s="120">
        <f>WORKDAY(I1090, 3)</f>
        <v>45720</v>
      </c>
      <c r="K1090" s="120"/>
      <c r="L1090" s="120"/>
      <c r="M1090" s="120"/>
      <c r="N1090" s="120">
        <v>45720</v>
      </c>
      <c r="O1090" s="119" t="s">
        <v>10</v>
      </c>
      <c r="P1090" s="152"/>
      <c r="Q1090" s="153"/>
      <c r="R1090" s="29" t="s">
        <v>729</v>
      </c>
    </row>
    <row r="1091" spans="1:19" hidden="1">
      <c r="A1091" s="147" t="s">
        <v>335</v>
      </c>
      <c r="B1091" s="147"/>
      <c r="C1091" s="29">
        <v>58500184</v>
      </c>
      <c r="D1091" s="29"/>
      <c r="F1091" s="29"/>
      <c r="G1091" s="29" t="s">
        <v>823</v>
      </c>
      <c r="H1091" s="29" t="s">
        <v>315</v>
      </c>
      <c r="I1091" s="120">
        <v>45715</v>
      </c>
      <c r="J1091" s="120">
        <f>WORKDAY(I1091, 3)</f>
        <v>45720</v>
      </c>
      <c r="K1091" s="120"/>
      <c r="L1091" s="120"/>
      <c r="M1091" s="120"/>
      <c r="N1091" s="120">
        <v>45720</v>
      </c>
      <c r="O1091" s="119" t="s">
        <v>10</v>
      </c>
      <c r="P1091" s="152"/>
      <c r="Q1091" s="153"/>
      <c r="R1091" s="29" t="s">
        <v>729</v>
      </c>
    </row>
    <row r="1092" spans="1:19" hidden="1">
      <c r="A1092" s="147" t="s">
        <v>335</v>
      </c>
      <c r="B1092" s="147"/>
      <c r="C1092" s="29">
        <v>58500190</v>
      </c>
      <c r="D1092" s="29"/>
      <c r="F1092" s="29"/>
      <c r="G1092" s="29" t="s">
        <v>823</v>
      </c>
      <c r="H1092" s="29" t="s">
        <v>315</v>
      </c>
      <c r="I1092" s="120">
        <v>45715</v>
      </c>
      <c r="J1092" s="120">
        <f>WORKDAY(I1092, 3)</f>
        <v>45720</v>
      </c>
      <c r="K1092" s="120"/>
      <c r="L1092" s="120"/>
      <c r="M1092" s="120"/>
      <c r="N1092" s="120">
        <v>45720</v>
      </c>
      <c r="O1092" s="119" t="s">
        <v>10</v>
      </c>
      <c r="P1092" s="152"/>
      <c r="Q1092" s="153"/>
      <c r="R1092" s="29" t="s">
        <v>340</v>
      </c>
    </row>
    <row r="1093" spans="1:19" hidden="1">
      <c r="A1093" s="147" t="s">
        <v>335</v>
      </c>
      <c r="B1093" s="147"/>
      <c r="C1093" s="29">
        <v>58500197</v>
      </c>
      <c r="D1093" s="29"/>
      <c r="F1093" s="29"/>
      <c r="G1093" s="29" t="s">
        <v>823</v>
      </c>
      <c r="H1093" s="29" t="s">
        <v>315</v>
      </c>
      <c r="I1093" s="120">
        <v>45715</v>
      </c>
      <c r="J1093" s="120">
        <f>WORKDAY(I1093, 3)</f>
        <v>45720</v>
      </c>
      <c r="K1093" s="120"/>
      <c r="L1093" s="120"/>
      <c r="M1093" s="120"/>
      <c r="N1093" s="120">
        <v>45721</v>
      </c>
      <c r="O1093" s="119" t="s">
        <v>10</v>
      </c>
      <c r="P1093" s="152"/>
      <c r="Q1093" s="153"/>
      <c r="R1093" s="29" t="s">
        <v>339</v>
      </c>
    </row>
    <row r="1094" spans="1:19" hidden="1">
      <c r="A1094" s="147" t="s">
        <v>335</v>
      </c>
      <c r="B1094" s="147"/>
      <c r="C1094" s="29">
        <v>58500200</v>
      </c>
      <c r="D1094" s="29"/>
      <c r="F1094" s="29"/>
      <c r="G1094" s="29" t="s">
        <v>823</v>
      </c>
      <c r="H1094" s="29" t="s">
        <v>315</v>
      </c>
      <c r="I1094" s="120">
        <v>45715</v>
      </c>
      <c r="J1094" s="120">
        <f>WORKDAY(I1094, 3)</f>
        <v>45720</v>
      </c>
      <c r="K1094" s="120"/>
      <c r="L1094" s="120"/>
      <c r="M1094" s="120"/>
      <c r="N1094" s="120">
        <v>45720</v>
      </c>
      <c r="O1094" s="119" t="s">
        <v>10</v>
      </c>
      <c r="P1094" s="152"/>
      <c r="Q1094" s="153"/>
      <c r="R1094" s="29" t="s">
        <v>730</v>
      </c>
    </row>
    <row r="1095" spans="1:19" hidden="1">
      <c r="A1095" s="147" t="s">
        <v>335</v>
      </c>
      <c r="B1095" s="147"/>
      <c r="C1095" s="29">
        <v>58500204</v>
      </c>
      <c r="D1095" s="29"/>
      <c r="F1095" s="29"/>
      <c r="G1095" s="29" t="s">
        <v>823</v>
      </c>
      <c r="H1095" s="29" t="s">
        <v>315</v>
      </c>
      <c r="I1095" s="120">
        <v>45715</v>
      </c>
      <c r="J1095" s="120">
        <f>WORKDAY(I1095, 3)</f>
        <v>45720</v>
      </c>
      <c r="K1095" s="120"/>
      <c r="L1095" s="120"/>
      <c r="M1095" s="120"/>
      <c r="N1095" s="120">
        <v>45721</v>
      </c>
      <c r="O1095" s="119" t="s">
        <v>10</v>
      </c>
      <c r="P1095" s="152"/>
      <c r="Q1095" s="153"/>
      <c r="R1095" s="29" t="s">
        <v>726</v>
      </c>
    </row>
    <row r="1096" spans="1:19" hidden="1">
      <c r="A1096" s="147" t="s">
        <v>335</v>
      </c>
      <c r="B1096" s="147"/>
      <c r="C1096" s="29">
        <v>58500206</v>
      </c>
      <c r="D1096" s="29"/>
      <c r="F1096" s="29"/>
      <c r="G1096" s="29" t="s">
        <v>823</v>
      </c>
      <c r="H1096" s="29" t="s">
        <v>315</v>
      </c>
      <c r="I1096" s="120">
        <v>45715</v>
      </c>
      <c r="J1096" s="120">
        <f>WORKDAY(I1096, 3)</f>
        <v>45720</v>
      </c>
      <c r="K1096" s="120"/>
      <c r="L1096" s="120"/>
      <c r="M1096" s="120"/>
      <c r="N1096" s="120">
        <v>45721</v>
      </c>
      <c r="O1096" s="119" t="s">
        <v>10</v>
      </c>
      <c r="P1096" s="152"/>
      <c r="Q1096" s="153"/>
      <c r="R1096" s="29" t="s">
        <v>337</v>
      </c>
    </row>
    <row r="1097" spans="1:19" hidden="1">
      <c r="A1097" s="147" t="s">
        <v>335</v>
      </c>
      <c r="B1097" s="147"/>
      <c r="C1097" s="29">
        <v>58500211</v>
      </c>
      <c r="D1097" s="29"/>
      <c r="F1097" s="29"/>
      <c r="G1097" s="29" t="s">
        <v>823</v>
      </c>
      <c r="H1097" s="29" t="s">
        <v>315</v>
      </c>
      <c r="I1097" s="120">
        <v>45715</v>
      </c>
      <c r="J1097" s="120">
        <f>WORKDAY(I1097, 3)</f>
        <v>45720</v>
      </c>
      <c r="K1097" s="120"/>
      <c r="L1097" s="120"/>
      <c r="M1097" s="120"/>
      <c r="N1097" s="120">
        <v>45720</v>
      </c>
      <c r="O1097" s="119" t="s">
        <v>10</v>
      </c>
      <c r="P1097" s="152"/>
      <c r="Q1097" s="153"/>
      <c r="R1097" s="29" t="s">
        <v>336</v>
      </c>
    </row>
    <row r="1098" spans="1:19" hidden="1">
      <c r="A1098" s="41" t="s">
        <v>816</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138</v>
      </c>
      <c r="H1100" s="29" t="s">
        <v>77</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138</v>
      </c>
      <c r="H1104" s="29" t="s">
        <v>77</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138</v>
      </c>
      <c r="H1105" s="29" t="s">
        <v>77</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974</v>
      </c>
      <c r="S1109" s="123"/>
    </row>
    <row r="1110" spans="1:19" hidden="1">
      <c r="A1110" s="29" t="s">
        <v>285</v>
      </c>
      <c r="B1110" s="29"/>
      <c r="C1110" s="29">
        <v>56506013</v>
      </c>
      <c r="D1110" s="29"/>
      <c r="F1110" s="29"/>
      <c r="G1110" s="29" t="s">
        <v>115</v>
      </c>
      <c r="H1110" s="29" t="s">
        <v>287</v>
      </c>
      <c r="I1110" s="120">
        <v>45716</v>
      </c>
      <c r="J1110" s="120">
        <f>WORKDAY(I1110, 3)</f>
        <v>45721</v>
      </c>
      <c r="K1110" s="120">
        <v>45729</v>
      </c>
      <c r="L1110" s="120"/>
      <c r="M1110" s="120"/>
      <c r="N1110" s="120"/>
      <c r="O1110" s="119" t="s">
        <v>929</v>
      </c>
      <c r="P1110" s="120"/>
      <c r="Q1110" s="135"/>
      <c r="R1110" s="29"/>
    </row>
    <row r="1111" spans="1:19" hidden="1">
      <c r="A1111" s="29" t="s">
        <v>285</v>
      </c>
      <c r="B1111" s="29"/>
      <c r="C1111" s="29">
        <v>56506218</v>
      </c>
      <c r="D1111" s="29"/>
      <c r="F1111" s="29"/>
      <c r="G1111" s="29" t="s">
        <v>115</v>
      </c>
      <c r="H1111" s="29" t="s">
        <v>287</v>
      </c>
      <c r="I1111" s="120">
        <v>45716</v>
      </c>
      <c r="J1111" s="120">
        <f>WORKDAY(I1111, 3)</f>
        <v>45721</v>
      </c>
      <c r="K1111" s="120"/>
      <c r="L1111" s="120"/>
      <c r="M1111" s="120"/>
      <c r="N1111" s="120">
        <v>45717</v>
      </c>
      <c r="O1111" s="119" t="s">
        <v>10</v>
      </c>
      <c r="P1111" s="152"/>
      <c r="Q1111" s="153"/>
      <c r="R1111" s="29"/>
    </row>
    <row r="1112" spans="1:19" hidden="1">
      <c r="A1112" s="29" t="s">
        <v>288</v>
      </c>
      <c r="B1112" s="29"/>
      <c r="C1112" s="29">
        <v>56506367</v>
      </c>
      <c r="D1112" s="29"/>
      <c r="F1112" s="29"/>
      <c r="G1112" s="29" t="s">
        <v>115</v>
      </c>
      <c r="H1112" s="29" t="s">
        <v>287</v>
      </c>
      <c r="I1112" s="120">
        <v>45716</v>
      </c>
      <c r="J1112" s="120">
        <f>WORKDAY(I1112, 3)</f>
        <v>45721</v>
      </c>
      <c r="K1112" s="120">
        <v>45729</v>
      </c>
      <c r="L1112" s="120"/>
      <c r="M1112" s="120"/>
      <c r="N1112" s="120"/>
      <c r="O1112" s="119" t="s">
        <v>929</v>
      </c>
      <c r="P1112" s="120"/>
      <c r="Q1112" s="135"/>
      <c r="R1112" s="29"/>
    </row>
    <row r="1113" spans="1:19" hidden="1">
      <c r="A1113" s="29" t="s">
        <v>289</v>
      </c>
      <c r="B1113" s="29"/>
      <c r="C1113" s="29">
        <v>56506513</v>
      </c>
      <c r="D1113" s="29"/>
      <c r="F1113" s="29"/>
      <c r="G1113" s="29" t="s">
        <v>115</v>
      </c>
      <c r="H1113" s="29" t="s">
        <v>287</v>
      </c>
      <c r="I1113" s="120">
        <v>45716</v>
      </c>
      <c r="J1113" s="120">
        <f>WORKDAY(I1113, 3)</f>
        <v>45721</v>
      </c>
      <c r="K1113" s="120"/>
      <c r="L1113" s="120"/>
      <c r="M1113" s="120"/>
      <c r="N1113" s="120">
        <v>45717</v>
      </c>
      <c r="O1113" s="119" t="s">
        <v>10</v>
      </c>
      <c r="P1113" s="120"/>
      <c r="Q1113" s="135"/>
      <c r="R1113" s="29"/>
    </row>
    <row r="1114" spans="1:19" hidden="1">
      <c r="A1114" s="29" t="s">
        <v>289</v>
      </c>
      <c r="B1114" s="29"/>
      <c r="C1114" s="29">
        <v>56506567</v>
      </c>
      <c r="D1114" s="29"/>
      <c r="F1114" s="29"/>
      <c r="G1114" s="29" t="s">
        <v>115</v>
      </c>
      <c r="H1114" s="29" t="s">
        <v>287</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367</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367</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367</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367</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367</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367</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367</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367</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367</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367</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367</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367</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367</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367</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367</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367</v>
      </c>
      <c r="I1130" s="42">
        <v>45720</v>
      </c>
      <c r="J1130" s="120">
        <f>WORKDAY(I1130, 3)</f>
        <v>45723</v>
      </c>
      <c r="K1130" s="42"/>
      <c r="L1130" s="42"/>
      <c r="M1130" s="42"/>
      <c r="N1130" s="42">
        <v>45723</v>
      </c>
      <c r="O1130" s="119" t="s">
        <v>10</v>
      </c>
      <c r="P1130" s="152"/>
      <c r="Q1130" s="153"/>
      <c r="R1130" s="41" t="s">
        <v>747</v>
      </c>
    </row>
    <row r="1131" spans="1:18" hidden="1">
      <c r="A1131" s="41" t="s">
        <v>311</v>
      </c>
      <c r="B1131" s="41"/>
      <c r="C1131" s="29">
        <v>63508545</v>
      </c>
      <c r="D1131" s="29"/>
      <c r="F1131" s="29"/>
      <c r="G1131" s="84" t="s">
        <v>823</v>
      </c>
      <c r="H1131" s="29" t="s">
        <v>315</v>
      </c>
      <c r="I1131" s="42">
        <v>45720</v>
      </c>
      <c r="J1131" s="120">
        <f>WORKDAY(I1131, 3)</f>
        <v>45723</v>
      </c>
      <c r="K1131" s="42"/>
      <c r="L1131" s="42"/>
      <c r="M1131" s="42"/>
      <c r="N1131" s="42">
        <v>45723</v>
      </c>
      <c r="O1131" s="119" t="s">
        <v>10</v>
      </c>
      <c r="P1131" s="152"/>
      <c r="Q1131" s="153"/>
      <c r="R1131" s="29" t="s">
        <v>748</v>
      </c>
    </row>
    <row r="1132" spans="1:18" hidden="1">
      <c r="A1132" s="41" t="s">
        <v>311</v>
      </c>
      <c r="B1132" s="41"/>
      <c r="C1132" s="29">
        <v>63508556</v>
      </c>
      <c r="D1132" s="29"/>
      <c r="F1132" s="29"/>
      <c r="G1132" s="84" t="s">
        <v>823</v>
      </c>
      <c r="H1132" s="29" t="s">
        <v>315</v>
      </c>
      <c r="I1132" s="42">
        <v>45720</v>
      </c>
      <c r="J1132" s="120">
        <f>WORKDAY(I1132, 3)</f>
        <v>45723</v>
      </c>
      <c r="K1132" s="42">
        <v>45729</v>
      </c>
      <c r="L1132" s="42"/>
      <c r="M1132" s="42"/>
      <c r="N1132" s="42">
        <v>45723</v>
      </c>
      <c r="O1132" s="119" t="s">
        <v>170</v>
      </c>
      <c r="P1132" s="42"/>
      <c r="Q1132" s="136"/>
      <c r="R1132" s="29" t="s">
        <v>748</v>
      </c>
    </row>
    <row r="1133" spans="1:18" hidden="1">
      <c r="A1133" s="41" t="s">
        <v>749</v>
      </c>
      <c r="B1133" s="41"/>
      <c r="C1133" s="29">
        <v>63509146</v>
      </c>
      <c r="D1133" s="29"/>
      <c r="F1133" s="29"/>
      <c r="G1133" s="84" t="s">
        <v>823</v>
      </c>
      <c r="H1133" s="29" t="s">
        <v>315</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315</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315</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315</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315</v>
      </c>
      <c r="I1137" s="42">
        <v>45720</v>
      </c>
      <c r="J1137" s="120">
        <f>WORKDAY(I1137, 3)</f>
        <v>45723</v>
      </c>
      <c r="K1137" s="42">
        <v>45729</v>
      </c>
      <c r="L1137" s="42"/>
      <c r="M1137" s="42"/>
      <c r="N1137" s="42">
        <v>45730</v>
      </c>
      <c r="O1137" s="119" t="s">
        <v>170</v>
      </c>
      <c r="P1137" s="42"/>
      <c r="Q1137" s="136"/>
      <c r="R1137" s="29" t="s">
        <v>754</v>
      </c>
    </row>
    <row r="1138" spans="1:18" hidden="1">
      <c r="A1138" s="41" t="s">
        <v>749</v>
      </c>
      <c r="B1138" s="41"/>
      <c r="C1138" s="29">
        <v>63509195</v>
      </c>
      <c r="D1138" s="29"/>
      <c r="F1138" s="29"/>
      <c r="G1138" s="84" t="s">
        <v>823</v>
      </c>
      <c r="H1138" s="29" t="s">
        <v>315</v>
      </c>
      <c r="I1138" s="42">
        <v>45720</v>
      </c>
      <c r="J1138" s="120">
        <f>WORKDAY(I1138, 3)</f>
        <v>45723</v>
      </c>
      <c r="K1138" s="42">
        <v>45729</v>
      </c>
      <c r="L1138" s="42"/>
      <c r="M1138" s="42"/>
      <c r="N1138" s="42">
        <v>45730</v>
      </c>
      <c r="O1138" s="119" t="s">
        <v>170</v>
      </c>
      <c r="P1138" s="42"/>
      <c r="Q1138" s="136"/>
      <c r="R1138" s="29" t="s">
        <v>755</v>
      </c>
    </row>
    <row r="1139" spans="1:18" hidden="1">
      <c r="A1139" s="41" t="s">
        <v>749</v>
      </c>
      <c r="B1139" s="41"/>
      <c r="C1139" s="29">
        <v>63509198</v>
      </c>
      <c r="D1139" s="29"/>
      <c r="F1139" s="29"/>
      <c r="G1139" s="84" t="s">
        <v>823</v>
      </c>
      <c r="H1139" s="29" t="s">
        <v>315</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315</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315</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315</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315</v>
      </c>
      <c r="I1143" s="42">
        <v>45720</v>
      </c>
      <c r="J1143" s="120">
        <f>WORKDAY(I1143, 3)</f>
        <v>45723</v>
      </c>
      <c r="K1143" s="42">
        <v>45727</v>
      </c>
      <c r="L1143" s="42"/>
      <c r="M1143" s="42"/>
      <c r="N1143" s="42">
        <v>45738</v>
      </c>
      <c r="O1143" s="119" t="s">
        <v>170</v>
      </c>
      <c r="P1143" s="42"/>
      <c r="Q1143" s="136"/>
      <c r="R1143" s="29" t="s">
        <v>760</v>
      </c>
    </row>
    <row r="1144" spans="1:18" hidden="1">
      <c r="A1144" s="41" t="s">
        <v>749</v>
      </c>
      <c r="B1144" s="41"/>
      <c r="C1144" s="29">
        <v>63509266</v>
      </c>
      <c r="D1144" s="29"/>
      <c r="F1144" s="29"/>
      <c r="G1144" s="84" t="s">
        <v>823</v>
      </c>
      <c r="H1144" s="29" t="s">
        <v>315</v>
      </c>
      <c r="I1144" s="42">
        <v>45720</v>
      </c>
      <c r="J1144" s="120">
        <f>WORKDAY(I1144, 3)</f>
        <v>45723</v>
      </c>
      <c r="K1144" s="42">
        <v>45727</v>
      </c>
      <c r="L1144" s="42"/>
      <c r="M1144" s="42"/>
      <c r="N1144" s="42">
        <v>45737</v>
      </c>
      <c r="O1144" s="119" t="s">
        <v>170</v>
      </c>
      <c r="P1144" s="42"/>
      <c r="Q1144" s="136"/>
      <c r="R1144" s="29" t="s">
        <v>761</v>
      </c>
    </row>
    <row r="1145" spans="1:18" hidden="1">
      <c r="A1145" s="41" t="s">
        <v>749</v>
      </c>
      <c r="B1145" s="41"/>
      <c r="C1145" s="29">
        <v>63509281</v>
      </c>
      <c r="D1145" s="29"/>
      <c r="F1145" s="29"/>
      <c r="G1145" s="84" t="s">
        <v>823</v>
      </c>
      <c r="H1145" s="29" t="s">
        <v>315</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315</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315</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315</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315</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315</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315</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315</v>
      </c>
      <c r="I1152" s="42">
        <v>45720</v>
      </c>
      <c r="J1152" s="120">
        <f>WORKDAY(I1152, 3)</f>
        <v>45723</v>
      </c>
      <c r="K1152" s="42">
        <v>45727</v>
      </c>
      <c r="L1152" s="42"/>
      <c r="M1152" s="42"/>
      <c r="N1152" s="42">
        <v>45734</v>
      </c>
      <c r="O1152" s="119" t="s">
        <v>170</v>
      </c>
      <c r="P1152" s="42"/>
      <c r="Q1152" s="136"/>
      <c r="R1152" s="29" t="s">
        <v>769</v>
      </c>
    </row>
    <row r="1153" spans="1:18" hidden="1">
      <c r="A1153" s="41" t="s">
        <v>749</v>
      </c>
      <c r="B1153" s="41"/>
      <c r="C1153" s="29">
        <v>63509377</v>
      </c>
      <c r="D1153" s="29"/>
      <c r="F1153" s="29"/>
      <c r="G1153" s="84" t="s">
        <v>823</v>
      </c>
      <c r="H1153" s="29" t="s">
        <v>315</v>
      </c>
      <c r="I1153" s="42">
        <v>45720</v>
      </c>
      <c r="J1153" s="120">
        <f>WORKDAY(I1153, 3)</f>
        <v>45723</v>
      </c>
      <c r="K1153" s="42">
        <v>45727</v>
      </c>
      <c r="L1153" s="42"/>
      <c r="M1153" s="42"/>
      <c r="N1153" s="42">
        <v>45734</v>
      </c>
      <c r="O1153" s="119" t="s">
        <v>170</v>
      </c>
      <c r="P1153" s="42"/>
      <c r="Q1153" s="136"/>
      <c r="R1153" s="29" t="s">
        <v>770</v>
      </c>
    </row>
    <row r="1154" spans="1:18" hidden="1">
      <c r="A1154" s="41" t="s">
        <v>749</v>
      </c>
      <c r="B1154" s="41"/>
      <c r="C1154" s="29">
        <v>63509381</v>
      </c>
      <c r="D1154" s="29"/>
      <c r="F1154" s="29"/>
      <c r="G1154" s="84" t="s">
        <v>823</v>
      </c>
      <c r="H1154" s="29" t="s">
        <v>315</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315</v>
      </c>
      <c r="I1155" s="42">
        <v>45720</v>
      </c>
      <c r="J1155" s="120">
        <f>WORKDAY(I1155, 3)</f>
        <v>45723</v>
      </c>
      <c r="K1155" s="42">
        <v>45727</v>
      </c>
      <c r="L1155" s="42"/>
      <c r="M1155" s="42"/>
      <c r="N1155" s="42">
        <v>45734</v>
      </c>
      <c r="O1155" s="119" t="s">
        <v>170</v>
      </c>
      <c r="P1155" s="42"/>
      <c r="Q1155" s="136"/>
      <c r="R1155" s="29" t="s">
        <v>772</v>
      </c>
    </row>
    <row r="1156" spans="1:18" hidden="1">
      <c r="A1156" s="41" t="s">
        <v>749</v>
      </c>
      <c r="B1156" s="41"/>
      <c r="C1156" s="29">
        <v>63509397</v>
      </c>
      <c r="D1156" s="29"/>
      <c r="F1156" s="29"/>
      <c r="G1156" s="84" t="s">
        <v>823</v>
      </c>
      <c r="H1156" s="29" t="s">
        <v>315</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315</v>
      </c>
      <c r="I1157" s="42">
        <v>45720</v>
      </c>
      <c r="J1157" s="120">
        <f>WORKDAY(I1157, 3)</f>
        <v>45723</v>
      </c>
      <c r="K1157" s="42">
        <v>45727</v>
      </c>
      <c r="L1157" s="42"/>
      <c r="M1157" s="42"/>
      <c r="N1157" s="42">
        <v>45734</v>
      </c>
      <c r="O1157" s="119" t="s">
        <v>170</v>
      </c>
      <c r="P1157" s="42"/>
      <c r="Q1157" s="136"/>
      <c r="R1157" s="29" t="s">
        <v>774</v>
      </c>
    </row>
    <row r="1158" spans="1:18" hidden="1">
      <c r="A1158" s="41" t="s">
        <v>749</v>
      </c>
      <c r="B1158" s="41"/>
      <c r="C1158" s="29">
        <v>63509411</v>
      </c>
      <c r="D1158" s="29"/>
      <c r="F1158" s="29"/>
      <c r="G1158" s="84" t="s">
        <v>823</v>
      </c>
      <c r="H1158" s="29" t="s">
        <v>315</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315</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315</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315</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315</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315</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315</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315</v>
      </c>
      <c r="I1167" s="42">
        <v>45722</v>
      </c>
      <c r="J1167" s="120">
        <f>WORKDAY(I1167, 3)</f>
        <v>45727</v>
      </c>
      <c r="K1167" s="42">
        <v>45727</v>
      </c>
      <c r="L1167" s="42"/>
      <c r="M1167" s="42"/>
      <c r="N1167" s="42">
        <v>45734</v>
      </c>
      <c r="O1167" s="119" t="s">
        <v>170</v>
      </c>
      <c r="P1167" s="29"/>
      <c r="Q1167" s="81"/>
      <c r="R1167" s="41" t="s">
        <v>783</v>
      </c>
    </row>
    <row r="1168" spans="1:18" hidden="1">
      <c r="A1168" s="41" t="s">
        <v>780</v>
      </c>
      <c r="B1168" s="41"/>
      <c r="C1168" s="41">
        <v>65503998</v>
      </c>
      <c r="D1168" s="41"/>
      <c r="F1168" s="41"/>
      <c r="G1168" s="84" t="s">
        <v>823</v>
      </c>
      <c r="H1168" s="29" t="s">
        <v>315</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315</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315</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315</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315</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315</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315</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315</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315</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315</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315</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315</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315</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315</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315</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315</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315</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315</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315</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315</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315</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315</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315</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315</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315</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315</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315</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315</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315</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315</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315</v>
      </c>
      <c r="I1198" s="42">
        <v>45722</v>
      </c>
      <c r="J1198" s="120">
        <f>WORKDAY(I1198, 3)</f>
        <v>45727</v>
      </c>
      <c r="K1198" s="29"/>
      <c r="L1198" s="29"/>
      <c r="M1198" s="29"/>
      <c r="N1198" s="29"/>
      <c r="O1198" s="119" t="s">
        <v>939</v>
      </c>
      <c r="P1198" s="29"/>
      <c r="Q1198" s="81"/>
      <c r="R1198" s="41" t="s">
        <v>815</v>
      </c>
    </row>
    <row r="1199" spans="1:18" hidden="1">
      <c r="A1199" s="147" t="s">
        <v>290</v>
      </c>
      <c r="B1199" s="147"/>
      <c r="C1199" s="41">
        <v>64502509</v>
      </c>
      <c r="D1199" s="41"/>
      <c r="F1199" s="41"/>
      <c r="G1199" s="84" t="s">
        <v>823</v>
      </c>
      <c r="H1199" s="29" t="s">
        <v>315</v>
      </c>
      <c r="I1199" s="42">
        <v>45722</v>
      </c>
      <c r="J1199" s="120">
        <f>WORKDAY(I1199, 3)</f>
        <v>45727</v>
      </c>
      <c r="K1199" s="29"/>
      <c r="L1199" s="29"/>
      <c r="M1199" s="29"/>
      <c r="N1199" s="29"/>
      <c r="O1199" s="119" t="s">
        <v>929</v>
      </c>
      <c r="P1199" s="29"/>
      <c r="Q1199" s="81"/>
    </row>
    <row r="1200" spans="1:18" hidden="1">
      <c r="A1200" s="147" t="s">
        <v>290</v>
      </c>
      <c r="B1200" s="147"/>
      <c r="C1200" s="41">
        <v>64502261</v>
      </c>
      <c r="D1200" s="41"/>
      <c r="F1200" s="41"/>
      <c r="G1200" s="84" t="s">
        <v>823</v>
      </c>
      <c r="H1200" s="29" t="s">
        <v>315</v>
      </c>
      <c r="I1200" s="42">
        <v>45722</v>
      </c>
      <c r="J1200" s="120">
        <f>WORKDAY(I1200, 3)</f>
        <v>45727</v>
      </c>
      <c r="K1200" s="29"/>
      <c r="L1200" s="29"/>
      <c r="M1200" s="29"/>
      <c r="N1200" s="29"/>
      <c r="O1200" s="119" t="s">
        <v>929</v>
      </c>
      <c r="P1200" s="29"/>
      <c r="Q1200" s="81"/>
    </row>
    <row r="1201" spans="1:17" hidden="1">
      <c r="A1201" s="147" t="s">
        <v>290</v>
      </c>
      <c r="B1201" s="147"/>
      <c r="C1201" s="41">
        <v>64503084</v>
      </c>
      <c r="D1201" s="41"/>
      <c r="F1201" s="41"/>
      <c r="G1201" s="84" t="s">
        <v>823</v>
      </c>
      <c r="H1201" s="29" t="s">
        <v>315</v>
      </c>
      <c r="I1201" s="42">
        <v>45722</v>
      </c>
      <c r="J1201" s="120">
        <f>WORKDAY(I1201, 3)</f>
        <v>45727</v>
      </c>
      <c r="K1201" s="29"/>
      <c r="L1201" s="29"/>
      <c r="M1201" s="29"/>
      <c r="N1201" s="29"/>
      <c r="O1201" s="119" t="s">
        <v>929</v>
      </c>
      <c r="P1201" s="29"/>
      <c r="Q1201" s="81"/>
    </row>
    <row r="1202" spans="1:17" hidden="1">
      <c r="A1202" s="147" t="s">
        <v>290</v>
      </c>
      <c r="B1202" s="147"/>
      <c r="C1202" s="41">
        <v>64506391</v>
      </c>
      <c r="D1202" s="41"/>
      <c r="F1202" s="41"/>
      <c r="G1202" s="84" t="s">
        <v>823</v>
      </c>
      <c r="H1202" s="29" t="s">
        <v>315</v>
      </c>
      <c r="I1202" s="42">
        <v>45722</v>
      </c>
      <c r="J1202" s="120">
        <f>WORKDAY(I1202, 3)</f>
        <v>45727</v>
      </c>
      <c r="K1202" s="29"/>
      <c r="L1202" s="29"/>
      <c r="M1202" s="29"/>
      <c r="N1202" s="29"/>
      <c r="O1202" s="119" t="s">
        <v>929</v>
      </c>
      <c r="P1202" s="29"/>
      <c r="Q1202" s="81"/>
    </row>
    <row r="1203" spans="1:17" hidden="1">
      <c r="A1203" s="147" t="s">
        <v>290</v>
      </c>
      <c r="B1203" s="147"/>
      <c r="C1203" s="41">
        <v>64507864</v>
      </c>
      <c r="D1203" s="41"/>
      <c r="F1203" s="41"/>
      <c r="G1203" s="84" t="s">
        <v>823</v>
      </c>
      <c r="H1203" s="29" t="s">
        <v>315</v>
      </c>
      <c r="I1203" s="42">
        <v>45722</v>
      </c>
      <c r="J1203" s="120">
        <f>WORKDAY(I1203, 3)</f>
        <v>45727</v>
      </c>
      <c r="K1203" s="29"/>
      <c r="L1203" s="29"/>
      <c r="M1203" s="29"/>
      <c r="N1203" s="29"/>
      <c r="O1203" s="119" t="s">
        <v>929</v>
      </c>
      <c r="P1203" s="29"/>
      <c r="Q1203" s="81"/>
    </row>
    <row r="1204" spans="1:17" hidden="1">
      <c r="A1204" s="147" t="s">
        <v>438</v>
      </c>
      <c r="B1204" s="147"/>
      <c r="C1204" s="41">
        <v>71508202</v>
      </c>
      <c r="D1204" s="41"/>
      <c r="F1204" s="41"/>
      <c r="G1204" s="84" t="s">
        <v>823</v>
      </c>
      <c r="H1204" s="29" t="s">
        <v>315</v>
      </c>
      <c r="I1204" s="42">
        <v>45728</v>
      </c>
      <c r="J1204" s="120">
        <f>WORKDAY(I1204, 3)</f>
        <v>45733</v>
      </c>
      <c r="K1204" s="42">
        <v>45727</v>
      </c>
      <c r="L1204" s="42"/>
      <c r="M1204" s="42"/>
      <c r="N1204" s="120">
        <v>45737</v>
      </c>
      <c r="O1204" s="119" t="s">
        <v>980</v>
      </c>
      <c r="P1204" s="29"/>
      <c r="Q1204" s="81"/>
    </row>
    <row r="1205" spans="1:17" hidden="1">
      <c r="A1205" s="147" t="s">
        <v>438</v>
      </c>
      <c r="B1205" s="147"/>
      <c r="C1205" s="41">
        <v>62506684</v>
      </c>
      <c r="D1205" s="41"/>
      <c r="F1205" s="41"/>
      <c r="G1205" s="84" t="s">
        <v>823</v>
      </c>
      <c r="H1205" s="29" t="s">
        <v>316</v>
      </c>
      <c r="I1205" s="42">
        <v>45721</v>
      </c>
      <c r="J1205" s="120">
        <f>WORKDAY(I1205, 3)</f>
        <v>45726</v>
      </c>
      <c r="K1205" s="42">
        <v>45727</v>
      </c>
      <c r="L1205" s="42"/>
      <c r="M1205" s="42"/>
      <c r="N1205" s="120">
        <v>45734</v>
      </c>
      <c r="O1205" s="119" t="s">
        <v>10</v>
      </c>
      <c r="P1205" s="29"/>
      <c r="Q1205" s="81"/>
    </row>
    <row r="1206" spans="1:17" hidden="1">
      <c r="A1206" s="147" t="s">
        <v>438</v>
      </c>
      <c r="B1206" s="147"/>
      <c r="C1206" s="29">
        <v>62506609</v>
      </c>
      <c r="D1206" s="29"/>
      <c r="F1206" s="29"/>
      <c r="G1206" s="84" t="s">
        <v>823</v>
      </c>
      <c r="H1206" s="29" t="s">
        <v>316</v>
      </c>
      <c r="I1206" s="42">
        <v>45721</v>
      </c>
      <c r="J1206" s="120">
        <f>WORKDAY(I1206, 3)</f>
        <v>45726</v>
      </c>
      <c r="K1206" s="29"/>
      <c r="L1206" s="29"/>
      <c r="M1206" s="29"/>
      <c r="N1206" s="120">
        <v>45728</v>
      </c>
      <c r="O1206" s="119" t="s">
        <v>10</v>
      </c>
      <c r="P1206" s="152"/>
      <c r="Q1206" s="153"/>
    </row>
    <row r="1207" spans="1:17" hidden="1">
      <c r="A1207" s="147" t="s">
        <v>438</v>
      </c>
      <c r="B1207" s="147"/>
      <c r="C1207" s="29">
        <v>62506512</v>
      </c>
      <c r="D1207" s="29"/>
      <c r="F1207" s="29"/>
      <c r="G1207" s="84" t="s">
        <v>823</v>
      </c>
      <c r="H1207" s="29" t="s">
        <v>316</v>
      </c>
      <c r="I1207" s="42">
        <v>45721</v>
      </c>
      <c r="J1207" s="120">
        <f>WORKDAY(I1207, 3)</f>
        <v>45726</v>
      </c>
      <c r="K1207" s="29"/>
      <c r="L1207" s="29"/>
      <c r="M1207" s="29"/>
      <c r="N1207" s="120">
        <v>45723</v>
      </c>
      <c r="O1207" s="119" t="s">
        <v>10</v>
      </c>
      <c r="P1207" s="152"/>
      <c r="Q1207" s="153"/>
    </row>
    <row r="1208" spans="1:17" hidden="1">
      <c r="A1208" s="147" t="s">
        <v>438</v>
      </c>
      <c r="B1208" s="147"/>
      <c r="C1208" s="29">
        <v>62506411</v>
      </c>
      <c r="D1208" s="29"/>
      <c r="F1208" s="29"/>
      <c r="G1208" s="84" t="s">
        <v>823</v>
      </c>
      <c r="H1208" s="29" t="s">
        <v>316</v>
      </c>
      <c r="I1208" s="42">
        <v>45721</v>
      </c>
      <c r="J1208" s="120">
        <f>WORKDAY(I1208, 3)</f>
        <v>45726</v>
      </c>
      <c r="K1208" s="29"/>
      <c r="L1208" s="29"/>
      <c r="M1208" s="29"/>
      <c r="N1208" s="120">
        <v>45727</v>
      </c>
      <c r="O1208" s="119" t="s">
        <v>10</v>
      </c>
      <c r="P1208" s="152"/>
      <c r="Q1208" s="153"/>
    </row>
    <row r="1209" spans="1:17" hidden="1">
      <c r="A1209" s="147" t="s">
        <v>438</v>
      </c>
      <c r="B1209" s="147"/>
      <c r="C1209" s="29">
        <v>62506215</v>
      </c>
      <c r="D1209" s="29"/>
      <c r="F1209" s="29"/>
      <c r="G1209" s="84" t="s">
        <v>823</v>
      </c>
      <c r="H1209" s="29" t="s">
        <v>316</v>
      </c>
      <c r="I1209" s="42">
        <v>45721</v>
      </c>
      <c r="J1209" s="120">
        <f>WORKDAY(I1209, 3)</f>
        <v>45726</v>
      </c>
      <c r="K1209" s="29"/>
      <c r="L1209" s="29"/>
      <c r="M1209" s="29"/>
      <c r="N1209" s="120">
        <v>45723</v>
      </c>
      <c r="O1209" s="119" t="s">
        <v>10</v>
      </c>
      <c r="P1209" s="152"/>
      <c r="Q1209" s="153"/>
    </row>
    <row r="1210" spans="1:17" hidden="1">
      <c r="A1210" s="147" t="s">
        <v>438</v>
      </c>
      <c r="B1210" s="147"/>
      <c r="C1210" s="29">
        <v>62506126</v>
      </c>
      <c r="D1210" s="29"/>
      <c r="F1210" s="29"/>
      <c r="G1210" s="84" t="s">
        <v>823</v>
      </c>
      <c r="H1210" s="29" t="s">
        <v>316</v>
      </c>
      <c r="I1210" s="42">
        <v>45721</v>
      </c>
      <c r="J1210" s="120">
        <f>WORKDAY(I1210, 3)</f>
        <v>45726</v>
      </c>
      <c r="K1210" s="29"/>
      <c r="L1210" s="29"/>
      <c r="M1210" s="29"/>
      <c r="N1210" s="120">
        <v>45723</v>
      </c>
      <c r="O1210" s="119" t="s">
        <v>10</v>
      </c>
      <c r="P1210" s="152"/>
      <c r="Q1210" s="153"/>
    </row>
    <row r="1211" spans="1:17" hidden="1">
      <c r="A1211" s="147" t="s">
        <v>438</v>
      </c>
      <c r="B1211" s="147"/>
      <c r="C1211" s="29">
        <v>62505967</v>
      </c>
      <c r="D1211" s="29"/>
      <c r="F1211" s="29"/>
      <c r="G1211" s="84" t="s">
        <v>823</v>
      </c>
      <c r="H1211" s="29" t="s">
        <v>316</v>
      </c>
      <c r="I1211" s="42">
        <v>45721</v>
      </c>
      <c r="J1211" s="120">
        <f>WORKDAY(I1211, 3)</f>
        <v>45726</v>
      </c>
      <c r="K1211" s="29"/>
      <c r="L1211" s="29"/>
      <c r="M1211" s="29"/>
      <c r="N1211" s="120">
        <v>45723</v>
      </c>
      <c r="O1211" s="119" t="s">
        <v>10</v>
      </c>
      <c r="P1211" s="152"/>
      <c r="Q1211" s="153"/>
    </row>
    <row r="1212" spans="1:17" hidden="1">
      <c r="A1212" s="147" t="s">
        <v>438</v>
      </c>
      <c r="B1212" s="147"/>
      <c r="C1212" s="29">
        <v>62505391</v>
      </c>
      <c r="D1212" s="29"/>
      <c r="F1212" s="29"/>
      <c r="G1212" s="84" t="s">
        <v>823</v>
      </c>
      <c r="H1212" s="29" t="s">
        <v>316</v>
      </c>
      <c r="I1212" s="42">
        <v>45721</v>
      </c>
      <c r="J1212" s="120">
        <f>WORKDAY(I1212, 3)</f>
        <v>45726</v>
      </c>
      <c r="K1212" s="29"/>
      <c r="L1212" s="29"/>
      <c r="M1212" s="29"/>
      <c r="N1212" s="120">
        <v>45727</v>
      </c>
      <c r="O1212" s="119" t="s">
        <v>10</v>
      </c>
      <c r="P1212" s="152"/>
      <c r="Q1212" s="153"/>
    </row>
    <row r="1213" spans="1:17" hidden="1">
      <c r="A1213" s="147" t="s">
        <v>384</v>
      </c>
      <c r="B1213" s="147"/>
      <c r="C1213" s="29" t="s">
        <v>981</v>
      </c>
      <c r="D1213" s="29"/>
      <c r="F1213" s="29"/>
      <c r="G1213" s="84" t="s">
        <v>823</v>
      </c>
      <c r="H1213" s="29" t="s">
        <v>316</v>
      </c>
      <c r="I1213" s="120">
        <v>45726</v>
      </c>
      <c r="J1213" s="120">
        <f>WORKDAY(I1213, 3)</f>
        <v>45729</v>
      </c>
      <c r="K1213" s="42">
        <v>45727</v>
      </c>
      <c r="L1213" s="42"/>
      <c r="M1213" s="42"/>
      <c r="N1213" s="120">
        <v>45740</v>
      </c>
      <c r="O1213" s="119" t="s">
        <v>980</v>
      </c>
      <c r="P1213" s="29"/>
      <c r="Q1213" s="81"/>
    </row>
    <row r="1214" spans="1:17" hidden="1">
      <c r="A1214" s="147" t="s">
        <v>290</v>
      </c>
      <c r="B1214" s="147"/>
      <c r="C1214" s="29">
        <v>70500979</v>
      </c>
      <c r="D1214" s="29"/>
      <c r="F1214" s="29"/>
      <c r="G1214" s="29" t="s">
        <v>823</v>
      </c>
      <c r="H1214" s="29" t="s">
        <v>316</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128</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128</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128</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128</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128</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316</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128</v>
      </c>
      <c r="I1221" s="120">
        <v>45720</v>
      </c>
      <c r="J1221" s="120">
        <f>WORKDAY(I1221, 3)</f>
        <v>45723</v>
      </c>
      <c r="K1221" s="42">
        <v>45727</v>
      </c>
      <c r="L1221" s="42"/>
      <c r="M1221" s="42"/>
      <c r="N1221" s="29"/>
      <c r="O1221" s="119" t="s">
        <v>929</v>
      </c>
      <c r="P1221" s="29"/>
      <c r="Q1221" s="81"/>
    </row>
    <row r="1222" spans="1:18" hidden="1">
      <c r="A1222" s="147" t="s">
        <v>290</v>
      </c>
      <c r="B1222" s="147"/>
      <c r="C1222" s="29">
        <v>70502443</v>
      </c>
      <c r="D1222" s="29"/>
      <c r="F1222" s="29"/>
      <c r="G1222" s="29" t="s">
        <v>823</v>
      </c>
      <c r="H1222" s="29" t="s">
        <v>316</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367</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367</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367</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367</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367</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367</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367</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367</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367</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367</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367</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367</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367</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367</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367</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367</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367</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367</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367</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367</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367</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367</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367</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367</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367</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367</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367</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367</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367</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367</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367</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367</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367</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315</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315</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315</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315</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315</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315</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315</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315</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315</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315</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315</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315</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315</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315</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315</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315</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315</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315</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315</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315</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315</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315</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315</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77</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77</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77</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77</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77</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77</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77</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77</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77</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77</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77</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77</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77</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77</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77</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77</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77</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77</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77</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77</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77</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77</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77</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1050</v>
      </c>
    </row>
    <row r="1338" spans="1:18" hidden="1">
      <c r="A1338" s="134" t="s">
        <v>1049</v>
      </c>
      <c r="C1338" s="29">
        <v>72502046</v>
      </c>
      <c r="D1338" s="29"/>
      <c r="F1338" s="29" t="s">
        <v>76</v>
      </c>
      <c r="G1338" s="29" t="s">
        <v>138</v>
      </c>
      <c r="H1338" s="29" t="s">
        <v>77</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170</v>
      </c>
      <c r="P1358" s="134"/>
    </row>
    <row r="1359" spans="1:17" hidden="1">
      <c r="A1359" s="134" t="s">
        <v>497</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497</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497</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497</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497</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159</v>
      </c>
      <c r="G1364" s="29" t="s">
        <v>823</v>
      </c>
      <c r="H1364" s="29" t="s">
        <v>1054</v>
      </c>
      <c r="I1364" s="42">
        <v>45728</v>
      </c>
      <c r="J1364" s="120">
        <f>WORKDAY(I1364, 3)</f>
        <v>45733</v>
      </c>
      <c r="K1364" s="120">
        <v>45733</v>
      </c>
      <c r="L1364" s="120"/>
      <c r="M1364" s="120"/>
      <c r="N1364" s="120">
        <v>45738</v>
      </c>
      <c r="O1364" s="119" t="s">
        <v>170</v>
      </c>
      <c r="P1364" s="134"/>
    </row>
    <row r="1365" spans="1:17" hidden="1">
      <c r="A1365" s="134" t="s">
        <v>1053</v>
      </c>
      <c r="C1365" s="29">
        <v>71509608</v>
      </c>
      <c r="D1365" s="29"/>
      <c r="F1365" s="29" t="s">
        <v>159</v>
      </c>
      <c r="G1365" s="29" t="s">
        <v>823</v>
      </c>
      <c r="H1365" s="29" t="s">
        <v>1054</v>
      </c>
      <c r="I1365" s="42">
        <v>45728</v>
      </c>
      <c r="J1365" s="120">
        <f>WORKDAY(I1365, 3)</f>
        <v>45733</v>
      </c>
      <c r="K1365" s="120">
        <v>45733</v>
      </c>
      <c r="L1365" s="120"/>
      <c r="M1365" s="120"/>
      <c r="N1365" s="120">
        <v>45738</v>
      </c>
      <c r="O1365" s="119" t="s">
        <v>170</v>
      </c>
      <c r="P1365" s="29"/>
      <c r="Q1365" s="81"/>
    </row>
    <row r="1366" spans="1:17" hidden="1">
      <c r="A1366" s="134" t="s">
        <v>1053</v>
      </c>
      <c r="C1366" s="29">
        <v>71509579</v>
      </c>
      <c r="D1366" s="29"/>
      <c r="F1366" s="29" t="s">
        <v>159</v>
      </c>
      <c r="G1366" s="29" t="s">
        <v>823</v>
      </c>
      <c r="H1366" s="29" t="s">
        <v>1054</v>
      </c>
      <c r="I1366" s="42">
        <v>45728</v>
      </c>
      <c r="J1366" s="120">
        <f>WORKDAY(I1366, 3)</f>
        <v>45733</v>
      </c>
      <c r="K1366" s="120">
        <v>45733</v>
      </c>
      <c r="L1366" s="120"/>
      <c r="M1366" s="120"/>
      <c r="N1366" s="120">
        <v>45738</v>
      </c>
      <c r="O1366" s="119" t="s">
        <v>170</v>
      </c>
      <c r="P1366" s="29"/>
      <c r="Q1366" s="81"/>
    </row>
    <row r="1367" spans="1:17" hidden="1">
      <c r="A1367" s="134" t="s">
        <v>1053</v>
      </c>
      <c r="C1367" s="29">
        <v>71509631</v>
      </c>
      <c r="D1367" s="29"/>
      <c r="F1367" s="29" t="s">
        <v>159</v>
      </c>
      <c r="G1367" s="29" t="s">
        <v>823</v>
      </c>
      <c r="H1367" s="29" t="s">
        <v>1054</v>
      </c>
      <c r="I1367" s="42">
        <v>45728</v>
      </c>
      <c r="J1367" s="120">
        <f>WORKDAY(I1367, 3)</f>
        <v>45733</v>
      </c>
      <c r="K1367" s="120">
        <v>45733</v>
      </c>
      <c r="L1367" s="120"/>
      <c r="M1367" s="120"/>
      <c r="N1367" s="120">
        <v>45738</v>
      </c>
      <c r="O1367" s="119" t="s">
        <v>170</v>
      </c>
      <c r="P1367" s="29"/>
      <c r="Q1367" s="81"/>
    </row>
    <row r="1368" spans="1:17" hidden="1">
      <c r="A1368" s="134" t="s">
        <v>1053</v>
      </c>
      <c r="C1368" s="29">
        <v>71509628</v>
      </c>
      <c r="D1368" s="29"/>
      <c r="F1368" s="29" t="s">
        <v>159</v>
      </c>
      <c r="G1368" s="29" t="s">
        <v>823</v>
      </c>
      <c r="H1368" s="29" t="s">
        <v>1054</v>
      </c>
      <c r="I1368" s="42">
        <v>45728</v>
      </c>
      <c r="J1368" s="120">
        <f>WORKDAY(I1368, 3)</f>
        <v>45733</v>
      </c>
      <c r="K1368" s="120">
        <v>45733</v>
      </c>
      <c r="L1368" s="120"/>
      <c r="M1368" s="120"/>
      <c r="N1368" s="120">
        <v>45738</v>
      </c>
      <c r="O1368" s="119" t="s">
        <v>170</v>
      </c>
      <c r="P1368" s="29"/>
      <c r="Q1368" s="81"/>
    </row>
    <row r="1369" spans="1:17" hidden="1">
      <c r="A1369" s="134" t="s">
        <v>1053</v>
      </c>
      <c r="C1369" s="29">
        <v>71509598</v>
      </c>
      <c r="D1369" s="29"/>
      <c r="F1369" s="29" t="s">
        <v>159</v>
      </c>
      <c r="G1369" s="29" t="s">
        <v>823</v>
      </c>
      <c r="H1369" s="29" t="s">
        <v>1054</v>
      </c>
      <c r="I1369" s="42">
        <v>45728</v>
      </c>
      <c r="J1369" s="120">
        <f>WORKDAY(I1369, 3)</f>
        <v>45733</v>
      </c>
      <c r="K1369" s="120">
        <v>45733</v>
      </c>
      <c r="L1369" s="120"/>
      <c r="M1369" s="120"/>
      <c r="N1369" s="120">
        <v>45738</v>
      </c>
      <c r="O1369" s="119" t="s">
        <v>170</v>
      </c>
      <c r="P1369" s="29"/>
      <c r="Q1369" s="81"/>
    </row>
    <row r="1370" spans="1:17" hidden="1">
      <c r="A1370" s="134" t="s">
        <v>1053</v>
      </c>
      <c r="C1370" s="29">
        <v>71509498</v>
      </c>
      <c r="D1370" s="29"/>
      <c r="F1370" s="29" t="s">
        <v>159</v>
      </c>
      <c r="G1370" s="29" t="s">
        <v>823</v>
      </c>
      <c r="H1370" s="29" t="s">
        <v>1054</v>
      </c>
      <c r="I1370" s="42">
        <v>45728</v>
      </c>
      <c r="J1370" s="120">
        <f>WORKDAY(I1370, 3)</f>
        <v>45733</v>
      </c>
      <c r="K1370" s="120">
        <v>45733</v>
      </c>
      <c r="L1370" s="120"/>
      <c r="M1370" s="120"/>
      <c r="N1370" s="120">
        <v>45738</v>
      </c>
      <c r="O1370" s="119" t="s">
        <v>170</v>
      </c>
      <c r="P1370" s="29"/>
      <c r="Q1370" s="81"/>
    </row>
    <row r="1371" spans="1:17" hidden="1">
      <c r="A1371" s="134" t="s">
        <v>1053</v>
      </c>
      <c r="C1371" s="29">
        <v>71509510</v>
      </c>
      <c r="D1371" s="29"/>
      <c r="F1371" s="29" t="s">
        <v>159</v>
      </c>
      <c r="G1371" s="29" t="s">
        <v>823</v>
      </c>
      <c r="H1371" s="29" t="s">
        <v>1054</v>
      </c>
      <c r="I1371" s="42">
        <v>45728</v>
      </c>
      <c r="J1371" s="120">
        <f>WORKDAY(I1371, 3)</f>
        <v>45733</v>
      </c>
      <c r="K1371" s="120">
        <v>45733</v>
      </c>
      <c r="L1371" s="120"/>
      <c r="M1371" s="120"/>
      <c r="N1371" s="120">
        <v>45738</v>
      </c>
      <c r="O1371" s="119" t="s">
        <v>170</v>
      </c>
      <c r="P1371" s="29"/>
      <c r="Q1371" s="81"/>
    </row>
    <row r="1372" spans="1:17" hidden="1">
      <c r="A1372" s="134" t="s">
        <v>1053</v>
      </c>
      <c r="C1372" s="29">
        <v>71509534</v>
      </c>
      <c r="D1372" s="29"/>
      <c r="F1372" s="29" t="s">
        <v>159</v>
      </c>
      <c r="G1372" s="29" t="s">
        <v>823</v>
      </c>
      <c r="H1372" s="29" t="s">
        <v>1054</v>
      </c>
      <c r="I1372" s="42">
        <v>45728</v>
      </c>
      <c r="J1372" s="120">
        <f>WORKDAY(I1372, 3)</f>
        <v>45733</v>
      </c>
      <c r="K1372" s="120">
        <v>45733</v>
      </c>
      <c r="L1372" s="120"/>
      <c r="M1372" s="120"/>
      <c r="N1372" s="120">
        <v>45738</v>
      </c>
      <c r="O1372" s="119" t="s">
        <v>170</v>
      </c>
      <c r="P1372" s="29"/>
      <c r="Q1372" s="81"/>
    </row>
    <row r="1373" spans="1:17" hidden="1">
      <c r="A1373" s="134" t="s">
        <v>1053</v>
      </c>
      <c r="C1373" s="29">
        <v>71509573</v>
      </c>
      <c r="D1373" s="29"/>
      <c r="F1373" s="29" t="s">
        <v>159</v>
      </c>
      <c r="G1373" s="29" t="s">
        <v>823</v>
      </c>
      <c r="H1373" s="29" t="s">
        <v>1054</v>
      </c>
      <c r="I1373" s="42">
        <v>45728</v>
      </c>
      <c r="J1373" s="120">
        <f>WORKDAY(I1373, 3)</f>
        <v>45733</v>
      </c>
      <c r="K1373" s="120">
        <v>45733</v>
      </c>
      <c r="L1373" s="120"/>
      <c r="M1373" s="120"/>
      <c r="N1373" s="120">
        <v>45740</v>
      </c>
      <c r="O1373" s="119" t="s">
        <v>170</v>
      </c>
      <c r="P1373" s="29"/>
      <c r="Q1373" s="81"/>
    </row>
    <row r="1374" spans="1:17" hidden="1">
      <c r="A1374" s="134" t="s">
        <v>1053</v>
      </c>
      <c r="C1374" s="29">
        <v>71509553</v>
      </c>
      <c r="D1374" s="29"/>
      <c r="F1374" s="29" t="s">
        <v>159</v>
      </c>
      <c r="G1374" s="29" t="s">
        <v>823</v>
      </c>
      <c r="H1374" s="29" t="s">
        <v>1054</v>
      </c>
      <c r="I1374" s="42">
        <v>45728</v>
      </c>
      <c r="J1374" s="120">
        <f>WORKDAY(I1374, 3)</f>
        <v>45733</v>
      </c>
      <c r="K1374" s="120">
        <v>45733</v>
      </c>
      <c r="L1374" s="120"/>
      <c r="M1374" s="120"/>
      <c r="N1374" s="120">
        <v>45740</v>
      </c>
      <c r="O1374" s="119" t="s">
        <v>170</v>
      </c>
      <c r="P1374" s="29"/>
      <c r="Q1374" s="81"/>
    </row>
    <row r="1375" spans="1:17" hidden="1">
      <c r="A1375" s="134" t="s">
        <v>1053</v>
      </c>
      <c r="C1375" s="29">
        <v>71509566</v>
      </c>
      <c r="D1375" s="29"/>
      <c r="F1375" s="29" t="s">
        <v>159</v>
      </c>
      <c r="G1375" s="29" t="s">
        <v>823</v>
      </c>
      <c r="H1375" s="29" t="s">
        <v>1054</v>
      </c>
      <c r="I1375" s="42">
        <v>45728</v>
      </c>
      <c r="J1375" s="120">
        <f>WORKDAY(I1375, 3)</f>
        <v>45733</v>
      </c>
      <c r="K1375" s="120">
        <v>45733</v>
      </c>
      <c r="L1375" s="120"/>
      <c r="M1375" s="120"/>
      <c r="N1375" s="120">
        <v>45738</v>
      </c>
      <c r="O1375" s="119" t="s">
        <v>170</v>
      </c>
      <c r="P1375" s="29"/>
      <c r="Q1375" s="81"/>
    </row>
    <row r="1376" spans="1:17" hidden="1">
      <c r="A1376" s="134" t="s">
        <v>1053</v>
      </c>
      <c r="C1376" s="29">
        <v>71509620</v>
      </c>
      <c r="D1376" s="29"/>
      <c r="F1376" s="29" t="s">
        <v>159</v>
      </c>
      <c r="G1376" s="29" t="s">
        <v>823</v>
      </c>
      <c r="H1376" s="29" t="s">
        <v>1054</v>
      </c>
      <c r="I1376" s="42">
        <v>45728</v>
      </c>
      <c r="J1376" s="120">
        <f>WORKDAY(I1376, 3)</f>
        <v>45733</v>
      </c>
      <c r="K1376" s="120">
        <v>45733</v>
      </c>
      <c r="L1376" s="120"/>
      <c r="M1376" s="120"/>
      <c r="N1376" s="120">
        <v>45738</v>
      </c>
      <c r="O1376" s="119" t="s">
        <v>170</v>
      </c>
      <c r="P1376" s="29"/>
      <c r="Q1376" s="81"/>
    </row>
    <row r="1377" spans="1:18" hidden="1">
      <c r="A1377" s="134" t="s">
        <v>1053</v>
      </c>
      <c r="C1377" s="29">
        <v>71509267</v>
      </c>
      <c r="D1377" s="29"/>
      <c r="F1377" s="29" t="s">
        <v>159</v>
      </c>
      <c r="G1377" s="29" t="s">
        <v>823</v>
      </c>
      <c r="H1377" s="29" t="s">
        <v>1054</v>
      </c>
      <c r="I1377" s="42">
        <v>45728</v>
      </c>
      <c r="J1377" s="120">
        <f>WORKDAY(I1377, 3)</f>
        <v>45733</v>
      </c>
      <c r="K1377" s="120">
        <v>45733</v>
      </c>
      <c r="L1377" s="120"/>
      <c r="M1377" s="120"/>
      <c r="N1377" s="120">
        <v>45740</v>
      </c>
      <c r="O1377" s="119" t="s">
        <v>170</v>
      </c>
      <c r="P1377" s="29"/>
      <c r="Q1377" s="81"/>
    </row>
    <row r="1378" spans="1:18" hidden="1">
      <c r="A1378" s="134" t="s">
        <v>1053</v>
      </c>
      <c r="C1378" s="29">
        <v>71509293</v>
      </c>
      <c r="D1378" s="29"/>
      <c r="F1378" s="29" t="s">
        <v>159</v>
      </c>
      <c r="G1378" s="29" t="s">
        <v>823</v>
      </c>
      <c r="H1378" s="29" t="s">
        <v>1054</v>
      </c>
      <c r="I1378" s="42">
        <v>45728</v>
      </c>
      <c r="J1378" s="120">
        <f>WORKDAY(I1378, 3)</f>
        <v>45733</v>
      </c>
      <c r="K1378" s="120">
        <v>45733</v>
      </c>
      <c r="L1378" s="120"/>
      <c r="M1378" s="120"/>
      <c r="N1378" s="120">
        <v>45738</v>
      </c>
      <c r="O1378" s="119" t="s">
        <v>170</v>
      </c>
      <c r="P1378" s="29"/>
      <c r="Q1378" s="81"/>
    </row>
    <row r="1379" spans="1:18" hidden="1">
      <c r="A1379" s="134" t="s">
        <v>1053</v>
      </c>
      <c r="C1379" s="29">
        <v>71509399</v>
      </c>
      <c r="D1379" s="29"/>
      <c r="F1379" s="29" t="s">
        <v>159</v>
      </c>
      <c r="G1379" s="29" t="s">
        <v>823</v>
      </c>
      <c r="H1379" s="29" t="s">
        <v>1054</v>
      </c>
      <c r="I1379" s="42">
        <v>45728</v>
      </c>
      <c r="J1379" s="120">
        <f>WORKDAY(I1379, 3)</f>
        <v>45733</v>
      </c>
      <c r="K1379" s="120">
        <v>45733</v>
      </c>
      <c r="L1379" s="120"/>
      <c r="M1379" s="120"/>
      <c r="N1379" s="120">
        <v>45738</v>
      </c>
      <c r="O1379" s="119" t="s">
        <v>170</v>
      </c>
      <c r="P1379" s="29"/>
      <c r="Q1379" s="81"/>
    </row>
    <row r="1380" spans="1:18" hidden="1">
      <c r="A1380" s="134" t="s">
        <v>1053</v>
      </c>
      <c r="C1380" s="29">
        <v>71509418</v>
      </c>
      <c r="D1380" s="29"/>
      <c r="F1380" s="29" t="s">
        <v>159</v>
      </c>
      <c r="G1380" s="29" t="s">
        <v>823</v>
      </c>
      <c r="H1380" s="29" t="s">
        <v>1054</v>
      </c>
      <c r="I1380" s="42">
        <v>45728</v>
      </c>
      <c r="J1380" s="120">
        <f>WORKDAY(I1380, 3)</f>
        <v>45733</v>
      </c>
      <c r="K1380" s="120">
        <v>45733</v>
      </c>
      <c r="L1380" s="120"/>
      <c r="M1380" s="120"/>
      <c r="N1380" s="120">
        <v>45738</v>
      </c>
      <c r="O1380" s="119" t="s">
        <v>170</v>
      </c>
      <c r="P1380" s="29"/>
      <c r="Q1380" s="81"/>
    </row>
    <row r="1381" spans="1:18" hidden="1">
      <c r="A1381" s="134" t="s">
        <v>1053</v>
      </c>
      <c r="C1381" s="29">
        <v>71509325</v>
      </c>
      <c r="D1381" s="29"/>
      <c r="F1381" s="29" t="s">
        <v>159</v>
      </c>
      <c r="G1381" s="29" t="s">
        <v>823</v>
      </c>
      <c r="H1381" s="29" t="s">
        <v>1054</v>
      </c>
      <c r="I1381" s="42">
        <v>45728</v>
      </c>
      <c r="J1381" s="120">
        <f>WORKDAY(I1381, 3)</f>
        <v>45733</v>
      </c>
      <c r="K1381" s="120">
        <v>45733</v>
      </c>
      <c r="L1381" s="120"/>
      <c r="M1381" s="120"/>
      <c r="N1381" s="120">
        <v>45737</v>
      </c>
      <c r="O1381" s="119" t="s">
        <v>170</v>
      </c>
      <c r="P1381" s="29"/>
      <c r="Q1381" s="81"/>
    </row>
    <row r="1382" spans="1:18" hidden="1">
      <c r="A1382" s="134" t="s">
        <v>1053</v>
      </c>
      <c r="C1382" s="29">
        <v>71509370</v>
      </c>
      <c r="D1382" s="29"/>
      <c r="F1382" s="29" t="s">
        <v>159</v>
      </c>
      <c r="G1382" s="29" t="s">
        <v>823</v>
      </c>
      <c r="H1382" s="29" t="s">
        <v>1054</v>
      </c>
      <c r="I1382" s="42">
        <v>45728</v>
      </c>
      <c r="J1382" s="120">
        <f>WORKDAY(I1382, 3)</f>
        <v>45733</v>
      </c>
      <c r="K1382" s="120">
        <v>45733</v>
      </c>
      <c r="L1382" s="120"/>
      <c r="M1382" s="120"/>
      <c r="N1382" s="120">
        <v>45737</v>
      </c>
      <c r="O1382" s="119" t="s">
        <v>170</v>
      </c>
      <c r="P1382" s="29"/>
      <c r="Q1382" s="81"/>
    </row>
    <row r="1383" spans="1:18" hidden="1">
      <c r="A1383" s="134" t="s">
        <v>1053</v>
      </c>
      <c r="C1383" s="29">
        <v>71509213</v>
      </c>
      <c r="D1383" s="29"/>
      <c r="F1383" s="29" t="s">
        <v>159</v>
      </c>
      <c r="G1383" s="29" t="s">
        <v>823</v>
      </c>
      <c r="H1383" s="29" t="s">
        <v>1054</v>
      </c>
      <c r="I1383" s="42">
        <v>45728</v>
      </c>
      <c r="J1383" s="120">
        <f>WORKDAY(I1383, 3)</f>
        <v>45733</v>
      </c>
      <c r="K1383" s="120">
        <v>45733</v>
      </c>
      <c r="L1383" s="120"/>
      <c r="M1383" s="120"/>
      <c r="N1383" s="120">
        <v>45738</v>
      </c>
      <c r="O1383" s="119" t="s">
        <v>170</v>
      </c>
      <c r="P1383" s="29"/>
      <c r="Q1383" s="81"/>
    </row>
    <row r="1384" spans="1:18" hidden="1">
      <c r="A1384" s="134" t="s">
        <v>1053</v>
      </c>
      <c r="C1384" s="29">
        <v>71509244</v>
      </c>
      <c r="D1384" s="29"/>
      <c r="F1384" s="29" t="s">
        <v>159</v>
      </c>
      <c r="G1384" s="29" t="s">
        <v>823</v>
      </c>
      <c r="H1384" s="29" t="s">
        <v>1054</v>
      </c>
      <c r="I1384" s="42">
        <v>45728</v>
      </c>
      <c r="J1384" s="120">
        <f>WORKDAY(I1384, 3)</f>
        <v>45733</v>
      </c>
      <c r="K1384" s="120">
        <v>45733</v>
      </c>
      <c r="L1384" s="120"/>
      <c r="M1384" s="120"/>
      <c r="N1384" s="120">
        <v>45738</v>
      </c>
      <c r="O1384" s="119" t="s">
        <v>170</v>
      </c>
      <c r="P1384" s="29"/>
      <c r="Q1384" s="81"/>
    </row>
    <row r="1385" spans="1:18" hidden="1">
      <c r="A1385" s="134" t="s">
        <v>984</v>
      </c>
      <c r="C1385" s="29">
        <v>77503472</v>
      </c>
      <c r="D1385" s="29"/>
      <c r="F1385" s="29" t="s">
        <v>1055</v>
      </c>
      <c r="G1385" s="29" t="s">
        <v>823</v>
      </c>
      <c r="H1385" s="29" t="s">
        <v>367</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367</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170</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170</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170</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170</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170</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170</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170</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170</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170</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170</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170</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170</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170</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170</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170</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170</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170</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170</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170</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170</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170</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170</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170</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87</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87</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87</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87</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87</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159</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159</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159</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159</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159</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159</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159</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159</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159</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159</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159</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159</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159</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159</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159</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159</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87</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87</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87</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87</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87</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87</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87</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87</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87</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87</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87</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87</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87</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87</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87</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290</v>
      </c>
      <c r="C1605" s="29">
        <v>105505465</v>
      </c>
      <c r="D1605" s="29"/>
      <c r="F1605" s="29" t="s">
        <v>87</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290</v>
      </c>
      <c r="C1606" s="29">
        <v>106500966</v>
      </c>
      <c r="D1606" s="29"/>
      <c r="F1606" s="29" t="s">
        <v>87</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87</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87</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87</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87</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87</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87</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87</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87</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87</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87</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159</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159</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159</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159</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159</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159</v>
      </c>
      <c r="G1629" s="29" t="s">
        <v>823</v>
      </c>
      <c r="H1629" s="29" t="s">
        <v>1140</v>
      </c>
      <c r="I1629" s="120">
        <v>45743</v>
      </c>
      <c r="J1629" s="120">
        <f>WORKDAY(I1629, 3)</f>
        <v>45748</v>
      </c>
      <c r="K1629" s="29" t="s">
        <v>1156</v>
      </c>
      <c r="L1629" s="29"/>
      <c r="M1629" s="29"/>
      <c r="N1629" s="120">
        <v>45752</v>
      </c>
      <c r="O1629" s="119" t="s">
        <v>170</v>
      </c>
      <c r="P1629" s="29"/>
      <c r="Q1629" s="81"/>
    </row>
    <row r="1630" spans="1:23" hidden="1">
      <c r="A1630" s="134" t="s">
        <v>1155</v>
      </c>
      <c r="C1630" s="29">
        <v>86508380</v>
      </c>
      <c r="D1630" s="29"/>
      <c r="F1630" s="29" t="s">
        <v>159</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159</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159</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159</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159</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159</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170</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170</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170</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170</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170</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170</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170</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170</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170</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170</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170</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170</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170</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87</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290</v>
      </c>
      <c r="C1685" s="29">
        <v>106500513</v>
      </c>
      <c r="D1685" s="29"/>
      <c r="F1685" s="29" t="s">
        <v>87</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159</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159</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159</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159</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159</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159</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159</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290</v>
      </c>
      <c r="C1700" s="29">
        <v>113506868</v>
      </c>
      <c r="D1700" s="29"/>
      <c r="F1700" s="29" t="s">
        <v>87</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290</v>
      </c>
      <c r="C1701" s="29">
        <v>113506906</v>
      </c>
      <c r="D1701" s="29"/>
      <c r="F1701" s="29" t="s">
        <v>87</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290</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290</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438</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438</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438</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76</v>
      </c>
      <c r="G1708" s="29" t="s">
        <v>823</v>
      </c>
      <c r="H1708" s="29" t="s">
        <v>77</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76</v>
      </c>
      <c r="G1709" s="29" t="s">
        <v>823</v>
      </c>
      <c r="H1709" s="29" t="s">
        <v>77</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76</v>
      </c>
      <c r="G1710" s="29" t="s">
        <v>823</v>
      </c>
      <c r="H1710" s="29" t="s">
        <v>77</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76</v>
      </c>
      <c r="G1711" s="29" t="s">
        <v>823</v>
      </c>
      <c r="H1711" s="29" t="s">
        <v>77</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76</v>
      </c>
      <c r="G1712" s="29" t="s">
        <v>823</v>
      </c>
      <c r="H1712" s="29" t="s">
        <v>77</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76</v>
      </c>
      <c r="G1713" s="29" t="s">
        <v>823</v>
      </c>
      <c r="H1713" s="29" t="s">
        <v>77</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76</v>
      </c>
      <c r="G1714" s="29" t="s">
        <v>823</v>
      </c>
      <c r="H1714" s="29" t="s">
        <v>77</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290</v>
      </c>
      <c r="C1728" s="29">
        <v>78501166</v>
      </c>
      <c r="D1728" s="29"/>
      <c r="F1728" s="29" t="s">
        <v>87</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87</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87</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87</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87</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87</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87</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87</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87</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87</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87</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170</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170</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170</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170</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87</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87</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87</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87</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87</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87</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87</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87</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87</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87</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87</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87</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369</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369</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369</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3)</f>
        <v>45748</v>
      </c>
      <c r="K1772" s="29"/>
      <c r="L1772" s="29"/>
      <c r="M1772" s="29"/>
      <c r="N1772" s="120">
        <v>45749</v>
      </c>
      <c r="O1772" s="119" t="s">
        <v>170</v>
      </c>
      <c r="P1772" s="29"/>
      <c r="Q1772" s="81">
        <v>415</v>
      </c>
    </row>
    <row r="1773" spans="1:18" hidden="1">
      <c r="A1773" s="134" t="s">
        <v>369</v>
      </c>
      <c r="C1773" s="29">
        <v>86502013</v>
      </c>
      <c r="D1773" s="29"/>
      <c r="F1773" s="29" t="s">
        <v>1047</v>
      </c>
      <c r="G1773" s="29" t="s">
        <v>823</v>
      </c>
      <c r="H1773" s="29" t="s">
        <v>38</v>
      </c>
      <c r="I1773" s="120">
        <v>45743</v>
      </c>
      <c r="J1773" s="120">
        <f>WORKDAY(I1773, 3)</f>
        <v>45748</v>
      </c>
      <c r="K1773" s="29"/>
      <c r="L1773" s="29"/>
      <c r="M1773" s="29"/>
      <c r="N1773" s="120">
        <v>45748</v>
      </c>
      <c r="O1773" s="119" t="s">
        <v>170</v>
      </c>
      <c r="P1773" s="29"/>
      <c r="Q1773" s="81">
        <v>280</v>
      </c>
    </row>
    <row r="1774" spans="1:18" hidden="1">
      <c r="A1774" s="134" t="s">
        <v>369</v>
      </c>
      <c r="C1774" s="29">
        <v>86502143</v>
      </c>
      <c r="D1774" s="29"/>
      <c r="F1774" s="29" t="s">
        <v>1047</v>
      </c>
      <c r="G1774" s="29" t="s">
        <v>823</v>
      </c>
      <c r="H1774" s="29" t="s">
        <v>38</v>
      </c>
      <c r="I1774" s="120">
        <v>45743</v>
      </c>
      <c r="J1774" s="120">
        <f>WORKDAY(I1774, 3)</f>
        <v>45748</v>
      </c>
      <c r="K1774" s="29"/>
      <c r="L1774" s="29"/>
      <c r="M1774" s="29"/>
      <c r="N1774" s="120">
        <v>45748</v>
      </c>
      <c r="O1774" s="119" t="s">
        <v>170</v>
      </c>
      <c r="P1774" s="29"/>
      <c r="Q1774" s="81">
        <v>290</v>
      </c>
    </row>
    <row r="1775" spans="1:18" hidden="1">
      <c r="A1775" s="134" t="s">
        <v>369</v>
      </c>
      <c r="C1775" s="29">
        <v>86502143</v>
      </c>
      <c r="D1775" s="29"/>
      <c r="F1775" s="29" t="s">
        <v>1047</v>
      </c>
      <c r="G1775" s="29" t="s">
        <v>823</v>
      </c>
      <c r="H1775" s="29" t="s">
        <v>38</v>
      </c>
      <c r="I1775" s="120">
        <v>45743</v>
      </c>
      <c r="J1775" s="120">
        <f>WORKDAY(I1775, 3)</f>
        <v>45748</v>
      </c>
      <c r="K1775" s="29"/>
      <c r="L1775" s="29"/>
      <c r="M1775" s="29"/>
      <c r="N1775" s="120">
        <v>45748</v>
      </c>
      <c r="O1775" s="119" t="s">
        <v>170</v>
      </c>
      <c r="P1775" s="29"/>
      <c r="Q1775" s="81">
        <v>290</v>
      </c>
    </row>
    <row r="1776" spans="1:18" hidden="1">
      <c r="A1776" s="134" t="s">
        <v>369</v>
      </c>
      <c r="C1776" s="29">
        <v>86502329</v>
      </c>
      <c r="D1776" s="29"/>
      <c r="F1776" s="29" t="s">
        <v>1047</v>
      </c>
      <c r="G1776" s="29" t="s">
        <v>823</v>
      </c>
      <c r="H1776" s="29" t="s">
        <v>38</v>
      </c>
      <c r="I1776" s="120">
        <v>45743</v>
      </c>
      <c r="J1776" s="120">
        <f>WORKDAY(I1776, 3)</f>
        <v>45748</v>
      </c>
      <c r="K1776" s="29"/>
      <c r="L1776" s="29"/>
      <c r="M1776" s="29"/>
      <c r="N1776" s="120">
        <v>45748</v>
      </c>
      <c r="O1776" s="119" t="s">
        <v>170</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170</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170</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170</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170</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170</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170</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170</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170</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170</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170</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170</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170</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170</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170</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170</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170</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170</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170</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170</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170</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170</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170</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170</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170</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170</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170</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170</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170</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170</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170</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170</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170</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170</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170</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170</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170</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170</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170</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170</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170</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170</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170</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170</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170</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170</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170</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170</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170</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170</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170</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170</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170</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170</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170</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170</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170</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170</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170</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170</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170</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170</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170</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170</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170</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170</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170</v>
      </c>
      <c r="P1842" s="29"/>
      <c r="Q1842" s="81">
        <v>249</v>
      </c>
      <c r="R1842" s="29" t="s">
        <v>1216</v>
      </c>
    </row>
    <row r="1843" spans="1:19" hidden="1">
      <c r="A1843" s="134" t="s">
        <v>497</v>
      </c>
      <c r="C1843" s="29">
        <v>92501215</v>
      </c>
      <c r="D1843" s="29"/>
      <c r="F1843" s="29" t="s">
        <v>87</v>
      </c>
      <c r="G1843" s="29" t="s">
        <v>823</v>
      </c>
      <c r="H1843" s="29" t="s">
        <v>38</v>
      </c>
      <c r="I1843" s="120">
        <v>45749</v>
      </c>
      <c r="J1843" s="120">
        <f>WORKDAY(I1843, 3)</f>
        <v>45754</v>
      </c>
      <c r="K1843" s="120"/>
      <c r="L1843" s="120"/>
      <c r="M1843" s="120"/>
      <c r="N1843" s="120">
        <v>45761</v>
      </c>
      <c r="O1843" s="119" t="s">
        <v>170</v>
      </c>
      <c r="P1843" s="29"/>
      <c r="Q1843" s="81">
        <v>300</v>
      </c>
      <c r="R1843" s="157" t="s">
        <v>1217</v>
      </c>
    </row>
    <row r="1844" spans="1:19" hidden="1">
      <c r="A1844" s="134" t="s">
        <v>1218</v>
      </c>
      <c r="C1844" s="29">
        <v>92501826</v>
      </c>
      <c r="D1844" s="29"/>
      <c r="F1844" s="29" t="s">
        <v>87</v>
      </c>
      <c r="G1844" s="29" t="s">
        <v>823</v>
      </c>
      <c r="H1844" s="29" t="s">
        <v>38</v>
      </c>
      <c r="I1844" s="120">
        <v>45749</v>
      </c>
      <c r="J1844" s="120">
        <f>WORKDAY(I1844, 3)</f>
        <v>45754</v>
      </c>
      <c r="K1844" s="120"/>
      <c r="L1844" s="120"/>
      <c r="M1844" s="120"/>
      <c r="N1844" s="120">
        <v>45762</v>
      </c>
      <c r="O1844" s="119" t="s">
        <v>170</v>
      </c>
      <c r="P1844" s="29"/>
      <c r="Q1844" s="81">
        <v>300</v>
      </c>
    </row>
    <row r="1845" spans="1:19" hidden="1">
      <c r="A1845" s="134" t="s">
        <v>1218</v>
      </c>
      <c r="C1845" s="29">
        <v>92502043</v>
      </c>
      <c r="D1845" s="29"/>
      <c r="F1845" s="29" t="s">
        <v>87</v>
      </c>
      <c r="G1845" s="29" t="s">
        <v>823</v>
      </c>
      <c r="H1845" s="29" t="s">
        <v>38</v>
      </c>
      <c r="I1845" s="120">
        <v>45749</v>
      </c>
      <c r="J1845" s="120">
        <f>WORKDAY(I1845, 3)</f>
        <v>45754</v>
      </c>
      <c r="K1845" s="120"/>
      <c r="L1845" s="120"/>
      <c r="M1845" s="120"/>
      <c r="N1845" s="120">
        <v>45759</v>
      </c>
      <c r="O1845" s="119" t="s">
        <v>170</v>
      </c>
      <c r="P1845" s="29"/>
      <c r="Q1845" s="81">
        <v>215</v>
      </c>
    </row>
    <row r="1846" spans="1:19" hidden="1">
      <c r="A1846" s="134" t="s">
        <v>1218</v>
      </c>
      <c r="C1846" s="29">
        <v>92502098</v>
      </c>
      <c r="D1846" s="29"/>
      <c r="F1846" s="29" t="s">
        <v>87</v>
      </c>
      <c r="G1846" s="29" t="s">
        <v>823</v>
      </c>
      <c r="H1846" s="29" t="s">
        <v>38</v>
      </c>
      <c r="I1846" s="120">
        <v>45749</v>
      </c>
      <c r="J1846" s="120">
        <f>WORKDAY(I1846, 3)</f>
        <v>45754</v>
      </c>
      <c r="K1846" s="120"/>
      <c r="L1846" s="120"/>
      <c r="M1846" s="120"/>
      <c r="N1846" s="120">
        <v>45762</v>
      </c>
      <c r="O1846" s="119" t="s">
        <v>170</v>
      </c>
      <c r="P1846" s="29"/>
      <c r="Q1846" s="81">
        <v>200</v>
      </c>
    </row>
    <row r="1847" spans="1:19" hidden="1">
      <c r="A1847" s="134" t="s">
        <v>1218</v>
      </c>
      <c r="C1847" s="29">
        <v>92502178</v>
      </c>
      <c r="D1847" s="29"/>
      <c r="F1847" s="29" t="s">
        <v>87</v>
      </c>
      <c r="G1847" s="29" t="s">
        <v>823</v>
      </c>
      <c r="H1847" s="29" t="s">
        <v>38</v>
      </c>
      <c r="I1847" s="120">
        <v>45749</v>
      </c>
      <c r="J1847" s="120">
        <f>WORKDAY(I1847, 3)</f>
        <v>45754</v>
      </c>
      <c r="K1847" s="120"/>
      <c r="L1847" s="120"/>
      <c r="M1847" s="120"/>
      <c r="N1847" s="120">
        <v>45762</v>
      </c>
      <c r="O1847" s="119" t="s">
        <v>170</v>
      </c>
      <c r="P1847" s="29"/>
      <c r="Q1847" s="81">
        <v>260</v>
      </c>
    </row>
    <row r="1848" spans="1:19" hidden="1">
      <c r="A1848" s="134" t="s">
        <v>1218</v>
      </c>
      <c r="C1848" s="29">
        <v>92502299</v>
      </c>
      <c r="D1848" s="29"/>
      <c r="F1848" s="29" t="s">
        <v>87</v>
      </c>
      <c r="G1848" s="29" t="s">
        <v>823</v>
      </c>
      <c r="H1848" s="29" t="s">
        <v>38</v>
      </c>
      <c r="I1848" s="120">
        <v>45749</v>
      </c>
      <c r="J1848" s="120">
        <f>WORKDAY(I1848, 3)</f>
        <v>45754</v>
      </c>
      <c r="K1848" s="120"/>
      <c r="L1848" s="120"/>
      <c r="M1848" s="120"/>
      <c r="N1848" s="120">
        <v>45762</v>
      </c>
      <c r="O1848" s="119" t="s">
        <v>170</v>
      </c>
      <c r="P1848" s="29"/>
      <c r="Q1848" s="81">
        <v>130</v>
      </c>
    </row>
    <row r="1849" spans="1:19" hidden="1">
      <c r="A1849" s="134" t="s">
        <v>1218</v>
      </c>
      <c r="C1849" s="29">
        <v>92502551</v>
      </c>
      <c r="D1849" s="29"/>
      <c r="F1849" s="29" t="s">
        <v>87</v>
      </c>
      <c r="G1849" s="29" t="s">
        <v>823</v>
      </c>
      <c r="H1849" s="29" t="s">
        <v>38</v>
      </c>
      <c r="I1849" s="120">
        <v>45749</v>
      </c>
      <c r="J1849" s="120">
        <f>WORKDAY(I1849, 3)</f>
        <v>45754</v>
      </c>
      <c r="K1849" s="120"/>
      <c r="L1849" s="120"/>
      <c r="M1849" s="120"/>
      <c r="N1849" s="120">
        <v>45762</v>
      </c>
      <c r="O1849" s="119" t="s">
        <v>170</v>
      </c>
      <c r="P1849" s="29"/>
      <c r="Q1849" s="81">
        <v>775</v>
      </c>
    </row>
    <row r="1850" spans="1:19" hidden="1">
      <c r="A1850" s="134" t="s">
        <v>1218</v>
      </c>
      <c r="C1850" s="29">
        <v>92502638</v>
      </c>
      <c r="D1850" s="29"/>
      <c r="F1850" s="29" t="s">
        <v>87</v>
      </c>
      <c r="G1850" s="29" t="s">
        <v>823</v>
      </c>
      <c r="H1850" s="29" t="s">
        <v>38</v>
      </c>
      <c r="I1850" s="120">
        <v>45749</v>
      </c>
      <c r="J1850" s="120">
        <f>WORKDAY(I1850, 3)</f>
        <v>45754</v>
      </c>
      <c r="K1850" s="120"/>
      <c r="L1850" s="120"/>
      <c r="M1850" s="120"/>
      <c r="N1850" s="120">
        <v>45762</v>
      </c>
      <c r="O1850" s="119" t="s">
        <v>170</v>
      </c>
      <c r="P1850" s="29"/>
      <c r="Q1850" s="81">
        <v>175</v>
      </c>
    </row>
    <row r="1851" spans="1:19" hidden="1">
      <c r="A1851" s="134" t="s">
        <v>1218</v>
      </c>
      <c r="C1851" s="29">
        <v>92502659</v>
      </c>
      <c r="D1851" s="29"/>
      <c r="F1851" s="29" t="s">
        <v>87</v>
      </c>
      <c r="G1851" s="29" t="s">
        <v>823</v>
      </c>
      <c r="H1851" s="29" t="s">
        <v>38</v>
      </c>
      <c r="I1851" s="120">
        <v>45749</v>
      </c>
      <c r="J1851" s="120">
        <f>WORKDAY(I1851, 3)</f>
        <v>45754</v>
      </c>
      <c r="K1851" s="120"/>
      <c r="L1851" s="120"/>
      <c r="M1851" s="120"/>
      <c r="N1851" s="120">
        <v>45762</v>
      </c>
      <c r="O1851" s="119" t="s">
        <v>170</v>
      </c>
      <c r="P1851" s="29"/>
      <c r="Q1851" s="81">
        <v>175</v>
      </c>
    </row>
    <row r="1852" spans="1:19" hidden="1">
      <c r="A1852" s="134" t="s">
        <v>1218</v>
      </c>
      <c r="C1852" s="29">
        <v>92502820</v>
      </c>
      <c r="D1852" s="29"/>
      <c r="F1852" s="29" t="s">
        <v>87</v>
      </c>
      <c r="G1852" s="29" t="s">
        <v>823</v>
      </c>
      <c r="H1852" s="29" t="s">
        <v>38</v>
      </c>
      <c r="I1852" s="120">
        <v>45749</v>
      </c>
      <c r="J1852" s="120">
        <f>WORKDAY(I1852, 3)</f>
        <v>45754</v>
      </c>
      <c r="K1852" s="120"/>
      <c r="L1852" s="120"/>
      <c r="M1852" s="120"/>
      <c r="N1852" s="120">
        <v>45762</v>
      </c>
      <c r="O1852" s="119" t="s">
        <v>170</v>
      </c>
      <c r="P1852" s="29"/>
      <c r="Q1852" s="81">
        <v>650</v>
      </c>
    </row>
    <row r="1853" spans="1:19" hidden="1">
      <c r="A1853" s="134" t="s">
        <v>1218</v>
      </c>
      <c r="C1853" s="29">
        <v>92502886</v>
      </c>
      <c r="D1853" s="29"/>
      <c r="F1853" s="29" t="s">
        <v>87</v>
      </c>
      <c r="G1853" s="29" t="s">
        <v>823</v>
      </c>
      <c r="H1853" s="29" t="s">
        <v>38</v>
      </c>
      <c r="I1853" s="120">
        <v>45749</v>
      </c>
      <c r="J1853" s="120">
        <f>WORKDAY(I1853, 3)</f>
        <v>45754</v>
      </c>
      <c r="K1853" s="120"/>
      <c r="L1853" s="120"/>
      <c r="M1853" s="120"/>
      <c r="N1853" s="120">
        <v>45762</v>
      </c>
      <c r="O1853" s="119" t="s">
        <v>170</v>
      </c>
      <c r="P1853" s="29"/>
      <c r="Q1853" s="81">
        <v>180</v>
      </c>
    </row>
    <row r="1854" spans="1:19" hidden="1">
      <c r="A1854" s="134" t="s">
        <v>1218</v>
      </c>
      <c r="C1854" s="29">
        <v>92503066</v>
      </c>
      <c r="D1854" s="29"/>
      <c r="F1854" s="29" t="s">
        <v>87</v>
      </c>
      <c r="G1854" s="29" t="s">
        <v>823</v>
      </c>
      <c r="H1854" s="29" t="s">
        <v>38</v>
      </c>
      <c r="I1854" s="120">
        <v>45749</v>
      </c>
      <c r="J1854" s="120">
        <f>WORKDAY(I1854, 3)</f>
        <v>45754</v>
      </c>
      <c r="K1854" s="120"/>
      <c r="L1854" s="120"/>
      <c r="M1854" s="120"/>
      <c r="N1854" s="120">
        <v>45758</v>
      </c>
      <c r="O1854" s="119" t="s">
        <v>170</v>
      </c>
      <c r="P1854" s="29"/>
      <c r="Q1854" s="81">
        <v>270</v>
      </c>
    </row>
    <row r="1855" spans="1:19" hidden="1">
      <c r="A1855" s="134" t="s">
        <v>1218</v>
      </c>
      <c r="C1855" s="29">
        <v>92503156</v>
      </c>
      <c r="D1855" s="29"/>
      <c r="F1855" s="29" t="s">
        <v>87</v>
      </c>
      <c r="G1855" s="29" t="s">
        <v>823</v>
      </c>
      <c r="H1855" s="29" t="s">
        <v>38</v>
      </c>
      <c r="I1855" s="120">
        <v>45749</v>
      </c>
      <c r="J1855" s="120">
        <f>WORKDAY(I1855, 3)</f>
        <v>45754</v>
      </c>
      <c r="K1855" s="120"/>
      <c r="L1855" s="120"/>
      <c r="M1855" s="120"/>
      <c r="N1855" s="120">
        <v>45758</v>
      </c>
      <c r="O1855" s="119" t="s">
        <v>170</v>
      </c>
      <c r="P1855" s="29"/>
      <c r="Q1855" s="81">
        <v>240</v>
      </c>
    </row>
    <row r="1856" spans="1:19" hidden="1">
      <c r="A1856" s="134" t="s">
        <v>1218</v>
      </c>
      <c r="C1856" s="29">
        <v>92503216</v>
      </c>
      <c r="D1856" s="29"/>
      <c r="F1856" s="29" t="s">
        <v>87</v>
      </c>
      <c r="G1856" s="29" t="s">
        <v>823</v>
      </c>
      <c r="H1856" s="29" t="s">
        <v>38</v>
      </c>
      <c r="I1856" s="120">
        <v>45749</v>
      </c>
      <c r="J1856" s="120">
        <f>WORKDAY(I1856, 3)</f>
        <v>45754</v>
      </c>
      <c r="K1856" s="120"/>
      <c r="L1856" s="120"/>
      <c r="M1856" s="120"/>
      <c r="N1856" s="120">
        <v>45754</v>
      </c>
      <c r="O1856" s="119" t="s">
        <v>170</v>
      </c>
      <c r="P1856" s="29"/>
      <c r="Q1856" s="81">
        <v>210</v>
      </c>
    </row>
    <row r="1857" spans="1:18" hidden="1">
      <c r="A1857" s="134" t="s">
        <v>1218</v>
      </c>
      <c r="C1857" s="29">
        <v>92503249</v>
      </c>
      <c r="D1857" s="29"/>
      <c r="F1857" s="29" t="s">
        <v>87</v>
      </c>
      <c r="G1857" s="29" t="s">
        <v>823</v>
      </c>
      <c r="H1857" s="29" t="s">
        <v>38</v>
      </c>
      <c r="I1857" s="120">
        <v>45749</v>
      </c>
      <c r="J1857" s="120">
        <f>WORKDAY(I1857, 3)</f>
        <v>45754</v>
      </c>
      <c r="K1857" s="120"/>
      <c r="L1857" s="120"/>
      <c r="M1857" s="120"/>
      <c r="N1857" s="120">
        <v>45758</v>
      </c>
      <c r="O1857" s="119" t="s">
        <v>170</v>
      </c>
      <c r="P1857" s="29"/>
      <c r="Q1857" s="81">
        <v>250</v>
      </c>
    </row>
    <row r="1858" spans="1:18" hidden="1">
      <c r="A1858" s="134" t="s">
        <v>1218</v>
      </c>
      <c r="C1858" s="29">
        <v>92503322</v>
      </c>
      <c r="D1858" s="29"/>
      <c r="F1858" s="29" t="s">
        <v>87</v>
      </c>
      <c r="G1858" s="29" t="s">
        <v>823</v>
      </c>
      <c r="H1858" s="29" t="s">
        <v>38</v>
      </c>
      <c r="I1858" s="120">
        <v>45749</v>
      </c>
      <c r="J1858" s="120">
        <f>WORKDAY(I1858, 3)</f>
        <v>45754</v>
      </c>
      <c r="K1858" s="120"/>
      <c r="L1858" s="120"/>
      <c r="M1858" s="120"/>
      <c r="N1858" s="120">
        <v>45758</v>
      </c>
      <c r="O1858" s="119" t="s">
        <v>170</v>
      </c>
      <c r="P1858" s="29"/>
      <c r="Q1858" s="81">
        <v>375</v>
      </c>
    </row>
    <row r="1859" spans="1:18" hidden="1">
      <c r="A1859" s="134" t="s">
        <v>1218</v>
      </c>
      <c r="C1859" s="29">
        <v>92503354</v>
      </c>
      <c r="D1859" s="29"/>
      <c r="F1859" s="29" t="s">
        <v>87</v>
      </c>
      <c r="G1859" s="29" t="s">
        <v>823</v>
      </c>
      <c r="H1859" s="29" t="s">
        <v>38</v>
      </c>
      <c r="I1859" s="120">
        <v>45749</v>
      </c>
      <c r="J1859" s="120">
        <f>WORKDAY(I1859, 3)</f>
        <v>45754</v>
      </c>
      <c r="K1859" s="120"/>
      <c r="L1859" s="120"/>
      <c r="M1859" s="120"/>
      <c r="N1859" s="120">
        <v>45758</v>
      </c>
      <c r="O1859" s="119" t="s">
        <v>170</v>
      </c>
      <c r="P1859" s="29"/>
      <c r="Q1859" s="81">
        <v>280</v>
      </c>
    </row>
    <row r="1860" spans="1:18" hidden="1">
      <c r="A1860" s="134" t="s">
        <v>1218</v>
      </c>
      <c r="C1860" s="29">
        <v>92503481</v>
      </c>
      <c r="D1860" s="29"/>
      <c r="F1860" s="29" t="s">
        <v>87</v>
      </c>
      <c r="G1860" s="29" t="s">
        <v>823</v>
      </c>
      <c r="H1860" s="29" t="s">
        <v>38</v>
      </c>
      <c r="I1860" s="120">
        <v>45749</v>
      </c>
      <c r="J1860" s="120">
        <f>WORKDAY(I1860, 3)</f>
        <v>45754</v>
      </c>
      <c r="K1860" s="120"/>
      <c r="L1860" s="120"/>
      <c r="M1860" s="120"/>
      <c r="N1860" s="120">
        <v>45758</v>
      </c>
      <c r="O1860" s="119" t="s">
        <v>170</v>
      </c>
      <c r="P1860" s="29"/>
      <c r="Q1860" s="81">
        <v>400</v>
      </c>
    </row>
    <row r="1861" spans="1:18" hidden="1">
      <c r="A1861" s="134" t="s">
        <v>1218</v>
      </c>
      <c r="C1861" s="29">
        <v>92503513</v>
      </c>
      <c r="D1861" s="29"/>
      <c r="F1861" s="29" t="s">
        <v>87</v>
      </c>
      <c r="G1861" s="29" t="s">
        <v>823</v>
      </c>
      <c r="H1861" s="29" t="s">
        <v>38</v>
      </c>
      <c r="I1861" s="120">
        <v>45749</v>
      </c>
      <c r="J1861" s="120">
        <f>WORKDAY(I1861, 3)</f>
        <v>45754</v>
      </c>
      <c r="K1861" s="120"/>
      <c r="L1861" s="120"/>
      <c r="M1861" s="120"/>
      <c r="N1861" s="120">
        <v>45758</v>
      </c>
      <c r="O1861" s="119" t="s">
        <v>170</v>
      </c>
      <c r="P1861" s="29"/>
      <c r="Q1861" s="81">
        <v>150</v>
      </c>
    </row>
    <row r="1862" spans="1:18" hidden="1">
      <c r="A1862" s="134" t="s">
        <v>1218</v>
      </c>
      <c r="C1862" s="29">
        <v>92503550</v>
      </c>
      <c r="D1862" s="29"/>
      <c r="F1862" s="29" t="s">
        <v>87</v>
      </c>
      <c r="G1862" s="29" t="s">
        <v>823</v>
      </c>
      <c r="H1862" s="29" t="s">
        <v>38</v>
      </c>
      <c r="I1862" s="120">
        <v>45749</v>
      </c>
      <c r="J1862" s="120">
        <f>WORKDAY(I1862, 3)</f>
        <v>45754</v>
      </c>
      <c r="K1862" s="120"/>
      <c r="L1862" s="120"/>
      <c r="M1862" s="120"/>
      <c r="N1862" s="120">
        <v>45758</v>
      </c>
      <c r="O1862" s="119" t="s">
        <v>170</v>
      </c>
      <c r="P1862" s="29"/>
      <c r="Q1862" s="81">
        <v>250</v>
      </c>
    </row>
    <row r="1863" spans="1:18" hidden="1">
      <c r="A1863" s="134" t="s">
        <v>1185</v>
      </c>
      <c r="C1863" s="29">
        <v>92504231</v>
      </c>
      <c r="D1863" s="29"/>
      <c r="F1863" s="29" t="s">
        <v>87</v>
      </c>
      <c r="G1863" s="29" t="s">
        <v>823</v>
      </c>
      <c r="H1863" s="29" t="s">
        <v>38</v>
      </c>
      <c r="I1863" s="120">
        <v>45749</v>
      </c>
      <c r="J1863" s="120">
        <f>WORKDAY(I1863, 3)</f>
        <v>45754</v>
      </c>
      <c r="K1863" s="120"/>
      <c r="L1863" s="120"/>
      <c r="M1863" s="120"/>
      <c r="N1863" s="120">
        <v>45758</v>
      </c>
      <c r="O1863" s="119" t="s">
        <v>170</v>
      </c>
      <c r="P1863" s="29"/>
      <c r="Q1863" s="81">
        <v>420</v>
      </c>
    </row>
    <row r="1864" spans="1:18" hidden="1">
      <c r="A1864" s="134" t="s">
        <v>1185</v>
      </c>
      <c r="C1864" s="29">
        <v>92504293</v>
      </c>
      <c r="D1864" s="29"/>
      <c r="F1864" s="29" t="s">
        <v>87</v>
      </c>
      <c r="G1864" s="29" t="s">
        <v>823</v>
      </c>
      <c r="H1864" s="29" t="s">
        <v>38</v>
      </c>
      <c r="I1864" s="120">
        <v>45749</v>
      </c>
      <c r="J1864" s="120">
        <f>WORKDAY(I1864, 3)</f>
        <v>45754</v>
      </c>
      <c r="K1864" s="120"/>
      <c r="L1864" s="120"/>
      <c r="M1864" s="120"/>
      <c r="N1864" s="120">
        <v>45764</v>
      </c>
      <c r="O1864" s="119" t="s">
        <v>170</v>
      </c>
      <c r="P1864" s="29"/>
      <c r="Q1864" s="81">
        <v>420</v>
      </c>
    </row>
    <row r="1865" spans="1:18" hidden="1">
      <c r="A1865" s="134" t="s">
        <v>1185</v>
      </c>
      <c r="C1865" s="29">
        <v>92504342</v>
      </c>
      <c r="D1865" s="29"/>
      <c r="F1865" s="29" t="s">
        <v>87</v>
      </c>
      <c r="G1865" s="29" t="s">
        <v>823</v>
      </c>
      <c r="H1865" s="29" t="s">
        <v>38</v>
      </c>
      <c r="I1865" s="120">
        <v>45749</v>
      </c>
      <c r="J1865" s="120">
        <f>WORKDAY(I1865, 3)</f>
        <v>45754</v>
      </c>
      <c r="K1865" s="120"/>
      <c r="L1865" s="120"/>
      <c r="M1865" s="120"/>
      <c r="N1865" s="120">
        <v>45764</v>
      </c>
      <c r="O1865" s="119" t="s">
        <v>170</v>
      </c>
      <c r="P1865" s="29"/>
      <c r="Q1865" s="81">
        <v>190</v>
      </c>
    </row>
    <row r="1866" spans="1:18" hidden="1">
      <c r="A1866" s="134" t="s">
        <v>1185</v>
      </c>
      <c r="C1866" s="29">
        <v>92504376</v>
      </c>
      <c r="D1866" s="29"/>
      <c r="F1866" s="29" t="s">
        <v>87</v>
      </c>
      <c r="G1866" s="29" t="s">
        <v>823</v>
      </c>
      <c r="H1866" s="29" t="s">
        <v>38</v>
      </c>
      <c r="I1866" s="120">
        <v>45749</v>
      </c>
      <c r="J1866" s="120">
        <f>WORKDAY(I1866, 3)</f>
        <v>45754</v>
      </c>
      <c r="K1866" s="120"/>
      <c r="L1866" s="120"/>
      <c r="M1866" s="120"/>
      <c r="N1866" s="120">
        <v>45762</v>
      </c>
      <c r="O1866" s="119" t="s">
        <v>170</v>
      </c>
      <c r="P1866" s="29"/>
      <c r="Q1866" s="81">
        <v>330</v>
      </c>
    </row>
    <row r="1867" spans="1:18" hidden="1">
      <c r="A1867" s="134" t="s">
        <v>1185</v>
      </c>
      <c r="C1867" s="29">
        <v>92504430</v>
      </c>
      <c r="D1867" s="29"/>
      <c r="F1867" s="29" t="s">
        <v>87</v>
      </c>
      <c r="G1867" s="29" t="s">
        <v>823</v>
      </c>
      <c r="H1867" s="29" t="s">
        <v>38</v>
      </c>
      <c r="I1867" s="120">
        <v>45749</v>
      </c>
      <c r="J1867" s="120">
        <f>WORKDAY(I1867, 3)</f>
        <v>45754</v>
      </c>
      <c r="K1867" s="120"/>
      <c r="L1867" s="120"/>
      <c r="M1867" s="120"/>
      <c r="N1867" s="120">
        <v>45764</v>
      </c>
      <c r="O1867" s="119" t="s">
        <v>170</v>
      </c>
      <c r="P1867" s="29"/>
      <c r="Q1867" s="81">
        <v>260</v>
      </c>
    </row>
    <row r="1868" spans="1:18" hidden="1">
      <c r="A1868" s="134" t="s">
        <v>1185</v>
      </c>
      <c r="C1868" s="29">
        <v>92504450</v>
      </c>
      <c r="D1868" s="29"/>
      <c r="F1868" s="29" t="s">
        <v>87</v>
      </c>
      <c r="G1868" s="29" t="s">
        <v>823</v>
      </c>
      <c r="H1868" s="29" t="s">
        <v>38</v>
      </c>
      <c r="I1868" s="120">
        <v>45749</v>
      </c>
      <c r="J1868" s="120">
        <f>WORKDAY(I1868, 3)</f>
        <v>45754</v>
      </c>
      <c r="K1868" s="120"/>
      <c r="L1868" s="120"/>
      <c r="M1868" s="120"/>
      <c r="N1868" s="120">
        <v>45764</v>
      </c>
      <c r="O1868" s="119" t="s">
        <v>170</v>
      </c>
      <c r="P1868" s="29"/>
      <c r="Q1868" s="81">
        <v>430</v>
      </c>
    </row>
    <row r="1869" spans="1:18" hidden="1">
      <c r="A1869" s="134" t="s">
        <v>1185</v>
      </c>
      <c r="C1869" s="29">
        <v>92504488</v>
      </c>
      <c r="D1869" s="29"/>
      <c r="F1869" s="29" t="s">
        <v>87</v>
      </c>
      <c r="G1869" s="29" t="s">
        <v>823</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1185</v>
      </c>
      <c r="C1870" s="29">
        <v>92504501</v>
      </c>
      <c r="D1870" s="29"/>
      <c r="F1870" s="29" t="s">
        <v>87</v>
      </c>
      <c r="G1870" s="29" t="s">
        <v>823</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170</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170</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170</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170</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170</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170</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170</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170</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170</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170</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170</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170</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170</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170</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170</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170</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170</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170</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170</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170</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170</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170</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170</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170</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170</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170</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170</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170</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170</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170</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170</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290</v>
      </c>
      <c r="C1905" s="29">
        <v>78500418</v>
      </c>
      <c r="D1905" s="29"/>
      <c r="F1905" s="29" t="s">
        <v>1047</v>
      </c>
      <c r="G1905" s="29" t="s">
        <v>823</v>
      </c>
      <c r="H1905" s="29" t="s">
        <v>38</v>
      </c>
      <c r="I1905" s="42">
        <v>45735</v>
      </c>
      <c r="J1905" s="120">
        <f>WORKDAY(I1905, 3)</f>
        <v>45740</v>
      </c>
      <c r="K1905" s="120"/>
      <c r="L1905" s="120"/>
      <c r="M1905" s="120"/>
      <c r="N1905" s="120">
        <v>45737</v>
      </c>
      <c r="O1905" s="29" t="s">
        <v>170</v>
      </c>
      <c r="P1905" s="120"/>
      <c r="Q1905" s="81" t="s">
        <v>1251</v>
      </c>
      <c r="R1905" s="29"/>
      <c r="S1905" s="124" t="s">
        <v>1252</v>
      </c>
    </row>
    <row r="1906" spans="1:19" hidden="1">
      <c r="A1906" s="134" t="s">
        <v>290</v>
      </c>
      <c r="C1906" s="29">
        <v>78500507</v>
      </c>
      <c r="D1906" s="29"/>
      <c r="F1906" s="29" t="s">
        <v>1047</v>
      </c>
      <c r="G1906" s="29" t="s">
        <v>823</v>
      </c>
      <c r="H1906" s="29" t="s">
        <v>38</v>
      </c>
      <c r="I1906" s="42">
        <v>45735</v>
      </c>
      <c r="J1906" s="120">
        <f>WORKDAY(I1906, 3)</f>
        <v>45740</v>
      </c>
      <c r="K1906" s="120"/>
      <c r="L1906" s="120"/>
      <c r="M1906" s="120"/>
      <c r="N1906" s="120">
        <v>45737</v>
      </c>
      <c r="O1906" s="29" t="s">
        <v>170</v>
      </c>
      <c r="P1906" s="120"/>
      <c r="Q1906" s="81"/>
      <c r="R1906" s="29"/>
      <c r="S1906" s="124" t="s">
        <v>1253</v>
      </c>
    </row>
    <row r="1907" spans="1:19" hidden="1">
      <c r="A1907" s="134" t="s">
        <v>290</v>
      </c>
      <c r="C1907" s="29">
        <v>78500816</v>
      </c>
      <c r="D1907" s="29"/>
      <c r="F1907" s="29" t="s">
        <v>1047</v>
      </c>
      <c r="G1907" s="29" t="s">
        <v>823</v>
      </c>
      <c r="H1907" s="29" t="s">
        <v>38</v>
      </c>
      <c r="I1907" s="42">
        <v>45735</v>
      </c>
      <c r="J1907" s="120">
        <f>WORKDAY(I1907, 3)</f>
        <v>45740</v>
      </c>
      <c r="K1907" s="120"/>
      <c r="L1907" s="120"/>
      <c r="M1907" s="120"/>
      <c r="N1907" s="120">
        <v>45737</v>
      </c>
      <c r="O1907" s="29" t="s">
        <v>170</v>
      </c>
      <c r="P1907" s="120"/>
      <c r="Q1907" s="138"/>
      <c r="R1907" s="29"/>
      <c r="S1907" s="124" t="s">
        <v>1254</v>
      </c>
    </row>
    <row r="1908" spans="1:19" ht="43.5" hidden="1">
      <c r="A1908" s="134" t="s">
        <v>290</v>
      </c>
      <c r="C1908" s="29">
        <v>78500950</v>
      </c>
      <c r="D1908" s="29"/>
      <c r="F1908" s="29" t="s">
        <v>1047</v>
      </c>
      <c r="G1908" s="29" t="s">
        <v>823</v>
      </c>
      <c r="H1908" s="29" t="s">
        <v>38</v>
      </c>
      <c r="I1908" s="42">
        <v>45735</v>
      </c>
      <c r="J1908" s="120">
        <f>WORKDAY(I1908, 3)</f>
        <v>45740</v>
      </c>
      <c r="K1908" s="120"/>
      <c r="L1908" s="120"/>
      <c r="M1908" s="120"/>
      <c r="N1908" s="120">
        <v>45737</v>
      </c>
      <c r="O1908" s="29" t="s">
        <v>170</v>
      </c>
      <c r="P1908" s="120"/>
      <c r="Q1908" s="138" t="s">
        <v>1255</v>
      </c>
      <c r="R1908" s="29"/>
      <c r="S1908" s="124" t="s">
        <v>1256</v>
      </c>
    </row>
    <row r="1909" spans="1:19" hidden="1">
      <c r="A1909" s="134" t="s">
        <v>290</v>
      </c>
      <c r="C1909" s="29">
        <v>78501022</v>
      </c>
      <c r="D1909" s="29"/>
      <c r="F1909" s="29" t="s">
        <v>1047</v>
      </c>
      <c r="G1909" s="29" t="s">
        <v>823</v>
      </c>
      <c r="H1909" s="29" t="s">
        <v>38</v>
      </c>
      <c r="I1909" s="42">
        <v>45735</v>
      </c>
      <c r="J1909" s="120">
        <f>WORKDAY(I1909, 3)</f>
        <v>45740</v>
      </c>
      <c r="K1909" s="120"/>
      <c r="L1909" s="120"/>
      <c r="M1909" s="120"/>
      <c r="N1909" s="120">
        <v>45737</v>
      </c>
      <c r="O1909" s="29" t="s">
        <v>170</v>
      </c>
      <c r="P1909" s="29"/>
      <c r="Q1909" s="138" t="s">
        <v>1251</v>
      </c>
      <c r="R1909" s="29"/>
      <c r="S1909" s="124" t="s">
        <v>1257</v>
      </c>
    </row>
    <row r="1910" spans="1:19" hidden="1">
      <c r="A1910" s="134" t="s">
        <v>290</v>
      </c>
      <c r="C1910" s="29">
        <v>78501065</v>
      </c>
      <c r="D1910" s="29"/>
      <c r="F1910" s="29" t="s">
        <v>1047</v>
      </c>
      <c r="G1910" s="29" t="s">
        <v>823</v>
      </c>
      <c r="H1910" s="29" t="s">
        <v>38</v>
      </c>
      <c r="I1910" s="42">
        <v>45735</v>
      </c>
      <c r="J1910" s="120">
        <f>WORKDAY(I1910, 3)</f>
        <v>45740</v>
      </c>
      <c r="K1910" s="120"/>
      <c r="L1910" s="120"/>
      <c r="M1910" s="120"/>
      <c r="N1910" s="120">
        <v>45737</v>
      </c>
      <c r="O1910" s="29" t="s">
        <v>170</v>
      </c>
      <c r="P1910" s="120"/>
      <c r="Q1910" s="81"/>
      <c r="R1910" s="29"/>
      <c r="S1910" s="124" t="s">
        <v>1258</v>
      </c>
    </row>
    <row r="1911" spans="1:19" hidden="1">
      <c r="A1911" s="134" t="s">
        <v>290</v>
      </c>
      <c r="C1911" s="29">
        <v>78501121</v>
      </c>
      <c r="D1911" s="29"/>
      <c r="F1911" s="29" t="s">
        <v>1047</v>
      </c>
      <c r="G1911" s="29" t="s">
        <v>823</v>
      </c>
      <c r="H1911" s="29" t="s">
        <v>38</v>
      </c>
      <c r="I1911" s="42">
        <v>45735</v>
      </c>
      <c r="J1911" s="120">
        <f>WORKDAY(I1911, 3)</f>
        <v>45740</v>
      </c>
      <c r="K1911" s="120"/>
      <c r="L1911" s="120"/>
      <c r="M1911" s="120"/>
      <c r="N1911" s="120">
        <v>45737</v>
      </c>
      <c r="O1911" s="29" t="s">
        <v>170</v>
      </c>
      <c r="P1911" s="120"/>
      <c r="Q1911" s="81"/>
      <c r="R1911" s="29"/>
      <c r="S1911" s="124" t="s">
        <v>1259</v>
      </c>
    </row>
    <row r="1912" spans="1:19" hidden="1">
      <c r="A1912" s="134" t="s">
        <v>290</v>
      </c>
      <c r="C1912" s="29">
        <v>78501287</v>
      </c>
      <c r="D1912" s="29"/>
      <c r="F1912" s="29" t="s">
        <v>1047</v>
      </c>
      <c r="G1912" s="29" t="s">
        <v>823</v>
      </c>
      <c r="H1912" s="29" t="s">
        <v>38</v>
      </c>
      <c r="I1912" s="42">
        <v>45735</v>
      </c>
      <c r="J1912" s="120">
        <f>WORKDAY(I1912, 3)</f>
        <v>45740</v>
      </c>
      <c r="K1912" s="120"/>
      <c r="L1912" s="120"/>
      <c r="M1912" s="120"/>
      <c r="N1912" s="120">
        <v>45737</v>
      </c>
      <c r="O1912" s="29" t="s">
        <v>170</v>
      </c>
      <c r="P1912" s="120"/>
      <c r="Q1912" s="81" t="s">
        <v>1260</v>
      </c>
      <c r="R1912" s="29"/>
      <c r="S1912" s="124" t="s">
        <v>1261</v>
      </c>
    </row>
    <row r="1913" spans="1:19" hidden="1">
      <c r="A1913" s="134" t="s">
        <v>290</v>
      </c>
      <c r="C1913" s="29">
        <v>78501322</v>
      </c>
      <c r="D1913" s="29"/>
      <c r="F1913" s="29" t="s">
        <v>1047</v>
      </c>
      <c r="G1913" s="29" t="s">
        <v>823</v>
      </c>
      <c r="H1913" s="29" t="s">
        <v>38</v>
      </c>
      <c r="I1913" s="42">
        <v>45735</v>
      </c>
      <c r="J1913" s="120">
        <f>WORKDAY(I1913, 3)</f>
        <v>45740</v>
      </c>
      <c r="K1913" s="120"/>
      <c r="L1913" s="120"/>
      <c r="M1913" s="120"/>
      <c r="N1913" s="120">
        <v>45737</v>
      </c>
      <c r="O1913" s="29" t="s">
        <v>170</v>
      </c>
      <c r="P1913" s="120"/>
      <c r="Q1913" s="81" t="s">
        <v>1262</v>
      </c>
      <c r="R1913" s="29"/>
      <c r="S1913" s="124" t="s">
        <v>1263</v>
      </c>
    </row>
    <row r="1914" spans="1:19" hidden="1">
      <c r="A1914" s="134" t="s">
        <v>290</v>
      </c>
      <c r="C1914" s="29">
        <v>78501367</v>
      </c>
      <c r="D1914" s="29"/>
      <c r="F1914" s="29" t="s">
        <v>1047</v>
      </c>
      <c r="G1914" s="29" t="s">
        <v>823</v>
      </c>
      <c r="H1914" s="29" t="s">
        <v>38</v>
      </c>
      <c r="I1914" s="42">
        <v>45735</v>
      </c>
      <c r="J1914" s="120">
        <f>WORKDAY(I1914, 3)</f>
        <v>45740</v>
      </c>
      <c r="K1914" s="120"/>
      <c r="L1914" s="120"/>
      <c r="M1914" s="120"/>
      <c r="N1914" s="120">
        <v>45737</v>
      </c>
      <c r="O1914" s="29" t="s">
        <v>170</v>
      </c>
      <c r="P1914" s="120"/>
      <c r="Q1914" s="81"/>
      <c r="R1914" s="29"/>
      <c r="S1914" s="124" t="s">
        <v>1264</v>
      </c>
    </row>
    <row r="1915" spans="1:19" hidden="1">
      <c r="A1915" s="134" t="s">
        <v>290</v>
      </c>
      <c r="C1915" s="29">
        <v>78501538</v>
      </c>
      <c r="D1915" s="29"/>
      <c r="F1915" s="29" t="s">
        <v>1047</v>
      </c>
      <c r="G1915" s="29" t="s">
        <v>823</v>
      </c>
      <c r="H1915" s="29" t="s">
        <v>38</v>
      </c>
      <c r="I1915" s="42">
        <v>45735</v>
      </c>
      <c r="J1915" s="120">
        <f>WORKDAY(I1915, 3)</f>
        <v>45740</v>
      </c>
      <c r="K1915" s="120"/>
      <c r="L1915" s="120"/>
      <c r="M1915" s="120"/>
      <c r="N1915" s="120">
        <v>45737</v>
      </c>
      <c r="O1915" s="29" t="s">
        <v>170</v>
      </c>
      <c r="P1915" s="120"/>
      <c r="Q1915" s="81"/>
      <c r="R1915" s="29"/>
      <c r="S1915" s="124" t="s">
        <v>1265</v>
      </c>
    </row>
    <row r="1916" spans="1:19" hidden="1">
      <c r="A1916" s="134" t="s">
        <v>290</v>
      </c>
      <c r="C1916" s="29">
        <v>78501671</v>
      </c>
      <c r="D1916" s="29"/>
      <c r="F1916" s="29" t="s">
        <v>1047</v>
      </c>
      <c r="G1916" s="29" t="s">
        <v>823</v>
      </c>
      <c r="H1916" s="29" t="s">
        <v>38</v>
      </c>
      <c r="I1916" s="42">
        <v>45735</v>
      </c>
      <c r="J1916" s="120">
        <f>WORKDAY(I1916, 3)</f>
        <v>45740</v>
      </c>
      <c r="K1916" s="120"/>
      <c r="L1916" s="120"/>
      <c r="M1916" s="120"/>
      <c r="N1916" s="120">
        <v>45737</v>
      </c>
      <c r="O1916" s="29" t="s">
        <v>170</v>
      </c>
      <c r="P1916" s="120"/>
      <c r="Q1916" s="81"/>
      <c r="R1916" s="29"/>
      <c r="S1916" s="124" t="s">
        <v>1266</v>
      </c>
    </row>
    <row r="1917" spans="1:19" hidden="1">
      <c r="A1917" s="134" t="s">
        <v>290</v>
      </c>
      <c r="C1917" s="29">
        <v>78501705</v>
      </c>
      <c r="D1917" s="29"/>
      <c r="F1917" s="29" t="s">
        <v>1047</v>
      </c>
      <c r="G1917" s="29" t="s">
        <v>823</v>
      </c>
      <c r="H1917" s="29" t="s">
        <v>38</v>
      </c>
      <c r="I1917" s="42">
        <v>45735</v>
      </c>
      <c r="J1917" s="120">
        <f>WORKDAY(I1917, 3)</f>
        <v>45740</v>
      </c>
      <c r="K1917" s="120"/>
      <c r="L1917" s="120"/>
      <c r="M1917" s="120"/>
      <c r="N1917" s="120">
        <v>45737</v>
      </c>
      <c r="O1917" s="29" t="s">
        <v>170</v>
      </c>
      <c r="P1917" s="120"/>
      <c r="Q1917" s="81"/>
      <c r="R1917" s="29"/>
      <c r="S1917" s="124" t="s">
        <v>1267</v>
      </c>
    </row>
    <row r="1918" spans="1:19" hidden="1">
      <c r="A1918" s="134" t="s">
        <v>290</v>
      </c>
      <c r="C1918" s="29">
        <v>78501760</v>
      </c>
      <c r="D1918" s="29"/>
      <c r="F1918" s="29" t="s">
        <v>1047</v>
      </c>
      <c r="G1918" s="29" t="s">
        <v>823</v>
      </c>
      <c r="H1918" s="29" t="s">
        <v>38</v>
      </c>
      <c r="I1918" s="42">
        <v>45735</v>
      </c>
      <c r="J1918" s="120">
        <f>WORKDAY(I1918, 3)</f>
        <v>45740</v>
      </c>
      <c r="K1918" s="120"/>
      <c r="L1918" s="120"/>
      <c r="M1918" s="120"/>
      <c r="N1918" s="120">
        <v>45737</v>
      </c>
      <c r="O1918" s="29" t="s">
        <v>170</v>
      </c>
      <c r="P1918" s="120"/>
      <c r="Q1918" s="81"/>
      <c r="R1918" s="29"/>
      <c r="S1918" s="124" t="s">
        <v>1268</v>
      </c>
    </row>
    <row r="1919" spans="1:19" hidden="1">
      <c r="A1919" s="134" t="s">
        <v>290</v>
      </c>
      <c r="C1919" s="29">
        <v>78501855</v>
      </c>
      <c r="D1919" s="29"/>
      <c r="F1919" s="29" t="s">
        <v>1047</v>
      </c>
      <c r="G1919" s="29" t="s">
        <v>823</v>
      </c>
      <c r="H1919" s="29" t="s">
        <v>38</v>
      </c>
      <c r="I1919" s="42">
        <v>45735</v>
      </c>
      <c r="J1919" s="120">
        <f>WORKDAY(I1919, 3)</f>
        <v>45740</v>
      </c>
      <c r="K1919" s="120"/>
      <c r="L1919" s="120"/>
      <c r="M1919" s="120"/>
      <c r="N1919" s="120">
        <v>45737</v>
      </c>
      <c r="O1919" s="29" t="s">
        <v>170</v>
      </c>
      <c r="P1919" s="120"/>
      <c r="Q1919" s="81"/>
      <c r="R1919" s="29"/>
      <c r="S1919" s="124" t="s">
        <v>1269</v>
      </c>
    </row>
    <row r="1920" spans="1:19" hidden="1">
      <c r="A1920" s="134" t="s">
        <v>290</v>
      </c>
      <c r="C1920" s="29">
        <v>78502268</v>
      </c>
      <c r="D1920" s="29"/>
      <c r="F1920" s="29" t="s">
        <v>1047</v>
      </c>
      <c r="G1920" s="29" t="s">
        <v>823</v>
      </c>
      <c r="H1920" s="29" t="s">
        <v>38</v>
      </c>
      <c r="I1920" s="42">
        <v>45735</v>
      </c>
      <c r="J1920" s="120">
        <f>WORKDAY(I1920, 3)</f>
        <v>45740</v>
      </c>
      <c r="K1920" s="120"/>
      <c r="L1920" s="120"/>
      <c r="M1920" s="120"/>
      <c r="N1920" s="120">
        <v>45737</v>
      </c>
      <c r="O1920" s="29" t="s">
        <v>170</v>
      </c>
      <c r="P1920" s="120"/>
      <c r="Q1920" s="81"/>
      <c r="R1920" s="29"/>
      <c r="S1920" s="124" t="s">
        <v>1270</v>
      </c>
    </row>
    <row r="1921" spans="1:19" hidden="1">
      <c r="A1921" s="134" t="s">
        <v>290</v>
      </c>
      <c r="C1921" s="29">
        <v>78502370</v>
      </c>
      <c r="D1921" s="29"/>
      <c r="F1921" s="29" t="s">
        <v>1047</v>
      </c>
      <c r="G1921" s="29" t="s">
        <v>823</v>
      </c>
      <c r="H1921" s="29" t="s">
        <v>38</v>
      </c>
      <c r="I1921" s="42">
        <v>45735</v>
      </c>
      <c r="J1921" s="120">
        <f>WORKDAY(I1921, 3)</f>
        <v>45740</v>
      </c>
      <c r="K1921" s="120"/>
      <c r="L1921" s="120"/>
      <c r="M1921" s="120"/>
      <c r="N1921" s="120">
        <v>45737</v>
      </c>
      <c r="O1921" s="29" t="s">
        <v>170</v>
      </c>
      <c r="P1921" s="120"/>
      <c r="Q1921" s="81"/>
      <c r="R1921" s="29"/>
      <c r="S1921" s="124" t="s">
        <v>1271</v>
      </c>
    </row>
    <row r="1922" spans="1:19" hidden="1">
      <c r="A1922" s="134" t="s">
        <v>290</v>
      </c>
      <c r="C1922" s="29">
        <v>78502463</v>
      </c>
      <c r="D1922" s="29"/>
      <c r="F1922" s="29" t="s">
        <v>1047</v>
      </c>
      <c r="G1922" s="29" t="s">
        <v>823</v>
      </c>
      <c r="H1922" s="29" t="s">
        <v>38</v>
      </c>
      <c r="I1922" s="42">
        <v>45735</v>
      </c>
      <c r="J1922" s="120">
        <f>WORKDAY(I1922, 3)</f>
        <v>45740</v>
      </c>
      <c r="K1922" s="120"/>
      <c r="L1922" s="120"/>
      <c r="M1922" s="120"/>
      <c r="N1922" s="120">
        <v>45737</v>
      </c>
      <c r="O1922" s="29" t="s">
        <v>170</v>
      </c>
      <c r="P1922" s="120"/>
      <c r="Q1922" s="81"/>
      <c r="R1922" s="29"/>
      <c r="S1922" s="124" t="s">
        <v>1272</v>
      </c>
    </row>
    <row r="1923" spans="1:19" hidden="1">
      <c r="A1923" s="134" t="s">
        <v>290</v>
      </c>
      <c r="C1923" s="29">
        <v>78502520</v>
      </c>
      <c r="D1923" s="29"/>
      <c r="F1923" s="29" t="s">
        <v>1047</v>
      </c>
      <c r="G1923" s="29" t="s">
        <v>823</v>
      </c>
      <c r="H1923" s="29" t="s">
        <v>38</v>
      </c>
      <c r="I1923" s="42">
        <v>45735</v>
      </c>
      <c r="J1923" s="120">
        <f>WORKDAY(I1923, 3)</f>
        <v>45740</v>
      </c>
      <c r="K1923" s="120"/>
      <c r="L1923" s="120"/>
      <c r="M1923" s="120"/>
      <c r="N1923" s="120">
        <v>45737</v>
      </c>
      <c r="O1923" s="29" t="s">
        <v>170</v>
      </c>
      <c r="P1923" s="120"/>
      <c r="Q1923" s="81"/>
      <c r="R1923" s="29"/>
      <c r="S1923" s="124" t="s">
        <v>1273</v>
      </c>
    </row>
    <row r="1924" spans="1:19" hidden="1">
      <c r="A1924" s="134" t="s">
        <v>290</v>
      </c>
      <c r="C1924" s="29">
        <v>78502617</v>
      </c>
      <c r="D1924" s="29"/>
      <c r="F1924" s="29" t="s">
        <v>1047</v>
      </c>
      <c r="G1924" s="29" t="s">
        <v>823</v>
      </c>
      <c r="H1924" s="29" t="s">
        <v>38</v>
      </c>
      <c r="I1924" s="42">
        <v>45735</v>
      </c>
      <c r="J1924" s="120">
        <f>WORKDAY(I1924, 3)</f>
        <v>45740</v>
      </c>
      <c r="K1924" s="120"/>
      <c r="L1924" s="120"/>
      <c r="M1924" s="120"/>
      <c r="N1924" s="120">
        <v>45737</v>
      </c>
      <c r="O1924" s="29" t="s">
        <v>170</v>
      </c>
      <c r="P1924" s="120"/>
      <c r="Q1924" s="81"/>
      <c r="R1924" s="29"/>
      <c r="S1924" s="124" t="s">
        <v>1274</v>
      </c>
    </row>
    <row r="1925" spans="1:19" ht="72.75" hidden="1">
      <c r="A1925" s="134" t="s">
        <v>290</v>
      </c>
      <c r="C1925" s="29">
        <v>78502827</v>
      </c>
      <c r="D1925" s="29"/>
      <c r="F1925" s="29" t="s">
        <v>1047</v>
      </c>
      <c r="G1925" s="29" t="s">
        <v>823</v>
      </c>
      <c r="H1925" s="29" t="s">
        <v>38</v>
      </c>
      <c r="I1925" s="42">
        <v>45735</v>
      </c>
      <c r="J1925" s="120">
        <f>WORKDAY(I1925, 3)</f>
        <v>45740</v>
      </c>
      <c r="K1925" s="120"/>
      <c r="L1925" s="120"/>
      <c r="M1925" s="120"/>
      <c r="N1925" s="120">
        <v>45737</v>
      </c>
      <c r="O1925" s="29" t="s">
        <v>170</v>
      </c>
      <c r="P1925" s="120"/>
      <c r="Q1925" s="138" t="s">
        <v>1275</v>
      </c>
      <c r="R1925" s="29"/>
      <c r="S1925" s="124" t="s">
        <v>1276</v>
      </c>
    </row>
    <row r="1926" spans="1:19" hidden="1">
      <c r="A1926" s="134" t="s">
        <v>290</v>
      </c>
      <c r="C1926" s="29">
        <v>78503095</v>
      </c>
      <c r="D1926" s="29"/>
      <c r="F1926" s="29" t="s">
        <v>1047</v>
      </c>
      <c r="G1926" s="29" t="s">
        <v>823</v>
      </c>
      <c r="H1926" s="29" t="s">
        <v>38</v>
      </c>
      <c r="I1926" s="42">
        <v>45735</v>
      </c>
      <c r="J1926" s="120">
        <f>WORKDAY(I1926, 3)</f>
        <v>45740</v>
      </c>
      <c r="K1926" s="120"/>
      <c r="L1926" s="120"/>
      <c r="M1926" s="120"/>
      <c r="N1926" s="120">
        <v>45737</v>
      </c>
      <c r="O1926" s="29" t="s">
        <v>170</v>
      </c>
      <c r="P1926" s="120"/>
      <c r="Q1926" s="81"/>
      <c r="R1926" s="29"/>
      <c r="S1926" s="124" t="s">
        <v>1277</v>
      </c>
    </row>
    <row r="1927" spans="1:19" hidden="1">
      <c r="A1927" s="134" t="s">
        <v>290</v>
      </c>
      <c r="C1927" s="29">
        <v>78503165</v>
      </c>
      <c r="D1927" s="29"/>
      <c r="F1927" s="29" t="s">
        <v>1047</v>
      </c>
      <c r="G1927" s="29" t="s">
        <v>823</v>
      </c>
      <c r="H1927" s="29" t="s">
        <v>38</v>
      </c>
      <c r="I1927" s="42">
        <v>45735</v>
      </c>
      <c r="J1927" s="120">
        <f>WORKDAY(I1927, 3)</f>
        <v>45740</v>
      </c>
      <c r="K1927" s="120"/>
      <c r="L1927" s="120"/>
      <c r="M1927" s="120"/>
      <c r="N1927" s="120">
        <v>45737</v>
      </c>
      <c r="O1927" s="29" t="s">
        <v>170</v>
      </c>
      <c r="P1927" s="120"/>
      <c r="Q1927" s="81"/>
      <c r="R1927" s="29"/>
      <c r="S1927" s="124" t="s">
        <v>1278</v>
      </c>
    </row>
    <row r="1928" spans="1:19" hidden="1">
      <c r="A1928" s="134" t="s">
        <v>290</v>
      </c>
      <c r="C1928" s="29">
        <v>78503372</v>
      </c>
      <c r="D1928" s="29"/>
      <c r="F1928" s="29" t="s">
        <v>1047</v>
      </c>
      <c r="G1928" s="29" t="s">
        <v>823</v>
      </c>
      <c r="H1928" s="29" t="s">
        <v>38</v>
      </c>
      <c r="I1928" s="42">
        <v>45735</v>
      </c>
      <c r="J1928" s="120">
        <f>WORKDAY(I1928, 3)</f>
        <v>45740</v>
      </c>
      <c r="K1928" s="120"/>
      <c r="L1928" s="120"/>
      <c r="M1928" s="120"/>
      <c r="N1928" s="120">
        <v>45737</v>
      </c>
      <c r="O1928" s="29" t="s">
        <v>170</v>
      </c>
      <c r="P1928" s="120"/>
      <c r="Q1928" s="81"/>
      <c r="R1928" s="29"/>
      <c r="S1928" s="124" t="s">
        <v>1279</v>
      </c>
    </row>
    <row r="1929" spans="1:19" hidden="1">
      <c r="A1929" s="134" t="s">
        <v>290</v>
      </c>
      <c r="C1929" s="29">
        <v>78503404</v>
      </c>
      <c r="D1929" s="29"/>
      <c r="F1929" s="29" t="s">
        <v>1047</v>
      </c>
      <c r="G1929" s="29" t="s">
        <v>823</v>
      </c>
      <c r="H1929" s="29" t="s">
        <v>38</v>
      </c>
      <c r="I1929" s="42">
        <v>45735</v>
      </c>
      <c r="J1929" s="120">
        <f>WORKDAY(I1929, 3)</f>
        <v>45740</v>
      </c>
      <c r="K1929" s="120"/>
      <c r="L1929" s="120"/>
      <c r="M1929" s="120"/>
      <c r="N1929" s="120">
        <v>45737</v>
      </c>
      <c r="O1929" s="29" t="s">
        <v>170</v>
      </c>
      <c r="P1929" s="120"/>
      <c r="Q1929" s="81"/>
      <c r="R1929" s="29"/>
      <c r="S1929" s="124" t="s">
        <v>1280</v>
      </c>
    </row>
    <row r="1930" spans="1:19" hidden="1">
      <c r="A1930" s="134" t="s">
        <v>290</v>
      </c>
      <c r="C1930" s="29">
        <v>78503895</v>
      </c>
      <c r="D1930" s="29"/>
      <c r="F1930" s="29" t="s">
        <v>1047</v>
      </c>
      <c r="G1930" s="29" t="s">
        <v>823</v>
      </c>
      <c r="H1930" s="29" t="s">
        <v>38</v>
      </c>
      <c r="I1930" s="42">
        <v>45735</v>
      </c>
      <c r="J1930" s="120">
        <f>WORKDAY(I1930, 3)</f>
        <v>45740</v>
      </c>
      <c r="K1930" s="120"/>
      <c r="L1930" s="120"/>
      <c r="M1930" s="120"/>
      <c r="N1930" s="120">
        <v>45737</v>
      </c>
      <c r="O1930" s="29" t="s">
        <v>170</v>
      </c>
      <c r="P1930" s="120"/>
      <c r="Q1930" s="81" t="s">
        <v>1281</v>
      </c>
      <c r="R1930" s="29"/>
      <c r="S1930" s="124" t="s">
        <v>1282</v>
      </c>
    </row>
    <row r="1931" spans="1:19" ht="87" hidden="1">
      <c r="A1931" s="134" t="s">
        <v>290</v>
      </c>
      <c r="C1931" s="29">
        <v>78503944</v>
      </c>
      <c r="D1931" s="29"/>
      <c r="F1931" s="29" t="s">
        <v>1047</v>
      </c>
      <c r="G1931" s="29" t="s">
        <v>823</v>
      </c>
      <c r="H1931" s="29" t="s">
        <v>38</v>
      </c>
      <c r="I1931" s="42">
        <v>45735</v>
      </c>
      <c r="J1931" s="120">
        <f>WORKDAY(I1931, 3)</f>
        <v>45740</v>
      </c>
      <c r="K1931" s="120"/>
      <c r="L1931" s="120"/>
      <c r="M1931" s="120"/>
      <c r="N1931" s="120">
        <v>45737</v>
      </c>
      <c r="O1931" s="29" t="s">
        <v>170</v>
      </c>
      <c r="P1931" s="120"/>
      <c r="Q1931" s="138" t="s">
        <v>1283</v>
      </c>
      <c r="R1931" s="29"/>
      <c r="S1931" s="124" t="s">
        <v>1284</v>
      </c>
    </row>
    <row r="1932" spans="1:19" ht="57.75" hidden="1">
      <c r="A1932" s="134" t="s">
        <v>290</v>
      </c>
      <c r="C1932" s="29">
        <v>78504005</v>
      </c>
      <c r="D1932" s="29"/>
      <c r="F1932" s="29" t="s">
        <v>1047</v>
      </c>
      <c r="G1932" s="29" t="s">
        <v>823</v>
      </c>
      <c r="H1932" s="29" t="s">
        <v>38</v>
      </c>
      <c r="I1932" s="42">
        <v>45735</v>
      </c>
      <c r="J1932" s="120">
        <f>WORKDAY(I1932, 3)</f>
        <v>45740</v>
      </c>
      <c r="K1932" s="120"/>
      <c r="L1932" s="120"/>
      <c r="M1932" s="120"/>
      <c r="N1932" s="120">
        <v>45737</v>
      </c>
      <c r="O1932" s="29" t="s">
        <v>170</v>
      </c>
      <c r="P1932" s="120"/>
      <c r="Q1932" s="138" t="s">
        <v>1285</v>
      </c>
      <c r="R1932" s="29"/>
      <c r="S1932" s="124" t="s">
        <v>1286</v>
      </c>
    </row>
    <row r="1933" spans="1:19" hidden="1">
      <c r="A1933" s="134" t="s">
        <v>290</v>
      </c>
      <c r="C1933" s="29">
        <v>78504026</v>
      </c>
      <c r="D1933" s="29"/>
      <c r="F1933" s="29" t="s">
        <v>1047</v>
      </c>
      <c r="G1933" s="29" t="s">
        <v>823</v>
      </c>
      <c r="H1933" s="29" t="s">
        <v>38</v>
      </c>
      <c r="I1933" s="42">
        <v>45735</v>
      </c>
      <c r="J1933" s="120">
        <f>WORKDAY(I1933, 3)</f>
        <v>45740</v>
      </c>
      <c r="K1933" s="120"/>
      <c r="L1933" s="120"/>
      <c r="M1933" s="120"/>
      <c r="N1933" s="120">
        <v>45737</v>
      </c>
      <c r="O1933" s="29" t="s">
        <v>170</v>
      </c>
      <c r="P1933" s="120"/>
      <c r="Q1933" s="81"/>
      <c r="R1933" s="29"/>
      <c r="S1933" s="124" t="s">
        <v>1287</v>
      </c>
    </row>
    <row r="1934" spans="1:19" hidden="1">
      <c r="A1934" s="134" t="s">
        <v>290</v>
      </c>
      <c r="C1934" s="29">
        <v>78504105</v>
      </c>
      <c r="D1934" s="29"/>
      <c r="F1934" s="29" t="s">
        <v>1047</v>
      </c>
      <c r="G1934" s="29" t="s">
        <v>823</v>
      </c>
      <c r="H1934" s="29" t="s">
        <v>38</v>
      </c>
      <c r="I1934" s="42">
        <v>45735</v>
      </c>
      <c r="J1934" s="120">
        <f>WORKDAY(I1934, 3)</f>
        <v>45740</v>
      </c>
      <c r="K1934" s="120"/>
      <c r="L1934" s="120"/>
      <c r="M1934" s="120"/>
      <c r="N1934" s="120">
        <v>45737</v>
      </c>
      <c r="O1934" s="29" t="s">
        <v>170</v>
      </c>
      <c r="P1934" s="120"/>
      <c r="Q1934" s="81"/>
      <c r="R1934" s="29"/>
      <c r="S1934" s="124" t="s">
        <v>1174</v>
      </c>
    </row>
    <row r="1935" spans="1:19" hidden="1">
      <c r="A1935" s="134" t="s">
        <v>290</v>
      </c>
      <c r="C1935" s="29">
        <v>78504276</v>
      </c>
      <c r="D1935" s="29"/>
      <c r="F1935" s="29" t="s">
        <v>1047</v>
      </c>
      <c r="G1935" s="29" t="s">
        <v>823</v>
      </c>
      <c r="H1935" s="29" t="s">
        <v>38</v>
      </c>
      <c r="I1935" s="42">
        <v>45735</v>
      </c>
      <c r="J1935" s="120">
        <f>WORKDAY(I1935, 3)</f>
        <v>45740</v>
      </c>
      <c r="K1935" s="120"/>
      <c r="L1935" s="120"/>
      <c r="M1935" s="120"/>
      <c r="N1935" s="120">
        <v>45737</v>
      </c>
      <c r="O1935" s="29" t="s">
        <v>170</v>
      </c>
      <c r="P1935" s="120"/>
      <c r="Q1935" s="81"/>
      <c r="R1935" s="29"/>
      <c r="S1935" s="124" t="s">
        <v>1288</v>
      </c>
    </row>
    <row r="1936" spans="1:19" hidden="1">
      <c r="A1936" s="134" t="s">
        <v>1289</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1289</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1289</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1289</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290</v>
      </c>
      <c r="C1940" s="29">
        <v>79505047</v>
      </c>
      <c r="D1940" s="29"/>
      <c r="F1940" s="29" t="s">
        <v>1047</v>
      </c>
      <c r="G1940" s="29" t="s">
        <v>823</v>
      </c>
      <c r="H1940" s="29" t="s">
        <v>38</v>
      </c>
      <c r="I1940" s="120">
        <v>45736</v>
      </c>
      <c r="J1940" s="120">
        <f>WORKDAY(I1940, 3)</f>
        <v>45741</v>
      </c>
      <c r="K1940" s="120"/>
      <c r="L1940" s="120"/>
      <c r="M1940" s="120"/>
      <c r="N1940" s="120">
        <v>45741</v>
      </c>
      <c r="O1940" s="29" t="s">
        <v>170</v>
      </c>
      <c r="P1940" s="120"/>
      <c r="Q1940" s="81"/>
      <c r="R1940" s="29"/>
      <c r="S1940" s="124" t="s">
        <v>1290</v>
      </c>
    </row>
    <row r="1941" spans="1:19" hidden="1">
      <c r="A1941" s="134" t="s">
        <v>290</v>
      </c>
      <c r="C1941" s="29">
        <v>79505209</v>
      </c>
      <c r="D1941" s="29"/>
      <c r="F1941" s="29" t="s">
        <v>1047</v>
      </c>
      <c r="G1941" s="29" t="s">
        <v>823</v>
      </c>
      <c r="H1941" s="29" t="s">
        <v>38</v>
      </c>
      <c r="I1941" s="120">
        <v>45736</v>
      </c>
      <c r="J1941" s="120">
        <f>WORKDAY(I1941, 3)</f>
        <v>45741</v>
      </c>
      <c r="K1941" s="120"/>
      <c r="L1941" s="120"/>
      <c r="M1941" s="120"/>
      <c r="N1941" s="120">
        <v>45741</v>
      </c>
      <c r="O1941" s="29" t="s">
        <v>170</v>
      </c>
      <c r="P1941" s="120"/>
      <c r="Q1941" s="81"/>
      <c r="R1941" s="29"/>
      <c r="S1941" s="124" t="s">
        <v>1291</v>
      </c>
    </row>
    <row r="1942" spans="1:19" hidden="1">
      <c r="A1942" s="134" t="s">
        <v>311</v>
      </c>
      <c r="C1942" s="29">
        <v>79505636</v>
      </c>
      <c r="D1942" s="29"/>
      <c r="F1942" s="29" t="s">
        <v>1047</v>
      </c>
      <c r="G1942" s="29" t="s">
        <v>823</v>
      </c>
      <c r="H1942" s="29" t="s">
        <v>38</v>
      </c>
      <c r="I1942" s="120">
        <v>45736</v>
      </c>
      <c r="J1942" s="120">
        <f>WORKDAY(I1942, 3)</f>
        <v>45741</v>
      </c>
      <c r="K1942" s="120"/>
      <c r="L1942" s="120"/>
      <c r="M1942" s="120"/>
      <c r="N1942" s="29"/>
      <c r="O1942" s="29" t="s">
        <v>170</v>
      </c>
      <c r="P1942" s="120"/>
      <c r="Q1942" s="81"/>
      <c r="R1942" s="29"/>
    </row>
    <row r="1943" spans="1:19" hidden="1">
      <c r="A1943" s="134" t="s">
        <v>311</v>
      </c>
      <c r="C1943" s="29">
        <v>79505661</v>
      </c>
      <c r="D1943" s="29"/>
      <c r="F1943" s="29" t="s">
        <v>1047</v>
      </c>
      <c r="G1943" s="29" t="s">
        <v>823</v>
      </c>
      <c r="H1943" s="29" t="s">
        <v>38</v>
      </c>
      <c r="I1943" s="120">
        <v>45736</v>
      </c>
      <c r="J1943" s="120">
        <f>WORKDAY(I1943, 3)</f>
        <v>45741</v>
      </c>
      <c r="K1943" s="120"/>
      <c r="L1943" s="120"/>
      <c r="M1943" s="120"/>
      <c r="N1943" s="29"/>
      <c r="O1943" s="29" t="s">
        <v>170</v>
      </c>
      <c r="P1943" s="120"/>
      <c r="Q1943" s="81"/>
      <c r="R1943" s="29"/>
    </row>
    <row r="1944" spans="1:19" hidden="1">
      <c r="A1944" s="134" t="s">
        <v>311</v>
      </c>
      <c r="C1944" s="29">
        <v>79505691</v>
      </c>
      <c r="D1944" s="29"/>
      <c r="F1944" s="29" t="s">
        <v>1047</v>
      </c>
      <c r="G1944" s="29" t="s">
        <v>823</v>
      </c>
      <c r="H1944" s="29" t="s">
        <v>38</v>
      </c>
      <c r="I1944" s="120">
        <v>45736</v>
      </c>
      <c r="J1944" s="120">
        <f>WORKDAY(I1944, 3)</f>
        <v>45741</v>
      </c>
      <c r="K1944" s="120"/>
      <c r="L1944" s="120"/>
      <c r="M1944" s="120"/>
      <c r="N1944" s="29"/>
      <c r="O1944" s="29" t="s">
        <v>170</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170</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170</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170</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170</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170</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170</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170</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170</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170</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170</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170</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170</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170</v>
      </c>
      <c r="P1957" s="120"/>
      <c r="Q1957" s="81"/>
      <c r="R1957" s="29"/>
    </row>
    <row r="1958" spans="1:19" hidden="1">
      <c r="A1958" s="134" t="s">
        <v>1058</v>
      </c>
      <c r="C1958" s="29">
        <v>105505134</v>
      </c>
      <c r="D1958" s="29"/>
      <c r="F1958" s="29" t="s">
        <v>87</v>
      </c>
      <c r="G1958" s="29" t="s">
        <v>823</v>
      </c>
      <c r="H1958" s="29" t="s">
        <v>38</v>
      </c>
      <c r="I1958" s="120">
        <v>45762</v>
      </c>
      <c r="J1958" s="120">
        <f>WORKDAY(I1958, 3)</f>
        <v>45765</v>
      </c>
      <c r="K1958" s="120"/>
      <c r="L1958" s="120"/>
      <c r="M1958" s="120"/>
      <c r="N1958" s="29"/>
      <c r="O1958" s="29" t="s">
        <v>170</v>
      </c>
      <c r="P1958" s="120"/>
      <c r="Q1958" s="81"/>
      <c r="R1958" s="29">
        <v>600</v>
      </c>
    </row>
    <row r="1959" spans="1:19" hidden="1">
      <c r="A1959" s="134" t="s">
        <v>1134</v>
      </c>
      <c r="C1959" s="29">
        <v>105505191</v>
      </c>
      <c r="D1959" s="29"/>
      <c r="F1959" s="29" t="s">
        <v>87</v>
      </c>
      <c r="G1959" s="29" t="s">
        <v>823</v>
      </c>
      <c r="H1959" s="29" t="s">
        <v>38</v>
      </c>
      <c r="I1959" s="120">
        <v>45762</v>
      </c>
      <c r="J1959" s="120">
        <f>WORKDAY(I1959, 3)</f>
        <v>45765</v>
      </c>
      <c r="K1959" s="120"/>
      <c r="L1959" s="120"/>
      <c r="M1959" s="120"/>
      <c r="N1959" s="29"/>
      <c r="O1959" s="29" t="s">
        <v>170</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170</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170</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170</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170</v>
      </c>
      <c r="P1964" s="120"/>
      <c r="Q1964" s="81"/>
      <c r="R1964" s="29">
        <v>237</v>
      </c>
      <c r="S1964" s="123" t="s">
        <v>1295</v>
      </c>
    </row>
    <row r="1965" spans="1:19" hidden="1">
      <c r="A1965" s="134" t="s">
        <v>328</v>
      </c>
      <c r="C1965" s="29">
        <v>84501054</v>
      </c>
      <c r="D1965" s="29"/>
      <c r="F1965" s="29" t="s">
        <v>1047</v>
      </c>
      <c r="G1965" s="29" t="s">
        <v>823</v>
      </c>
      <c r="H1965" s="29" t="s">
        <v>38</v>
      </c>
      <c r="I1965" s="120">
        <v>45741</v>
      </c>
      <c r="J1965" s="120">
        <f>WORKDAY(I1965, 3)</f>
        <v>45744</v>
      </c>
      <c r="K1965" s="120"/>
      <c r="L1965" s="120"/>
      <c r="M1965" s="120"/>
      <c r="N1965" s="120">
        <v>45743</v>
      </c>
      <c r="O1965" s="29" t="s">
        <v>170</v>
      </c>
      <c r="P1965" s="120"/>
      <c r="Q1965" s="81"/>
      <c r="R1965" s="29">
        <v>450</v>
      </c>
      <c r="S1965" s="123" t="s">
        <v>1296</v>
      </c>
    </row>
    <row r="1966" spans="1:19" hidden="1">
      <c r="A1966" s="134" t="s">
        <v>328</v>
      </c>
      <c r="C1966" s="29">
        <v>84501078</v>
      </c>
      <c r="D1966" s="29"/>
      <c r="F1966" s="29" t="s">
        <v>1047</v>
      </c>
      <c r="G1966" s="29" t="s">
        <v>823</v>
      </c>
      <c r="H1966" s="29" t="s">
        <v>38</v>
      </c>
      <c r="I1966" s="120">
        <v>45741</v>
      </c>
      <c r="J1966" s="120">
        <f>WORKDAY(I1966, 3)</f>
        <v>45744</v>
      </c>
      <c r="K1966" s="120"/>
      <c r="L1966" s="120"/>
      <c r="M1966" s="120"/>
      <c r="N1966" s="120">
        <v>45743</v>
      </c>
      <c r="O1966" s="29" t="s">
        <v>170</v>
      </c>
      <c r="P1966" s="120"/>
      <c r="Q1966" s="81"/>
      <c r="R1966" s="29">
        <v>400</v>
      </c>
      <c r="S1966" s="123" t="s">
        <v>1296</v>
      </c>
    </row>
    <row r="1967" spans="1:19" hidden="1">
      <c r="A1967" s="134" t="s">
        <v>438</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438</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438</v>
      </c>
      <c r="C1969" s="29">
        <v>86501321</v>
      </c>
      <c r="D1969" s="29"/>
      <c r="F1969" s="29" t="s">
        <v>1047</v>
      </c>
      <c r="G1969" s="29" t="s">
        <v>823</v>
      </c>
      <c r="H1969" s="29" t="s">
        <v>38</v>
      </c>
      <c r="I1969" s="120">
        <v>45743</v>
      </c>
      <c r="J1969" s="120">
        <f>WORKDAY(I1969, 3)</f>
        <v>45748</v>
      </c>
      <c r="K1969" s="120"/>
      <c r="L1969" s="120"/>
      <c r="M1969" s="120"/>
      <c r="N1969" s="29"/>
      <c r="O1969" s="29" t="s">
        <v>170</v>
      </c>
      <c r="P1969" s="120"/>
      <c r="Q1969" s="81"/>
      <c r="R1969" s="29">
        <v>300</v>
      </c>
    </row>
    <row r="1970" spans="1:18" hidden="1">
      <c r="A1970" s="134" t="s">
        <v>438</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438</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369</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170</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170</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170</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170</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170</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170</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170</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170</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170</v>
      </c>
      <c r="P1981" s="120"/>
      <c r="Q1981" s="81"/>
      <c r="R1981" s="29">
        <v>303</v>
      </c>
    </row>
    <row r="1982" spans="1:18" hidden="1">
      <c r="A1982" s="134" t="s">
        <v>1298</v>
      </c>
      <c r="C1982" s="29">
        <v>87501989</v>
      </c>
      <c r="D1982" s="29"/>
      <c r="F1982" s="29" t="s">
        <v>76</v>
      </c>
      <c r="G1982" s="29" t="s">
        <v>823</v>
      </c>
      <c r="H1982" s="29" t="s">
        <v>77</v>
      </c>
      <c r="I1982" s="120">
        <v>45744</v>
      </c>
      <c r="J1982" s="120">
        <f>WORKDAY(I1982, 3)</f>
        <v>45749</v>
      </c>
      <c r="K1982" s="120"/>
      <c r="L1982" s="120"/>
      <c r="M1982" s="120"/>
      <c r="N1982" s="29"/>
      <c r="O1982" s="29" t="s">
        <v>170</v>
      </c>
      <c r="P1982" s="120"/>
      <c r="Q1982" s="81"/>
      <c r="R1982" s="29">
        <v>1300</v>
      </c>
    </row>
    <row r="1983" spans="1:18" hidden="1">
      <c r="A1983" s="134" t="s">
        <v>1298</v>
      </c>
      <c r="C1983" s="29">
        <v>87502260</v>
      </c>
      <c r="D1983" s="29"/>
      <c r="F1983" s="29" t="s">
        <v>76</v>
      </c>
      <c r="G1983" s="29" t="s">
        <v>823</v>
      </c>
      <c r="H1983" s="29" t="s">
        <v>77</v>
      </c>
      <c r="I1983" s="120">
        <v>45744</v>
      </c>
      <c r="J1983" s="120">
        <f>WORKDAY(I1983, 3)</f>
        <v>45749</v>
      </c>
      <c r="K1983" s="120"/>
      <c r="L1983" s="120"/>
      <c r="M1983" s="120"/>
      <c r="N1983" s="29"/>
      <c r="O1983" s="29" t="s">
        <v>170</v>
      </c>
      <c r="P1983" s="120"/>
      <c r="Q1983" s="81"/>
      <c r="R1983" s="29">
        <v>1200</v>
      </c>
    </row>
    <row r="1984" spans="1:18" hidden="1">
      <c r="A1984" s="134" t="s">
        <v>1298</v>
      </c>
      <c r="C1984" s="29">
        <v>87502378</v>
      </c>
      <c r="D1984" s="29"/>
      <c r="F1984" s="29" t="s">
        <v>76</v>
      </c>
      <c r="G1984" s="29" t="s">
        <v>823</v>
      </c>
      <c r="H1984" s="29" t="s">
        <v>77</v>
      </c>
      <c r="I1984" s="120">
        <v>45744</v>
      </c>
      <c r="J1984" s="120">
        <f>WORKDAY(I1984, 3)</f>
        <v>45749</v>
      </c>
      <c r="K1984" s="120"/>
      <c r="L1984" s="120"/>
      <c r="M1984" s="120"/>
      <c r="N1984" s="29"/>
      <c r="O1984" s="29" t="s">
        <v>170</v>
      </c>
      <c r="P1984" s="120"/>
      <c r="Q1984" s="81"/>
      <c r="R1984" s="29">
        <v>515</v>
      </c>
    </row>
    <row r="1985" spans="1:24" hidden="1">
      <c r="A1985" s="134" t="s">
        <v>1298</v>
      </c>
      <c r="C1985" s="29">
        <v>87502176</v>
      </c>
      <c r="D1985" s="29"/>
      <c r="F1985" s="29" t="s">
        <v>76</v>
      </c>
      <c r="G1985" s="29" t="s">
        <v>823</v>
      </c>
      <c r="H1985" s="29" t="s">
        <v>77</v>
      </c>
      <c r="I1985" s="120">
        <v>45744</v>
      </c>
      <c r="J1985" s="120">
        <f>WORKDAY(I1985, 3)</f>
        <v>45749</v>
      </c>
      <c r="K1985" s="120"/>
      <c r="L1985" s="120"/>
      <c r="M1985" s="120"/>
      <c r="N1985" s="29"/>
      <c r="O1985" s="29" t="s">
        <v>170</v>
      </c>
      <c r="P1985" s="120"/>
      <c r="Q1985" s="81"/>
      <c r="R1985" s="29">
        <v>1320</v>
      </c>
    </row>
    <row r="1986" spans="1:24" hidden="1">
      <c r="A1986" s="134" t="s">
        <v>1298</v>
      </c>
      <c r="C1986" s="29">
        <v>87502051</v>
      </c>
      <c r="D1986" s="29"/>
      <c r="F1986" s="29" t="s">
        <v>76</v>
      </c>
      <c r="G1986" s="29" t="s">
        <v>823</v>
      </c>
      <c r="H1986" s="29" t="s">
        <v>77</v>
      </c>
      <c r="I1986" s="120">
        <v>45744</v>
      </c>
      <c r="J1986" s="120">
        <f>WORKDAY(I1986, 3)</f>
        <v>45749</v>
      </c>
      <c r="K1986" s="120"/>
      <c r="L1986" s="120"/>
      <c r="M1986" s="120"/>
      <c r="N1986" s="29"/>
      <c r="O1986" s="29" t="s">
        <v>170</v>
      </c>
      <c r="P1986" s="120"/>
      <c r="Q1986" s="81"/>
      <c r="R1986" s="29">
        <v>1200</v>
      </c>
    </row>
    <row r="1987" spans="1:24" hidden="1">
      <c r="A1987" s="134" t="s">
        <v>1193</v>
      </c>
      <c r="C1987" s="29">
        <v>90503907</v>
      </c>
      <c r="D1987" s="29"/>
      <c r="F1987" s="29" t="s">
        <v>87</v>
      </c>
      <c r="G1987" s="29" t="s">
        <v>823</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1178</v>
      </c>
      <c r="C1988" s="29">
        <v>90501769</v>
      </c>
      <c r="D1988" s="29"/>
      <c r="F1988" s="29" t="s">
        <v>76</v>
      </c>
      <c r="G1988" s="29" t="s">
        <v>823</v>
      </c>
      <c r="H1988" s="29" t="s">
        <v>77</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87</v>
      </c>
      <c r="G1992" s="29" t="s">
        <v>823</v>
      </c>
      <c r="H1992" s="29" t="s">
        <v>38</v>
      </c>
      <c r="I1992" s="120">
        <v>45751</v>
      </c>
      <c r="J1992" s="120">
        <f>WORKDAY(I1992, 3)</f>
        <v>45756</v>
      </c>
      <c r="K1992" s="120"/>
      <c r="L1992" s="120"/>
      <c r="M1992" s="120"/>
      <c r="N1992" s="29"/>
      <c r="O1992" s="29" t="s">
        <v>170</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170</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170</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170</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170</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170</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170</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170</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170</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170</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170</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170</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170</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170</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170</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170</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170</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170</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170</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170</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170</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170</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170</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170</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170</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170</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170</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170</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170</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170</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170</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170</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170</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170</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170</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170</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170</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170</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170</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170</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170</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170</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170</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170</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170</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170</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222</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170</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170</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290</v>
      </c>
      <c r="C2061" s="29">
        <v>106500474</v>
      </c>
      <c r="D2061" s="29"/>
      <c r="F2061" s="29" t="s">
        <v>87</v>
      </c>
      <c r="G2061" s="29" t="s">
        <v>823</v>
      </c>
      <c r="H2061" s="29" t="s">
        <v>38</v>
      </c>
      <c r="I2061" s="120">
        <v>45763</v>
      </c>
      <c r="J2061" s="120">
        <f>WORKDAY(I2061, 3)</f>
        <v>45768</v>
      </c>
      <c r="K2061" s="120"/>
      <c r="L2061" s="120"/>
      <c r="M2061" s="120"/>
      <c r="N2061" s="29"/>
      <c r="O2061" s="29" t="s">
        <v>170</v>
      </c>
      <c r="P2061" s="120"/>
      <c r="Q2061" s="81" t="s">
        <v>1337</v>
      </c>
      <c r="R2061" s="29">
        <v>260</v>
      </c>
      <c r="S2061" s="124" t="s">
        <v>1338</v>
      </c>
    </row>
    <row r="2062" spans="1:19" ht="57.75" hidden="1">
      <c r="A2062" s="134" t="s">
        <v>290</v>
      </c>
      <c r="C2062" s="29">
        <v>93500953</v>
      </c>
      <c r="D2062" s="29"/>
      <c r="F2062" s="29" t="s">
        <v>87</v>
      </c>
      <c r="G2062" s="29" t="s">
        <v>823</v>
      </c>
      <c r="H2062" s="29" t="s">
        <v>38</v>
      </c>
      <c r="I2062" s="120">
        <v>45750</v>
      </c>
      <c r="J2062" s="120">
        <f>WORKDAY(I2062, 3)</f>
        <v>45755</v>
      </c>
      <c r="K2062" s="120"/>
      <c r="L2062" s="120"/>
      <c r="M2062" s="120"/>
      <c r="N2062" s="29"/>
      <c r="O2062" s="29" t="s">
        <v>170</v>
      </c>
      <c r="P2062" s="120"/>
      <c r="Q2062" s="138" t="s">
        <v>1339</v>
      </c>
      <c r="R2062" s="29">
        <v>210</v>
      </c>
      <c r="S2062" s="124" t="s">
        <v>1340</v>
      </c>
    </row>
    <row r="2063" spans="1:19" hidden="1">
      <c r="A2063" s="134" t="s">
        <v>290</v>
      </c>
      <c r="C2063" s="29">
        <v>98505401</v>
      </c>
      <c r="D2063" s="29"/>
      <c r="F2063" s="29" t="s">
        <v>87</v>
      </c>
      <c r="G2063" s="29" t="s">
        <v>823</v>
      </c>
      <c r="H2063" s="29" t="s">
        <v>38</v>
      </c>
      <c r="I2063" s="120">
        <v>45755</v>
      </c>
      <c r="J2063" s="120">
        <f>WORKDAY(I2063, 3)</f>
        <v>45758</v>
      </c>
      <c r="K2063" s="120"/>
      <c r="L2063" s="120"/>
      <c r="M2063" s="120"/>
      <c r="N2063" s="29"/>
      <c r="O2063" s="29" t="s">
        <v>170</v>
      </c>
      <c r="P2063" s="120"/>
      <c r="Q2063" s="81"/>
      <c r="R2063" s="29">
        <v>70</v>
      </c>
      <c r="S2063" s="124" t="s">
        <v>1341</v>
      </c>
    </row>
    <row r="2064" spans="1:19" hidden="1">
      <c r="A2064" s="134" t="s">
        <v>290</v>
      </c>
      <c r="C2064" s="29">
        <v>98505823</v>
      </c>
      <c r="D2064" s="29"/>
      <c r="F2064" s="29" t="s">
        <v>87</v>
      </c>
      <c r="G2064" s="29" t="s">
        <v>823</v>
      </c>
      <c r="H2064" s="29" t="s">
        <v>38</v>
      </c>
      <c r="I2064" s="120">
        <v>45755</v>
      </c>
      <c r="J2064" s="120">
        <f>WORKDAY(I2064, 3)</f>
        <v>45758</v>
      </c>
      <c r="K2064" s="120"/>
      <c r="L2064" s="120"/>
      <c r="M2064" s="120"/>
      <c r="N2064" s="29"/>
      <c r="O2064" s="29" t="s">
        <v>170</v>
      </c>
      <c r="P2064" s="120"/>
      <c r="Q2064" s="81"/>
      <c r="R2064" s="29">
        <v>165</v>
      </c>
    </row>
    <row r="2065" spans="1:19" hidden="1">
      <c r="A2065" s="134" t="s">
        <v>290</v>
      </c>
      <c r="C2065" s="29">
        <v>99501174</v>
      </c>
      <c r="D2065" s="29"/>
      <c r="F2065" s="29" t="s">
        <v>87</v>
      </c>
      <c r="G2065" s="29" t="s">
        <v>823</v>
      </c>
      <c r="H2065" s="29" t="s">
        <v>38</v>
      </c>
      <c r="I2065" s="120">
        <v>45756</v>
      </c>
      <c r="J2065" s="120">
        <f>WORKDAY(I2065, 3)</f>
        <v>45761</v>
      </c>
      <c r="K2065" s="120"/>
      <c r="L2065" s="120"/>
      <c r="M2065" s="120"/>
      <c r="N2065" s="29"/>
      <c r="O2065" s="29" t="s">
        <v>170</v>
      </c>
      <c r="P2065" s="120"/>
      <c r="Q2065" s="81" t="s">
        <v>1342</v>
      </c>
      <c r="R2065" s="29">
        <v>320</v>
      </c>
      <c r="S2065" s="159" t="s">
        <v>1343</v>
      </c>
    </row>
    <row r="2066" spans="1:19" hidden="1">
      <c r="A2066" s="134" t="s">
        <v>290</v>
      </c>
      <c r="C2066" s="29">
        <v>101502482</v>
      </c>
      <c r="D2066" s="29"/>
      <c r="F2066" s="29" t="s">
        <v>87</v>
      </c>
      <c r="G2066" s="29" t="s">
        <v>823</v>
      </c>
      <c r="H2066" s="29" t="s">
        <v>38</v>
      </c>
      <c r="I2066" s="120">
        <v>45758</v>
      </c>
      <c r="J2066" s="120">
        <f>WORKDAY(I2066, 3)</f>
        <v>45763</v>
      </c>
      <c r="K2066" s="120"/>
      <c r="L2066" s="120"/>
      <c r="M2066" s="120"/>
      <c r="N2066" s="29"/>
      <c r="O2066" s="29" t="s">
        <v>170</v>
      </c>
      <c r="P2066" s="120"/>
      <c r="Q2066" s="81" t="s">
        <v>1344</v>
      </c>
      <c r="R2066" s="29">
        <v>200</v>
      </c>
      <c r="S2066" s="124" t="s">
        <v>1345</v>
      </c>
    </row>
    <row r="2067" spans="1:19" hidden="1">
      <c r="A2067" s="134" t="s">
        <v>290</v>
      </c>
      <c r="C2067" s="29">
        <v>101503453</v>
      </c>
      <c r="D2067" s="29"/>
      <c r="F2067" s="29" t="s">
        <v>87</v>
      </c>
      <c r="G2067" s="29" t="s">
        <v>823</v>
      </c>
      <c r="H2067" s="29" t="s">
        <v>38</v>
      </c>
      <c r="I2067" s="120">
        <v>45758</v>
      </c>
      <c r="J2067" s="120">
        <f>WORKDAY(I2067, 3)</f>
        <v>45763</v>
      </c>
      <c r="K2067" s="120"/>
      <c r="L2067" s="120"/>
      <c r="M2067" s="120"/>
      <c r="N2067" s="29"/>
      <c r="O2067" s="29" t="s">
        <v>170</v>
      </c>
      <c r="P2067" s="120"/>
      <c r="Q2067" s="81" t="s">
        <v>1346</v>
      </c>
      <c r="R2067" s="29">
        <v>330</v>
      </c>
      <c r="S2067" s="124" t="s">
        <v>1347</v>
      </c>
    </row>
    <row r="2068" spans="1:19" hidden="1">
      <c r="A2068" s="134" t="s">
        <v>290</v>
      </c>
      <c r="C2068" s="29">
        <v>101503999</v>
      </c>
      <c r="D2068" s="29"/>
      <c r="F2068" s="29" t="s">
        <v>87</v>
      </c>
      <c r="G2068" s="29" t="s">
        <v>823</v>
      </c>
      <c r="H2068" s="29" t="s">
        <v>38</v>
      </c>
      <c r="I2068" s="120">
        <v>45758</v>
      </c>
      <c r="J2068" s="120">
        <f>WORKDAY(I2068, 3)</f>
        <v>45763</v>
      </c>
      <c r="K2068" s="120"/>
      <c r="L2068" s="120"/>
      <c r="M2068" s="120"/>
      <c r="N2068" s="120">
        <v>45763</v>
      </c>
      <c r="O2068" s="29" t="s">
        <v>170</v>
      </c>
      <c r="P2068" s="120"/>
      <c r="Q2068" s="81" t="s">
        <v>1348</v>
      </c>
      <c r="R2068" s="29">
        <v>250</v>
      </c>
      <c r="S2068" s="124" t="s">
        <v>1349</v>
      </c>
    </row>
    <row r="2069" spans="1:19" hidden="1">
      <c r="A2069" s="134" t="s">
        <v>290</v>
      </c>
      <c r="C2069" s="29">
        <v>106500950</v>
      </c>
      <c r="D2069" s="29"/>
      <c r="F2069" s="29"/>
      <c r="G2069" s="29" t="s">
        <v>823</v>
      </c>
      <c r="H2069" s="29" t="s">
        <v>38</v>
      </c>
      <c r="I2069" s="120">
        <v>45763</v>
      </c>
      <c r="J2069" s="120">
        <f>WORKDAY(I2069, 3)</f>
        <v>45768</v>
      </c>
      <c r="K2069" s="120"/>
      <c r="L2069" s="120"/>
      <c r="M2069" s="120"/>
      <c r="N2069" s="29"/>
      <c r="O2069" s="29" t="s">
        <v>170</v>
      </c>
      <c r="P2069" s="120"/>
      <c r="Q2069" s="81" t="s">
        <v>1350</v>
      </c>
      <c r="R2069" s="29">
        <v>345</v>
      </c>
      <c r="S2069" s="124" t="s">
        <v>1351</v>
      </c>
    </row>
    <row r="2070" spans="1:19" hidden="1">
      <c r="A2070" s="134" t="s">
        <v>290</v>
      </c>
      <c r="C2070" s="29">
        <v>107501877</v>
      </c>
      <c r="D2070" s="29"/>
      <c r="F2070" s="29" t="s">
        <v>87</v>
      </c>
      <c r="G2070" s="29" t="s">
        <v>823</v>
      </c>
      <c r="H2070" s="29" t="s">
        <v>38</v>
      </c>
      <c r="I2070" s="120">
        <v>45764</v>
      </c>
      <c r="J2070" s="120">
        <f>WORKDAY(I2070, 3)</f>
        <v>45769</v>
      </c>
      <c r="K2070" s="120"/>
      <c r="L2070" s="120"/>
      <c r="M2070" s="120"/>
      <c r="N2070" s="29"/>
      <c r="O2070" s="29" t="s">
        <v>170</v>
      </c>
      <c r="P2070" s="120"/>
      <c r="Q2070" s="81"/>
      <c r="R2070" s="29">
        <v>250</v>
      </c>
      <c r="S2070" s="124" t="s">
        <v>1352</v>
      </c>
    </row>
    <row r="2071" spans="1:19" hidden="1">
      <c r="A2071" s="134" t="s">
        <v>290</v>
      </c>
      <c r="C2071" s="29">
        <v>107502240</v>
      </c>
      <c r="D2071" s="29"/>
      <c r="F2071" s="29" t="s">
        <v>87</v>
      </c>
      <c r="G2071" s="29" t="s">
        <v>823</v>
      </c>
      <c r="H2071" s="29" t="s">
        <v>38</v>
      </c>
      <c r="I2071" s="120">
        <v>45764</v>
      </c>
      <c r="J2071" s="120">
        <f>WORKDAY(I2071, 3)</f>
        <v>45769</v>
      </c>
      <c r="K2071" s="120"/>
      <c r="L2071" s="120"/>
      <c r="M2071" s="120"/>
      <c r="N2071" s="29"/>
      <c r="O2071" s="29" t="s">
        <v>170</v>
      </c>
      <c r="P2071" s="120"/>
      <c r="Q2071" s="81"/>
      <c r="R2071" s="29">
        <v>100</v>
      </c>
      <c r="S2071" s="124" t="s">
        <v>1276</v>
      </c>
    </row>
    <row r="2072" spans="1:19" hidden="1">
      <c r="A2072" s="134" t="s">
        <v>290</v>
      </c>
      <c r="C2072" s="29">
        <v>111500938</v>
      </c>
      <c r="D2072" s="29"/>
      <c r="F2072" s="29" t="s">
        <v>87</v>
      </c>
      <c r="G2072" s="29" t="s">
        <v>823</v>
      </c>
      <c r="H2072" s="29" t="s">
        <v>38</v>
      </c>
      <c r="I2072" s="120">
        <v>45768</v>
      </c>
      <c r="J2072" s="120">
        <f>WORKDAY(I2072, 3)</f>
        <v>45771</v>
      </c>
      <c r="K2072" s="120"/>
      <c r="L2072" s="120"/>
      <c r="M2072" s="120"/>
      <c r="N2072" s="29"/>
      <c r="O2072" s="29" t="s">
        <v>170</v>
      </c>
      <c r="P2072" s="120"/>
      <c r="Q2072" s="81" t="s">
        <v>1353</v>
      </c>
      <c r="R2072" s="29">
        <v>160</v>
      </c>
      <c r="S2072" s="124" t="s">
        <v>1354</v>
      </c>
    </row>
    <row r="2073" spans="1:19" hidden="1">
      <c r="A2073" s="134" t="s">
        <v>290</v>
      </c>
      <c r="C2073" s="29">
        <v>111506803</v>
      </c>
      <c r="D2073" s="29"/>
      <c r="F2073" s="29" t="s">
        <v>87</v>
      </c>
      <c r="G2073" s="29" t="s">
        <v>823</v>
      </c>
      <c r="H2073" s="29" t="s">
        <v>38</v>
      </c>
      <c r="I2073" s="120">
        <v>45768</v>
      </c>
      <c r="J2073" s="120">
        <f>WORKDAY(I2073, 3)</f>
        <v>45771</v>
      </c>
      <c r="K2073" s="120"/>
      <c r="L2073" s="120"/>
      <c r="M2073" s="120"/>
      <c r="N2073" s="29"/>
      <c r="O2073" s="29" t="s">
        <v>170</v>
      </c>
      <c r="P2073" s="120"/>
      <c r="Q2073" s="81" t="s">
        <v>1348</v>
      </c>
      <c r="R2073" s="29">
        <v>200</v>
      </c>
      <c r="S2073" s="124" t="s">
        <v>1355</v>
      </c>
    </row>
    <row r="2074" spans="1:19" hidden="1">
      <c r="A2074" s="134" t="s">
        <v>290</v>
      </c>
      <c r="C2074" s="29">
        <v>111506867</v>
      </c>
      <c r="D2074" s="29"/>
      <c r="F2074" s="29" t="s">
        <v>87</v>
      </c>
      <c r="G2074" s="29" t="s">
        <v>823</v>
      </c>
      <c r="H2074" s="29" t="s">
        <v>38</v>
      </c>
      <c r="I2074" s="120">
        <v>45768</v>
      </c>
      <c r="J2074" s="120">
        <f>WORKDAY(I2074, 3)</f>
        <v>45771</v>
      </c>
      <c r="K2074" s="120"/>
      <c r="L2074" s="120"/>
      <c r="M2074" s="120"/>
      <c r="N2074" s="29"/>
      <c r="O2074" s="29" t="s">
        <v>170</v>
      </c>
      <c r="P2074" s="120"/>
      <c r="Q2074" s="81"/>
      <c r="R2074" s="29">
        <v>120</v>
      </c>
      <c r="S2074" s="124" t="s">
        <v>1356</v>
      </c>
    </row>
    <row r="2075" spans="1:19" hidden="1">
      <c r="A2075" s="134" t="s">
        <v>290</v>
      </c>
      <c r="C2075" s="29">
        <v>111506944</v>
      </c>
      <c r="D2075" s="29"/>
      <c r="F2075" s="29" t="s">
        <v>87</v>
      </c>
      <c r="G2075" s="29" t="s">
        <v>823</v>
      </c>
      <c r="H2075" s="29" t="s">
        <v>38</v>
      </c>
      <c r="I2075" s="120">
        <v>45768</v>
      </c>
      <c r="J2075" s="120">
        <f>WORKDAY(I2075, 3)</f>
        <v>45771</v>
      </c>
      <c r="K2075" s="120"/>
      <c r="L2075" s="120"/>
      <c r="M2075" s="120"/>
      <c r="N2075" s="29"/>
      <c r="O2075" s="29" t="s">
        <v>170</v>
      </c>
      <c r="P2075" s="120"/>
      <c r="Q2075" s="81"/>
      <c r="R2075" s="29">
        <v>260</v>
      </c>
      <c r="S2075" s="124" t="s">
        <v>1356</v>
      </c>
    </row>
    <row r="2076" spans="1:19" hidden="1">
      <c r="A2076" s="134" t="s">
        <v>290</v>
      </c>
      <c r="C2076" s="29">
        <v>118500711</v>
      </c>
      <c r="D2076" s="29"/>
      <c r="F2076" s="29" t="s">
        <v>87</v>
      </c>
      <c r="G2076" s="29" t="s">
        <v>823</v>
      </c>
      <c r="H2076" s="29" t="s">
        <v>38</v>
      </c>
      <c r="I2076" s="120">
        <v>45772</v>
      </c>
      <c r="J2076" s="120">
        <f>WORKDAY(I2076, 3)</f>
        <v>45777</v>
      </c>
      <c r="K2076" s="120"/>
      <c r="L2076" s="120"/>
      <c r="M2076" s="120"/>
      <c r="N2076" s="29"/>
      <c r="O2076" s="29" t="s">
        <v>170</v>
      </c>
      <c r="P2076" s="120"/>
      <c r="Q2076" s="81"/>
      <c r="R2076" s="150">
        <v>90</v>
      </c>
    </row>
    <row r="2077" spans="1:19" hidden="1">
      <c r="A2077" s="134" t="s">
        <v>290</v>
      </c>
      <c r="C2077" s="29">
        <v>118500746</v>
      </c>
      <c r="D2077" s="29"/>
      <c r="F2077" s="29" t="s">
        <v>87</v>
      </c>
      <c r="G2077" s="29" t="s">
        <v>823</v>
      </c>
      <c r="H2077" s="29" t="s">
        <v>38</v>
      </c>
      <c r="I2077" s="120">
        <v>45772</v>
      </c>
      <c r="J2077" s="120">
        <f>WORKDAY(I2077, 3)</f>
        <v>45777</v>
      </c>
      <c r="K2077" s="120"/>
      <c r="L2077" s="120"/>
      <c r="M2077" s="120"/>
      <c r="N2077" s="29"/>
      <c r="O2077" s="29" t="s">
        <v>222</v>
      </c>
      <c r="P2077" s="29"/>
      <c r="Q2077" s="81"/>
      <c r="R2077" s="150">
        <v>100</v>
      </c>
    </row>
    <row r="2078" spans="1:19" hidden="1">
      <c r="A2078" s="134" t="s">
        <v>1357</v>
      </c>
      <c r="C2078" s="29">
        <v>104503569</v>
      </c>
      <c r="D2078" s="29"/>
      <c r="F2078" s="29" t="s">
        <v>87</v>
      </c>
      <c r="G2078" s="29" t="s">
        <v>823</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1357</v>
      </c>
      <c r="C2079" s="29">
        <v>104503608</v>
      </c>
      <c r="D2079" s="29"/>
      <c r="F2079" s="29" t="s">
        <v>87</v>
      </c>
      <c r="G2079" s="29" t="s">
        <v>823</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1357</v>
      </c>
      <c r="C2080" s="29">
        <v>104503640</v>
      </c>
      <c r="D2080" s="29"/>
      <c r="F2080" s="29" t="s">
        <v>87</v>
      </c>
      <c r="G2080" s="29" t="s">
        <v>823</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1357</v>
      </c>
      <c r="C2081" s="29">
        <v>104503706</v>
      </c>
      <c r="D2081" s="29"/>
      <c r="F2081" s="29" t="s">
        <v>87</v>
      </c>
      <c r="G2081" s="29" t="s">
        <v>823</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1357</v>
      </c>
      <c r="C2082" s="29">
        <v>104503745</v>
      </c>
      <c r="D2082" s="29"/>
      <c r="F2082" s="29" t="s">
        <v>87</v>
      </c>
      <c r="G2082" s="29" t="s">
        <v>823</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1357</v>
      </c>
      <c r="C2083" s="29">
        <v>104503779</v>
      </c>
      <c r="D2083" s="29"/>
      <c r="F2083" s="29" t="s">
        <v>87</v>
      </c>
      <c r="G2083" s="29" t="s">
        <v>823</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1162</v>
      </c>
      <c r="C2084" s="29">
        <v>104503876</v>
      </c>
      <c r="D2084" s="29"/>
      <c r="F2084" s="29" t="s">
        <v>87</v>
      </c>
      <c r="G2084" s="29" t="s">
        <v>823</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1162</v>
      </c>
      <c r="C2085" s="29">
        <v>104503914</v>
      </c>
      <c r="D2085" s="29"/>
      <c r="F2085" s="29" t="s">
        <v>87</v>
      </c>
      <c r="G2085" s="29" t="s">
        <v>823</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1162</v>
      </c>
      <c r="C2086" s="29">
        <v>104503956</v>
      </c>
      <c r="D2086" s="29"/>
      <c r="F2086" s="29" t="s">
        <v>87</v>
      </c>
      <c r="G2086" s="29" t="s">
        <v>823</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1149</v>
      </c>
      <c r="C2087" s="29">
        <v>101500441</v>
      </c>
      <c r="D2087" s="29"/>
      <c r="F2087" s="29" t="s">
        <v>87</v>
      </c>
      <c r="G2087" s="29" t="s">
        <v>823</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1149</v>
      </c>
      <c r="C2088" s="29">
        <v>101500516</v>
      </c>
      <c r="D2088" s="29"/>
      <c r="F2088" s="29" t="s">
        <v>87</v>
      </c>
      <c r="G2088" s="29" t="s">
        <v>823</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1149</v>
      </c>
      <c r="C2089" s="29">
        <v>101500590</v>
      </c>
      <c r="D2089" s="29"/>
      <c r="F2089" s="29" t="s">
        <v>87</v>
      </c>
      <c r="G2089" s="29" t="s">
        <v>823</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1149</v>
      </c>
      <c r="C2090" s="29">
        <v>101500702</v>
      </c>
      <c r="D2090" s="29"/>
      <c r="F2090" s="29" t="s">
        <v>87</v>
      </c>
      <c r="G2090" s="29" t="s">
        <v>823</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1149</v>
      </c>
      <c r="C2091" s="29">
        <v>101500797</v>
      </c>
      <c r="D2091" s="29"/>
      <c r="F2091" s="29" t="s">
        <v>87</v>
      </c>
      <c r="G2091" s="29" t="s">
        <v>823</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1149</v>
      </c>
      <c r="C2092" s="29">
        <v>101500817</v>
      </c>
      <c r="D2092" s="29"/>
      <c r="F2092" s="29" t="s">
        <v>87</v>
      </c>
      <c r="G2092" s="29" t="s">
        <v>823</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1149</v>
      </c>
      <c r="C2093" s="29">
        <v>101500843</v>
      </c>
      <c r="D2093" s="29"/>
      <c r="F2093" s="29" t="s">
        <v>87</v>
      </c>
      <c r="G2093" s="29" t="s">
        <v>823</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1358</v>
      </c>
      <c r="C2094" s="29">
        <v>101500957</v>
      </c>
      <c r="D2094" s="29"/>
      <c r="F2094" s="29" t="s">
        <v>87</v>
      </c>
      <c r="G2094" s="29" t="s">
        <v>823</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1358</v>
      </c>
      <c r="C2095" s="29">
        <v>101500993</v>
      </c>
      <c r="D2095" s="29"/>
      <c r="F2095" s="29" t="s">
        <v>87</v>
      </c>
      <c r="G2095" s="29" t="s">
        <v>823</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1358</v>
      </c>
      <c r="C2096" s="29">
        <v>101501073</v>
      </c>
      <c r="D2096" s="29"/>
      <c r="F2096" s="29" t="s">
        <v>87</v>
      </c>
      <c r="G2096" s="29" t="s">
        <v>823</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1358</v>
      </c>
      <c r="C2097" s="29">
        <v>101501151</v>
      </c>
      <c r="D2097" s="29"/>
      <c r="F2097" s="29" t="s">
        <v>87</v>
      </c>
      <c r="G2097" s="29" t="s">
        <v>823</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1359</v>
      </c>
      <c r="C2098" s="29">
        <v>101501379</v>
      </c>
      <c r="D2098" s="29"/>
      <c r="F2098" s="29" t="s">
        <v>87</v>
      </c>
      <c r="G2098" s="29" t="s">
        <v>823</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1359</v>
      </c>
      <c r="C2099" s="29">
        <v>101501412</v>
      </c>
      <c r="D2099" s="29"/>
      <c r="F2099" s="29" t="s">
        <v>87</v>
      </c>
      <c r="G2099" s="29" t="s">
        <v>823</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1359</v>
      </c>
      <c r="C2100" s="29">
        <v>101501442</v>
      </c>
      <c r="D2100" s="29"/>
      <c r="F2100" s="29" t="s">
        <v>87</v>
      </c>
      <c r="G2100" s="29" t="s">
        <v>823</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1162</v>
      </c>
      <c r="C2101" s="29">
        <v>101501584</v>
      </c>
      <c r="D2101" s="29"/>
      <c r="F2101" s="29" t="s">
        <v>87</v>
      </c>
      <c r="G2101" s="29" t="s">
        <v>823</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1162</v>
      </c>
      <c r="C2102" s="29">
        <v>101501645</v>
      </c>
      <c r="D2102" s="29"/>
      <c r="F2102" s="29" t="s">
        <v>87</v>
      </c>
      <c r="G2102" s="29" t="s">
        <v>823</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1162</v>
      </c>
      <c r="C2103" s="29">
        <v>101501722</v>
      </c>
      <c r="D2103" s="29"/>
      <c r="F2103" s="29" t="s">
        <v>87</v>
      </c>
      <c r="G2103" s="29" t="s">
        <v>823</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1357</v>
      </c>
      <c r="C2104" s="29">
        <v>101502229</v>
      </c>
      <c r="D2104" s="29"/>
      <c r="F2104" s="29" t="s">
        <v>87</v>
      </c>
      <c r="G2104" s="29" t="s">
        <v>823</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1357</v>
      </c>
      <c r="C2105" s="29">
        <v>101502274</v>
      </c>
      <c r="D2105" s="29"/>
      <c r="F2105" s="29" t="s">
        <v>87</v>
      </c>
      <c r="G2105" s="29" t="s">
        <v>823</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1357</v>
      </c>
      <c r="C2106" s="29">
        <v>101502409</v>
      </c>
      <c r="D2106" s="29"/>
      <c r="F2106" s="29" t="s">
        <v>87</v>
      </c>
      <c r="G2106" s="29" t="s">
        <v>823</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1357</v>
      </c>
      <c r="C2107" s="29">
        <v>101502330</v>
      </c>
      <c r="D2107" s="29"/>
      <c r="F2107" s="29" t="s">
        <v>87</v>
      </c>
      <c r="G2107" s="29" t="s">
        <v>823</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1357</v>
      </c>
      <c r="C2108" s="29">
        <v>101502377</v>
      </c>
      <c r="D2108" s="29"/>
      <c r="F2108" s="29" t="s">
        <v>87</v>
      </c>
      <c r="G2108" s="29" t="s">
        <v>823</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1149</v>
      </c>
      <c r="C2109" s="29">
        <v>100500804</v>
      </c>
      <c r="D2109" s="29"/>
      <c r="F2109" s="29" t="s">
        <v>87</v>
      </c>
      <c r="G2109" s="29" t="s">
        <v>823</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1149</v>
      </c>
      <c r="C2110" s="29">
        <v>100501121</v>
      </c>
      <c r="D2110" s="29"/>
      <c r="F2110" s="29" t="s">
        <v>87</v>
      </c>
      <c r="G2110" s="29" t="s">
        <v>823</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1149</v>
      </c>
      <c r="C2111" s="29">
        <v>100501178</v>
      </c>
      <c r="D2111" s="29"/>
      <c r="F2111" s="29" t="s">
        <v>87</v>
      </c>
      <c r="G2111" s="29" t="s">
        <v>823</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1358</v>
      </c>
      <c r="C2112" s="29">
        <v>100501414</v>
      </c>
      <c r="D2112" s="29"/>
      <c r="F2112" s="29" t="s">
        <v>87</v>
      </c>
      <c r="G2112" s="29" t="s">
        <v>823</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1358</v>
      </c>
      <c r="C2113" s="29">
        <v>100501475</v>
      </c>
      <c r="D2113" s="29"/>
      <c r="F2113" s="29" t="s">
        <v>87</v>
      </c>
      <c r="G2113" s="29" t="s">
        <v>823</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1358</v>
      </c>
      <c r="C2114" s="29">
        <v>100501543</v>
      </c>
      <c r="D2114" s="29"/>
      <c r="F2114" s="29" t="s">
        <v>87</v>
      </c>
      <c r="G2114" s="29" t="s">
        <v>823</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1359</v>
      </c>
      <c r="C2115" s="29">
        <v>100501862</v>
      </c>
      <c r="D2115" s="29"/>
      <c r="F2115" s="29" t="s">
        <v>87</v>
      </c>
      <c r="G2115" s="29" t="s">
        <v>823</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1359</v>
      </c>
      <c r="C2116" s="29">
        <v>100502020</v>
      </c>
      <c r="D2116" s="29"/>
      <c r="F2116" s="29" t="s">
        <v>87</v>
      </c>
      <c r="G2116" s="29" t="s">
        <v>823</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1359</v>
      </c>
      <c r="C2117" s="29">
        <v>100502117</v>
      </c>
      <c r="D2117" s="29"/>
      <c r="F2117" s="29" t="s">
        <v>87</v>
      </c>
      <c r="G2117" s="29" t="s">
        <v>823</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1359</v>
      </c>
      <c r="C2118" s="29">
        <v>100502162</v>
      </c>
      <c r="D2118" s="29"/>
      <c r="F2118" s="29" t="s">
        <v>87</v>
      </c>
      <c r="G2118" s="29" t="s">
        <v>823</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1358</v>
      </c>
      <c r="C2119" s="29">
        <v>101501046</v>
      </c>
      <c r="D2119" s="29"/>
      <c r="F2119" s="29" t="s">
        <v>87</v>
      </c>
      <c r="G2119" s="29" t="s">
        <v>823</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1190</v>
      </c>
      <c r="C2120" s="29">
        <v>100502549</v>
      </c>
      <c r="D2120" s="29"/>
      <c r="F2120" s="29" t="s">
        <v>87</v>
      </c>
      <c r="G2120" s="29" t="s">
        <v>823</v>
      </c>
      <c r="H2120" s="29" t="s">
        <v>38</v>
      </c>
      <c r="I2120" s="120">
        <v>45757</v>
      </c>
      <c r="J2120" s="120">
        <f>WORKDAY(I2120, 3)</f>
        <v>45762</v>
      </c>
      <c r="K2120" s="120"/>
      <c r="L2120" s="120"/>
      <c r="M2120" s="120"/>
      <c r="N2120" s="120">
        <v>45762</v>
      </c>
      <c r="O2120" s="29" t="s">
        <v>170</v>
      </c>
      <c r="P2120" s="120"/>
      <c r="Q2120" s="81"/>
      <c r="R2120" s="29">
        <v>950</v>
      </c>
      <c r="S2120" s="124" t="s">
        <v>928</v>
      </c>
    </row>
    <row r="2121" spans="1:19" hidden="1">
      <c r="A2121" s="134" t="s">
        <v>1357</v>
      </c>
      <c r="C2121" s="29">
        <v>100502739</v>
      </c>
      <c r="D2121" s="29"/>
      <c r="F2121" s="29" t="s">
        <v>87</v>
      </c>
      <c r="G2121" s="29" t="s">
        <v>823</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1357</v>
      </c>
      <c r="C2122" s="29">
        <v>100502761</v>
      </c>
      <c r="D2122" s="29"/>
      <c r="F2122" s="29" t="s">
        <v>87</v>
      </c>
      <c r="G2122" s="29" t="s">
        <v>823</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1162</v>
      </c>
      <c r="C2123" s="29">
        <v>100502338</v>
      </c>
      <c r="D2123" s="29"/>
      <c r="F2123" s="29" t="s">
        <v>87</v>
      </c>
      <c r="G2123" s="29" t="s">
        <v>823</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1162</v>
      </c>
      <c r="C2124" s="29">
        <v>100502409</v>
      </c>
      <c r="D2124" s="29"/>
      <c r="F2124" s="29" t="s">
        <v>87</v>
      </c>
      <c r="G2124" s="29" t="s">
        <v>823</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1058</v>
      </c>
      <c r="C2125" s="29">
        <v>105505153</v>
      </c>
      <c r="D2125" s="29"/>
      <c r="F2125" s="29" t="s">
        <v>87</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87</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87</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87</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87</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87</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87</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87</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87</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87</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87</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87</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87</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87</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290</v>
      </c>
      <c r="C2139" s="29">
        <v>111500902</v>
      </c>
      <c r="D2139" s="29"/>
      <c r="F2139" s="29" t="s">
        <v>87</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87</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87</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87</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87</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87</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87</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87</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87</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87</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87</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87</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87</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87</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87</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87</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87</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87</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87</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87</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87</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87</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87</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87</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87</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87</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87</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87</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87</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87</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87</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87</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87</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290</v>
      </c>
      <c r="C2172" s="29">
        <v>107502870</v>
      </c>
      <c r="D2172" s="29"/>
      <c r="F2172" s="29" t="s">
        <v>87</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311</v>
      </c>
      <c r="C2173" s="29">
        <v>135502167</v>
      </c>
      <c r="D2173" s="29"/>
      <c r="F2173" s="29" t="s">
        <v>1375</v>
      </c>
      <c r="G2173" s="29" t="s">
        <v>823</v>
      </c>
      <c r="H2173" s="29" t="s">
        <v>38</v>
      </c>
      <c r="I2173" s="120">
        <v>45792</v>
      </c>
      <c r="J2173" s="120">
        <f>WORKDAY(I2173, 3)</f>
        <v>45797</v>
      </c>
      <c r="K2173" s="120"/>
      <c r="L2173" s="120"/>
      <c r="M2173" s="120"/>
      <c r="N2173" s="29"/>
      <c r="O2173" s="29" t="s">
        <v>170</v>
      </c>
      <c r="P2173" s="120"/>
      <c r="Q2173" s="81"/>
      <c r="R2173" s="150">
        <v>150</v>
      </c>
    </row>
    <row r="2174" spans="1:19" hidden="1">
      <c r="A2174" s="134" t="s">
        <v>1136</v>
      </c>
      <c r="C2174" s="29">
        <v>125500256</v>
      </c>
      <c r="D2174" s="29"/>
      <c r="F2174" s="29" t="s">
        <v>87</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87</v>
      </c>
      <c r="G2175" s="29" t="s">
        <v>823</v>
      </c>
      <c r="H2175" s="29" t="s">
        <v>38</v>
      </c>
      <c r="I2175" s="120">
        <v>45765</v>
      </c>
      <c r="J2175" s="120">
        <f>WORKDAY(I2175, 3)</f>
        <v>45770</v>
      </c>
      <c r="K2175" s="120"/>
      <c r="L2175" s="120"/>
      <c r="M2175" s="120"/>
      <c r="N2175" s="29"/>
      <c r="O2175" s="29" t="s">
        <v>170</v>
      </c>
      <c r="P2175" s="120"/>
      <c r="Q2175" s="81" t="s">
        <v>1332</v>
      </c>
      <c r="R2175" s="29">
        <v>230</v>
      </c>
    </row>
    <row r="2176" spans="1:19" hidden="1">
      <c r="A2176" s="134" t="s">
        <v>1158</v>
      </c>
      <c r="C2176" s="29">
        <v>107504125</v>
      </c>
      <c r="D2176" s="29"/>
      <c r="F2176" s="29" t="s">
        <v>87</v>
      </c>
      <c r="G2176" s="29" t="s">
        <v>823</v>
      </c>
      <c r="H2176" s="29" t="s">
        <v>38</v>
      </c>
      <c r="I2176" s="120">
        <v>45764</v>
      </c>
      <c r="J2176" s="120">
        <f>WORKDAY(I2176, 3)</f>
        <v>45769</v>
      </c>
      <c r="K2176" s="120"/>
      <c r="L2176" s="120"/>
      <c r="M2176" s="120"/>
      <c r="N2176" s="29"/>
      <c r="O2176" s="29" t="s">
        <v>170</v>
      </c>
      <c r="P2176" s="120"/>
      <c r="Q2176" s="81" t="s">
        <v>1332</v>
      </c>
      <c r="R2176" s="29">
        <v>375</v>
      </c>
    </row>
    <row r="2177" spans="1:18" hidden="1">
      <c r="A2177" s="134" t="s">
        <v>1158</v>
      </c>
      <c r="C2177" s="29">
        <v>107504130</v>
      </c>
      <c r="D2177" s="29"/>
      <c r="F2177" s="29" t="s">
        <v>87</v>
      </c>
      <c r="G2177" s="29" t="s">
        <v>823</v>
      </c>
      <c r="H2177" s="29" t="s">
        <v>38</v>
      </c>
      <c r="I2177" s="120">
        <v>45764</v>
      </c>
      <c r="J2177" s="120">
        <f>WORKDAY(I2177, 3)</f>
        <v>45769</v>
      </c>
      <c r="K2177" s="120"/>
      <c r="L2177" s="120"/>
      <c r="M2177" s="120"/>
      <c r="N2177" s="29"/>
      <c r="O2177" s="29" t="s">
        <v>170</v>
      </c>
      <c r="P2177" s="120"/>
      <c r="Q2177" s="81" t="s">
        <v>1332</v>
      </c>
      <c r="R2177" s="29">
        <v>165</v>
      </c>
    </row>
    <row r="2178" spans="1:18" hidden="1">
      <c r="A2178" s="134" t="s">
        <v>1134</v>
      </c>
      <c r="C2178" s="29">
        <v>105505210</v>
      </c>
      <c r="D2178" s="29"/>
      <c r="F2178" s="29" t="s">
        <v>87</v>
      </c>
      <c r="G2178" s="29" t="s">
        <v>823</v>
      </c>
      <c r="H2178" s="29" t="s">
        <v>38</v>
      </c>
      <c r="I2178" s="120">
        <v>45762</v>
      </c>
      <c r="J2178" s="120">
        <f>WORKDAY(I2178, 3)</f>
        <v>45765</v>
      </c>
      <c r="K2178" s="120"/>
      <c r="L2178" s="120"/>
      <c r="M2178" s="120"/>
      <c r="N2178" s="29"/>
      <c r="O2178" s="29" t="s">
        <v>170</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170</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170</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170</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170</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170</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170</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170</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170</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170</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170</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170</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170</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170</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170</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170</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170</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170</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170</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170</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170</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170</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170</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170</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222</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222</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222</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222</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222</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222</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222</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222</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222</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222</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222</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222</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222</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222</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222</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222</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222</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222</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222</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222</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222</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222</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222</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222</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222</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222</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222</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222</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222</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222</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222</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222</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222</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222</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222</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222</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222</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222</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170</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170</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170</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170</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170</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170</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170</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170</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170</v>
      </c>
      <c r="P2248" s="120"/>
      <c r="Q2248" s="81"/>
      <c r="R2248" s="29"/>
      <c r="S2248" s="123"/>
    </row>
    <row r="2249" spans="1:19" hidden="1">
      <c r="A2249" s="134" t="s">
        <v>1149</v>
      </c>
      <c r="C2249" s="29">
        <v>106501312</v>
      </c>
      <c r="D2249" s="29"/>
      <c r="F2249" s="29" t="s">
        <v>87</v>
      </c>
      <c r="G2249" s="29" t="s">
        <v>823</v>
      </c>
      <c r="H2249" s="29" t="s">
        <v>38</v>
      </c>
      <c r="I2249" s="120">
        <v>45763</v>
      </c>
      <c r="J2249" s="120">
        <f>WORKDAY(I2249, 3)</f>
        <v>45768</v>
      </c>
      <c r="K2249" s="120"/>
      <c r="L2249" s="120"/>
      <c r="M2249" s="120"/>
      <c r="N2249" s="29"/>
      <c r="O2249" s="29" t="s">
        <v>170</v>
      </c>
      <c r="P2249" s="120"/>
      <c r="Q2249" s="81"/>
      <c r="R2249" s="29">
        <v>120</v>
      </c>
    </row>
    <row r="2250" spans="1:19" hidden="1">
      <c r="A2250" s="134" t="s">
        <v>1149</v>
      </c>
      <c r="C2250" s="29">
        <v>104500095</v>
      </c>
      <c r="D2250" s="29"/>
      <c r="F2250" s="29" t="s">
        <v>87</v>
      </c>
      <c r="G2250" s="29" t="s">
        <v>823</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1358</v>
      </c>
      <c r="C2251" s="29">
        <v>104500101</v>
      </c>
      <c r="D2251" s="29"/>
      <c r="F2251" s="29" t="s">
        <v>87</v>
      </c>
      <c r="G2251" s="29" t="s">
        <v>823</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1359</v>
      </c>
      <c r="C2252" s="29">
        <v>104500132</v>
      </c>
      <c r="D2252" s="29"/>
      <c r="F2252" s="29" t="s">
        <v>87</v>
      </c>
      <c r="G2252" s="29" t="s">
        <v>823</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1359</v>
      </c>
      <c r="C2253" s="29">
        <v>104500146</v>
      </c>
      <c r="D2253" s="29"/>
      <c r="F2253" s="29" t="s">
        <v>87</v>
      </c>
      <c r="G2253" s="29" t="s">
        <v>823</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1359</v>
      </c>
      <c r="C2254" s="29">
        <v>104500189</v>
      </c>
      <c r="D2254" s="29"/>
      <c r="F2254" s="29" t="s">
        <v>87</v>
      </c>
      <c r="G2254" s="29" t="s">
        <v>823</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1359</v>
      </c>
      <c r="C2255" s="29">
        <v>104500259</v>
      </c>
      <c r="D2255" s="29"/>
      <c r="F2255" s="29" t="s">
        <v>87</v>
      </c>
      <c r="G2255" s="29" t="s">
        <v>823</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1359</v>
      </c>
      <c r="C2256" s="29">
        <v>104500318</v>
      </c>
      <c r="D2256" s="29"/>
      <c r="F2256" s="29" t="s">
        <v>87</v>
      </c>
      <c r="G2256" s="29" t="s">
        <v>823</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1190</v>
      </c>
      <c r="C2257" s="29">
        <v>104501676</v>
      </c>
      <c r="D2257" s="29"/>
      <c r="F2257" s="29" t="s">
        <v>87</v>
      </c>
      <c r="G2257" s="29" t="s">
        <v>823</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433</v>
      </c>
      <c r="C2258" s="29">
        <v>104502093</v>
      </c>
      <c r="D2258" s="29"/>
      <c r="F2258" s="29" t="s">
        <v>87</v>
      </c>
      <c r="G2258" s="29" t="s">
        <v>823</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1162</v>
      </c>
      <c r="C2259" s="29">
        <v>104503075</v>
      </c>
      <c r="D2259" s="29"/>
      <c r="F2259" s="29" t="s">
        <v>87</v>
      </c>
      <c r="G2259" s="29" t="s">
        <v>823</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1162</v>
      </c>
      <c r="C2260" s="29">
        <v>104503122</v>
      </c>
      <c r="D2260" s="29"/>
      <c r="F2260" s="29" t="s">
        <v>87</v>
      </c>
      <c r="G2260" s="29" t="s">
        <v>823</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1162</v>
      </c>
      <c r="C2261" s="29">
        <v>104503156</v>
      </c>
      <c r="D2261" s="29"/>
      <c r="F2261" s="29" t="s">
        <v>87</v>
      </c>
      <c r="G2261" s="29" t="s">
        <v>823</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1162</v>
      </c>
      <c r="C2262" s="29">
        <v>104503184</v>
      </c>
      <c r="D2262" s="29"/>
      <c r="F2262" s="29" t="s">
        <v>87</v>
      </c>
      <c r="G2262" s="29" t="s">
        <v>823</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1162</v>
      </c>
      <c r="C2263" s="29">
        <v>104503230</v>
      </c>
      <c r="D2263" s="29"/>
      <c r="F2263" s="29" t="s">
        <v>87</v>
      </c>
      <c r="G2263" s="29" t="s">
        <v>823</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1162</v>
      </c>
      <c r="C2264" s="29">
        <v>104503264</v>
      </c>
      <c r="D2264" s="29"/>
      <c r="F2264" s="29" t="s">
        <v>87</v>
      </c>
      <c r="G2264" s="29" t="s">
        <v>823</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1162</v>
      </c>
      <c r="C2265" s="29">
        <v>104503296</v>
      </c>
      <c r="D2265" s="29"/>
      <c r="F2265" s="29" t="s">
        <v>87</v>
      </c>
      <c r="G2265" s="29" t="s">
        <v>823</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1162</v>
      </c>
      <c r="C2266" s="29">
        <v>104503362</v>
      </c>
      <c r="D2266" s="29"/>
      <c r="F2266" s="29" t="s">
        <v>87</v>
      </c>
      <c r="G2266" s="29" t="s">
        <v>823</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1357</v>
      </c>
      <c r="C2267" s="29">
        <v>104503533</v>
      </c>
      <c r="D2267" s="29"/>
      <c r="F2267" s="29" t="s">
        <v>87</v>
      </c>
      <c r="G2267" s="29" t="s">
        <v>823</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975</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87</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87</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87</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87</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87</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87</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87</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87</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87</v>
      </c>
      <c r="G2289" s="29" t="s">
        <v>823</v>
      </c>
      <c r="H2289" s="29" t="s">
        <v>38</v>
      </c>
      <c r="I2289" s="120">
        <v>45768</v>
      </c>
      <c r="J2289" s="120">
        <f>WORKDAY(I2289, 3)</f>
        <v>45771</v>
      </c>
      <c r="K2289" s="120">
        <v>45798</v>
      </c>
      <c r="L2289" s="120"/>
      <c r="M2289" s="120"/>
      <c r="N2289" s="29"/>
      <c r="O2289" s="29" t="s">
        <v>170</v>
      </c>
      <c r="P2289" s="120"/>
      <c r="Q2289" s="81">
        <v>420</v>
      </c>
    </row>
    <row r="2290" spans="1:18" hidden="1">
      <c r="A2290" s="134" t="s">
        <v>1155</v>
      </c>
      <c r="C2290" s="29">
        <v>111500626</v>
      </c>
      <c r="D2290" s="29"/>
      <c r="E2290" s="29"/>
      <c r="F2290" s="29" t="s">
        <v>87</v>
      </c>
      <c r="G2290" s="29" t="s">
        <v>823</v>
      </c>
      <c r="H2290" s="29" t="s">
        <v>38</v>
      </c>
      <c r="I2290" s="120">
        <v>45768</v>
      </c>
      <c r="J2290" s="120">
        <f>WORKDAY(I2290, 3)</f>
        <v>45771</v>
      </c>
      <c r="K2290" s="120">
        <v>45798</v>
      </c>
      <c r="L2290" s="120"/>
      <c r="M2290" s="120"/>
      <c r="N2290" s="29"/>
      <c r="O2290" s="29" t="s">
        <v>170</v>
      </c>
      <c r="P2290" s="120"/>
      <c r="Q2290" s="81">
        <v>160</v>
      </c>
    </row>
    <row r="2291" spans="1:18" hidden="1">
      <c r="A2291" s="134" t="s">
        <v>1155</v>
      </c>
      <c r="C2291" s="29">
        <v>111500677</v>
      </c>
      <c r="D2291" s="29"/>
      <c r="E2291" s="29"/>
      <c r="F2291" s="29" t="s">
        <v>87</v>
      </c>
      <c r="G2291" s="29" t="s">
        <v>823</v>
      </c>
      <c r="H2291" s="29" t="s">
        <v>38</v>
      </c>
      <c r="I2291" s="120">
        <v>45768</v>
      </c>
      <c r="J2291" s="120">
        <f>WORKDAY(I2291, 3)</f>
        <v>45771</v>
      </c>
      <c r="K2291" s="120">
        <v>45798</v>
      </c>
      <c r="L2291" s="120"/>
      <c r="M2291" s="120"/>
      <c r="N2291" s="29"/>
      <c r="O2291" s="29" t="s">
        <v>170</v>
      </c>
      <c r="P2291" s="120"/>
      <c r="Q2291" s="81">
        <v>80</v>
      </c>
    </row>
    <row r="2292" spans="1:18" hidden="1">
      <c r="A2292" s="134" t="s">
        <v>1139</v>
      </c>
      <c r="C2292" s="29">
        <v>111501708</v>
      </c>
      <c r="D2292" s="29">
        <v>136500095</v>
      </c>
      <c r="E2292" s="29"/>
      <c r="F2292" s="29" t="s">
        <v>87</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87</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87</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438</v>
      </c>
      <c r="C2295" s="29">
        <v>111506703</v>
      </c>
      <c r="D2295" s="29">
        <v>141500347</v>
      </c>
      <c r="E2295" s="29"/>
      <c r="F2295" s="29" t="s">
        <v>87</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438</v>
      </c>
      <c r="C2296" s="29">
        <v>113500840</v>
      </c>
      <c r="D2296" s="29"/>
      <c r="E2296" s="29"/>
      <c r="F2296" s="29" t="s">
        <v>87</v>
      </c>
      <c r="G2296" s="29" t="s">
        <v>823</v>
      </c>
      <c r="H2296" s="29" t="s">
        <v>38</v>
      </c>
      <c r="I2296" s="120">
        <v>45770</v>
      </c>
      <c r="J2296" s="120">
        <f>WORKDAY(I2296, 3)</f>
        <v>45775</v>
      </c>
      <c r="K2296" s="120">
        <v>45800</v>
      </c>
      <c r="L2296" s="120"/>
      <c r="M2296" s="120"/>
      <c r="N2296" s="29"/>
      <c r="O2296" s="29" t="s">
        <v>170</v>
      </c>
      <c r="P2296" s="120"/>
      <c r="Q2296" s="81">
        <v>500</v>
      </c>
    </row>
    <row r="2297" spans="1:18" hidden="1">
      <c r="A2297" s="134" t="s">
        <v>1150</v>
      </c>
      <c r="C2297" s="29">
        <v>114500855</v>
      </c>
      <c r="D2297" s="29">
        <v>147502068</v>
      </c>
      <c r="E2297" s="29"/>
      <c r="F2297" s="29" t="s">
        <v>87</v>
      </c>
      <c r="G2297" s="29" t="s">
        <v>823</v>
      </c>
      <c r="H2297" s="29" t="s">
        <v>38</v>
      </c>
      <c r="I2297" s="120">
        <v>45771</v>
      </c>
      <c r="J2297" s="120">
        <f>WORKDAY(I2297, 3)</f>
        <v>45776</v>
      </c>
      <c r="K2297" s="120">
        <v>45800</v>
      </c>
      <c r="L2297" s="120"/>
      <c r="M2297" s="120"/>
      <c r="N2297" s="29"/>
      <c r="O2297" s="29" t="s">
        <v>170</v>
      </c>
      <c r="P2297" s="120"/>
      <c r="Q2297" s="81">
        <v>1000</v>
      </c>
      <c r="R2297" s="134" t="s">
        <v>1376</v>
      </c>
    </row>
    <row r="2298" spans="1:18" hidden="1">
      <c r="A2298" s="134" t="s">
        <v>1150</v>
      </c>
      <c r="C2298" s="29">
        <v>114500883</v>
      </c>
      <c r="D2298" s="29">
        <v>147502082</v>
      </c>
      <c r="E2298" s="29"/>
      <c r="F2298" s="29" t="s">
        <v>87</v>
      </c>
      <c r="G2298" s="29" t="s">
        <v>823</v>
      </c>
      <c r="H2298" s="29" t="s">
        <v>38</v>
      </c>
      <c r="I2298" s="120">
        <v>45771</v>
      </c>
      <c r="J2298" s="120">
        <f>WORKDAY(I2298, 3)</f>
        <v>45776</v>
      </c>
      <c r="K2298" s="120">
        <v>45800</v>
      </c>
      <c r="L2298" s="120"/>
      <c r="M2298" s="120"/>
      <c r="N2298" s="29"/>
      <c r="O2298" s="29" t="s">
        <v>170</v>
      </c>
      <c r="P2298" s="120"/>
      <c r="Q2298" s="81">
        <v>300</v>
      </c>
      <c r="R2298" s="134" t="s">
        <v>1376</v>
      </c>
    </row>
    <row r="2299" spans="1:18" hidden="1">
      <c r="A2299" s="134" t="s">
        <v>1150</v>
      </c>
      <c r="C2299" s="29">
        <v>114500780</v>
      </c>
      <c r="D2299" s="29">
        <v>147502092</v>
      </c>
      <c r="E2299" s="29"/>
      <c r="F2299" s="29" t="s">
        <v>87</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87</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87</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87</v>
      </c>
      <c r="G2302" s="29" t="s">
        <v>823</v>
      </c>
      <c r="H2302" s="29" t="s">
        <v>38</v>
      </c>
      <c r="I2302" s="120">
        <v>45775</v>
      </c>
      <c r="J2302" s="120">
        <f>WORKDAY(I2302, 3)</f>
        <v>45778</v>
      </c>
      <c r="K2302" s="120">
        <v>45805</v>
      </c>
      <c r="L2302" s="120"/>
      <c r="M2302" s="120"/>
      <c r="N2302" s="29"/>
      <c r="O2302" s="29" t="s">
        <v>170</v>
      </c>
      <c r="P2302" s="120"/>
      <c r="Q2302" s="156">
        <v>270</v>
      </c>
    </row>
    <row r="2303" spans="1:18" hidden="1">
      <c r="A2303" s="134" t="s">
        <v>1155</v>
      </c>
      <c r="C2303" s="29">
        <v>119500244</v>
      </c>
      <c r="D2303" s="29"/>
      <c r="E2303" s="29"/>
      <c r="F2303" s="29" t="s">
        <v>87</v>
      </c>
      <c r="G2303" s="29" t="s">
        <v>823</v>
      </c>
      <c r="H2303" s="29" t="s">
        <v>38</v>
      </c>
      <c r="I2303" s="120">
        <v>45775</v>
      </c>
      <c r="J2303" s="120">
        <f>WORKDAY(I2303, 3)</f>
        <v>45778</v>
      </c>
      <c r="K2303" s="120">
        <v>45805</v>
      </c>
      <c r="L2303" s="120"/>
      <c r="M2303" s="120"/>
      <c r="N2303" s="29"/>
      <c r="O2303" s="29" t="s">
        <v>170</v>
      </c>
      <c r="P2303" s="120"/>
      <c r="Q2303" s="156">
        <v>570</v>
      </c>
    </row>
    <row r="2304" spans="1:18" hidden="1">
      <c r="A2304" s="134" t="s">
        <v>1155</v>
      </c>
      <c r="C2304" s="29">
        <v>119500251</v>
      </c>
      <c r="D2304" s="29"/>
      <c r="E2304" s="29"/>
      <c r="F2304" s="29" t="s">
        <v>87</v>
      </c>
      <c r="G2304" s="29" t="s">
        <v>823</v>
      </c>
      <c r="H2304" s="29" t="s">
        <v>38</v>
      </c>
      <c r="I2304" s="120">
        <v>45775</v>
      </c>
      <c r="J2304" s="120">
        <f>WORKDAY(I2304, 3)</f>
        <v>45778</v>
      </c>
      <c r="K2304" s="120">
        <v>45805</v>
      </c>
      <c r="L2304" s="120"/>
      <c r="M2304" s="120"/>
      <c r="N2304" s="29"/>
      <c r="O2304" s="29" t="s">
        <v>170</v>
      </c>
      <c r="P2304" s="120"/>
      <c r="Q2304" s="156">
        <v>450</v>
      </c>
    </row>
    <row r="2305" spans="1:18" hidden="1">
      <c r="A2305" s="134" t="s">
        <v>1155</v>
      </c>
      <c r="C2305" s="29">
        <v>119500257</v>
      </c>
      <c r="D2305" s="29">
        <v>147501882</v>
      </c>
      <c r="E2305" s="29"/>
      <c r="F2305" s="29" t="s">
        <v>87</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87</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87</v>
      </c>
      <c r="G2307" s="29" t="s">
        <v>823</v>
      </c>
      <c r="H2307" s="29" t="s">
        <v>38</v>
      </c>
      <c r="I2307" s="120">
        <v>45784</v>
      </c>
      <c r="J2307" s="120">
        <f>WORKDAY(I2307, 3)</f>
        <v>45789</v>
      </c>
      <c r="K2307" s="120">
        <v>45815</v>
      </c>
      <c r="L2307" s="120"/>
      <c r="M2307" s="120"/>
      <c r="N2307" s="29"/>
      <c r="O2307" s="29" t="s">
        <v>170</v>
      </c>
      <c r="P2307" s="120"/>
      <c r="Q2307" s="156">
        <v>50</v>
      </c>
    </row>
    <row r="2308" spans="1:18" hidden="1">
      <c r="A2308" s="134" t="s">
        <v>1037</v>
      </c>
      <c r="C2308" s="29">
        <v>127504535</v>
      </c>
      <c r="D2308" s="29"/>
      <c r="E2308" s="29"/>
      <c r="F2308" s="29" t="s">
        <v>87</v>
      </c>
      <c r="G2308" s="29" t="s">
        <v>823</v>
      </c>
      <c r="H2308" s="29" t="s">
        <v>38</v>
      </c>
      <c r="I2308" s="120">
        <v>45784</v>
      </c>
      <c r="J2308" s="120">
        <f>WORKDAY(I2308, 3)</f>
        <v>45789</v>
      </c>
      <c r="K2308" s="120">
        <v>45815</v>
      </c>
      <c r="L2308" s="120"/>
      <c r="M2308" s="120"/>
      <c r="N2308" s="29"/>
      <c r="O2308" s="29" t="s">
        <v>170</v>
      </c>
      <c r="P2308" s="120"/>
      <c r="Q2308" s="156">
        <v>300</v>
      </c>
    </row>
    <row r="2309" spans="1:18" hidden="1">
      <c r="A2309" s="134" t="s">
        <v>1037</v>
      </c>
      <c r="C2309" s="29">
        <v>127504570</v>
      </c>
      <c r="D2309" s="29"/>
      <c r="E2309" s="29"/>
      <c r="F2309" s="29" t="s">
        <v>87</v>
      </c>
      <c r="G2309" s="29" t="s">
        <v>823</v>
      </c>
      <c r="H2309" s="29" t="s">
        <v>38</v>
      </c>
      <c r="I2309" s="120">
        <v>45784</v>
      </c>
      <c r="J2309" s="120">
        <f>WORKDAY(I2309, 3)</f>
        <v>45789</v>
      </c>
      <c r="K2309" s="120">
        <v>45815</v>
      </c>
      <c r="L2309" s="120"/>
      <c r="M2309" s="120"/>
      <c r="N2309" s="29"/>
      <c r="O2309" s="29" t="s">
        <v>170</v>
      </c>
      <c r="P2309" s="120"/>
      <c r="Q2309" s="156">
        <v>300</v>
      </c>
    </row>
    <row r="2310" spans="1:18" hidden="1">
      <c r="A2310" s="134" t="s">
        <v>1037</v>
      </c>
      <c r="C2310" s="29">
        <v>127504593</v>
      </c>
      <c r="D2310" s="29"/>
      <c r="E2310" s="29"/>
      <c r="F2310" s="29" t="s">
        <v>87</v>
      </c>
      <c r="G2310" s="29" t="s">
        <v>823</v>
      </c>
      <c r="H2310" s="29" t="s">
        <v>38</v>
      </c>
      <c r="I2310" s="120">
        <v>45784</v>
      </c>
      <c r="J2310" s="120">
        <f>WORKDAY(I2310, 3)</f>
        <v>45789</v>
      </c>
      <c r="K2310" s="120">
        <v>45815</v>
      </c>
      <c r="L2310" s="120"/>
      <c r="M2310" s="120"/>
      <c r="N2310" s="29"/>
      <c r="O2310" s="29" t="s">
        <v>170</v>
      </c>
      <c r="P2310" s="120"/>
      <c r="Q2310" s="156">
        <v>300</v>
      </c>
    </row>
    <row r="2311" spans="1:18" hidden="1">
      <c r="A2311" s="134" t="s">
        <v>1190</v>
      </c>
      <c r="C2311" s="29">
        <v>128501134</v>
      </c>
      <c r="D2311" s="29"/>
      <c r="E2311" s="29"/>
      <c r="F2311" s="29" t="s">
        <v>87</v>
      </c>
      <c r="G2311" s="29" t="s">
        <v>823</v>
      </c>
      <c r="H2311" s="29" t="s">
        <v>38</v>
      </c>
      <c r="I2311" s="120">
        <v>45785</v>
      </c>
      <c r="J2311" s="120">
        <f>WORKDAY(I2311, 3)</f>
        <v>45790</v>
      </c>
      <c r="K2311" s="120">
        <v>45816</v>
      </c>
      <c r="L2311" s="120"/>
      <c r="M2311" s="120"/>
      <c r="N2311" s="29"/>
      <c r="O2311" s="29" t="s">
        <v>170</v>
      </c>
      <c r="P2311" s="120"/>
      <c r="Q2311" s="156">
        <v>300</v>
      </c>
    </row>
    <row r="2312" spans="1:18" hidden="1">
      <c r="A2312" s="134" t="s">
        <v>1190</v>
      </c>
      <c r="C2312" s="29">
        <v>128501084</v>
      </c>
      <c r="D2312" s="29"/>
      <c r="E2312" s="29"/>
      <c r="F2312" s="29" t="s">
        <v>87</v>
      </c>
      <c r="G2312" s="29" t="s">
        <v>823</v>
      </c>
      <c r="H2312" s="29" t="s">
        <v>38</v>
      </c>
      <c r="I2312" s="120">
        <v>45785</v>
      </c>
      <c r="J2312" s="120">
        <f>WORKDAY(I2312, 3)</f>
        <v>45790</v>
      </c>
      <c r="K2312" s="120">
        <v>45816</v>
      </c>
      <c r="L2312" s="120"/>
      <c r="M2312" s="120"/>
      <c r="N2312" s="29"/>
      <c r="O2312" s="29" t="s">
        <v>170</v>
      </c>
      <c r="P2312" s="120"/>
      <c r="Q2312" s="156">
        <v>500</v>
      </c>
    </row>
    <row r="2313" spans="1:18" hidden="1">
      <c r="A2313" s="134" t="s">
        <v>1190</v>
      </c>
      <c r="C2313" s="29">
        <v>128501092</v>
      </c>
      <c r="D2313" s="29"/>
      <c r="E2313" s="29"/>
      <c r="F2313" s="29" t="s">
        <v>87</v>
      </c>
      <c r="G2313" s="29" t="s">
        <v>823</v>
      </c>
      <c r="H2313" s="29" t="s">
        <v>38</v>
      </c>
      <c r="I2313" s="120">
        <v>45785</v>
      </c>
      <c r="J2313" s="120">
        <f>WORKDAY(I2313, 3)</f>
        <v>45790</v>
      </c>
      <c r="K2313" s="120">
        <v>45816</v>
      </c>
      <c r="L2313" s="120"/>
      <c r="M2313" s="120"/>
      <c r="N2313" s="29"/>
      <c r="O2313" s="29" t="s">
        <v>170</v>
      </c>
      <c r="P2313" s="120"/>
      <c r="Q2313" s="156">
        <v>900</v>
      </c>
    </row>
    <row r="2314" spans="1:18" hidden="1">
      <c r="A2314" s="134" t="s">
        <v>1190</v>
      </c>
      <c r="C2314" s="29">
        <v>128501118</v>
      </c>
      <c r="D2314" s="29"/>
      <c r="E2314" s="29"/>
      <c r="F2314" s="29" t="s">
        <v>87</v>
      </c>
      <c r="G2314" s="29" t="s">
        <v>823</v>
      </c>
      <c r="H2314" s="29" t="s">
        <v>38</v>
      </c>
      <c r="I2314" s="120">
        <v>45785</v>
      </c>
      <c r="J2314" s="120">
        <f>WORKDAY(I2314, 3)</f>
        <v>45790</v>
      </c>
      <c r="K2314" s="120">
        <v>45816</v>
      </c>
      <c r="L2314" s="120"/>
      <c r="M2314" s="120"/>
      <c r="N2314" s="29"/>
      <c r="O2314" s="29" t="s">
        <v>170</v>
      </c>
      <c r="P2314" s="120"/>
      <c r="Q2314" s="156">
        <v>900</v>
      </c>
    </row>
    <row r="2315" spans="1:18" hidden="1">
      <c r="A2315" s="134" t="s">
        <v>1190</v>
      </c>
      <c r="C2315" s="29">
        <v>128501125</v>
      </c>
      <c r="D2315" s="29"/>
      <c r="E2315" s="29"/>
      <c r="F2315" s="29" t="s">
        <v>87</v>
      </c>
      <c r="G2315" s="29" t="s">
        <v>823</v>
      </c>
      <c r="H2315" s="29" t="s">
        <v>38</v>
      </c>
      <c r="I2315" s="120">
        <v>45785</v>
      </c>
      <c r="J2315" s="120">
        <f>WORKDAY(I2315, 3)</f>
        <v>45790</v>
      </c>
      <c r="K2315" s="120">
        <v>45816</v>
      </c>
      <c r="L2315" s="120"/>
      <c r="M2315" s="120"/>
      <c r="N2315" s="29"/>
      <c r="O2315" s="29" t="s">
        <v>170</v>
      </c>
      <c r="P2315" s="120"/>
      <c r="Q2315" s="156">
        <v>200</v>
      </c>
    </row>
    <row r="2316" spans="1:18" hidden="1">
      <c r="A2316" s="134" t="s">
        <v>1190</v>
      </c>
      <c r="C2316" s="29">
        <v>128501144</v>
      </c>
      <c r="D2316" s="29"/>
      <c r="E2316" s="29"/>
      <c r="F2316" s="29" t="s">
        <v>87</v>
      </c>
      <c r="G2316" s="29" t="s">
        <v>823</v>
      </c>
      <c r="H2316" s="29" t="s">
        <v>38</v>
      </c>
      <c r="I2316" s="120">
        <v>45785</v>
      </c>
      <c r="J2316" s="120">
        <f>WORKDAY(I2316, 3)</f>
        <v>45790</v>
      </c>
      <c r="K2316" s="120">
        <v>45816</v>
      </c>
      <c r="L2316" s="120"/>
      <c r="M2316" s="120"/>
      <c r="N2316" s="29"/>
      <c r="O2316" s="29" t="s">
        <v>170</v>
      </c>
      <c r="P2316" s="120"/>
      <c r="Q2316" s="156">
        <v>500</v>
      </c>
    </row>
    <row r="2317" spans="1:18" hidden="1">
      <c r="A2317" s="134" t="s">
        <v>1190</v>
      </c>
      <c r="C2317" s="29">
        <v>128501153</v>
      </c>
      <c r="D2317" s="29"/>
      <c r="E2317" s="29"/>
      <c r="F2317" s="29" t="s">
        <v>87</v>
      </c>
      <c r="G2317" s="29" t="s">
        <v>823</v>
      </c>
      <c r="H2317" s="29" t="s">
        <v>38</v>
      </c>
      <c r="I2317" s="120">
        <v>45785</v>
      </c>
      <c r="J2317" s="120">
        <f>WORKDAY(I2317, 3)</f>
        <v>45790</v>
      </c>
      <c r="K2317" s="120">
        <v>45816</v>
      </c>
      <c r="L2317" s="120"/>
      <c r="M2317" s="120"/>
      <c r="N2317" s="29"/>
      <c r="O2317" s="29" t="s">
        <v>170</v>
      </c>
      <c r="P2317" s="120"/>
      <c r="Q2317" s="156">
        <v>110</v>
      </c>
    </row>
    <row r="2318" spans="1:18" hidden="1">
      <c r="A2318" s="134" t="s">
        <v>1190</v>
      </c>
      <c r="C2318" s="29">
        <v>128501161</v>
      </c>
      <c r="D2318" s="29"/>
      <c r="E2318" s="29"/>
      <c r="F2318" s="29" t="s">
        <v>87</v>
      </c>
      <c r="G2318" s="29" t="s">
        <v>823</v>
      </c>
      <c r="H2318" s="29" t="s">
        <v>38</v>
      </c>
      <c r="I2318" s="120">
        <v>45785</v>
      </c>
      <c r="J2318" s="120">
        <f>WORKDAY(I2318, 3)</f>
        <v>45790</v>
      </c>
      <c r="K2318" s="120">
        <v>45816</v>
      </c>
      <c r="L2318" s="120"/>
      <c r="M2318" s="120"/>
      <c r="N2318" s="29"/>
      <c r="O2318" s="29" t="s">
        <v>170</v>
      </c>
      <c r="P2318" s="120"/>
      <c r="Q2318" s="156">
        <v>200</v>
      </c>
    </row>
    <row r="2319" spans="1:18" hidden="1">
      <c r="A2319" s="134" t="s">
        <v>1190</v>
      </c>
      <c r="C2319" s="29">
        <v>128501171</v>
      </c>
      <c r="D2319" s="29"/>
      <c r="E2319" s="29"/>
      <c r="F2319" s="29" t="s">
        <v>87</v>
      </c>
      <c r="G2319" s="29" t="s">
        <v>823</v>
      </c>
      <c r="H2319" s="29" t="s">
        <v>38</v>
      </c>
      <c r="I2319" s="120">
        <v>45785</v>
      </c>
      <c r="J2319" s="120">
        <f>WORKDAY(I2319, 3)</f>
        <v>45790</v>
      </c>
      <c r="K2319" s="120">
        <v>45816</v>
      </c>
      <c r="L2319" s="120"/>
      <c r="M2319" s="120"/>
      <c r="N2319" s="29"/>
      <c r="O2319" s="29" t="s">
        <v>170</v>
      </c>
      <c r="P2319" s="120"/>
      <c r="Q2319" s="156">
        <v>250</v>
      </c>
    </row>
    <row r="2320" spans="1:18" hidden="1">
      <c r="A2320" s="134" t="s">
        <v>1190</v>
      </c>
      <c r="C2320" s="29">
        <v>128501177</v>
      </c>
      <c r="D2320" s="29"/>
      <c r="E2320" s="29"/>
      <c r="F2320" s="29" t="s">
        <v>87</v>
      </c>
      <c r="G2320" s="29" t="s">
        <v>823</v>
      </c>
      <c r="H2320" s="29" t="s">
        <v>38</v>
      </c>
      <c r="I2320" s="120">
        <v>45785</v>
      </c>
      <c r="J2320" s="120">
        <f>WORKDAY(I2320, 3)</f>
        <v>45790</v>
      </c>
      <c r="K2320" s="120">
        <v>45816</v>
      </c>
      <c r="L2320" s="120"/>
      <c r="M2320" s="120"/>
      <c r="N2320" s="29"/>
      <c r="O2320" s="29" t="s">
        <v>170</v>
      </c>
      <c r="P2320" s="120"/>
      <c r="Q2320" s="156">
        <v>180</v>
      </c>
    </row>
    <row r="2321" spans="1:18" hidden="1">
      <c r="A2321" s="134" t="s">
        <v>1190</v>
      </c>
      <c r="C2321" s="29">
        <v>128501188</v>
      </c>
      <c r="D2321" s="29"/>
      <c r="E2321" s="29"/>
      <c r="F2321" s="29" t="s">
        <v>87</v>
      </c>
      <c r="G2321" s="29" t="s">
        <v>823</v>
      </c>
      <c r="H2321" s="29" t="s">
        <v>38</v>
      </c>
      <c r="I2321" s="120">
        <v>45785</v>
      </c>
      <c r="J2321" s="120">
        <f>WORKDAY(I2321, 3)</f>
        <v>45790</v>
      </c>
      <c r="K2321" s="120">
        <v>45816</v>
      </c>
      <c r="L2321" s="120"/>
      <c r="M2321" s="120"/>
      <c r="N2321" s="29"/>
      <c r="O2321" s="29" t="s">
        <v>170</v>
      </c>
      <c r="P2321" s="120"/>
      <c r="Q2321" s="156">
        <v>550</v>
      </c>
    </row>
    <row r="2322" spans="1:18" hidden="1">
      <c r="A2322" s="134" t="s">
        <v>796</v>
      </c>
      <c r="C2322" s="29">
        <v>128501583</v>
      </c>
      <c r="D2322" s="29"/>
      <c r="E2322" s="29"/>
      <c r="F2322" s="29" t="s">
        <v>87</v>
      </c>
      <c r="G2322" s="29" t="s">
        <v>823</v>
      </c>
      <c r="H2322" s="29" t="s">
        <v>38</v>
      </c>
      <c r="I2322" s="120">
        <v>45785</v>
      </c>
      <c r="J2322" s="120">
        <f>WORKDAY(I2322, 3)</f>
        <v>45790</v>
      </c>
      <c r="K2322" s="120">
        <v>45816</v>
      </c>
      <c r="L2322" s="120"/>
      <c r="M2322" s="120"/>
      <c r="N2322" s="29"/>
      <c r="O2322" s="29" t="s">
        <v>170</v>
      </c>
      <c r="P2322" s="120"/>
      <c r="Q2322" s="156">
        <v>990</v>
      </c>
    </row>
    <row r="2323" spans="1:18" hidden="1">
      <c r="A2323" s="134" t="s">
        <v>796</v>
      </c>
      <c r="C2323" s="29">
        <v>128501601</v>
      </c>
      <c r="D2323" s="29"/>
      <c r="E2323" s="29"/>
      <c r="F2323" s="29" t="s">
        <v>87</v>
      </c>
      <c r="G2323" s="29" t="s">
        <v>823</v>
      </c>
      <c r="H2323" s="29" t="s">
        <v>38</v>
      </c>
      <c r="I2323" s="120">
        <v>45785</v>
      </c>
      <c r="J2323" s="120">
        <f>WORKDAY(I2323, 3)</f>
        <v>45790</v>
      </c>
      <c r="K2323" s="120">
        <v>45816</v>
      </c>
      <c r="L2323" s="120"/>
      <c r="M2323" s="120"/>
      <c r="N2323" s="29"/>
      <c r="O2323" s="29" t="s">
        <v>170</v>
      </c>
      <c r="P2323" s="120"/>
      <c r="Q2323" s="156">
        <v>60</v>
      </c>
    </row>
    <row r="2324" spans="1:18" hidden="1">
      <c r="A2324" s="134" t="s">
        <v>796</v>
      </c>
      <c r="C2324" s="29">
        <v>128501615</v>
      </c>
      <c r="D2324" s="29"/>
      <c r="E2324" s="29"/>
      <c r="F2324" s="29" t="s">
        <v>87</v>
      </c>
      <c r="G2324" s="29" t="s">
        <v>823</v>
      </c>
      <c r="H2324" s="29" t="s">
        <v>38</v>
      </c>
      <c r="I2324" s="120">
        <v>45785</v>
      </c>
      <c r="J2324" s="120">
        <f>WORKDAY(I2324, 3)</f>
        <v>45790</v>
      </c>
      <c r="K2324" s="120">
        <v>45816</v>
      </c>
      <c r="L2324" s="120"/>
      <c r="M2324" s="120"/>
      <c r="N2324" s="29"/>
      <c r="O2324" s="29" t="s">
        <v>170</v>
      </c>
      <c r="P2324" s="120"/>
      <c r="Q2324" s="156">
        <v>60</v>
      </c>
    </row>
    <row r="2325" spans="1:18" hidden="1">
      <c r="A2325" s="134" t="s">
        <v>796</v>
      </c>
      <c r="C2325" s="29">
        <v>128501627</v>
      </c>
      <c r="D2325" s="29"/>
      <c r="E2325" s="29"/>
      <c r="F2325" s="29" t="s">
        <v>87</v>
      </c>
      <c r="G2325" s="29" t="s">
        <v>823</v>
      </c>
      <c r="H2325" s="29" t="s">
        <v>38</v>
      </c>
      <c r="I2325" s="120">
        <v>45785</v>
      </c>
      <c r="J2325" s="120">
        <f>WORKDAY(I2325, 3)</f>
        <v>45790</v>
      </c>
      <c r="K2325" s="120">
        <v>45816</v>
      </c>
      <c r="L2325" s="120"/>
      <c r="M2325" s="120"/>
      <c r="N2325" s="29"/>
      <c r="O2325" s="29" t="s">
        <v>170</v>
      </c>
      <c r="P2325" s="120"/>
      <c r="Q2325" s="156">
        <v>60</v>
      </c>
    </row>
    <row r="2326" spans="1:18" hidden="1">
      <c r="A2326" s="134" t="s">
        <v>796</v>
      </c>
      <c r="C2326" s="29">
        <v>128501652</v>
      </c>
      <c r="D2326" s="29"/>
      <c r="E2326" s="29"/>
      <c r="F2326" s="29" t="s">
        <v>87</v>
      </c>
      <c r="G2326" s="29" t="s">
        <v>823</v>
      </c>
      <c r="H2326" s="29" t="s">
        <v>38</v>
      </c>
      <c r="I2326" s="120">
        <v>45785</v>
      </c>
      <c r="J2326" s="120">
        <f>WORKDAY(I2326, 3)</f>
        <v>45790</v>
      </c>
      <c r="K2326" s="120">
        <v>45816</v>
      </c>
      <c r="L2326" s="120"/>
      <c r="M2326" s="120"/>
      <c r="N2326" s="29"/>
      <c r="O2326" s="29" t="s">
        <v>170</v>
      </c>
      <c r="P2326" s="120"/>
      <c r="Q2326" s="156">
        <v>375</v>
      </c>
    </row>
    <row r="2327" spans="1:18" hidden="1">
      <c r="A2327" s="134" t="s">
        <v>796</v>
      </c>
      <c r="C2327" s="29">
        <v>128501685</v>
      </c>
      <c r="D2327" s="29"/>
      <c r="E2327" s="29"/>
      <c r="F2327" s="29" t="s">
        <v>87</v>
      </c>
      <c r="G2327" s="29" t="s">
        <v>823</v>
      </c>
      <c r="H2327" s="29" t="s">
        <v>38</v>
      </c>
      <c r="I2327" s="120">
        <v>45785</v>
      </c>
      <c r="J2327" s="120">
        <f>WORKDAY(I2327, 3)</f>
        <v>45790</v>
      </c>
      <c r="K2327" s="120">
        <v>45816</v>
      </c>
      <c r="L2327" s="120"/>
      <c r="M2327" s="120"/>
      <c r="N2327" s="29"/>
      <c r="O2327" s="29" t="s">
        <v>170</v>
      </c>
      <c r="P2327" s="120"/>
      <c r="Q2327" s="156">
        <v>275</v>
      </c>
    </row>
    <row r="2328" spans="1:18" hidden="1">
      <c r="A2328" s="134" t="s">
        <v>796</v>
      </c>
      <c r="C2328" s="29">
        <v>128501712</v>
      </c>
      <c r="D2328" s="29"/>
      <c r="E2328" s="29"/>
      <c r="F2328" s="29" t="s">
        <v>87</v>
      </c>
      <c r="G2328" s="29" t="s">
        <v>823</v>
      </c>
      <c r="H2328" s="29" t="s">
        <v>38</v>
      </c>
      <c r="I2328" s="120">
        <v>45785</v>
      </c>
      <c r="J2328" s="120">
        <f>WORKDAY(I2328, 3)</f>
        <v>45790</v>
      </c>
      <c r="K2328" s="120">
        <v>45816</v>
      </c>
      <c r="L2328" s="120"/>
      <c r="M2328" s="120"/>
      <c r="N2328" s="29"/>
      <c r="O2328" s="29" t="s">
        <v>170</v>
      </c>
      <c r="P2328" s="120"/>
      <c r="Q2328" s="156">
        <v>60</v>
      </c>
    </row>
    <row r="2329" spans="1:18" hidden="1">
      <c r="A2329" s="134" t="s">
        <v>796</v>
      </c>
      <c r="C2329" s="29">
        <v>128501743</v>
      </c>
      <c r="D2329" s="29"/>
      <c r="E2329" s="29"/>
      <c r="F2329" s="29" t="s">
        <v>87</v>
      </c>
      <c r="G2329" s="29" t="s">
        <v>823</v>
      </c>
      <c r="H2329" s="29" t="s">
        <v>38</v>
      </c>
      <c r="I2329" s="120">
        <v>45785</v>
      </c>
      <c r="J2329" s="120">
        <f>WORKDAY(I2329, 3)</f>
        <v>45790</v>
      </c>
      <c r="K2329" s="120">
        <v>45816</v>
      </c>
      <c r="L2329" s="120"/>
      <c r="M2329" s="120"/>
      <c r="N2329" s="29"/>
      <c r="O2329" s="29" t="s">
        <v>170</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170</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170</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170</v>
      </c>
      <c r="P2332" s="120"/>
      <c r="Q2332" s="156">
        <v>280</v>
      </c>
    </row>
    <row r="2333" spans="1:18" hidden="1">
      <c r="A2333" s="134" t="s">
        <v>796</v>
      </c>
      <c r="C2333" s="29">
        <v>129500101</v>
      </c>
      <c r="D2333" s="29"/>
      <c r="E2333" s="29"/>
      <c r="F2333" s="29" t="s">
        <v>87</v>
      </c>
      <c r="G2333" s="29" t="s">
        <v>823</v>
      </c>
      <c r="H2333" s="29" t="s">
        <v>38</v>
      </c>
      <c r="I2333" s="120">
        <v>45786</v>
      </c>
      <c r="J2333" s="120">
        <f>WORKDAY(I2333, 3)</f>
        <v>45791</v>
      </c>
      <c r="K2333" s="120">
        <v>45817</v>
      </c>
      <c r="L2333" s="120"/>
      <c r="M2333" s="120"/>
      <c r="N2333" s="29"/>
      <c r="O2333" s="29" t="s">
        <v>170</v>
      </c>
      <c r="P2333" s="120"/>
      <c r="Q2333" s="156">
        <v>500</v>
      </c>
    </row>
    <row r="2334" spans="1:18" hidden="1">
      <c r="A2334" s="134" t="s">
        <v>796</v>
      </c>
      <c r="C2334" s="29">
        <v>129500104</v>
      </c>
      <c r="D2334" s="29"/>
      <c r="E2334" s="29"/>
      <c r="F2334" s="29" t="s">
        <v>87</v>
      </c>
      <c r="G2334" s="29" t="s">
        <v>823</v>
      </c>
      <c r="H2334" s="29" t="s">
        <v>38</v>
      </c>
      <c r="I2334" s="120">
        <v>45786</v>
      </c>
      <c r="J2334" s="120">
        <f>WORKDAY(I2334, 3)</f>
        <v>45791</v>
      </c>
      <c r="K2334" s="120">
        <v>45817</v>
      </c>
      <c r="L2334" s="120"/>
      <c r="M2334" s="120"/>
      <c r="N2334" s="29"/>
      <c r="O2334" s="29" t="s">
        <v>170</v>
      </c>
      <c r="P2334" s="120"/>
      <c r="Q2334" s="156">
        <v>300</v>
      </c>
    </row>
    <row r="2335" spans="1:18" hidden="1">
      <c r="A2335" s="134" t="s">
        <v>796</v>
      </c>
      <c r="C2335" s="29">
        <v>129500114</v>
      </c>
      <c r="D2335" s="29"/>
      <c r="E2335" s="29"/>
      <c r="F2335" s="29" t="s">
        <v>87</v>
      </c>
      <c r="G2335" s="29" t="s">
        <v>823</v>
      </c>
      <c r="H2335" s="29" t="s">
        <v>38</v>
      </c>
      <c r="I2335" s="120">
        <v>45786</v>
      </c>
      <c r="J2335" s="120">
        <f>WORKDAY(I2335, 3)</f>
        <v>45791</v>
      </c>
      <c r="K2335" s="120">
        <v>45817</v>
      </c>
      <c r="L2335" s="120"/>
      <c r="M2335" s="120"/>
      <c r="N2335" s="29"/>
      <c r="O2335" s="29" t="s">
        <v>170</v>
      </c>
      <c r="P2335" s="120"/>
      <c r="Q2335" s="156">
        <v>60</v>
      </c>
    </row>
    <row r="2336" spans="1:18" ht="15.75" hidden="1">
      <c r="A2336" s="126" t="s">
        <v>1147</v>
      </c>
      <c r="B2336" s="126"/>
      <c r="C2336" s="29">
        <v>119505499</v>
      </c>
      <c r="D2336" s="29">
        <v>147501832</v>
      </c>
      <c r="E2336" s="29"/>
      <c r="F2336" s="29" t="s">
        <v>87</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87</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87</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87</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87</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87</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87</v>
      </c>
      <c r="G2342" s="29" t="s">
        <v>823</v>
      </c>
      <c r="H2342" s="29" t="s">
        <v>38</v>
      </c>
      <c r="I2342" s="120">
        <v>45779</v>
      </c>
      <c r="J2342" s="120">
        <f>WORKDAY(I2342, 3)</f>
        <v>45784</v>
      </c>
      <c r="K2342" s="120">
        <v>45816</v>
      </c>
      <c r="L2342" s="120"/>
      <c r="M2342" s="120"/>
      <c r="N2342" s="29"/>
      <c r="O2342" s="29" t="s">
        <v>170</v>
      </c>
      <c r="P2342" s="120"/>
      <c r="Q2342" s="156">
        <v>250</v>
      </c>
    </row>
    <row r="2343" spans="1:18" hidden="1">
      <c r="A2343" s="134" t="s">
        <v>1389</v>
      </c>
      <c r="C2343" s="29">
        <v>122501284</v>
      </c>
      <c r="D2343" s="29"/>
      <c r="E2343" s="29"/>
      <c r="F2343" s="29" t="s">
        <v>87</v>
      </c>
      <c r="G2343" s="29" t="s">
        <v>823</v>
      </c>
      <c r="H2343" s="29" t="s">
        <v>38</v>
      </c>
      <c r="I2343" s="120">
        <v>45779</v>
      </c>
      <c r="J2343" s="120">
        <f>WORKDAY(I2343, 3)</f>
        <v>45784</v>
      </c>
      <c r="K2343" s="120">
        <v>45810</v>
      </c>
      <c r="L2343" s="120"/>
      <c r="M2343" s="120"/>
      <c r="N2343" s="29"/>
      <c r="O2343" s="29" t="s">
        <v>170</v>
      </c>
      <c r="P2343" s="120"/>
      <c r="Q2343" s="156">
        <v>30</v>
      </c>
    </row>
    <row r="2344" spans="1:18" hidden="1">
      <c r="A2344" s="134" t="s">
        <v>1388</v>
      </c>
      <c r="C2344" s="29">
        <v>122501374</v>
      </c>
      <c r="D2344" s="29"/>
      <c r="E2344" s="29"/>
      <c r="F2344" s="29" t="s">
        <v>87</v>
      </c>
      <c r="G2344" s="29" t="s">
        <v>823</v>
      </c>
      <c r="H2344" s="29" t="s">
        <v>38</v>
      </c>
      <c r="I2344" s="120">
        <v>45779</v>
      </c>
      <c r="J2344" s="120">
        <f>WORKDAY(I2344, 3)</f>
        <v>45784</v>
      </c>
      <c r="K2344" s="120">
        <v>45810</v>
      </c>
      <c r="L2344" s="120"/>
      <c r="M2344" s="120"/>
      <c r="N2344" s="29"/>
      <c r="O2344" s="29" t="s">
        <v>170</v>
      </c>
      <c r="P2344" s="120"/>
      <c r="Q2344" s="156">
        <v>500</v>
      </c>
    </row>
    <row r="2345" spans="1:18" hidden="1">
      <c r="A2345" s="134" t="s">
        <v>1059</v>
      </c>
      <c r="C2345" s="29">
        <v>129500087</v>
      </c>
      <c r="D2345" s="29">
        <v>148501570</v>
      </c>
      <c r="E2345" s="29"/>
      <c r="F2345" s="29" t="s">
        <v>87</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87</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87</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87</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87</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87</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87</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87</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87</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87</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1151</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1045</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87</v>
      </c>
      <c r="G2365" s="29" t="s">
        <v>823</v>
      </c>
      <c r="H2365" s="29" t="s">
        <v>38</v>
      </c>
      <c r="I2365" s="120">
        <v>45783</v>
      </c>
      <c r="J2365" s="120">
        <f>WORKDAY(I2365, 3)</f>
        <v>45786</v>
      </c>
      <c r="K2365" s="120">
        <v>45814</v>
      </c>
      <c r="L2365" s="120"/>
      <c r="M2365" s="120"/>
      <c r="O2365" s="29" t="s">
        <v>170</v>
      </c>
      <c r="P2365" s="120"/>
      <c r="Q2365" s="156">
        <v>450</v>
      </c>
    </row>
    <row r="2366" spans="1:18" hidden="1">
      <c r="A2366" s="134" t="s">
        <v>1390</v>
      </c>
      <c r="C2366" s="29">
        <v>127500104</v>
      </c>
      <c r="D2366" s="29"/>
      <c r="E2366" s="29"/>
      <c r="F2366" s="29" t="s">
        <v>87</v>
      </c>
      <c r="G2366" s="29" t="s">
        <v>823</v>
      </c>
      <c r="H2366" s="29" t="s">
        <v>38</v>
      </c>
      <c r="I2366" s="120">
        <v>45783</v>
      </c>
      <c r="J2366" s="120">
        <f>WORKDAY(I2366, 3)</f>
        <v>45786</v>
      </c>
      <c r="K2366" s="120">
        <v>45814</v>
      </c>
      <c r="L2366" s="120"/>
      <c r="M2366" s="120"/>
      <c r="O2366" s="29" t="s">
        <v>170</v>
      </c>
      <c r="P2366" s="120"/>
      <c r="Q2366" s="156">
        <v>700</v>
      </c>
    </row>
    <row r="2367" spans="1:18" hidden="1">
      <c r="A2367" s="134" t="s">
        <v>1390</v>
      </c>
      <c r="C2367" s="29">
        <v>127500108</v>
      </c>
      <c r="D2367" s="29"/>
      <c r="E2367" s="29"/>
      <c r="F2367" s="29" t="s">
        <v>87</v>
      </c>
      <c r="G2367" s="29" t="s">
        <v>823</v>
      </c>
      <c r="H2367" s="29" t="s">
        <v>38</v>
      </c>
      <c r="I2367" s="120">
        <v>45783</v>
      </c>
      <c r="J2367" s="120">
        <f>WORKDAY(I2367, 3)</f>
        <v>45786</v>
      </c>
      <c r="K2367" s="120">
        <v>45814</v>
      </c>
      <c r="L2367" s="120"/>
      <c r="M2367" s="120"/>
      <c r="O2367" s="29" t="s">
        <v>170</v>
      </c>
      <c r="P2367" s="120"/>
      <c r="Q2367" s="156">
        <v>700</v>
      </c>
    </row>
    <row r="2368" spans="1:18" hidden="1">
      <c r="A2368" s="134" t="s">
        <v>1390</v>
      </c>
      <c r="C2368" s="29">
        <v>127500099</v>
      </c>
      <c r="D2368" s="29"/>
      <c r="E2368" s="29"/>
      <c r="F2368" s="29" t="s">
        <v>87</v>
      </c>
      <c r="G2368" s="29" t="s">
        <v>823</v>
      </c>
      <c r="H2368" s="29" t="s">
        <v>38</v>
      </c>
      <c r="I2368" s="120">
        <v>45783</v>
      </c>
      <c r="J2368" s="120">
        <f>WORKDAY(I2368, 3)</f>
        <v>45786</v>
      </c>
      <c r="K2368" s="120">
        <v>45814</v>
      </c>
      <c r="L2368" s="120"/>
      <c r="M2368" s="120"/>
      <c r="O2368" s="29" t="s">
        <v>170</v>
      </c>
      <c r="P2368" s="120"/>
      <c r="Q2368" s="156">
        <v>650</v>
      </c>
    </row>
    <row r="2369" spans="1:18" hidden="1">
      <c r="A2369" s="134" t="s">
        <v>1390</v>
      </c>
      <c r="C2369" s="29" t="s">
        <v>1390</v>
      </c>
      <c r="D2369" s="29"/>
      <c r="E2369" s="29"/>
      <c r="F2369" s="29" t="s">
        <v>87</v>
      </c>
      <c r="G2369" s="29" t="s">
        <v>823</v>
      </c>
      <c r="H2369" s="29" t="s">
        <v>38</v>
      </c>
      <c r="I2369" s="120">
        <v>45783</v>
      </c>
      <c r="J2369" s="120">
        <f>WORKDAY(I2369, 3)</f>
        <v>45786</v>
      </c>
      <c r="K2369" s="120">
        <v>45814</v>
      </c>
      <c r="L2369" s="120"/>
      <c r="M2369" s="120"/>
      <c r="O2369" s="29" t="s">
        <v>170</v>
      </c>
      <c r="P2369" s="120"/>
      <c r="Q2369" s="156">
        <v>300</v>
      </c>
    </row>
    <row r="2370" spans="1:18" hidden="1">
      <c r="A2370" s="134" t="s">
        <v>1390</v>
      </c>
      <c r="C2370" s="29" t="s">
        <v>1390</v>
      </c>
      <c r="D2370" s="29"/>
      <c r="E2370" s="29"/>
      <c r="F2370" s="29" t="s">
        <v>87</v>
      </c>
      <c r="G2370" s="29" t="s">
        <v>823</v>
      </c>
      <c r="H2370" s="29" t="s">
        <v>38</v>
      </c>
      <c r="I2370" s="120">
        <v>45783</v>
      </c>
      <c r="J2370" s="120">
        <f>WORKDAY(I2370, 3)</f>
        <v>45786</v>
      </c>
      <c r="K2370" s="120">
        <v>45814</v>
      </c>
      <c r="L2370" s="120"/>
      <c r="M2370" s="120"/>
      <c r="O2370" s="29" t="s">
        <v>170</v>
      </c>
      <c r="P2370" s="120"/>
      <c r="Q2370" s="156">
        <v>125</v>
      </c>
    </row>
    <row r="2371" spans="1:18" hidden="1">
      <c r="A2371" s="134" t="s">
        <v>1045</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87</v>
      </c>
      <c r="G2372" s="29" t="s">
        <v>823</v>
      </c>
      <c r="H2372" s="29" t="s">
        <v>38</v>
      </c>
      <c r="I2372" s="120">
        <v>45784</v>
      </c>
      <c r="J2372" s="120">
        <f>WORKDAY(I2372, 3)</f>
        <v>45789</v>
      </c>
      <c r="K2372" s="120">
        <v>45815</v>
      </c>
      <c r="L2372" s="120"/>
      <c r="M2372" s="120"/>
      <c r="N2372" s="29"/>
      <c r="O2372" s="29" t="s">
        <v>170</v>
      </c>
      <c r="P2372" s="120"/>
      <c r="Q2372" s="156">
        <v>250</v>
      </c>
    </row>
    <row r="2373" spans="1:18" hidden="1">
      <c r="A2373" s="134" t="s">
        <v>1037</v>
      </c>
      <c r="C2373" s="29">
        <v>127504664</v>
      </c>
      <c r="D2373" s="29"/>
      <c r="E2373" s="29"/>
      <c r="F2373" s="29" t="s">
        <v>87</v>
      </c>
      <c r="G2373" s="29" t="s">
        <v>823</v>
      </c>
      <c r="H2373" s="29" t="s">
        <v>38</v>
      </c>
      <c r="I2373" s="120">
        <v>45784</v>
      </c>
      <c r="J2373" s="120">
        <f>WORKDAY(I2373, 3)</f>
        <v>45789</v>
      </c>
      <c r="K2373" s="120">
        <v>45815</v>
      </c>
      <c r="L2373" s="120"/>
      <c r="M2373" s="120"/>
      <c r="N2373" s="29"/>
      <c r="O2373" s="29" t="s">
        <v>170</v>
      </c>
      <c r="P2373" s="120"/>
      <c r="Q2373" s="156">
        <v>400</v>
      </c>
    </row>
    <row r="2374" spans="1:18" hidden="1">
      <c r="A2374" s="134" t="s">
        <v>1037</v>
      </c>
      <c r="C2374" s="29">
        <v>127504715</v>
      </c>
      <c r="D2374" s="29"/>
      <c r="E2374" s="29"/>
      <c r="F2374" s="29" t="s">
        <v>87</v>
      </c>
      <c r="G2374" s="29" t="s">
        <v>823</v>
      </c>
      <c r="H2374" s="29" t="s">
        <v>38</v>
      </c>
      <c r="I2374" s="120">
        <v>45784</v>
      </c>
      <c r="J2374" s="120">
        <f>WORKDAY(I2374, 3)</f>
        <v>45789</v>
      </c>
      <c r="K2374" s="120">
        <v>45815</v>
      </c>
      <c r="L2374" s="120"/>
      <c r="M2374" s="120"/>
      <c r="N2374" s="29"/>
      <c r="O2374" s="29" t="s">
        <v>170</v>
      </c>
      <c r="P2374" s="120"/>
      <c r="Q2374" s="156">
        <v>890</v>
      </c>
    </row>
    <row r="2375" spans="1:18" hidden="1">
      <c r="A2375" s="160" t="s">
        <v>1391</v>
      </c>
      <c r="B2375" s="160"/>
      <c r="C2375" s="29">
        <v>143500248</v>
      </c>
      <c r="D2375" s="29"/>
      <c r="E2375" s="29"/>
      <c r="F2375" s="29" t="s">
        <v>87</v>
      </c>
      <c r="G2375" s="29" t="s">
        <v>823</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1303</v>
      </c>
      <c r="C2376" s="29">
        <v>134500501</v>
      </c>
      <c r="D2376" s="29"/>
      <c r="E2376" s="29"/>
      <c r="F2376" s="29" t="s">
        <v>87</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87</v>
      </c>
      <c r="G2377" s="29" t="s">
        <v>823</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170</v>
      </c>
      <c r="P2378" s="120"/>
      <c r="Q2378" s="156">
        <v>65</v>
      </c>
    </row>
    <row r="2379" spans="1:18" hidden="1">
      <c r="A2379" s="134" t="s">
        <v>1358</v>
      </c>
      <c r="C2379" s="29">
        <v>134500389</v>
      </c>
      <c r="D2379" s="29"/>
      <c r="E2379" s="29"/>
      <c r="F2379" s="29" t="s">
        <v>87</v>
      </c>
      <c r="G2379" s="29" t="s">
        <v>823</v>
      </c>
      <c r="H2379" s="29" t="s">
        <v>38</v>
      </c>
      <c r="I2379" s="120">
        <v>45791</v>
      </c>
      <c r="J2379" s="120">
        <f>WORKDAY(I2379, 3)</f>
        <v>45796</v>
      </c>
      <c r="K2379" s="120">
        <v>45822</v>
      </c>
      <c r="L2379" s="120"/>
      <c r="M2379" s="120"/>
      <c r="O2379" s="29" t="s">
        <v>170</v>
      </c>
      <c r="P2379" s="120"/>
      <c r="Q2379" s="156">
        <v>1000</v>
      </c>
    </row>
    <row r="2380" spans="1:18" hidden="1">
      <c r="A2380" s="134" t="s">
        <v>1037</v>
      </c>
      <c r="C2380" s="29">
        <v>134500868</v>
      </c>
      <c r="D2380" s="29"/>
      <c r="E2380" s="29"/>
      <c r="F2380" s="29" t="s">
        <v>87</v>
      </c>
      <c r="G2380" s="29" t="s">
        <v>823</v>
      </c>
      <c r="H2380" s="29" t="s">
        <v>38</v>
      </c>
      <c r="I2380" s="120">
        <v>45791</v>
      </c>
      <c r="J2380" s="120">
        <f>WORKDAY(I2380, 3)</f>
        <v>45796</v>
      </c>
      <c r="K2380" s="120">
        <v>45822</v>
      </c>
      <c r="L2380" s="120"/>
      <c r="M2380" s="120"/>
      <c r="N2380" s="120">
        <v>45797</v>
      </c>
      <c r="O2380" s="29" t="s">
        <v>222</v>
      </c>
      <c r="P2380" s="134"/>
      <c r="Q2380" s="156">
        <v>360</v>
      </c>
      <c r="R2380" s="134" t="s">
        <v>1360</v>
      </c>
    </row>
    <row r="2381" spans="1:18" hidden="1">
      <c r="A2381" s="134" t="s">
        <v>1037</v>
      </c>
      <c r="C2381" s="29">
        <v>134500898</v>
      </c>
      <c r="D2381" s="29"/>
      <c r="E2381" s="29"/>
      <c r="F2381" s="29" t="s">
        <v>87</v>
      </c>
      <c r="G2381" s="29" t="s">
        <v>823</v>
      </c>
      <c r="H2381" s="29" t="s">
        <v>38</v>
      </c>
      <c r="I2381" s="120">
        <v>45791</v>
      </c>
      <c r="J2381" s="120">
        <f>WORKDAY(I2381, 3)</f>
        <v>45796</v>
      </c>
      <c r="K2381" s="120">
        <v>45822</v>
      </c>
      <c r="L2381" s="120"/>
      <c r="M2381" s="120"/>
      <c r="N2381" s="120">
        <v>45797</v>
      </c>
      <c r="O2381" s="29" t="s">
        <v>222</v>
      </c>
      <c r="P2381" s="134"/>
      <c r="Q2381" s="156">
        <v>500</v>
      </c>
      <c r="R2381" s="134" t="s">
        <v>1360</v>
      </c>
    </row>
    <row r="2382" spans="1:18" hidden="1">
      <c r="A2382" s="134" t="s">
        <v>1037</v>
      </c>
      <c r="C2382" s="29">
        <v>134500942</v>
      </c>
      <c r="D2382" s="29"/>
      <c r="E2382" s="29"/>
      <c r="F2382" s="29" t="s">
        <v>87</v>
      </c>
      <c r="G2382" s="29" t="s">
        <v>823</v>
      </c>
      <c r="H2382" s="29" t="s">
        <v>38</v>
      </c>
      <c r="I2382" s="120">
        <v>45791</v>
      </c>
      <c r="J2382" s="120">
        <f>WORKDAY(I2382, 3)</f>
        <v>45796</v>
      </c>
      <c r="K2382" s="120">
        <v>45822</v>
      </c>
      <c r="L2382" s="120"/>
      <c r="M2382" s="120"/>
      <c r="N2382" s="120">
        <v>45797</v>
      </c>
      <c r="O2382" s="29" t="s">
        <v>222</v>
      </c>
      <c r="P2382" s="134"/>
      <c r="Q2382" s="156">
        <v>200</v>
      </c>
      <c r="R2382" s="134" t="s">
        <v>1360</v>
      </c>
    </row>
    <row r="2383" spans="1:18" hidden="1">
      <c r="A2383" s="134" t="s">
        <v>1037</v>
      </c>
      <c r="C2383" s="29">
        <v>134500966</v>
      </c>
      <c r="D2383" s="29"/>
      <c r="E2383" s="29"/>
      <c r="F2383" s="29" t="s">
        <v>87</v>
      </c>
      <c r="G2383" s="29" t="s">
        <v>823</v>
      </c>
      <c r="H2383" s="29" t="s">
        <v>38</v>
      </c>
      <c r="I2383" s="120">
        <v>45791</v>
      </c>
      <c r="J2383" s="120">
        <f>WORKDAY(I2383, 3)</f>
        <v>45796</v>
      </c>
      <c r="K2383" s="120">
        <v>45822</v>
      </c>
      <c r="L2383" s="120"/>
      <c r="M2383" s="120"/>
      <c r="N2383" s="120">
        <v>45797</v>
      </c>
      <c r="O2383" s="29" t="s">
        <v>222</v>
      </c>
      <c r="P2383" s="29"/>
      <c r="Q2383" s="156">
        <v>550</v>
      </c>
      <c r="R2383" s="134" t="s">
        <v>1360</v>
      </c>
    </row>
    <row r="2384" spans="1:18" hidden="1">
      <c r="A2384" s="134" t="s">
        <v>1037</v>
      </c>
      <c r="C2384" s="29">
        <v>134500991</v>
      </c>
      <c r="D2384" s="29"/>
      <c r="E2384" s="29"/>
      <c r="F2384" s="29" t="s">
        <v>87</v>
      </c>
      <c r="G2384" s="29" t="s">
        <v>823</v>
      </c>
      <c r="H2384" s="29" t="s">
        <v>38</v>
      </c>
      <c r="I2384" s="120">
        <v>45791</v>
      </c>
      <c r="J2384" s="120">
        <f>WORKDAY(I2384, 3)</f>
        <v>45796</v>
      </c>
      <c r="K2384" s="120">
        <v>45822</v>
      </c>
      <c r="L2384" s="120"/>
      <c r="M2384" s="120"/>
      <c r="N2384" s="120">
        <v>45797</v>
      </c>
      <c r="O2384" s="29" t="s">
        <v>222</v>
      </c>
      <c r="P2384" s="29"/>
      <c r="Q2384" s="156">
        <v>250</v>
      </c>
      <c r="R2384" s="134" t="s">
        <v>1360</v>
      </c>
    </row>
    <row r="2385" spans="1:18" hidden="1">
      <c r="A2385" s="134" t="s">
        <v>1045</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87</v>
      </c>
      <c r="G2386" s="29" t="s">
        <v>823</v>
      </c>
      <c r="H2386" s="29" t="s">
        <v>38</v>
      </c>
      <c r="I2386" s="120">
        <v>45792</v>
      </c>
      <c r="J2386" s="120">
        <f>WORKDAY(I2386, 3)</f>
        <v>45797</v>
      </c>
      <c r="K2386" s="120">
        <v>45823</v>
      </c>
      <c r="L2386" s="120"/>
      <c r="M2386" s="120"/>
      <c r="N2386" s="120">
        <v>45797</v>
      </c>
      <c r="O2386" s="29" t="s">
        <v>222</v>
      </c>
      <c r="P2386" s="29"/>
      <c r="Q2386" s="156">
        <v>300</v>
      </c>
    </row>
    <row r="2387" spans="1:18" hidden="1">
      <c r="A2387" s="134" t="s">
        <v>1155</v>
      </c>
      <c r="C2387" s="29">
        <v>132500119</v>
      </c>
      <c r="D2387" s="29"/>
      <c r="E2387" s="29"/>
      <c r="F2387" s="29" t="s">
        <v>87</v>
      </c>
      <c r="G2387" s="29" t="s">
        <v>823</v>
      </c>
      <c r="H2387" s="29" t="s">
        <v>38</v>
      </c>
      <c r="I2387" s="120">
        <v>45789</v>
      </c>
      <c r="J2387" s="120">
        <f>WORKDAY(I2387, 3)</f>
        <v>45792</v>
      </c>
      <c r="K2387" s="120">
        <v>45820</v>
      </c>
      <c r="L2387" s="120"/>
      <c r="M2387" s="120"/>
      <c r="N2387" s="120">
        <v>45790</v>
      </c>
      <c r="O2387" s="29" t="s">
        <v>222</v>
      </c>
      <c r="P2387" s="29"/>
      <c r="Q2387" s="156">
        <v>1000</v>
      </c>
      <c r="R2387" s="134" t="s">
        <v>1360</v>
      </c>
    </row>
    <row r="2388" spans="1:18" hidden="1">
      <c r="A2388" s="134" t="s">
        <v>1155</v>
      </c>
      <c r="C2388" s="29">
        <v>132500128</v>
      </c>
      <c r="D2388" s="29"/>
      <c r="E2388" s="29"/>
      <c r="F2388" s="29" t="s">
        <v>87</v>
      </c>
      <c r="G2388" s="29" t="s">
        <v>823</v>
      </c>
      <c r="H2388" s="29" t="s">
        <v>38</v>
      </c>
      <c r="I2388" s="120">
        <v>45789</v>
      </c>
      <c r="J2388" s="120">
        <f>WORKDAY(I2388, 3)</f>
        <v>45792</v>
      </c>
      <c r="K2388" s="120">
        <v>45820</v>
      </c>
      <c r="L2388" s="120"/>
      <c r="M2388" s="120"/>
      <c r="N2388" s="120">
        <v>45790</v>
      </c>
      <c r="O2388" s="29" t="s">
        <v>222</v>
      </c>
      <c r="P2388" s="29"/>
      <c r="Q2388" s="156">
        <v>60</v>
      </c>
      <c r="R2388" s="134" t="s">
        <v>1360</v>
      </c>
    </row>
    <row r="2389" spans="1:18" hidden="1">
      <c r="A2389" s="134" t="s">
        <v>1155</v>
      </c>
      <c r="C2389" s="29">
        <v>132500140</v>
      </c>
      <c r="D2389" s="29"/>
      <c r="E2389" s="29"/>
      <c r="F2389" s="29" t="s">
        <v>87</v>
      </c>
      <c r="G2389" s="29" t="s">
        <v>823</v>
      </c>
      <c r="H2389" s="29" t="s">
        <v>38</v>
      </c>
      <c r="I2389" s="120">
        <v>45789</v>
      </c>
      <c r="J2389" s="120">
        <f>WORKDAY(I2389, 3)</f>
        <v>45792</v>
      </c>
      <c r="K2389" s="120">
        <v>45820</v>
      </c>
      <c r="L2389" s="120"/>
      <c r="M2389" s="120"/>
      <c r="N2389" s="120">
        <v>45790</v>
      </c>
      <c r="O2389" s="29" t="s">
        <v>222</v>
      </c>
      <c r="P2389" s="29"/>
      <c r="Q2389" s="156">
        <v>300</v>
      </c>
      <c r="R2389" s="134" t="s">
        <v>1360</v>
      </c>
    </row>
    <row r="2390" spans="1:18" hidden="1">
      <c r="A2390" s="134" t="s">
        <v>1155</v>
      </c>
      <c r="C2390" s="29">
        <v>132500147</v>
      </c>
      <c r="D2390" s="29"/>
      <c r="E2390" s="29"/>
      <c r="F2390" s="29" t="s">
        <v>87</v>
      </c>
      <c r="G2390" s="29" t="s">
        <v>823</v>
      </c>
      <c r="H2390" s="29" t="s">
        <v>38</v>
      </c>
      <c r="I2390" s="120">
        <v>45789</v>
      </c>
      <c r="J2390" s="120">
        <f>WORKDAY(I2390, 3)</f>
        <v>45792</v>
      </c>
      <c r="K2390" s="120">
        <v>45820</v>
      </c>
      <c r="L2390" s="120"/>
      <c r="M2390" s="120"/>
      <c r="N2390" s="120">
        <v>45790</v>
      </c>
      <c r="O2390" s="29" t="s">
        <v>222</v>
      </c>
      <c r="P2390" s="29"/>
      <c r="Q2390" s="156">
        <v>500</v>
      </c>
      <c r="R2390" s="134" t="s">
        <v>1360</v>
      </c>
    </row>
    <row r="2391" spans="1:18" hidden="1">
      <c r="A2391" s="134" t="s">
        <v>1155</v>
      </c>
      <c r="C2391" s="29">
        <v>132500149</v>
      </c>
      <c r="D2391" s="29"/>
      <c r="E2391" s="29"/>
      <c r="F2391" s="29" t="s">
        <v>87</v>
      </c>
      <c r="G2391" s="29" t="s">
        <v>823</v>
      </c>
      <c r="H2391" s="29" t="s">
        <v>38</v>
      </c>
      <c r="I2391" s="120">
        <v>45789</v>
      </c>
      <c r="J2391" s="120">
        <f>WORKDAY(I2391, 3)</f>
        <v>45792</v>
      </c>
      <c r="K2391" s="120">
        <v>45820</v>
      </c>
      <c r="L2391" s="120"/>
      <c r="M2391" s="120"/>
      <c r="N2391" s="120">
        <v>45790</v>
      </c>
      <c r="O2391" s="29" t="s">
        <v>222</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87</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87</v>
      </c>
      <c r="G2400" s="29" t="s">
        <v>823</v>
      </c>
      <c r="H2400" s="29" t="s">
        <v>38</v>
      </c>
      <c r="I2400" s="120">
        <v>45817</v>
      </c>
      <c r="J2400" s="120">
        <f>WORKDAY(I2400, 3)</f>
        <v>45820</v>
      </c>
      <c r="K2400" s="120">
        <v>45847</v>
      </c>
      <c r="L2400" s="120"/>
      <c r="M2400" s="120"/>
      <c r="N2400" s="29"/>
      <c r="O2400" s="29" t="s">
        <v>222</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170</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170</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170</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170</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87</v>
      </c>
      <c r="G2412" s="29" t="s">
        <v>823</v>
      </c>
      <c r="H2412" s="29" t="s">
        <v>38</v>
      </c>
      <c r="I2412" s="120">
        <v>45791</v>
      </c>
      <c r="J2412" s="120">
        <f>WORKDAY(I2412, 3)</f>
        <v>45796</v>
      </c>
      <c r="K2412" s="120">
        <v>45822</v>
      </c>
      <c r="L2412" s="120"/>
      <c r="M2412" s="120"/>
      <c r="N2412" s="120">
        <v>45797</v>
      </c>
      <c r="O2412" s="29" t="s">
        <v>170</v>
      </c>
      <c r="P2412" s="120"/>
      <c r="Q2412" s="156">
        <v>315</v>
      </c>
      <c r="R2412" s="134" t="s">
        <v>928</v>
      </c>
    </row>
    <row r="2413" spans="1:18" hidden="1">
      <c r="A2413" s="134" t="s">
        <v>1150</v>
      </c>
      <c r="C2413" s="29">
        <v>134502005</v>
      </c>
      <c r="D2413" s="29"/>
      <c r="E2413" s="29"/>
      <c r="F2413" s="29" t="s">
        <v>87</v>
      </c>
      <c r="G2413" s="29" t="s">
        <v>823</v>
      </c>
      <c r="H2413" s="29" t="s">
        <v>38</v>
      </c>
      <c r="I2413" s="120">
        <v>45791</v>
      </c>
      <c r="J2413" s="120">
        <f>WORKDAY(I2413, 3)</f>
        <v>45796</v>
      </c>
      <c r="K2413" s="120">
        <v>45822</v>
      </c>
      <c r="L2413" s="120"/>
      <c r="M2413" s="120"/>
      <c r="N2413" s="120">
        <v>45797</v>
      </c>
      <c r="O2413" s="29" t="s">
        <v>170</v>
      </c>
      <c r="P2413" s="120"/>
      <c r="Q2413" s="156">
        <v>50</v>
      </c>
      <c r="R2413" s="134" t="s">
        <v>928</v>
      </c>
    </row>
    <row r="2414" spans="1:18" hidden="1">
      <c r="A2414" s="134" t="s">
        <v>1150</v>
      </c>
      <c r="C2414" s="29">
        <v>134502258</v>
      </c>
      <c r="D2414" s="29"/>
      <c r="E2414" s="29"/>
      <c r="F2414" s="29" t="s">
        <v>87</v>
      </c>
      <c r="G2414" s="29" t="s">
        <v>823</v>
      </c>
      <c r="H2414" s="29" t="s">
        <v>38</v>
      </c>
      <c r="I2414" s="120">
        <v>45791</v>
      </c>
      <c r="J2414" s="120">
        <f>WORKDAY(I2414, 3)</f>
        <v>45796</v>
      </c>
      <c r="K2414" s="120">
        <v>45822</v>
      </c>
      <c r="L2414" s="120"/>
      <c r="M2414" s="120"/>
      <c r="N2414" s="120">
        <v>45797</v>
      </c>
      <c r="O2414" s="29" t="s">
        <v>170</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87</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87</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87</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87</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87</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87</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87</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87</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87</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290</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1398</v>
      </c>
      <c r="C2433" s="29">
        <v>160503596</v>
      </c>
      <c r="D2433" s="29"/>
      <c r="E2433" s="29"/>
      <c r="F2433" s="29" t="s">
        <v>87</v>
      </c>
      <c r="G2433" s="29" t="s">
        <v>823</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1398</v>
      </c>
      <c r="C2434" s="29">
        <v>160503427</v>
      </c>
      <c r="D2434" s="29"/>
      <c r="E2434" s="29"/>
      <c r="F2434" s="29" t="s">
        <v>87</v>
      </c>
      <c r="G2434" s="29" t="s">
        <v>823</v>
      </c>
      <c r="H2434" s="29" t="s">
        <v>38</v>
      </c>
      <c r="I2434" s="120">
        <v>45817</v>
      </c>
      <c r="J2434" s="120">
        <f>WORKDAY(I2434, 3)</f>
        <v>45820</v>
      </c>
      <c r="K2434" s="120">
        <v>45847</v>
      </c>
      <c r="L2434" s="120"/>
      <c r="M2434" s="120"/>
      <c r="N2434" s="29"/>
      <c r="O2434" s="29" t="s">
        <v>170</v>
      </c>
      <c r="P2434" s="120"/>
      <c r="Q2434" s="156">
        <v>450</v>
      </c>
    </row>
    <row r="2435" spans="1:18" hidden="1">
      <c r="A2435" s="134" t="s">
        <v>1398</v>
      </c>
      <c r="C2435" s="29">
        <v>160503513</v>
      </c>
      <c r="D2435" s="29"/>
      <c r="E2435" s="29"/>
      <c r="F2435" s="29" t="s">
        <v>87</v>
      </c>
      <c r="G2435" s="29" t="s">
        <v>823</v>
      </c>
      <c r="H2435" s="29" t="s">
        <v>38</v>
      </c>
      <c r="I2435" s="120">
        <v>45817</v>
      </c>
      <c r="J2435" s="120">
        <f>WORKDAY(I2435, 3)</f>
        <v>45820</v>
      </c>
      <c r="K2435" s="120">
        <v>45847</v>
      </c>
      <c r="L2435" s="120"/>
      <c r="M2435" s="120"/>
      <c r="N2435" s="29"/>
      <c r="O2435" s="29" t="s">
        <v>170</v>
      </c>
      <c r="P2435" s="120"/>
      <c r="Q2435" s="156">
        <v>1260</v>
      </c>
    </row>
    <row r="2436" spans="1:18" hidden="1">
      <c r="A2436" s="134" t="s">
        <v>1398</v>
      </c>
      <c r="C2436" s="29">
        <v>160503625</v>
      </c>
      <c r="D2436" s="29"/>
      <c r="E2436" s="29"/>
      <c r="F2436" s="29" t="s">
        <v>87</v>
      </c>
      <c r="G2436" s="29" t="s">
        <v>823</v>
      </c>
      <c r="H2436" s="29" t="s">
        <v>38</v>
      </c>
      <c r="I2436" s="120">
        <v>45817</v>
      </c>
      <c r="J2436" s="120">
        <f>WORKDAY(I2436, 3)</f>
        <v>45820</v>
      </c>
      <c r="K2436" s="120">
        <v>45847</v>
      </c>
      <c r="L2436" s="120"/>
      <c r="M2436" s="120"/>
      <c r="N2436" s="29"/>
      <c r="O2436" s="29" t="s">
        <v>170</v>
      </c>
      <c r="P2436" s="120"/>
      <c r="Q2436" s="156">
        <v>1500</v>
      </c>
    </row>
    <row r="2437" spans="1:18" hidden="1">
      <c r="A2437" s="134" t="s">
        <v>1398</v>
      </c>
      <c r="C2437" s="29">
        <v>160503705</v>
      </c>
      <c r="D2437" s="29"/>
      <c r="E2437" s="29"/>
      <c r="F2437" s="29" t="s">
        <v>87</v>
      </c>
      <c r="G2437" s="29" t="s">
        <v>823</v>
      </c>
      <c r="H2437" s="29" t="s">
        <v>38</v>
      </c>
      <c r="I2437" s="120">
        <v>45817</v>
      </c>
      <c r="J2437" s="120">
        <f>WORKDAY(I2437, 3)</f>
        <v>45820</v>
      </c>
      <c r="K2437" s="120">
        <v>45847</v>
      </c>
      <c r="L2437" s="120"/>
      <c r="M2437" s="120"/>
      <c r="N2437" s="29"/>
      <c r="O2437" s="29" t="s">
        <v>170</v>
      </c>
      <c r="P2437" s="120"/>
      <c r="Q2437" s="156">
        <v>40</v>
      </c>
    </row>
    <row r="2438" spans="1:18" hidden="1">
      <c r="A2438" s="134" t="s">
        <v>1398</v>
      </c>
      <c r="C2438" s="29">
        <v>160503793</v>
      </c>
      <c r="D2438" s="29"/>
      <c r="E2438" s="29"/>
      <c r="F2438" s="29" t="s">
        <v>87</v>
      </c>
      <c r="G2438" s="29" t="s">
        <v>823</v>
      </c>
      <c r="H2438" s="29" t="s">
        <v>38</v>
      </c>
      <c r="I2438" s="120">
        <v>45817</v>
      </c>
      <c r="J2438" s="120">
        <f>WORKDAY(I2438, 3)</f>
        <v>45820</v>
      </c>
      <c r="K2438" s="120">
        <v>45847</v>
      </c>
      <c r="L2438" s="120"/>
      <c r="M2438" s="120"/>
      <c r="N2438" s="29"/>
      <c r="O2438" s="29" t="s">
        <v>170</v>
      </c>
      <c r="P2438" s="120"/>
      <c r="Q2438" s="156">
        <v>1100</v>
      </c>
    </row>
    <row r="2439" spans="1:18" hidden="1">
      <c r="A2439" s="134" t="s">
        <v>1398</v>
      </c>
      <c r="C2439" s="29">
        <v>160503894</v>
      </c>
      <c r="D2439" s="29"/>
      <c r="E2439" s="29"/>
      <c r="F2439" s="29" t="s">
        <v>87</v>
      </c>
      <c r="G2439" s="29" t="s">
        <v>823</v>
      </c>
      <c r="H2439" s="29" t="s">
        <v>38</v>
      </c>
      <c r="I2439" s="120">
        <v>45817</v>
      </c>
      <c r="J2439" s="120">
        <f>WORKDAY(I2439, 3)</f>
        <v>45820</v>
      </c>
      <c r="K2439" s="120">
        <v>45847</v>
      </c>
      <c r="L2439" s="120"/>
      <c r="M2439" s="120"/>
      <c r="N2439" s="29"/>
      <c r="O2439" s="29" t="s">
        <v>170</v>
      </c>
      <c r="P2439" s="120"/>
      <c r="Q2439" s="156">
        <v>570</v>
      </c>
    </row>
    <row r="2440" spans="1:18" hidden="1">
      <c r="A2440" s="134" t="s">
        <v>1398</v>
      </c>
      <c r="C2440" s="29">
        <v>160504211</v>
      </c>
      <c r="D2440" s="29"/>
      <c r="E2440" s="29"/>
      <c r="F2440" s="29" t="s">
        <v>87</v>
      </c>
      <c r="G2440" s="29" t="s">
        <v>823</v>
      </c>
      <c r="H2440" s="29" t="s">
        <v>38</v>
      </c>
      <c r="I2440" s="120">
        <v>45817</v>
      </c>
      <c r="J2440" s="120">
        <f>WORKDAY(I2440, 3)</f>
        <v>45820</v>
      </c>
      <c r="K2440" s="120">
        <v>45847</v>
      </c>
      <c r="L2440" s="120"/>
      <c r="M2440" s="120"/>
      <c r="N2440" s="29"/>
      <c r="O2440" s="29" t="s">
        <v>170</v>
      </c>
      <c r="P2440" s="120"/>
      <c r="Q2440" s="156">
        <v>200</v>
      </c>
    </row>
    <row r="2441" spans="1:18" hidden="1">
      <c r="A2441" s="134" t="s">
        <v>1398</v>
      </c>
      <c r="C2441" s="29">
        <v>160504235</v>
      </c>
      <c r="D2441" s="29"/>
      <c r="E2441" s="29"/>
      <c r="F2441" s="29" t="s">
        <v>87</v>
      </c>
      <c r="G2441" s="29" t="s">
        <v>823</v>
      </c>
      <c r="H2441" s="29" t="s">
        <v>38</v>
      </c>
      <c r="I2441" s="120">
        <v>45817</v>
      </c>
      <c r="J2441" s="120">
        <f>WORKDAY(I2441, 3)</f>
        <v>45820</v>
      </c>
      <c r="K2441" s="120">
        <v>45847</v>
      </c>
      <c r="L2441" s="120"/>
      <c r="M2441" s="120"/>
      <c r="N2441" s="29"/>
      <c r="O2441" s="29" t="s">
        <v>170</v>
      </c>
      <c r="P2441" s="120"/>
      <c r="Q2441" s="156">
        <v>250</v>
      </c>
    </row>
    <row r="2442" spans="1:18" hidden="1">
      <c r="A2442" s="134" t="s">
        <v>1398</v>
      </c>
      <c r="C2442" s="29">
        <v>160504281</v>
      </c>
      <c r="D2442" s="29"/>
      <c r="E2442" s="29"/>
      <c r="F2442" s="29" t="s">
        <v>87</v>
      </c>
      <c r="G2442" s="29" t="s">
        <v>823</v>
      </c>
      <c r="H2442" s="29" t="s">
        <v>38</v>
      </c>
      <c r="I2442" s="120">
        <v>45817</v>
      </c>
      <c r="J2442" s="120">
        <f>WORKDAY(I2442, 3)</f>
        <v>45820</v>
      </c>
      <c r="K2442" s="120">
        <v>45847</v>
      </c>
      <c r="L2442" s="120"/>
      <c r="M2442" s="120"/>
      <c r="N2442" s="29"/>
      <c r="O2442" s="29" t="s">
        <v>170</v>
      </c>
      <c r="P2442" s="120"/>
      <c r="Q2442" s="156">
        <v>530</v>
      </c>
    </row>
    <row r="2443" spans="1:18" hidden="1">
      <c r="A2443" s="134" t="s">
        <v>1399</v>
      </c>
      <c r="C2443" s="29">
        <v>161503640</v>
      </c>
      <c r="D2443" s="29"/>
      <c r="E2443" s="29"/>
      <c r="F2443" s="29" t="s">
        <v>87</v>
      </c>
      <c r="G2443" s="29" t="s">
        <v>823</v>
      </c>
      <c r="H2443" s="29" t="s">
        <v>38</v>
      </c>
      <c r="I2443" s="120">
        <v>45818</v>
      </c>
      <c r="J2443" s="120">
        <f>WORKDAY(I2443, 3)</f>
        <v>45821</v>
      </c>
      <c r="K2443" s="120">
        <v>45848</v>
      </c>
      <c r="L2443" s="120"/>
      <c r="M2443" s="120"/>
      <c r="N2443" s="120">
        <v>45825</v>
      </c>
      <c r="O2443" s="29" t="s">
        <v>170</v>
      </c>
      <c r="P2443" s="120"/>
      <c r="Q2443" s="156">
        <v>65</v>
      </c>
    </row>
    <row r="2444" spans="1:18" hidden="1">
      <c r="A2444" s="134" t="s">
        <v>1158</v>
      </c>
      <c r="C2444" s="29">
        <v>134501393</v>
      </c>
      <c r="D2444" s="29"/>
      <c r="E2444" s="29"/>
      <c r="F2444" s="29" t="s">
        <v>87</v>
      </c>
      <c r="G2444" s="29" t="s">
        <v>823</v>
      </c>
      <c r="H2444" s="29" t="s">
        <v>38</v>
      </c>
      <c r="I2444" s="120">
        <v>45791</v>
      </c>
      <c r="J2444" s="120">
        <f>WORKDAY(I2444, 3)</f>
        <v>45796</v>
      </c>
      <c r="K2444" s="120">
        <v>45822</v>
      </c>
      <c r="L2444" s="120"/>
      <c r="M2444" s="120"/>
      <c r="N2444" s="120">
        <v>45797</v>
      </c>
      <c r="O2444" s="29" t="s">
        <v>222</v>
      </c>
      <c r="P2444" s="29"/>
      <c r="Q2444" s="156">
        <v>685</v>
      </c>
      <c r="R2444" s="134" t="s">
        <v>1393</v>
      </c>
    </row>
    <row r="2445" spans="1:18" hidden="1">
      <c r="A2445" s="134" t="s">
        <v>1158</v>
      </c>
      <c r="C2445" s="29">
        <v>134502372</v>
      </c>
      <c r="D2445" s="29"/>
      <c r="E2445" s="29"/>
      <c r="F2445" s="29" t="s">
        <v>87</v>
      </c>
      <c r="G2445" s="29" t="s">
        <v>823</v>
      </c>
      <c r="H2445" s="29" t="s">
        <v>38</v>
      </c>
      <c r="I2445" s="120">
        <v>45791</v>
      </c>
      <c r="J2445" s="120">
        <f>WORKDAY(I2445, 3)</f>
        <v>45796</v>
      </c>
      <c r="K2445" s="120">
        <v>45822</v>
      </c>
      <c r="L2445" s="120"/>
      <c r="M2445" s="120"/>
      <c r="N2445" s="120">
        <v>45797</v>
      </c>
      <c r="O2445" s="29" t="s">
        <v>222</v>
      </c>
      <c r="P2445" s="29"/>
      <c r="Q2445" s="156">
        <v>250</v>
      </c>
      <c r="R2445" s="134" t="s">
        <v>1360</v>
      </c>
    </row>
    <row r="2446" spans="1:18" hidden="1">
      <c r="A2446" s="134" t="s">
        <v>1158</v>
      </c>
      <c r="C2446" s="29">
        <v>134502391</v>
      </c>
      <c r="D2446" s="29"/>
      <c r="E2446" s="29"/>
      <c r="F2446" s="29" t="s">
        <v>87</v>
      </c>
      <c r="G2446" s="29" t="s">
        <v>823</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1058</v>
      </c>
      <c r="C2447" s="29">
        <v>134501374</v>
      </c>
      <c r="D2447" s="29"/>
      <c r="E2447" s="29"/>
      <c r="F2447" s="29" t="s">
        <v>87</v>
      </c>
      <c r="G2447" s="29" t="s">
        <v>823</v>
      </c>
      <c r="H2447" s="29" t="s">
        <v>38</v>
      </c>
      <c r="I2447" s="120">
        <v>45791</v>
      </c>
      <c r="J2447" s="120">
        <f>WORKDAY(I2447, 3)</f>
        <v>45796</v>
      </c>
      <c r="K2447" s="120">
        <v>45822</v>
      </c>
      <c r="L2447" s="120"/>
      <c r="M2447" s="120"/>
      <c r="N2447" s="120">
        <v>45797</v>
      </c>
      <c r="O2447" s="29" t="s">
        <v>222</v>
      </c>
      <c r="P2447" s="29"/>
      <c r="Q2447" s="156">
        <v>1000</v>
      </c>
      <c r="R2447" s="134" t="s">
        <v>1393</v>
      </c>
    </row>
    <row r="2448" spans="1:18" hidden="1">
      <c r="A2448" s="134" t="s">
        <v>1058</v>
      </c>
      <c r="C2448" s="29">
        <v>134501433</v>
      </c>
      <c r="D2448" s="29"/>
      <c r="E2448" s="29"/>
      <c r="F2448" s="29" t="s">
        <v>87</v>
      </c>
      <c r="G2448" s="29" t="s">
        <v>823</v>
      </c>
      <c r="H2448" s="29" t="s">
        <v>38</v>
      </c>
      <c r="I2448" s="120">
        <v>45791</v>
      </c>
      <c r="J2448" s="120">
        <f>WORKDAY(I2448, 3)</f>
        <v>45796</v>
      </c>
      <c r="K2448" s="120">
        <v>45822</v>
      </c>
      <c r="L2448" s="120"/>
      <c r="M2448" s="120"/>
      <c r="N2448" s="120">
        <v>45797</v>
      </c>
      <c r="O2448" s="29" t="s">
        <v>222</v>
      </c>
      <c r="P2448" s="29"/>
      <c r="Q2448" s="156">
        <v>700</v>
      </c>
      <c r="R2448" s="134" t="s">
        <v>1393</v>
      </c>
    </row>
    <row r="2449" spans="1:18" hidden="1">
      <c r="A2449" s="134" t="s">
        <v>1058</v>
      </c>
      <c r="C2449" s="29">
        <v>134501442</v>
      </c>
      <c r="D2449" s="29"/>
      <c r="E2449" s="29"/>
      <c r="F2449" s="29" t="s">
        <v>87</v>
      </c>
      <c r="G2449" s="29" t="s">
        <v>823</v>
      </c>
      <c r="H2449" s="29" t="s">
        <v>38</v>
      </c>
      <c r="I2449" s="120">
        <v>45791</v>
      </c>
      <c r="J2449" s="120">
        <f>WORKDAY(I2449, 3)</f>
        <v>45796</v>
      </c>
      <c r="K2449" s="120">
        <v>45822</v>
      </c>
      <c r="L2449" s="120"/>
      <c r="M2449" s="120"/>
      <c r="N2449" s="120">
        <v>45797</v>
      </c>
      <c r="O2449" s="29" t="s">
        <v>222</v>
      </c>
      <c r="P2449" s="29"/>
      <c r="Q2449" s="156">
        <v>610</v>
      </c>
      <c r="R2449" s="134" t="s">
        <v>1400</v>
      </c>
    </row>
    <row r="2450" spans="1:18" hidden="1">
      <c r="A2450" s="134" t="s">
        <v>1058</v>
      </c>
      <c r="C2450" s="29">
        <v>134501489</v>
      </c>
      <c r="D2450" s="29"/>
      <c r="E2450" s="29"/>
      <c r="F2450" s="29" t="s">
        <v>87</v>
      </c>
      <c r="G2450" s="29" t="s">
        <v>823</v>
      </c>
      <c r="H2450" s="29" t="s">
        <v>38</v>
      </c>
      <c r="I2450" s="120">
        <v>45791</v>
      </c>
      <c r="J2450" s="120">
        <f>WORKDAY(I2450, 3)</f>
        <v>45796</v>
      </c>
      <c r="K2450" s="120">
        <v>45822</v>
      </c>
      <c r="L2450" s="120"/>
      <c r="M2450" s="120"/>
      <c r="N2450" s="120">
        <v>45797</v>
      </c>
      <c r="O2450" s="29" t="s">
        <v>222</v>
      </c>
      <c r="P2450" s="29"/>
      <c r="Q2450" s="156">
        <v>350</v>
      </c>
      <c r="R2450" s="134" t="s">
        <v>1393</v>
      </c>
    </row>
    <row r="2451" spans="1:18" hidden="1">
      <c r="A2451" s="134" t="s">
        <v>1058</v>
      </c>
      <c r="C2451" s="29">
        <v>134502403</v>
      </c>
      <c r="D2451" s="29"/>
      <c r="E2451" s="29"/>
      <c r="F2451" s="29" t="s">
        <v>87</v>
      </c>
      <c r="G2451" s="29" t="s">
        <v>823</v>
      </c>
      <c r="H2451" s="29" t="s">
        <v>38</v>
      </c>
      <c r="I2451" s="120">
        <v>45791</v>
      </c>
      <c r="J2451" s="120">
        <f>WORKDAY(I2451, 3)</f>
        <v>45796</v>
      </c>
      <c r="K2451" s="120">
        <v>45822</v>
      </c>
      <c r="L2451" s="120"/>
      <c r="M2451" s="120"/>
      <c r="N2451" s="120">
        <v>45797</v>
      </c>
      <c r="O2451" s="29" t="s">
        <v>222</v>
      </c>
      <c r="P2451" s="29"/>
      <c r="Q2451" s="156">
        <v>750</v>
      </c>
      <c r="R2451" s="134" t="s">
        <v>1393</v>
      </c>
    </row>
    <row r="2452" spans="1:18" hidden="1">
      <c r="A2452" s="134" t="s">
        <v>1137</v>
      </c>
      <c r="C2452" s="29">
        <v>134501629</v>
      </c>
      <c r="D2452" s="29"/>
      <c r="E2452" s="29"/>
      <c r="F2452" s="29" t="s">
        <v>87</v>
      </c>
      <c r="G2452" s="29" t="s">
        <v>823</v>
      </c>
      <c r="H2452" s="29" t="s">
        <v>38</v>
      </c>
      <c r="I2452" s="120">
        <v>45791</v>
      </c>
      <c r="J2452" s="120">
        <f>WORKDAY(I2452, 3)</f>
        <v>45796</v>
      </c>
      <c r="K2452" s="120">
        <v>45822</v>
      </c>
      <c r="L2452" s="120"/>
      <c r="M2452" s="120"/>
      <c r="N2452" s="120">
        <v>45797</v>
      </c>
      <c r="O2452" s="29" t="s">
        <v>222</v>
      </c>
      <c r="P2452" s="29"/>
      <c r="Q2452" s="156">
        <v>330</v>
      </c>
      <c r="R2452" s="134" t="s">
        <v>1360</v>
      </c>
    </row>
    <row r="2453" spans="1:18" hidden="1">
      <c r="A2453" s="134" t="s">
        <v>1137</v>
      </c>
      <c r="C2453" s="29">
        <v>134501815</v>
      </c>
      <c r="D2453" s="29"/>
      <c r="E2453" s="29"/>
      <c r="F2453" s="29" t="s">
        <v>87</v>
      </c>
      <c r="G2453" s="29" t="s">
        <v>823</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1134</v>
      </c>
      <c r="C2454" s="29">
        <v>134501911</v>
      </c>
      <c r="D2454" s="29"/>
      <c r="E2454" s="29"/>
      <c r="F2454" s="29" t="s">
        <v>87</v>
      </c>
      <c r="G2454" s="29" t="s">
        <v>823</v>
      </c>
      <c r="H2454" s="29" t="s">
        <v>38</v>
      </c>
      <c r="I2454" s="120">
        <v>45791</v>
      </c>
      <c r="J2454" s="120">
        <f>WORKDAY(I2454, 3)</f>
        <v>45796</v>
      </c>
      <c r="K2454" s="120">
        <v>45822</v>
      </c>
      <c r="L2454" s="120"/>
      <c r="M2454" s="120"/>
      <c r="N2454" s="120">
        <v>45797</v>
      </c>
      <c r="O2454" s="29" t="s">
        <v>222</v>
      </c>
      <c r="P2454" s="29"/>
      <c r="Q2454" s="156">
        <v>1400</v>
      </c>
      <c r="R2454" s="134" t="s">
        <v>1401</v>
      </c>
    </row>
    <row r="2455" spans="1:18" hidden="1">
      <c r="A2455" s="134" t="s">
        <v>1134</v>
      </c>
      <c r="C2455" s="29">
        <v>134501456</v>
      </c>
      <c r="D2455" s="29"/>
      <c r="E2455" s="29"/>
      <c r="F2455" s="29" t="s">
        <v>87</v>
      </c>
      <c r="G2455" s="29" t="s">
        <v>823</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1136</v>
      </c>
      <c r="C2456" s="29">
        <v>134502311</v>
      </c>
      <c r="D2456" s="29"/>
      <c r="E2456" s="29"/>
      <c r="F2456" s="29" t="s">
        <v>87</v>
      </c>
      <c r="G2456" s="29" t="s">
        <v>823</v>
      </c>
      <c r="H2456" s="29" t="s">
        <v>38</v>
      </c>
      <c r="I2456" s="120">
        <v>45791</v>
      </c>
      <c r="J2456" s="120">
        <f>WORKDAY(I2456, 3)</f>
        <v>45796</v>
      </c>
      <c r="K2456" s="120">
        <v>45822</v>
      </c>
      <c r="L2456" s="120"/>
      <c r="M2456" s="120"/>
      <c r="N2456" s="120">
        <v>45797</v>
      </c>
      <c r="O2456" s="29" t="s">
        <v>222</v>
      </c>
      <c r="P2456" s="29"/>
      <c r="Q2456" s="156">
        <v>150</v>
      </c>
      <c r="R2456" s="134" t="s">
        <v>1360</v>
      </c>
    </row>
    <row r="2457" spans="1:18" hidden="1">
      <c r="A2457" s="134" t="s">
        <v>1136</v>
      </c>
      <c r="C2457" s="29">
        <v>134502355</v>
      </c>
      <c r="D2457" s="29"/>
      <c r="E2457" s="29"/>
      <c r="F2457" s="29" t="s">
        <v>87</v>
      </c>
      <c r="G2457" s="29" t="s">
        <v>823</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1158</v>
      </c>
      <c r="C2458" s="29">
        <v>135500110</v>
      </c>
      <c r="D2458" s="29"/>
      <c r="E2458" s="29"/>
      <c r="F2458" s="29" t="s">
        <v>87</v>
      </c>
      <c r="G2458" s="29" t="s">
        <v>823</v>
      </c>
      <c r="H2458" s="29" t="s">
        <v>38</v>
      </c>
      <c r="I2458" s="120">
        <v>45792</v>
      </c>
      <c r="J2458" s="120">
        <f>WORKDAY(I2458, 3)</f>
        <v>45797</v>
      </c>
      <c r="K2458" s="120">
        <v>45823</v>
      </c>
      <c r="L2458" s="120"/>
      <c r="M2458" s="120"/>
      <c r="N2458" s="120">
        <v>45797</v>
      </c>
      <c r="O2458" s="29" t="s">
        <v>222</v>
      </c>
      <c r="P2458" s="29"/>
      <c r="Q2458" s="156">
        <v>250</v>
      </c>
      <c r="R2458" s="134" t="s">
        <v>1395</v>
      </c>
    </row>
    <row r="2459" spans="1:18" hidden="1">
      <c r="A2459" s="134" t="s">
        <v>1158</v>
      </c>
      <c r="C2459" s="29">
        <v>135501053</v>
      </c>
      <c r="D2459" s="29"/>
      <c r="E2459" s="29"/>
      <c r="F2459" s="29" t="s">
        <v>87</v>
      </c>
      <c r="G2459" s="29" t="s">
        <v>823</v>
      </c>
      <c r="H2459" s="29" t="s">
        <v>38</v>
      </c>
      <c r="I2459" s="120">
        <v>45792</v>
      </c>
      <c r="J2459" s="120">
        <f>WORKDAY(I2459, 3)</f>
        <v>45797</v>
      </c>
      <c r="K2459" s="120">
        <v>45823</v>
      </c>
      <c r="L2459" s="120"/>
      <c r="M2459" s="120"/>
      <c r="N2459" s="120">
        <v>45797</v>
      </c>
      <c r="O2459" s="29" t="s">
        <v>222</v>
      </c>
      <c r="P2459" s="29"/>
      <c r="Q2459" s="156">
        <v>375</v>
      </c>
      <c r="R2459" s="134" t="s">
        <v>1393</v>
      </c>
    </row>
    <row r="2460" spans="1:18" hidden="1">
      <c r="A2460" s="134" t="s">
        <v>1158</v>
      </c>
      <c r="C2460" s="29">
        <v>135501062</v>
      </c>
      <c r="D2460" s="29"/>
      <c r="E2460" s="29"/>
      <c r="F2460" s="29" t="s">
        <v>87</v>
      </c>
      <c r="G2460" s="29" t="s">
        <v>823</v>
      </c>
      <c r="H2460" s="29" t="s">
        <v>38</v>
      </c>
      <c r="I2460" s="120">
        <v>45792</v>
      </c>
      <c r="J2460" s="120">
        <f>WORKDAY(I2460, 3)</f>
        <v>45797</v>
      </c>
      <c r="K2460" s="120">
        <v>45823</v>
      </c>
      <c r="L2460" s="120"/>
      <c r="M2460" s="120"/>
      <c r="N2460" s="120">
        <v>45797</v>
      </c>
      <c r="O2460" s="29" t="s">
        <v>222</v>
      </c>
      <c r="P2460" s="29"/>
      <c r="Q2460" s="156">
        <v>165</v>
      </c>
      <c r="R2460" s="134" t="s">
        <v>1393</v>
      </c>
    </row>
    <row r="2461" spans="1:18" hidden="1">
      <c r="A2461" s="134" t="s">
        <v>1058</v>
      </c>
      <c r="C2461" s="29">
        <v>135500109</v>
      </c>
      <c r="D2461" s="29"/>
      <c r="E2461" s="29"/>
      <c r="F2461" s="29" t="s">
        <v>87</v>
      </c>
      <c r="G2461" s="29" t="s">
        <v>823</v>
      </c>
      <c r="H2461" s="29" t="s">
        <v>38</v>
      </c>
      <c r="I2461" s="120">
        <v>45792</v>
      </c>
      <c r="J2461" s="120">
        <f>WORKDAY(I2461, 3)</f>
        <v>45797</v>
      </c>
      <c r="K2461" s="120">
        <v>45823</v>
      </c>
      <c r="L2461" s="120"/>
      <c r="M2461" s="120"/>
      <c r="N2461" s="120">
        <v>45797</v>
      </c>
      <c r="O2461" s="29" t="s">
        <v>222</v>
      </c>
      <c r="P2461" s="29"/>
      <c r="Q2461" s="156">
        <v>610</v>
      </c>
      <c r="R2461" s="134" t="s">
        <v>1395</v>
      </c>
    </row>
    <row r="2462" spans="1:18" hidden="1">
      <c r="A2462" s="134" t="s">
        <v>1137</v>
      </c>
      <c r="C2462" s="29">
        <v>135500113</v>
      </c>
      <c r="D2462" s="29"/>
      <c r="E2462" s="29"/>
      <c r="F2462" s="29" t="s">
        <v>87</v>
      </c>
      <c r="G2462" s="29" t="s">
        <v>823</v>
      </c>
      <c r="H2462" s="29" t="s">
        <v>38</v>
      </c>
      <c r="I2462" s="120">
        <v>45792</v>
      </c>
      <c r="J2462" s="120">
        <f>WORKDAY(I2462, 3)</f>
        <v>45797</v>
      </c>
      <c r="K2462" s="120">
        <v>45823</v>
      </c>
      <c r="L2462" s="120"/>
      <c r="M2462" s="120"/>
      <c r="N2462" s="120">
        <v>45797</v>
      </c>
      <c r="O2462" s="29" t="s">
        <v>222</v>
      </c>
      <c r="P2462" s="29"/>
      <c r="Q2462" s="156">
        <v>60</v>
      </c>
      <c r="R2462" s="134" t="s">
        <v>1360</v>
      </c>
    </row>
    <row r="2463" spans="1:18" hidden="1">
      <c r="A2463" s="134" t="s">
        <v>1137</v>
      </c>
      <c r="C2463" s="29">
        <v>135500114</v>
      </c>
      <c r="D2463" s="29"/>
      <c r="E2463" s="29"/>
      <c r="F2463" s="29" t="s">
        <v>87</v>
      </c>
      <c r="G2463" s="29" t="s">
        <v>823</v>
      </c>
      <c r="H2463" s="29" t="s">
        <v>38</v>
      </c>
      <c r="I2463" s="120">
        <v>45792</v>
      </c>
      <c r="J2463" s="120">
        <f>WORKDAY(I2463, 3)</f>
        <v>45797</v>
      </c>
      <c r="K2463" s="120">
        <v>45823</v>
      </c>
      <c r="L2463" s="120"/>
      <c r="M2463" s="120"/>
      <c r="N2463" s="120">
        <v>45797</v>
      </c>
      <c r="O2463" s="29" t="s">
        <v>222</v>
      </c>
      <c r="P2463" s="29"/>
      <c r="Q2463" s="156">
        <v>450</v>
      </c>
      <c r="R2463" s="134" t="s">
        <v>1401</v>
      </c>
    </row>
    <row r="2464" spans="1:18" hidden="1">
      <c r="A2464" s="134" t="s">
        <v>1137</v>
      </c>
      <c r="C2464" s="29">
        <v>135500115</v>
      </c>
      <c r="D2464" s="29"/>
      <c r="E2464" s="29"/>
      <c r="F2464" s="29" t="s">
        <v>87</v>
      </c>
      <c r="G2464" s="29" t="s">
        <v>823</v>
      </c>
      <c r="H2464" s="29" t="s">
        <v>38</v>
      </c>
      <c r="I2464" s="120">
        <v>45792</v>
      </c>
      <c r="J2464" s="120">
        <f>WORKDAY(I2464, 3)</f>
        <v>45797</v>
      </c>
      <c r="K2464" s="120">
        <v>45823</v>
      </c>
      <c r="L2464" s="120"/>
      <c r="M2464" s="120"/>
      <c r="N2464" s="120">
        <v>45797</v>
      </c>
      <c r="O2464" s="29" t="s">
        <v>222</v>
      </c>
      <c r="P2464" s="29"/>
      <c r="Q2464" s="156">
        <v>500</v>
      </c>
      <c r="R2464" s="134" t="s">
        <v>1401</v>
      </c>
    </row>
    <row r="2465" spans="1:18" hidden="1">
      <c r="A2465" s="134" t="s">
        <v>1137</v>
      </c>
      <c r="C2465" s="29">
        <v>135500117</v>
      </c>
      <c r="D2465" s="29"/>
      <c r="E2465" s="29"/>
      <c r="F2465" s="29" t="s">
        <v>87</v>
      </c>
      <c r="G2465" s="29" t="s">
        <v>823</v>
      </c>
      <c r="H2465" s="29" t="s">
        <v>38</v>
      </c>
      <c r="I2465" s="120">
        <v>45792</v>
      </c>
      <c r="J2465" s="120">
        <f>WORKDAY(I2465, 3)</f>
        <v>45797</v>
      </c>
      <c r="K2465" s="120">
        <v>45823</v>
      </c>
      <c r="L2465" s="120"/>
      <c r="M2465" s="120"/>
      <c r="N2465" s="120">
        <v>45797</v>
      </c>
      <c r="O2465" s="29" t="s">
        <v>222</v>
      </c>
      <c r="P2465" s="29"/>
      <c r="Q2465" s="156">
        <v>640</v>
      </c>
      <c r="R2465" s="134" t="s">
        <v>1401</v>
      </c>
    </row>
    <row r="2466" spans="1:18" hidden="1">
      <c r="A2466" s="134" t="s">
        <v>1137</v>
      </c>
      <c r="C2466" s="29">
        <v>135501075</v>
      </c>
      <c r="D2466" s="29"/>
      <c r="E2466" s="29"/>
      <c r="F2466" s="29" t="s">
        <v>87</v>
      </c>
      <c r="G2466" s="29" t="s">
        <v>823</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1134</v>
      </c>
      <c r="C2467" s="29">
        <v>135501040</v>
      </c>
      <c r="D2467" s="29"/>
      <c r="E2467" s="29"/>
      <c r="F2467" s="29" t="s">
        <v>87</v>
      </c>
      <c r="G2467" s="29" t="s">
        <v>823</v>
      </c>
      <c r="H2467" s="29" t="s">
        <v>38</v>
      </c>
      <c r="I2467" s="120">
        <v>45792</v>
      </c>
      <c r="J2467" s="120">
        <f>WORKDAY(I2467, 3)</f>
        <v>45797</v>
      </c>
      <c r="K2467" s="120">
        <v>45823</v>
      </c>
      <c r="L2467" s="120"/>
      <c r="M2467" s="120"/>
      <c r="N2467" s="120">
        <v>45797</v>
      </c>
      <c r="O2467" s="29" t="s">
        <v>222</v>
      </c>
      <c r="P2467" s="29"/>
      <c r="Q2467" s="156">
        <v>700</v>
      </c>
      <c r="R2467" s="134" t="s">
        <v>1393</v>
      </c>
    </row>
    <row r="2468" spans="1:18" hidden="1">
      <c r="A2468" s="134" t="s">
        <v>1143</v>
      </c>
      <c r="C2468" s="29">
        <v>135500168</v>
      </c>
      <c r="D2468" s="29"/>
      <c r="E2468" s="29"/>
      <c r="F2468" s="29" t="s">
        <v>87</v>
      </c>
      <c r="G2468" s="29" t="s">
        <v>823</v>
      </c>
      <c r="H2468" s="29" t="s">
        <v>38</v>
      </c>
      <c r="I2468" s="120">
        <v>45792</v>
      </c>
      <c r="J2468" s="120">
        <f>WORKDAY(I2468, 3)</f>
        <v>45797</v>
      </c>
      <c r="K2468" s="120">
        <v>45823</v>
      </c>
      <c r="L2468" s="120"/>
      <c r="M2468" s="120"/>
      <c r="N2468" s="120">
        <v>45797</v>
      </c>
      <c r="O2468" s="29" t="s">
        <v>222</v>
      </c>
      <c r="P2468" s="29"/>
      <c r="Q2468" s="156">
        <v>400</v>
      </c>
      <c r="R2468" s="134" t="s">
        <v>1401</v>
      </c>
    </row>
    <row r="2469" spans="1:18" hidden="1">
      <c r="A2469" s="134" t="s">
        <v>1143</v>
      </c>
      <c r="C2469" s="29">
        <v>135500194</v>
      </c>
      <c r="D2469" s="29"/>
      <c r="E2469" s="29"/>
      <c r="F2469" s="29" t="s">
        <v>87</v>
      </c>
      <c r="G2469" s="29" t="s">
        <v>823</v>
      </c>
      <c r="H2469" s="29" t="s">
        <v>38</v>
      </c>
      <c r="I2469" s="120">
        <v>45792</v>
      </c>
      <c r="J2469" s="120">
        <f>WORKDAY(I2469, 3)</f>
        <v>45797</v>
      </c>
      <c r="K2469" s="120">
        <v>45823</v>
      </c>
      <c r="L2469" s="120"/>
      <c r="M2469" s="120"/>
      <c r="N2469" s="120">
        <v>45797</v>
      </c>
      <c r="O2469" s="29" t="s">
        <v>222</v>
      </c>
      <c r="P2469" s="29"/>
      <c r="Q2469" s="156">
        <v>200</v>
      </c>
      <c r="R2469" s="134" t="s">
        <v>1360</v>
      </c>
    </row>
    <row r="2470" spans="1:18" hidden="1">
      <c r="A2470" s="134" t="s">
        <v>1143</v>
      </c>
      <c r="C2470" s="29">
        <v>135500222</v>
      </c>
      <c r="D2470" s="29"/>
      <c r="E2470" s="29"/>
      <c r="F2470" s="29" t="s">
        <v>87</v>
      </c>
      <c r="G2470" s="29" t="s">
        <v>823</v>
      </c>
      <c r="H2470" s="29" t="s">
        <v>38</v>
      </c>
      <c r="I2470" s="120">
        <v>45792</v>
      </c>
      <c r="J2470" s="120">
        <f>WORKDAY(I2470, 3)</f>
        <v>45797</v>
      </c>
      <c r="K2470" s="120">
        <v>45823</v>
      </c>
      <c r="L2470" s="120"/>
      <c r="M2470" s="120"/>
      <c r="N2470" s="120">
        <v>45797</v>
      </c>
      <c r="O2470" s="29" t="s">
        <v>222</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222</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222</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222</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222</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222</v>
      </c>
      <c r="P2475" s="29"/>
      <c r="Q2475" s="156">
        <v>45</v>
      </c>
      <c r="R2475" s="134" t="s">
        <v>1393</v>
      </c>
    </row>
    <row r="2476" spans="1:18" hidden="1">
      <c r="A2476" s="134" t="s">
        <v>1137</v>
      </c>
      <c r="C2476" s="29">
        <v>136500127</v>
      </c>
      <c r="D2476" s="29"/>
      <c r="E2476" s="29"/>
      <c r="F2476" s="29" t="s">
        <v>87</v>
      </c>
      <c r="G2476" s="29" t="s">
        <v>823</v>
      </c>
      <c r="H2476" s="29" t="s">
        <v>38</v>
      </c>
      <c r="I2476" s="120">
        <v>45793</v>
      </c>
      <c r="J2476" s="120">
        <f>WORKDAY(I2476, 3)</f>
        <v>45798</v>
      </c>
      <c r="K2476" s="120">
        <v>45824</v>
      </c>
      <c r="L2476" s="120"/>
      <c r="M2476" s="120"/>
      <c r="N2476" s="120">
        <v>45797</v>
      </c>
      <c r="O2476" s="29" t="s">
        <v>222</v>
      </c>
      <c r="P2476" s="29"/>
      <c r="Q2476" s="156">
        <v>450</v>
      </c>
      <c r="R2476" s="134" t="s">
        <v>1360</v>
      </c>
    </row>
    <row r="2477" spans="1:18" hidden="1">
      <c r="A2477" s="134" t="s">
        <v>1137</v>
      </c>
      <c r="C2477" s="29">
        <v>136500128</v>
      </c>
      <c r="D2477" s="29"/>
      <c r="E2477" s="29"/>
      <c r="F2477" s="29" t="s">
        <v>87</v>
      </c>
      <c r="G2477" s="29" t="s">
        <v>823</v>
      </c>
      <c r="H2477" s="29" t="s">
        <v>38</v>
      </c>
      <c r="I2477" s="120">
        <v>45793</v>
      </c>
      <c r="J2477" s="120">
        <f>WORKDAY(I2477, 3)</f>
        <v>45798</v>
      </c>
      <c r="K2477" s="120">
        <v>45824</v>
      </c>
      <c r="L2477" s="120"/>
      <c r="M2477" s="120"/>
      <c r="N2477" s="120">
        <v>45797</v>
      </c>
      <c r="O2477" s="29" t="s">
        <v>222</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222</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222</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222</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222</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222</v>
      </c>
      <c r="P2482" s="29"/>
      <c r="Q2482" s="156">
        <v>250</v>
      </c>
      <c r="R2482" s="134" t="s">
        <v>1364</v>
      </c>
    </row>
    <row r="2483" spans="1:18" hidden="1">
      <c r="A2483" s="134" t="s">
        <v>1136</v>
      </c>
      <c r="C2483" s="29">
        <v>143500081</v>
      </c>
      <c r="D2483" s="29"/>
      <c r="E2483" s="29"/>
      <c r="F2483" s="29" t="s">
        <v>87</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87</v>
      </c>
      <c r="G2484" s="29" t="s">
        <v>823</v>
      </c>
      <c r="H2484" s="29" t="s">
        <v>1154</v>
      </c>
      <c r="I2484" s="120">
        <v>45804</v>
      </c>
      <c r="J2484" s="120">
        <f>WORKDAY(I2484, 3)</f>
        <v>45807</v>
      </c>
      <c r="K2484" s="120">
        <v>45835</v>
      </c>
      <c r="L2484" s="120"/>
      <c r="M2484" s="120"/>
      <c r="N2484" s="120">
        <v>45805</v>
      </c>
      <c r="O2484" s="29" t="s">
        <v>170</v>
      </c>
      <c r="P2484" s="120"/>
      <c r="Q2484" s="156">
        <v>700</v>
      </c>
    </row>
    <row r="2485" spans="1:18" ht="15.75" hidden="1">
      <c r="A2485" s="126" t="s">
        <v>1147</v>
      </c>
      <c r="B2485" s="126"/>
      <c r="C2485" s="29">
        <v>147501858</v>
      </c>
      <c r="D2485" s="29"/>
      <c r="E2485" s="29"/>
      <c r="F2485" s="29" t="s">
        <v>87</v>
      </c>
      <c r="G2485" s="29" t="s">
        <v>823</v>
      </c>
      <c r="H2485" s="29" t="s">
        <v>1154</v>
      </c>
      <c r="I2485" s="120">
        <v>45804</v>
      </c>
      <c r="J2485" s="120">
        <f>WORKDAY(I2485, 3)</f>
        <v>45807</v>
      </c>
      <c r="K2485" s="120">
        <v>45835</v>
      </c>
      <c r="L2485" s="120"/>
      <c r="M2485" s="120"/>
      <c r="N2485" s="120">
        <v>45805</v>
      </c>
      <c r="O2485" s="29" t="s">
        <v>170</v>
      </c>
      <c r="P2485" s="120"/>
      <c r="Q2485" s="156">
        <v>350</v>
      </c>
    </row>
    <row r="2486" spans="1:18" ht="15.75" hidden="1">
      <c r="A2486" s="126" t="s">
        <v>1147</v>
      </c>
      <c r="B2486" s="126"/>
      <c r="C2486" s="29">
        <v>147500136</v>
      </c>
      <c r="D2486" s="29"/>
      <c r="E2486" s="29"/>
      <c r="F2486" s="29" t="s">
        <v>87</v>
      </c>
      <c r="G2486" s="29" t="s">
        <v>823</v>
      </c>
      <c r="H2486" s="29" t="s">
        <v>1154</v>
      </c>
      <c r="I2486" s="120">
        <v>45804</v>
      </c>
      <c r="J2486" s="120">
        <f>WORKDAY(I2486, 3)</f>
        <v>45807</v>
      </c>
      <c r="K2486" s="120">
        <v>45835</v>
      </c>
      <c r="L2486" s="120"/>
      <c r="M2486" s="120"/>
      <c r="N2486" s="120">
        <v>45805</v>
      </c>
      <c r="O2486" s="29" t="s">
        <v>222</v>
      </c>
      <c r="P2486" s="29"/>
      <c r="Q2486" s="156">
        <v>450</v>
      </c>
      <c r="R2486" s="134" t="s">
        <v>1186</v>
      </c>
    </row>
    <row r="2487" spans="1:18" ht="15.75" hidden="1">
      <c r="A2487" s="126" t="s">
        <v>1147</v>
      </c>
      <c r="B2487" s="126"/>
      <c r="C2487" s="29">
        <v>147501832</v>
      </c>
      <c r="D2487" s="29"/>
      <c r="E2487" s="29"/>
      <c r="F2487" s="29" t="s">
        <v>87</v>
      </c>
      <c r="G2487" s="29" t="s">
        <v>823</v>
      </c>
      <c r="H2487" s="29" t="s">
        <v>1154</v>
      </c>
      <c r="I2487" s="120">
        <v>45804</v>
      </c>
      <c r="J2487" s="120">
        <f>WORKDAY(I2487, 3)</f>
        <v>45807</v>
      </c>
      <c r="K2487" s="120">
        <v>45835</v>
      </c>
      <c r="L2487" s="120"/>
      <c r="M2487" s="120"/>
      <c r="N2487" s="120">
        <v>45805</v>
      </c>
      <c r="O2487" s="29" t="s">
        <v>222</v>
      </c>
      <c r="P2487" s="29"/>
      <c r="Q2487" s="156">
        <v>730</v>
      </c>
      <c r="R2487" s="134" t="s">
        <v>1186</v>
      </c>
    </row>
    <row r="2488" spans="1:18" ht="15.75" hidden="1">
      <c r="A2488" s="126" t="s">
        <v>1147</v>
      </c>
      <c r="B2488" s="126"/>
      <c r="C2488" s="29">
        <v>147501845</v>
      </c>
      <c r="D2488" s="29"/>
      <c r="E2488" s="29"/>
      <c r="F2488" s="29" t="s">
        <v>87</v>
      </c>
      <c r="G2488" s="29" t="s">
        <v>823</v>
      </c>
      <c r="H2488" s="29" t="s">
        <v>1154</v>
      </c>
      <c r="I2488" s="120">
        <v>45804</v>
      </c>
      <c r="J2488" s="120">
        <f>WORKDAY(I2488, 3)</f>
        <v>45807</v>
      </c>
      <c r="K2488" s="120">
        <v>45835</v>
      </c>
      <c r="L2488" s="120"/>
      <c r="M2488" s="120"/>
      <c r="N2488" s="120">
        <v>45805</v>
      </c>
      <c r="O2488" s="29" t="s">
        <v>222</v>
      </c>
      <c r="P2488" s="29"/>
      <c r="Q2488" s="156">
        <v>850</v>
      </c>
      <c r="R2488" s="134" t="s">
        <v>1177</v>
      </c>
    </row>
    <row r="2489" spans="1:18" ht="15.75" hidden="1">
      <c r="A2489" s="126" t="s">
        <v>1147</v>
      </c>
      <c r="B2489" s="126"/>
      <c r="C2489" s="29">
        <v>147501867</v>
      </c>
      <c r="D2489" s="29"/>
      <c r="E2489" s="29"/>
      <c r="F2489" s="29" t="s">
        <v>87</v>
      </c>
      <c r="G2489" s="29" t="s">
        <v>823</v>
      </c>
      <c r="H2489" s="29" t="s">
        <v>1154</v>
      </c>
      <c r="I2489" s="120">
        <v>45804</v>
      </c>
      <c r="J2489" s="120">
        <f>WORKDAY(I2489, 3)</f>
        <v>45807</v>
      </c>
      <c r="K2489" s="120">
        <v>45835</v>
      </c>
      <c r="L2489" s="120"/>
      <c r="M2489" s="120"/>
      <c r="N2489" s="120">
        <v>45805</v>
      </c>
      <c r="O2489" s="29" t="s">
        <v>222</v>
      </c>
      <c r="P2489" s="29"/>
      <c r="Q2489" s="156">
        <v>450</v>
      </c>
      <c r="R2489" s="134" t="s">
        <v>1186</v>
      </c>
    </row>
    <row r="2490" spans="1:18" hidden="1">
      <c r="A2490" s="134" t="s">
        <v>1150</v>
      </c>
      <c r="C2490" s="29">
        <v>147502068</v>
      </c>
      <c r="D2490" s="29">
        <v>114500855</v>
      </c>
      <c r="E2490" s="29"/>
      <c r="F2490" s="29" t="s">
        <v>87</v>
      </c>
      <c r="G2490" s="29" t="s">
        <v>823</v>
      </c>
      <c r="H2490" s="29" t="s">
        <v>1154</v>
      </c>
      <c r="I2490" s="120">
        <v>45804</v>
      </c>
      <c r="J2490" s="120">
        <f>WORKDAY(I2490, 3)</f>
        <v>45807</v>
      </c>
      <c r="K2490" s="120">
        <v>45835</v>
      </c>
      <c r="L2490" s="120"/>
      <c r="M2490" s="120"/>
      <c r="N2490" s="120">
        <v>45805</v>
      </c>
      <c r="O2490" s="29" t="s">
        <v>170</v>
      </c>
      <c r="P2490" s="120"/>
      <c r="Q2490" s="156">
        <v>1000</v>
      </c>
    </row>
    <row r="2491" spans="1:18" hidden="1">
      <c r="A2491" s="134" t="s">
        <v>1150</v>
      </c>
      <c r="C2491" s="29">
        <v>147502082</v>
      </c>
      <c r="D2491" s="29">
        <v>114500883</v>
      </c>
      <c r="E2491" s="29"/>
      <c r="F2491" s="29" t="s">
        <v>87</v>
      </c>
      <c r="G2491" s="29" t="s">
        <v>823</v>
      </c>
      <c r="H2491" s="29" t="s">
        <v>1154</v>
      </c>
      <c r="I2491" s="120">
        <v>45804</v>
      </c>
      <c r="J2491" s="120">
        <f>WORKDAY(I2491, 3)</f>
        <v>45807</v>
      </c>
      <c r="K2491" s="120">
        <v>45835</v>
      </c>
      <c r="L2491" s="120"/>
      <c r="M2491" s="120"/>
      <c r="N2491" s="120">
        <v>45805</v>
      </c>
      <c r="O2491" s="29" t="s">
        <v>170</v>
      </c>
      <c r="P2491" s="120"/>
      <c r="Q2491" s="156">
        <v>300</v>
      </c>
    </row>
    <row r="2492" spans="1:18" hidden="1">
      <c r="A2492" s="134" t="s">
        <v>1150</v>
      </c>
      <c r="C2492" s="29">
        <v>147502092</v>
      </c>
      <c r="D2492" s="29">
        <v>114500780</v>
      </c>
      <c r="E2492" s="29"/>
      <c r="F2492" s="29" t="s">
        <v>87</v>
      </c>
      <c r="G2492" s="29" t="s">
        <v>823</v>
      </c>
      <c r="H2492" s="29" t="s">
        <v>1154</v>
      </c>
      <c r="I2492" s="120">
        <v>45804</v>
      </c>
      <c r="J2492" s="120">
        <f>WORKDAY(I2492, 3)</f>
        <v>45807</v>
      </c>
      <c r="K2492" s="120">
        <v>45835</v>
      </c>
      <c r="L2492" s="120"/>
      <c r="M2492" s="120"/>
      <c r="N2492" s="120">
        <v>45805</v>
      </c>
      <c r="O2492" s="29" t="s">
        <v>170</v>
      </c>
      <c r="P2492" s="120"/>
      <c r="Q2492" s="156">
        <v>1200</v>
      </c>
    </row>
    <row r="2493" spans="1:18" hidden="1">
      <c r="A2493" s="134" t="s">
        <v>1155</v>
      </c>
      <c r="C2493" s="29">
        <v>147501882</v>
      </c>
      <c r="D2493" s="29"/>
      <c r="E2493" s="29"/>
      <c r="F2493" s="29" t="s">
        <v>87</v>
      </c>
      <c r="G2493" s="29" t="s">
        <v>823</v>
      </c>
      <c r="H2493" s="29" t="s">
        <v>1154</v>
      </c>
      <c r="I2493" s="120">
        <v>45804</v>
      </c>
      <c r="J2493" s="120">
        <f>WORKDAY(I2493, 3)</f>
        <v>45807</v>
      </c>
      <c r="K2493" s="120">
        <v>45835</v>
      </c>
      <c r="L2493" s="120"/>
      <c r="M2493" s="120"/>
      <c r="N2493" s="120">
        <v>45805</v>
      </c>
      <c r="O2493" s="29" t="s">
        <v>222</v>
      </c>
      <c r="P2493" s="29"/>
      <c r="Q2493" s="156">
        <v>150</v>
      </c>
      <c r="R2493" s="134" t="s">
        <v>1176</v>
      </c>
    </row>
    <row r="2494" spans="1:18" hidden="1">
      <c r="A2494" s="134" t="s">
        <v>1155</v>
      </c>
      <c r="C2494" s="29">
        <v>147501897</v>
      </c>
      <c r="D2494" s="29"/>
      <c r="E2494" s="29"/>
      <c r="F2494" s="29" t="s">
        <v>87</v>
      </c>
      <c r="G2494" s="29" t="s">
        <v>823</v>
      </c>
      <c r="H2494" s="29" t="s">
        <v>1154</v>
      </c>
      <c r="I2494" s="120">
        <v>45804</v>
      </c>
      <c r="J2494" s="120">
        <f>WORKDAY(I2494, 3)</f>
        <v>45807</v>
      </c>
      <c r="K2494" s="120">
        <v>45835</v>
      </c>
      <c r="L2494" s="120"/>
      <c r="M2494" s="120"/>
      <c r="N2494" s="120">
        <v>45805</v>
      </c>
      <c r="O2494" s="29" t="s">
        <v>222</v>
      </c>
      <c r="P2494" s="29"/>
      <c r="Q2494" s="156">
        <v>145</v>
      </c>
      <c r="R2494" s="134" t="s">
        <v>1176</v>
      </c>
    </row>
    <row r="2495" spans="1:18" hidden="1">
      <c r="A2495" s="134" t="s">
        <v>1141</v>
      </c>
      <c r="C2495" s="29">
        <v>147502149</v>
      </c>
      <c r="D2495" s="29"/>
      <c r="E2495" s="29"/>
      <c r="F2495" s="29" t="s">
        <v>87</v>
      </c>
      <c r="G2495" s="29" t="s">
        <v>823</v>
      </c>
      <c r="H2495" s="29" t="s">
        <v>1154</v>
      </c>
      <c r="I2495" s="120">
        <v>45804</v>
      </c>
      <c r="J2495" s="120">
        <f>WORKDAY(I2495, 3)</f>
        <v>45807</v>
      </c>
      <c r="K2495" s="120">
        <v>45835</v>
      </c>
      <c r="L2495" s="120"/>
      <c r="M2495" s="120"/>
      <c r="N2495" s="120">
        <v>45805</v>
      </c>
      <c r="O2495" s="29" t="s">
        <v>222</v>
      </c>
      <c r="P2495" s="29"/>
      <c r="Q2495" s="156">
        <v>500</v>
      </c>
      <c r="R2495" s="134" t="s">
        <v>1400</v>
      </c>
    </row>
    <row r="2496" spans="1:18" hidden="1">
      <c r="A2496" s="134" t="s">
        <v>1141</v>
      </c>
      <c r="C2496" s="29">
        <v>147502165</v>
      </c>
      <c r="D2496" s="29"/>
      <c r="E2496" s="29"/>
      <c r="F2496" s="29" t="s">
        <v>87</v>
      </c>
      <c r="G2496" s="29" t="s">
        <v>823</v>
      </c>
      <c r="H2496" s="29" t="s">
        <v>1154</v>
      </c>
      <c r="I2496" s="120">
        <v>45804</v>
      </c>
      <c r="J2496" s="120">
        <f>WORKDAY(I2496, 3)</f>
        <v>45807</v>
      </c>
      <c r="K2496" s="120">
        <v>45835</v>
      </c>
      <c r="L2496" s="120"/>
      <c r="M2496" s="120"/>
      <c r="N2496" s="120">
        <v>45805</v>
      </c>
      <c r="O2496" s="29" t="s">
        <v>222</v>
      </c>
      <c r="P2496" s="29"/>
      <c r="Q2496" s="156">
        <v>510</v>
      </c>
      <c r="R2496" s="134" t="s">
        <v>1400</v>
      </c>
    </row>
    <row r="2497" spans="1:18" hidden="1">
      <c r="A2497" s="134" t="s">
        <v>1141</v>
      </c>
      <c r="C2497" s="29">
        <v>147502188</v>
      </c>
      <c r="D2497" s="29"/>
      <c r="E2497" s="29"/>
      <c r="F2497" s="29" t="s">
        <v>87</v>
      </c>
      <c r="G2497" s="29" t="s">
        <v>823</v>
      </c>
      <c r="H2497" s="29" t="s">
        <v>1154</v>
      </c>
      <c r="I2497" s="120">
        <v>45804</v>
      </c>
      <c r="J2497" s="120">
        <f>WORKDAY(I2497, 3)</f>
        <v>45807</v>
      </c>
      <c r="K2497" s="120">
        <v>45835</v>
      </c>
      <c r="L2497" s="120"/>
      <c r="M2497" s="120"/>
      <c r="N2497" s="120">
        <v>45805</v>
      </c>
      <c r="O2497" s="29" t="s">
        <v>222</v>
      </c>
      <c r="P2497" s="29"/>
      <c r="Q2497" s="156">
        <v>570</v>
      </c>
      <c r="R2497" s="134" t="s">
        <v>1400</v>
      </c>
    </row>
    <row r="2498" spans="1:18" hidden="1">
      <c r="A2498" s="134" t="s">
        <v>1045</v>
      </c>
      <c r="C2498" s="29">
        <v>148504926</v>
      </c>
      <c r="D2498" s="29"/>
      <c r="E2498" s="29"/>
      <c r="F2498" s="29" t="s">
        <v>87</v>
      </c>
      <c r="G2498" s="29" t="s">
        <v>823</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1045</v>
      </c>
      <c r="C2499" s="29">
        <v>148504943</v>
      </c>
      <c r="D2499" s="29"/>
      <c r="E2499" s="29"/>
      <c r="F2499" s="29" t="s">
        <v>87</v>
      </c>
      <c r="G2499" s="29" t="s">
        <v>823</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1045</v>
      </c>
      <c r="C2500" s="29">
        <v>148504966</v>
      </c>
      <c r="D2500" s="29"/>
      <c r="E2500" s="29"/>
      <c r="F2500" s="29" t="s">
        <v>87</v>
      </c>
      <c r="G2500" s="29" t="s">
        <v>823</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1045</v>
      </c>
      <c r="C2501" s="29">
        <v>148504989</v>
      </c>
      <c r="D2501" s="29"/>
      <c r="E2501" s="29"/>
      <c r="F2501" s="29" t="s">
        <v>87</v>
      </c>
      <c r="G2501" s="29" t="s">
        <v>823</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1045</v>
      </c>
      <c r="C2502" s="29">
        <v>148505006</v>
      </c>
      <c r="D2502" s="29"/>
      <c r="E2502" s="29"/>
      <c r="F2502" s="29" t="s">
        <v>87</v>
      </c>
      <c r="G2502" s="29" t="s">
        <v>823</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1045</v>
      </c>
      <c r="C2503" s="29">
        <v>148505029</v>
      </c>
      <c r="D2503" s="29"/>
      <c r="E2503" s="29"/>
      <c r="F2503" s="29" t="s">
        <v>87</v>
      </c>
      <c r="G2503" s="29" t="s">
        <v>823</v>
      </c>
      <c r="H2503" s="29" t="s">
        <v>38</v>
      </c>
      <c r="I2503" s="120">
        <v>45805</v>
      </c>
      <c r="J2503" s="120">
        <f>WORKDAY(I2503, 3)</f>
        <v>45810</v>
      </c>
      <c r="K2503" s="120">
        <v>45836</v>
      </c>
      <c r="L2503" s="120"/>
      <c r="M2503" s="120"/>
      <c r="N2503" s="120">
        <v>45805</v>
      </c>
      <c r="O2503" s="29" t="s">
        <v>170</v>
      </c>
      <c r="P2503" s="120"/>
      <c r="Q2503" s="156">
        <v>90</v>
      </c>
    </row>
    <row r="2504" spans="1:18" hidden="1">
      <c r="A2504" s="134" t="s">
        <v>1019</v>
      </c>
      <c r="C2504" s="29">
        <v>148502763</v>
      </c>
      <c r="D2504" s="29">
        <v>122501846</v>
      </c>
      <c r="E2504" s="29"/>
      <c r="F2504" s="29" t="s">
        <v>87</v>
      </c>
      <c r="G2504" s="29" t="s">
        <v>823</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1019</v>
      </c>
      <c r="C2505" s="29">
        <v>148502778</v>
      </c>
      <c r="D2505" s="29">
        <v>122501868</v>
      </c>
      <c r="E2505" s="29"/>
      <c r="F2505" s="29" t="s">
        <v>87</v>
      </c>
      <c r="G2505" s="29" t="s">
        <v>823</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1019</v>
      </c>
      <c r="C2506" s="29">
        <v>148502788</v>
      </c>
      <c r="D2506" s="29">
        <v>122501878</v>
      </c>
      <c r="E2506" s="29"/>
      <c r="F2506" s="29" t="s">
        <v>87</v>
      </c>
      <c r="G2506" s="29" t="s">
        <v>823</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1059</v>
      </c>
      <c r="C2507" s="29">
        <v>148501570</v>
      </c>
      <c r="D2507" s="29"/>
      <c r="E2507" s="29"/>
      <c r="F2507" s="29" t="s">
        <v>87</v>
      </c>
      <c r="G2507" s="29" t="s">
        <v>823</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1059</v>
      </c>
      <c r="C2508" s="29">
        <v>148501617</v>
      </c>
      <c r="D2508" s="29"/>
      <c r="E2508" s="29"/>
      <c r="F2508" s="29" t="s">
        <v>87</v>
      </c>
      <c r="G2508" s="29" t="s">
        <v>823</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1059</v>
      </c>
      <c r="C2509" s="29">
        <v>148501633</v>
      </c>
      <c r="D2509" s="29"/>
      <c r="E2509" s="29"/>
      <c r="F2509" s="29" t="s">
        <v>87</v>
      </c>
      <c r="G2509" s="29" t="s">
        <v>823</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1059</v>
      </c>
      <c r="C2510" s="29">
        <v>148501665</v>
      </c>
      <c r="D2510" s="29"/>
      <c r="E2510" s="29"/>
      <c r="F2510" s="29" t="s">
        <v>87</v>
      </c>
      <c r="G2510" s="29" t="s">
        <v>823</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1059</v>
      </c>
      <c r="C2511" s="29">
        <v>148501680</v>
      </c>
      <c r="D2511" s="29"/>
      <c r="E2511" s="29"/>
      <c r="F2511" s="29" t="s">
        <v>87</v>
      </c>
      <c r="G2511" s="29" t="s">
        <v>823</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1059</v>
      </c>
      <c r="C2512" s="29">
        <v>148501690</v>
      </c>
      <c r="D2512" s="29"/>
      <c r="E2512" s="29"/>
      <c r="F2512" s="29" t="s">
        <v>87</v>
      </c>
      <c r="G2512" s="29" t="s">
        <v>823</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1155</v>
      </c>
      <c r="C2513" s="29">
        <v>148500220</v>
      </c>
      <c r="D2513" s="29"/>
      <c r="E2513" s="29"/>
      <c r="F2513" s="29" t="s">
        <v>87</v>
      </c>
      <c r="G2513" s="29" t="s">
        <v>823</v>
      </c>
      <c r="H2513" s="29" t="s">
        <v>38</v>
      </c>
      <c r="I2513" s="120">
        <v>45805</v>
      </c>
      <c r="J2513" s="120">
        <f>WORKDAY(I2513, 3)</f>
        <v>45810</v>
      </c>
      <c r="K2513" s="120">
        <v>45836</v>
      </c>
      <c r="L2513" s="120"/>
      <c r="M2513" s="120"/>
      <c r="N2513" s="120">
        <v>45805</v>
      </c>
      <c r="O2513" s="29" t="s">
        <v>170</v>
      </c>
      <c r="P2513" s="120"/>
      <c r="Q2513" s="81">
        <v>360</v>
      </c>
    </row>
    <row r="2514" spans="1:17" hidden="1">
      <c r="A2514" s="134" t="s">
        <v>1059</v>
      </c>
      <c r="C2514" s="29">
        <v>150500061</v>
      </c>
      <c r="D2514" s="29">
        <v>128503239</v>
      </c>
      <c r="E2514" s="29"/>
      <c r="F2514" s="29" t="s">
        <v>87</v>
      </c>
      <c r="G2514" s="29" t="s">
        <v>823</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1059</v>
      </c>
      <c r="C2515" s="29">
        <v>150500063</v>
      </c>
      <c r="D2515" s="29">
        <v>128503276</v>
      </c>
      <c r="E2515" s="29"/>
      <c r="F2515" s="29" t="s">
        <v>87</v>
      </c>
      <c r="G2515" s="29" t="s">
        <v>823</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1059</v>
      </c>
      <c r="C2516" s="29">
        <v>150500064</v>
      </c>
      <c r="D2516" s="29">
        <v>129500085</v>
      </c>
      <c r="E2516" s="29"/>
      <c r="F2516" s="29" t="s">
        <v>87</v>
      </c>
      <c r="G2516" s="29" t="s">
        <v>823</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1059</v>
      </c>
      <c r="C2517" s="29">
        <v>150500066</v>
      </c>
      <c r="D2517" s="29">
        <v>129500096</v>
      </c>
      <c r="E2517" s="29"/>
      <c r="F2517" s="29" t="s">
        <v>87</v>
      </c>
      <c r="G2517" s="29" t="s">
        <v>823</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170</v>
      </c>
      <c r="P2519" s="120"/>
      <c r="Q2519" s="156">
        <v>460</v>
      </c>
    </row>
    <row r="2520" spans="1:17" hidden="1">
      <c r="A2520" s="119" t="s">
        <v>983</v>
      </c>
      <c r="B2520" s="119"/>
      <c r="C2520" s="29">
        <v>154501496</v>
      </c>
      <c r="D2520" s="29">
        <v>122501912</v>
      </c>
      <c r="E2520" s="29"/>
      <c r="F2520" s="29" t="s">
        <v>87</v>
      </c>
      <c r="G2520" s="29" t="s">
        <v>823</v>
      </c>
      <c r="H2520" s="29" t="s">
        <v>38</v>
      </c>
      <c r="I2520" s="120">
        <v>45811</v>
      </c>
      <c r="J2520" s="120">
        <f>WORKDAY(I2520, 3)</f>
        <v>45814</v>
      </c>
      <c r="K2520" s="120">
        <v>45841</v>
      </c>
      <c r="L2520" s="120"/>
      <c r="M2520" s="120"/>
      <c r="N2520" s="120">
        <v>45810</v>
      </c>
      <c r="O2520" s="29" t="s">
        <v>170</v>
      </c>
      <c r="P2520" s="120"/>
      <c r="Q2520" s="156">
        <v>250</v>
      </c>
    </row>
    <row r="2521" spans="1:17" hidden="1">
      <c r="A2521" s="119" t="s">
        <v>983</v>
      </c>
      <c r="B2521" s="119"/>
      <c r="C2521" s="29">
        <v>154501500</v>
      </c>
      <c r="D2521" s="29">
        <v>122501917</v>
      </c>
      <c r="E2521" s="29"/>
      <c r="F2521" s="29" t="s">
        <v>87</v>
      </c>
      <c r="G2521" s="29" t="s">
        <v>823</v>
      </c>
      <c r="H2521" s="29" t="s">
        <v>38</v>
      </c>
      <c r="I2521" s="120">
        <v>45811</v>
      </c>
      <c r="J2521" s="120">
        <f>WORKDAY(I2521, 3)</f>
        <v>45814</v>
      </c>
      <c r="K2521" s="120">
        <v>45841</v>
      </c>
      <c r="L2521" s="120"/>
      <c r="M2521" s="120"/>
      <c r="N2521" s="120">
        <v>45810</v>
      </c>
      <c r="O2521" s="29" t="s">
        <v>170</v>
      </c>
      <c r="P2521" s="120"/>
      <c r="Q2521" s="156">
        <v>570</v>
      </c>
    </row>
    <row r="2522" spans="1:17" hidden="1">
      <c r="A2522" s="119" t="s">
        <v>983</v>
      </c>
      <c r="B2522" s="119"/>
      <c r="C2522" s="29">
        <v>154501505</v>
      </c>
      <c r="D2522" s="29">
        <v>122501923</v>
      </c>
      <c r="E2522" s="29"/>
      <c r="F2522" s="29" t="s">
        <v>87</v>
      </c>
      <c r="G2522" s="29" t="s">
        <v>823</v>
      </c>
      <c r="H2522" s="29" t="s">
        <v>38</v>
      </c>
      <c r="I2522" s="120">
        <v>45811</v>
      </c>
      <c r="J2522" s="120">
        <f>WORKDAY(I2522, 3)</f>
        <v>45814</v>
      </c>
      <c r="K2522" s="120">
        <v>45841</v>
      </c>
      <c r="L2522" s="120"/>
      <c r="M2522" s="120"/>
      <c r="N2522" s="120">
        <v>45810</v>
      </c>
      <c r="O2522" s="29" t="s">
        <v>170</v>
      </c>
      <c r="P2522" s="120"/>
      <c r="Q2522" s="156">
        <v>350</v>
      </c>
    </row>
    <row r="2523" spans="1:17" hidden="1">
      <c r="A2523" s="119" t="s">
        <v>983</v>
      </c>
      <c r="B2523" s="119"/>
      <c r="C2523" s="29">
        <v>154501514</v>
      </c>
      <c r="D2523" s="29">
        <v>122501932</v>
      </c>
      <c r="E2523" s="29"/>
      <c r="F2523" s="29" t="s">
        <v>87</v>
      </c>
      <c r="G2523" s="29" t="s">
        <v>823</v>
      </c>
      <c r="H2523" s="29" t="s">
        <v>38</v>
      </c>
      <c r="I2523" s="120">
        <v>45811</v>
      </c>
      <c r="J2523" s="120">
        <f>WORKDAY(I2523, 3)</f>
        <v>45814</v>
      </c>
      <c r="K2523" s="120">
        <v>45841</v>
      </c>
      <c r="L2523" s="120"/>
      <c r="M2523" s="120"/>
      <c r="N2523" s="120">
        <v>45810</v>
      </c>
      <c r="O2523" s="29" t="s">
        <v>170</v>
      </c>
      <c r="P2523" s="120"/>
      <c r="Q2523" s="156">
        <v>220</v>
      </c>
    </row>
    <row r="2524" spans="1:17" hidden="1">
      <c r="A2524" s="119" t="s">
        <v>983</v>
      </c>
      <c r="B2524" s="119"/>
      <c r="C2524" s="29">
        <v>154501525</v>
      </c>
      <c r="D2524" s="29">
        <v>122501943</v>
      </c>
      <c r="E2524" s="29"/>
      <c r="F2524" s="29" t="s">
        <v>87</v>
      </c>
      <c r="G2524" s="29" t="s">
        <v>823</v>
      </c>
      <c r="H2524" s="29" t="s">
        <v>38</v>
      </c>
      <c r="I2524" s="120">
        <v>45811</v>
      </c>
      <c r="J2524" s="120">
        <f>WORKDAY(I2524, 3)</f>
        <v>45814</v>
      </c>
      <c r="K2524" s="120">
        <v>45841</v>
      </c>
      <c r="L2524" s="120"/>
      <c r="M2524" s="120"/>
      <c r="N2524" s="120">
        <v>45810</v>
      </c>
      <c r="O2524" s="29" t="s">
        <v>170</v>
      </c>
      <c r="P2524" s="120"/>
      <c r="Q2524" s="156">
        <v>600</v>
      </c>
    </row>
    <row r="2525" spans="1:17" hidden="1">
      <c r="A2525" s="119" t="s">
        <v>983</v>
      </c>
      <c r="B2525" s="119"/>
      <c r="C2525" s="29">
        <v>154501532</v>
      </c>
      <c r="D2525" s="29">
        <v>122501951</v>
      </c>
      <c r="E2525" s="29"/>
      <c r="F2525" s="29" t="s">
        <v>87</v>
      </c>
      <c r="G2525" s="29" t="s">
        <v>823</v>
      </c>
      <c r="H2525" s="29" t="s">
        <v>38</v>
      </c>
      <c r="I2525" s="120">
        <v>45811</v>
      </c>
      <c r="J2525" s="120">
        <f>WORKDAY(I2525, 3)</f>
        <v>45814</v>
      </c>
      <c r="K2525" s="120">
        <v>45841</v>
      </c>
      <c r="L2525" s="120"/>
      <c r="M2525" s="120"/>
      <c r="N2525" s="120">
        <v>45810</v>
      </c>
      <c r="O2525" s="29" t="s">
        <v>170</v>
      </c>
      <c r="P2525" s="120"/>
      <c r="Q2525" s="156">
        <v>550</v>
      </c>
    </row>
    <row r="2526" spans="1:17" hidden="1">
      <c r="A2526" s="128" t="s">
        <v>975</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1189</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1189</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1189</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1045</v>
      </c>
      <c r="C2530" s="29">
        <v>162500139</v>
      </c>
      <c r="D2530" s="29"/>
      <c r="E2530" s="29"/>
      <c r="F2530" s="29" t="s">
        <v>87</v>
      </c>
      <c r="G2530" s="29" t="s">
        <v>823</v>
      </c>
      <c r="H2530" s="29" t="s">
        <v>38</v>
      </c>
      <c r="I2530" s="120">
        <v>45819</v>
      </c>
      <c r="J2530" s="120">
        <f>WORKDAY(I2530, 3)</f>
        <v>45824</v>
      </c>
      <c r="K2530" s="120">
        <v>45849</v>
      </c>
      <c r="L2530" s="120"/>
      <c r="M2530" s="120"/>
      <c r="N2530" s="120">
        <v>45824</v>
      </c>
      <c r="O2530" s="29" t="s">
        <v>222</v>
      </c>
      <c r="P2530" s="29"/>
      <c r="Q2530" s="156">
        <v>1300</v>
      </c>
      <c r="R2530" s="134" t="s">
        <v>1404</v>
      </c>
    </row>
    <row r="2531" spans="1:18" hidden="1">
      <c r="A2531" s="134" t="s">
        <v>1045</v>
      </c>
      <c r="C2531" s="29">
        <v>162500145</v>
      </c>
      <c r="D2531" s="29"/>
      <c r="E2531" s="29"/>
      <c r="F2531" s="29" t="s">
        <v>87</v>
      </c>
      <c r="G2531" s="29" t="s">
        <v>823</v>
      </c>
      <c r="H2531" s="29" t="s">
        <v>38</v>
      </c>
      <c r="I2531" s="120">
        <v>45819</v>
      </c>
      <c r="J2531" s="120">
        <f>WORKDAY(I2531, 3)</f>
        <v>45824</v>
      </c>
      <c r="K2531" s="120">
        <v>45849</v>
      </c>
      <c r="L2531" s="120"/>
      <c r="M2531" s="120"/>
      <c r="N2531" s="120">
        <v>45824</v>
      </c>
      <c r="O2531" s="29" t="s">
        <v>222</v>
      </c>
      <c r="P2531" s="29"/>
      <c r="Q2531" s="156">
        <v>1400</v>
      </c>
      <c r="R2531" s="134" t="s">
        <v>1404</v>
      </c>
    </row>
    <row r="2532" spans="1:18" hidden="1">
      <c r="A2532" s="134" t="s">
        <v>1045</v>
      </c>
      <c r="C2532" s="29">
        <v>162500147</v>
      </c>
      <c r="D2532" s="29"/>
      <c r="E2532" s="29"/>
      <c r="F2532" s="29" t="s">
        <v>87</v>
      </c>
      <c r="G2532" s="29" t="s">
        <v>823</v>
      </c>
      <c r="H2532" s="29" t="s">
        <v>38</v>
      </c>
      <c r="I2532" s="120">
        <v>45819</v>
      </c>
      <c r="J2532" s="120">
        <f>WORKDAY(I2532, 3)</f>
        <v>45824</v>
      </c>
      <c r="K2532" s="120">
        <v>45849</v>
      </c>
      <c r="L2532" s="120"/>
      <c r="M2532" s="120"/>
      <c r="N2532" s="120">
        <v>45824</v>
      </c>
      <c r="O2532" s="29" t="s">
        <v>222</v>
      </c>
      <c r="P2532" s="29"/>
      <c r="Q2532" s="156">
        <v>1200</v>
      </c>
      <c r="R2532" s="134" t="s">
        <v>1404</v>
      </c>
    </row>
    <row r="2533" spans="1:18" hidden="1">
      <c r="A2533" s="134" t="s">
        <v>1045</v>
      </c>
      <c r="C2533" s="29">
        <v>162500149</v>
      </c>
      <c r="D2533" s="29"/>
      <c r="E2533" s="29"/>
      <c r="F2533" s="29" t="s">
        <v>87</v>
      </c>
      <c r="G2533" s="29" t="s">
        <v>823</v>
      </c>
      <c r="H2533" s="29" t="s">
        <v>38</v>
      </c>
      <c r="I2533" s="120">
        <v>45819</v>
      </c>
      <c r="J2533" s="120">
        <f>WORKDAY(I2533, 3)</f>
        <v>45824</v>
      </c>
      <c r="K2533" s="120">
        <v>45849</v>
      </c>
      <c r="L2533" s="120"/>
      <c r="M2533" s="120"/>
      <c r="N2533" s="120">
        <v>45824</v>
      </c>
      <c r="O2533" s="29" t="s">
        <v>222</v>
      </c>
      <c r="P2533" s="29"/>
      <c r="Q2533" s="156">
        <v>500</v>
      </c>
      <c r="R2533" s="134" t="s">
        <v>1404</v>
      </c>
    </row>
    <row r="2534" spans="1:18" hidden="1">
      <c r="A2534" s="134" t="s">
        <v>1045</v>
      </c>
      <c r="C2534" s="29">
        <v>162500153</v>
      </c>
      <c r="D2534" s="29"/>
      <c r="E2534" s="29"/>
      <c r="F2534" s="29" t="s">
        <v>87</v>
      </c>
      <c r="G2534" s="29" t="s">
        <v>823</v>
      </c>
      <c r="H2534" s="29" t="s">
        <v>38</v>
      </c>
      <c r="I2534" s="120">
        <v>45819</v>
      </c>
      <c r="J2534" s="120">
        <f>WORKDAY(I2534, 3)</f>
        <v>45824</v>
      </c>
      <c r="K2534" s="120">
        <v>45849</v>
      </c>
      <c r="L2534" s="120"/>
      <c r="M2534" s="120"/>
      <c r="N2534" s="120">
        <v>45824</v>
      </c>
      <c r="O2534" s="29" t="s">
        <v>222</v>
      </c>
      <c r="P2534" s="29"/>
      <c r="Q2534" s="156">
        <v>340</v>
      </c>
      <c r="R2534" s="134" t="s">
        <v>1404</v>
      </c>
    </row>
    <row r="2535" spans="1:18" hidden="1">
      <c r="A2535" s="134" t="s">
        <v>1045</v>
      </c>
      <c r="C2535" s="29">
        <v>162500155</v>
      </c>
      <c r="D2535" s="29"/>
      <c r="E2535" s="29"/>
      <c r="F2535" s="29" t="s">
        <v>87</v>
      </c>
      <c r="G2535" s="29" t="s">
        <v>823</v>
      </c>
      <c r="H2535" s="29" t="s">
        <v>38</v>
      </c>
      <c r="I2535" s="120">
        <v>45819</v>
      </c>
      <c r="J2535" s="120">
        <f>WORKDAY(I2535, 3)</f>
        <v>45824</v>
      </c>
      <c r="K2535" s="120">
        <v>45849</v>
      </c>
      <c r="L2535" s="120"/>
      <c r="M2535" s="120"/>
      <c r="N2535" s="120">
        <v>45824</v>
      </c>
      <c r="O2535" s="29" t="s">
        <v>222</v>
      </c>
      <c r="P2535" s="29"/>
      <c r="Q2535" s="156">
        <v>40</v>
      </c>
      <c r="R2535" s="134" t="s">
        <v>1404</v>
      </c>
    </row>
    <row r="2536" spans="1:18" hidden="1">
      <c r="A2536" s="134" t="s">
        <v>1134</v>
      </c>
      <c r="C2536" s="29">
        <v>162500135</v>
      </c>
      <c r="D2536" s="29"/>
      <c r="E2536" s="29"/>
      <c r="F2536" s="29" t="s">
        <v>87</v>
      </c>
      <c r="G2536" s="29" t="s">
        <v>823</v>
      </c>
      <c r="H2536" s="29" t="s">
        <v>38</v>
      </c>
      <c r="I2536" s="120">
        <v>45819</v>
      </c>
      <c r="J2536" s="120">
        <f>WORKDAY(I2536, 3)</f>
        <v>45824</v>
      </c>
      <c r="K2536" s="120">
        <v>45849</v>
      </c>
      <c r="L2536" s="120"/>
      <c r="M2536" s="120"/>
      <c r="N2536" s="120">
        <v>45824</v>
      </c>
      <c r="O2536" s="29" t="s">
        <v>222</v>
      </c>
      <c r="P2536" s="29"/>
      <c r="Q2536" s="156">
        <v>180</v>
      </c>
      <c r="R2536" s="134" t="s">
        <v>1405</v>
      </c>
    </row>
    <row r="2537" spans="1:18" hidden="1">
      <c r="A2537" s="134" t="s">
        <v>1150</v>
      </c>
      <c r="C2537" s="29" t="s">
        <v>1406</v>
      </c>
      <c r="D2537" s="29"/>
      <c r="E2537" s="29"/>
      <c r="F2537" s="29" t="s">
        <v>87</v>
      </c>
      <c r="G2537" s="29" t="s">
        <v>823</v>
      </c>
      <c r="H2537" s="29" t="s">
        <v>38</v>
      </c>
      <c r="I2537" s="120">
        <v>45819</v>
      </c>
      <c r="J2537" s="120">
        <f>WORKDAY(I2537, 3)</f>
        <v>45824</v>
      </c>
      <c r="K2537" s="120">
        <v>45849</v>
      </c>
      <c r="L2537" s="120"/>
      <c r="M2537" s="120"/>
      <c r="N2537" s="29"/>
      <c r="O2537" s="29" t="s">
        <v>170</v>
      </c>
      <c r="P2537" s="120"/>
      <c r="Q2537" s="81">
        <v>200</v>
      </c>
    </row>
    <row r="2538" spans="1:18" hidden="1">
      <c r="A2538" s="134" t="s">
        <v>1394</v>
      </c>
      <c r="C2538" s="29">
        <v>162500157</v>
      </c>
      <c r="D2538" s="29"/>
      <c r="E2538" s="29"/>
      <c r="F2538" s="29" t="s">
        <v>87</v>
      </c>
      <c r="G2538" s="29" t="s">
        <v>823</v>
      </c>
      <c r="H2538" s="29" t="s">
        <v>38</v>
      </c>
      <c r="I2538" s="120">
        <v>45819</v>
      </c>
      <c r="J2538" s="120">
        <f>WORKDAY(I2538, 3)</f>
        <v>45824</v>
      </c>
      <c r="K2538" s="120">
        <v>45849</v>
      </c>
      <c r="L2538" s="120"/>
      <c r="M2538" s="120"/>
      <c r="N2538" s="120">
        <v>45824</v>
      </c>
      <c r="O2538" s="29" t="s">
        <v>222</v>
      </c>
      <c r="P2538" s="29"/>
      <c r="Q2538" s="156">
        <v>1400</v>
      </c>
      <c r="R2538" s="134" t="s">
        <v>1396</v>
      </c>
    </row>
    <row r="2539" spans="1:18" hidden="1">
      <c r="A2539" s="134" t="s">
        <v>1139</v>
      </c>
      <c r="C2539" s="29">
        <v>164500087</v>
      </c>
      <c r="D2539" s="29">
        <v>136500095</v>
      </c>
      <c r="E2539" s="29"/>
      <c r="F2539" s="29" t="s">
        <v>87</v>
      </c>
      <c r="G2539" s="29" t="s">
        <v>823</v>
      </c>
      <c r="H2539" s="29" t="s">
        <v>38</v>
      </c>
      <c r="I2539" s="120">
        <v>45821</v>
      </c>
      <c r="J2539" s="120">
        <f>WORKDAY(I2539, 3)</f>
        <v>45826</v>
      </c>
      <c r="K2539" s="120">
        <v>45851</v>
      </c>
      <c r="L2539" s="120"/>
      <c r="M2539" s="120"/>
      <c r="N2539" s="120">
        <v>45824</v>
      </c>
      <c r="O2539" s="29" t="s">
        <v>222</v>
      </c>
      <c r="P2539" s="29"/>
      <c r="Q2539" s="156">
        <v>130</v>
      </c>
      <c r="R2539" s="134" t="s">
        <v>1405</v>
      </c>
    </row>
    <row r="2540" spans="1:18" hidden="1">
      <c r="A2540" s="134" t="s">
        <v>1139</v>
      </c>
      <c r="C2540" s="29">
        <v>164500089</v>
      </c>
      <c r="D2540" s="29">
        <v>136500141</v>
      </c>
      <c r="E2540" s="29"/>
      <c r="F2540" s="29" t="s">
        <v>87</v>
      </c>
      <c r="G2540" s="29" t="s">
        <v>823</v>
      </c>
      <c r="H2540" s="29" t="s">
        <v>38</v>
      </c>
      <c r="I2540" s="120">
        <v>45821</v>
      </c>
      <c r="J2540" s="120">
        <f>WORKDAY(I2540, 3)</f>
        <v>45826</v>
      </c>
      <c r="K2540" s="120">
        <v>45851</v>
      </c>
      <c r="L2540" s="120"/>
      <c r="M2540" s="120"/>
      <c r="N2540" s="120">
        <v>45824</v>
      </c>
      <c r="O2540" s="29" t="s">
        <v>222</v>
      </c>
      <c r="P2540" s="29"/>
      <c r="Q2540" s="156">
        <v>240</v>
      </c>
      <c r="R2540" s="134" t="s">
        <v>1405</v>
      </c>
    </row>
    <row r="2541" spans="1:18" hidden="1">
      <c r="A2541" s="134" t="s">
        <v>1139</v>
      </c>
      <c r="C2541" s="29">
        <v>164500092</v>
      </c>
      <c r="D2541" s="29">
        <v>136500142</v>
      </c>
      <c r="E2541" s="29"/>
      <c r="F2541" s="29" t="s">
        <v>87</v>
      </c>
      <c r="G2541" s="29" t="s">
        <v>823</v>
      </c>
      <c r="H2541" s="29" t="s">
        <v>38</v>
      </c>
      <c r="I2541" s="120">
        <v>45821</v>
      </c>
      <c r="J2541" s="120">
        <f>WORKDAY(I2541, 3)</f>
        <v>45826</v>
      </c>
      <c r="K2541" s="120">
        <v>45851</v>
      </c>
      <c r="L2541" s="120"/>
      <c r="M2541" s="120"/>
      <c r="N2541" s="120">
        <v>45824</v>
      </c>
      <c r="O2541" s="29" t="s">
        <v>222</v>
      </c>
      <c r="P2541" s="29"/>
      <c r="Q2541" s="156">
        <v>480</v>
      </c>
      <c r="R2541" s="134" t="s">
        <v>1405</v>
      </c>
    </row>
    <row r="2542" spans="1:18" hidden="1">
      <c r="A2542" s="134" t="s">
        <v>1139</v>
      </c>
      <c r="C2542" s="29">
        <v>164500093</v>
      </c>
      <c r="D2542" s="29">
        <v>136500153</v>
      </c>
      <c r="E2542" s="29"/>
      <c r="F2542" s="29" t="s">
        <v>87</v>
      </c>
      <c r="G2542" s="29" t="s">
        <v>823</v>
      </c>
      <c r="H2542" s="29" t="s">
        <v>38</v>
      </c>
      <c r="I2542" s="120">
        <v>45821</v>
      </c>
      <c r="J2542" s="120">
        <f>WORKDAY(I2542, 3)</f>
        <v>45826</v>
      </c>
      <c r="K2542" s="120">
        <v>45851</v>
      </c>
      <c r="L2542" s="120"/>
      <c r="M2542" s="120"/>
      <c r="N2542" s="120">
        <v>45824</v>
      </c>
      <c r="O2542" s="29" t="s">
        <v>222</v>
      </c>
      <c r="P2542" s="29"/>
      <c r="Q2542" s="156">
        <v>220</v>
      </c>
      <c r="R2542" s="134" t="s">
        <v>1405</v>
      </c>
    </row>
    <row r="2543" spans="1:18" hidden="1">
      <c r="A2543" s="134" t="s">
        <v>1139</v>
      </c>
      <c r="C2543" s="29">
        <v>164500095</v>
      </c>
      <c r="D2543" s="29">
        <v>136500155</v>
      </c>
      <c r="E2543" s="29"/>
      <c r="F2543" s="29" t="s">
        <v>87</v>
      </c>
      <c r="G2543" s="29" t="s">
        <v>823</v>
      </c>
      <c r="H2543" s="29" t="s">
        <v>38</v>
      </c>
      <c r="I2543" s="120">
        <v>45821</v>
      </c>
      <c r="J2543" s="120">
        <f>WORKDAY(I2543, 3)</f>
        <v>45826</v>
      </c>
      <c r="K2543" s="120">
        <v>45851</v>
      </c>
      <c r="L2543" s="120"/>
      <c r="M2543" s="120"/>
      <c r="N2543" s="120">
        <v>45824</v>
      </c>
      <c r="O2543" s="29" t="s">
        <v>222</v>
      </c>
      <c r="P2543" s="29"/>
      <c r="Q2543" s="156">
        <v>680</v>
      </c>
      <c r="R2543" s="134" t="s">
        <v>1405</v>
      </c>
    </row>
    <row r="2544" spans="1:18" hidden="1">
      <c r="A2544" s="134" t="s">
        <v>1139</v>
      </c>
      <c r="C2544" s="29">
        <v>164500096</v>
      </c>
      <c r="D2544" s="29">
        <v>136500156</v>
      </c>
      <c r="E2544" s="29"/>
      <c r="F2544" s="29" t="s">
        <v>87</v>
      </c>
      <c r="G2544" s="29" t="s">
        <v>823</v>
      </c>
      <c r="H2544" s="29" t="s">
        <v>38</v>
      </c>
      <c r="I2544" s="120">
        <v>45821</v>
      </c>
      <c r="J2544" s="120">
        <f>WORKDAY(I2544, 3)</f>
        <v>45826</v>
      </c>
      <c r="K2544" s="120">
        <v>45851</v>
      </c>
      <c r="L2544" s="120"/>
      <c r="M2544" s="120"/>
      <c r="N2544" s="120">
        <v>45824</v>
      </c>
      <c r="O2544" s="29" t="s">
        <v>222</v>
      </c>
      <c r="P2544" s="29"/>
      <c r="Q2544" s="156">
        <v>600</v>
      </c>
      <c r="R2544" s="134" t="s">
        <v>1405</v>
      </c>
    </row>
    <row r="2545" spans="1:18" hidden="1">
      <c r="A2545" s="134" t="s">
        <v>1139</v>
      </c>
      <c r="C2545" s="29">
        <v>164500097</v>
      </c>
      <c r="D2545" s="29">
        <v>136500159</v>
      </c>
      <c r="E2545" s="29"/>
      <c r="F2545" s="29" t="s">
        <v>87</v>
      </c>
      <c r="G2545" s="29" t="s">
        <v>823</v>
      </c>
      <c r="H2545" s="29" t="s">
        <v>38</v>
      </c>
      <c r="I2545" s="120">
        <v>45821</v>
      </c>
      <c r="J2545" s="120">
        <f>WORKDAY(I2545, 3)</f>
        <v>45826</v>
      </c>
      <c r="K2545" s="120">
        <v>45851</v>
      </c>
      <c r="L2545" s="120"/>
      <c r="M2545" s="120"/>
      <c r="N2545" s="120">
        <v>45824</v>
      </c>
      <c r="O2545" s="29" t="s">
        <v>222</v>
      </c>
      <c r="P2545" s="29"/>
      <c r="Q2545" s="156">
        <v>580</v>
      </c>
      <c r="R2545" s="134" t="s">
        <v>1405</v>
      </c>
    </row>
    <row r="2546" spans="1:18" hidden="1">
      <c r="A2546" s="134" t="s">
        <v>1155</v>
      </c>
      <c r="C2546" s="29">
        <v>164500103</v>
      </c>
      <c r="D2546" s="29">
        <v>132500119</v>
      </c>
      <c r="E2546" s="29"/>
      <c r="F2546" s="29" t="s">
        <v>87</v>
      </c>
      <c r="G2546" s="29" t="s">
        <v>823</v>
      </c>
      <c r="H2546" s="29" t="s">
        <v>38</v>
      </c>
      <c r="I2546" s="120">
        <v>45821</v>
      </c>
      <c r="J2546" s="120">
        <f>WORKDAY(I2546, 3)</f>
        <v>45826</v>
      </c>
      <c r="K2546" s="120">
        <v>45851</v>
      </c>
      <c r="L2546" s="120"/>
      <c r="M2546" s="120"/>
      <c r="N2546" s="120">
        <v>45824</v>
      </c>
      <c r="O2546" s="29" t="s">
        <v>222</v>
      </c>
      <c r="P2546" s="29"/>
      <c r="Q2546" s="156">
        <v>1000</v>
      </c>
      <c r="R2546" s="134" t="s">
        <v>1405</v>
      </c>
    </row>
    <row r="2547" spans="1:18" hidden="1">
      <c r="A2547" s="134" t="s">
        <v>1155</v>
      </c>
      <c r="C2547" s="29">
        <v>164500115</v>
      </c>
      <c r="D2547" s="29">
        <v>132500128</v>
      </c>
      <c r="E2547" s="29"/>
      <c r="F2547" s="29" t="s">
        <v>87</v>
      </c>
      <c r="G2547" s="29" t="s">
        <v>823</v>
      </c>
      <c r="H2547" s="29" t="s">
        <v>38</v>
      </c>
      <c r="I2547" s="120">
        <v>45821</v>
      </c>
      <c r="J2547" s="120">
        <f>WORKDAY(I2547, 3)</f>
        <v>45826</v>
      </c>
      <c r="K2547" s="120">
        <v>45851</v>
      </c>
      <c r="L2547" s="120"/>
      <c r="M2547" s="120"/>
      <c r="N2547" s="120">
        <v>45824</v>
      </c>
      <c r="O2547" s="29" t="s">
        <v>222</v>
      </c>
      <c r="P2547" s="29"/>
      <c r="Q2547" s="156">
        <v>600</v>
      </c>
      <c r="R2547" s="134" t="s">
        <v>1405</v>
      </c>
    </row>
    <row r="2548" spans="1:18" hidden="1">
      <c r="A2548" s="134" t="s">
        <v>1155</v>
      </c>
      <c r="C2548" s="29">
        <v>164500118</v>
      </c>
      <c r="D2548" s="29">
        <v>132500140</v>
      </c>
      <c r="E2548" s="29"/>
      <c r="F2548" s="29" t="s">
        <v>87</v>
      </c>
      <c r="G2548" s="29" t="s">
        <v>823</v>
      </c>
      <c r="H2548" s="29" t="s">
        <v>38</v>
      </c>
      <c r="I2548" s="120">
        <v>45821</v>
      </c>
      <c r="J2548" s="120">
        <f>WORKDAY(I2548, 3)</f>
        <v>45826</v>
      </c>
      <c r="K2548" s="120">
        <v>45851</v>
      </c>
      <c r="L2548" s="120"/>
      <c r="M2548" s="120"/>
      <c r="N2548" s="120">
        <v>45824</v>
      </c>
      <c r="O2548" s="29" t="s">
        <v>222</v>
      </c>
      <c r="P2548" s="29"/>
      <c r="Q2548" s="156">
        <v>300</v>
      </c>
      <c r="R2548" s="134" t="s">
        <v>1405</v>
      </c>
    </row>
    <row r="2549" spans="1:18" hidden="1">
      <c r="A2549" s="134" t="s">
        <v>1155</v>
      </c>
      <c r="C2549" s="29">
        <v>164500124</v>
      </c>
      <c r="D2549" s="29">
        <v>132500147</v>
      </c>
      <c r="E2549" s="29"/>
      <c r="F2549" s="29" t="s">
        <v>87</v>
      </c>
      <c r="G2549" s="29" t="s">
        <v>823</v>
      </c>
      <c r="H2549" s="29" t="s">
        <v>38</v>
      </c>
      <c r="I2549" s="120">
        <v>45821</v>
      </c>
      <c r="J2549" s="120">
        <f>WORKDAY(I2549, 3)</f>
        <v>45826</v>
      </c>
      <c r="K2549" s="120">
        <v>45851</v>
      </c>
      <c r="L2549" s="120"/>
      <c r="M2549" s="120"/>
      <c r="N2549" s="120">
        <v>45824</v>
      </c>
      <c r="O2549" s="29" t="s">
        <v>222</v>
      </c>
      <c r="P2549" s="29"/>
      <c r="Q2549" s="156">
        <v>500</v>
      </c>
      <c r="R2549" s="134" t="s">
        <v>1405</v>
      </c>
    </row>
    <row r="2550" spans="1:18" hidden="1">
      <c r="A2550" s="134" t="s">
        <v>1155</v>
      </c>
      <c r="C2550" s="29">
        <v>164500125</v>
      </c>
      <c r="D2550" s="29">
        <v>132500149</v>
      </c>
      <c r="E2550" s="29"/>
      <c r="F2550" s="29" t="s">
        <v>87</v>
      </c>
      <c r="G2550" s="29" t="s">
        <v>823</v>
      </c>
      <c r="H2550" s="29" t="s">
        <v>38</v>
      </c>
      <c r="I2550" s="120">
        <v>45821</v>
      </c>
      <c r="J2550" s="120">
        <f>WORKDAY(I2550, 3)</f>
        <v>45826</v>
      </c>
      <c r="K2550" s="120">
        <v>45851</v>
      </c>
      <c r="L2550" s="120"/>
      <c r="M2550" s="120"/>
      <c r="N2550" s="120">
        <v>45824</v>
      </c>
      <c r="O2550" s="29" t="s">
        <v>222</v>
      </c>
      <c r="P2550" s="29"/>
      <c r="Q2550" s="156">
        <v>400</v>
      </c>
      <c r="R2550" s="134" t="s">
        <v>1405</v>
      </c>
    </row>
    <row r="2551" spans="1:18" hidden="1">
      <c r="A2551" s="134" t="s">
        <v>1141</v>
      </c>
      <c r="C2551" s="29">
        <v>164500099</v>
      </c>
      <c r="D2551" s="29">
        <v>136500101</v>
      </c>
      <c r="E2551" s="29"/>
      <c r="F2551" s="29" t="s">
        <v>87</v>
      </c>
      <c r="G2551" s="29" t="s">
        <v>823</v>
      </c>
      <c r="H2551" s="29" t="s">
        <v>38</v>
      </c>
      <c r="I2551" s="120">
        <v>45821</v>
      </c>
      <c r="J2551" s="120">
        <f>WORKDAY(I2551, 3)</f>
        <v>45826</v>
      </c>
      <c r="K2551" s="120">
        <v>45851</v>
      </c>
      <c r="L2551" s="120"/>
      <c r="M2551" s="120"/>
      <c r="N2551" s="120">
        <v>45824</v>
      </c>
      <c r="O2551" s="29" t="s">
        <v>222</v>
      </c>
      <c r="P2551" s="29"/>
      <c r="Q2551" s="156">
        <v>1280</v>
      </c>
      <c r="R2551" s="134" t="s">
        <v>1405</v>
      </c>
    </row>
    <row r="2552" spans="1:18" hidden="1">
      <c r="A2552" s="134" t="s">
        <v>1141</v>
      </c>
      <c r="C2552" s="29">
        <v>164500101</v>
      </c>
      <c r="D2552" s="29">
        <v>136500133</v>
      </c>
      <c r="E2552" s="29"/>
      <c r="F2552" s="29" t="s">
        <v>87</v>
      </c>
      <c r="G2552" s="29" t="s">
        <v>823</v>
      </c>
      <c r="H2552" s="29" t="s">
        <v>38</v>
      </c>
      <c r="I2552" s="120">
        <v>45821</v>
      </c>
      <c r="J2552" s="120">
        <f>WORKDAY(I2552, 3)</f>
        <v>45826</v>
      </c>
      <c r="K2552" s="120">
        <v>45851</v>
      </c>
      <c r="L2552" s="120"/>
      <c r="M2552" s="120"/>
      <c r="N2552" s="120">
        <v>45824</v>
      </c>
      <c r="O2552" s="29" t="s">
        <v>222</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222</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222</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222</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222</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222</v>
      </c>
      <c r="P2594" s="29"/>
      <c r="Q2594" s="81">
        <v>300</v>
      </c>
    </row>
    <row r="2595" spans="1:17" hidden="1">
      <c r="A2595" s="119" t="s">
        <v>1333</v>
      </c>
      <c r="B2595" s="119"/>
      <c r="C2595" s="29">
        <v>171503657</v>
      </c>
      <c r="D2595" s="29">
        <v>140508816</v>
      </c>
      <c r="E2595" s="29"/>
      <c r="F2595" s="29" t="s">
        <v>87</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87</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87</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87</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87</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87</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87</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87</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87</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87</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87</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87</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87</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87</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87</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87</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87</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87</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87</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87</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87</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87</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87</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87</v>
      </c>
      <c r="G2618" s="29" t="s">
        <v>823</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1019</v>
      </c>
      <c r="C2619" s="29">
        <v>174500449</v>
      </c>
      <c r="D2619" s="29">
        <v>148502778</v>
      </c>
      <c r="E2619" s="29"/>
      <c r="F2619" s="29" t="s">
        <v>87</v>
      </c>
      <c r="G2619" s="29" t="s">
        <v>823</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1019</v>
      </c>
      <c r="C2620" s="29">
        <v>174500453</v>
      </c>
      <c r="D2620" s="29">
        <v>148502788</v>
      </c>
      <c r="E2620" s="29"/>
      <c r="F2620" s="29" t="s">
        <v>87</v>
      </c>
      <c r="G2620" s="29" t="s">
        <v>823</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1142</v>
      </c>
      <c r="B2621" s="119"/>
      <c r="C2621" s="29">
        <v>175501083</v>
      </c>
      <c r="D2621" s="29">
        <v>135507443</v>
      </c>
      <c r="E2621" s="29"/>
      <c r="F2621" s="29" t="s">
        <v>87</v>
      </c>
      <c r="G2621" s="29" t="s">
        <v>823</v>
      </c>
      <c r="H2621" s="29" t="s">
        <v>38</v>
      </c>
      <c r="I2621" s="120">
        <v>45832</v>
      </c>
      <c r="J2621" s="120">
        <f>WORKDAY(I2621, 3)</f>
        <v>45835</v>
      </c>
      <c r="K2621" s="120">
        <v>45862</v>
      </c>
      <c r="L2621" s="120"/>
      <c r="M2621" s="120"/>
      <c r="N2621" s="29"/>
      <c r="O2621" s="29" t="s">
        <v>170</v>
      </c>
      <c r="P2621" s="120"/>
      <c r="Q2621" s="81">
        <v>230</v>
      </c>
    </row>
    <row r="2622" spans="1:17" hidden="1">
      <c r="A2622" s="119" t="s">
        <v>1142</v>
      </c>
      <c r="B2622" s="119"/>
      <c r="C2622" s="29">
        <v>175501090</v>
      </c>
      <c r="D2622" s="29">
        <v>129506652</v>
      </c>
      <c r="E2622" s="29"/>
      <c r="F2622" s="29" t="s">
        <v>87</v>
      </c>
      <c r="G2622" s="29" t="s">
        <v>823</v>
      </c>
      <c r="H2622" s="29" t="s">
        <v>38</v>
      </c>
      <c r="I2622" s="120">
        <v>45832</v>
      </c>
      <c r="J2622" s="120">
        <f>WORKDAY(I2622, 3)</f>
        <v>45835</v>
      </c>
      <c r="K2622" s="120">
        <v>45862</v>
      </c>
      <c r="L2622" s="120"/>
      <c r="M2622" s="120"/>
      <c r="N2622" s="29"/>
      <c r="O2622" s="29" t="s">
        <v>170</v>
      </c>
      <c r="P2622" s="120"/>
      <c r="Q2622" s="81">
        <v>530</v>
      </c>
    </row>
    <row r="2623" spans="1:17" hidden="1">
      <c r="A2623" s="119" t="s">
        <v>1142</v>
      </c>
      <c r="B2623" s="119"/>
      <c r="C2623" s="29">
        <v>175501102</v>
      </c>
      <c r="D2623" s="29">
        <v>135507444</v>
      </c>
      <c r="E2623" s="29"/>
      <c r="F2623" s="29" t="s">
        <v>87</v>
      </c>
      <c r="G2623" s="29" t="s">
        <v>823</v>
      </c>
      <c r="H2623" s="29" t="s">
        <v>38</v>
      </c>
      <c r="I2623" s="120">
        <v>45832</v>
      </c>
      <c r="J2623" s="120">
        <f>WORKDAY(I2623, 3)</f>
        <v>45835</v>
      </c>
      <c r="K2623" s="120">
        <v>45862</v>
      </c>
      <c r="L2623" s="120"/>
      <c r="M2623" s="120"/>
      <c r="N2623" s="29"/>
      <c r="O2623" s="29" t="s">
        <v>170</v>
      </c>
      <c r="P2623" s="120"/>
      <c r="Q2623" s="81">
        <v>140</v>
      </c>
    </row>
    <row r="2624" spans="1:17" hidden="1">
      <c r="A2624" s="119" t="s">
        <v>1142</v>
      </c>
      <c r="B2624" s="119"/>
      <c r="C2624" s="29">
        <v>175501107</v>
      </c>
      <c r="D2624" s="29">
        <v>135507446</v>
      </c>
      <c r="E2624" s="29"/>
      <c r="F2624" s="29" t="s">
        <v>87</v>
      </c>
      <c r="G2624" s="29" t="s">
        <v>823</v>
      </c>
      <c r="H2624" s="29" t="s">
        <v>38</v>
      </c>
      <c r="I2624" s="120">
        <v>45832</v>
      </c>
      <c r="J2624" s="120">
        <f>WORKDAY(I2624, 3)</f>
        <v>45835</v>
      </c>
      <c r="K2624" s="120">
        <v>45862</v>
      </c>
      <c r="L2624" s="120"/>
      <c r="M2624" s="120"/>
      <c r="N2624" s="29"/>
      <c r="O2624" s="29" t="s">
        <v>170</v>
      </c>
      <c r="P2624" s="120"/>
      <c r="Q2624" s="81">
        <v>100</v>
      </c>
    </row>
    <row r="2625" spans="1:17" hidden="1">
      <c r="A2625" s="119" t="s">
        <v>1142</v>
      </c>
      <c r="B2625" s="119"/>
      <c r="C2625" s="29">
        <v>175501115</v>
      </c>
      <c r="D2625" s="29">
        <v>129506655</v>
      </c>
      <c r="E2625" s="29"/>
      <c r="F2625" s="29" t="s">
        <v>87</v>
      </c>
      <c r="G2625" s="29" t="s">
        <v>823</v>
      </c>
      <c r="H2625" s="29" t="s">
        <v>38</v>
      </c>
      <c r="I2625" s="120">
        <v>45832</v>
      </c>
      <c r="J2625" s="120">
        <f>WORKDAY(I2625, 3)</f>
        <v>45835</v>
      </c>
      <c r="K2625" s="120">
        <v>45862</v>
      </c>
      <c r="L2625" s="120"/>
      <c r="M2625" s="120"/>
      <c r="N2625" s="29"/>
      <c r="O2625" s="29" t="s">
        <v>170</v>
      </c>
      <c r="P2625" s="120"/>
      <c r="Q2625" s="81">
        <v>680</v>
      </c>
    </row>
    <row r="2626" spans="1:17" hidden="1">
      <c r="A2626" s="119" t="s">
        <v>1142</v>
      </c>
      <c r="B2626" s="119"/>
      <c r="C2626" s="29">
        <v>175501119</v>
      </c>
      <c r="D2626" s="29">
        <v>135507447</v>
      </c>
      <c r="E2626" s="29"/>
      <c r="F2626" s="29" t="s">
        <v>87</v>
      </c>
      <c r="G2626" s="29" t="s">
        <v>823</v>
      </c>
      <c r="H2626" s="29" t="s">
        <v>38</v>
      </c>
      <c r="I2626" s="120">
        <v>45832</v>
      </c>
      <c r="J2626" s="120">
        <f>WORKDAY(I2626, 3)</f>
        <v>45835</v>
      </c>
      <c r="K2626" s="120">
        <v>45862</v>
      </c>
      <c r="L2626" s="120"/>
      <c r="M2626" s="120"/>
      <c r="N2626" s="29"/>
      <c r="O2626" s="29" t="s">
        <v>170</v>
      </c>
      <c r="P2626" s="120"/>
      <c r="Q2626" s="81">
        <v>350</v>
      </c>
    </row>
    <row r="2627" spans="1:17" hidden="1">
      <c r="A2627" s="119" t="s">
        <v>1142</v>
      </c>
      <c r="B2627" s="119"/>
      <c r="C2627" s="29">
        <v>175501122</v>
      </c>
      <c r="D2627" s="29">
        <v>135507449</v>
      </c>
      <c r="E2627" s="29"/>
      <c r="F2627" s="29" t="s">
        <v>87</v>
      </c>
      <c r="G2627" s="29" t="s">
        <v>823</v>
      </c>
      <c r="H2627" s="29" t="s">
        <v>38</v>
      </c>
      <c r="I2627" s="120">
        <v>45832</v>
      </c>
      <c r="J2627" s="120">
        <f>WORKDAY(I2627, 3)</f>
        <v>45835</v>
      </c>
      <c r="K2627" s="120">
        <v>45862</v>
      </c>
      <c r="L2627" s="120"/>
      <c r="M2627" s="120"/>
      <c r="N2627" s="29"/>
      <c r="O2627" s="29" t="s">
        <v>170</v>
      </c>
      <c r="P2627" s="120"/>
      <c r="Q2627" s="81">
        <v>340</v>
      </c>
    </row>
    <row r="2628" spans="1:17" hidden="1">
      <c r="A2628" s="119" t="s">
        <v>1142</v>
      </c>
      <c r="B2628" s="119"/>
      <c r="C2628" s="29">
        <v>175501136</v>
      </c>
      <c r="D2628" s="29">
        <v>135507448</v>
      </c>
      <c r="E2628" s="29"/>
      <c r="F2628" s="29" t="s">
        <v>87</v>
      </c>
      <c r="G2628" s="29" t="s">
        <v>823</v>
      </c>
      <c r="H2628" s="29" t="s">
        <v>38</v>
      </c>
      <c r="I2628" s="120">
        <v>45832</v>
      </c>
      <c r="J2628" s="120">
        <f>WORKDAY(I2628, 3)</f>
        <v>45835</v>
      </c>
      <c r="K2628" s="120">
        <v>45862</v>
      </c>
      <c r="L2628" s="120"/>
      <c r="M2628" s="120"/>
      <c r="N2628" s="29"/>
      <c r="O2628" s="29" t="s">
        <v>170</v>
      </c>
      <c r="P2628" s="120"/>
      <c r="Q2628" s="81">
        <v>160</v>
      </c>
    </row>
    <row r="2629" spans="1:17" hidden="1">
      <c r="A2629" s="119" t="s">
        <v>1142</v>
      </c>
      <c r="B2629" s="119"/>
      <c r="C2629" s="29">
        <v>175501159</v>
      </c>
      <c r="D2629" s="29">
        <v>135507451</v>
      </c>
      <c r="E2629" s="29"/>
      <c r="F2629" s="29" t="s">
        <v>87</v>
      </c>
      <c r="G2629" s="29" t="s">
        <v>823</v>
      </c>
      <c r="H2629" s="29" t="s">
        <v>38</v>
      </c>
      <c r="I2629" s="120">
        <v>45832</v>
      </c>
      <c r="J2629" s="120">
        <f>WORKDAY(I2629, 3)</f>
        <v>45835</v>
      </c>
      <c r="K2629" s="120">
        <v>45862</v>
      </c>
      <c r="L2629" s="120"/>
      <c r="M2629" s="120"/>
      <c r="N2629" s="29"/>
      <c r="O2629" s="29" t="s">
        <v>170</v>
      </c>
      <c r="P2629" s="120"/>
      <c r="Q2629" s="81">
        <v>130</v>
      </c>
    </row>
    <row r="2630" spans="1:17" hidden="1">
      <c r="A2630" s="119" t="s">
        <v>1142</v>
      </c>
      <c r="B2630" s="119"/>
      <c r="C2630" s="29">
        <v>175501166</v>
      </c>
      <c r="D2630" s="29">
        <v>129500811</v>
      </c>
      <c r="E2630" s="29"/>
      <c r="F2630" s="29" t="s">
        <v>87</v>
      </c>
      <c r="G2630" s="29" t="s">
        <v>823</v>
      </c>
      <c r="H2630" s="29" t="s">
        <v>38</v>
      </c>
      <c r="I2630" s="120">
        <v>45832</v>
      </c>
      <c r="J2630" s="120">
        <f>WORKDAY(I2630, 3)</f>
        <v>45835</v>
      </c>
      <c r="K2630" s="120">
        <v>45862</v>
      </c>
      <c r="L2630" s="120"/>
      <c r="M2630" s="120"/>
      <c r="N2630" s="29"/>
      <c r="O2630" s="29" t="s">
        <v>170</v>
      </c>
      <c r="P2630" s="120"/>
      <c r="Q2630" s="81">
        <v>280</v>
      </c>
    </row>
    <row r="2631" spans="1:17" hidden="1">
      <c r="A2631" s="134" t="s">
        <v>1067</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1067</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1067</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1067</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1067</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1067</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1019</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1019</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1019</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983</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983</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1407</v>
      </c>
      <c r="C2642" s="29">
        <v>196500188</v>
      </c>
      <c r="D2642" s="29"/>
      <c r="E2642" s="29"/>
      <c r="F2642" s="29" t="s">
        <v>87</v>
      </c>
      <c r="G2642" s="29" t="s">
        <v>823</v>
      </c>
      <c r="H2642" s="29" t="s">
        <v>38</v>
      </c>
      <c r="I2642" s="120">
        <v>45852</v>
      </c>
      <c r="J2642" s="120">
        <f>WORKDAY(I2642, 3)</f>
        <v>45855</v>
      </c>
      <c r="K2642" s="120">
        <v>45883</v>
      </c>
      <c r="L2642" s="120"/>
      <c r="M2642" s="120"/>
      <c r="N2642" s="29"/>
      <c r="O2642" s="29" t="s">
        <v>170</v>
      </c>
      <c r="P2642" s="120"/>
      <c r="Q2642" s="156">
        <v>230</v>
      </c>
    </row>
    <row r="2643" spans="1:18" hidden="1">
      <c r="A2643" s="134" t="s">
        <v>1150</v>
      </c>
      <c r="C2643" s="29">
        <v>195504943</v>
      </c>
      <c r="D2643" s="29">
        <v>160500824</v>
      </c>
      <c r="E2643" s="29"/>
      <c r="F2643" s="29" t="s">
        <v>87</v>
      </c>
      <c r="G2643" s="29" t="s">
        <v>823</v>
      </c>
      <c r="H2643" s="29" t="s">
        <v>38</v>
      </c>
      <c r="I2643" s="120">
        <v>45852</v>
      </c>
      <c r="J2643" s="120">
        <f>WORKDAY(I2643, 3)</f>
        <v>45855</v>
      </c>
      <c r="K2643" s="120">
        <v>45883</v>
      </c>
      <c r="L2643" s="120"/>
      <c r="M2643" s="120"/>
      <c r="N2643" s="29"/>
      <c r="O2643" s="29" t="s">
        <v>222</v>
      </c>
      <c r="P2643" s="29"/>
      <c r="Q2643" s="156">
        <v>200</v>
      </c>
      <c r="R2643" s="134" t="s">
        <v>1176</v>
      </c>
    </row>
    <row r="2644" spans="1:18" hidden="1">
      <c r="A2644" s="134" t="s">
        <v>1059</v>
      </c>
      <c r="C2644" s="29">
        <v>176503372</v>
      </c>
      <c r="D2644" s="29">
        <v>148501617</v>
      </c>
      <c r="E2644" s="29"/>
      <c r="F2644" s="29" t="s">
        <v>87</v>
      </c>
      <c r="G2644" s="29" t="s">
        <v>823</v>
      </c>
      <c r="H2644" s="29" t="s">
        <v>38</v>
      </c>
      <c r="I2644" s="120">
        <v>45833</v>
      </c>
      <c r="J2644" s="120">
        <f>WORKDAY(I2644, 3)</f>
        <v>45838</v>
      </c>
      <c r="K2644" s="120">
        <v>45863</v>
      </c>
      <c r="L2644" s="120"/>
      <c r="M2644" s="120"/>
      <c r="N2644" s="29"/>
      <c r="O2644" s="29" t="s">
        <v>222</v>
      </c>
      <c r="P2644" s="29"/>
      <c r="Q2644" s="156">
        <v>900</v>
      </c>
    </row>
    <row r="2645" spans="1:18" hidden="1">
      <c r="A2645" s="134" t="s">
        <v>1059</v>
      </c>
      <c r="C2645" s="29">
        <v>181502133</v>
      </c>
      <c r="D2645" s="29">
        <v>150500064</v>
      </c>
      <c r="E2645" s="29"/>
      <c r="F2645" s="29" t="s">
        <v>87</v>
      </c>
      <c r="G2645" s="29" t="s">
        <v>823</v>
      </c>
      <c r="H2645" s="29" t="s">
        <v>38</v>
      </c>
      <c r="I2645" s="120">
        <v>45838</v>
      </c>
      <c r="J2645" s="120">
        <f>WORKDAY(I2645, 3)</f>
        <v>45841</v>
      </c>
      <c r="K2645" s="120">
        <v>45868</v>
      </c>
      <c r="L2645" s="120"/>
      <c r="M2645" s="120"/>
      <c r="N2645" s="29"/>
      <c r="O2645" s="29" t="s">
        <v>222</v>
      </c>
      <c r="P2645" s="29"/>
      <c r="Q2645" s="156">
        <v>560</v>
      </c>
    </row>
    <row r="2646" spans="1:18" hidden="1">
      <c r="A2646" s="134" t="s">
        <v>1059</v>
      </c>
      <c r="C2646" s="29">
        <v>181502172</v>
      </c>
      <c r="D2646" s="29">
        <v>148501570</v>
      </c>
      <c r="E2646" s="29"/>
      <c r="F2646" s="29" t="s">
        <v>87</v>
      </c>
      <c r="G2646" s="29" t="s">
        <v>823</v>
      </c>
      <c r="H2646" s="29" t="s">
        <v>38</v>
      </c>
      <c r="I2646" s="120">
        <v>45838</v>
      </c>
      <c r="J2646" s="120">
        <f>WORKDAY(I2646, 3)</f>
        <v>45841</v>
      </c>
      <c r="K2646" s="120">
        <v>45868</v>
      </c>
      <c r="L2646" s="120"/>
      <c r="M2646" s="120"/>
      <c r="N2646" s="29"/>
      <c r="O2646" s="29" t="s">
        <v>222</v>
      </c>
      <c r="P2646" s="29"/>
      <c r="Q2646" s="156">
        <v>300</v>
      </c>
    </row>
    <row r="2647" spans="1:18" hidden="1">
      <c r="A2647" s="134" t="s">
        <v>1059</v>
      </c>
      <c r="C2647" s="29">
        <v>181502210</v>
      </c>
      <c r="D2647" s="29">
        <v>145501680</v>
      </c>
      <c r="E2647" s="29"/>
      <c r="F2647" s="29" t="s">
        <v>87</v>
      </c>
      <c r="G2647" s="29" t="s">
        <v>823</v>
      </c>
      <c r="H2647" s="29" t="s">
        <v>38</v>
      </c>
      <c r="I2647" s="120">
        <v>45838</v>
      </c>
      <c r="J2647" s="120">
        <f>WORKDAY(I2647, 3)</f>
        <v>45841</v>
      </c>
      <c r="K2647" s="120">
        <v>45868</v>
      </c>
      <c r="L2647" s="120"/>
      <c r="M2647" s="120"/>
      <c r="N2647" s="29"/>
      <c r="O2647" s="29" t="s">
        <v>222</v>
      </c>
      <c r="P2647" s="29"/>
      <c r="Q2647" s="156">
        <v>700</v>
      </c>
    </row>
    <row r="2648" spans="1:18" hidden="1">
      <c r="A2648" s="134" t="s">
        <v>1059</v>
      </c>
      <c r="C2648" s="29">
        <v>181502219</v>
      </c>
      <c r="D2648" s="29">
        <v>150500061</v>
      </c>
      <c r="E2648" s="29"/>
      <c r="F2648" s="29" t="s">
        <v>87</v>
      </c>
      <c r="G2648" s="29" t="s">
        <v>823</v>
      </c>
      <c r="H2648" s="29" t="s">
        <v>38</v>
      </c>
      <c r="I2648" s="120">
        <v>45838</v>
      </c>
      <c r="J2648" s="120">
        <f>WORKDAY(I2648, 3)</f>
        <v>45841</v>
      </c>
      <c r="K2648" s="120">
        <v>45868</v>
      </c>
      <c r="L2648" s="120"/>
      <c r="M2648" s="120"/>
      <c r="N2648" s="29"/>
      <c r="O2648" s="29" t="s">
        <v>222</v>
      </c>
      <c r="P2648" s="29"/>
      <c r="Q2648" s="156">
        <v>400</v>
      </c>
    </row>
    <row r="2649" spans="1:18" hidden="1">
      <c r="A2649" s="134" t="s">
        <v>1059</v>
      </c>
      <c r="C2649" s="29">
        <v>181502290</v>
      </c>
      <c r="D2649" s="29">
        <v>148501665</v>
      </c>
      <c r="E2649" s="29"/>
      <c r="F2649" s="29" t="s">
        <v>87</v>
      </c>
      <c r="G2649" s="29" t="s">
        <v>823</v>
      </c>
      <c r="H2649" s="29" t="s">
        <v>38</v>
      </c>
      <c r="I2649" s="120">
        <v>45838</v>
      </c>
      <c r="J2649" s="120">
        <f>WORKDAY(I2649, 3)</f>
        <v>45841</v>
      </c>
      <c r="K2649" s="120">
        <v>45868</v>
      </c>
      <c r="L2649" s="120"/>
      <c r="M2649" s="120"/>
      <c r="N2649" s="29"/>
      <c r="O2649" s="29" t="s">
        <v>222</v>
      </c>
      <c r="P2649" s="29"/>
      <c r="Q2649" s="156">
        <v>320</v>
      </c>
    </row>
    <row r="2650" spans="1:18" hidden="1">
      <c r="A2650" s="134" t="s">
        <v>1136</v>
      </c>
      <c r="C2650" s="29">
        <v>182505805</v>
      </c>
      <c r="D2650" s="29"/>
      <c r="E2650" s="29"/>
      <c r="F2650" s="29" t="s">
        <v>87</v>
      </c>
      <c r="G2650" s="29" t="s">
        <v>823</v>
      </c>
      <c r="H2650" s="29" t="s">
        <v>38</v>
      </c>
      <c r="I2650" s="120">
        <v>45839</v>
      </c>
      <c r="J2650" s="120">
        <f>WORKDAY(I2650, 3)</f>
        <v>45842</v>
      </c>
      <c r="K2650" s="120">
        <v>45870</v>
      </c>
      <c r="L2650" s="120"/>
      <c r="M2650" s="120"/>
      <c r="N2650" s="29"/>
      <c r="O2650" s="29" t="s">
        <v>222</v>
      </c>
      <c r="P2650" s="29"/>
      <c r="Q2650" s="156">
        <v>280</v>
      </c>
    </row>
    <row r="2651" spans="1:18" hidden="1">
      <c r="A2651" s="134" t="s">
        <v>1136</v>
      </c>
      <c r="C2651" s="29">
        <v>182505854</v>
      </c>
      <c r="D2651" s="29"/>
      <c r="E2651" s="29"/>
      <c r="F2651" s="29" t="s">
        <v>87</v>
      </c>
      <c r="G2651" s="29" t="s">
        <v>823</v>
      </c>
      <c r="H2651" s="29" t="s">
        <v>38</v>
      </c>
      <c r="I2651" s="120">
        <v>45839</v>
      </c>
      <c r="J2651" s="120">
        <f>WORKDAY(I2651, 3)</f>
        <v>45842</v>
      </c>
      <c r="K2651" s="120">
        <v>45870</v>
      </c>
      <c r="L2651" s="120"/>
      <c r="M2651" s="120"/>
      <c r="N2651" s="29"/>
      <c r="O2651" s="29" t="s">
        <v>222</v>
      </c>
      <c r="P2651" s="29"/>
      <c r="Q2651" s="156">
        <v>220</v>
      </c>
    </row>
    <row r="2652" spans="1:18" hidden="1">
      <c r="A2652" s="134" t="s">
        <v>1136</v>
      </c>
      <c r="C2652" s="29">
        <v>182505887</v>
      </c>
      <c r="D2652" s="29"/>
      <c r="E2652" s="29"/>
      <c r="F2652" s="29" t="s">
        <v>87</v>
      </c>
      <c r="G2652" s="29" t="s">
        <v>823</v>
      </c>
      <c r="H2652" s="29" t="s">
        <v>38</v>
      </c>
      <c r="I2652" s="120">
        <v>45839</v>
      </c>
      <c r="J2652" s="120">
        <f>WORKDAY(I2652, 3)</f>
        <v>45842</v>
      </c>
      <c r="K2652" s="120">
        <v>45870</v>
      </c>
      <c r="L2652" s="120"/>
      <c r="M2652" s="120"/>
      <c r="N2652" s="29"/>
      <c r="O2652" s="29" t="s">
        <v>222</v>
      </c>
      <c r="P2652" s="29"/>
      <c r="Q2652" s="156">
        <v>180</v>
      </c>
    </row>
    <row r="2653" spans="1:18" hidden="1">
      <c r="A2653" s="134" t="s">
        <v>1136</v>
      </c>
      <c r="C2653" s="29">
        <v>182505900</v>
      </c>
      <c r="D2653" s="29"/>
      <c r="E2653" s="29"/>
      <c r="F2653" s="29" t="s">
        <v>87</v>
      </c>
      <c r="G2653" s="29" t="s">
        <v>823</v>
      </c>
      <c r="H2653" s="29" t="s">
        <v>38</v>
      </c>
      <c r="I2653" s="120">
        <v>45839</v>
      </c>
      <c r="J2653" s="120">
        <f>WORKDAY(I2653, 3)</f>
        <v>45842</v>
      </c>
      <c r="K2653" s="120">
        <v>45870</v>
      </c>
      <c r="L2653" s="120"/>
      <c r="M2653" s="120"/>
      <c r="N2653" s="29"/>
      <c r="O2653" s="29" t="s">
        <v>222</v>
      </c>
      <c r="P2653" s="29"/>
      <c r="Q2653" s="156">
        <v>170</v>
      </c>
    </row>
    <row r="2654" spans="1:18" hidden="1">
      <c r="A2654" s="134" t="s">
        <v>1136</v>
      </c>
      <c r="C2654" s="29">
        <v>182505946</v>
      </c>
      <c r="D2654" s="29"/>
      <c r="E2654" s="29"/>
      <c r="F2654" s="29" t="s">
        <v>87</v>
      </c>
      <c r="G2654" s="29" t="s">
        <v>823</v>
      </c>
      <c r="H2654" s="29" t="s">
        <v>38</v>
      </c>
      <c r="I2654" s="120">
        <v>45839</v>
      </c>
      <c r="J2654" s="120">
        <f>WORKDAY(I2654, 3)</f>
        <v>45842</v>
      </c>
      <c r="K2654" s="120">
        <v>45870</v>
      </c>
      <c r="L2654" s="120"/>
      <c r="M2654" s="120"/>
      <c r="N2654" s="29"/>
      <c r="O2654" s="29" t="s">
        <v>222</v>
      </c>
      <c r="P2654" s="29"/>
      <c r="Q2654" s="156">
        <v>90</v>
      </c>
    </row>
    <row r="2655" spans="1:18" hidden="1">
      <c r="A2655" s="134" t="s">
        <v>1136</v>
      </c>
      <c r="C2655" s="29">
        <v>182505965</v>
      </c>
      <c r="D2655" s="29"/>
      <c r="E2655" s="29"/>
      <c r="F2655" s="29" t="s">
        <v>87</v>
      </c>
      <c r="G2655" s="29" t="s">
        <v>823</v>
      </c>
      <c r="H2655" s="29" t="s">
        <v>38</v>
      </c>
      <c r="I2655" s="120">
        <v>45839</v>
      </c>
      <c r="J2655" s="120">
        <f>WORKDAY(I2655, 3)</f>
        <v>45842</v>
      </c>
      <c r="K2655" s="120">
        <v>45870</v>
      </c>
      <c r="L2655" s="120"/>
      <c r="M2655" s="120"/>
      <c r="N2655" s="29"/>
      <c r="O2655" s="29" t="s">
        <v>222</v>
      </c>
      <c r="P2655" s="29"/>
      <c r="Q2655" s="156">
        <v>350</v>
      </c>
    </row>
    <row r="2656" spans="1:18" hidden="1">
      <c r="A2656" s="134" t="s">
        <v>1067</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1408</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1408</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1409</v>
      </c>
      <c r="C2659" s="29">
        <v>218501895</v>
      </c>
      <c r="D2659" s="29"/>
      <c r="E2659" s="29"/>
      <c r="F2659" s="29" t="s">
        <v>87</v>
      </c>
      <c r="G2659" s="29" t="s">
        <v>823</v>
      </c>
      <c r="H2659" s="29" t="s">
        <v>38</v>
      </c>
      <c r="I2659" s="120">
        <v>45875</v>
      </c>
      <c r="J2659" s="120">
        <f>WORKDAY(I2659, 3)</f>
        <v>45880</v>
      </c>
      <c r="K2659" s="120">
        <v>45906</v>
      </c>
      <c r="L2659" s="120"/>
      <c r="M2659" s="120"/>
      <c r="N2659" s="29"/>
      <c r="O2659" s="29" t="s">
        <v>170</v>
      </c>
      <c r="P2659" s="29"/>
      <c r="Q2659" s="156"/>
    </row>
    <row r="2660" spans="1:18" ht="18.75" hidden="1">
      <c r="A2660" s="134" t="s">
        <v>1408</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1408</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392</v>
      </c>
      <c r="C2662" s="29">
        <v>198501371</v>
      </c>
      <c r="D2662" s="29"/>
      <c r="E2662" s="29"/>
      <c r="F2662" s="29" t="s">
        <v>87</v>
      </c>
      <c r="G2662" s="29" t="s">
        <v>823</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983</v>
      </c>
      <c r="B2663" s="119"/>
      <c r="C2663" s="29">
        <v>203504455</v>
      </c>
      <c r="D2663" s="29">
        <v>154501500</v>
      </c>
      <c r="E2663" s="29"/>
      <c r="F2663" s="29" t="s">
        <v>87</v>
      </c>
      <c r="G2663" s="29" t="s">
        <v>823</v>
      </c>
      <c r="H2663" s="29" t="s">
        <v>38</v>
      </c>
      <c r="I2663" s="120">
        <v>45860</v>
      </c>
      <c r="J2663" s="120">
        <f>WORKDAY(I2663, 3)</f>
        <v>45863</v>
      </c>
      <c r="K2663" s="120">
        <v>45891</v>
      </c>
      <c r="L2663" s="120"/>
      <c r="M2663" s="120"/>
      <c r="N2663" s="29"/>
      <c r="O2663" s="29" t="s">
        <v>222</v>
      </c>
      <c r="P2663" s="29"/>
      <c r="Q2663" s="156">
        <v>570</v>
      </c>
      <c r="R2663" s="134" t="s">
        <v>1410</v>
      </c>
    </row>
    <row r="2664" spans="1:18" hidden="1">
      <c r="A2664" s="119" t="s">
        <v>983</v>
      </c>
      <c r="B2664" s="119"/>
      <c r="C2664" s="29">
        <v>203504461</v>
      </c>
      <c r="D2664" s="29">
        <v>154501505</v>
      </c>
      <c r="E2664" s="29"/>
      <c r="F2664" s="29" t="s">
        <v>87</v>
      </c>
      <c r="G2664" s="29" t="s">
        <v>823</v>
      </c>
      <c r="H2664" s="29" t="s">
        <v>38</v>
      </c>
      <c r="I2664" s="120">
        <v>45860</v>
      </c>
      <c r="J2664" s="120">
        <f>WORKDAY(I2664, 3)</f>
        <v>45863</v>
      </c>
      <c r="K2664" s="120">
        <v>45891</v>
      </c>
      <c r="L2664" s="120"/>
      <c r="M2664" s="120"/>
      <c r="N2664" s="29"/>
      <c r="O2664" s="29" t="s">
        <v>222</v>
      </c>
      <c r="P2664" s="29"/>
      <c r="Q2664" s="156">
        <v>350</v>
      </c>
      <c r="R2664" s="134" t="s">
        <v>1410</v>
      </c>
    </row>
    <row r="2665" spans="1:18" hidden="1">
      <c r="A2665" s="119" t="s">
        <v>983</v>
      </c>
      <c r="B2665" s="119"/>
      <c r="C2665" s="29">
        <v>203504488</v>
      </c>
      <c r="D2665" s="29">
        <v>188501985</v>
      </c>
      <c r="E2665" s="29"/>
      <c r="F2665" s="29" t="s">
        <v>87</v>
      </c>
      <c r="G2665" s="29" t="s">
        <v>823</v>
      </c>
      <c r="H2665" s="29" t="s">
        <v>38</v>
      </c>
      <c r="I2665" s="120">
        <v>45860</v>
      </c>
      <c r="J2665" s="120">
        <f>WORKDAY(I2665, 3)</f>
        <v>45863</v>
      </c>
      <c r="K2665" s="120">
        <v>45891</v>
      </c>
      <c r="L2665" s="120"/>
      <c r="M2665" s="120"/>
      <c r="N2665" s="29"/>
      <c r="O2665" s="29" t="s">
        <v>170</v>
      </c>
      <c r="P2665" s="120"/>
      <c r="Q2665" s="156">
        <v>300</v>
      </c>
    </row>
    <row r="2666" spans="1:18" hidden="1">
      <c r="A2666" s="134" t="s">
        <v>588</v>
      </c>
      <c r="C2666" s="29">
        <v>203501474</v>
      </c>
      <c r="D2666" s="29">
        <v>174500570</v>
      </c>
      <c r="E2666" s="29"/>
      <c r="F2666" s="29" t="s">
        <v>87</v>
      </c>
      <c r="G2666" s="29" t="s">
        <v>823</v>
      </c>
      <c r="H2666" s="29" t="s">
        <v>38</v>
      </c>
      <c r="I2666" s="120">
        <v>45860</v>
      </c>
      <c r="J2666" s="120">
        <f>WORKDAY(I2666, 3)</f>
        <v>45863</v>
      </c>
      <c r="K2666" s="120">
        <v>45891</v>
      </c>
      <c r="L2666" s="120"/>
      <c r="M2666" s="120"/>
      <c r="N2666" s="29"/>
      <c r="O2666" s="29" t="s">
        <v>170</v>
      </c>
      <c r="P2666" s="120"/>
      <c r="Q2666" s="156">
        <v>270</v>
      </c>
    </row>
    <row r="2667" spans="1:18" hidden="1">
      <c r="A2667" s="134" t="s">
        <v>588</v>
      </c>
      <c r="C2667" s="29">
        <v>203501482</v>
      </c>
      <c r="D2667" s="29">
        <v>174500619</v>
      </c>
      <c r="E2667" s="29"/>
      <c r="F2667" s="29" t="s">
        <v>87</v>
      </c>
      <c r="G2667" s="29" t="s">
        <v>823</v>
      </c>
      <c r="H2667" s="29" t="s">
        <v>38</v>
      </c>
      <c r="I2667" s="120">
        <v>45860</v>
      </c>
      <c r="J2667" s="120">
        <f>WORKDAY(I2667, 3)</f>
        <v>45863</v>
      </c>
      <c r="K2667" s="120">
        <v>45891</v>
      </c>
      <c r="L2667" s="120"/>
      <c r="M2667" s="120"/>
      <c r="N2667" s="29"/>
      <c r="O2667" s="29" t="s">
        <v>170</v>
      </c>
      <c r="P2667" s="120"/>
      <c r="Q2667" s="156">
        <v>800</v>
      </c>
    </row>
    <row r="2668" spans="1:18" hidden="1">
      <c r="A2668" s="134" t="s">
        <v>588</v>
      </c>
      <c r="C2668" s="29">
        <v>203501493</v>
      </c>
      <c r="D2668" s="29">
        <v>174500645</v>
      </c>
      <c r="E2668" s="29"/>
      <c r="F2668" s="29" t="s">
        <v>87</v>
      </c>
      <c r="G2668" s="29" t="s">
        <v>823</v>
      </c>
      <c r="H2668" s="29" t="s">
        <v>38</v>
      </c>
      <c r="I2668" s="120">
        <v>45860</v>
      </c>
      <c r="J2668" s="120">
        <f>WORKDAY(I2668, 3)</f>
        <v>45863</v>
      </c>
      <c r="K2668" s="120">
        <v>45891</v>
      </c>
      <c r="L2668" s="120"/>
      <c r="M2668" s="120"/>
      <c r="N2668" s="29"/>
      <c r="O2668" s="29" t="s">
        <v>170</v>
      </c>
      <c r="P2668" s="120"/>
      <c r="Q2668" s="156">
        <v>710</v>
      </c>
    </row>
    <row r="2669" spans="1:18" hidden="1">
      <c r="A2669" s="134" t="s">
        <v>1333</v>
      </c>
      <c r="C2669" s="29">
        <v>203501511</v>
      </c>
      <c r="D2669" s="29">
        <v>171503657</v>
      </c>
      <c r="E2669" s="29"/>
      <c r="F2669" s="29" t="s">
        <v>87</v>
      </c>
      <c r="G2669" s="29" t="s">
        <v>823</v>
      </c>
      <c r="H2669" s="29" t="s">
        <v>38</v>
      </c>
      <c r="I2669" s="120">
        <v>45860</v>
      </c>
      <c r="J2669" s="120">
        <f>WORKDAY(I2669, 3)</f>
        <v>45863</v>
      </c>
      <c r="K2669" s="120">
        <v>45891</v>
      </c>
      <c r="L2669" s="120"/>
      <c r="M2669" s="120"/>
      <c r="N2669" s="29"/>
      <c r="O2669" s="29" t="s">
        <v>170</v>
      </c>
      <c r="P2669" s="120"/>
      <c r="Q2669" s="156">
        <v>420</v>
      </c>
    </row>
    <row r="2670" spans="1:18" hidden="1">
      <c r="A2670" s="134" t="s">
        <v>588</v>
      </c>
      <c r="C2670" s="29">
        <v>203501518</v>
      </c>
      <c r="D2670" s="29">
        <v>174500653</v>
      </c>
      <c r="E2670" s="29"/>
      <c r="F2670" s="29" t="s">
        <v>87</v>
      </c>
      <c r="G2670" s="29" t="s">
        <v>823</v>
      </c>
      <c r="H2670" s="29" t="s">
        <v>38</v>
      </c>
      <c r="I2670" s="120">
        <v>45860</v>
      </c>
      <c r="J2670" s="120">
        <f>WORKDAY(I2670, 3)</f>
        <v>45863</v>
      </c>
      <c r="K2670" s="120">
        <v>45891</v>
      </c>
      <c r="L2670" s="120"/>
      <c r="M2670" s="120"/>
      <c r="N2670" s="29"/>
      <c r="O2670" s="29" t="s">
        <v>170</v>
      </c>
      <c r="P2670" s="120"/>
      <c r="Q2670" s="156">
        <v>980</v>
      </c>
    </row>
    <row r="2671" spans="1:18" hidden="1">
      <c r="A2671" s="134" t="s">
        <v>1333</v>
      </c>
      <c r="C2671" s="29">
        <v>203501533</v>
      </c>
      <c r="D2671" s="29">
        <v>171503712</v>
      </c>
      <c r="E2671" s="29"/>
      <c r="F2671" s="29" t="s">
        <v>87</v>
      </c>
      <c r="G2671" s="29" t="s">
        <v>823</v>
      </c>
      <c r="H2671" s="29" t="s">
        <v>38</v>
      </c>
      <c r="I2671" s="120">
        <v>45860</v>
      </c>
      <c r="J2671" s="120">
        <f>WORKDAY(I2671, 3)</f>
        <v>45863</v>
      </c>
      <c r="K2671" s="120">
        <v>45891</v>
      </c>
      <c r="L2671" s="120"/>
      <c r="M2671" s="120"/>
      <c r="N2671" s="29"/>
      <c r="O2671" s="29" t="s">
        <v>170</v>
      </c>
      <c r="P2671" s="120"/>
      <c r="Q2671" s="156">
        <v>370</v>
      </c>
    </row>
    <row r="2672" spans="1:18" hidden="1">
      <c r="A2672" s="134" t="s">
        <v>1333</v>
      </c>
      <c r="C2672" s="29">
        <v>203501547</v>
      </c>
      <c r="D2672" s="29">
        <v>171503742</v>
      </c>
      <c r="E2672" s="29"/>
      <c r="F2672" s="29" t="s">
        <v>87</v>
      </c>
      <c r="G2672" s="29" t="s">
        <v>823</v>
      </c>
      <c r="H2672" s="29" t="s">
        <v>38</v>
      </c>
      <c r="I2672" s="120">
        <v>45860</v>
      </c>
      <c r="J2672" s="120">
        <f>WORKDAY(I2672, 3)</f>
        <v>45863</v>
      </c>
      <c r="K2672" s="120">
        <v>45891</v>
      </c>
      <c r="L2672" s="120"/>
      <c r="M2672" s="120"/>
      <c r="N2672" s="29"/>
      <c r="O2672" s="29" t="s">
        <v>170</v>
      </c>
      <c r="P2672" s="120"/>
      <c r="Q2672" s="156">
        <v>350</v>
      </c>
    </row>
    <row r="2673" spans="1:18" hidden="1">
      <c r="A2673" s="134" t="s">
        <v>1333</v>
      </c>
      <c r="C2673" s="29">
        <v>203501567</v>
      </c>
      <c r="D2673" s="29">
        <v>171503746</v>
      </c>
      <c r="E2673" s="29"/>
      <c r="F2673" s="29" t="s">
        <v>87</v>
      </c>
      <c r="G2673" s="29" t="s">
        <v>823</v>
      </c>
      <c r="H2673" s="29" t="s">
        <v>38</v>
      </c>
      <c r="I2673" s="120">
        <v>45860</v>
      </c>
      <c r="J2673" s="120">
        <f>WORKDAY(I2673, 3)</f>
        <v>45863</v>
      </c>
      <c r="K2673" s="120">
        <v>45891</v>
      </c>
      <c r="L2673" s="120"/>
      <c r="M2673" s="120"/>
      <c r="N2673" s="29"/>
      <c r="O2673" s="29" t="s">
        <v>170</v>
      </c>
      <c r="P2673" s="120"/>
      <c r="Q2673" s="156">
        <v>670</v>
      </c>
    </row>
    <row r="2674" spans="1:18" hidden="1">
      <c r="A2674" s="134" t="s">
        <v>1333</v>
      </c>
      <c r="C2674" s="29">
        <v>203501580</v>
      </c>
      <c r="D2674" s="29">
        <v>171503668</v>
      </c>
      <c r="E2674" s="29"/>
      <c r="F2674" s="29" t="s">
        <v>87</v>
      </c>
      <c r="G2674" s="29" t="s">
        <v>823</v>
      </c>
      <c r="H2674" s="29" t="s">
        <v>38</v>
      </c>
      <c r="I2674" s="120">
        <v>45860</v>
      </c>
      <c r="J2674" s="120">
        <f>WORKDAY(I2674, 3)</f>
        <v>45863</v>
      </c>
      <c r="K2674" s="120">
        <v>45891</v>
      </c>
      <c r="L2674" s="120"/>
      <c r="M2674" s="120"/>
      <c r="N2674" s="29"/>
      <c r="O2674" s="29" t="s">
        <v>170</v>
      </c>
      <c r="P2674" s="120"/>
      <c r="Q2674" s="156">
        <v>920</v>
      </c>
    </row>
    <row r="2675" spans="1:18" hidden="1">
      <c r="A2675" s="134" t="s">
        <v>1333</v>
      </c>
      <c r="C2675" s="29">
        <v>203501594</v>
      </c>
      <c r="D2675" s="29">
        <v>171503705</v>
      </c>
      <c r="E2675" s="29"/>
      <c r="F2675" s="29" t="s">
        <v>87</v>
      </c>
      <c r="G2675" s="29" t="s">
        <v>823</v>
      </c>
      <c r="H2675" s="29" t="s">
        <v>38</v>
      </c>
      <c r="I2675" s="120">
        <v>45860</v>
      </c>
      <c r="J2675" s="120">
        <f>WORKDAY(I2675, 3)</f>
        <v>45863</v>
      </c>
      <c r="K2675" s="120">
        <v>45891</v>
      </c>
      <c r="L2675" s="120"/>
      <c r="M2675" s="120"/>
      <c r="N2675" s="29"/>
      <c r="O2675" s="29" t="s">
        <v>170</v>
      </c>
      <c r="P2675" s="120"/>
      <c r="Q2675" s="156">
        <v>840</v>
      </c>
    </row>
    <row r="2676" spans="1:18" hidden="1">
      <c r="A2676" s="134" t="s">
        <v>1333</v>
      </c>
      <c r="C2676" s="29">
        <v>203501605</v>
      </c>
      <c r="D2676" s="29">
        <v>171503722</v>
      </c>
      <c r="E2676" s="29"/>
      <c r="F2676" s="29" t="s">
        <v>87</v>
      </c>
      <c r="G2676" s="29" t="s">
        <v>823</v>
      </c>
      <c r="H2676" s="29" t="s">
        <v>38</v>
      </c>
      <c r="I2676" s="120">
        <v>45860</v>
      </c>
      <c r="J2676" s="120">
        <f>WORKDAY(I2676, 3)</f>
        <v>45863</v>
      </c>
      <c r="K2676" s="120">
        <v>45891</v>
      </c>
      <c r="L2676" s="120"/>
      <c r="M2676" s="120"/>
      <c r="N2676" s="29"/>
      <c r="O2676" s="29" t="s">
        <v>170</v>
      </c>
      <c r="P2676" s="120"/>
      <c r="Q2676" s="156">
        <v>780</v>
      </c>
    </row>
    <row r="2677" spans="1:18" hidden="1">
      <c r="A2677" s="134" t="s">
        <v>1333</v>
      </c>
      <c r="C2677" s="29">
        <v>203501611</v>
      </c>
      <c r="D2677" s="29">
        <v>171503732</v>
      </c>
      <c r="E2677" s="29"/>
      <c r="F2677" s="29" t="s">
        <v>87</v>
      </c>
      <c r="G2677" s="29" t="s">
        <v>823</v>
      </c>
      <c r="H2677" s="29" t="s">
        <v>38</v>
      </c>
      <c r="I2677" s="120">
        <v>45860</v>
      </c>
      <c r="J2677" s="120">
        <f>WORKDAY(I2677, 3)</f>
        <v>45863</v>
      </c>
      <c r="K2677" s="120">
        <v>45891</v>
      </c>
      <c r="L2677" s="120"/>
      <c r="M2677" s="120"/>
      <c r="N2677" s="29"/>
      <c r="O2677" s="29" t="s">
        <v>170</v>
      </c>
      <c r="P2677" s="120"/>
      <c r="Q2677" s="156">
        <v>620</v>
      </c>
    </row>
    <row r="2678" spans="1:18" hidden="1">
      <c r="A2678" s="134" t="s">
        <v>1064</v>
      </c>
      <c r="C2678" s="29">
        <v>203501618</v>
      </c>
      <c r="D2678" s="29">
        <v>175501223</v>
      </c>
      <c r="E2678" s="29"/>
      <c r="F2678" s="29" t="s">
        <v>87</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87</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87</v>
      </c>
      <c r="G2680" s="29" t="s">
        <v>823</v>
      </c>
      <c r="H2680" s="29" t="s">
        <v>38</v>
      </c>
      <c r="I2680" s="120">
        <v>45860</v>
      </c>
      <c r="J2680" s="120">
        <f>WORKDAY(I2680, 3)</f>
        <v>45863</v>
      </c>
      <c r="K2680" s="120">
        <v>45891</v>
      </c>
      <c r="L2680" s="120"/>
      <c r="M2680" s="120"/>
      <c r="N2680" s="29"/>
      <c r="O2680" s="29" t="s">
        <v>170</v>
      </c>
      <c r="P2680" s="120"/>
      <c r="Q2680" s="156">
        <v>240</v>
      </c>
    </row>
    <row r="2681" spans="1:18" hidden="1">
      <c r="A2681" s="134" t="s">
        <v>1064</v>
      </c>
      <c r="C2681" s="29">
        <v>203501647</v>
      </c>
      <c r="D2681" s="29">
        <v>175501205</v>
      </c>
      <c r="E2681" s="29"/>
      <c r="F2681" s="29" t="s">
        <v>87</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87</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87</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87</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87</v>
      </c>
      <c r="G2685" s="29" t="s">
        <v>823</v>
      </c>
      <c r="H2685" s="29" t="s">
        <v>38</v>
      </c>
      <c r="I2685" s="120">
        <v>45860</v>
      </c>
      <c r="J2685" s="120">
        <f>WORKDAY(I2685, 3)</f>
        <v>45863</v>
      </c>
      <c r="K2685" s="120">
        <v>45891</v>
      </c>
      <c r="L2685" s="120"/>
      <c r="M2685" s="120"/>
      <c r="N2685" s="29"/>
      <c r="O2685" s="29" t="s">
        <v>170</v>
      </c>
      <c r="P2685" s="120"/>
      <c r="Q2685" s="156">
        <v>660</v>
      </c>
    </row>
    <row r="2686" spans="1:18" hidden="1">
      <c r="A2686" s="119" t="s">
        <v>1142</v>
      </c>
      <c r="B2686" s="119"/>
      <c r="C2686" s="29">
        <v>203502086</v>
      </c>
      <c r="D2686" s="29">
        <v>175501102</v>
      </c>
      <c r="E2686" s="29"/>
      <c r="F2686" s="29" t="s">
        <v>87</v>
      </c>
      <c r="G2686" s="29" t="s">
        <v>823</v>
      </c>
      <c r="H2686" s="29" t="s">
        <v>38</v>
      </c>
      <c r="I2686" s="120">
        <v>45860</v>
      </c>
      <c r="J2686" s="120">
        <f>WORKDAY(I2686, 3)</f>
        <v>45863</v>
      </c>
      <c r="K2686" s="120">
        <v>45891</v>
      </c>
      <c r="L2686" s="120"/>
      <c r="M2686" s="120"/>
      <c r="N2686" s="29"/>
      <c r="O2686" s="29" t="s">
        <v>170</v>
      </c>
      <c r="P2686" s="120"/>
      <c r="Q2686" s="156">
        <v>140</v>
      </c>
    </row>
    <row r="2687" spans="1:18" hidden="1">
      <c r="A2687" s="119" t="s">
        <v>1142</v>
      </c>
      <c r="B2687" s="119"/>
      <c r="C2687" s="29">
        <v>203502100</v>
      </c>
      <c r="D2687" s="29">
        <v>175501107</v>
      </c>
      <c r="E2687" s="29"/>
      <c r="F2687" s="29" t="s">
        <v>87</v>
      </c>
      <c r="G2687" s="29" t="s">
        <v>823</v>
      </c>
      <c r="H2687" s="29" t="s">
        <v>38</v>
      </c>
      <c r="I2687" s="120">
        <v>45860</v>
      </c>
      <c r="J2687" s="120">
        <f>WORKDAY(I2687, 3)</f>
        <v>45863</v>
      </c>
      <c r="K2687" s="120">
        <v>45891</v>
      </c>
      <c r="L2687" s="120"/>
      <c r="M2687" s="120"/>
      <c r="N2687" s="29"/>
      <c r="O2687" s="29" t="s">
        <v>170</v>
      </c>
      <c r="P2687" s="120"/>
      <c r="Q2687" s="156">
        <v>100</v>
      </c>
    </row>
    <row r="2688" spans="1:18" hidden="1">
      <c r="A2688" s="119" t="s">
        <v>1142</v>
      </c>
      <c r="B2688" s="119"/>
      <c r="C2688" s="29">
        <v>203502164</v>
      </c>
      <c r="D2688" s="29">
        <v>175501115</v>
      </c>
      <c r="E2688" s="29"/>
      <c r="F2688" s="29" t="s">
        <v>87</v>
      </c>
      <c r="G2688" s="29" t="s">
        <v>823</v>
      </c>
      <c r="H2688" s="29" t="s">
        <v>38</v>
      </c>
      <c r="I2688" s="120">
        <v>45860</v>
      </c>
      <c r="J2688" s="120">
        <f>WORKDAY(I2688, 3)</f>
        <v>45863</v>
      </c>
      <c r="K2688" s="120">
        <v>45891</v>
      </c>
      <c r="L2688" s="120"/>
      <c r="M2688" s="120"/>
      <c r="N2688" s="29"/>
      <c r="O2688" s="29" t="s">
        <v>170</v>
      </c>
      <c r="P2688" s="120"/>
      <c r="Q2688" s="156">
        <v>680</v>
      </c>
    </row>
    <row r="2689" spans="1:17" hidden="1">
      <c r="A2689" s="119" t="s">
        <v>1142</v>
      </c>
      <c r="B2689" s="119"/>
      <c r="C2689" s="29">
        <v>203502213</v>
      </c>
      <c r="D2689" s="29">
        <v>175501119</v>
      </c>
      <c r="E2689" s="29"/>
      <c r="F2689" s="29" t="s">
        <v>87</v>
      </c>
      <c r="G2689" s="29" t="s">
        <v>823</v>
      </c>
      <c r="H2689" s="29" t="s">
        <v>38</v>
      </c>
      <c r="I2689" s="120">
        <v>45860</v>
      </c>
      <c r="J2689" s="120">
        <f>WORKDAY(I2689, 3)</f>
        <v>45863</v>
      </c>
      <c r="K2689" s="120">
        <v>45891</v>
      </c>
      <c r="L2689" s="120"/>
      <c r="M2689" s="120"/>
      <c r="N2689" s="29"/>
      <c r="O2689" s="29" t="s">
        <v>170</v>
      </c>
      <c r="P2689" s="120"/>
      <c r="Q2689" s="156">
        <v>350</v>
      </c>
    </row>
    <row r="2690" spans="1:17" hidden="1">
      <c r="A2690" s="119" t="s">
        <v>1142</v>
      </c>
      <c r="B2690" s="119"/>
      <c r="C2690" s="29">
        <v>203502222</v>
      </c>
      <c r="D2690" s="29">
        <v>175501159</v>
      </c>
      <c r="E2690" s="29"/>
      <c r="F2690" s="29" t="s">
        <v>87</v>
      </c>
      <c r="G2690" s="29" t="s">
        <v>823</v>
      </c>
      <c r="H2690" s="29" t="s">
        <v>38</v>
      </c>
      <c r="I2690" s="120">
        <v>45860</v>
      </c>
      <c r="J2690" s="120">
        <f>WORKDAY(I2690, 3)</f>
        <v>45863</v>
      </c>
      <c r="K2690" s="120">
        <v>45891</v>
      </c>
      <c r="L2690" s="120"/>
      <c r="M2690" s="120"/>
      <c r="N2690" s="29"/>
      <c r="O2690" s="29" t="s">
        <v>170</v>
      </c>
      <c r="P2690" s="120"/>
      <c r="Q2690" s="156">
        <v>130</v>
      </c>
    </row>
    <row r="2691" spans="1:17" hidden="1">
      <c r="A2691" s="119" t="s">
        <v>1142</v>
      </c>
      <c r="B2691" s="119"/>
      <c r="C2691" s="29">
        <v>203502224</v>
      </c>
      <c r="D2691" s="29">
        <v>175501166</v>
      </c>
      <c r="E2691" s="29"/>
      <c r="F2691" s="29" t="s">
        <v>87</v>
      </c>
      <c r="G2691" s="29" t="s">
        <v>823</v>
      </c>
      <c r="H2691" s="29" t="s">
        <v>38</v>
      </c>
      <c r="I2691" s="120">
        <v>45860</v>
      </c>
      <c r="J2691" s="120">
        <f>WORKDAY(I2691, 3)</f>
        <v>45863</v>
      </c>
      <c r="K2691" s="120">
        <v>45891</v>
      </c>
      <c r="L2691" s="120"/>
      <c r="M2691" s="120"/>
      <c r="N2691" s="29"/>
      <c r="O2691" s="29" t="s">
        <v>170</v>
      </c>
      <c r="P2691" s="120"/>
      <c r="Q2691" s="156">
        <v>280</v>
      </c>
    </row>
    <row r="2692" spans="1:17" hidden="1">
      <c r="A2692" s="119" t="s">
        <v>1019</v>
      </c>
      <c r="B2692" s="119"/>
      <c r="C2692" s="29">
        <v>205504490</v>
      </c>
      <c r="D2692" s="29"/>
      <c r="E2692" s="29"/>
      <c r="F2692" s="29" t="s">
        <v>87</v>
      </c>
      <c r="G2692" s="29" t="s">
        <v>823</v>
      </c>
      <c r="H2692" s="29" t="s">
        <v>38</v>
      </c>
      <c r="I2692" s="120">
        <v>45862</v>
      </c>
      <c r="J2692" s="120">
        <f>WORKDAY(I2692, 3)</f>
        <v>45867</v>
      </c>
      <c r="K2692" s="120">
        <v>45893</v>
      </c>
      <c r="L2692" s="120"/>
      <c r="M2692" s="120"/>
      <c r="N2692" s="29"/>
      <c r="O2692" s="29" t="s">
        <v>170</v>
      </c>
      <c r="P2692" s="120"/>
      <c r="Q2692" s="156">
        <v>1300</v>
      </c>
    </row>
    <row r="2693" spans="1:17" hidden="1">
      <c r="A2693" s="119" t="s">
        <v>1019</v>
      </c>
      <c r="B2693" s="119"/>
      <c r="C2693" s="29">
        <v>205504501</v>
      </c>
      <c r="D2693" s="29"/>
      <c r="E2693" s="29"/>
      <c r="F2693" s="29" t="s">
        <v>87</v>
      </c>
      <c r="G2693" s="29" t="s">
        <v>823</v>
      </c>
      <c r="H2693" s="29" t="s">
        <v>38</v>
      </c>
      <c r="I2693" s="120">
        <v>45862</v>
      </c>
      <c r="J2693" s="120">
        <f>WORKDAY(I2693, 3)</f>
        <v>45867</v>
      </c>
      <c r="K2693" s="120">
        <v>45893</v>
      </c>
      <c r="L2693" s="120"/>
      <c r="M2693" s="120"/>
      <c r="N2693" s="29"/>
      <c r="O2693" s="29" t="s">
        <v>170</v>
      </c>
      <c r="P2693" s="120"/>
      <c r="Q2693" s="156">
        <v>130</v>
      </c>
    </row>
    <row r="2694" spans="1:17" hidden="1">
      <c r="A2694" s="119" t="s">
        <v>1019</v>
      </c>
      <c r="B2694" s="119"/>
      <c r="C2694" s="29">
        <v>205504506</v>
      </c>
      <c r="D2694" s="29"/>
      <c r="E2694" s="29"/>
      <c r="F2694" s="29" t="s">
        <v>87</v>
      </c>
      <c r="G2694" s="29" t="s">
        <v>823</v>
      </c>
      <c r="H2694" s="29" t="s">
        <v>38</v>
      </c>
      <c r="I2694" s="120">
        <v>45862</v>
      </c>
      <c r="J2694" s="120">
        <f>WORKDAY(I2694, 3)</f>
        <v>45867</v>
      </c>
      <c r="K2694" s="120">
        <v>45893</v>
      </c>
      <c r="L2694" s="120"/>
      <c r="M2694" s="120"/>
      <c r="N2694" s="29"/>
      <c r="O2694" s="29" t="s">
        <v>170</v>
      </c>
      <c r="P2694" s="120"/>
      <c r="Q2694" s="156">
        <v>500</v>
      </c>
    </row>
    <row r="2695" spans="1:17" hidden="1">
      <c r="A2695" s="134" t="s">
        <v>366</v>
      </c>
      <c r="C2695" s="29">
        <v>206503010</v>
      </c>
      <c r="D2695" s="29"/>
      <c r="E2695" s="29"/>
      <c r="F2695" s="29" t="s">
        <v>87</v>
      </c>
      <c r="G2695" s="29" t="s">
        <v>823</v>
      </c>
      <c r="H2695" s="29" t="s">
        <v>38</v>
      </c>
      <c r="I2695" s="120">
        <v>45862</v>
      </c>
      <c r="J2695" s="120">
        <f>WORKDAY(I2695, 3)</f>
        <v>45867</v>
      </c>
      <c r="K2695" s="120">
        <v>45893</v>
      </c>
      <c r="L2695" s="120"/>
      <c r="M2695" s="120"/>
      <c r="N2695" s="29"/>
      <c r="O2695" s="29" t="s">
        <v>170</v>
      </c>
      <c r="P2695" s="29"/>
      <c r="Q2695" s="156">
        <v>300</v>
      </c>
    </row>
    <row r="2696" spans="1:17" hidden="1">
      <c r="A2696" s="134" t="s">
        <v>1150</v>
      </c>
      <c r="C2696" s="29">
        <v>209506587</v>
      </c>
      <c r="D2696" s="29">
        <v>182501798</v>
      </c>
      <c r="E2696" s="29"/>
      <c r="F2696" s="29" t="s">
        <v>87</v>
      </c>
      <c r="G2696" s="29" t="s">
        <v>823</v>
      </c>
      <c r="H2696" s="29" t="s">
        <v>38</v>
      </c>
      <c r="I2696" s="120">
        <v>45866</v>
      </c>
      <c r="J2696" s="120">
        <f>WORKDAY(I2696, 3)</f>
        <v>45869</v>
      </c>
      <c r="K2696" s="120">
        <v>45897</v>
      </c>
      <c r="L2696" s="120"/>
      <c r="M2696" s="120"/>
      <c r="N2696" s="29"/>
      <c r="O2696" s="29" t="s">
        <v>170</v>
      </c>
      <c r="P2696" s="29"/>
      <c r="Q2696" s="156">
        <v>1000</v>
      </c>
    </row>
    <row r="2697" spans="1:17" hidden="1">
      <c r="A2697" s="134" t="s">
        <v>1150</v>
      </c>
      <c r="C2697" s="29">
        <v>209506596</v>
      </c>
      <c r="D2697" s="29">
        <v>182501814</v>
      </c>
      <c r="E2697" s="29"/>
      <c r="F2697" s="29" t="s">
        <v>87</v>
      </c>
      <c r="G2697" s="29" t="s">
        <v>823</v>
      </c>
      <c r="H2697" s="29" t="s">
        <v>38</v>
      </c>
      <c r="I2697" s="120">
        <v>45866</v>
      </c>
      <c r="J2697" s="120">
        <f>WORKDAY(I2697, 3)</f>
        <v>45869</v>
      </c>
      <c r="K2697" s="120">
        <v>45897</v>
      </c>
      <c r="L2697" s="120"/>
      <c r="M2697" s="120"/>
      <c r="N2697" s="29"/>
      <c r="O2697" s="29" t="s">
        <v>170</v>
      </c>
      <c r="P2697" s="120"/>
      <c r="Q2697" s="156">
        <v>300</v>
      </c>
    </row>
    <row r="2698" spans="1:17" hidden="1">
      <c r="A2698" s="134" t="s">
        <v>1412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1413</v>
      </c>
    </row>
    <row r="2707" spans="1:18" hidden="1">
      <c r="A2707" s="134" t="s">
        <v>1412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1414</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1416</v>
      </c>
    </row>
    <row r="2724" spans="1:18" hidden="1">
      <c r="A2724" s="134" t="s">
        <v>1417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438</v>
      </c>
      <c r="C2744" s="29">
        <v>220501746</v>
      </c>
      <c r="D2744" s="29"/>
      <c r="E2744" s="29"/>
      <c r="F2744" s="29" t="s">
        <v>87</v>
      </c>
      <c r="G2744" s="29" t="s">
        <v>823</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983</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983</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983</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1150</v>
      </c>
      <c r="C2749" s="29">
        <v>227501683</v>
      </c>
      <c r="D2749" s="29">
        <v>195504943</v>
      </c>
      <c r="E2749" s="29"/>
      <c r="F2749" s="29" t="s">
        <v>87</v>
      </c>
      <c r="G2749" s="29" t="s">
        <v>823</v>
      </c>
      <c r="H2749" s="29" t="s">
        <v>38</v>
      </c>
      <c r="I2749" s="120">
        <v>45884</v>
      </c>
      <c r="J2749" s="120">
        <f>WORKDAY(I2749, 3)</f>
        <v>45889</v>
      </c>
      <c r="K2749" s="120">
        <v>45915</v>
      </c>
      <c r="L2749" s="120"/>
      <c r="M2749" s="120"/>
      <c r="N2749" s="29"/>
      <c r="O2749" s="29" t="s">
        <v>170</v>
      </c>
      <c r="P2749" s="120"/>
      <c r="Q2749" s="156">
        <v>200</v>
      </c>
    </row>
    <row r="2750" spans="1:17" hidden="1">
      <c r="A2750" s="119" t="s">
        <v>1142</v>
      </c>
      <c r="B2750" s="119"/>
      <c r="C2750" s="29">
        <v>231500207</v>
      </c>
      <c r="D2750" s="29"/>
      <c r="E2750" s="29"/>
      <c r="F2750" s="29" t="s">
        <v>87</v>
      </c>
      <c r="G2750" s="29" t="s">
        <v>823</v>
      </c>
      <c r="H2750" s="29" t="s">
        <v>38</v>
      </c>
      <c r="I2750" s="120">
        <v>45888</v>
      </c>
      <c r="J2750" s="120">
        <f>WORKDAY(I2750, 3)</f>
        <v>45891</v>
      </c>
      <c r="K2750" s="120">
        <v>45919</v>
      </c>
      <c r="L2750" s="120"/>
      <c r="M2750" s="120"/>
      <c r="N2750" s="29"/>
      <c r="O2750" s="29" t="s">
        <v>170</v>
      </c>
      <c r="P2750" s="120"/>
      <c r="Q2750" s="156">
        <v>300</v>
      </c>
    </row>
    <row r="2751" spans="1:17" hidden="1">
      <c r="A2751" s="119" t="s">
        <v>1142</v>
      </c>
      <c r="B2751" s="119"/>
      <c r="C2751" s="29">
        <v>231500211</v>
      </c>
      <c r="D2751" s="29"/>
      <c r="E2751" s="29"/>
      <c r="F2751" s="29" t="s">
        <v>87</v>
      </c>
      <c r="G2751" s="29" t="s">
        <v>823</v>
      </c>
      <c r="H2751" s="29" t="s">
        <v>38</v>
      </c>
      <c r="I2751" s="120">
        <v>45888</v>
      </c>
      <c r="J2751" s="120">
        <f>WORKDAY(I2751, 3)</f>
        <v>45891</v>
      </c>
      <c r="K2751" s="120">
        <v>45919</v>
      </c>
      <c r="L2751" s="120"/>
      <c r="M2751" s="120"/>
      <c r="N2751" s="29"/>
      <c r="O2751" s="29" t="s">
        <v>170</v>
      </c>
      <c r="P2751" s="120"/>
      <c r="Q2751" s="156">
        <v>300</v>
      </c>
    </row>
    <row r="2752" spans="1:17" hidden="1">
      <c r="A2752" s="119" t="s">
        <v>1142</v>
      </c>
      <c r="B2752" s="119"/>
      <c r="C2752" s="29">
        <v>231500213</v>
      </c>
      <c r="D2752" s="29"/>
      <c r="E2752" s="29"/>
      <c r="F2752" s="29" t="s">
        <v>87</v>
      </c>
      <c r="G2752" s="29" t="s">
        <v>823</v>
      </c>
      <c r="H2752" s="29" t="s">
        <v>38</v>
      </c>
      <c r="I2752" s="120">
        <v>45888</v>
      </c>
      <c r="J2752" s="120">
        <f>WORKDAY(I2752, 3)</f>
        <v>45891</v>
      </c>
      <c r="K2752" s="120">
        <v>45919</v>
      </c>
      <c r="L2752" s="120"/>
      <c r="M2752" s="120"/>
      <c r="N2752" s="29"/>
      <c r="O2752" s="29" t="s">
        <v>170</v>
      </c>
      <c r="P2752" s="120"/>
      <c r="Q2752" s="156">
        <v>150</v>
      </c>
    </row>
    <row r="2753" spans="1:18" hidden="1">
      <c r="A2753" s="119" t="s">
        <v>1059</v>
      </c>
      <c r="B2753" s="119"/>
      <c r="C2753" s="29">
        <v>231500216</v>
      </c>
      <c r="D2753" s="29"/>
      <c r="E2753" s="29"/>
      <c r="F2753" s="29" t="s">
        <v>87</v>
      </c>
      <c r="G2753" s="29" t="s">
        <v>823</v>
      </c>
      <c r="H2753" s="29" t="s">
        <v>38</v>
      </c>
      <c r="I2753" s="120">
        <v>45888</v>
      </c>
      <c r="J2753" s="120">
        <f>WORKDAY(I2753, 3)</f>
        <v>45891</v>
      </c>
      <c r="K2753" s="120">
        <v>45919</v>
      </c>
      <c r="L2753" s="120"/>
      <c r="M2753" s="120"/>
      <c r="N2753" s="29"/>
      <c r="O2753" s="29" t="s">
        <v>170</v>
      </c>
      <c r="P2753" s="120"/>
      <c r="Q2753" s="156">
        <v>150</v>
      </c>
    </row>
    <row r="2754" spans="1:18" hidden="1">
      <c r="A2754" s="119" t="s">
        <v>1059</v>
      </c>
      <c r="B2754" s="119"/>
      <c r="C2754" s="29">
        <v>231500217</v>
      </c>
      <c r="D2754" s="29"/>
      <c r="E2754" s="29"/>
      <c r="F2754" s="29" t="s">
        <v>87</v>
      </c>
      <c r="G2754" s="29" t="s">
        <v>823</v>
      </c>
      <c r="H2754" s="29" t="s">
        <v>38</v>
      </c>
      <c r="I2754" s="120">
        <v>45888</v>
      </c>
      <c r="J2754" s="120">
        <f>WORKDAY(I2754, 3)</f>
        <v>45891</v>
      </c>
      <c r="K2754" s="120">
        <v>45919</v>
      </c>
      <c r="L2754" s="120"/>
      <c r="M2754" s="120"/>
      <c r="N2754" s="29"/>
      <c r="O2754" s="29" t="s">
        <v>170</v>
      </c>
      <c r="P2754" s="120"/>
      <c r="Q2754" s="156">
        <v>400</v>
      </c>
    </row>
    <row r="2755" spans="1:18" hidden="1">
      <c r="A2755" s="119" t="s">
        <v>1059</v>
      </c>
      <c r="B2755" s="119"/>
      <c r="C2755" s="29">
        <v>233500103</v>
      </c>
      <c r="D2755" s="29"/>
      <c r="E2755" s="29"/>
      <c r="F2755" s="29" t="s">
        <v>87</v>
      </c>
      <c r="G2755" s="29" t="s">
        <v>823</v>
      </c>
      <c r="H2755" s="29" t="s">
        <v>38</v>
      </c>
      <c r="I2755" s="120">
        <v>45890</v>
      </c>
      <c r="J2755" s="120">
        <f>WORKDAY(I2755, 3)</f>
        <v>45895</v>
      </c>
      <c r="K2755" s="120">
        <v>45921</v>
      </c>
      <c r="L2755" s="120"/>
      <c r="M2755" s="120"/>
      <c r="N2755" s="29"/>
      <c r="O2755" s="29" t="s">
        <v>170</v>
      </c>
      <c r="P2755" s="120"/>
      <c r="Q2755" s="156">
        <v>360</v>
      </c>
    </row>
    <row r="2756" spans="1:18" hidden="1">
      <c r="A2756" s="119" t="s">
        <v>1059</v>
      </c>
      <c r="B2756" s="119"/>
      <c r="C2756" s="29">
        <v>233500110</v>
      </c>
      <c r="D2756" s="29"/>
      <c r="E2756" s="29"/>
      <c r="F2756" s="29" t="s">
        <v>87</v>
      </c>
      <c r="G2756" s="29" t="s">
        <v>823</v>
      </c>
      <c r="H2756" s="29" t="s">
        <v>38</v>
      </c>
      <c r="I2756" s="120">
        <v>45890</v>
      </c>
      <c r="J2756" s="120">
        <f>WORKDAY(I2756, 3)</f>
        <v>45895</v>
      </c>
      <c r="K2756" s="120">
        <v>45921</v>
      </c>
      <c r="L2756" s="120"/>
      <c r="M2756" s="120"/>
      <c r="N2756" s="29"/>
      <c r="O2756" s="29" t="s">
        <v>170</v>
      </c>
      <c r="P2756" s="120"/>
      <c r="Q2756" s="156">
        <v>250</v>
      </c>
    </row>
    <row r="2757" spans="1:18" hidden="1">
      <c r="A2757" s="119" t="s">
        <v>1059</v>
      </c>
      <c r="B2757" s="119"/>
      <c r="C2757" s="29">
        <v>233500115</v>
      </c>
      <c r="D2757" s="29"/>
      <c r="E2757" s="29"/>
      <c r="F2757" s="29" t="s">
        <v>87</v>
      </c>
      <c r="G2757" s="29" t="s">
        <v>823</v>
      </c>
      <c r="H2757" s="29" t="s">
        <v>38</v>
      </c>
      <c r="I2757" s="120">
        <v>45890</v>
      </c>
      <c r="J2757" s="120">
        <f>WORKDAY(I2757, 3)</f>
        <v>45895</v>
      </c>
      <c r="K2757" s="120">
        <v>45921</v>
      </c>
      <c r="L2757" s="120"/>
      <c r="M2757" s="120"/>
      <c r="N2757" s="29"/>
      <c r="O2757" s="29" t="s">
        <v>170</v>
      </c>
      <c r="P2757" s="120"/>
      <c r="Q2757" s="156">
        <v>200</v>
      </c>
    </row>
    <row r="2758" spans="1:18" hidden="1">
      <c r="A2758" s="134" t="s">
        <v>1419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1420</v>
      </c>
    </row>
    <row r="2759" spans="1:18" hidden="1">
      <c r="A2759" s="134" t="s">
        <v>1421</v>
      </c>
      <c r="C2759" s="29">
        <v>259500665</v>
      </c>
      <c r="D2759" s="29"/>
      <c r="E2759" s="29"/>
      <c r="F2759" s="29" t="s">
        <v>87</v>
      </c>
      <c r="G2759" s="29" t="s">
        <v>823</v>
      </c>
      <c r="H2759" s="29" t="s">
        <v>38</v>
      </c>
      <c r="I2759" s="120">
        <v>45916</v>
      </c>
      <c r="J2759" s="120">
        <f>WORKDAY(I2759, 3)</f>
        <v>45919</v>
      </c>
      <c r="K2759" s="120">
        <v>45946</v>
      </c>
      <c r="L2759" s="120"/>
      <c r="M2759" s="120"/>
      <c r="N2759" s="29"/>
      <c r="O2759" s="29" t="s">
        <v>170</v>
      </c>
      <c r="P2759" s="120"/>
      <c r="Q2759" s="156">
        <v>75</v>
      </c>
    </row>
    <row r="2760" spans="1:18" hidden="1">
      <c r="A2760" s="134" t="s">
        <v>1150</v>
      </c>
      <c r="C2760" s="29">
        <v>239500135</v>
      </c>
      <c r="D2760" s="29">
        <v>209506587</v>
      </c>
      <c r="E2760" s="29"/>
      <c r="F2760" s="29" t="s">
        <v>87</v>
      </c>
      <c r="G2760" s="29" t="s">
        <v>823</v>
      </c>
      <c r="H2760" s="29" t="s">
        <v>38</v>
      </c>
      <c r="I2760" s="120">
        <v>45896</v>
      </c>
      <c r="J2760" s="120">
        <f>WORKDAY(I2760, 3)</f>
        <v>45901</v>
      </c>
      <c r="K2760" s="120">
        <v>45927</v>
      </c>
      <c r="L2760" s="120"/>
      <c r="M2760" s="120"/>
      <c r="N2760" s="29"/>
      <c r="O2760" s="29" t="s">
        <v>170</v>
      </c>
      <c r="P2760" s="120"/>
      <c r="Q2760" s="156">
        <v>1000</v>
      </c>
    </row>
    <row r="2761" spans="1:18" hidden="1">
      <c r="A2761" s="134" t="s">
        <v>1150</v>
      </c>
      <c r="C2761" s="29">
        <v>239500141</v>
      </c>
      <c r="D2761" s="29">
        <v>209506596</v>
      </c>
      <c r="E2761" s="29"/>
      <c r="F2761" s="29" t="s">
        <v>87</v>
      </c>
      <c r="G2761" s="29" t="s">
        <v>823</v>
      </c>
      <c r="H2761" s="29" t="s">
        <v>38</v>
      </c>
      <c r="I2761" s="120">
        <v>45896</v>
      </c>
      <c r="J2761" s="120">
        <f>WORKDAY(I2761, 3)</f>
        <v>45901</v>
      </c>
      <c r="K2761" s="120">
        <v>45927</v>
      </c>
      <c r="L2761" s="120"/>
      <c r="M2761" s="120"/>
      <c r="N2761" s="29"/>
      <c r="O2761" s="29" t="s">
        <v>170</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1424</v>
      </c>
      <c r="C2769" s="29">
        <v>241503946</v>
      </c>
      <c r="D2769" s="29"/>
      <c r="E2769" s="29"/>
      <c r="F2769" s="29" t="s">
        <v>87</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87</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87</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87</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87</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87</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87</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87</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87</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87</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87</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87</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87</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87</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87</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87</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87</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87</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87</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87</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87</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87</v>
      </c>
      <c r="G2799" s="29" t="s">
        <v>823</v>
      </c>
      <c r="H2799" s="29" t="s">
        <v>38</v>
      </c>
      <c r="I2799" s="120">
        <v>45917</v>
      </c>
      <c r="J2799" s="120">
        <f>WORKDAY(I2799, 3)</f>
        <v>45922</v>
      </c>
      <c r="K2799" s="120">
        <v>45947</v>
      </c>
      <c r="L2799" s="120"/>
      <c r="M2799" s="120"/>
      <c r="N2799" s="29"/>
      <c r="O2799" s="119" t="s">
        <v>170</v>
      </c>
      <c r="P2799" s="29"/>
      <c r="Q2799" s="156">
        <v>150</v>
      </c>
    </row>
    <row r="2800" spans="1:18" hidden="1">
      <c r="A2800" s="134" t="s">
        <v>1430</v>
      </c>
      <c r="C2800" s="29">
        <v>260505920</v>
      </c>
      <c r="D2800" s="29"/>
      <c r="E2800" s="29"/>
      <c r="F2800" s="29" t="s">
        <v>87</v>
      </c>
      <c r="G2800" s="29" t="s">
        <v>823</v>
      </c>
      <c r="H2800" s="29" t="s">
        <v>38</v>
      </c>
      <c r="I2800" s="120">
        <v>45917</v>
      </c>
      <c r="J2800" s="120">
        <f>WORKDAY(I2800, 3)</f>
        <v>45922</v>
      </c>
      <c r="K2800" s="120">
        <v>45947</v>
      </c>
      <c r="L2800" s="120"/>
      <c r="M2800" s="120"/>
      <c r="N2800" s="29"/>
      <c r="O2800" s="119" t="s">
        <v>170</v>
      </c>
      <c r="P2800" s="29"/>
      <c r="Q2800" s="156">
        <v>400</v>
      </c>
    </row>
    <row r="2801" spans="1:18" hidden="1">
      <c r="A2801" s="134" t="s">
        <v>1430</v>
      </c>
      <c r="C2801" s="29">
        <v>260505975</v>
      </c>
      <c r="D2801" s="29"/>
      <c r="E2801" s="29"/>
      <c r="F2801" s="29" t="s">
        <v>87</v>
      </c>
      <c r="G2801" s="29" t="s">
        <v>823</v>
      </c>
      <c r="H2801" s="29" t="s">
        <v>38</v>
      </c>
      <c r="I2801" s="120">
        <v>45917</v>
      </c>
      <c r="J2801" s="120">
        <f>WORKDAY(I2801, 3)</f>
        <v>45922</v>
      </c>
      <c r="K2801" s="120">
        <v>45947</v>
      </c>
      <c r="L2801" s="120"/>
      <c r="M2801" s="120"/>
      <c r="N2801" s="29"/>
      <c r="O2801" s="119" t="s">
        <v>170</v>
      </c>
      <c r="P2801" s="29"/>
      <c r="Q2801" s="156">
        <v>75</v>
      </c>
    </row>
    <row r="2802" spans="1:18" hidden="1">
      <c r="A2802" s="134" t="s">
        <v>1430</v>
      </c>
      <c r="C2802" s="29">
        <v>260506029</v>
      </c>
      <c r="D2802" s="29"/>
      <c r="E2802" s="29"/>
      <c r="F2802" s="29" t="s">
        <v>87</v>
      </c>
      <c r="G2802" s="29" t="s">
        <v>823</v>
      </c>
      <c r="H2802" s="29" t="s">
        <v>38</v>
      </c>
      <c r="I2802" s="120">
        <v>45917</v>
      </c>
      <c r="J2802" s="120">
        <f>WORKDAY(I2802, 3)</f>
        <v>45922</v>
      </c>
      <c r="K2802" s="120">
        <v>45947</v>
      </c>
      <c r="L2802" s="120"/>
      <c r="M2802" s="120"/>
      <c r="N2802" s="29"/>
      <c r="O2802" s="119" t="s">
        <v>170</v>
      </c>
      <c r="P2802" s="29"/>
      <c r="Q2802" s="156">
        <v>460</v>
      </c>
    </row>
    <row r="2803" spans="1:18" hidden="1">
      <c r="A2803" s="134" t="s">
        <v>1430</v>
      </c>
      <c r="C2803" s="29">
        <v>260506075</v>
      </c>
      <c r="D2803" s="29"/>
      <c r="E2803" s="29"/>
      <c r="F2803" s="29" t="s">
        <v>87</v>
      </c>
      <c r="G2803" s="29" t="s">
        <v>823</v>
      </c>
      <c r="H2803" s="29" t="s">
        <v>38</v>
      </c>
      <c r="I2803" s="120">
        <v>45917</v>
      </c>
      <c r="J2803" s="120">
        <f>WORKDAY(I2803, 3)</f>
        <v>45922</v>
      </c>
      <c r="K2803" s="120">
        <v>45947</v>
      </c>
      <c r="L2803" s="120"/>
      <c r="M2803" s="120"/>
      <c r="N2803" s="29"/>
      <c r="O2803" s="119" t="s">
        <v>170</v>
      </c>
      <c r="P2803" s="29"/>
      <c r="Q2803" s="156">
        <v>60</v>
      </c>
    </row>
    <row r="2804" spans="1:18" hidden="1">
      <c r="A2804" s="134" t="s">
        <v>1430</v>
      </c>
      <c r="C2804" s="29">
        <v>260506162</v>
      </c>
      <c r="D2804" s="29"/>
      <c r="E2804" s="29"/>
      <c r="F2804" s="29" t="s">
        <v>87</v>
      </c>
      <c r="G2804" s="29" t="s">
        <v>823</v>
      </c>
      <c r="H2804" s="29" t="s">
        <v>38</v>
      </c>
      <c r="I2804" s="120">
        <v>45917</v>
      </c>
      <c r="J2804" s="120">
        <f>WORKDAY(I2804, 3)</f>
        <v>45922</v>
      </c>
      <c r="K2804" s="120">
        <v>45947</v>
      </c>
      <c r="L2804" s="120"/>
      <c r="M2804" s="120"/>
      <c r="N2804" s="29"/>
      <c r="O2804" s="119" t="s">
        <v>170</v>
      </c>
      <c r="P2804" s="29"/>
      <c r="Q2804" s="156">
        <v>440</v>
      </c>
    </row>
    <row r="2805" spans="1:18" hidden="1">
      <c r="A2805" s="134" t="s">
        <v>1430</v>
      </c>
      <c r="C2805" s="29">
        <v>261500148</v>
      </c>
      <c r="D2805" s="29"/>
      <c r="E2805" s="29"/>
      <c r="F2805" s="29" t="s">
        <v>87</v>
      </c>
      <c r="G2805" s="29" t="s">
        <v>823</v>
      </c>
      <c r="H2805" s="29" t="s">
        <v>38</v>
      </c>
      <c r="I2805" s="120">
        <v>45918</v>
      </c>
      <c r="J2805" s="120">
        <f>WORKDAY(I2805, 3)</f>
        <v>45923</v>
      </c>
      <c r="K2805" s="120">
        <v>45948</v>
      </c>
      <c r="L2805" s="120"/>
      <c r="M2805" s="120"/>
      <c r="N2805" s="29"/>
      <c r="O2805" s="119" t="s">
        <v>170</v>
      </c>
      <c r="P2805" s="29"/>
      <c r="Q2805" s="156">
        <v>75</v>
      </c>
    </row>
    <row r="2806" spans="1:18" hidden="1">
      <c r="A2806" s="134" t="s">
        <v>1430</v>
      </c>
      <c r="C2806" s="29">
        <v>261500153</v>
      </c>
      <c r="D2806" s="29"/>
      <c r="E2806" s="29"/>
      <c r="F2806" s="29" t="s">
        <v>87</v>
      </c>
      <c r="G2806" s="29" t="s">
        <v>823</v>
      </c>
      <c r="H2806" s="29" t="s">
        <v>38</v>
      </c>
      <c r="I2806" s="120">
        <v>45918</v>
      </c>
      <c r="J2806" s="120">
        <f>WORKDAY(I2806, 3)</f>
        <v>45923</v>
      </c>
      <c r="K2806" s="120">
        <v>45948</v>
      </c>
      <c r="L2806" s="120"/>
      <c r="M2806" s="120"/>
      <c r="N2806" s="29"/>
      <c r="O2806" s="119" t="s">
        <v>170</v>
      </c>
      <c r="P2806" s="29"/>
      <c r="Q2806" s="156">
        <v>95</v>
      </c>
    </row>
    <row r="2807" spans="1:18" hidden="1">
      <c r="A2807" s="134" t="s">
        <v>1430</v>
      </c>
      <c r="C2807" s="29">
        <v>261500157</v>
      </c>
      <c r="D2807" s="29"/>
      <c r="E2807" s="29"/>
      <c r="F2807" s="29" t="s">
        <v>87</v>
      </c>
      <c r="G2807" s="29" t="s">
        <v>823</v>
      </c>
      <c r="H2807" s="29" t="s">
        <v>38</v>
      </c>
      <c r="I2807" s="120">
        <v>45918</v>
      </c>
      <c r="J2807" s="120">
        <f>WORKDAY(I2807, 3)</f>
        <v>45923</v>
      </c>
      <c r="K2807" s="120">
        <v>45948</v>
      </c>
      <c r="L2807" s="120"/>
      <c r="M2807" s="120"/>
      <c r="N2807" s="29"/>
      <c r="O2807" s="119" t="s">
        <v>170</v>
      </c>
      <c r="P2807" s="29"/>
      <c r="Q2807" s="156" t="s">
        <v>1431</v>
      </c>
    </row>
    <row r="2808" spans="1:18" hidden="1">
      <c r="A2808" s="134" t="s">
        <v>1430</v>
      </c>
      <c r="C2808" s="29">
        <v>261500166</v>
      </c>
      <c r="D2808" s="29"/>
      <c r="E2808" s="29"/>
      <c r="F2808" s="29" t="s">
        <v>87</v>
      </c>
      <c r="G2808" s="29" t="s">
        <v>823</v>
      </c>
      <c r="H2808" s="29" t="s">
        <v>38</v>
      </c>
      <c r="I2808" s="120">
        <v>45918</v>
      </c>
      <c r="J2808" s="120">
        <f>WORKDAY(I2808, 3)</f>
        <v>45923</v>
      </c>
      <c r="K2808" s="120">
        <v>45948</v>
      </c>
      <c r="L2808" s="120"/>
      <c r="M2808" s="120"/>
      <c r="N2808" s="29"/>
      <c r="O2808" s="119" t="s">
        <v>170</v>
      </c>
      <c r="P2808" s="29"/>
      <c r="Q2808" s="156">
        <v>100</v>
      </c>
    </row>
    <row r="2809" spans="1:18" hidden="1">
      <c r="A2809" s="134" t="s">
        <v>1430</v>
      </c>
      <c r="C2809" s="29">
        <v>264500172</v>
      </c>
      <c r="D2809" s="29"/>
      <c r="E2809" s="29"/>
      <c r="F2809" s="29" t="s">
        <v>87</v>
      </c>
      <c r="G2809" s="29" t="s">
        <v>823</v>
      </c>
      <c r="H2809" s="29" t="s">
        <v>38</v>
      </c>
      <c r="I2809" s="120">
        <v>45918</v>
      </c>
      <c r="J2809" s="120">
        <f>WORKDAY(I2809, 3)</f>
        <v>45923</v>
      </c>
      <c r="K2809" s="120">
        <v>45948</v>
      </c>
      <c r="L2809" s="120"/>
      <c r="M2809" s="120"/>
      <c r="N2809" s="29"/>
      <c r="O2809" s="119" t="s">
        <v>170</v>
      </c>
      <c r="P2809" s="29"/>
      <c r="Q2809" s="156">
        <v>200</v>
      </c>
    </row>
    <row r="2810" spans="1:18" hidden="1">
      <c r="A2810" s="134" t="s">
        <v>1430</v>
      </c>
      <c r="C2810" s="29">
        <v>261500181</v>
      </c>
      <c r="D2810" s="29"/>
      <c r="E2810" s="29"/>
      <c r="F2810" s="29" t="s">
        <v>87</v>
      </c>
      <c r="G2810" s="29" t="s">
        <v>823</v>
      </c>
      <c r="H2810" s="29" t="s">
        <v>38</v>
      </c>
      <c r="I2810" s="120">
        <v>45918</v>
      </c>
      <c r="J2810" s="120">
        <f>WORKDAY(I2810, 3)</f>
        <v>45923</v>
      </c>
      <c r="K2810" s="120">
        <v>45948</v>
      </c>
      <c r="L2810" s="120"/>
      <c r="M2810" s="120"/>
      <c r="N2810" s="29"/>
      <c r="O2810" s="119" t="s">
        <v>170</v>
      </c>
      <c r="P2810" s="29"/>
      <c r="Q2810" s="156">
        <v>350</v>
      </c>
    </row>
    <row r="2811" spans="1:18" hidden="1">
      <c r="A2811" s="134" t="s">
        <v>1430</v>
      </c>
      <c r="C2811" s="29">
        <v>261500186</v>
      </c>
      <c r="D2811" s="29"/>
      <c r="E2811" s="29"/>
      <c r="F2811" s="29" t="s">
        <v>87</v>
      </c>
      <c r="G2811" s="29" t="s">
        <v>823</v>
      </c>
      <c r="H2811" s="29" t="s">
        <v>38</v>
      </c>
      <c r="I2811" s="120">
        <v>45918</v>
      </c>
      <c r="J2811" s="120">
        <f>WORKDAY(I2811, 3)</f>
        <v>45923</v>
      </c>
      <c r="K2811" s="120">
        <v>45948</v>
      </c>
      <c r="L2811" s="120"/>
      <c r="M2811" s="120"/>
      <c r="N2811" s="29"/>
      <c r="O2811" s="119" t="s">
        <v>170</v>
      </c>
      <c r="P2811" s="29"/>
      <c r="Q2811" s="156">
        <v>165</v>
      </c>
    </row>
    <row r="2812" spans="1:18" hidden="1">
      <c r="A2812" s="134" t="s">
        <v>1430</v>
      </c>
      <c r="C2812" s="29">
        <v>261500195</v>
      </c>
      <c r="D2812" s="29"/>
      <c r="E2812" s="29"/>
      <c r="F2812" s="29" t="s">
        <v>87</v>
      </c>
      <c r="G2812" s="29" t="s">
        <v>823</v>
      </c>
      <c r="H2812" s="29" t="s">
        <v>38</v>
      </c>
      <c r="I2812" s="120">
        <v>45918</v>
      </c>
      <c r="J2812" s="120">
        <f>WORKDAY(I2812, 3)</f>
        <v>45923</v>
      </c>
      <c r="K2812" s="120">
        <v>45948</v>
      </c>
      <c r="L2812" s="120"/>
      <c r="M2812" s="120"/>
      <c r="N2812" s="29"/>
      <c r="O2812" s="119" t="s">
        <v>170</v>
      </c>
      <c r="P2812" s="29"/>
      <c r="Q2812" s="156">
        <v>300</v>
      </c>
    </row>
    <row r="2813" spans="1:18" hidden="1">
      <c r="A2813" s="134" t="s">
        <v>1143</v>
      </c>
      <c r="C2813" s="29">
        <v>273505320</v>
      </c>
      <c r="D2813" s="29"/>
      <c r="E2813" s="29"/>
      <c r="F2813" s="29" t="s">
        <v>87</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87</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87</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87</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87</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87</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87</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87</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87</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87</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87</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87</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87</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87</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87</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87</v>
      </c>
      <c r="G2828" s="29" t="s">
        <v>1039</v>
      </c>
      <c r="H2828" s="29" t="s">
        <v>38</v>
      </c>
      <c r="I2828" s="120">
        <v>45933</v>
      </c>
      <c r="J2828" s="120">
        <f>WORKDAY(I2828, 3)</f>
        <v>45938</v>
      </c>
      <c r="K2828" s="120">
        <v>45933</v>
      </c>
      <c r="L2828" s="120"/>
      <c r="M2828" s="120"/>
      <c r="N2828" s="29"/>
      <c r="O2828" s="119" t="s">
        <v>170</v>
      </c>
      <c r="P2828" s="120"/>
      <c r="Q2828" s="156">
        <v>470</v>
      </c>
      <c r="R2828" s="134" t="s">
        <v>1435</v>
      </c>
    </row>
    <row r="2829" spans="1:18" hidden="1">
      <c r="A2829" s="134" t="s">
        <v>1141</v>
      </c>
      <c r="C2829" s="29">
        <v>276500063</v>
      </c>
      <c r="D2829" s="29"/>
      <c r="E2829" s="29"/>
      <c r="F2829" s="29" t="s">
        <v>87</v>
      </c>
      <c r="G2829" s="29" t="s">
        <v>1039</v>
      </c>
      <c r="H2829" s="29" t="s">
        <v>38</v>
      </c>
      <c r="I2829" s="120">
        <v>45933</v>
      </c>
      <c r="J2829" s="120">
        <f>WORKDAY(I2829, 3)</f>
        <v>45938</v>
      </c>
      <c r="K2829" s="120">
        <v>45933</v>
      </c>
      <c r="L2829" s="120"/>
      <c r="M2829" s="120"/>
      <c r="N2829" s="29"/>
      <c r="O2829" s="119" t="s">
        <v>170</v>
      </c>
      <c r="P2829" s="120"/>
      <c r="Q2829" s="156">
        <v>300</v>
      </c>
      <c r="R2829" s="134" t="s">
        <v>1435</v>
      </c>
    </row>
    <row r="2830" spans="1:18" hidden="1">
      <c r="A2830" s="134" t="s">
        <v>1141</v>
      </c>
      <c r="C2830" s="29">
        <v>276500065</v>
      </c>
      <c r="D2830" s="29"/>
      <c r="E2830" s="29"/>
      <c r="F2830" s="29" t="s">
        <v>87</v>
      </c>
      <c r="G2830" s="29" t="s">
        <v>1039</v>
      </c>
      <c r="H2830" s="29" t="s">
        <v>38</v>
      </c>
      <c r="I2830" s="120">
        <v>45933</v>
      </c>
      <c r="J2830" s="120">
        <f>WORKDAY(I2830, 3)</f>
        <v>45938</v>
      </c>
      <c r="K2830" s="120">
        <v>45933</v>
      </c>
      <c r="L2830" s="120"/>
      <c r="M2830" s="120"/>
      <c r="N2830" s="29"/>
      <c r="O2830" s="119" t="s">
        <v>170</v>
      </c>
      <c r="P2830" s="120"/>
      <c r="Q2830" s="156">
        <v>300</v>
      </c>
      <c r="R2830" s="134" t="s">
        <v>1435</v>
      </c>
    </row>
    <row r="2831" spans="1:18" hidden="1">
      <c r="A2831" s="134" t="s">
        <v>1141</v>
      </c>
      <c r="C2831" s="29">
        <v>276500068</v>
      </c>
      <c r="D2831" s="29"/>
      <c r="E2831" s="29"/>
      <c r="F2831" s="29" t="s">
        <v>87</v>
      </c>
      <c r="G2831" s="29" t="s">
        <v>1039</v>
      </c>
      <c r="H2831" s="29" t="s">
        <v>38</v>
      </c>
      <c r="I2831" s="120">
        <v>45933</v>
      </c>
      <c r="J2831" s="120">
        <f>WORKDAY(I2831, 3)</f>
        <v>45938</v>
      </c>
      <c r="K2831" s="120">
        <v>45933</v>
      </c>
      <c r="L2831" s="120"/>
      <c r="M2831" s="120"/>
      <c r="N2831" s="29"/>
      <c r="O2831" s="119" t="s">
        <v>170</v>
      </c>
      <c r="P2831" s="120"/>
      <c r="Q2831" s="156">
        <v>320</v>
      </c>
      <c r="R2831" s="134" t="s">
        <v>1435</v>
      </c>
    </row>
    <row r="2832" spans="1:18" hidden="1">
      <c r="A2832" s="134" t="s">
        <v>1141</v>
      </c>
      <c r="C2832" s="29">
        <v>275500103</v>
      </c>
      <c r="D2832" s="29"/>
      <c r="E2832" s="29"/>
      <c r="F2832" s="29" t="s">
        <v>87</v>
      </c>
      <c r="G2832" s="29" t="s">
        <v>1039</v>
      </c>
      <c r="H2832" s="29" t="s">
        <v>38</v>
      </c>
      <c r="I2832" s="120">
        <v>45932</v>
      </c>
      <c r="J2832" s="120">
        <f>WORKDAY(I2832, 3)</f>
        <v>45937</v>
      </c>
      <c r="K2832" s="120">
        <v>45963</v>
      </c>
      <c r="L2832" s="120"/>
      <c r="M2832" s="120"/>
      <c r="N2832" s="29"/>
      <c r="O2832" s="119" t="s">
        <v>170</v>
      </c>
      <c r="P2832" s="120"/>
      <c r="Q2832" s="156">
        <v>40</v>
      </c>
      <c r="R2832" s="134" t="s">
        <v>1435</v>
      </c>
    </row>
    <row r="2833" spans="1:18" hidden="1">
      <c r="A2833" s="134" t="s">
        <v>1141</v>
      </c>
      <c r="C2833" s="29">
        <v>275500114</v>
      </c>
      <c r="D2833" s="29"/>
      <c r="E2833" s="29"/>
      <c r="F2833" s="29" t="s">
        <v>87</v>
      </c>
      <c r="G2833" s="29" t="s">
        <v>1039</v>
      </c>
      <c r="H2833" s="29" t="s">
        <v>38</v>
      </c>
      <c r="I2833" s="120">
        <v>45932</v>
      </c>
      <c r="J2833" s="120">
        <f>WORKDAY(I2833, 3)</f>
        <v>45937</v>
      </c>
      <c r="K2833" s="120">
        <v>45963</v>
      </c>
      <c r="L2833" s="120"/>
      <c r="M2833" s="120"/>
      <c r="N2833" s="29"/>
      <c r="O2833" s="119" t="s">
        <v>170</v>
      </c>
      <c r="P2833" s="120"/>
      <c r="Q2833" s="156">
        <v>450</v>
      </c>
      <c r="R2833" s="134" t="s">
        <v>1435</v>
      </c>
    </row>
    <row r="2834" spans="1:18" hidden="1">
      <c r="A2834" s="134" t="s">
        <v>1141</v>
      </c>
      <c r="C2834" s="29">
        <v>275500118</v>
      </c>
      <c r="D2834" s="29"/>
      <c r="E2834" s="29"/>
      <c r="F2834" s="29" t="s">
        <v>87</v>
      </c>
      <c r="G2834" s="29" t="s">
        <v>1039</v>
      </c>
      <c r="H2834" s="29" t="s">
        <v>38</v>
      </c>
      <c r="I2834" s="120">
        <v>45932</v>
      </c>
      <c r="J2834" s="120">
        <f>WORKDAY(I2834, 3)</f>
        <v>45937</v>
      </c>
      <c r="K2834" s="120">
        <v>45963</v>
      </c>
      <c r="L2834" s="120"/>
      <c r="M2834" s="120"/>
      <c r="N2834" s="29"/>
      <c r="O2834" s="119" t="s">
        <v>170</v>
      </c>
      <c r="P2834" s="120"/>
      <c r="Q2834" s="156">
        <v>450</v>
      </c>
      <c r="R2834" s="134" t="s">
        <v>1435</v>
      </c>
    </row>
    <row r="2835" spans="1:18" hidden="1">
      <c r="A2835" s="134" t="s">
        <v>1141</v>
      </c>
      <c r="C2835" s="29">
        <v>275500126</v>
      </c>
      <c r="D2835" s="29"/>
      <c r="E2835" s="29"/>
      <c r="F2835" s="29" t="s">
        <v>87</v>
      </c>
      <c r="G2835" s="29" t="s">
        <v>1039</v>
      </c>
      <c r="H2835" s="29" t="s">
        <v>38</v>
      </c>
      <c r="I2835" s="120">
        <v>45932</v>
      </c>
      <c r="J2835" s="120">
        <f>WORKDAY(I2835, 3)</f>
        <v>45937</v>
      </c>
      <c r="K2835" s="120">
        <v>45963</v>
      </c>
      <c r="L2835" s="120"/>
      <c r="M2835" s="120"/>
      <c r="N2835" s="29"/>
      <c r="O2835" s="119" t="s">
        <v>170</v>
      </c>
      <c r="P2835" s="120"/>
      <c r="Q2835" s="156">
        <v>450</v>
      </c>
      <c r="R2835" s="134" t="s">
        <v>1435</v>
      </c>
    </row>
    <row r="2836" spans="1:18" hidden="1">
      <c r="A2836" s="134" t="s">
        <v>1141</v>
      </c>
      <c r="C2836" s="29">
        <v>275500138</v>
      </c>
      <c r="D2836" s="29"/>
      <c r="E2836" s="29"/>
      <c r="F2836" s="29" t="s">
        <v>87</v>
      </c>
      <c r="G2836" s="29" t="s">
        <v>1039</v>
      </c>
      <c r="H2836" s="29" t="s">
        <v>38</v>
      </c>
      <c r="I2836" s="120">
        <v>45932</v>
      </c>
      <c r="J2836" s="120">
        <f>WORKDAY(I2836, 3)</f>
        <v>45937</v>
      </c>
      <c r="K2836" s="120">
        <v>45963</v>
      </c>
      <c r="L2836" s="120"/>
      <c r="M2836" s="120"/>
      <c r="N2836" s="29"/>
      <c r="O2836" s="119" t="s">
        <v>170</v>
      </c>
      <c r="P2836" s="120"/>
      <c r="Q2836" s="156">
        <v>320</v>
      </c>
      <c r="R2836" s="134" t="s">
        <v>1435</v>
      </c>
    </row>
    <row r="2837" spans="1:18" hidden="1">
      <c r="A2837" s="134" t="s">
        <v>1141</v>
      </c>
      <c r="C2837" s="29">
        <v>274502929</v>
      </c>
      <c r="D2837" s="29"/>
      <c r="E2837" s="29"/>
      <c r="F2837" s="29" t="s">
        <v>87</v>
      </c>
      <c r="G2837" s="29" t="s">
        <v>1039</v>
      </c>
      <c r="H2837" s="29" t="s">
        <v>38</v>
      </c>
      <c r="I2837" s="120">
        <v>45931</v>
      </c>
      <c r="J2837" s="120">
        <f>WORKDAY(I2837, 3)</f>
        <v>45936</v>
      </c>
      <c r="K2837" s="120">
        <v>45962</v>
      </c>
      <c r="L2837" s="120"/>
      <c r="M2837" s="120"/>
      <c r="N2837" s="29"/>
      <c r="O2837" s="119" t="s">
        <v>170</v>
      </c>
      <c r="P2837" s="120"/>
      <c r="Q2837" s="156">
        <v>380</v>
      </c>
      <c r="R2837" s="134" t="s">
        <v>1435</v>
      </c>
    </row>
    <row r="2838" spans="1:18" hidden="1">
      <c r="A2838" s="134" t="s">
        <v>1141</v>
      </c>
      <c r="C2838" s="29">
        <v>274502951</v>
      </c>
      <c r="D2838" s="29"/>
      <c r="E2838" s="29"/>
      <c r="F2838" s="29" t="s">
        <v>87</v>
      </c>
      <c r="G2838" s="29" t="s">
        <v>1039</v>
      </c>
      <c r="H2838" s="29" t="s">
        <v>38</v>
      </c>
      <c r="I2838" s="120">
        <v>45931</v>
      </c>
      <c r="J2838" s="120">
        <f>WORKDAY(I2838, 3)</f>
        <v>45936</v>
      </c>
      <c r="K2838" s="120">
        <v>45962</v>
      </c>
      <c r="L2838" s="120"/>
      <c r="M2838" s="120"/>
      <c r="N2838" s="29"/>
      <c r="O2838" s="119" t="s">
        <v>170</v>
      </c>
      <c r="P2838" s="120"/>
      <c r="Q2838" s="156">
        <v>380</v>
      </c>
      <c r="R2838" s="134" t="s">
        <v>1435</v>
      </c>
    </row>
    <row r="2839" spans="1:18" hidden="1">
      <c r="A2839" s="134" t="s">
        <v>1141</v>
      </c>
      <c r="C2839" s="29">
        <v>274502989</v>
      </c>
      <c r="D2839" s="29"/>
      <c r="E2839" s="29"/>
      <c r="F2839" s="29" t="s">
        <v>87</v>
      </c>
      <c r="G2839" s="29" t="s">
        <v>1039</v>
      </c>
      <c r="H2839" s="29" t="s">
        <v>38</v>
      </c>
      <c r="I2839" s="120">
        <v>45931</v>
      </c>
      <c r="J2839" s="120">
        <f>WORKDAY(I2839, 3)</f>
        <v>45936</v>
      </c>
      <c r="K2839" s="120">
        <v>45962</v>
      </c>
      <c r="L2839" s="120"/>
      <c r="M2839" s="120"/>
      <c r="N2839" s="29"/>
      <c r="O2839" s="119" t="s">
        <v>170</v>
      </c>
      <c r="P2839" s="120"/>
      <c r="Q2839" s="156">
        <v>100</v>
      </c>
      <c r="R2839" s="134" t="s">
        <v>1435</v>
      </c>
    </row>
    <row r="2840" spans="1:18" hidden="1">
      <c r="A2840" s="134" t="s">
        <v>1141</v>
      </c>
      <c r="C2840" s="29">
        <v>274503046</v>
      </c>
      <c r="D2840" s="29"/>
      <c r="E2840" s="29"/>
      <c r="F2840" s="29" t="s">
        <v>87</v>
      </c>
      <c r="G2840" s="29" t="s">
        <v>1039</v>
      </c>
      <c r="H2840" s="29" t="s">
        <v>38</v>
      </c>
      <c r="I2840" s="120">
        <v>45931</v>
      </c>
      <c r="J2840" s="120">
        <f>WORKDAY(I2840, 3)</f>
        <v>45936</v>
      </c>
      <c r="K2840" s="120">
        <v>45962</v>
      </c>
      <c r="L2840" s="120"/>
      <c r="M2840" s="120"/>
      <c r="N2840" s="29"/>
      <c r="O2840" s="119" t="s">
        <v>170</v>
      </c>
      <c r="P2840" s="120"/>
      <c r="Q2840" s="156">
        <v>380</v>
      </c>
      <c r="R2840" s="134" t="s">
        <v>1435</v>
      </c>
    </row>
    <row r="2841" spans="1:18" hidden="1">
      <c r="A2841" s="134" t="s">
        <v>1141</v>
      </c>
      <c r="C2841" s="29">
        <v>274503083</v>
      </c>
      <c r="D2841" s="29"/>
      <c r="E2841" s="29"/>
      <c r="F2841" s="29" t="s">
        <v>87</v>
      </c>
      <c r="G2841" s="29" t="s">
        <v>1039</v>
      </c>
      <c r="H2841" s="29" t="s">
        <v>38</v>
      </c>
      <c r="I2841" s="120">
        <v>45931</v>
      </c>
      <c r="J2841" s="120">
        <f>WORKDAY(I2841, 3)</f>
        <v>45936</v>
      </c>
      <c r="K2841" s="120">
        <v>45962</v>
      </c>
      <c r="L2841" s="120"/>
      <c r="M2841" s="120"/>
      <c r="N2841" s="29"/>
      <c r="O2841" s="119" t="s">
        <v>170</v>
      </c>
      <c r="P2841" s="120"/>
      <c r="Q2841" s="156">
        <v>200</v>
      </c>
      <c r="R2841" s="134" t="s">
        <v>1435</v>
      </c>
    </row>
    <row r="2842" spans="1:18" hidden="1">
      <c r="A2842" s="134" t="s">
        <v>1141</v>
      </c>
      <c r="C2842" s="29">
        <v>274503166</v>
      </c>
      <c r="D2842" s="29"/>
      <c r="E2842" s="29"/>
      <c r="F2842" s="29" t="s">
        <v>87</v>
      </c>
      <c r="G2842" s="29" t="s">
        <v>1039</v>
      </c>
      <c r="H2842" s="29" t="s">
        <v>38</v>
      </c>
      <c r="I2842" s="120">
        <v>45931</v>
      </c>
      <c r="J2842" s="120">
        <f>WORKDAY(I2842, 3)</f>
        <v>45936</v>
      </c>
      <c r="K2842" s="120">
        <v>45962</v>
      </c>
      <c r="L2842" s="120"/>
      <c r="M2842" s="120"/>
      <c r="N2842" s="29"/>
      <c r="O2842" s="119" t="s">
        <v>170</v>
      </c>
      <c r="P2842" s="120"/>
      <c r="Q2842" s="156">
        <v>100</v>
      </c>
      <c r="R2842" s="134" t="s">
        <v>1435</v>
      </c>
    </row>
    <row r="2843" spans="1:18" hidden="1">
      <c r="A2843" s="134" t="s">
        <v>1059</v>
      </c>
      <c r="C2843" s="29">
        <v>272502446</v>
      </c>
      <c r="D2843" s="29"/>
      <c r="E2843" s="29"/>
      <c r="F2843" s="29" t="s">
        <v>87</v>
      </c>
      <c r="G2843" s="29" t="s">
        <v>1039</v>
      </c>
      <c r="H2843" s="29" t="s">
        <v>38</v>
      </c>
      <c r="I2843" s="120">
        <v>45929</v>
      </c>
      <c r="J2843" s="120">
        <f>WORKDAY(I2843, 3)</f>
        <v>45932</v>
      </c>
      <c r="K2843" s="120">
        <v>45960</v>
      </c>
      <c r="L2843" s="120"/>
      <c r="M2843" s="120"/>
      <c r="N2843" s="29"/>
      <c r="O2843" s="119" t="s">
        <v>170</v>
      </c>
      <c r="P2843" s="120"/>
      <c r="Q2843" s="156">
        <v>30</v>
      </c>
      <c r="R2843" s="134" t="s">
        <v>1435</v>
      </c>
    </row>
    <row r="2844" spans="1:18" hidden="1">
      <c r="A2844" s="134" t="s">
        <v>1137</v>
      </c>
      <c r="C2844" s="29">
        <v>281500450</v>
      </c>
      <c r="D2844" s="29"/>
      <c r="E2844" s="29"/>
      <c r="F2844" s="29" t="s">
        <v>87</v>
      </c>
      <c r="G2844" s="29" t="s">
        <v>1039</v>
      </c>
      <c r="H2844" s="29" t="s">
        <v>38</v>
      </c>
      <c r="I2844" s="120">
        <v>45938</v>
      </c>
      <c r="J2844" s="120">
        <f>WORKDAY(I2844, 3)</f>
        <v>45943</v>
      </c>
      <c r="K2844" s="120">
        <v>45969</v>
      </c>
      <c r="L2844" s="120"/>
      <c r="M2844" s="120"/>
      <c r="O2844" s="119" t="s">
        <v>170</v>
      </c>
      <c r="P2844" s="120"/>
      <c r="Q2844" s="156">
        <v>600</v>
      </c>
      <c r="R2844" s="134" t="s">
        <v>1435</v>
      </c>
    </row>
    <row r="2845" spans="1:18" hidden="1">
      <c r="A2845" s="134" t="s">
        <v>1143</v>
      </c>
      <c r="C2845" s="29">
        <v>286505216</v>
      </c>
      <c r="D2845" s="29"/>
      <c r="E2845" s="29"/>
      <c r="F2845" s="29" t="s">
        <v>87</v>
      </c>
      <c r="G2845" s="29" t="s">
        <v>1039</v>
      </c>
      <c r="H2845" s="29" t="s">
        <v>38</v>
      </c>
      <c r="I2845" s="120">
        <v>45943</v>
      </c>
      <c r="J2845" s="120">
        <f>WORKDAY(I2845, 3)</f>
        <v>45946</v>
      </c>
      <c r="K2845" s="29"/>
      <c r="L2845" s="29"/>
      <c r="M2845" s="29"/>
      <c r="N2845" s="29"/>
      <c r="O2845" s="119" t="s">
        <v>170</v>
      </c>
      <c r="P2845" s="120"/>
      <c r="Q2845" s="156"/>
      <c r="R2845" s="134" t="s">
        <v>1435</v>
      </c>
    </row>
    <row r="2846" spans="1:18" hidden="1">
      <c r="A2846" s="134" t="s">
        <v>1143</v>
      </c>
      <c r="C2846" s="29">
        <v>286505225</v>
      </c>
      <c r="D2846" s="29"/>
      <c r="E2846" s="29"/>
      <c r="F2846" s="29" t="s">
        <v>87</v>
      </c>
      <c r="G2846" s="29" t="s">
        <v>1039</v>
      </c>
      <c r="H2846" s="29" t="s">
        <v>38</v>
      </c>
      <c r="I2846" s="120">
        <v>45943</v>
      </c>
      <c r="J2846" s="120">
        <f>WORKDAY(I2846, 3)</f>
        <v>45946</v>
      </c>
      <c r="K2846" s="29"/>
      <c r="L2846" s="29"/>
      <c r="M2846" s="29"/>
      <c r="N2846" s="29"/>
      <c r="O2846" s="119" t="s">
        <v>170</v>
      </c>
      <c r="P2846" s="120"/>
      <c r="Q2846" s="156"/>
      <c r="R2846" s="134" t="s">
        <v>1435</v>
      </c>
    </row>
    <row r="2847" spans="1:18" hidden="1">
      <c r="A2847" s="134" t="s">
        <v>1143</v>
      </c>
      <c r="C2847" s="29">
        <v>286505248</v>
      </c>
      <c r="D2847" s="29"/>
      <c r="E2847" s="29"/>
      <c r="F2847" s="29" t="s">
        <v>87</v>
      </c>
      <c r="G2847" s="29" t="s">
        <v>1039</v>
      </c>
      <c r="H2847" s="29" t="s">
        <v>38</v>
      </c>
      <c r="I2847" s="120">
        <v>45943</v>
      </c>
      <c r="J2847" s="120">
        <f>WORKDAY(I2847, 3)</f>
        <v>45946</v>
      </c>
      <c r="K2847" s="29"/>
      <c r="L2847" s="29"/>
      <c r="M2847" s="29"/>
      <c r="N2847" s="29"/>
      <c r="O2847" s="119" t="s">
        <v>170</v>
      </c>
      <c r="P2847" s="120"/>
      <c r="Q2847" s="156"/>
      <c r="R2847" s="134" t="s">
        <v>1435</v>
      </c>
    </row>
    <row r="2848" spans="1:18" hidden="1">
      <c r="A2848" s="134" t="s">
        <v>1136</v>
      </c>
      <c r="C2848" s="29">
        <v>286505198</v>
      </c>
      <c r="D2848" s="29"/>
      <c r="E2848" s="29"/>
      <c r="F2848" s="29" t="s">
        <v>87</v>
      </c>
      <c r="G2848" s="29" t="s">
        <v>1039</v>
      </c>
      <c r="H2848" s="29" t="s">
        <v>38</v>
      </c>
      <c r="I2848" s="120">
        <v>45943</v>
      </c>
      <c r="J2848" s="120">
        <f>WORKDAY(I2848, 3)</f>
        <v>45946</v>
      </c>
      <c r="K2848" s="29"/>
      <c r="L2848" s="29"/>
      <c r="M2848" s="29"/>
      <c r="N2848" s="29"/>
      <c r="O2848" s="119" t="s">
        <v>170</v>
      </c>
      <c r="P2848" s="120"/>
      <c r="Q2848" s="156"/>
      <c r="R2848" s="134" t="s">
        <v>1435</v>
      </c>
    </row>
    <row r="2849" spans="1:18" hidden="1">
      <c r="A2849" s="134" t="s">
        <v>1436</v>
      </c>
      <c r="C2849" s="29">
        <v>282501403</v>
      </c>
      <c r="D2849" s="29"/>
      <c r="E2849" s="29"/>
      <c r="F2849" s="29" t="s">
        <v>87</v>
      </c>
      <c r="G2849" s="29" t="s">
        <v>1039</v>
      </c>
      <c r="H2849" s="29" t="s">
        <v>38</v>
      </c>
      <c r="I2849" s="120">
        <v>45939</v>
      </c>
      <c r="J2849" s="120">
        <f>WORKDAY(I2849, 3)</f>
        <v>45944</v>
      </c>
      <c r="K2849" s="120">
        <v>45970</v>
      </c>
      <c r="L2849" s="120"/>
      <c r="M2849" s="120"/>
      <c r="N2849" s="29"/>
      <c r="O2849" s="119" t="s">
        <v>170</v>
      </c>
      <c r="P2849" s="120"/>
      <c r="Q2849" s="156"/>
      <c r="R2849" s="162"/>
    </row>
    <row r="2850" spans="1:18" hidden="1">
      <c r="A2850" s="134" t="s">
        <v>1436</v>
      </c>
      <c r="C2850" s="29">
        <v>282501411</v>
      </c>
      <c r="D2850" s="29"/>
      <c r="E2850" s="29"/>
      <c r="F2850" s="29" t="s">
        <v>87</v>
      </c>
      <c r="G2850" s="29" t="s">
        <v>1039</v>
      </c>
      <c r="H2850" s="29" t="s">
        <v>38</v>
      </c>
      <c r="I2850" s="120">
        <v>45939</v>
      </c>
      <c r="J2850" s="120">
        <f>WORKDAY(I2850, 3)</f>
        <v>45944</v>
      </c>
      <c r="K2850" s="120">
        <v>45970</v>
      </c>
      <c r="L2850" s="120"/>
      <c r="M2850" s="120"/>
      <c r="N2850" s="29"/>
      <c r="O2850" s="119" t="s">
        <v>170</v>
      </c>
      <c r="P2850" s="120"/>
      <c r="Q2850" s="156"/>
      <c r="R2850" s="162"/>
    </row>
    <row r="2851" spans="1:18" hidden="1">
      <c r="A2851" s="134" t="s">
        <v>1436</v>
      </c>
      <c r="C2851" s="29">
        <v>282501422</v>
      </c>
      <c r="D2851" s="29"/>
      <c r="E2851" s="29"/>
      <c r="F2851" s="29" t="s">
        <v>87</v>
      </c>
      <c r="G2851" s="29" t="s">
        <v>1039</v>
      </c>
      <c r="H2851" s="29" t="s">
        <v>38</v>
      </c>
      <c r="I2851" s="120">
        <v>45939</v>
      </c>
      <c r="J2851" s="120">
        <f>WORKDAY(I2851, 3)</f>
        <v>45944</v>
      </c>
      <c r="K2851" s="120">
        <v>45970</v>
      </c>
      <c r="L2851" s="120"/>
      <c r="M2851" s="120"/>
      <c r="N2851" s="29"/>
      <c r="O2851" s="119" t="s">
        <v>170</v>
      </c>
      <c r="P2851" s="120"/>
      <c r="Q2851" s="156"/>
      <c r="R2851" s="162"/>
    </row>
    <row r="2852" spans="1:18" hidden="1">
      <c r="A2852" s="134" t="s">
        <v>1436</v>
      </c>
      <c r="C2852" s="29">
        <v>282501433</v>
      </c>
      <c r="D2852" s="29"/>
      <c r="E2852" s="29"/>
      <c r="F2852" s="29" t="s">
        <v>87</v>
      </c>
      <c r="G2852" s="29" t="s">
        <v>1039</v>
      </c>
      <c r="H2852" s="29" t="s">
        <v>38</v>
      </c>
      <c r="I2852" s="120">
        <v>45939</v>
      </c>
      <c r="J2852" s="120">
        <f>WORKDAY(I2852, 3)</f>
        <v>45944</v>
      </c>
      <c r="K2852" s="120">
        <v>45970</v>
      </c>
      <c r="L2852" s="120"/>
      <c r="M2852" s="120"/>
      <c r="N2852" s="29"/>
      <c r="O2852" s="119" t="s">
        <v>170</v>
      </c>
      <c r="P2852" s="120"/>
      <c r="Q2852" s="156"/>
      <c r="R2852" s="162"/>
    </row>
    <row r="2853" spans="1:18" hidden="1">
      <c r="A2853" s="134" t="s">
        <v>1436</v>
      </c>
      <c r="C2853" s="29">
        <v>282501441</v>
      </c>
      <c r="D2853" s="29"/>
      <c r="E2853" s="29"/>
      <c r="F2853" s="29" t="s">
        <v>87</v>
      </c>
      <c r="G2853" s="29" t="s">
        <v>1039</v>
      </c>
      <c r="H2853" s="29" t="s">
        <v>38</v>
      </c>
      <c r="I2853" s="120">
        <v>45939</v>
      </c>
      <c r="J2853" s="120">
        <f>WORKDAY(I2853, 3)</f>
        <v>45944</v>
      </c>
      <c r="K2853" s="120">
        <v>45970</v>
      </c>
      <c r="L2853" s="120"/>
      <c r="M2853" s="120"/>
      <c r="N2853" s="29"/>
      <c r="O2853" s="119" t="s">
        <v>170</v>
      </c>
      <c r="P2853" s="120"/>
      <c r="Q2853" s="156"/>
      <c r="R2853" s="162"/>
    </row>
    <row r="2854" spans="1:18" hidden="1">
      <c r="A2854" s="134" t="s">
        <v>1436</v>
      </c>
      <c r="C2854" s="29">
        <v>282501458</v>
      </c>
      <c r="D2854" s="29"/>
      <c r="E2854" s="29"/>
      <c r="F2854" s="29" t="s">
        <v>87</v>
      </c>
      <c r="G2854" s="29" t="s">
        <v>1039</v>
      </c>
      <c r="H2854" s="29" t="s">
        <v>38</v>
      </c>
      <c r="I2854" s="120">
        <v>45939</v>
      </c>
      <c r="J2854" s="120">
        <f>WORKDAY(I2854, 3)</f>
        <v>45944</v>
      </c>
      <c r="K2854" s="120">
        <v>45970</v>
      </c>
      <c r="L2854" s="120"/>
      <c r="M2854" s="120"/>
      <c r="N2854" s="29"/>
      <c r="O2854" s="119" t="s">
        <v>170</v>
      </c>
      <c r="P2854" s="120"/>
      <c r="Q2854" s="156"/>
      <c r="R2854" s="162"/>
    </row>
    <row r="2855" spans="1:18" hidden="1">
      <c r="A2855" s="134" t="s">
        <v>1436</v>
      </c>
      <c r="C2855" s="29">
        <v>282501464</v>
      </c>
      <c r="D2855" s="29"/>
      <c r="E2855" s="29"/>
      <c r="F2855" s="29" t="s">
        <v>87</v>
      </c>
      <c r="G2855" s="29" t="s">
        <v>1039</v>
      </c>
      <c r="H2855" s="29" t="s">
        <v>38</v>
      </c>
      <c r="I2855" s="120">
        <v>45939</v>
      </c>
      <c r="J2855" s="120">
        <f>WORKDAY(I2855, 3)</f>
        <v>45944</v>
      </c>
      <c r="K2855" s="120">
        <v>45970</v>
      </c>
      <c r="L2855" s="120"/>
      <c r="M2855" s="120"/>
      <c r="N2855" s="29"/>
      <c r="O2855" s="119" t="s">
        <v>170</v>
      </c>
      <c r="P2855" s="120"/>
      <c r="Q2855" s="156"/>
      <c r="R2855" s="162"/>
    </row>
    <row r="2856" spans="1:18" hidden="1">
      <c r="A2856" s="134" t="s">
        <v>1436</v>
      </c>
      <c r="C2856" s="29">
        <v>282501473</v>
      </c>
      <c r="D2856" s="29"/>
      <c r="E2856" s="29"/>
      <c r="F2856" s="29" t="s">
        <v>87</v>
      </c>
      <c r="G2856" s="29" t="s">
        <v>1039</v>
      </c>
      <c r="H2856" s="29" t="s">
        <v>38</v>
      </c>
      <c r="I2856" s="120">
        <v>45939</v>
      </c>
      <c r="J2856" s="120">
        <f>WORKDAY(I2856, 3)</f>
        <v>45944</v>
      </c>
      <c r="K2856" s="120">
        <v>45970</v>
      </c>
      <c r="L2856" s="120"/>
      <c r="M2856" s="120"/>
      <c r="N2856" s="29"/>
      <c r="O2856" s="119" t="s">
        <v>170</v>
      </c>
      <c r="P2856" s="120"/>
      <c r="Q2856" s="156"/>
      <c r="R2856" s="162"/>
    </row>
    <row r="2857" spans="1:18" hidden="1">
      <c r="A2857" s="134" t="s">
        <v>1436</v>
      </c>
      <c r="C2857" s="29">
        <v>282501491</v>
      </c>
      <c r="D2857" s="29"/>
      <c r="E2857" s="29"/>
      <c r="F2857" s="29" t="s">
        <v>87</v>
      </c>
      <c r="G2857" s="29" t="s">
        <v>1039</v>
      </c>
      <c r="H2857" s="29" t="s">
        <v>38</v>
      </c>
      <c r="I2857" s="120">
        <v>45939</v>
      </c>
      <c r="J2857" s="120">
        <f>WORKDAY(I2857, 3)</f>
        <v>45944</v>
      </c>
      <c r="K2857" s="120">
        <v>45970</v>
      </c>
      <c r="L2857" s="120"/>
      <c r="M2857" s="120"/>
      <c r="N2857" s="29"/>
      <c r="O2857" s="119" t="s">
        <v>170</v>
      </c>
      <c r="P2857" s="120"/>
      <c r="Q2857" s="156"/>
      <c r="R2857" s="162"/>
    </row>
    <row r="2858" spans="1:18" hidden="1">
      <c r="A2858" s="134" t="s">
        <v>1436</v>
      </c>
      <c r="C2858" s="29">
        <v>282501499</v>
      </c>
      <c r="D2858" s="29"/>
      <c r="E2858" s="29"/>
      <c r="F2858" s="29" t="s">
        <v>87</v>
      </c>
      <c r="G2858" s="29" t="s">
        <v>1039</v>
      </c>
      <c r="H2858" s="29" t="s">
        <v>38</v>
      </c>
      <c r="I2858" s="120">
        <v>45939</v>
      </c>
      <c r="J2858" s="120">
        <f>WORKDAY(I2858, 3)</f>
        <v>45944</v>
      </c>
      <c r="K2858" s="120">
        <v>45970</v>
      </c>
      <c r="L2858" s="120"/>
      <c r="M2858" s="120"/>
      <c r="N2858" s="29"/>
      <c r="O2858" s="119" t="s">
        <v>170</v>
      </c>
      <c r="P2858" s="120"/>
      <c r="Q2858" s="156"/>
      <c r="R2858" s="162"/>
    </row>
    <row r="2859" spans="1:18" hidden="1">
      <c r="A2859" s="134" t="s">
        <v>1436</v>
      </c>
      <c r="C2859" s="29">
        <v>282501507</v>
      </c>
      <c r="D2859" s="29"/>
      <c r="E2859" s="29"/>
      <c r="F2859" s="29" t="s">
        <v>87</v>
      </c>
      <c r="G2859" s="29" t="s">
        <v>1039</v>
      </c>
      <c r="H2859" s="29" t="s">
        <v>38</v>
      </c>
      <c r="I2859" s="120">
        <v>45939</v>
      </c>
      <c r="J2859" s="120">
        <f>WORKDAY(I2859, 3)</f>
        <v>45944</v>
      </c>
      <c r="K2859" s="120">
        <v>45970</v>
      </c>
      <c r="L2859" s="120"/>
      <c r="M2859" s="120"/>
      <c r="N2859" s="29"/>
      <c r="O2859" s="119" t="s">
        <v>170</v>
      </c>
      <c r="P2859" s="120"/>
      <c r="Q2859" s="156"/>
      <c r="R2859" s="162"/>
    </row>
    <row r="2860" spans="1:18" hidden="1">
      <c r="A2860" s="134" t="s">
        <v>1436</v>
      </c>
      <c r="C2860" s="29">
        <v>282501513</v>
      </c>
      <c r="D2860" s="29"/>
      <c r="E2860" s="29"/>
      <c r="F2860" s="29" t="s">
        <v>87</v>
      </c>
      <c r="G2860" s="29" t="s">
        <v>1039</v>
      </c>
      <c r="H2860" s="29" t="s">
        <v>38</v>
      </c>
      <c r="I2860" s="120">
        <v>45939</v>
      </c>
      <c r="J2860" s="120">
        <f>WORKDAY(I2860, 3)</f>
        <v>45944</v>
      </c>
      <c r="K2860" s="120">
        <v>45970</v>
      </c>
      <c r="L2860" s="120"/>
      <c r="M2860" s="120"/>
      <c r="N2860" s="29"/>
      <c r="O2860" s="119" t="s">
        <v>170</v>
      </c>
      <c r="P2860" s="120"/>
      <c r="Q2860" s="156"/>
      <c r="R2860" s="162"/>
    </row>
    <row r="2861" spans="1:18" hidden="1">
      <c r="A2861" s="134" t="s">
        <v>1436</v>
      </c>
      <c r="C2861" s="29">
        <v>282501523</v>
      </c>
      <c r="D2861" s="29"/>
      <c r="E2861" s="29"/>
      <c r="F2861" s="29" t="s">
        <v>87</v>
      </c>
      <c r="G2861" s="29" t="s">
        <v>1039</v>
      </c>
      <c r="H2861" s="29" t="s">
        <v>38</v>
      </c>
      <c r="I2861" s="120">
        <v>45939</v>
      </c>
      <c r="J2861" s="120">
        <f>WORKDAY(I2861, 3)</f>
        <v>45944</v>
      </c>
      <c r="K2861" s="120">
        <v>45970</v>
      </c>
      <c r="L2861" s="120"/>
      <c r="M2861" s="120"/>
      <c r="N2861" s="29"/>
      <c r="O2861" s="119" t="s">
        <v>170</v>
      </c>
      <c r="P2861" s="120"/>
      <c r="Q2861" s="156"/>
      <c r="R2861" s="162"/>
    </row>
    <row r="2862" spans="1:18" hidden="1">
      <c r="A2862" s="134" t="s">
        <v>1436</v>
      </c>
      <c r="C2862" s="29">
        <v>282501528</v>
      </c>
      <c r="D2862" s="29"/>
      <c r="E2862" s="29"/>
      <c r="F2862" s="29" t="s">
        <v>87</v>
      </c>
      <c r="G2862" s="29" t="s">
        <v>1039</v>
      </c>
      <c r="H2862" s="29" t="s">
        <v>38</v>
      </c>
      <c r="I2862" s="120">
        <v>45939</v>
      </c>
      <c r="J2862" s="120">
        <f>WORKDAY(I2862, 3)</f>
        <v>45944</v>
      </c>
      <c r="K2862" s="120">
        <v>45970</v>
      </c>
      <c r="L2862" s="120"/>
      <c r="M2862" s="120"/>
      <c r="N2862" s="29"/>
      <c r="O2862" s="119" t="s">
        <v>170</v>
      </c>
      <c r="P2862" s="120"/>
      <c r="Q2862" s="156"/>
      <c r="R2862" s="162"/>
    </row>
    <row r="2863" spans="1:18" hidden="1">
      <c r="A2863" s="134" t="s">
        <v>1436</v>
      </c>
      <c r="C2863" s="29">
        <v>282501567</v>
      </c>
      <c r="D2863" s="29"/>
      <c r="E2863" s="29"/>
      <c r="F2863" s="29" t="s">
        <v>87</v>
      </c>
      <c r="G2863" s="29" t="s">
        <v>1039</v>
      </c>
      <c r="H2863" s="29" t="s">
        <v>38</v>
      </c>
      <c r="I2863" s="120">
        <v>45939</v>
      </c>
      <c r="J2863" s="120">
        <f>WORKDAY(I2863, 3)</f>
        <v>45944</v>
      </c>
      <c r="K2863" s="120">
        <v>45970</v>
      </c>
      <c r="L2863" s="120"/>
      <c r="M2863" s="120"/>
      <c r="N2863" s="29"/>
      <c r="O2863" s="119" t="s">
        <v>170</v>
      </c>
      <c r="P2863" s="120"/>
      <c r="Q2863" s="156"/>
      <c r="R2863" s="162"/>
    </row>
    <row r="2864" spans="1:18" hidden="1">
      <c r="A2864" s="134" t="s">
        <v>1436</v>
      </c>
      <c r="C2864" s="29">
        <v>282501558</v>
      </c>
      <c r="D2864" s="29"/>
      <c r="E2864" s="29"/>
      <c r="F2864" s="29" t="s">
        <v>87</v>
      </c>
      <c r="G2864" s="29" t="s">
        <v>1039</v>
      </c>
      <c r="H2864" s="29" t="s">
        <v>38</v>
      </c>
      <c r="I2864" s="120">
        <v>45939</v>
      </c>
      <c r="J2864" s="120">
        <f>WORKDAY(I2864, 3)</f>
        <v>45944</v>
      </c>
      <c r="K2864" s="120">
        <v>45970</v>
      </c>
      <c r="L2864" s="120"/>
      <c r="M2864" s="120"/>
      <c r="N2864" s="29"/>
      <c r="O2864" s="119" t="s">
        <v>170</v>
      </c>
      <c r="P2864" s="120"/>
      <c r="Q2864" s="156"/>
      <c r="R2864" s="162"/>
    </row>
    <row r="2865" spans="1:18" hidden="1">
      <c r="A2865" s="134" t="s">
        <v>1436</v>
      </c>
      <c r="C2865" s="29">
        <v>282501582</v>
      </c>
      <c r="D2865" s="29"/>
      <c r="E2865" s="29"/>
      <c r="F2865" s="29" t="s">
        <v>87</v>
      </c>
      <c r="G2865" s="29" t="s">
        <v>1039</v>
      </c>
      <c r="H2865" s="29" t="s">
        <v>38</v>
      </c>
      <c r="I2865" s="120">
        <v>45939</v>
      </c>
      <c r="J2865" s="120">
        <f>WORKDAY(I2865, 3)</f>
        <v>45944</v>
      </c>
      <c r="K2865" s="120">
        <v>45970</v>
      </c>
      <c r="L2865" s="120"/>
      <c r="M2865" s="120"/>
      <c r="N2865" s="29"/>
      <c r="O2865" s="119" t="s">
        <v>170</v>
      </c>
      <c r="P2865" s="120"/>
      <c r="Q2865" s="156"/>
      <c r="R2865" s="162"/>
    </row>
    <row r="2866" spans="1:18" hidden="1">
      <c r="A2866" s="134" t="s">
        <v>1436</v>
      </c>
      <c r="C2866" s="29">
        <v>282501594</v>
      </c>
      <c r="D2866" s="29"/>
      <c r="E2866" s="29"/>
      <c r="F2866" s="29" t="s">
        <v>87</v>
      </c>
      <c r="G2866" s="29" t="s">
        <v>1039</v>
      </c>
      <c r="H2866" s="29" t="s">
        <v>38</v>
      </c>
      <c r="I2866" s="120">
        <v>45939</v>
      </c>
      <c r="J2866" s="120">
        <f>WORKDAY(I2866, 3)</f>
        <v>45944</v>
      </c>
      <c r="K2866" s="120">
        <v>45970</v>
      </c>
      <c r="L2866" s="120"/>
      <c r="M2866" s="120"/>
      <c r="N2866" s="29"/>
      <c r="O2866" s="119" t="s">
        <v>170</v>
      </c>
      <c r="P2866" s="120"/>
      <c r="Q2866" s="156"/>
      <c r="R2866" s="162"/>
    </row>
    <row r="2867" spans="1:18" hidden="1">
      <c r="A2867" s="134" t="s">
        <v>1436</v>
      </c>
      <c r="C2867" s="29">
        <v>282501610</v>
      </c>
      <c r="D2867" s="29"/>
      <c r="E2867" s="29"/>
      <c r="F2867" s="29" t="s">
        <v>87</v>
      </c>
      <c r="G2867" s="29" t="s">
        <v>1039</v>
      </c>
      <c r="H2867" s="29" t="s">
        <v>38</v>
      </c>
      <c r="I2867" s="120">
        <v>45939</v>
      </c>
      <c r="J2867" s="120">
        <f>WORKDAY(I2867, 3)</f>
        <v>45944</v>
      </c>
      <c r="K2867" s="120">
        <v>45970</v>
      </c>
      <c r="L2867" s="120"/>
      <c r="M2867" s="120"/>
      <c r="N2867" s="29"/>
      <c r="O2867" s="119" t="s">
        <v>170</v>
      </c>
      <c r="P2867" s="120"/>
      <c r="Q2867" s="156"/>
      <c r="R2867" s="162"/>
    </row>
    <row r="2868" spans="1:18" hidden="1">
      <c r="A2868" s="134" t="s">
        <v>1436</v>
      </c>
      <c r="C2868" s="29">
        <v>282501615</v>
      </c>
      <c r="D2868" s="29"/>
      <c r="E2868" s="29"/>
      <c r="F2868" s="29" t="s">
        <v>87</v>
      </c>
      <c r="G2868" s="29" t="s">
        <v>1039</v>
      </c>
      <c r="H2868" s="29" t="s">
        <v>38</v>
      </c>
      <c r="I2868" s="120">
        <v>45939</v>
      </c>
      <c r="J2868" s="120">
        <f>WORKDAY(I2868, 3)</f>
        <v>45944</v>
      </c>
      <c r="K2868" s="120">
        <v>45970</v>
      </c>
      <c r="L2868" s="120"/>
      <c r="M2868" s="120"/>
      <c r="N2868" s="29"/>
      <c r="O2868" s="119" t="s">
        <v>170</v>
      </c>
      <c r="P2868" s="120"/>
      <c r="Q2868" s="156"/>
      <c r="R2868" s="162"/>
    </row>
    <row r="2869" spans="1:18" hidden="1">
      <c r="A2869" s="134" t="s">
        <v>1436</v>
      </c>
      <c r="C2869" s="29">
        <v>282501642</v>
      </c>
      <c r="D2869" s="29"/>
      <c r="E2869" s="29"/>
      <c r="F2869" s="29" t="s">
        <v>87</v>
      </c>
      <c r="G2869" s="29" t="s">
        <v>1039</v>
      </c>
      <c r="H2869" s="29" t="s">
        <v>38</v>
      </c>
      <c r="I2869" s="120">
        <v>45939</v>
      </c>
      <c r="J2869" s="120">
        <f>WORKDAY(I2869, 3)</f>
        <v>45944</v>
      </c>
      <c r="K2869" s="120">
        <v>45970</v>
      </c>
      <c r="L2869" s="120"/>
      <c r="M2869" s="120"/>
      <c r="N2869" s="29"/>
      <c r="O2869" s="119" t="s">
        <v>170</v>
      </c>
      <c r="P2869" s="120"/>
      <c r="Q2869" s="156"/>
      <c r="R2869" s="162"/>
    </row>
    <row r="2870" spans="1:18" hidden="1">
      <c r="A2870" s="134" t="s">
        <v>1436</v>
      </c>
      <c r="C2870" s="29">
        <v>282501648</v>
      </c>
      <c r="D2870" s="29"/>
      <c r="E2870" s="29"/>
      <c r="F2870" s="29" t="s">
        <v>87</v>
      </c>
      <c r="G2870" s="29" t="s">
        <v>1039</v>
      </c>
      <c r="H2870" s="29" t="s">
        <v>38</v>
      </c>
      <c r="I2870" s="120">
        <v>45939</v>
      </c>
      <c r="J2870" s="120">
        <f>WORKDAY(I2870, 3)</f>
        <v>45944</v>
      </c>
      <c r="K2870" s="120">
        <v>45970</v>
      </c>
      <c r="L2870" s="120"/>
      <c r="M2870" s="120"/>
      <c r="N2870" s="29"/>
      <c r="O2870" s="119" t="s">
        <v>170</v>
      </c>
      <c r="P2870" s="120"/>
      <c r="Q2870" s="156"/>
      <c r="R2870" s="162"/>
    </row>
    <row r="2871" spans="1:18" hidden="1">
      <c r="A2871" s="134" t="s">
        <v>1436</v>
      </c>
      <c r="C2871" s="29">
        <v>282501662</v>
      </c>
      <c r="D2871" s="29"/>
      <c r="E2871" s="29"/>
      <c r="F2871" s="29" t="s">
        <v>87</v>
      </c>
      <c r="G2871" s="29" t="s">
        <v>1039</v>
      </c>
      <c r="H2871" s="29" t="s">
        <v>38</v>
      </c>
      <c r="I2871" s="120">
        <v>45939</v>
      </c>
      <c r="J2871" s="120">
        <f>WORKDAY(I2871, 3)</f>
        <v>45944</v>
      </c>
      <c r="K2871" s="120">
        <v>45970</v>
      </c>
      <c r="L2871" s="120"/>
      <c r="M2871" s="120"/>
      <c r="N2871" s="29"/>
      <c r="O2871" s="119" t="s">
        <v>170</v>
      </c>
      <c r="P2871" s="120"/>
      <c r="Q2871" s="156"/>
      <c r="R2871" s="162"/>
    </row>
    <row r="2872" spans="1:18" hidden="1">
      <c r="A2872" s="134" t="s">
        <v>1436</v>
      </c>
      <c r="C2872" s="29">
        <v>282501673</v>
      </c>
      <c r="D2872" s="29"/>
      <c r="E2872" s="29"/>
      <c r="F2872" s="29" t="s">
        <v>87</v>
      </c>
      <c r="G2872" s="29" t="s">
        <v>1039</v>
      </c>
      <c r="H2872" s="29" t="s">
        <v>38</v>
      </c>
      <c r="I2872" s="120">
        <v>45939</v>
      </c>
      <c r="J2872" s="120">
        <f>WORKDAY(I2872, 3)</f>
        <v>45944</v>
      </c>
      <c r="K2872" s="120">
        <v>45970</v>
      </c>
      <c r="L2872" s="120"/>
      <c r="M2872" s="120"/>
      <c r="N2872" s="29"/>
      <c r="O2872" s="119" t="s">
        <v>170</v>
      </c>
      <c r="P2872" s="120"/>
      <c r="Q2872" s="156"/>
      <c r="R2872" s="162"/>
    </row>
    <row r="2873" spans="1:18" hidden="1">
      <c r="A2873" s="134" t="s">
        <v>1436</v>
      </c>
      <c r="C2873" s="29">
        <v>282501693</v>
      </c>
      <c r="D2873" s="29"/>
      <c r="E2873" s="29"/>
      <c r="F2873" s="29" t="s">
        <v>87</v>
      </c>
      <c r="G2873" s="29" t="s">
        <v>1039</v>
      </c>
      <c r="H2873" s="29" t="s">
        <v>38</v>
      </c>
      <c r="I2873" s="120">
        <v>45939</v>
      </c>
      <c r="J2873" s="120">
        <f>WORKDAY(I2873, 3)</f>
        <v>45944</v>
      </c>
      <c r="K2873" s="120">
        <v>45970</v>
      </c>
      <c r="L2873" s="120"/>
      <c r="M2873" s="120"/>
      <c r="N2873" s="29"/>
      <c r="O2873" s="119" t="s">
        <v>170</v>
      </c>
      <c r="P2873" s="120"/>
      <c r="Q2873" s="156"/>
      <c r="R2873" s="162"/>
    </row>
    <row r="2874" spans="1:18" hidden="1">
      <c r="A2874" s="134" t="s">
        <v>1436</v>
      </c>
      <c r="C2874" s="29">
        <v>282501708</v>
      </c>
      <c r="D2874" s="29"/>
      <c r="E2874" s="29"/>
      <c r="F2874" s="29" t="s">
        <v>87</v>
      </c>
      <c r="G2874" s="29" t="s">
        <v>1039</v>
      </c>
      <c r="H2874" s="29" t="s">
        <v>38</v>
      </c>
      <c r="I2874" s="120">
        <v>45939</v>
      </c>
      <c r="J2874" s="120">
        <f>WORKDAY(I2874, 3)</f>
        <v>45944</v>
      </c>
      <c r="K2874" s="120">
        <v>45970</v>
      </c>
      <c r="L2874" s="120"/>
      <c r="M2874" s="120"/>
      <c r="N2874" s="29"/>
      <c r="O2874" s="119" t="s">
        <v>170</v>
      </c>
      <c r="P2874" s="120"/>
      <c r="Q2874" s="156"/>
      <c r="R2874" s="162"/>
    </row>
    <row r="2875" spans="1:18" hidden="1">
      <c r="A2875" s="134" t="s">
        <v>1437</v>
      </c>
      <c r="C2875" s="29">
        <v>281502912</v>
      </c>
      <c r="D2875" s="29"/>
      <c r="E2875" s="29"/>
      <c r="F2875" s="29" t="s">
        <v>87</v>
      </c>
      <c r="G2875" s="29" t="s">
        <v>1039</v>
      </c>
      <c r="H2875" s="29" t="s">
        <v>38</v>
      </c>
      <c r="I2875" s="120">
        <v>45938</v>
      </c>
      <c r="J2875" s="120">
        <f>WORKDAY(I2875, 3)</f>
        <v>45943</v>
      </c>
      <c r="K2875" s="120">
        <v>45969</v>
      </c>
      <c r="L2875" s="120"/>
      <c r="M2875" s="120"/>
      <c r="N2875" s="29"/>
      <c r="O2875" s="119" t="s">
        <v>170</v>
      </c>
      <c r="P2875" s="120"/>
      <c r="Q2875" s="156"/>
      <c r="R2875" s="162"/>
    </row>
    <row r="2876" spans="1:18" hidden="1">
      <c r="A2876" s="134" t="s">
        <v>1437</v>
      </c>
      <c r="C2876" s="29">
        <v>281504002</v>
      </c>
      <c r="D2876" s="29"/>
      <c r="E2876" s="29"/>
      <c r="F2876" s="29" t="s">
        <v>87</v>
      </c>
      <c r="G2876" s="29" t="s">
        <v>1039</v>
      </c>
      <c r="H2876" s="29" t="s">
        <v>38</v>
      </c>
      <c r="I2876" s="120">
        <v>45938</v>
      </c>
      <c r="J2876" s="120">
        <f>WORKDAY(I2876, 3)</f>
        <v>45943</v>
      </c>
      <c r="K2876" s="120">
        <v>45969</v>
      </c>
      <c r="L2876" s="120"/>
      <c r="M2876" s="120"/>
      <c r="N2876" s="29"/>
      <c r="O2876" s="119" t="s">
        <v>170</v>
      </c>
      <c r="P2876" s="120"/>
      <c r="Q2876" s="156"/>
      <c r="R2876" s="162"/>
    </row>
    <row r="2877" spans="1:18" hidden="1">
      <c r="A2877" s="134" t="s">
        <v>1437</v>
      </c>
      <c r="C2877" s="29">
        <v>281503991</v>
      </c>
      <c r="D2877" s="29"/>
      <c r="E2877" s="29"/>
      <c r="F2877" s="29" t="s">
        <v>87</v>
      </c>
      <c r="G2877" s="29" t="s">
        <v>1039</v>
      </c>
      <c r="H2877" s="29" t="s">
        <v>38</v>
      </c>
      <c r="I2877" s="120">
        <v>45938</v>
      </c>
      <c r="J2877" s="120">
        <f>WORKDAY(I2877, 3)</f>
        <v>45943</v>
      </c>
      <c r="K2877" s="120">
        <v>45969</v>
      </c>
      <c r="L2877" s="120"/>
      <c r="M2877" s="120"/>
      <c r="N2877" s="29"/>
      <c r="O2877" s="119" t="s">
        <v>170</v>
      </c>
      <c r="P2877" s="120"/>
      <c r="Q2877" s="156"/>
      <c r="R2877" s="162"/>
    </row>
    <row r="2878" spans="1:18" hidden="1">
      <c r="A2878" s="134" t="s">
        <v>1437</v>
      </c>
      <c r="C2878" s="29">
        <v>281503976</v>
      </c>
      <c r="D2878" s="29"/>
      <c r="E2878" s="29"/>
      <c r="F2878" s="29" t="s">
        <v>87</v>
      </c>
      <c r="G2878" s="29" t="s">
        <v>1039</v>
      </c>
      <c r="H2878" s="29" t="s">
        <v>38</v>
      </c>
      <c r="I2878" s="120">
        <v>45938</v>
      </c>
      <c r="J2878" s="120">
        <f>WORKDAY(I2878, 3)</f>
        <v>45943</v>
      </c>
      <c r="K2878" s="120">
        <v>45969</v>
      </c>
      <c r="L2878" s="120"/>
      <c r="M2878" s="120"/>
      <c r="N2878" s="29"/>
      <c r="O2878" s="119" t="s">
        <v>170</v>
      </c>
      <c r="P2878" s="120"/>
      <c r="Q2878" s="156"/>
      <c r="R2878" s="162"/>
    </row>
    <row r="2879" spans="1:18" hidden="1">
      <c r="A2879" s="134" t="s">
        <v>1437</v>
      </c>
      <c r="C2879" s="29">
        <v>281503840</v>
      </c>
      <c r="D2879" s="29"/>
      <c r="E2879" s="29"/>
      <c r="F2879" s="29" t="s">
        <v>87</v>
      </c>
      <c r="G2879" s="29" t="s">
        <v>1039</v>
      </c>
      <c r="H2879" s="29" t="s">
        <v>38</v>
      </c>
      <c r="I2879" s="120">
        <v>45938</v>
      </c>
      <c r="J2879" s="120">
        <f>WORKDAY(I2879, 3)</f>
        <v>45943</v>
      </c>
      <c r="K2879" s="120">
        <v>45969</v>
      </c>
      <c r="L2879" s="120"/>
      <c r="M2879" s="120"/>
      <c r="N2879" s="29"/>
      <c r="O2879" s="119" t="s">
        <v>170</v>
      </c>
      <c r="P2879" s="120"/>
      <c r="Q2879" s="156"/>
      <c r="R2879" s="162"/>
    </row>
    <row r="2880" spans="1:18" hidden="1">
      <c r="A2880" s="134" t="s">
        <v>1437</v>
      </c>
      <c r="C2880" s="29">
        <v>281503852</v>
      </c>
      <c r="D2880" s="29"/>
      <c r="E2880" s="29"/>
      <c r="F2880" s="29" t="s">
        <v>87</v>
      </c>
      <c r="G2880" s="29" t="s">
        <v>1039</v>
      </c>
      <c r="H2880" s="29" t="s">
        <v>38</v>
      </c>
      <c r="I2880" s="120">
        <v>45938</v>
      </c>
      <c r="J2880" s="120">
        <f>WORKDAY(I2880, 3)</f>
        <v>45943</v>
      </c>
      <c r="K2880" s="120">
        <v>45969</v>
      </c>
      <c r="L2880" s="120"/>
      <c r="M2880" s="120"/>
      <c r="N2880" s="29"/>
      <c r="O2880" s="119" t="s">
        <v>170</v>
      </c>
      <c r="P2880" s="120"/>
      <c r="Q2880" s="156"/>
      <c r="R2880" s="162"/>
    </row>
    <row r="2881" spans="1:18" hidden="1">
      <c r="A2881" s="134" t="s">
        <v>1437</v>
      </c>
      <c r="C2881" s="29">
        <v>281503855</v>
      </c>
      <c r="D2881" s="29"/>
      <c r="E2881" s="29"/>
      <c r="F2881" s="29" t="s">
        <v>87</v>
      </c>
      <c r="G2881" s="29" t="s">
        <v>1039</v>
      </c>
      <c r="H2881" s="29" t="s">
        <v>38</v>
      </c>
      <c r="I2881" s="120">
        <v>45938</v>
      </c>
      <c r="J2881" s="120">
        <f>WORKDAY(I2881, 3)</f>
        <v>45943</v>
      </c>
      <c r="K2881" s="120">
        <v>45969</v>
      </c>
      <c r="L2881" s="120"/>
      <c r="M2881" s="120"/>
      <c r="N2881" s="29"/>
      <c r="O2881" s="119" t="s">
        <v>170</v>
      </c>
      <c r="P2881" s="120"/>
      <c r="Q2881" s="156"/>
      <c r="R2881" s="162"/>
    </row>
    <row r="2882" spans="1:18" hidden="1">
      <c r="A2882" s="134" t="s">
        <v>1437</v>
      </c>
      <c r="C2882" s="29">
        <v>281503879</v>
      </c>
      <c r="D2882" s="29"/>
      <c r="E2882" s="29"/>
      <c r="F2882" s="29" t="s">
        <v>87</v>
      </c>
      <c r="G2882" s="29" t="s">
        <v>1039</v>
      </c>
      <c r="H2882" s="29" t="s">
        <v>38</v>
      </c>
      <c r="I2882" s="120">
        <v>45938</v>
      </c>
      <c r="J2882" s="120">
        <f>WORKDAY(I2882, 3)</f>
        <v>45943</v>
      </c>
      <c r="K2882" s="120">
        <v>45969</v>
      </c>
      <c r="L2882" s="120"/>
      <c r="M2882" s="120"/>
      <c r="N2882" s="29"/>
      <c r="O2882" s="119" t="s">
        <v>170</v>
      </c>
      <c r="P2882" s="120"/>
      <c r="Q2882" s="156"/>
      <c r="R2882" s="162"/>
    </row>
    <row r="2883" spans="1:18" hidden="1">
      <c r="A2883" s="134" t="s">
        <v>1437</v>
      </c>
      <c r="C2883" s="29">
        <v>281503891</v>
      </c>
      <c r="D2883" s="29"/>
      <c r="E2883" s="29"/>
      <c r="F2883" s="29" t="s">
        <v>87</v>
      </c>
      <c r="G2883" s="29" t="s">
        <v>1039</v>
      </c>
      <c r="H2883" s="29" t="s">
        <v>38</v>
      </c>
      <c r="I2883" s="120">
        <v>45938</v>
      </c>
      <c r="J2883" s="120">
        <f>WORKDAY(I2883, 3)</f>
        <v>45943</v>
      </c>
      <c r="K2883" s="120">
        <v>45969</v>
      </c>
      <c r="L2883" s="120"/>
      <c r="M2883" s="120"/>
      <c r="N2883" s="29"/>
      <c r="O2883" s="119" t="s">
        <v>170</v>
      </c>
      <c r="P2883" s="120"/>
      <c r="Q2883" s="156"/>
      <c r="R2883" s="162"/>
    </row>
    <row r="2884" spans="1:18" hidden="1">
      <c r="A2884" s="134" t="s">
        <v>1437</v>
      </c>
      <c r="C2884" s="29">
        <v>281503907</v>
      </c>
      <c r="D2884" s="29"/>
      <c r="E2884" s="29"/>
      <c r="F2884" s="29" t="s">
        <v>87</v>
      </c>
      <c r="G2884" s="29" t="s">
        <v>1039</v>
      </c>
      <c r="H2884" s="29" t="s">
        <v>38</v>
      </c>
      <c r="I2884" s="120">
        <v>45938</v>
      </c>
      <c r="J2884" s="120">
        <f>WORKDAY(I2884, 3)</f>
        <v>45943</v>
      </c>
      <c r="K2884" s="120">
        <v>45969</v>
      </c>
      <c r="L2884" s="120"/>
      <c r="M2884" s="120"/>
      <c r="N2884" s="29"/>
      <c r="O2884" s="119" t="s">
        <v>170</v>
      </c>
      <c r="P2884" s="120"/>
      <c r="Q2884" s="156"/>
      <c r="R2884" s="162"/>
    </row>
    <row r="2885" spans="1:18" hidden="1">
      <c r="A2885" s="134" t="s">
        <v>1437</v>
      </c>
      <c r="C2885" s="29">
        <v>281503924</v>
      </c>
      <c r="D2885" s="29"/>
      <c r="E2885" s="29"/>
      <c r="F2885" s="29" t="s">
        <v>87</v>
      </c>
      <c r="G2885" s="29" t="s">
        <v>1039</v>
      </c>
      <c r="H2885" s="29" t="s">
        <v>38</v>
      </c>
      <c r="I2885" s="120">
        <v>45938</v>
      </c>
      <c r="J2885" s="120">
        <f>WORKDAY(I2885, 3)</f>
        <v>45943</v>
      </c>
      <c r="K2885" s="120">
        <v>45969</v>
      </c>
      <c r="L2885" s="120"/>
      <c r="M2885" s="120"/>
      <c r="N2885" s="29"/>
      <c r="O2885" s="119" t="s">
        <v>170</v>
      </c>
      <c r="P2885" s="120"/>
      <c r="Q2885" s="156"/>
      <c r="R2885" s="162"/>
    </row>
    <row r="2886" spans="1:18" hidden="1">
      <c r="A2886" s="134" t="s">
        <v>1437</v>
      </c>
      <c r="C2886" s="29">
        <v>281503941</v>
      </c>
      <c r="D2886" s="29"/>
      <c r="E2886" s="29"/>
      <c r="F2886" s="29" t="s">
        <v>87</v>
      </c>
      <c r="G2886" s="29" t="s">
        <v>1039</v>
      </c>
      <c r="H2886" s="29" t="s">
        <v>38</v>
      </c>
      <c r="I2886" s="120">
        <v>45938</v>
      </c>
      <c r="J2886" s="120">
        <f>WORKDAY(I2886, 3)</f>
        <v>45943</v>
      </c>
      <c r="K2886" s="120">
        <v>45969</v>
      </c>
      <c r="L2886" s="120"/>
      <c r="M2886" s="120"/>
      <c r="N2886" s="29"/>
      <c r="O2886" s="119" t="s">
        <v>170</v>
      </c>
      <c r="P2886" s="120"/>
      <c r="Q2886" s="156"/>
      <c r="R2886" s="162"/>
    </row>
    <row r="2887" spans="1:18" hidden="1">
      <c r="A2887" s="134" t="s">
        <v>1437</v>
      </c>
      <c r="C2887" s="29">
        <v>281503954</v>
      </c>
      <c r="D2887" s="29"/>
      <c r="E2887" s="29"/>
      <c r="F2887" s="29" t="s">
        <v>87</v>
      </c>
      <c r="G2887" s="29" t="s">
        <v>1039</v>
      </c>
      <c r="H2887" s="29" t="s">
        <v>38</v>
      </c>
      <c r="I2887" s="120">
        <v>45938</v>
      </c>
      <c r="J2887" s="120">
        <f>WORKDAY(I2887, 3)</f>
        <v>45943</v>
      </c>
      <c r="K2887" s="120">
        <v>45969</v>
      </c>
      <c r="L2887" s="120"/>
      <c r="M2887" s="120"/>
      <c r="N2887" s="29"/>
      <c r="O2887" s="119" t="s">
        <v>170</v>
      </c>
      <c r="P2887" s="120"/>
      <c r="Q2887" s="156"/>
      <c r="R2887" s="162"/>
    </row>
    <row r="2888" spans="1:18" hidden="1">
      <c r="A2888" s="134" t="s">
        <v>1437</v>
      </c>
      <c r="C2888" s="29">
        <v>281503964</v>
      </c>
      <c r="D2888" s="29"/>
      <c r="E2888" s="29"/>
      <c r="F2888" s="29" t="s">
        <v>87</v>
      </c>
      <c r="G2888" s="29" t="s">
        <v>1039</v>
      </c>
      <c r="H2888" s="29" t="s">
        <v>38</v>
      </c>
      <c r="I2888" s="120">
        <v>45938</v>
      </c>
      <c r="J2888" s="120">
        <f>WORKDAY(I2888, 3)</f>
        <v>45943</v>
      </c>
      <c r="K2888" s="120">
        <v>45969</v>
      </c>
      <c r="L2888" s="120"/>
      <c r="M2888" s="120"/>
      <c r="N2888" s="29"/>
      <c r="O2888" s="119" t="s">
        <v>170</v>
      </c>
      <c r="P2888" s="120"/>
      <c r="Q2888" s="156"/>
      <c r="R2888" s="162"/>
    </row>
    <row r="2889" spans="1:18" hidden="1">
      <c r="A2889" s="134" t="s">
        <v>1437</v>
      </c>
      <c r="C2889" s="29">
        <v>281503372</v>
      </c>
      <c r="D2889" s="29"/>
      <c r="E2889" s="29"/>
      <c r="F2889" s="29" t="s">
        <v>87</v>
      </c>
      <c r="G2889" s="29" t="s">
        <v>1039</v>
      </c>
      <c r="H2889" s="29" t="s">
        <v>38</v>
      </c>
      <c r="I2889" s="120">
        <v>45938</v>
      </c>
      <c r="J2889" s="120">
        <f>WORKDAY(I2889, 3)</f>
        <v>45943</v>
      </c>
      <c r="K2889" s="120">
        <v>45969</v>
      </c>
      <c r="L2889" s="120"/>
      <c r="M2889" s="120"/>
      <c r="N2889" s="29"/>
      <c r="O2889" s="119" t="s">
        <v>170</v>
      </c>
      <c r="P2889" s="120"/>
      <c r="Q2889" s="156"/>
      <c r="R2889" s="162"/>
    </row>
    <row r="2890" spans="1:18" hidden="1">
      <c r="A2890" s="134" t="s">
        <v>1437</v>
      </c>
      <c r="C2890" s="29">
        <v>281503396</v>
      </c>
      <c r="D2890" s="29"/>
      <c r="E2890" s="29"/>
      <c r="F2890" s="29" t="s">
        <v>87</v>
      </c>
      <c r="G2890" s="29" t="s">
        <v>1039</v>
      </c>
      <c r="H2890" s="29" t="s">
        <v>38</v>
      </c>
      <c r="I2890" s="120">
        <v>45938</v>
      </c>
      <c r="J2890" s="120">
        <f>WORKDAY(I2890, 3)</f>
        <v>45943</v>
      </c>
      <c r="K2890" s="120">
        <v>45969</v>
      </c>
      <c r="L2890" s="120"/>
      <c r="M2890" s="120"/>
      <c r="N2890" s="29"/>
      <c r="O2890" s="119" t="s">
        <v>170</v>
      </c>
      <c r="P2890" s="120"/>
      <c r="Q2890" s="156"/>
      <c r="R2890" s="162"/>
    </row>
    <row r="2891" spans="1:18" hidden="1">
      <c r="A2891" s="134" t="s">
        <v>1437</v>
      </c>
      <c r="C2891" s="29">
        <v>281503422</v>
      </c>
      <c r="D2891" s="29"/>
      <c r="E2891" s="29"/>
      <c r="F2891" s="29" t="s">
        <v>87</v>
      </c>
      <c r="G2891" s="29" t="s">
        <v>1039</v>
      </c>
      <c r="H2891" s="29" t="s">
        <v>38</v>
      </c>
      <c r="I2891" s="120">
        <v>45938</v>
      </c>
      <c r="J2891" s="120">
        <f>WORKDAY(I2891, 3)</f>
        <v>45943</v>
      </c>
      <c r="K2891" s="120">
        <v>45969</v>
      </c>
      <c r="L2891" s="120"/>
      <c r="M2891" s="120"/>
      <c r="N2891" s="29"/>
      <c r="O2891" s="119" t="s">
        <v>170</v>
      </c>
      <c r="P2891" s="120"/>
      <c r="Q2891" s="156"/>
      <c r="R2891" s="162"/>
    </row>
    <row r="2892" spans="1:18" hidden="1">
      <c r="A2892" s="134" t="s">
        <v>1437</v>
      </c>
      <c r="C2892" s="29">
        <v>281503471</v>
      </c>
      <c r="D2892" s="29"/>
      <c r="E2892" s="29"/>
      <c r="F2892" s="29" t="s">
        <v>87</v>
      </c>
      <c r="G2892" s="29" t="s">
        <v>1039</v>
      </c>
      <c r="H2892" s="29" t="s">
        <v>38</v>
      </c>
      <c r="I2892" s="120">
        <v>45938</v>
      </c>
      <c r="J2892" s="120">
        <f>WORKDAY(I2892, 3)</f>
        <v>45943</v>
      </c>
      <c r="K2892" s="120">
        <v>45969</v>
      </c>
      <c r="L2892" s="120"/>
      <c r="M2892" s="120"/>
      <c r="N2892" s="29"/>
      <c r="O2892" s="119" t="s">
        <v>170</v>
      </c>
      <c r="P2892" s="120"/>
      <c r="Q2892" s="156"/>
      <c r="R2892" s="162"/>
    </row>
    <row r="2893" spans="1:18" hidden="1">
      <c r="A2893" s="134" t="s">
        <v>1437</v>
      </c>
      <c r="C2893" s="29">
        <v>281503500</v>
      </c>
      <c r="D2893" s="29"/>
      <c r="E2893" s="29"/>
      <c r="F2893" s="29" t="s">
        <v>87</v>
      </c>
      <c r="G2893" s="29" t="s">
        <v>1039</v>
      </c>
      <c r="H2893" s="29" t="s">
        <v>38</v>
      </c>
      <c r="I2893" s="120">
        <v>45938</v>
      </c>
      <c r="J2893" s="120">
        <f>WORKDAY(I2893, 3)</f>
        <v>45943</v>
      </c>
      <c r="K2893" s="120">
        <v>45969</v>
      </c>
      <c r="L2893" s="120"/>
      <c r="M2893" s="120"/>
      <c r="N2893" s="29"/>
      <c r="O2893" s="119" t="s">
        <v>170</v>
      </c>
      <c r="P2893" s="120"/>
      <c r="Q2893" s="156"/>
      <c r="R2893" s="162"/>
    </row>
    <row r="2894" spans="1:18" hidden="1">
      <c r="A2894" s="134" t="s">
        <v>1437</v>
      </c>
      <c r="C2894" s="29">
        <v>281503513</v>
      </c>
      <c r="D2894" s="29"/>
      <c r="E2894" s="29"/>
      <c r="F2894" s="29" t="s">
        <v>87</v>
      </c>
      <c r="G2894" s="29" t="s">
        <v>1039</v>
      </c>
      <c r="H2894" s="29" t="s">
        <v>38</v>
      </c>
      <c r="I2894" s="120">
        <v>45938</v>
      </c>
      <c r="J2894" s="120">
        <f>WORKDAY(I2894, 3)</f>
        <v>45943</v>
      </c>
      <c r="K2894" s="120">
        <v>45969</v>
      </c>
      <c r="L2894" s="120"/>
      <c r="M2894" s="120"/>
      <c r="N2894" s="29"/>
      <c r="O2894" s="119" t="s">
        <v>170</v>
      </c>
      <c r="P2894" s="120"/>
      <c r="Q2894" s="156"/>
      <c r="R2894" s="162"/>
    </row>
    <row r="2895" spans="1:18" hidden="1">
      <c r="A2895" s="134" t="s">
        <v>1437</v>
      </c>
      <c r="C2895" s="29">
        <v>281503519</v>
      </c>
      <c r="D2895" s="29"/>
      <c r="E2895" s="29"/>
      <c r="F2895" s="29" t="s">
        <v>87</v>
      </c>
      <c r="G2895" s="29" t="s">
        <v>1039</v>
      </c>
      <c r="H2895" s="29" t="s">
        <v>38</v>
      </c>
      <c r="I2895" s="120">
        <v>45938</v>
      </c>
      <c r="J2895" s="120">
        <f>WORKDAY(I2895, 3)</f>
        <v>45943</v>
      </c>
      <c r="K2895" s="120">
        <v>45969</v>
      </c>
      <c r="L2895" s="120"/>
      <c r="M2895" s="120"/>
      <c r="N2895" s="29"/>
      <c r="O2895" s="119" t="s">
        <v>170</v>
      </c>
      <c r="P2895" s="120"/>
      <c r="Q2895" s="156"/>
      <c r="R2895" s="162"/>
    </row>
    <row r="2896" spans="1:18" hidden="1">
      <c r="A2896" s="134" t="s">
        <v>1437</v>
      </c>
      <c r="C2896" s="29">
        <v>281503810</v>
      </c>
      <c r="D2896" s="29"/>
      <c r="E2896" s="29"/>
      <c r="F2896" s="29" t="s">
        <v>87</v>
      </c>
      <c r="G2896" s="29" t="s">
        <v>1039</v>
      </c>
      <c r="H2896" s="29" t="s">
        <v>38</v>
      </c>
      <c r="I2896" s="120">
        <v>45938</v>
      </c>
      <c r="J2896" s="120">
        <f>WORKDAY(I2896, 3)</f>
        <v>45943</v>
      </c>
      <c r="K2896" s="120">
        <v>45969</v>
      </c>
      <c r="L2896" s="120"/>
      <c r="M2896" s="120"/>
      <c r="N2896" s="29"/>
      <c r="O2896" s="119" t="s">
        <v>170</v>
      </c>
      <c r="P2896" s="120"/>
      <c r="Q2896" s="156"/>
      <c r="R2896" s="162"/>
    </row>
    <row r="2897" spans="1:18" hidden="1">
      <c r="A2897" s="134" t="s">
        <v>1437</v>
      </c>
      <c r="C2897" s="29">
        <v>281503826</v>
      </c>
      <c r="D2897" s="29"/>
      <c r="E2897" s="29"/>
      <c r="F2897" s="29" t="s">
        <v>87</v>
      </c>
      <c r="G2897" s="29" t="s">
        <v>1039</v>
      </c>
      <c r="H2897" s="29" t="s">
        <v>38</v>
      </c>
      <c r="I2897" s="120">
        <v>45938</v>
      </c>
      <c r="J2897" s="120">
        <f>WORKDAY(I2897, 3)</f>
        <v>45943</v>
      </c>
      <c r="K2897" s="120">
        <v>45969</v>
      </c>
      <c r="L2897" s="120"/>
      <c r="M2897" s="120"/>
      <c r="N2897" s="29"/>
      <c r="O2897" s="119" t="s">
        <v>170</v>
      </c>
      <c r="P2897" s="120"/>
      <c r="Q2897" s="156"/>
      <c r="R2897" s="162"/>
    </row>
    <row r="2898" spans="1:18" hidden="1">
      <c r="A2898" s="134" t="s">
        <v>1437</v>
      </c>
      <c r="C2898" s="29">
        <v>281503061</v>
      </c>
      <c r="D2898" s="29"/>
      <c r="E2898" s="29"/>
      <c r="F2898" s="29" t="s">
        <v>87</v>
      </c>
      <c r="G2898" s="29" t="s">
        <v>1039</v>
      </c>
      <c r="H2898" s="29" t="s">
        <v>38</v>
      </c>
      <c r="I2898" s="120">
        <v>45938</v>
      </c>
      <c r="J2898" s="120">
        <f>WORKDAY(I2898, 3)</f>
        <v>45943</v>
      </c>
      <c r="K2898" s="120">
        <v>45969</v>
      </c>
      <c r="L2898" s="120"/>
      <c r="M2898" s="120"/>
      <c r="N2898" s="29"/>
      <c r="O2898" s="119" t="s">
        <v>170</v>
      </c>
      <c r="P2898" s="120"/>
      <c r="Q2898" s="156"/>
      <c r="R2898" s="162"/>
    </row>
    <row r="2899" spans="1:18" hidden="1">
      <c r="A2899" s="134" t="s">
        <v>1437</v>
      </c>
      <c r="C2899" s="29">
        <v>281503070</v>
      </c>
      <c r="D2899" s="29"/>
      <c r="E2899" s="29"/>
      <c r="F2899" s="29" t="s">
        <v>87</v>
      </c>
      <c r="G2899" s="29" t="s">
        <v>1039</v>
      </c>
      <c r="H2899" s="29" t="s">
        <v>38</v>
      </c>
      <c r="I2899" s="120">
        <v>45938</v>
      </c>
      <c r="J2899" s="120">
        <f>WORKDAY(I2899, 3)</f>
        <v>45943</v>
      </c>
      <c r="K2899" s="120">
        <v>45969</v>
      </c>
      <c r="L2899" s="120"/>
      <c r="M2899" s="120"/>
      <c r="N2899" s="29"/>
      <c r="O2899" s="119" t="s">
        <v>170</v>
      </c>
      <c r="P2899" s="120"/>
      <c r="Q2899" s="156"/>
      <c r="R2899" s="162"/>
    </row>
    <row r="2900" spans="1:18" hidden="1">
      <c r="A2900" s="134" t="s">
        <v>1437</v>
      </c>
      <c r="C2900" s="29">
        <v>281503079</v>
      </c>
      <c r="D2900" s="29"/>
      <c r="E2900" s="29"/>
      <c r="F2900" s="29" t="s">
        <v>87</v>
      </c>
      <c r="G2900" s="29" t="s">
        <v>1039</v>
      </c>
      <c r="H2900" s="29" t="s">
        <v>38</v>
      </c>
      <c r="I2900" s="120">
        <v>45938</v>
      </c>
      <c r="J2900" s="120">
        <f>WORKDAY(I2900, 3)</f>
        <v>45943</v>
      </c>
      <c r="K2900" s="120">
        <v>45969</v>
      </c>
      <c r="L2900" s="120"/>
      <c r="M2900" s="120"/>
      <c r="N2900" s="29"/>
      <c r="O2900" s="119" t="s">
        <v>170</v>
      </c>
      <c r="P2900" s="120"/>
      <c r="Q2900" s="156"/>
      <c r="R2900" s="162"/>
    </row>
    <row r="2901" spans="1:18" hidden="1">
      <c r="A2901" s="134" t="s">
        <v>1437</v>
      </c>
      <c r="C2901" s="29">
        <v>281503095</v>
      </c>
      <c r="D2901" s="29"/>
      <c r="E2901" s="29"/>
      <c r="F2901" s="29" t="s">
        <v>87</v>
      </c>
      <c r="G2901" s="29" t="s">
        <v>1039</v>
      </c>
      <c r="H2901" s="29" t="s">
        <v>38</v>
      </c>
      <c r="I2901" s="120">
        <v>45938</v>
      </c>
      <c r="J2901" s="120">
        <f>WORKDAY(I2901, 3)</f>
        <v>45943</v>
      </c>
      <c r="K2901" s="120">
        <v>45969</v>
      </c>
      <c r="L2901" s="120"/>
      <c r="M2901" s="120"/>
      <c r="N2901" s="29"/>
      <c r="O2901" s="119" t="s">
        <v>170</v>
      </c>
      <c r="P2901" s="120"/>
      <c r="Q2901" s="156"/>
      <c r="R2901" s="162"/>
    </row>
    <row r="2902" spans="1:18" hidden="1">
      <c r="A2902" s="134" t="s">
        <v>1437</v>
      </c>
      <c r="C2902" s="29">
        <v>281503103</v>
      </c>
      <c r="D2902" s="29"/>
      <c r="E2902" s="29"/>
      <c r="F2902" s="29" t="s">
        <v>87</v>
      </c>
      <c r="G2902" s="29" t="s">
        <v>1039</v>
      </c>
      <c r="H2902" s="29" t="s">
        <v>38</v>
      </c>
      <c r="I2902" s="120">
        <v>45938</v>
      </c>
      <c r="J2902" s="120">
        <f>WORKDAY(I2902, 3)</f>
        <v>45943</v>
      </c>
      <c r="K2902" s="120">
        <v>45969</v>
      </c>
      <c r="L2902" s="120"/>
      <c r="M2902" s="120"/>
      <c r="N2902" s="29"/>
      <c r="O2902" s="119" t="s">
        <v>170</v>
      </c>
      <c r="P2902" s="120"/>
      <c r="Q2902" s="156"/>
      <c r="R2902" s="162"/>
    </row>
    <row r="2903" spans="1:18" hidden="1">
      <c r="A2903" s="134" t="s">
        <v>1437</v>
      </c>
      <c r="C2903" s="29">
        <v>281503114</v>
      </c>
      <c r="D2903" s="29"/>
      <c r="E2903" s="29"/>
      <c r="F2903" s="29" t="s">
        <v>87</v>
      </c>
      <c r="G2903" s="29" t="s">
        <v>1039</v>
      </c>
      <c r="H2903" s="29" t="s">
        <v>38</v>
      </c>
      <c r="I2903" s="120">
        <v>45938</v>
      </c>
      <c r="J2903" s="120">
        <f>WORKDAY(I2903, 3)</f>
        <v>45943</v>
      </c>
      <c r="K2903" s="120">
        <v>45969</v>
      </c>
      <c r="L2903" s="120"/>
      <c r="M2903" s="120"/>
      <c r="N2903" s="29"/>
      <c r="O2903" s="119" t="s">
        <v>170</v>
      </c>
      <c r="P2903" s="120"/>
      <c r="Q2903" s="156"/>
      <c r="R2903" s="162"/>
    </row>
    <row r="2904" spans="1:18" hidden="1">
      <c r="A2904" s="134" t="s">
        <v>1437</v>
      </c>
      <c r="C2904" s="29">
        <v>281503221</v>
      </c>
      <c r="D2904" s="29"/>
      <c r="E2904" s="29"/>
      <c r="F2904" s="29" t="s">
        <v>87</v>
      </c>
      <c r="G2904" s="29" t="s">
        <v>1039</v>
      </c>
      <c r="H2904" s="29" t="s">
        <v>38</v>
      </c>
      <c r="I2904" s="120">
        <v>45938</v>
      </c>
      <c r="J2904" s="120">
        <f>WORKDAY(I2904, 3)</f>
        <v>45943</v>
      </c>
      <c r="K2904" s="120">
        <v>45969</v>
      </c>
      <c r="L2904" s="120"/>
      <c r="M2904" s="120"/>
      <c r="N2904" s="29"/>
      <c r="O2904" s="119" t="s">
        <v>170</v>
      </c>
      <c r="P2904" s="120"/>
      <c r="Q2904" s="156"/>
      <c r="R2904" s="162"/>
    </row>
    <row r="2905" spans="1:18" hidden="1">
      <c r="A2905" s="134" t="s">
        <v>1437</v>
      </c>
      <c r="C2905" s="29">
        <v>281503241</v>
      </c>
      <c r="D2905" s="29"/>
      <c r="E2905" s="29"/>
      <c r="F2905" s="29" t="s">
        <v>87</v>
      </c>
      <c r="G2905" s="29" t="s">
        <v>1039</v>
      </c>
      <c r="H2905" s="29" t="s">
        <v>38</v>
      </c>
      <c r="I2905" s="120">
        <v>45938</v>
      </c>
      <c r="J2905" s="120">
        <f>WORKDAY(I2905, 3)</f>
        <v>45943</v>
      </c>
      <c r="K2905" s="120">
        <v>45969</v>
      </c>
      <c r="L2905" s="120"/>
      <c r="M2905" s="120"/>
      <c r="N2905" s="29"/>
      <c r="O2905" s="119" t="s">
        <v>170</v>
      </c>
      <c r="P2905" s="120"/>
      <c r="Q2905" s="156"/>
      <c r="R2905" s="162"/>
    </row>
    <row r="2906" spans="1:18" hidden="1">
      <c r="A2906" s="134" t="s">
        <v>1437</v>
      </c>
      <c r="C2906" s="29">
        <v>281503265</v>
      </c>
      <c r="D2906" s="29"/>
      <c r="E2906" s="29"/>
      <c r="F2906" s="29" t="s">
        <v>87</v>
      </c>
      <c r="G2906" s="29" t="s">
        <v>1039</v>
      </c>
      <c r="H2906" s="29" t="s">
        <v>38</v>
      </c>
      <c r="I2906" s="120">
        <v>45938</v>
      </c>
      <c r="J2906" s="120">
        <f>WORKDAY(I2906, 3)</f>
        <v>45943</v>
      </c>
      <c r="K2906" s="120">
        <v>45969</v>
      </c>
      <c r="L2906" s="120"/>
      <c r="M2906" s="120"/>
      <c r="N2906" s="29"/>
      <c r="O2906" s="119" t="s">
        <v>170</v>
      </c>
      <c r="P2906" s="120"/>
      <c r="Q2906" s="156"/>
      <c r="R2906" s="162"/>
    </row>
    <row r="2907" spans="1:18" hidden="1">
      <c r="A2907" s="134" t="s">
        <v>1437</v>
      </c>
      <c r="C2907" s="29">
        <v>281503331</v>
      </c>
      <c r="D2907" s="29"/>
      <c r="E2907" s="29"/>
      <c r="F2907" s="29" t="s">
        <v>87</v>
      </c>
      <c r="G2907" s="29" t="s">
        <v>1039</v>
      </c>
      <c r="H2907" s="29" t="s">
        <v>38</v>
      </c>
      <c r="I2907" s="120">
        <v>45938</v>
      </c>
      <c r="J2907" s="120">
        <f>WORKDAY(I2907, 3)</f>
        <v>45943</v>
      </c>
      <c r="K2907" s="120">
        <v>45969</v>
      </c>
      <c r="L2907" s="120"/>
      <c r="M2907" s="120"/>
      <c r="N2907" s="29"/>
      <c r="O2907" s="119" t="s">
        <v>170</v>
      </c>
      <c r="P2907" s="120"/>
      <c r="Q2907" s="156"/>
      <c r="R2907" s="162"/>
    </row>
    <row r="2908" spans="1:18" hidden="1">
      <c r="A2908" s="134" t="s">
        <v>1437</v>
      </c>
      <c r="C2908" s="29">
        <v>281503345</v>
      </c>
      <c r="D2908" s="29"/>
      <c r="E2908" s="29"/>
      <c r="F2908" s="29" t="s">
        <v>87</v>
      </c>
      <c r="G2908" s="29" t="s">
        <v>1039</v>
      </c>
      <c r="H2908" s="29" t="s">
        <v>38</v>
      </c>
      <c r="I2908" s="120">
        <v>45938</v>
      </c>
      <c r="J2908" s="120">
        <f>WORKDAY(I2908, 3)</f>
        <v>45943</v>
      </c>
      <c r="K2908" s="120">
        <v>45969</v>
      </c>
      <c r="L2908" s="120"/>
      <c r="M2908" s="120"/>
      <c r="N2908" s="29"/>
      <c r="O2908" s="119" t="s">
        <v>170</v>
      </c>
      <c r="P2908" s="120"/>
      <c r="Q2908" s="156"/>
      <c r="R2908" s="162"/>
    </row>
    <row r="2909" spans="1:18" hidden="1">
      <c r="A2909" s="134" t="s">
        <v>1437</v>
      </c>
      <c r="C2909" s="29">
        <v>281503036</v>
      </c>
      <c r="D2909" s="29"/>
      <c r="E2909" s="29"/>
      <c r="F2909" s="29" t="s">
        <v>87</v>
      </c>
      <c r="G2909" s="29" t="s">
        <v>1039</v>
      </c>
      <c r="H2909" s="29" t="s">
        <v>38</v>
      </c>
      <c r="I2909" s="120">
        <v>45938</v>
      </c>
      <c r="J2909" s="120">
        <f>WORKDAY(I2909, 3)</f>
        <v>45943</v>
      </c>
      <c r="K2909" s="120">
        <v>45969</v>
      </c>
      <c r="L2909" s="120"/>
      <c r="M2909" s="120"/>
      <c r="N2909" s="29"/>
      <c r="O2909" s="119" t="s">
        <v>170</v>
      </c>
      <c r="P2909" s="120"/>
      <c r="Q2909" s="156"/>
      <c r="R2909" s="162"/>
    </row>
    <row r="2910" spans="1:18" hidden="1">
      <c r="A2910" s="134" t="s">
        <v>1437</v>
      </c>
      <c r="C2910" s="29">
        <v>281503047</v>
      </c>
      <c r="D2910" s="29"/>
      <c r="E2910" s="29"/>
      <c r="F2910" s="29" t="s">
        <v>87</v>
      </c>
      <c r="G2910" s="29" t="s">
        <v>1039</v>
      </c>
      <c r="H2910" s="29" t="s">
        <v>38</v>
      </c>
      <c r="I2910" s="120">
        <v>45938</v>
      </c>
      <c r="J2910" s="120">
        <f>WORKDAY(I2910, 3)</f>
        <v>45943</v>
      </c>
      <c r="K2910" s="120">
        <v>45969</v>
      </c>
      <c r="L2910" s="120"/>
      <c r="M2910" s="120"/>
      <c r="N2910" s="29"/>
      <c r="O2910" s="119" t="s">
        <v>170</v>
      </c>
      <c r="P2910" s="120"/>
      <c r="Q2910" s="156"/>
      <c r="R2910" s="162"/>
    </row>
    <row r="2911" spans="1:18" hidden="1">
      <c r="A2911" s="134" t="s">
        <v>1437</v>
      </c>
      <c r="C2911" s="29">
        <v>281502994</v>
      </c>
      <c r="D2911" s="29"/>
      <c r="E2911" s="29"/>
      <c r="F2911" s="29" t="s">
        <v>87</v>
      </c>
      <c r="G2911" s="29" t="s">
        <v>1039</v>
      </c>
      <c r="H2911" s="29" t="s">
        <v>38</v>
      </c>
      <c r="I2911" s="120">
        <v>45938</v>
      </c>
      <c r="J2911" s="120">
        <f>WORKDAY(I2911, 3)</f>
        <v>45943</v>
      </c>
      <c r="K2911" s="120">
        <v>45969</v>
      </c>
      <c r="L2911" s="120"/>
      <c r="M2911" s="120"/>
      <c r="N2911" s="29"/>
      <c r="O2911" s="119" t="s">
        <v>170</v>
      </c>
      <c r="P2911" s="120"/>
      <c r="Q2911" s="156"/>
      <c r="R2911" s="162"/>
    </row>
    <row r="2912" spans="1:18" hidden="1">
      <c r="A2912" s="134" t="s">
        <v>1437</v>
      </c>
      <c r="C2912" s="29">
        <v>281503006</v>
      </c>
      <c r="D2912" s="29"/>
      <c r="E2912" s="29"/>
      <c r="F2912" s="29" t="s">
        <v>87</v>
      </c>
      <c r="G2912" s="29" t="s">
        <v>1039</v>
      </c>
      <c r="H2912" s="29" t="s">
        <v>38</v>
      </c>
      <c r="I2912" s="120">
        <v>45938</v>
      </c>
      <c r="J2912" s="120">
        <f>WORKDAY(I2912, 3)</f>
        <v>45943</v>
      </c>
      <c r="K2912" s="120">
        <v>45969</v>
      </c>
      <c r="L2912" s="120"/>
      <c r="M2912" s="120"/>
      <c r="N2912" s="29"/>
      <c r="O2912" s="119" t="s">
        <v>170</v>
      </c>
      <c r="P2912" s="120"/>
      <c r="Q2912" s="156"/>
      <c r="R2912" s="162"/>
    </row>
    <row r="2913" spans="1:18" hidden="1">
      <c r="A2913" s="134" t="s">
        <v>1437</v>
      </c>
      <c r="C2913" s="29">
        <v>281502963</v>
      </c>
      <c r="D2913" s="29"/>
      <c r="E2913" s="29"/>
      <c r="F2913" s="29" t="s">
        <v>87</v>
      </c>
      <c r="G2913" s="29" t="s">
        <v>1039</v>
      </c>
      <c r="H2913" s="29" t="s">
        <v>38</v>
      </c>
      <c r="I2913" s="120">
        <v>45938</v>
      </c>
      <c r="J2913" s="120">
        <f>WORKDAY(I2913, 3)</f>
        <v>45943</v>
      </c>
      <c r="K2913" s="120">
        <v>45969</v>
      </c>
      <c r="L2913" s="120"/>
      <c r="M2913" s="120"/>
      <c r="N2913" s="29"/>
      <c r="O2913" s="119" t="s">
        <v>170</v>
      </c>
      <c r="P2913" s="120"/>
      <c r="Q2913" s="156"/>
      <c r="R2913" s="162"/>
    </row>
    <row r="2914" spans="1:18" hidden="1">
      <c r="A2914" s="134" t="s">
        <v>1437</v>
      </c>
      <c r="C2914" s="29">
        <v>281502982</v>
      </c>
      <c r="D2914" s="29"/>
      <c r="E2914" s="29"/>
      <c r="F2914" s="29" t="s">
        <v>87</v>
      </c>
      <c r="G2914" s="29" t="s">
        <v>1039</v>
      </c>
      <c r="H2914" s="29" t="s">
        <v>38</v>
      </c>
      <c r="I2914" s="120">
        <v>45938</v>
      </c>
      <c r="J2914" s="120">
        <f>WORKDAY(I2914, 3)</f>
        <v>45943</v>
      </c>
      <c r="K2914" s="120">
        <v>45969</v>
      </c>
      <c r="L2914" s="120"/>
      <c r="M2914" s="120"/>
      <c r="N2914" s="29"/>
      <c r="O2914" s="119" t="s">
        <v>170</v>
      </c>
      <c r="P2914" s="120"/>
      <c r="Q2914" s="156"/>
      <c r="R2914" s="162"/>
    </row>
    <row r="2915" spans="1:18" hidden="1">
      <c r="A2915" s="134" t="s">
        <v>1437</v>
      </c>
      <c r="C2915" s="29">
        <v>281502950</v>
      </c>
      <c r="D2915" s="29"/>
      <c r="E2915" s="29"/>
      <c r="F2915" s="29" t="s">
        <v>87</v>
      </c>
      <c r="G2915" s="29" t="s">
        <v>1039</v>
      </c>
      <c r="H2915" s="29" t="s">
        <v>38</v>
      </c>
      <c r="I2915" s="120">
        <v>45938</v>
      </c>
      <c r="J2915" s="120">
        <f>WORKDAY(I2915, 3)</f>
        <v>45943</v>
      </c>
      <c r="K2915" s="120">
        <v>45969</v>
      </c>
      <c r="L2915" s="120"/>
      <c r="M2915" s="120"/>
      <c r="N2915" s="29"/>
      <c r="O2915" s="119" t="s">
        <v>170</v>
      </c>
      <c r="P2915" s="120"/>
      <c r="Q2915" s="156"/>
      <c r="R2915" s="162"/>
    </row>
    <row r="2916" spans="1:18" hidden="1">
      <c r="A2916" s="134" t="s">
        <v>1437</v>
      </c>
      <c r="C2916" s="29">
        <v>281502943</v>
      </c>
      <c r="D2916" s="29"/>
      <c r="E2916" s="29"/>
      <c r="F2916" s="29" t="s">
        <v>87</v>
      </c>
      <c r="G2916" s="29" t="s">
        <v>1039</v>
      </c>
      <c r="H2916" s="29" t="s">
        <v>38</v>
      </c>
      <c r="I2916" s="120">
        <v>45938</v>
      </c>
      <c r="J2916" s="120">
        <f>WORKDAY(I2916, 3)</f>
        <v>45943</v>
      </c>
      <c r="K2916" s="120">
        <v>45969</v>
      </c>
      <c r="L2916" s="120"/>
      <c r="M2916" s="120"/>
      <c r="N2916" s="29"/>
      <c r="O2916" s="119" t="s">
        <v>170</v>
      </c>
      <c r="P2916" s="120"/>
      <c r="Q2916" s="156"/>
      <c r="R2916" s="162"/>
    </row>
    <row r="2917" spans="1:18" hidden="1">
      <c r="A2917" s="134" t="s">
        <v>1438</v>
      </c>
      <c r="C2917" s="29">
        <v>295505166</v>
      </c>
      <c r="D2917" s="29"/>
      <c r="E2917" s="29"/>
      <c r="F2917" s="29" t="s">
        <v>87</v>
      </c>
      <c r="G2917" s="29" t="s">
        <v>1039</v>
      </c>
      <c r="H2917" s="29" t="s">
        <v>38</v>
      </c>
      <c r="I2917" s="120">
        <v>45952</v>
      </c>
      <c r="J2917" s="120">
        <f>WORKDAY(I2917, 3)</f>
        <v>45957</v>
      </c>
      <c r="K2917" s="120">
        <v>45983</v>
      </c>
      <c r="L2917" s="120"/>
      <c r="M2917" s="120"/>
      <c r="N2917" s="29"/>
      <c r="O2917" s="119" t="s">
        <v>222</v>
      </c>
      <c r="P2917" s="29"/>
      <c r="Q2917" s="156"/>
    </row>
    <row r="2918" spans="1:18" hidden="1">
      <c r="A2918" s="134" t="s">
        <v>1438</v>
      </c>
      <c r="C2918" s="29">
        <v>295505181</v>
      </c>
      <c r="D2918" s="29"/>
      <c r="E2918" s="29"/>
      <c r="F2918" s="29" t="s">
        <v>87</v>
      </c>
      <c r="G2918" s="29" t="s">
        <v>1039</v>
      </c>
      <c r="H2918" s="29" t="s">
        <v>38</v>
      </c>
      <c r="I2918" s="120">
        <v>45952</v>
      </c>
      <c r="J2918" s="120">
        <f>WORKDAY(I2918, 3)</f>
        <v>45957</v>
      </c>
      <c r="K2918" s="120">
        <v>45983</v>
      </c>
      <c r="L2918" s="120"/>
      <c r="M2918" s="120"/>
      <c r="N2918" s="29"/>
      <c r="O2918" s="119" t="s">
        <v>222</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1439</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1439</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1412</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1442</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1443</v>
      </c>
      <c r="C2955" s="29">
        <v>308504653</v>
      </c>
      <c r="D2955" s="29"/>
      <c r="E2955" s="29"/>
      <c r="F2955" s="29" t="s">
        <v>87</v>
      </c>
      <c r="G2955" s="29" t="s">
        <v>1039</v>
      </c>
      <c r="H2955" s="29" t="s">
        <v>38</v>
      </c>
      <c r="I2955" s="120">
        <v>45965</v>
      </c>
      <c r="J2955" s="120">
        <v>45969</v>
      </c>
      <c r="K2955" s="120">
        <v>45995</v>
      </c>
      <c r="L2955" s="120"/>
      <c r="M2955" s="120"/>
      <c r="N2955" s="29"/>
      <c r="O2955" s="119" t="s">
        <v>222</v>
      </c>
      <c r="P2955" s="29"/>
      <c r="Q2955" s="156"/>
    </row>
    <row r="2956" spans="1:18" hidden="1">
      <c r="A2956" s="134" t="s">
        <v>1443</v>
      </c>
      <c r="C2956" s="29">
        <v>308504706</v>
      </c>
      <c r="D2956" s="29"/>
      <c r="E2956" s="29"/>
      <c r="F2956" s="29" t="s">
        <v>87</v>
      </c>
      <c r="G2956" s="29" t="s">
        <v>1039</v>
      </c>
      <c r="H2956" s="29" t="s">
        <v>38</v>
      </c>
      <c r="I2956" s="120">
        <v>45965</v>
      </c>
      <c r="J2956" s="120">
        <v>45969</v>
      </c>
      <c r="K2956" s="120">
        <v>45995</v>
      </c>
      <c r="L2956" s="120"/>
      <c r="M2956" s="120"/>
      <c r="N2956" s="29"/>
      <c r="O2956" s="119" t="s">
        <v>222</v>
      </c>
      <c r="P2956" s="29"/>
      <c r="Q2956" s="156"/>
    </row>
    <row r="2957" spans="1:18" hidden="1">
      <c r="A2957" s="134" t="s">
        <v>1443</v>
      </c>
      <c r="C2957" s="29">
        <v>308504716</v>
      </c>
      <c r="D2957" s="29"/>
      <c r="E2957" s="29"/>
      <c r="F2957" s="29" t="s">
        <v>87</v>
      </c>
      <c r="G2957" s="29" t="s">
        <v>1039</v>
      </c>
      <c r="H2957" s="29" t="s">
        <v>38</v>
      </c>
      <c r="I2957" s="120">
        <v>45965</v>
      </c>
      <c r="J2957" s="120">
        <v>45969</v>
      </c>
      <c r="K2957" s="120">
        <v>45995</v>
      </c>
      <c r="L2957" s="120"/>
      <c r="M2957" s="120"/>
      <c r="N2957" s="29"/>
      <c r="O2957" s="119" t="s">
        <v>222</v>
      </c>
      <c r="P2957" s="29"/>
      <c r="Q2957" s="156"/>
    </row>
    <row r="2958" spans="1:18" hidden="1">
      <c r="A2958" s="134" t="s">
        <v>1443</v>
      </c>
      <c r="C2958" s="29">
        <v>308504735</v>
      </c>
      <c r="D2958" s="29"/>
      <c r="E2958" s="29"/>
      <c r="F2958" s="29" t="s">
        <v>87</v>
      </c>
      <c r="G2958" s="29" t="s">
        <v>1039</v>
      </c>
      <c r="H2958" s="29" t="s">
        <v>38</v>
      </c>
      <c r="I2958" s="120">
        <v>45965</v>
      </c>
      <c r="J2958" s="120">
        <v>45969</v>
      </c>
      <c r="K2958" s="120">
        <v>45995</v>
      </c>
      <c r="L2958" s="120"/>
      <c r="M2958" s="120"/>
      <c r="N2958" s="29"/>
      <c r="O2958" s="119" t="s">
        <v>222</v>
      </c>
      <c r="P2958" s="29"/>
      <c r="Q2958" s="156"/>
    </row>
    <row r="2959" spans="1:18" hidden="1">
      <c r="A2959" s="119" t="s">
        <v>1426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1444</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1444</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1444</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1444</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1444</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1067</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1445</v>
      </c>
      <c r="C2971" s="29">
        <v>309505225</v>
      </c>
      <c r="D2971" s="29"/>
      <c r="E2971" s="29"/>
      <c r="F2971" s="29" t="s">
        <v>87</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87</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87</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1457</v>
      </c>
      <c r="B3009" s="160"/>
      <c r="C3009" s="88">
        <v>303507285</v>
      </c>
      <c r="D3009" s="29"/>
      <c r="E3009" s="29"/>
      <c r="F3009" s="29" t="s">
        <v>121</v>
      </c>
      <c r="G3009" s="29" t="s">
        <v>16</v>
      </c>
      <c r="H3009" s="29" t="s">
        <v>1458</v>
      </c>
      <c r="I3009" s="120">
        <v>45961</v>
      </c>
      <c r="J3009" s="120">
        <f>WORKDAY(I3009, 3)</f>
        <v>45966</v>
      </c>
      <c r="K3009" s="120">
        <v>45992</v>
      </c>
      <c r="L3009" s="120"/>
      <c r="M3009" s="120"/>
      <c r="N3009" s="29"/>
      <c r="O3009" s="119" t="s">
        <v>222</v>
      </c>
      <c r="P3009" s="29"/>
      <c r="Q3009" s="156"/>
    </row>
    <row r="3010" spans="1:17" hidden="1">
      <c r="A3010" s="160" t="s">
        <v>1457</v>
      </c>
      <c r="B3010" s="160"/>
      <c r="C3010" s="88">
        <v>303507264</v>
      </c>
      <c r="D3010" s="29"/>
      <c r="E3010" s="29"/>
      <c r="F3010" s="29" t="s">
        <v>121</v>
      </c>
      <c r="G3010" s="29" t="s">
        <v>16</v>
      </c>
      <c r="H3010" s="29" t="s">
        <v>1458</v>
      </c>
      <c r="I3010" s="120">
        <v>45961</v>
      </c>
      <c r="J3010" s="120">
        <f>WORKDAY(I3010, 3)</f>
        <v>45966</v>
      </c>
      <c r="K3010" s="120">
        <v>45992</v>
      </c>
      <c r="L3010" s="120"/>
      <c r="M3010" s="120"/>
      <c r="N3010" s="29"/>
      <c r="O3010" s="119" t="s">
        <v>222</v>
      </c>
      <c r="P3010" s="29"/>
      <c r="Q3010" s="156"/>
    </row>
    <row r="3011" spans="1:17" hidden="1">
      <c r="A3011" s="160" t="s">
        <v>1457</v>
      </c>
      <c r="B3011" s="160"/>
      <c r="C3011" s="88">
        <v>303507237</v>
      </c>
      <c r="D3011" s="29"/>
      <c r="E3011" s="29"/>
      <c r="F3011" s="29" t="s">
        <v>121</v>
      </c>
      <c r="G3011" s="29" t="s">
        <v>16</v>
      </c>
      <c r="H3011" s="29" t="s">
        <v>1458</v>
      </c>
      <c r="I3011" s="120">
        <v>45961</v>
      </c>
      <c r="J3011" s="120">
        <f>WORKDAY(I3011, 3)</f>
        <v>45966</v>
      </c>
      <c r="K3011" s="120">
        <v>45992</v>
      </c>
      <c r="L3011" s="120"/>
      <c r="M3011" s="120"/>
      <c r="N3011" s="29"/>
      <c r="O3011" s="119" t="s">
        <v>222</v>
      </c>
      <c r="P3011" s="29"/>
      <c r="Q3011" s="156"/>
    </row>
    <row r="3012" spans="1:17" hidden="1">
      <c r="A3012" s="160" t="s">
        <v>1457</v>
      </c>
      <c r="B3012" s="160"/>
      <c r="C3012" s="88">
        <v>303507222</v>
      </c>
      <c r="D3012" s="29"/>
      <c r="E3012" s="29"/>
      <c r="F3012" s="29" t="s">
        <v>121</v>
      </c>
      <c r="G3012" s="29" t="s">
        <v>16</v>
      </c>
      <c r="H3012" s="29" t="s">
        <v>1458</v>
      </c>
      <c r="I3012" s="120">
        <v>45961</v>
      </c>
      <c r="J3012" s="120">
        <f>WORKDAY(I3012, 3)</f>
        <v>45966</v>
      </c>
      <c r="K3012" s="120">
        <v>45992</v>
      </c>
      <c r="L3012" s="120"/>
      <c r="M3012" s="120"/>
      <c r="N3012" s="29"/>
      <c r="O3012" s="119" t="s">
        <v>222</v>
      </c>
      <c r="P3012" s="29"/>
      <c r="Q3012" s="156"/>
    </row>
    <row r="3013" spans="1:17" hidden="1">
      <c r="A3013" s="160" t="s">
        <v>1457</v>
      </c>
      <c r="B3013" s="160"/>
      <c r="C3013" s="88">
        <v>303507206</v>
      </c>
      <c r="D3013" s="29"/>
      <c r="E3013" s="29"/>
      <c r="F3013" s="29" t="s">
        <v>121</v>
      </c>
      <c r="G3013" s="29" t="s">
        <v>16</v>
      </c>
      <c r="H3013" s="29" t="s">
        <v>1458</v>
      </c>
      <c r="I3013" s="120">
        <v>45961</v>
      </c>
      <c r="J3013" s="120">
        <f>WORKDAY(I3013, 3)</f>
        <v>45966</v>
      </c>
      <c r="K3013" s="120">
        <v>45992</v>
      </c>
      <c r="L3013" s="120"/>
      <c r="M3013" s="120"/>
      <c r="N3013" s="29"/>
      <c r="O3013" s="119" t="s">
        <v>222</v>
      </c>
      <c r="P3013" s="29"/>
      <c r="Q3013" s="156"/>
    </row>
    <row r="3014" spans="1:17" hidden="1">
      <c r="A3014" s="160" t="s">
        <v>1457</v>
      </c>
      <c r="B3014" s="160"/>
      <c r="C3014" s="88">
        <v>303507187</v>
      </c>
      <c r="D3014" s="29"/>
      <c r="E3014" s="29"/>
      <c r="F3014" s="29" t="s">
        <v>121</v>
      </c>
      <c r="G3014" s="29" t="s">
        <v>16</v>
      </c>
      <c r="H3014" s="29" t="s">
        <v>1458</v>
      </c>
      <c r="I3014" s="120">
        <v>45961</v>
      </c>
      <c r="J3014" s="120">
        <f>WORKDAY(I3014, 3)</f>
        <v>45966</v>
      </c>
      <c r="K3014" s="120">
        <v>45992</v>
      </c>
      <c r="L3014" s="120"/>
      <c r="M3014" s="120"/>
      <c r="N3014" s="29"/>
      <c r="O3014" s="119" t="s">
        <v>222</v>
      </c>
      <c r="P3014" s="29"/>
      <c r="Q3014" s="156"/>
    </row>
    <row r="3015" spans="1:17" hidden="1">
      <c r="A3015" s="160" t="s">
        <v>1457</v>
      </c>
      <c r="B3015" s="160"/>
      <c r="C3015" s="88">
        <v>303507168</v>
      </c>
      <c r="D3015" s="29"/>
      <c r="E3015" s="29"/>
      <c r="F3015" s="29" t="s">
        <v>121</v>
      </c>
      <c r="G3015" s="29" t="s">
        <v>16</v>
      </c>
      <c r="H3015" s="29" t="s">
        <v>1458</v>
      </c>
      <c r="I3015" s="120">
        <v>45961</v>
      </c>
      <c r="J3015" s="120">
        <f>WORKDAY(I3015, 3)</f>
        <v>45966</v>
      </c>
      <c r="K3015" s="120">
        <v>45992</v>
      </c>
      <c r="L3015" s="120"/>
      <c r="M3015" s="120"/>
      <c r="N3015" s="29"/>
      <c r="O3015" s="119" t="s">
        <v>222</v>
      </c>
      <c r="P3015" s="29"/>
      <c r="Q3015" s="156"/>
    </row>
    <row r="3016" spans="1:17" hidden="1">
      <c r="A3016" s="160" t="s">
        <v>1459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1460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1460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1460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1460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1460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1460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1460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1460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1460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1460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1460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1460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1441</v>
      </c>
    </row>
    <row r="3044" spans="1:18" hidden="1">
      <c r="A3044" s="160" t="s">
        <v>1460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1441</v>
      </c>
    </row>
    <row r="3045" spans="1:18" hidden="1">
      <c r="A3045" s="160" t="s">
        <v>1460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1441</v>
      </c>
    </row>
    <row r="3046" spans="1:18" hidden="1">
      <c r="A3046" s="160" t="s">
        <v>1460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1441</v>
      </c>
    </row>
    <row r="3047" spans="1:18" hidden="1">
      <c r="A3047" s="160" t="s">
        <v>1424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1441</v>
      </c>
    </row>
    <row r="3057" spans="1:18" hidden="1">
      <c r="A3057" s="160" t="s">
        <v>1424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1441</v>
      </c>
    </row>
    <row r="3058" spans="1:18" hidden="1">
      <c r="A3058" s="160" t="s">
        <v>1424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1441</v>
      </c>
    </row>
    <row r="3059" spans="1:18" hidden="1">
      <c r="A3059" s="160" t="s">
        <v>1424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1441</v>
      </c>
    </row>
    <row r="3060" spans="1:18" hidden="1">
      <c r="A3060" s="160" t="s">
        <v>1424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1441</v>
      </c>
    </row>
    <row r="3061" spans="1:18" hidden="1">
      <c r="A3061" s="160" t="s">
        <v>1424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1441</v>
      </c>
    </row>
    <row r="3062" spans="1:18" hidden="1">
      <c r="A3062" s="160" t="s">
        <v>1424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1441</v>
      </c>
    </row>
    <row r="3063" spans="1:18" hidden="1">
      <c r="A3063" s="160" t="s">
        <v>1461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1461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1461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1461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1461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1461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1461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1461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1461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1461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1461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1461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1461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1461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1441</v>
      </c>
    </row>
    <row r="3077" spans="1:18" hidden="1">
      <c r="A3077" s="160" t="s">
        <v>1461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1441</v>
      </c>
    </row>
    <row r="3078" spans="1:18" hidden="1">
      <c r="A3078" s="160" t="s">
        <v>1461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1441</v>
      </c>
    </row>
    <row r="3079" spans="1:18" hidden="1">
      <c r="A3079" s="160" t="s">
        <v>1461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1441</v>
      </c>
    </row>
    <row r="3080" spans="1:18" hidden="1">
      <c r="A3080" s="160" t="s">
        <v>1461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1441</v>
      </c>
    </row>
    <row r="3081" spans="1:18" hidden="1">
      <c r="A3081" s="160" t="s">
        <v>1461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1441</v>
      </c>
    </row>
    <row r="3082" spans="1:18" hidden="1">
      <c r="A3082" s="160" t="s">
        <v>1462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1462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1462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1462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1462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1462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1462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1462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1462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1462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222</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222</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222</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222</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222</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222</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222</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222</v>
      </c>
      <c r="P3099" s="29"/>
      <c r="Q3099" s="156">
        <v>1742</v>
      </c>
    </row>
    <row r="3100" spans="1:18" hidden="1">
      <c r="A3100" s="160" t="s">
        <v>1472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1449</v>
      </c>
    </row>
    <row r="3101" spans="1:18" hidden="1">
      <c r="A3101" s="160" t="s">
        <v>1472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1473</v>
      </c>
    </row>
    <row r="3102" spans="1:18" hidden="1">
      <c r="A3102" s="160" t="s">
        <v>1472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1449</v>
      </c>
    </row>
    <row r="3103" spans="1:18" hidden="1">
      <c r="A3103" s="160" t="s">
        <v>1472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1449</v>
      </c>
    </row>
    <row r="3104" spans="1:18" hidden="1">
      <c r="A3104" s="160" t="s">
        <v>1472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1472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1472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1472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1472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1472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1472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1141</v>
      </c>
      <c r="B3111" s="160"/>
      <c r="C3111" s="88">
        <v>308503277</v>
      </c>
      <c r="D3111" s="29"/>
      <c r="E3111" s="29"/>
      <c r="F3111" s="29" t="s">
        <v>87</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87</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87</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87</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87</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87</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87</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87</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87</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87</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87</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87</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87</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87</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87</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87</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87</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87</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87</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87</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87</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170</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1476</v>
      </c>
      <c r="B3141" s="160"/>
      <c r="C3141" s="88">
        <v>289502098</v>
      </c>
      <c r="D3141" s="29"/>
      <c r="E3141" s="29"/>
      <c r="F3141" s="29" t="s">
        <v>87</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87</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87</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87</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87</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87</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87</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87</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87</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87</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87</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87</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87</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87</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87</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87</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87</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87</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87</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87</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87</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87</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87</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87</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87</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87</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87</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87</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87</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87</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87</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87</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87</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87</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87</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87</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87</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87</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87</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87</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87</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87</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87</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87</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87</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87</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87</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87</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87</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87</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87</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87</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87</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87</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87</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87</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87</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87</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87</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87</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87</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87</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87</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87</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1477</v>
      </c>
      <c r="B3206" s="160"/>
      <c r="C3206" s="88">
        <v>308506538</v>
      </c>
      <c r="D3206" s="29"/>
      <c r="E3206" s="29"/>
      <c r="F3206" s="29" t="s">
        <v>1478</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1477</v>
      </c>
      <c r="B3207" s="160"/>
      <c r="C3207" s="88">
        <v>308506652</v>
      </c>
      <c r="D3207" s="29"/>
      <c r="E3207" s="29"/>
      <c r="F3207" s="29" t="s">
        <v>1478</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1477</v>
      </c>
      <c r="B3208" s="160"/>
      <c r="C3208" s="88">
        <v>308506705</v>
      </c>
      <c r="D3208" s="29"/>
      <c r="E3208" s="29"/>
      <c r="F3208" s="29" t="s">
        <v>1478</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1477</v>
      </c>
      <c r="B3209" s="160"/>
      <c r="C3209" s="88">
        <v>308506754</v>
      </c>
      <c r="D3209" s="29"/>
      <c r="E3209" s="29"/>
      <c r="F3209" s="29" t="s">
        <v>1478</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1477</v>
      </c>
      <c r="B3210" s="160"/>
      <c r="C3210" s="88">
        <v>308506833</v>
      </c>
      <c r="D3210" s="29"/>
      <c r="E3210" s="29"/>
      <c r="F3210" s="29" t="s">
        <v>1478</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1477</v>
      </c>
      <c r="B3211" s="160"/>
      <c r="C3211" s="88">
        <v>308506891</v>
      </c>
      <c r="D3211" s="29"/>
      <c r="E3211" s="29"/>
      <c r="F3211" s="29" t="s">
        <v>1478</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1477</v>
      </c>
      <c r="B3212" s="160"/>
      <c r="C3212" s="88">
        <v>308506968</v>
      </c>
      <c r="D3212" s="29"/>
      <c r="E3212" s="29"/>
      <c r="F3212" s="29" t="s">
        <v>1478</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1477</v>
      </c>
      <c r="B3213" s="160"/>
      <c r="C3213" s="88">
        <v>308507040</v>
      </c>
      <c r="D3213" s="29"/>
      <c r="E3213" s="29"/>
      <c r="F3213" s="29" t="s">
        <v>1478</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1477</v>
      </c>
      <c r="B3214" s="160"/>
      <c r="C3214" s="88">
        <v>308507148</v>
      </c>
      <c r="D3214" s="29"/>
      <c r="E3214" s="29"/>
      <c r="F3214" s="29" t="s">
        <v>1478</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1477</v>
      </c>
      <c r="B3215" s="160"/>
      <c r="C3215" s="88">
        <v>308507283</v>
      </c>
      <c r="D3215" s="29"/>
      <c r="E3215" s="29"/>
      <c r="F3215" s="29" t="s">
        <v>1478</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1477</v>
      </c>
      <c r="B3216" s="160"/>
      <c r="C3216" s="88">
        <v>308507377</v>
      </c>
      <c r="D3216" s="29"/>
      <c r="E3216" s="29"/>
      <c r="F3216" s="29" t="s">
        <v>1478</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1477</v>
      </c>
      <c r="B3217" s="160"/>
      <c r="C3217" s="88">
        <v>308507442</v>
      </c>
      <c r="D3217" s="29"/>
      <c r="E3217" s="29"/>
      <c r="F3217" s="29" t="s">
        <v>1478</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1477</v>
      </c>
      <c r="B3218" s="160"/>
      <c r="C3218" s="88">
        <v>308507505</v>
      </c>
      <c r="D3218" s="29"/>
      <c r="E3218" s="29"/>
      <c r="F3218" s="29" t="s">
        <v>1478</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1477</v>
      </c>
      <c r="B3219" s="160"/>
      <c r="C3219" s="88">
        <v>308507540</v>
      </c>
      <c r="D3219" s="29"/>
      <c r="E3219" s="29"/>
      <c r="F3219" s="29" t="s">
        <v>1478</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1477</v>
      </c>
      <c r="B3220" s="160"/>
      <c r="C3220" s="88">
        <v>308507591</v>
      </c>
      <c r="D3220" s="29"/>
      <c r="E3220" s="29"/>
      <c r="F3220" s="29" t="s">
        <v>1478</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1477</v>
      </c>
      <c r="B3221" s="160"/>
      <c r="C3221" s="88">
        <v>308507651</v>
      </c>
      <c r="D3221" s="29"/>
      <c r="E3221" s="29"/>
      <c r="F3221" s="29" t="s">
        <v>1478</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1477</v>
      </c>
      <c r="B3222" s="160"/>
      <c r="C3222" s="88">
        <v>308507711</v>
      </c>
      <c r="D3222" s="29"/>
      <c r="E3222" s="29"/>
      <c r="F3222" s="29" t="s">
        <v>1478</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1477</v>
      </c>
      <c r="B3223" s="160"/>
      <c r="C3223" s="88">
        <v>308507737</v>
      </c>
      <c r="D3223" s="29"/>
      <c r="E3223" s="29"/>
      <c r="F3223" s="29" t="s">
        <v>1478</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1477</v>
      </c>
      <c r="B3224" s="160"/>
      <c r="C3224" s="88">
        <v>308507770</v>
      </c>
      <c r="D3224" s="29"/>
      <c r="E3224" s="29"/>
      <c r="F3224" s="29" t="s">
        <v>1478</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1477</v>
      </c>
      <c r="B3225" s="160"/>
      <c r="C3225" s="88">
        <v>308507804</v>
      </c>
      <c r="D3225" s="29"/>
      <c r="E3225" s="29"/>
      <c r="F3225" s="29" t="s">
        <v>1478</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1477</v>
      </c>
      <c r="B3226" s="160"/>
      <c r="C3226" s="88">
        <v>308509380</v>
      </c>
      <c r="D3226" s="29"/>
      <c r="E3226" s="29"/>
      <c r="F3226" s="29" t="s">
        <v>1478</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1477</v>
      </c>
      <c r="B3227" s="160"/>
      <c r="C3227" s="88">
        <v>308509386</v>
      </c>
      <c r="D3227" s="29"/>
      <c r="E3227" s="29"/>
      <c r="F3227" s="29" t="s">
        <v>1478</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1477</v>
      </c>
      <c r="B3228" s="160"/>
      <c r="C3228" s="88">
        <v>308509396</v>
      </c>
      <c r="D3228" s="29"/>
      <c r="E3228" s="29"/>
      <c r="F3228" s="29" t="s">
        <v>1478</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1477</v>
      </c>
      <c r="B3229" s="160"/>
      <c r="C3229" s="88">
        <v>308509415</v>
      </c>
      <c r="D3229" s="29"/>
      <c r="E3229" s="29"/>
      <c r="F3229" s="29" t="s">
        <v>1478</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1480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1480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1480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1480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1480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1480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1480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1480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1480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1480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1480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1480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1480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1480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1480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1480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1480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1481</v>
      </c>
      <c r="B3267" s="160"/>
      <c r="C3267" s="88">
        <v>310501705</v>
      </c>
      <c r="D3267" s="29"/>
      <c r="E3267" s="29"/>
      <c r="F3267" s="29" t="s">
        <v>87</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87</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87</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87</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87</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87</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87</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87</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87</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87</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87</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87</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87</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87</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87</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87</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87</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87</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87</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87</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87</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87</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87</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87</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87</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1488</v>
      </c>
      <c r="B3298" s="163"/>
      <c r="C3298" s="88">
        <v>322505213</v>
      </c>
      <c r="D3298" s="29"/>
      <c r="E3298" s="29"/>
      <c r="F3298" s="29" t="s">
        <v>1478</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115</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115</v>
      </c>
      <c r="H3355" s="29" t="s">
        <v>38</v>
      </c>
      <c r="I3355" s="120">
        <v>45995</v>
      </c>
      <c r="J3355" s="120">
        <v>45999</v>
      </c>
      <c r="K3355" s="120">
        <v>46026</v>
      </c>
      <c r="L3355" s="120"/>
      <c r="M3355" s="120"/>
      <c r="N3355" s="29"/>
      <c r="O3355" s="119" t="s">
        <v>222</v>
      </c>
      <c r="P3355" s="29"/>
      <c r="Q3355" s="156"/>
      <c r="R3355" s="134" t="s">
        <v>1503</v>
      </c>
    </row>
    <row r="3356" spans="1:18" hidden="1">
      <c r="A3356" s="160" t="s">
        <v>1501</v>
      </c>
      <c r="B3356" s="160"/>
      <c r="C3356" s="88">
        <v>338504632</v>
      </c>
      <c r="D3356" s="29"/>
      <c r="E3356" s="29"/>
      <c r="F3356" s="29" t="s">
        <v>1493</v>
      </c>
      <c r="G3356" s="29" t="s">
        <v>115</v>
      </c>
      <c r="H3356" s="29" t="s">
        <v>38</v>
      </c>
      <c r="I3356" s="120">
        <v>45995</v>
      </c>
      <c r="J3356" s="120">
        <v>45999</v>
      </c>
      <c r="K3356" s="120">
        <v>46026</v>
      </c>
      <c r="L3356" s="120"/>
      <c r="M3356" s="120"/>
      <c r="N3356" s="29"/>
      <c r="O3356" s="119" t="s">
        <v>222</v>
      </c>
      <c r="P3356" s="29"/>
      <c r="Q3356" s="156"/>
      <c r="R3356" s="134" t="s">
        <v>1503</v>
      </c>
    </row>
    <row r="3357" spans="1:18" hidden="1">
      <c r="A3357" s="160" t="s">
        <v>1501</v>
      </c>
      <c r="B3357" s="160"/>
      <c r="C3357" s="29">
        <v>338504667</v>
      </c>
      <c r="D3357" s="29"/>
      <c r="E3357" s="29"/>
      <c r="F3357" s="29" t="s">
        <v>1493</v>
      </c>
      <c r="G3357" s="29" t="s">
        <v>115</v>
      </c>
      <c r="H3357" s="29" t="s">
        <v>38</v>
      </c>
      <c r="I3357" s="120">
        <v>45995</v>
      </c>
      <c r="J3357" s="120">
        <v>45999</v>
      </c>
      <c r="K3357" s="120">
        <v>46026</v>
      </c>
      <c r="L3357" s="120"/>
      <c r="M3357" s="120"/>
      <c r="N3357" s="29"/>
      <c r="O3357" s="119" t="s">
        <v>222</v>
      </c>
      <c r="P3357" s="29"/>
      <c r="Q3357" s="156"/>
      <c r="R3357" s="134" t="s">
        <v>1503</v>
      </c>
    </row>
    <row r="3358" spans="1:18" hidden="1">
      <c r="A3358" s="160" t="s">
        <v>1501</v>
      </c>
      <c r="B3358" s="160"/>
      <c r="C3358" s="88">
        <v>338504100</v>
      </c>
      <c r="D3358" s="29"/>
      <c r="E3358" s="29"/>
      <c r="F3358" s="29" t="s">
        <v>1493</v>
      </c>
      <c r="G3358" s="29" t="s">
        <v>115</v>
      </c>
      <c r="H3358" s="29" t="s">
        <v>38</v>
      </c>
      <c r="I3358" s="120">
        <v>45995</v>
      </c>
      <c r="J3358" s="120">
        <v>45999</v>
      </c>
      <c r="K3358" s="120">
        <v>46026</v>
      </c>
      <c r="L3358" s="120"/>
      <c r="M3358" s="120"/>
      <c r="N3358" s="29"/>
      <c r="O3358" s="119" t="s">
        <v>222</v>
      </c>
      <c r="P3358" s="29"/>
      <c r="Q3358" s="156"/>
      <c r="R3358" s="134" t="s">
        <v>1503</v>
      </c>
    </row>
    <row r="3359" spans="1:18" hidden="1">
      <c r="A3359" s="160" t="s">
        <v>1501</v>
      </c>
      <c r="B3359" s="160"/>
      <c r="C3359" s="29">
        <v>338504693</v>
      </c>
      <c r="D3359" s="29"/>
      <c r="E3359" s="29"/>
      <c r="F3359" s="29" t="s">
        <v>1493</v>
      </c>
      <c r="G3359" s="29" t="s">
        <v>115</v>
      </c>
      <c r="H3359" s="29" t="s">
        <v>38</v>
      </c>
      <c r="I3359" s="120">
        <v>45995</v>
      </c>
      <c r="J3359" s="120">
        <v>45999</v>
      </c>
      <c r="K3359" s="120">
        <v>46026</v>
      </c>
      <c r="L3359" s="120"/>
      <c r="M3359" s="120"/>
      <c r="N3359" s="29"/>
      <c r="O3359" s="119" t="s">
        <v>222</v>
      </c>
      <c r="P3359" s="29"/>
      <c r="Q3359" s="156"/>
      <c r="R3359" s="134" t="s">
        <v>1503</v>
      </c>
    </row>
    <row r="3360" spans="1:18" hidden="1">
      <c r="A3360" s="160" t="s">
        <v>1501</v>
      </c>
      <c r="B3360" s="160"/>
      <c r="C3360" s="29">
        <v>338504719</v>
      </c>
      <c r="D3360" s="29"/>
      <c r="E3360" s="29"/>
      <c r="F3360" s="29" t="s">
        <v>1493</v>
      </c>
      <c r="G3360" s="29" t="s">
        <v>115</v>
      </c>
      <c r="H3360" s="29" t="s">
        <v>38</v>
      </c>
      <c r="I3360" s="120">
        <v>45995</v>
      </c>
      <c r="J3360" s="120">
        <v>45999</v>
      </c>
      <c r="K3360" s="120">
        <v>46026</v>
      </c>
      <c r="L3360" s="120"/>
      <c r="M3360" s="120"/>
      <c r="N3360" s="29"/>
      <c r="O3360" s="119" t="s">
        <v>222</v>
      </c>
      <c r="P3360" s="29"/>
      <c r="Q3360" s="156" t="s">
        <v>90</v>
      </c>
      <c r="R3360" s="134" t="s">
        <v>1503</v>
      </c>
    </row>
    <row r="3361" spans="1:18" hidden="1">
      <c r="A3361" s="160" t="s">
        <v>1501</v>
      </c>
      <c r="B3361" s="160"/>
      <c r="C3361" s="29">
        <v>338504719</v>
      </c>
      <c r="D3361" s="29"/>
      <c r="E3361" s="29"/>
      <c r="F3361" s="29" t="s">
        <v>1493</v>
      </c>
      <c r="G3361" s="29" t="s">
        <v>115</v>
      </c>
      <c r="H3361" s="29" t="s">
        <v>38</v>
      </c>
      <c r="I3361" s="120">
        <v>45995</v>
      </c>
      <c r="J3361" s="120">
        <v>45999</v>
      </c>
      <c r="K3361" s="120">
        <v>46026</v>
      </c>
      <c r="L3361" s="120"/>
      <c r="M3361" s="120"/>
      <c r="N3361" s="29"/>
      <c r="O3361" s="119" t="s">
        <v>222</v>
      </c>
      <c r="P3361" s="29"/>
      <c r="Q3361" s="156" t="s">
        <v>1504</v>
      </c>
      <c r="R3361" s="134" t="s">
        <v>1503</v>
      </c>
    </row>
    <row r="3362" spans="1:18" hidden="1">
      <c r="A3362" s="160" t="s">
        <v>1501</v>
      </c>
      <c r="B3362" s="160"/>
      <c r="C3362" s="29">
        <v>338504917</v>
      </c>
      <c r="D3362" s="29"/>
      <c r="E3362" s="29"/>
      <c r="F3362" s="29" t="s">
        <v>1493</v>
      </c>
      <c r="G3362" s="29" t="s">
        <v>115</v>
      </c>
      <c r="H3362" s="29" t="s">
        <v>38</v>
      </c>
      <c r="I3362" s="120">
        <v>45995</v>
      </c>
      <c r="J3362" s="120">
        <v>45999</v>
      </c>
      <c r="K3362" s="120">
        <v>46026</v>
      </c>
      <c r="L3362" s="120"/>
      <c r="M3362" s="120"/>
      <c r="N3362" s="29"/>
      <c r="O3362" s="119" t="s">
        <v>222</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115</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115</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115</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115</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115</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115</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115</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115</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115</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115</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115</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115</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115</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115</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115</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115</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115</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115</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115</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115</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115</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115</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115</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115</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115</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115</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115</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115</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115</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115</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115</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115</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115</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115</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115</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115</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115</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115</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115</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115</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115</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115</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115</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115</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115</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115</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115</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115</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115</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115</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115</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115</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115</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115</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115</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115</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115</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115</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115</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115</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115</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115</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115</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115</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115</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115</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115</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115</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131</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131</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131</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131</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131</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131</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131</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131</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1588</v>
      </c>
      <c r="B3579" s="160"/>
      <c r="C3579" s="164" t="s">
        <v>1589</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280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280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280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280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280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312</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222</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115</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115</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87</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87</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87</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87</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87</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87</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87</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87</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87</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87</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87</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87</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87</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87</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87</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1892</v>
      </c>
      <c r="B3848" s="160"/>
      <c r="C3848" s="88">
        <v>300502769</v>
      </c>
      <c r="D3848" s="29"/>
      <c r="E3848" s="29"/>
      <c r="F3848" s="29" t="s">
        <v>87</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170</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170</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170</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170</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170</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170</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170</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170</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170</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170</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170</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170</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170</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170</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170</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170</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170</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170</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170</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170</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170</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170</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170</v>
      </c>
      <c r="P3872" s="120"/>
      <c r="Q3872" s="156"/>
    </row>
    <row r="3873" spans="1:121">
      <c r="A3873" s="160" t="s">
        <v>1920</v>
      </c>
      <c r="B3873" s="160"/>
      <c r="C3873" s="88" t="s">
        <v>1921</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1922</v>
      </c>
      <c r="B3874" s="160"/>
      <c r="C3874" s="88" t="s">
        <v>1923</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1973</v>
      </c>
      <c r="B3950" s="171"/>
      <c r="C3950" s="88">
        <v>121606970</v>
      </c>
      <c r="D3950" s="29"/>
      <c r="E3950" s="29"/>
      <c r="F3950" s="29" t="s">
        <v>142</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159</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159</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159</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159</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159</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254</v>
      </c>
      <c r="G3957" s="3" t="s">
        <v>115</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254</v>
      </c>
      <c r="G3958" s="3" t="s">
        <v>115</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254</v>
      </c>
      <c r="G3959" s="3" t="s">
        <v>115</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254</v>
      </c>
      <c r="G3960" s="3" t="s">
        <v>115</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254</v>
      </c>
      <c r="G3961" s="3" t="s">
        <v>115</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159</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159</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159</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159</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159</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159</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159</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159</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159</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159</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159</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159</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159</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1990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1990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1990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1991</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64</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64</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1478</v>
      </c>
      <c r="G4118" s="3" t="s">
        <v>115</v>
      </c>
      <c r="H4118" s="3" t="s">
        <v>29</v>
      </c>
      <c r="I4118" s="55">
        <v>46126</v>
      </c>
      <c r="J4118" s="55">
        <v>46129</v>
      </c>
      <c r="K4118" s="55">
        <v>46156</v>
      </c>
      <c r="L4118" s="55"/>
      <c r="M4118" s="55"/>
      <c r="N4118" s="3"/>
      <c r="O4118" s="119" t="s">
        <v>10</v>
      </c>
      <c r="P4118" s="55">
        <v>46185</v>
      </c>
      <c r="Q4118" s="167"/>
      <c r="R4118" s="1" t="s">
        <v>2007</v>
      </c>
    </row>
    <row r="4119" spans="1:121">
      <c r="A4119" s="166" t="s">
        <v>155</v>
      </c>
      <c r="B4119" s="173" t="s">
        <v>156</v>
      </c>
      <c r="C4119" s="195">
        <v>104610075</v>
      </c>
      <c r="D4119" s="168">
        <v>134609284</v>
      </c>
      <c r="E4119" s="29"/>
      <c r="F4119" s="29" t="s">
        <v>1478</v>
      </c>
      <c r="G4119" s="3" t="s">
        <v>115</v>
      </c>
      <c r="H4119" s="3" t="s">
        <v>29</v>
      </c>
      <c r="I4119" s="55">
        <v>46126</v>
      </c>
      <c r="J4119" s="55">
        <v>46129</v>
      </c>
      <c r="K4119" s="55">
        <v>46156</v>
      </c>
      <c r="L4119" s="55"/>
      <c r="M4119" s="55"/>
      <c r="N4119" s="3"/>
      <c r="O4119" s="119" t="s">
        <v>10</v>
      </c>
      <c r="P4119" s="55">
        <v>46185</v>
      </c>
      <c r="Q4119" s="167"/>
      <c r="R4119" s="1" t="s">
        <v>2007</v>
      </c>
    </row>
    <row r="4120" spans="1:121">
      <c r="A4120" s="166" t="s">
        <v>155</v>
      </c>
      <c r="B4120" s="173" t="s">
        <v>156</v>
      </c>
      <c r="C4120" s="195">
        <v>104610080</v>
      </c>
      <c r="D4120" s="168">
        <v>134609285</v>
      </c>
      <c r="E4120" s="29"/>
      <c r="F4120" s="29" t="s">
        <v>1478</v>
      </c>
      <c r="G4120" s="3" t="s">
        <v>115</v>
      </c>
      <c r="H4120" s="3" t="s">
        <v>29</v>
      </c>
      <c r="I4120" s="55">
        <v>46126</v>
      </c>
      <c r="J4120" s="55">
        <v>46129</v>
      </c>
      <c r="K4120" s="55">
        <v>46156</v>
      </c>
      <c r="L4120" s="55"/>
      <c r="M4120" s="55"/>
      <c r="N4120" s="3"/>
      <c r="O4120" s="119" t="s">
        <v>10</v>
      </c>
      <c r="P4120" s="55">
        <v>46185</v>
      </c>
      <c r="Q4120" s="167"/>
      <c r="R4120" s="1" t="s">
        <v>2007</v>
      </c>
    </row>
    <row r="4121" spans="1:121">
      <c r="A4121" s="166" t="s">
        <v>155</v>
      </c>
      <c r="B4121" s="173" t="s">
        <v>156</v>
      </c>
      <c r="C4121" s="195">
        <v>104610092</v>
      </c>
      <c r="D4121" s="168">
        <v>134609288</v>
      </c>
      <c r="E4121" s="29"/>
      <c r="F4121" s="29" t="s">
        <v>1478</v>
      </c>
      <c r="G4121" s="3" t="s">
        <v>115</v>
      </c>
      <c r="H4121" s="3" t="s">
        <v>29</v>
      </c>
      <c r="I4121" s="55">
        <v>46126</v>
      </c>
      <c r="J4121" s="55">
        <v>46129</v>
      </c>
      <c r="K4121" s="55">
        <v>46156</v>
      </c>
      <c r="L4121" s="55"/>
      <c r="M4121" s="55"/>
      <c r="N4121" s="3"/>
      <c r="O4121" s="119" t="s">
        <v>10</v>
      </c>
      <c r="P4121" s="55">
        <v>46185</v>
      </c>
      <c r="Q4121" s="167"/>
      <c r="R4121" s="1" t="s">
        <v>2007</v>
      </c>
    </row>
    <row r="4122" spans="1:121">
      <c r="A4122" s="166" t="s">
        <v>155</v>
      </c>
      <c r="B4122" s="173" t="s">
        <v>156</v>
      </c>
      <c r="C4122" s="195">
        <v>104610098</v>
      </c>
      <c r="D4122" s="168">
        <v>134609290</v>
      </c>
      <c r="E4122" s="29"/>
      <c r="F4122" s="29" t="s">
        <v>1478</v>
      </c>
      <c r="G4122" s="3" t="s">
        <v>115</v>
      </c>
      <c r="H4122" s="3" t="s">
        <v>29</v>
      </c>
      <c r="I4122" s="55">
        <v>46126</v>
      </c>
      <c r="J4122" s="55">
        <v>46129</v>
      </c>
      <c r="K4122" s="55">
        <v>46156</v>
      </c>
      <c r="L4122" s="55"/>
      <c r="M4122" s="55"/>
      <c r="N4122" s="3"/>
      <c r="O4122" s="119" t="s">
        <v>10</v>
      </c>
      <c r="P4122" s="55">
        <v>46185</v>
      </c>
      <c r="Q4122" s="167"/>
      <c r="R4122" s="1" t="s">
        <v>2007</v>
      </c>
    </row>
    <row r="4123" spans="1:121">
      <c r="A4123" s="166" t="s">
        <v>155</v>
      </c>
      <c r="B4123" s="173" t="s">
        <v>156</v>
      </c>
      <c r="C4123" s="195">
        <v>104610100</v>
      </c>
      <c r="D4123" s="168">
        <v>134609292</v>
      </c>
      <c r="E4123" s="29"/>
      <c r="F4123" s="29" t="s">
        <v>1478</v>
      </c>
      <c r="G4123" s="3" t="s">
        <v>115</v>
      </c>
      <c r="H4123" s="3" t="s">
        <v>29</v>
      </c>
      <c r="I4123" s="55">
        <v>46126</v>
      </c>
      <c r="J4123" s="55">
        <v>46129</v>
      </c>
      <c r="K4123" s="55">
        <v>46156</v>
      </c>
      <c r="L4123" s="55"/>
      <c r="M4123" s="55"/>
      <c r="N4123" s="3"/>
      <c r="O4123" s="119" t="s">
        <v>10</v>
      </c>
      <c r="P4123" s="55">
        <v>46185</v>
      </c>
      <c r="Q4123" s="167"/>
      <c r="R4123" s="1" t="s">
        <v>2007</v>
      </c>
    </row>
    <row r="4124" spans="1:121">
      <c r="A4124" s="166" t="s">
        <v>155</v>
      </c>
      <c r="B4124" s="173" t="s">
        <v>156</v>
      </c>
      <c r="C4124" s="195">
        <v>104610107</v>
      </c>
      <c r="D4124" s="168">
        <v>134609293</v>
      </c>
      <c r="E4124" s="29"/>
      <c r="F4124" s="29" t="s">
        <v>1478</v>
      </c>
      <c r="G4124" s="3" t="s">
        <v>115</v>
      </c>
      <c r="H4124" s="3" t="s">
        <v>29</v>
      </c>
      <c r="I4124" s="55">
        <v>46126</v>
      </c>
      <c r="J4124" s="55">
        <v>46129</v>
      </c>
      <c r="K4124" s="55">
        <v>46156</v>
      </c>
      <c r="L4124" s="55"/>
      <c r="M4124" s="55"/>
      <c r="N4124" s="3"/>
      <c r="O4124" s="119" t="s">
        <v>10</v>
      </c>
      <c r="P4124" s="55">
        <v>46174</v>
      </c>
      <c r="Q4124" s="167"/>
      <c r="R4124" s="1" t="s">
        <v>2007</v>
      </c>
    </row>
    <row r="4125" spans="1:121">
      <c r="A4125" s="166" t="s">
        <v>155</v>
      </c>
      <c r="B4125" s="173" t="s">
        <v>156</v>
      </c>
      <c r="C4125" s="195">
        <v>104610123</v>
      </c>
      <c r="D4125" s="168">
        <v>134609294</v>
      </c>
      <c r="E4125" s="29"/>
      <c r="F4125" s="29" t="s">
        <v>1478</v>
      </c>
      <c r="G4125" s="3" t="s">
        <v>115</v>
      </c>
      <c r="H4125" s="3" t="s">
        <v>29</v>
      </c>
      <c r="I4125" s="55">
        <v>46126</v>
      </c>
      <c r="J4125" s="55">
        <v>46129</v>
      </c>
      <c r="K4125" s="55">
        <v>46156</v>
      </c>
      <c r="L4125" s="55"/>
      <c r="M4125" s="55"/>
      <c r="N4125" s="3"/>
      <c r="O4125" s="119" t="s">
        <v>10</v>
      </c>
      <c r="P4125" s="55">
        <v>46174</v>
      </c>
      <c r="Q4125" s="167"/>
      <c r="R4125" s="1" t="s">
        <v>2007</v>
      </c>
    </row>
    <row r="4126" spans="1:121">
      <c r="A4126" s="166" t="s">
        <v>155</v>
      </c>
      <c r="B4126" s="173" t="s">
        <v>156</v>
      </c>
      <c r="C4126" s="195">
        <v>104610138</v>
      </c>
      <c r="D4126" s="168">
        <v>134609295</v>
      </c>
      <c r="E4126" s="29"/>
      <c r="F4126" s="29" t="s">
        <v>1478</v>
      </c>
      <c r="G4126" s="3" t="s">
        <v>115</v>
      </c>
      <c r="H4126" s="3" t="s">
        <v>29</v>
      </c>
      <c r="I4126" s="55">
        <v>46126</v>
      </c>
      <c r="J4126" s="55">
        <v>46129</v>
      </c>
      <c r="K4126" s="55">
        <v>46156</v>
      </c>
      <c r="L4126" s="55"/>
      <c r="M4126" s="55"/>
      <c r="N4126" s="3"/>
      <c r="O4126" s="119" t="s">
        <v>10</v>
      </c>
      <c r="P4126" s="55">
        <v>46174</v>
      </c>
      <c r="Q4126" s="167"/>
      <c r="R4126" s="1" t="s">
        <v>2007</v>
      </c>
    </row>
    <row r="4127" spans="1:121">
      <c r="A4127" s="166" t="s">
        <v>155</v>
      </c>
      <c r="B4127" s="173" t="s">
        <v>156</v>
      </c>
      <c r="C4127" s="195">
        <v>104610144</v>
      </c>
      <c r="D4127" s="168">
        <v>134609296</v>
      </c>
      <c r="E4127" s="29"/>
      <c r="F4127" s="29" t="s">
        <v>1478</v>
      </c>
      <c r="G4127" s="3" t="s">
        <v>115</v>
      </c>
      <c r="H4127" s="3" t="s">
        <v>29</v>
      </c>
      <c r="I4127" s="55">
        <v>46126</v>
      </c>
      <c r="J4127" s="55">
        <v>46129</v>
      </c>
      <c r="K4127" s="55">
        <v>46156</v>
      </c>
      <c r="L4127" s="55"/>
      <c r="M4127" s="55"/>
      <c r="N4127" s="3"/>
      <c r="O4127" s="119" t="s">
        <v>10</v>
      </c>
      <c r="P4127" s="55">
        <v>46174</v>
      </c>
      <c r="Q4127" s="167"/>
      <c r="R4127" s="1" t="s">
        <v>2007</v>
      </c>
    </row>
    <row r="4128" spans="1:121">
      <c r="A4128" s="166" t="s">
        <v>155</v>
      </c>
      <c r="B4128" s="173" t="s">
        <v>156</v>
      </c>
      <c r="C4128" s="195">
        <v>104610148</v>
      </c>
      <c r="D4128" s="168">
        <v>134609298</v>
      </c>
      <c r="E4128" s="29"/>
      <c r="F4128" s="29" t="s">
        <v>1478</v>
      </c>
      <c r="G4128" s="3" t="s">
        <v>115</v>
      </c>
      <c r="H4128" s="3" t="s">
        <v>29</v>
      </c>
      <c r="I4128" s="55">
        <v>46126</v>
      </c>
      <c r="J4128" s="55">
        <v>46129</v>
      </c>
      <c r="K4128" s="55">
        <v>46156</v>
      </c>
      <c r="L4128" s="55"/>
      <c r="M4128" s="55"/>
      <c r="N4128" s="3"/>
      <c r="O4128" s="119" t="s">
        <v>10</v>
      </c>
      <c r="P4128" s="55">
        <v>46174</v>
      </c>
      <c r="Q4128" s="167"/>
      <c r="R4128" s="1" t="s">
        <v>2007</v>
      </c>
    </row>
    <row r="4129" spans="1:18">
      <c r="A4129" s="166" t="s">
        <v>155</v>
      </c>
      <c r="B4129" s="173" t="s">
        <v>156</v>
      </c>
      <c r="C4129" s="195">
        <v>104610154</v>
      </c>
      <c r="D4129" s="168">
        <v>134609299</v>
      </c>
      <c r="E4129" s="29"/>
      <c r="F4129" s="29" t="s">
        <v>1478</v>
      </c>
      <c r="G4129" s="3" t="s">
        <v>115</v>
      </c>
      <c r="H4129" s="3" t="s">
        <v>29</v>
      </c>
      <c r="I4129" s="55">
        <v>46126</v>
      </c>
      <c r="J4129" s="55">
        <v>46129</v>
      </c>
      <c r="K4129" s="55">
        <v>46156</v>
      </c>
      <c r="L4129" s="55"/>
      <c r="M4129" s="55"/>
      <c r="N4129" s="3"/>
      <c r="O4129" s="119" t="s">
        <v>9</v>
      </c>
      <c r="P4129" s="3"/>
      <c r="Q4129" s="167"/>
      <c r="R4129" s="1" t="s">
        <v>2007</v>
      </c>
    </row>
    <row r="4130" spans="1:18">
      <c r="A4130" s="166" t="s">
        <v>155</v>
      </c>
      <c r="B4130" s="173" t="s">
        <v>156</v>
      </c>
      <c r="C4130" s="195">
        <v>104610160</v>
      </c>
      <c r="D4130" s="168">
        <v>134609300</v>
      </c>
      <c r="E4130" s="29"/>
      <c r="F4130" s="29" t="s">
        <v>1478</v>
      </c>
      <c r="G4130" s="3" t="s">
        <v>115</v>
      </c>
      <c r="H4130" s="3" t="s">
        <v>29</v>
      </c>
      <c r="I4130" s="55">
        <v>46126</v>
      </c>
      <c r="J4130" s="55">
        <v>46129</v>
      </c>
      <c r="K4130" s="55">
        <v>46156</v>
      </c>
      <c r="L4130" s="55"/>
      <c r="M4130" s="55"/>
      <c r="N4130" s="3"/>
      <c r="O4130" s="119" t="s">
        <v>9</v>
      </c>
      <c r="P4130" s="3"/>
      <c r="Q4130" s="167"/>
      <c r="R4130" s="1" t="s">
        <v>2007</v>
      </c>
    </row>
    <row r="4131" spans="1:18">
      <c r="A4131" s="166" t="s">
        <v>155</v>
      </c>
      <c r="B4131" s="173" t="s">
        <v>156</v>
      </c>
      <c r="C4131" s="195">
        <v>104610171</v>
      </c>
      <c r="D4131" s="168">
        <v>134609303</v>
      </c>
      <c r="E4131" s="29"/>
      <c r="F4131" s="29" t="s">
        <v>1478</v>
      </c>
      <c r="G4131" s="3" t="s">
        <v>115</v>
      </c>
      <c r="H4131" s="3" t="s">
        <v>29</v>
      </c>
      <c r="I4131" s="55">
        <v>46126</v>
      </c>
      <c r="J4131" s="55">
        <v>46129</v>
      </c>
      <c r="K4131" s="55">
        <v>46156</v>
      </c>
      <c r="L4131" s="55"/>
      <c r="M4131" s="55"/>
      <c r="N4131" s="3"/>
      <c r="O4131" s="119" t="s">
        <v>9</v>
      </c>
      <c r="P4131" s="3"/>
      <c r="Q4131" s="167"/>
      <c r="R4131" s="1" t="s">
        <v>2007</v>
      </c>
    </row>
    <row r="4132" spans="1:18">
      <c r="A4132" s="166" t="s">
        <v>155</v>
      </c>
      <c r="B4132" s="173" t="s">
        <v>156</v>
      </c>
      <c r="C4132" s="195">
        <v>104610177</v>
      </c>
      <c r="D4132" s="168">
        <v>134609306</v>
      </c>
      <c r="E4132" s="29"/>
      <c r="F4132" s="29" t="s">
        <v>1478</v>
      </c>
      <c r="G4132" s="3" t="s">
        <v>115</v>
      </c>
      <c r="H4132" s="3" t="s">
        <v>29</v>
      </c>
      <c r="I4132" s="55">
        <v>46126</v>
      </c>
      <c r="J4132" s="55">
        <v>46129</v>
      </c>
      <c r="K4132" s="55">
        <v>46156</v>
      </c>
      <c r="L4132" s="55"/>
      <c r="M4132" s="55"/>
      <c r="N4132" s="3"/>
      <c r="O4132" s="119" t="s">
        <v>10</v>
      </c>
      <c r="P4132" s="55">
        <v>46174</v>
      </c>
      <c r="Q4132" s="167"/>
      <c r="R4132" s="1" t="s">
        <v>2007</v>
      </c>
    </row>
    <row r="4133" spans="1:18">
      <c r="A4133" s="166" t="s">
        <v>155</v>
      </c>
      <c r="B4133" s="173" t="s">
        <v>156</v>
      </c>
      <c r="C4133" s="195">
        <v>104610186</v>
      </c>
      <c r="D4133" s="168">
        <v>134609307</v>
      </c>
      <c r="E4133" s="29"/>
      <c r="F4133" s="29" t="s">
        <v>1478</v>
      </c>
      <c r="G4133" s="3" t="s">
        <v>115</v>
      </c>
      <c r="H4133" s="3" t="s">
        <v>29</v>
      </c>
      <c r="I4133" s="55">
        <v>46126</v>
      </c>
      <c r="J4133" s="55">
        <v>46129</v>
      </c>
      <c r="K4133" s="55">
        <v>46156</v>
      </c>
      <c r="L4133" s="55"/>
      <c r="M4133" s="55"/>
      <c r="N4133" s="3"/>
      <c r="O4133" s="119" t="s">
        <v>9</v>
      </c>
      <c r="P4133" s="3"/>
      <c r="Q4133" s="167"/>
      <c r="R4133" s="1" t="s">
        <v>2007</v>
      </c>
    </row>
    <row r="4134" spans="1:18">
      <c r="A4134" s="166" t="s">
        <v>155</v>
      </c>
      <c r="B4134" s="173" t="s">
        <v>156</v>
      </c>
      <c r="C4134" s="195">
        <v>104610188</v>
      </c>
      <c r="D4134" s="168">
        <v>134609308</v>
      </c>
      <c r="E4134" s="29"/>
      <c r="F4134" s="29" t="s">
        <v>1478</v>
      </c>
      <c r="G4134" s="3" t="s">
        <v>115</v>
      </c>
      <c r="H4134" s="3" t="s">
        <v>29</v>
      </c>
      <c r="I4134" s="55">
        <v>46126</v>
      </c>
      <c r="J4134" s="55">
        <v>46129</v>
      </c>
      <c r="K4134" s="55">
        <v>46156</v>
      </c>
      <c r="L4134" s="55"/>
      <c r="M4134" s="55"/>
      <c r="N4134" s="3"/>
      <c r="O4134" s="119" t="s">
        <v>9</v>
      </c>
      <c r="P4134" s="3"/>
      <c r="Q4134" s="167"/>
      <c r="R4134" s="1" t="s">
        <v>2007</v>
      </c>
    </row>
    <row r="4135" spans="1:18">
      <c r="A4135" s="166" t="s">
        <v>155</v>
      </c>
      <c r="B4135" s="173" t="s">
        <v>156</v>
      </c>
      <c r="C4135" s="195">
        <v>104610195</v>
      </c>
      <c r="D4135" s="168">
        <v>134609310</v>
      </c>
      <c r="E4135" s="29"/>
      <c r="F4135" s="29" t="s">
        <v>1478</v>
      </c>
      <c r="G4135" s="3" t="s">
        <v>115</v>
      </c>
      <c r="H4135" s="3" t="s">
        <v>29</v>
      </c>
      <c r="I4135" s="55">
        <v>46126</v>
      </c>
      <c r="J4135" s="55">
        <v>46129</v>
      </c>
      <c r="K4135" s="55">
        <v>46156</v>
      </c>
      <c r="L4135" s="55"/>
      <c r="M4135" s="55"/>
      <c r="N4135" s="3"/>
      <c r="O4135" s="119" t="s">
        <v>9</v>
      </c>
      <c r="P4135" s="3"/>
      <c r="Q4135" s="167"/>
      <c r="R4135" s="1" t="s">
        <v>2007</v>
      </c>
    </row>
    <row r="4136" spans="1:18">
      <c r="A4136" s="166" t="s">
        <v>155</v>
      </c>
      <c r="B4136" s="173" t="s">
        <v>156</v>
      </c>
      <c r="C4136" s="195">
        <v>104610201</v>
      </c>
      <c r="D4136" s="168">
        <v>134609311</v>
      </c>
      <c r="E4136" s="29"/>
      <c r="F4136" s="29" t="s">
        <v>1478</v>
      </c>
      <c r="G4136" s="3" t="s">
        <v>115</v>
      </c>
      <c r="H4136" s="3" t="s">
        <v>29</v>
      </c>
      <c r="I4136" s="55">
        <v>46126</v>
      </c>
      <c r="J4136" s="55">
        <v>46129</v>
      </c>
      <c r="K4136" s="55">
        <v>46156</v>
      </c>
      <c r="L4136" s="55"/>
      <c r="M4136" s="55"/>
      <c r="N4136" s="3"/>
      <c r="O4136" s="119" t="s">
        <v>9</v>
      </c>
      <c r="P4136" s="3"/>
      <c r="Q4136" s="167"/>
      <c r="R4136" s="1" t="s">
        <v>2007</v>
      </c>
    </row>
    <row r="4137" spans="1:18">
      <c r="A4137" s="166" t="s">
        <v>155</v>
      </c>
      <c r="B4137" s="173" t="s">
        <v>156</v>
      </c>
      <c r="C4137" s="195">
        <v>104610204</v>
      </c>
      <c r="D4137" s="168">
        <v>134609312</v>
      </c>
      <c r="E4137" s="29"/>
      <c r="F4137" s="29" t="s">
        <v>1478</v>
      </c>
      <c r="G4137" s="3" t="s">
        <v>115</v>
      </c>
      <c r="H4137" s="3" t="s">
        <v>29</v>
      </c>
      <c r="I4137" s="55">
        <v>46126</v>
      </c>
      <c r="J4137" s="55">
        <v>46129</v>
      </c>
      <c r="K4137" s="55">
        <v>46156</v>
      </c>
      <c r="L4137" s="55"/>
      <c r="M4137" s="55"/>
      <c r="N4137" s="3"/>
      <c r="O4137" s="119" t="s">
        <v>9</v>
      </c>
      <c r="P4137" s="3"/>
      <c r="Q4137" s="167"/>
      <c r="R4137" s="1" t="s">
        <v>2007</v>
      </c>
    </row>
    <row r="4138" spans="1:18">
      <c r="A4138" s="166" t="s">
        <v>155</v>
      </c>
      <c r="B4138" s="173" t="s">
        <v>156</v>
      </c>
      <c r="C4138" s="195">
        <v>104610207</v>
      </c>
      <c r="D4138" s="168">
        <v>134609325</v>
      </c>
      <c r="E4138" s="29"/>
      <c r="F4138" s="29" t="s">
        <v>1478</v>
      </c>
      <c r="G4138" s="3" t="s">
        <v>115</v>
      </c>
      <c r="H4138" s="3" t="s">
        <v>29</v>
      </c>
      <c r="I4138" s="55">
        <v>46126</v>
      </c>
      <c r="J4138" s="55">
        <v>46129</v>
      </c>
      <c r="K4138" s="55">
        <v>46156</v>
      </c>
      <c r="L4138" s="55"/>
      <c r="M4138" s="55"/>
      <c r="N4138" s="3"/>
      <c r="O4138" s="119" t="s">
        <v>9</v>
      </c>
      <c r="P4138" s="3"/>
      <c r="Q4138" s="167"/>
      <c r="R4138" s="1" t="s">
        <v>2007</v>
      </c>
    </row>
    <row r="4139" spans="1:18">
      <c r="A4139" s="166" t="s">
        <v>155</v>
      </c>
      <c r="B4139" s="173" t="s">
        <v>156</v>
      </c>
      <c r="C4139" s="195">
        <v>104610210</v>
      </c>
      <c r="D4139" s="168">
        <v>134609330</v>
      </c>
      <c r="E4139" s="29"/>
      <c r="F4139" s="29" t="s">
        <v>1478</v>
      </c>
      <c r="G4139" s="3" t="s">
        <v>115</v>
      </c>
      <c r="H4139" s="3" t="s">
        <v>29</v>
      </c>
      <c r="I4139" s="55">
        <v>46126</v>
      </c>
      <c r="J4139" s="55">
        <v>46129</v>
      </c>
      <c r="K4139" s="55">
        <v>46156</v>
      </c>
      <c r="L4139" s="55"/>
      <c r="M4139" s="55"/>
      <c r="N4139" s="3"/>
      <c r="O4139" s="119" t="s">
        <v>9</v>
      </c>
      <c r="P4139" s="3"/>
      <c r="Q4139" s="167"/>
      <c r="R4139" s="1" t="s">
        <v>2007</v>
      </c>
    </row>
    <row r="4140" spans="1:18">
      <c r="A4140" s="166" t="s">
        <v>155</v>
      </c>
      <c r="B4140" s="173" t="s">
        <v>156</v>
      </c>
      <c r="C4140" s="195">
        <v>104610214</v>
      </c>
      <c r="D4140" s="168">
        <v>134609334</v>
      </c>
      <c r="E4140" s="29"/>
      <c r="F4140" s="29" t="s">
        <v>1478</v>
      </c>
      <c r="G4140" s="3" t="s">
        <v>115</v>
      </c>
      <c r="H4140" s="3" t="s">
        <v>29</v>
      </c>
      <c r="I4140" s="55">
        <v>46126</v>
      </c>
      <c r="J4140" s="55">
        <v>46129</v>
      </c>
      <c r="K4140" s="55">
        <v>46156</v>
      </c>
      <c r="L4140" s="55"/>
      <c r="M4140" s="55"/>
      <c r="N4140" s="3"/>
      <c r="O4140" s="119" t="s">
        <v>10</v>
      </c>
      <c r="P4140" s="55">
        <v>46174</v>
      </c>
      <c r="Q4140" s="167"/>
      <c r="R4140" s="1" t="s">
        <v>2007</v>
      </c>
    </row>
    <row r="4141" spans="1:18">
      <c r="A4141" s="166" t="s">
        <v>155</v>
      </c>
      <c r="B4141" s="173" t="s">
        <v>156</v>
      </c>
      <c r="C4141" s="195">
        <v>104610215</v>
      </c>
      <c r="D4141" s="168">
        <v>134609338</v>
      </c>
      <c r="E4141" s="29"/>
      <c r="F4141" s="29" t="s">
        <v>1478</v>
      </c>
      <c r="G4141" s="3" t="s">
        <v>115</v>
      </c>
      <c r="H4141" s="3" t="s">
        <v>29</v>
      </c>
      <c r="I4141" s="55">
        <v>46126</v>
      </c>
      <c r="J4141" s="55">
        <v>46129</v>
      </c>
      <c r="K4141" s="55">
        <v>46156</v>
      </c>
      <c r="L4141" s="55"/>
      <c r="M4141" s="55"/>
      <c r="N4141" s="3"/>
      <c r="O4141" s="119" t="s">
        <v>9</v>
      </c>
      <c r="P4141" s="3"/>
      <c r="Q4141" s="167"/>
      <c r="R4141" s="1" t="s">
        <v>2007</v>
      </c>
    </row>
    <row r="4142" spans="1:18">
      <c r="A4142" s="166" t="s">
        <v>155</v>
      </c>
      <c r="B4142" s="173" t="s">
        <v>156</v>
      </c>
      <c r="C4142" s="195">
        <v>104610220</v>
      </c>
      <c r="D4142" s="168">
        <v>134609342</v>
      </c>
      <c r="E4142" s="29"/>
      <c r="F4142" s="29" t="s">
        <v>1478</v>
      </c>
      <c r="G4142" s="3" t="s">
        <v>115</v>
      </c>
      <c r="H4142" s="3" t="s">
        <v>29</v>
      </c>
      <c r="I4142" s="55">
        <v>46126</v>
      </c>
      <c r="J4142" s="55">
        <v>46129</v>
      </c>
      <c r="K4142" s="55">
        <v>46156</v>
      </c>
      <c r="L4142" s="55"/>
      <c r="M4142" s="55"/>
      <c r="N4142" s="3"/>
      <c r="O4142" s="119" t="s">
        <v>9</v>
      </c>
      <c r="P4142" s="3"/>
      <c r="Q4142" s="167"/>
      <c r="R4142" s="1" t="s">
        <v>2007</v>
      </c>
    </row>
    <row r="4143" spans="1:18">
      <c r="A4143" s="166" t="s">
        <v>155</v>
      </c>
      <c r="B4143" s="173" t="s">
        <v>156</v>
      </c>
      <c r="C4143" s="195">
        <v>104610223</v>
      </c>
      <c r="D4143" s="168">
        <v>134609343</v>
      </c>
      <c r="E4143" s="29"/>
      <c r="F4143" s="29" t="s">
        <v>1478</v>
      </c>
      <c r="G4143" s="3" t="s">
        <v>115</v>
      </c>
      <c r="H4143" s="3" t="s">
        <v>29</v>
      </c>
      <c r="I4143" s="55">
        <v>46126</v>
      </c>
      <c r="J4143" s="55">
        <v>46129</v>
      </c>
      <c r="K4143" s="55">
        <v>46156</v>
      </c>
      <c r="L4143" s="55"/>
      <c r="M4143" s="55"/>
      <c r="N4143" s="3"/>
      <c r="O4143" s="119" t="s">
        <v>10</v>
      </c>
      <c r="P4143" s="55">
        <v>46174</v>
      </c>
      <c r="Q4143" s="167"/>
      <c r="R4143" s="1" t="s">
        <v>2007</v>
      </c>
    </row>
    <row r="4144" spans="1:18">
      <c r="A4144" s="166" t="s">
        <v>155</v>
      </c>
      <c r="B4144" s="173" t="s">
        <v>156</v>
      </c>
      <c r="C4144" s="195">
        <v>104610229</v>
      </c>
      <c r="D4144" s="168"/>
      <c r="E4144" s="29"/>
      <c r="F4144" s="29" t="s">
        <v>1478</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1478</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1478</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1478</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1478</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1478</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1478</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1478</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1478</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1478</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1478</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1478</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1478</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1478</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1478</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1478</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1478</v>
      </c>
      <c r="G4160" s="3" t="s">
        <v>115</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254</v>
      </c>
      <c r="G4161" s="3" t="s">
        <v>115</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254</v>
      </c>
      <c r="G4162" s="3" t="s">
        <v>115</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254</v>
      </c>
      <c r="G4163" s="3" t="s">
        <v>115</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254</v>
      </c>
      <c r="G4164" s="3" t="s">
        <v>115</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254</v>
      </c>
      <c r="G4165" s="3" t="s">
        <v>115</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254</v>
      </c>
      <c r="G4166" s="3" t="s">
        <v>115</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254</v>
      </c>
      <c r="G4167" s="3" t="s">
        <v>115</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254</v>
      </c>
      <c r="G4168" s="3" t="s">
        <v>115</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254</v>
      </c>
      <c r="G4169" s="3" t="s">
        <v>115</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254</v>
      </c>
      <c r="G4170" s="3" t="s">
        <v>115</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254</v>
      </c>
      <c r="G4171" s="3" t="s">
        <v>115</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254</v>
      </c>
      <c r="G4172" s="3" t="s">
        <v>115</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254</v>
      </c>
      <c r="G4173" s="3" t="s">
        <v>115</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254</v>
      </c>
      <c r="G4174" s="3" t="s">
        <v>115</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254</v>
      </c>
      <c r="G4175" s="3" t="s">
        <v>115</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254</v>
      </c>
      <c r="G4176" s="3" t="s">
        <v>115</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254</v>
      </c>
      <c r="G4177" s="3" t="s">
        <v>115</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254</v>
      </c>
      <c r="G4178" s="3" t="s">
        <v>115</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254</v>
      </c>
      <c r="G4179" s="3" t="s">
        <v>115</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254</v>
      </c>
      <c r="G4180" s="3" t="s">
        <v>115</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254</v>
      </c>
      <c r="G4181" s="3" t="s">
        <v>115</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254</v>
      </c>
      <c r="G4182" s="3" t="s">
        <v>115</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254</v>
      </c>
      <c r="G4183" s="3" t="s">
        <v>115</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254</v>
      </c>
      <c r="G4184" s="3" t="s">
        <v>115</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254</v>
      </c>
      <c r="G4185" s="3" t="s">
        <v>115</v>
      </c>
      <c r="H4185" s="3" t="s">
        <v>1978</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2014</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2014</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2015</v>
      </c>
      <c r="B4188" s="183" t="s">
        <v>2016</v>
      </c>
      <c r="C4188" s="195">
        <v>151600798</v>
      </c>
      <c r="D4188" s="168"/>
      <c r="E4188" s="29"/>
      <c r="F4188" s="29" t="s">
        <v>114</v>
      </c>
      <c r="G4188" s="3" t="s">
        <v>2014</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2015</v>
      </c>
      <c r="B4189" s="183" t="s">
        <v>2016</v>
      </c>
      <c r="C4189" s="195">
        <v>151600788</v>
      </c>
      <c r="D4189" s="168"/>
      <c r="E4189" s="29"/>
      <c r="F4189" s="29" t="s">
        <v>114</v>
      </c>
      <c r="G4189" s="3" t="s">
        <v>2014</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2015</v>
      </c>
      <c r="B4190" s="183" t="s">
        <v>2016</v>
      </c>
      <c r="C4190" s="195">
        <v>151600787</v>
      </c>
      <c r="D4190" s="168"/>
      <c r="E4190" s="29"/>
      <c r="F4190" s="29" t="s">
        <v>114</v>
      </c>
      <c r="G4190" s="3" t="s">
        <v>2014</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2015</v>
      </c>
      <c r="B4191" s="183" t="s">
        <v>2016</v>
      </c>
      <c r="C4191" s="195">
        <v>151600781</v>
      </c>
      <c r="D4191" s="168"/>
      <c r="E4191" s="29"/>
      <c r="F4191" s="29" t="s">
        <v>114</v>
      </c>
      <c r="G4191" s="3" t="s">
        <v>2014</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2015</v>
      </c>
      <c r="B4192" s="183" t="s">
        <v>2016</v>
      </c>
      <c r="C4192" s="195">
        <v>151600779</v>
      </c>
      <c r="D4192" s="168"/>
      <c r="E4192" s="29"/>
      <c r="F4192" s="29" t="s">
        <v>114</v>
      </c>
      <c r="G4192" s="3" t="s">
        <v>2014</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114</v>
      </c>
      <c r="G4193" s="3" t="s">
        <v>2014</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114</v>
      </c>
      <c r="G4194" s="3" t="s">
        <v>2014</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114</v>
      </c>
      <c r="G4195" s="3" t="s">
        <v>2014</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114</v>
      </c>
      <c r="G4196" s="3" t="s">
        <v>2014</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114</v>
      </c>
      <c r="G4197" s="3" t="s">
        <v>2014</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114</v>
      </c>
      <c r="G4198" s="3" t="s">
        <v>2014</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114</v>
      </c>
      <c r="G4199" s="3" t="s">
        <v>2014</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114</v>
      </c>
      <c r="G4200" s="3" t="s">
        <v>2014</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114</v>
      </c>
      <c r="G4201" s="3" t="s">
        <v>2014</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114</v>
      </c>
      <c r="G4202" s="3" t="s">
        <v>2014</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114</v>
      </c>
      <c r="G4203" s="3" t="s">
        <v>2014</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114</v>
      </c>
      <c r="G4204" s="3" t="s">
        <v>2014</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114</v>
      </c>
      <c r="G4205" s="3" t="s">
        <v>2014</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114</v>
      </c>
      <c r="G4206" s="3" t="s">
        <v>2014</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114</v>
      </c>
      <c r="G4207" s="3" t="s">
        <v>2014</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2017</v>
      </c>
      <c r="B4236" s="173" t="s">
        <v>2018</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2017</v>
      </c>
      <c r="B4237" s="173" t="s">
        <v>2018</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2019</v>
      </c>
    </row>
    <row r="4238" spans="1:121">
      <c r="A4238" s="166" t="s">
        <v>2017</v>
      </c>
      <c r="B4238" s="173" t="s">
        <v>2018</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2019</v>
      </c>
    </row>
    <row r="4239" spans="1:121">
      <c r="A4239" s="166" t="s">
        <v>2017</v>
      </c>
      <c r="B4239" s="173" t="s">
        <v>2018</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2019</v>
      </c>
    </row>
    <row r="4240" spans="1:121">
      <c r="A4240" s="166" t="s">
        <v>2017</v>
      </c>
      <c r="B4240" s="173" t="s">
        <v>2018</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2019</v>
      </c>
    </row>
    <row r="4241" spans="1:121">
      <c r="A4241" s="166" t="s">
        <v>2017</v>
      </c>
      <c r="B4241" s="173" t="s">
        <v>2018</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2020</v>
      </c>
      <c r="B4242" s="176" t="s">
        <v>2021</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2020</v>
      </c>
      <c r="B4243" s="173" t="s">
        <v>2021</v>
      </c>
      <c r="C4243" s="195">
        <v>152610523</v>
      </c>
      <c r="D4243" s="168"/>
      <c r="E4243" s="29"/>
      <c r="F4243" s="29" t="s">
        <v>76</v>
      </c>
      <c r="G4243" s="3" t="s">
        <v>64</v>
      </c>
      <c r="H4243" s="3" t="s">
        <v>77</v>
      </c>
      <c r="I4243" s="55">
        <v>46174</v>
      </c>
      <c r="J4243" s="55">
        <v>46177</v>
      </c>
      <c r="K4243" s="55">
        <v>46204</v>
      </c>
      <c r="L4243" s="55"/>
      <c r="M4243" s="55"/>
      <c r="N4243" s="3"/>
      <c r="O4243" s="119" t="s">
        <v>10</v>
      </c>
      <c r="P4243" s="55" t="s">
        <v>2022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2020</v>
      </c>
      <c r="B4244" s="173" t="s">
        <v>2021</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2020</v>
      </c>
      <c r="B4245" s="173" t="s">
        <v>2021</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2020</v>
      </c>
      <c r="B4246" s="173" t="s">
        <v>2021</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2023</v>
      </c>
      <c r="B4247" s="173" t="s">
        <v>2024</v>
      </c>
      <c r="C4247" s="195">
        <v>155606002</v>
      </c>
      <c r="D4247" s="168"/>
      <c r="E4247" s="29"/>
      <c r="F4247" s="29" t="s">
        <v>159</v>
      </c>
      <c r="G4247" s="3" t="s">
        <v>64</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2023</v>
      </c>
      <c r="B4248" s="173" t="s">
        <v>2024</v>
      </c>
      <c r="C4248" s="195">
        <v>155606124</v>
      </c>
      <c r="D4248" s="168"/>
      <c r="E4248" s="29"/>
      <c r="F4248" s="29" t="s">
        <v>159</v>
      </c>
      <c r="G4248" s="3" t="s">
        <v>64</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2023</v>
      </c>
      <c r="B4249" s="176" t="s">
        <v>2024</v>
      </c>
      <c r="C4249" s="195">
        <v>155606226</v>
      </c>
      <c r="D4249" s="168"/>
      <c r="E4249" s="29"/>
      <c r="F4249" s="29" t="s">
        <v>159</v>
      </c>
      <c r="G4249" s="3" t="s">
        <v>64</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2023</v>
      </c>
      <c r="B4250" s="176" t="s">
        <v>2024</v>
      </c>
      <c r="C4250" s="195">
        <v>155606313</v>
      </c>
      <c r="D4250" s="168"/>
      <c r="E4250" s="29"/>
      <c r="F4250" s="29" t="s">
        <v>159</v>
      </c>
      <c r="G4250" s="3" t="s">
        <v>64</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2023</v>
      </c>
      <c r="B4251" s="176" t="s">
        <v>2024</v>
      </c>
      <c r="C4251" s="195">
        <v>155606473</v>
      </c>
      <c r="D4251" s="168"/>
      <c r="E4251" s="29"/>
      <c r="F4251" s="29" t="s">
        <v>159</v>
      </c>
      <c r="G4251" s="3" t="s">
        <v>64</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2023</v>
      </c>
      <c r="B4252" s="176" t="s">
        <v>2024</v>
      </c>
      <c r="C4252" s="195">
        <v>155606598</v>
      </c>
      <c r="D4252" s="168"/>
      <c r="E4252" s="29"/>
      <c r="F4252" s="29" t="s">
        <v>159</v>
      </c>
      <c r="G4252" s="3" t="s">
        <v>64</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2023</v>
      </c>
      <c r="B4253" s="176" t="s">
        <v>2024</v>
      </c>
      <c r="C4253" s="195">
        <v>155606693</v>
      </c>
      <c r="D4253" s="168"/>
      <c r="E4253" s="29"/>
      <c r="F4253" s="29" t="s">
        <v>159</v>
      </c>
      <c r="G4253" s="3" t="s">
        <v>64</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2025</v>
      </c>
      <c r="B4254" s="183" t="s">
        <v>2026</v>
      </c>
      <c r="C4254" s="195">
        <v>155607502</v>
      </c>
      <c r="D4254" s="168"/>
      <c r="E4254" s="184"/>
      <c r="F4254" s="184" t="s">
        <v>159</v>
      </c>
      <c r="G4254" s="3" t="s">
        <v>64</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2025</v>
      </c>
      <c r="B4255" s="183" t="s">
        <v>2026</v>
      </c>
      <c r="C4255" s="195">
        <v>155607725</v>
      </c>
      <c r="D4255" s="168"/>
      <c r="E4255" s="184"/>
      <c r="F4255" s="184" t="s">
        <v>159</v>
      </c>
      <c r="G4255" s="3" t="s">
        <v>64</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1062</v>
      </c>
      <c r="G4274" s="3" t="s">
        <v>64</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1062</v>
      </c>
      <c r="G4275" s="3" t="s">
        <v>64</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1062</v>
      </c>
      <c r="G4276" s="3" t="s">
        <v>64</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1062</v>
      </c>
      <c r="G4277" s="3" t="s">
        <v>64</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1062</v>
      </c>
      <c r="G4278" s="3" t="s">
        <v>64</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1062</v>
      </c>
      <c r="G4279" s="3" t="s">
        <v>64</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1062</v>
      </c>
      <c r="G4280" s="3" t="s">
        <v>64</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1062</v>
      </c>
      <c r="G4281" s="3" t="s">
        <v>64</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2027</v>
      </c>
      <c r="B4302" s="176" t="s">
        <v>2028</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2027</v>
      </c>
      <c r="B4303" s="176" t="s">
        <v>2028</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2027</v>
      </c>
      <c r="B4304" s="176" t="s">
        <v>2028</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2027</v>
      </c>
      <c r="B4305" s="176" t="s">
        <v>2028</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2027</v>
      </c>
      <c r="B4306" s="183" t="s">
        <v>2028</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2027</v>
      </c>
      <c r="B4307" s="183" t="s">
        <v>2028</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2027</v>
      </c>
      <c r="B4308" s="183" t="s">
        <v>2028</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2029</v>
      </c>
      <c r="B4309" s="176" t="s">
        <v>2030</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2029</v>
      </c>
      <c r="B4310" s="176" t="s">
        <v>2030</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2029</v>
      </c>
      <c r="B4311" s="173" t="s">
        <v>2030</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2029</v>
      </c>
      <c r="B4312" s="173" t="s">
        <v>2030</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2029</v>
      </c>
      <c r="B4313" s="173" t="s">
        <v>2030</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2029</v>
      </c>
      <c r="B4314" s="173" t="s">
        <v>2030</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2031</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2032</v>
      </c>
      <c r="B4316" s="173" t="s">
        <v>2033</v>
      </c>
      <c r="C4316" s="195">
        <v>127606368</v>
      </c>
      <c r="D4316" s="168"/>
      <c r="E4316" s="29"/>
      <c r="F4316" s="29" t="s">
        <v>159</v>
      </c>
      <c r="G4316" s="3" t="s">
        <v>64</v>
      </c>
      <c r="H4316" s="3" t="s">
        <v>1140</v>
      </c>
      <c r="I4316" s="55">
        <v>46149</v>
      </c>
      <c r="J4316" s="55">
        <v>46153</v>
      </c>
      <c r="K4316" s="55">
        <v>46181</v>
      </c>
      <c r="L4316" s="55"/>
      <c r="M4316" s="55"/>
      <c r="N4316" s="3"/>
      <c r="O4316" s="119" t="s">
        <v>10</v>
      </c>
      <c r="P4316" s="55">
        <v>46174</v>
      </c>
      <c r="Q4316" s="167"/>
      <c r="R4316" s="1"/>
    </row>
    <row r="4317" spans="1:121">
      <c r="A4317" s="166" t="s">
        <v>2032</v>
      </c>
      <c r="B4317" s="173" t="s">
        <v>2033</v>
      </c>
      <c r="C4317" s="195">
        <v>127606356</v>
      </c>
      <c r="D4317" s="168"/>
      <c r="E4317" s="29"/>
      <c r="F4317" s="29" t="s">
        <v>159</v>
      </c>
      <c r="G4317" s="3" t="s">
        <v>64</v>
      </c>
      <c r="H4317" s="3" t="s">
        <v>1140</v>
      </c>
      <c r="I4317" s="55">
        <v>46149</v>
      </c>
      <c r="J4317" s="55">
        <v>46153</v>
      </c>
      <c r="K4317" s="55">
        <v>46181</v>
      </c>
      <c r="L4317" s="55"/>
      <c r="M4317" s="55"/>
      <c r="N4317" s="3"/>
      <c r="O4317" s="119" t="s">
        <v>10</v>
      </c>
      <c r="P4317" s="55">
        <v>46174</v>
      </c>
      <c r="Q4317" s="167"/>
      <c r="R4317" s="1"/>
    </row>
    <row r="4318" spans="1:121">
      <c r="A4318" s="166" t="s">
        <v>2032</v>
      </c>
      <c r="B4318" s="173" t="s">
        <v>2033</v>
      </c>
      <c r="C4318" s="195">
        <v>127606321</v>
      </c>
      <c r="D4318" s="168"/>
      <c r="E4318" s="29"/>
      <c r="F4318" s="29" t="s">
        <v>159</v>
      </c>
      <c r="G4318" s="3" t="s">
        <v>64</v>
      </c>
      <c r="H4318" s="3" t="s">
        <v>1140</v>
      </c>
      <c r="I4318" s="55">
        <v>46149</v>
      </c>
      <c r="J4318" s="55">
        <v>46153</v>
      </c>
      <c r="K4318" s="55">
        <v>46181</v>
      </c>
      <c r="L4318" s="55"/>
      <c r="M4318" s="55"/>
      <c r="N4318" s="3"/>
      <c r="O4318" s="119" t="s">
        <v>10</v>
      </c>
      <c r="P4318" s="55">
        <v>46174</v>
      </c>
      <c r="Q4318" s="167"/>
      <c r="R4318" s="1"/>
    </row>
    <row r="4319" spans="1:121">
      <c r="A4319" s="166" t="s">
        <v>2032</v>
      </c>
      <c r="B4319" s="173" t="s">
        <v>2033</v>
      </c>
      <c r="C4319" s="195">
        <v>127606291</v>
      </c>
      <c r="D4319" s="168"/>
      <c r="E4319" s="29"/>
      <c r="F4319" s="29" t="s">
        <v>159</v>
      </c>
      <c r="G4319" s="3" t="s">
        <v>64</v>
      </c>
      <c r="H4319" s="3" t="s">
        <v>1140</v>
      </c>
      <c r="I4319" s="55">
        <v>46149</v>
      </c>
      <c r="J4319" s="55">
        <v>46153</v>
      </c>
      <c r="K4319" s="55">
        <v>46181</v>
      </c>
      <c r="L4319" s="55"/>
      <c r="M4319" s="55"/>
      <c r="N4319" s="3"/>
      <c r="O4319" s="119" t="s">
        <v>10</v>
      </c>
      <c r="P4319" s="55">
        <v>46174</v>
      </c>
      <c r="Q4319" s="167"/>
      <c r="R4319" s="1"/>
    </row>
    <row r="4320" spans="1:121">
      <c r="A4320" s="166" t="s">
        <v>2032</v>
      </c>
      <c r="B4320" s="173" t="s">
        <v>2033</v>
      </c>
      <c r="C4320" s="195">
        <v>127606237</v>
      </c>
      <c r="D4320" s="168"/>
      <c r="E4320" s="29"/>
      <c r="F4320" s="29" t="s">
        <v>159</v>
      </c>
      <c r="G4320" s="3" t="s">
        <v>64</v>
      </c>
      <c r="H4320" s="3" t="s">
        <v>1140</v>
      </c>
      <c r="I4320" s="55">
        <v>46149</v>
      </c>
      <c r="J4320" s="55">
        <v>46153</v>
      </c>
      <c r="K4320" s="55">
        <v>46181</v>
      </c>
      <c r="L4320" s="55"/>
      <c r="M4320" s="55"/>
      <c r="N4320" s="3"/>
      <c r="O4320" s="119" t="s">
        <v>10</v>
      </c>
      <c r="P4320" s="55">
        <v>46174</v>
      </c>
      <c r="Q4320" s="167"/>
      <c r="R4320" s="1"/>
    </row>
    <row r="4321" spans="1:18">
      <c r="A4321" s="166" t="s">
        <v>2032</v>
      </c>
      <c r="B4321" s="173" t="s">
        <v>2033</v>
      </c>
      <c r="C4321" s="195">
        <v>127606183</v>
      </c>
      <c r="D4321" s="168"/>
      <c r="E4321" s="29"/>
      <c r="F4321" s="29" t="s">
        <v>159</v>
      </c>
      <c r="G4321" s="3" t="s">
        <v>64</v>
      </c>
      <c r="H4321" s="3" t="s">
        <v>1140</v>
      </c>
      <c r="I4321" s="55">
        <v>46149</v>
      </c>
      <c r="J4321" s="55">
        <v>46153</v>
      </c>
      <c r="K4321" s="55">
        <v>46181</v>
      </c>
      <c r="L4321" s="55"/>
      <c r="M4321" s="55"/>
      <c r="N4321" s="3"/>
      <c r="O4321" s="119" t="s">
        <v>10</v>
      </c>
      <c r="P4321" s="55">
        <v>46169</v>
      </c>
      <c r="Q4321" s="167"/>
      <c r="R4321" s="1"/>
    </row>
    <row r="4322" spans="1:18">
      <c r="A4322" s="166" t="s">
        <v>2032</v>
      </c>
      <c r="B4322" s="173" t="s">
        <v>2033</v>
      </c>
      <c r="C4322" s="195">
        <v>127606155</v>
      </c>
      <c r="D4322" s="168"/>
      <c r="E4322" s="29"/>
      <c r="F4322" s="29" t="s">
        <v>159</v>
      </c>
      <c r="G4322" s="3" t="s">
        <v>64</v>
      </c>
      <c r="H4322" s="3" t="s">
        <v>1140</v>
      </c>
      <c r="I4322" s="55">
        <v>46149</v>
      </c>
      <c r="J4322" s="55">
        <v>46153</v>
      </c>
      <c r="K4322" s="55">
        <v>46181</v>
      </c>
      <c r="L4322" s="55"/>
      <c r="M4322" s="55"/>
      <c r="N4322" s="3"/>
      <c r="O4322" s="119" t="s">
        <v>10</v>
      </c>
      <c r="P4322" s="55">
        <v>46179</v>
      </c>
      <c r="Q4322" s="167"/>
      <c r="R4322" s="1"/>
    </row>
    <row r="4323" spans="1:18">
      <c r="A4323" s="166" t="s">
        <v>2032</v>
      </c>
      <c r="B4323" s="173" t="s">
        <v>2033</v>
      </c>
      <c r="C4323" s="195">
        <v>127606136</v>
      </c>
      <c r="D4323" s="168"/>
      <c r="E4323" s="29"/>
      <c r="F4323" s="29" t="s">
        <v>159</v>
      </c>
      <c r="G4323" s="3" t="s">
        <v>64</v>
      </c>
      <c r="H4323" s="3" t="s">
        <v>1140</v>
      </c>
      <c r="I4323" s="55">
        <v>46149</v>
      </c>
      <c r="J4323" s="55">
        <v>46153</v>
      </c>
      <c r="K4323" s="55">
        <v>46181</v>
      </c>
      <c r="L4323" s="55"/>
      <c r="M4323" s="55"/>
      <c r="N4323" s="3"/>
      <c r="O4323" s="119" t="s">
        <v>10</v>
      </c>
      <c r="P4323" s="55">
        <v>46176</v>
      </c>
      <c r="Q4323" s="167"/>
      <c r="R4323" s="1"/>
    </row>
    <row r="4324" spans="1:18">
      <c r="A4324" s="166" t="s">
        <v>2032</v>
      </c>
      <c r="B4324" s="173" t="s">
        <v>2033</v>
      </c>
      <c r="C4324" s="195">
        <v>127606076</v>
      </c>
      <c r="D4324" s="168"/>
      <c r="E4324" s="29"/>
      <c r="F4324" s="29" t="s">
        <v>159</v>
      </c>
      <c r="G4324" s="3" t="s">
        <v>64</v>
      </c>
      <c r="H4324" s="3" t="s">
        <v>1140</v>
      </c>
      <c r="I4324" s="55">
        <v>46149</v>
      </c>
      <c r="J4324" s="55">
        <v>46153</v>
      </c>
      <c r="K4324" s="55">
        <v>46181</v>
      </c>
      <c r="L4324" s="55"/>
      <c r="M4324" s="55"/>
      <c r="N4324" s="3"/>
      <c r="O4324" s="119" t="s">
        <v>10</v>
      </c>
      <c r="P4324" s="55">
        <v>46174</v>
      </c>
      <c r="Q4324" s="167"/>
      <c r="R4324" s="1"/>
    </row>
    <row r="4325" spans="1:18">
      <c r="A4325" s="166" t="s">
        <v>2032</v>
      </c>
      <c r="B4325" s="173" t="s">
        <v>2033</v>
      </c>
      <c r="C4325" s="195">
        <v>127606028</v>
      </c>
      <c r="D4325" s="168"/>
      <c r="E4325" s="29"/>
      <c r="F4325" s="29" t="s">
        <v>159</v>
      </c>
      <c r="G4325" s="3" t="s">
        <v>64</v>
      </c>
      <c r="H4325" s="3" t="s">
        <v>1140</v>
      </c>
      <c r="I4325" s="55">
        <v>46149</v>
      </c>
      <c r="J4325" s="55">
        <v>46153</v>
      </c>
      <c r="K4325" s="55">
        <v>46181</v>
      </c>
      <c r="L4325" s="55"/>
      <c r="M4325" s="55"/>
      <c r="N4325" s="3"/>
      <c r="O4325" s="119" t="s">
        <v>10</v>
      </c>
      <c r="P4325" s="55">
        <v>46179</v>
      </c>
      <c r="Q4325" s="167"/>
      <c r="R4325" s="1"/>
    </row>
    <row r="4326" spans="1:18">
      <c r="A4326" s="166" t="s">
        <v>2032</v>
      </c>
      <c r="B4326" s="173" t="s">
        <v>2033</v>
      </c>
      <c r="C4326" s="195">
        <v>127606006</v>
      </c>
      <c r="D4326" s="168"/>
      <c r="E4326" s="29"/>
      <c r="F4326" s="29" t="s">
        <v>159</v>
      </c>
      <c r="G4326" s="3" t="s">
        <v>64</v>
      </c>
      <c r="H4326" s="3" t="s">
        <v>1140</v>
      </c>
      <c r="I4326" s="55">
        <v>46149</v>
      </c>
      <c r="J4326" s="55">
        <v>46153</v>
      </c>
      <c r="K4326" s="55">
        <v>46181</v>
      </c>
      <c r="L4326" s="55"/>
      <c r="M4326" s="55"/>
      <c r="N4326" s="3"/>
      <c r="O4326" s="119" t="s">
        <v>10</v>
      </c>
      <c r="P4326" s="55">
        <v>46179</v>
      </c>
      <c r="Q4326" s="167"/>
      <c r="R4326" s="1"/>
    </row>
    <row r="4327" spans="1:18">
      <c r="A4327" s="166" t="s">
        <v>2032</v>
      </c>
      <c r="B4327" s="173" t="s">
        <v>2033</v>
      </c>
      <c r="C4327" s="195">
        <v>127605976</v>
      </c>
      <c r="D4327" s="168"/>
      <c r="E4327" s="29"/>
      <c r="F4327" s="29" t="s">
        <v>159</v>
      </c>
      <c r="G4327" s="3" t="s">
        <v>64</v>
      </c>
      <c r="H4327" s="3" t="s">
        <v>1140</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2034</v>
      </c>
      <c r="B4335" s="173" t="s">
        <v>2035</v>
      </c>
      <c r="C4335" s="195">
        <v>138607831</v>
      </c>
      <c r="D4335" s="168"/>
      <c r="E4335" s="29"/>
      <c r="F4335" s="29" t="s">
        <v>68</v>
      </c>
      <c r="G4335" s="3" t="s">
        <v>64</v>
      </c>
      <c r="H4335" s="3" t="s">
        <v>2036</v>
      </c>
      <c r="I4335" s="55">
        <v>46160</v>
      </c>
      <c r="J4335" s="55">
        <v>46162</v>
      </c>
      <c r="K4335" s="55">
        <v>46190</v>
      </c>
      <c r="L4335" s="55"/>
      <c r="M4335" s="55"/>
      <c r="N4335" s="3"/>
      <c r="O4335" s="119" t="s">
        <v>10</v>
      </c>
      <c r="P4335" s="55">
        <v>46177</v>
      </c>
      <c r="Q4335" s="167"/>
      <c r="R4335" s="1"/>
    </row>
    <row r="4336" spans="1:18">
      <c r="A4336" s="166" t="s">
        <v>2034</v>
      </c>
      <c r="B4336" s="173" t="s">
        <v>2035</v>
      </c>
      <c r="C4336" s="195">
        <v>138607813</v>
      </c>
      <c r="D4336" s="168"/>
      <c r="E4336" s="29"/>
      <c r="F4336" s="29" t="s">
        <v>68</v>
      </c>
      <c r="G4336" s="3" t="s">
        <v>64</v>
      </c>
      <c r="H4336" s="3" t="s">
        <v>2036</v>
      </c>
      <c r="I4336" s="55">
        <v>46160</v>
      </c>
      <c r="J4336" s="55">
        <v>46162</v>
      </c>
      <c r="K4336" s="55">
        <v>46190</v>
      </c>
      <c r="L4336" s="55"/>
      <c r="M4336" s="55"/>
      <c r="N4336" s="3"/>
      <c r="O4336" s="119" t="s">
        <v>10</v>
      </c>
      <c r="P4336" s="55">
        <v>46177</v>
      </c>
      <c r="Q4336" s="167"/>
      <c r="R4336" s="1"/>
    </row>
    <row r="4337" spans="1:18">
      <c r="A4337" s="166" t="s">
        <v>2034</v>
      </c>
      <c r="B4337" s="173" t="s">
        <v>2035</v>
      </c>
      <c r="C4337" s="195">
        <v>138607799</v>
      </c>
      <c r="D4337" s="168"/>
      <c r="E4337" s="29"/>
      <c r="F4337" s="29" t="s">
        <v>68</v>
      </c>
      <c r="G4337" s="3" t="s">
        <v>64</v>
      </c>
      <c r="H4337" s="3" t="s">
        <v>2036</v>
      </c>
      <c r="I4337" s="55">
        <v>46160</v>
      </c>
      <c r="J4337" s="55">
        <v>46162</v>
      </c>
      <c r="K4337" s="55">
        <v>46190</v>
      </c>
      <c r="L4337" s="55"/>
      <c r="M4337" s="55"/>
      <c r="N4337" s="3"/>
      <c r="O4337" s="119" t="s">
        <v>10</v>
      </c>
      <c r="P4337" s="55">
        <v>46177</v>
      </c>
      <c r="Q4337" s="167"/>
      <c r="R4337" s="1"/>
    </row>
    <row r="4338" spans="1:18">
      <c r="A4338" s="166" t="s">
        <v>2034</v>
      </c>
      <c r="B4338" s="173" t="s">
        <v>2035</v>
      </c>
      <c r="C4338" s="195">
        <v>138607782</v>
      </c>
      <c r="D4338" s="168"/>
      <c r="E4338" s="29"/>
      <c r="F4338" s="29" t="s">
        <v>68</v>
      </c>
      <c r="G4338" s="3" t="s">
        <v>64</v>
      </c>
      <c r="H4338" s="3" t="s">
        <v>2036</v>
      </c>
      <c r="I4338" s="55">
        <v>46160</v>
      </c>
      <c r="J4338" s="55">
        <v>46162</v>
      </c>
      <c r="K4338" s="55">
        <v>46190</v>
      </c>
      <c r="L4338" s="55"/>
      <c r="M4338" s="55"/>
      <c r="N4338" s="3"/>
      <c r="O4338" s="119" t="s">
        <v>10</v>
      </c>
      <c r="P4338" s="55">
        <v>46185</v>
      </c>
      <c r="Q4338" s="167"/>
      <c r="R4338" s="1"/>
    </row>
    <row r="4339" spans="1:18">
      <c r="A4339" s="166" t="s">
        <v>2034</v>
      </c>
      <c r="B4339" s="173" t="s">
        <v>2035</v>
      </c>
      <c r="C4339" s="195">
        <v>138607760</v>
      </c>
      <c r="D4339" s="168"/>
      <c r="E4339" s="29"/>
      <c r="F4339" s="29" t="s">
        <v>68</v>
      </c>
      <c r="G4339" s="3" t="s">
        <v>64</v>
      </c>
      <c r="H4339" s="3" t="s">
        <v>2036</v>
      </c>
      <c r="I4339" s="55">
        <v>46160</v>
      </c>
      <c r="J4339" s="55">
        <v>46162</v>
      </c>
      <c r="K4339" s="55">
        <v>46190</v>
      </c>
      <c r="L4339" s="55"/>
      <c r="M4339" s="55"/>
      <c r="N4339" s="3"/>
      <c r="O4339" s="119" t="s">
        <v>10</v>
      </c>
      <c r="P4339" s="55">
        <v>46178</v>
      </c>
      <c r="Q4339" s="167"/>
      <c r="R4339" s="1"/>
    </row>
    <row r="4340" spans="1:18">
      <c r="A4340" s="166" t="s">
        <v>2034</v>
      </c>
      <c r="B4340" s="173" t="s">
        <v>2035</v>
      </c>
      <c r="C4340" s="195">
        <v>138607742</v>
      </c>
      <c r="D4340" s="168"/>
      <c r="E4340" s="29"/>
      <c r="F4340" s="29" t="s">
        <v>68</v>
      </c>
      <c r="G4340" s="3" t="s">
        <v>64</v>
      </c>
      <c r="H4340" s="3" t="s">
        <v>2036</v>
      </c>
      <c r="I4340" s="55">
        <v>46160</v>
      </c>
      <c r="J4340" s="55">
        <v>46162</v>
      </c>
      <c r="K4340" s="55">
        <v>46190</v>
      </c>
      <c r="L4340" s="55"/>
      <c r="M4340" s="55"/>
      <c r="N4340" s="3"/>
      <c r="O4340" s="119" t="s">
        <v>10</v>
      </c>
      <c r="P4340" s="55">
        <v>46178</v>
      </c>
      <c r="Q4340" s="167"/>
      <c r="R4340" s="1"/>
    </row>
    <row r="4341" spans="1:18">
      <c r="A4341" s="166" t="s">
        <v>2034</v>
      </c>
      <c r="B4341" s="173" t="s">
        <v>2035</v>
      </c>
      <c r="C4341" s="195">
        <v>138607664</v>
      </c>
      <c r="D4341" s="168"/>
      <c r="E4341" s="29"/>
      <c r="F4341" s="29" t="s">
        <v>68</v>
      </c>
      <c r="G4341" s="3" t="s">
        <v>64</v>
      </c>
      <c r="H4341" s="3" t="s">
        <v>2036</v>
      </c>
      <c r="I4341" s="55">
        <v>46160</v>
      </c>
      <c r="J4341" s="55">
        <v>46162</v>
      </c>
      <c r="K4341" s="55">
        <v>46190</v>
      </c>
      <c r="L4341" s="55"/>
      <c r="M4341" s="55"/>
      <c r="N4341" s="3"/>
      <c r="O4341" s="119" t="s">
        <v>10</v>
      </c>
      <c r="P4341" s="55">
        <v>46175</v>
      </c>
      <c r="Q4341" s="167"/>
      <c r="R4341" s="1"/>
    </row>
    <row r="4342" spans="1:18">
      <c r="A4342" s="166" t="s">
        <v>2034</v>
      </c>
      <c r="B4342" s="173" t="s">
        <v>2035</v>
      </c>
      <c r="C4342" s="195">
        <v>138607656</v>
      </c>
      <c r="D4342" s="168"/>
      <c r="E4342" s="29"/>
      <c r="F4342" s="29" t="s">
        <v>68</v>
      </c>
      <c r="G4342" s="3" t="s">
        <v>64</v>
      </c>
      <c r="H4342" s="3" t="s">
        <v>2036</v>
      </c>
      <c r="I4342" s="55">
        <v>46160</v>
      </c>
      <c r="J4342" s="55">
        <v>46162</v>
      </c>
      <c r="K4342" s="55">
        <v>46190</v>
      </c>
      <c r="L4342" s="55"/>
      <c r="M4342" s="55"/>
      <c r="N4342" s="3"/>
      <c r="O4342" s="119" t="s">
        <v>10</v>
      </c>
      <c r="P4342" s="55">
        <v>46175</v>
      </c>
      <c r="Q4342" s="167"/>
      <c r="R4342" s="1"/>
    </row>
    <row r="4343" spans="1:18">
      <c r="A4343" s="166" t="s">
        <v>2037</v>
      </c>
      <c r="B4343" s="173" t="s">
        <v>2038</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2037</v>
      </c>
      <c r="B4344" s="173" t="s">
        <v>2038</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2037</v>
      </c>
      <c r="B4345" s="173" t="s">
        <v>2038</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2037</v>
      </c>
      <c r="B4346" s="173" t="s">
        <v>2038</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2037</v>
      </c>
      <c r="B4347" s="173" t="s">
        <v>2038</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2037</v>
      </c>
      <c r="B4348" s="173" t="s">
        <v>2038</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2037</v>
      </c>
      <c r="B4349" s="173" t="s">
        <v>2038</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2039</v>
      </c>
      <c r="B4350" s="173" t="s">
        <v>2040</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2039</v>
      </c>
      <c r="B4351" s="173" t="s">
        <v>2040</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2039</v>
      </c>
      <c r="B4352" s="173" t="s">
        <v>2040</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2039</v>
      </c>
      <c r="B4353" s="173" t="s">
        <v>2040</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2039</v>
      </c>
      <c r="B4354" s="173" t="s">
        <v>2040</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2039</v>
      </c>
      <c r="B4355" s="173" t="s">
        <v>2040</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2039</v>
      </c>
      <c r="B4356" s="173" t="s">
        <v>2040</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2039</v>
      </c>
      <c r="B4357" s="173" t="s">
        <v>2040</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2041</v>
      </c>
      <c r="B4358" s="173" t="s">
        <v>2042</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2041</v>
      </c>
      <c r="B4359" s="173" t="s">
        <v>2042</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2041</v>
      </c>
      <c r="B4360" s="173" t="s">
        <v>2042</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2041</v>
      </c>
      <c r="B4361" s="173" t="s">
        <v>2042</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2041</v>
      </c>
      <c r="B4362" s="173" t="s">
        <v>2042</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2041</v>
      </c>
      <c r="B4363" s="173" t="s">
        <v>2042</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2041</v>
      </c>
      <c r="B4364" s="173" t="s">
        <v>2042</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2041</v>
      </c>
      <c r="B4365" s="173" t="s">
        <v>2042</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254</v>
      </c>
      <c r="G4379" s="3" t="s">
        <v>115</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254</v>
      </c>
      <c r="G4380" s="3" t="s">
        <v>115</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254</v>
      </c>
      <c r="G4381" s="3" t="s">
        <v>115</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254</v>
      </c>
      <c r="G4382" s="3" t="s">
        <v>115</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254</v>
      </c>
      <c r="G4383" s="3" t="s">
        <v>115</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254</v>
      </c>
      <c r="G4384" s="3" t="s">
        <v>115</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254</v>
      </c>
      <c r="G4385" s="3" t="s">
        <v>115</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254</v>
      </c>
      <c r="G4386" s="3" t="s">
        <v>115</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254</v>
      </c>
      <c r="G4387" s="3" t="s">
        <v>115</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254</v>
      </c>
      <c r="G4388" s="3" t="s">
        <v>115</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254</v>
      </c>
      <c r="G4389" s="3" t="s">
        <v>115</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254</v>
      </c>
      <c r="G4390" s="3" t="s">
        <v>115</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254</v>
      </c>
      <c r="G4391" s="3" t="s">
        <v>115</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254</v>
      </c>
      <c r="G4392" s="3" t="s">
        <v>115</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254</v>
      </c>
      <c r="G4393" s="3" t="s">
        <v>115</v>
      </c>
      <c r="H4393" s="3" t="s">
        <v>1978</v>
      </c>
      <c r="I4393" s="55">
        <v>46156</v>
      </c>
      <c r="J4393" s="55">
        <v>46160</v>
      </c>
      <c r="K4393" s="55">
        <v>46188</v>
      </c>
      <c r="L4393" s="55"/>
      <c r="M4393" s="55"/>
      <c r="N4393" s="3"/>
      <c r="O4393" s="119" t="s">
        <v>10</v>
      </c>
      <c r="P4393" s="55">
        <v>46161</v>
      </c>
      <c r="Q4393" s="167"/>
      <c r="R4393" s="1"/>
    </row>
    <row r="4394" spans="1:18">
      <c r="A4394" s="166" t="s">
        <v>2015</v>
      </c>
      <c r="B4394" s="200" t="s">
        <v>2016</v>
      </c>
      <c r="C4394" s="195">
        <v>151600798</v>
      </c>
      <c r="D4394" s="168"/>
      <c r="E4394" s="29"/>
      <c r="F4394" s="29" t="s">
        <v>114</v>
      </c>
      <c r="G4394" s="3" t="s">
        <v>2014</v>
      </c>
      <c r="H4394" s="3" t="s">
        <v>116</v>
      </c>
      <c r="I4394" s="55">
        <v>46175</v>
      </c>
      <c r="J4394" s="55">
        <v>46178</v>
      </c>
      <c r="K4394" s="55">
        <v>46205</v>
      </c>
      <c r="L4394" s="3"/>
      <c r="M4394" s="3"/>
      <c r="N4394" s="3"/>
      <c r="O4394" s="119" t="s">
        <v>10</v>
      </c>
      <c r="P4394" s="55">
        <v>46181</v>
      </c>
      <c r="Q4394" s="167"/>
      <c r="R4394" s="1"/>
    </row>
    <row r="4395" spans="1:18">
      <c r="A4395" s="166" t="s">
        <v>2015</v>
      </c>
      <c r="B4395" s="200" t="s">
        <v>2016</v>
      </c>
      <c r="C4395" s="195">
        <v>151600788</v>
      </c>
      <c r="D4395" s="168"/>
      <c r="E4395" s="29"/>
      <c r="F4395" s="29" t="s">
        <v>114</v>
      </c>
      <c r="G4395" s="3" t="s">
        <v>2014</v>
      </c>
      <c r="H4395" s="3" t="s">
        <v>116</v>
      </c>
      <c r="I4395" s="55">
        <v>46175</v>
      </c>
      <c r="J4395" s="55">
        <v>46178</v>
      </c>
      <c r="K4395" s="55">
        <v>46205</v>
      </c>
      <c r="L4395" s="3"/>
      <c r="M4395" s="3"/>
      <c r="N4395" s="3"/>
      <c r="O4395" s="119" t="s">
        <v>10</v>
      </c>
      <c r="P4395" s="55">
        <v>46181</v>
      </c>
      <c r="Q4395" s="167"/>
      <c r="R4395" s="1"/>
    </row>
    <row r="4396" spans="1:18">
      <c r="A4396" s="166" t="s">
        <v>2015</v>
      </c>
      <c r="B4396" s="200" t="s">
        <v>2016</v>
      </c>
      <c r="C4396" s="195">
        <v>151600787</v>
      </c>
      <c r="D4396" s="168"/>
      <c r="E4396" s="29"/>
      <c r="F4396" s="29" t="s">
        <v>114</v>
      </c>
      <c r="G4396" s="3" t="s">
        <v>2014</v>
      </c>
      <c r="H4396" s="3" t="s">
        <v>116</v>
      </c>
      <c r="I4396" s="55">
        <v>46175</v>
      </c>
      <c r="J4396" s="55">
        <v>46178</v>
      </c>
      <c r="K4396" s="55">
        <v>46205</v>
      </c>
      <c r="L4396" s="3"/>
      <c r="M4396" s="3"/>
      <c r="N4396" s="3"/>
      <c r="O4396" s="119" t="s">
        <v>10</v>
      </c>
      <c r="P4396" s="55">
        <v>46181</v>
      </c>
      <c r="Q4396" s="167"/>
      <c r="R4396" s="1"/>
    </row>
    <row r="4397" spans="1:18">
      <c r="A4397" s="166" t="s">
        <v>2015</v>
      </c>
      <c r="B4397" s="200" t="s">
        <v>2016</v>
      </c>
      <c r="C4397" s="195">
        <v>151600781</v>
      </c>
      <c r="D4397" s="168"/>
      <c r="E4397" s="29"/>
      <c r="F4397" s="29" t="s">
        <v>114</v>
      </c>
      <c r="G4397" s="3" t="s">
        <v>2014</v>
      </c>
      <c r="H4397" s="3" t="s">
        <v>116</v>
      </c>
      <c r="I4397" s="55">
        <v>46175</v>
      </c>
      <c r="J4397" s="55">
        <v>46178</v>
      </c>
      <c r="K4397" s="55">
        <v>46205</v>
      </c>
      <c r="L4397" s="3"/>
      <c r="M4397" s="3"/>
      <c r="N4397" s="3"/>
      <c r="O4397" s="119" t="s">
        <v>10</v>
      </c>
      <c r="P4397" s="55">
        <v>46181</v>
      </c>
      <c r="Q4397" s="167"/>
      <c r="R4397" s="1"/>
    </row>
    <row r="4398" spans="1:18">
      <c r="A4398" s="166" t="s">
        <v>2015</v>
      </c>
      <c r="B4398" s="200" t="s">
        <v>2016</v>
      </c>
      <c r="C4398" s="195">
        <v>151600779</v>
      </c>
      <c r="D4398" s="168"/>
      <c r="E4398" s="29"/>
      <c r="F4398" s="29" t="s">
        <v>114</v>
      </c>
      <c r="G4398" s="3" t="s">
        <v>2014</v>
      </c>
      <c r="H4398" s="3" t="s">
        <v>116</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114</v>
      </c>
      <c r="G4399" s="3" t="s">
        <v>2014</v>
      </c>
      <c r="H4399" s="3" t="s">
        <v>116</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114</v>
      </c>
      <c r="G4400" s="3" t="s">
        <v>2014</v>
      </c>
      <c r="H4400" s="3" t="s">
        <v>116</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114</v>
      </c>
      <c r="G4401" s="3" t="s">
        <v>2014</v>
      </c>
      <c r="H4401" s="3" t="s">
        <v>116</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114</v>
      </c>
      <c r="G4402" s="3" t="s">
        <v>2014</v>
      </c>
      <c r="H4402" s="3" t="s">
        <v>116</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114</v>
      </c>
      <c r="G4403" s="3" t="s">
        <v>2014</v>
      </c>
      <c r="H4403" s="3" t="s">
        <v>116</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114</v>
      </c>
      <c r="G4404" s="3" t="s">
        <v>2014</v>
      </c>
      <c r="H4404" s="3" t="s">
        <v>116</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114</v>
      </c>
      <c r="G4405" s="3" t="s">
        <v>2014</v>
      </c>
      <c r="H4405" s="3" t="s">
        <v>116</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114</v>
      </c>
      <c r="G4406" s="3" t="s">
        <v>2014</v>
      </c>
      <c r="H4406" s="3" t="s">
        <v>116</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114</v>
      </c>
      <c r="G4407" s="3" t="s">
        <v>2014</v>
      </c>
      <c r="H4407" s="3" t="s">
        <v>116</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254</v>
      </c>
      <c r="G4413" s="3" t="s">
        <v>115</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254</v>
      </c>
      <c r="G4414" s="3" t="s">
        <v>115</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254</v>
      </c>
      <c r="G4415" s="3" t="s">
        <v>115</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254</v>
      </c>
      <c r="G4416" s="3" t="s">
        <v>115</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254</v>
      </c>
      <c r="G4417" s="3" t="s">
        <v>115</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254</v>
      </c>
      <c r="G4418" s="3" t="s">
        <v>115</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254</v>
      </c>
      <c r="G4419" s="3" t="s">
        <v>115</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254</v>
      </c>
      <c r="G4420" s="3" t="s">
        <v>115</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254</v>
      </c>
      <c r="G4421" s="3" t="s">
        <v>115</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254</v>
      </c>
      <c r="G4422" s="3" t="s">
        <v>115</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254</v>
      </c>
      <c r="G4423" s="3" t="s">
        <v>115</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254</v>
      </c>
      <c r="G4424" s="3" t="s">
        <v>115</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254</v>
      </c>
      <c r="G4425" s="3" t="s">
        <v>115</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254</v>
      </c>
      <c r="G4426" s="3" t="s">
        <v>115</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254</v>
      </c>
      <c r="G4427" s="3" t="s">
        <v>115</v>
      </c>
      <c r="H4427" s="3" t="s">
        <v>1978</v>
      </c>
      <c r="I4427" s="55">
        <v>46156</v>
      </c>
      <c r="J4427" s="55">
        <v>46160</v>
      </c>
      <c r="K4427" s="55">
        <v>46188</v>
      </c>
      <c r="L4427" s="55"/>
      <c r="M4427" s="55"/>
      <c r="N4427" s="3"/>
      <c r="O4427" s="119" t="s">
        <v>10</v>
      </c>
      <c r="P4427" s="55">
        <v>46161</v>
      </c>
      <c r="Q4427" s="167"/>
      <c r="R4427" s="1"/>
    </row>
    <row r="4428" spans="1:18">
      <c r="A4428" s="202" t="s">
        <v>2015</v>
      </c>
      <c r="B4428" s="200" t="s">
        <v>2016</v>
      </c>
      <c r="C4428" s="195">
        <v>151600798</v>
      </c>
      <c r="D4428" s="168"/>
      <c r="E4428" s="29"/>
      <c r="F4428" s="29" t="s">
        <v>114</v>
      </c>
      <c r="G4428" s="3" t="s">
        <v>2014</v>
      </c>
      <c r="H4428" s="3" t="s">
        <v>116</v>
      </c>
      <c r="I4428" s="55">
        <v>46175</v>
      </c>
      <c r="J4428" s="55">
        <v>46178</v>
      </c>
      <c r="K4428" s="55">
        <v>46205</v>
      </c>
      <c r="L4428" s="3"/>
      <c r="M4428" s="3"/>
      <c r="N4428" s="3"/>
      <c r="O4428" s="119" t="s">
        <v>10</v>
      </c>
      <c r="P4428" s="55">
        <v>46181</v>
      </c>
      <c r="Q4428" s="167"/>
      <c r="R4428" s="1"/>
    </row>
    <row r="4429" spans="1:18">
      <c r="A4429" s="202" t="s">
        <v>2015</v>
      </c>
      <c r="B4429" s="200" t="s">
        <v>2016</v>
      </c>
      <c r="C4429" s="195">
        <v>151600788</v>
      </c>
      <c r="D4429" s="168"/>
      <c r="E4429" s="29"/>
      <c r="F4429" s="29" t="s">
        <v>114</v>
      </c>
      <c r="G4429" s="3" t="s">
        <v>2014</v>
      </c>
      <c r="H4429" s="3" t="s">
        <v>116</v>
      </c>
      <c r="I4429" s="55">
        <v>46175</v>
      </c>
      <c r="J4429" s="55">
        <v>46178</v>
      </c>
      <c r="K4429" s="55">
        <v>46205</v>
      </c>
      <c r="L4429" s="3"/>
      <c r="M4429" s="3"/>
      <c r="N4429" s="3"/>
      <c r="O4429" s="119" t="s">
        <v>10</v>
      </c>
      <c r="P4429" s="55">
        <v>46181</v>
      </c>
      <c r="Q4429" s="167"/>
      <c r="R4429" s="1"/>
    </row>
    <row r="4430" spans="1:18">
      <c r="A4430" s="202" t="s">
        <v>2015</v>
      </c>
      <c r="B4430" s="200" t="s">
        <v>2016</v>
      </c>
      <c r="C4430" s="195">
        <v>151600787</v>
      </c>
      <c r="D4430" s="168"/>
      <c r="E4430" s="29"/>
      <c r="F4430" s="29" t="s">
        <v>114</v>
      </c>
      <c r="G4430" s="3" t="s">
        <v>2014</v>
      </c>
      <c r="H4430" s="3" t="s">
        <v>116</v>
      </c>
      <c r="I4430" s="55">
        <v>46175</v>
      </c>
      <c r="J4430" s="55">
        <v>46178</v>
      </c>
      <c r="K4430" s="55">
        <v>46205</v>
      </c>
      <c r="L4430" s="3"/>
      <c r="M4430" s="3"/>
      <c r="N4430" s="3"/>
      <c r="O4430" s="119" t="s">
        <v>10</v>
      </c>
      <c r="P4430" s="55">
        <v>46181</v>
      </c>
      <c r="Q4430" s="167"/>
      <c r="R4430" s="1"/>
    </row>
    <row r="4431" spans="1:18">
      <c r="A4431" s="202" t="s">
        <v>2015</v>
      </c>
      <c r="B4431" s="200" t="s">
        <v>2016</v>
      </c>
      <c r="C4431" s="195">
        <v>151600781</v>
      </c>
      <c r="D4431" s="168"/>
      <c r="E4431" s="29"/>
      <c r="F4431" s="29" t="s">
        <v>114</v>
      </c>
      <c r="G4431" s="3" t="s">
        <v>2014</v>
      </c>
      <c r="H4431" s="3" t="s">
        <v>116</v>
      </c>
      <c r="I4431" s="55">
        <v>46175</v>
      </c>
      <c r="J4431" s="55">
        <v>46178</v>
      </c>
      <c r="K4431" s="55">
        <v>46205</v>
      </c>
      <c r="L4431" s="3"/>
      <c r="M4431" s="3"/>
      <c r="N4431" s="3"/>
      <c r="O4431" s="119" t="s">
        <v>10</v>
      </c>
      <c r="P4431" s="55">
        <v>46181</v>
      </c>
      <c r="Q4431" s="167"/>
      <c r="R4431" s="1"/>
    </row>
    <row r="4432" spans="1:18">
      <c r="A4432" s="202" t="s">
        <v>2015</v>
      </c>
      <c r="B4432" s="200" t="s">
        <v>2016</v>
      </c>
      <c r="C4432" s="195">
        <v>151600779</v>
      </c>
      <c r="D4432" s="168"/>
      <c r="E4432" s="29"/>
      <c r="F4432" s="29" t="s">
        <v>114</v>
      </c>
      <c r="G4432" s="3" t="s">
        <v>2014</v>
      </c>
      <c r="H4432" s="3" t="s">
        <v>116</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114</v>
      </c>
      <c r="G4433" s="3" t="s">
        <v>2014</v>
      </c>
      <c r="H4433" s="3" t="s">
        <v>116</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114</v>
      </c>
      <c r="G4434" s="3" t="s">
        <v>2014</v>
      </c>
      <c r="H4434" s="3" t="s">
        <v>116</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114</v>
      </c>
      <c r="G4435" s="3" t="s">
        <v>2014</v>
      </c>
      <c r="H4435" s="3" t="s">
        <v>116</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114</v>
      </c>
      <c r="G4436" s="3" t="s">
        <v>2014</v>
      </c>
      <c r="H4436" s="3" t="s">
        <v>116</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114</v>
      </c>
      <c r="G4437" s="3" t="s">
        <v>2014</v>
      </c>
      <c r="H4437" s="3" t="s">
        <v>116</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114</v>
      </c>
      <c r="G4438" s="3" t="s">
        <v>2014</v>
      </c>
      <c r="H4438" s="3" t="s">
        <v>116</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114</v>
      </c>
      <c r="G4439" s="3" t="s">
        <v>2014</v>
      </c>
      <c r="H4439" s="3" t="s">
        <v>116</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114</v>
      </c>
      <c r="G4440" s="3" t="s">
        <v>2014</v>
      </c>
      <c r="H4440" s="3" t="s">
        <v>116</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114</v>
      </c>
      <c r="G4441" s="3" t="s">
        <v>2014</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2043</v>
      </c>
      <c r="G4442" s="3" t="s">
        <v>115</v>
      </c>
      <c r="H4442" s="3" t="s">
        <v>1978</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2043</v>
      </c>
      <c r="G4443" s="3" t="s">
        <v>115</v>
      </c>
      <c r="H4443" s="3" t="s">
        <v>1978</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2043</v>
      </c>
      <c r="G4444" s="3" t="s">
        <v>115</v>
      </c>
      <c r="H4444" s="3" t="s">
        <v>1978</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2043</v>
      </c>
      <c r="G4445" s="3" t="s">
        <v>115</v>
      </c>
      <c r="H4445" s="3" t="s">
        <v>1978</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2043</v>
      </c>
      <c r="G4446" s="3" t="s">
        <v>115</v>
      </c>
      <c r="H4446" s="3" t="s">
        <v>1978</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2043</v>
      </c>
      <c r="G4447" s="3" t="s">
        <v>115</v>
      </c>
      <c r="H4447" s="3" t="s">
        <v>1978</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2043</v>
      </c>
      <c r="G4448" s="3" t="s">
        <v>115</v>
      </c>
      <c r="H4448" s="3" t="s">
        <v>1978</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2043</v>
      </c>
      <c r="G4449" s="3" t="s">
        <v>115</v>
      </c>
      <c r="H4449" s="3" t="s">
        <v>1978</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2043</v>
      </c>
      <c r="G4450" s="3" t="s">
        <v>115</v>
      </c>
      <c r="H4450" s="3" t="s">
        <v>1978</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2043</v>
      </c>
      <c r="G4451" s="3" t="s">
        <v>115</v>
      </c>
      <c r="H4451" s="3" t="s">
        <v>1978</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2043</v>
      </c>
      <c r="G4452" s="3" t="s">
        <v>115</v>
      </c>
      <c r="H4452" s="3" t="s">
        <v>1978</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2043</v>
      </c>
      <c r="G4453" s="3" t="s">
        <v>115</v>
      </c>
      <c r="H4453" s="3" t="s">
        <v>1978</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2043</v>
      </c>
      <c r="G4454" s="3" t="s">
        <v>115</v>
      </c>
      <c r="H4454" s="3" t="s">
        <v>1978</v>
      </c>
      <c r="I4454" s="55">
        <v>46198</v>
      </c>
      <c r="J4454" s="55">
        <v>46202</v>
      </c>
      <c r="K4454" s="55">
        <v>46227</v>
      </c>
      <c r="L4454" s="55"/>
      <c r="M4454" s="55"/>
      <c r="N4454" s="3"/>
      <c r="O4454" s="119" t="s">
        <v>10</v>
      </c>
      <c r="P4454" s="3"/>
      <c r="Q4454" s="167"/>
      <c r="R4454" s="1"/>
    </row>
    <row r="4455" spans="1:121">
      <c r="A4455" s="173" t="s">
        <v>2044</v>
      </c>
      <c r="B4455" s="173" t="s">
        <v>2045</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2044</v>
      </c>
      <c r="B4456" s="173" t="s">
        <v>2045</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2044</v>
      </c>
      <c r="B4457" s="173" t="s">
        <v>2045</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2044</v>
      </c>
      <c r="B4458" s="173" t="s">
        <v>2045</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2044</v>
      </c>
      <c r="B4459" s="173" t="s">
        <v>2045</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2044</v>
      </c>
      <c r="B4460" s="173" t="s">
        <v>2045</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2044</v>
      </c>
      <c r="B4461" s="173" t="s">
        <v>2045</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2044</v>
      </c>
      <c r="B4462" s="173" t="s">
        <v>2045</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2044</v>
      </c>
      <c r="B4463" s="173" t="s">
        <v>2045</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2044</v>
      </c>
      <c r="B4464" s="173" t="s">
        <v>2045</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2044</v>
      </c>
      <c r="B4465" s="173" t="s">
        <v>2045</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2046</v>
      </c>
      <c r="B4466" s="173" t="s">
        <v>2047</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2046</v>
      </c>
      <c r="B4467" s="173" t="s">
        <v>2047</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2046</v>
      </c>
      <c r="B4468" s="173" t="s">
        <v>2047</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2046</v>
      </c>
      <c r="B4469" s="173" t="s">
        <v>2047</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2046</v>
      </c>
      <c r="B4470" s="173" t="s">
        <v>2047</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2046</v>
      </c>
      <c r="B4471" s="173" t="s">
        <v>2047</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2046</v>
      </c>
      <c r="B4472" s="173" t="s">
        <v>2047</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2046</v>
      </c>
      <c r="B4473" s="173" t="s">
        <v>2047</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2046</v>
      </c>
      <c r="B4474" s="173" t="s">
        <v>2047</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2046</v>
      </c>
      <c r="B4475" s="173" t="s">
        <v>2047</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2046</v>
      </c>
      <c r="B4476" s="173" t="s">
        <v>2047</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2048</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2048</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2048</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2048</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2048</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2048</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2048</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2048</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2048</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2048</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2048</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2048</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2048</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2049</v>
      </c>
      <c r="B4490" s="173" t="s">
        <v>2050</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2049</v>
      </c>
      <c r="B4491" s="173" t="s">
        <v>2050</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2049</v>
      </c>
      <c r="B4492" s="173" t="s">
        <v>2050</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2049</v>
      </c>
      <c r="B4493" s="173" t="s">
        <v>2050</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2049</v>
      </c>
      <c r="B4494" s="173" t="s">
        <v>2050</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2049</v>
      </c>
      <c r="B4495" s="173" t="s">
        <v>2050</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2049</v>
      </c>
      <c r="B4496" s="173" t="s">
        <v>2050</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2051</v>
      </c>
      <c r="B4497" s="173" t="s">
        <v>2052</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2051</v>
      </c>
      <c r="B4498" s="173" t="s">
        <v>2052</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2051</v>
      </c>
      <c r="B4499" s="173" t="s">
        <v>2052</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2051</v>
      </c>
      <c r="B4500" s="173" t="s">
        <v>2052</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2051</v>
      </c>
      <c r="B4501" s="173" t="s">
        <v>2052</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2051</v>
      </c>
      <c r="B4502" s="173" t="s">
        <v>2052</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2051</v>
      </c>
      <c r="B4503" s="173" t="s">
        <v>2052</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2051</v>
      </c>
      <c r="B4504" s="173" t="s">
        <v>2052</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2053</v>
      </c>
      <c r="B4505" s="173" t="s">
        <v>2054</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2053</v>
      </c>
      <c r="B4506" s="173" t="s">
        <v>2054</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2053</v>
      </c>
      <c r="B4507" s="173" t="s">
        <v>2054</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2053</v>
      </c>
      <c r="B4508" s="173" t="s">
        <v>2054</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2053</v>
      </c>
      <c r="B4509" s="173" t="s">
        <v>2054</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2053</v>
      </c>
      <c r="B4510" s="173" t="s">
        <v>2054</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2053</v>
      </c>
      <c r="B4511" s="173" t="s">
        <v>2054</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2053</v>
      </c>
      <c r="B4512" s="173" t="s">
        <v>2054</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2032</v>
      </c>
      <c r="B4513" s="173" t="s">
        <v>2033</v>
      </c>
      <c r="C4513" s="195">
        <v>127606213</v>
      </c>
      <c r="D4513" s="168"/>
      <c r="E4513" s="29"/>
      <c r="F4513" s="29" t="s">
        <v>159</v>
      </c>
      <c r="G4513" s="3" t="s">
        <v>64</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2032</v>
      </c>
      <c r="B4514" s="173" t="s">
        <v>2033</v>
      </c>
      <c r="C4514" s="195">
        <v>127606103</v>
      </c>
      <c r="D4514" s="168"/>
      <c r="E4514" s="29"/>
      <c r="F4514" s="29" t="s">
        <v>159</v>
      </c>
      <c r="G4514" s="3" t="s">
        <v>64</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2034</v>
      </c>
      <c r="B4515" s="173" t="s">
        <v>2035</v>
      </c>
      <c r="C4515" s="195">
        <v>138607791</v>
      </c>
      <c r="D4515" s="168"/>
      <c r="E4515" s="29"/>
      <c r="F4515" s="29" t="s">
        <v>68</v>
      </c>
      <c r="G4515" s="3" t="s">
        <v>64</v>
      </c>
      <c r="H4515" s="3" t="s">
        <v>2036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2034</v>
      </c>
      <c r="B4516" s="173" t="s">
        <v>2035</v>
      </c>
      <c r="C4516" s="195">
        <v>138607618</v>
      </c>
      <c r="D4516" s="168"/>
      <c r="E4516" s="29"/>
      <c r="F4516" s="29" t="s">
        <v>68</v>
      </c>
      <c r="G4516" s="3" t="s">
        <v>64</v>
      </c>
      <c r="H4516" s="3" t="s">
        <v>2036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2055</v>
      </c>
      <c r="B4517" s="183" t="s">
        <v>2056</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2055</v>
      </c>
      <c r="B4518" s="183" t="s">
        <v>2056</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2055</v>
      </c>
      <c r="B4519" s="183" t="s">
        <v>2056</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2055</v>
      </c>
      <c r="B4520" s="183" t="s">
        <v>2056</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2055</v>
      </c>
      <c r="B4521" s="183" t="s">
        <v>2056</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2055</v>
      </c>
      <c r="B4522" s="183" t="s">
        <v>2056</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2055</v>
      </c>
      <c r="B4523" s="183" t="s">
        <v>2056</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2055</v>
      </c>
      <c r="B4524" s="183" t="s">
        <v>2056</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2057</v>
      </c>
      <c r="B4531" s="183" t="s">
        <v>136</v>
      </c>
      <c r="C4531" s="195">
        <v>147604963</v>
      </c>
      <c r="D4531" s="168"/>
      <c r="E4531" s="29"/>
      <c r="F4531" s="29" t="s">
        <v>2058</v>
      </c>
      <c r="G4531" s="3" t="s">
        <v>138</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2057</v>
      </c>
      <c r="B4532" s="183" t="s">
        <v>136</v>
      </c>
      <c r="C4532" s="195">
        <v>147604803</v>
      </c>
      <c r="D4532" s="168"/>
      <c r="E4532" s="29"/>
      <c r="F4532" s="29" t="s">
        <v>2058</v>
      </c>
      <c r="G4532" s="3" t="s">
        <v>138</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2057</v>
      </c>
      <c r="B4533" s="183" t="s">
        <v>136</v>
      </c>
      <c r="C4533" s="195">
        <v>147605087</v>
      </c>
      <c r="D4533" s="168"/>
      <c r="E4533" s="29"/>
      <c r="F4533" s="29" t="s">
        <v>2058</v>
      </c>
      <c r="G4533" s="3" t="s">
        <v>138</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2057</v>
      </c>
      <c r="B4534" s="183" t="s">
        <v>136</v>
      </c>
      <c r="C4534" s="195">
        <v>147605275</v>
      </c>
      <c r="D4534" s="168"/>
      <c r="E4534" s="29"/>
      <c r="F4534" s="29" t="s">
        <v>2058</v>
      </c>
      <c r="G4534" s="3" t="s">
        <v>138</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2057</v>
      </c>
      <c r="B4535" s="183" t="s">
        <v>136</v>
      </c>
      <c r="C4535" s="195">
        <v>147605379</v>
      </c>
      <c r="D4535" s="168"/>
      <c r="E4535" s="29"/>
      <c r="F4535" s="29" t="s">
        <v>2058</v>
      </c>
      <c r="G4535" s="3" t="s">
        <v>138</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2059</v>
      </c>
      <c r="B4536" s="183" t="s">
        <v>2060</v>
      </c>
      <c r="C4536" s="195">
        <v>139603849</v>
      </c>
      <c r="D4536" s="168"/>
      <c r="E4536" s="29"/>
      <c r="F4536" s="29" t="s">
        <v>80</v>
      </c>
      <c r="G4536" s="3" t="s">
        <v>64</v>
      </c>
      <c r="H4536" s="3" t="s">
        <v>81</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2059</v>
      </c>
      <c r="B4537" s="183" t="s">
        <v>2060</v>
      </c>
      <c r="C4537" s="195">
        <v>139603642</v>
      </c>
      <c r="D4537" s="168"/>
      <c r="E4537" s="29"/>
      <c r="F4537" s="29" t="s">
        <v>80</v>
      </c>
      <c r="G4537" s="3" t="s">
        <v>64</v>
      </c>
      <c r="H4537" s="3" t="s">
        <v>81</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2059</v>
      </c>
      <c r="B4538" s="183" t="s">
        <v>2060</v>
      </c>
      <c r="C4538" s="195">
        <v>139603580</v>
      </c>
      <c r="D4538" s="168"/>
      <c r="E4538" s="29"/>
      <c r="F4538" s="29" t="s">
        <v>80</v>
      </c>
      <c r="G4538" s="3" t="s">
        <v>64</v>
      </c>
      <c r="H4538" s="3" t="s">
        <v>81</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2059</v>
      </c>
      <c r="B4539" s="183" t="s">
        <v>2060</v>
      </c>
      <c r="C4539" s="195">
        <v>139603674</v>
      </c>
      <c r="D4539" s="168"/>
      <c r="E4539" s="29"/>
      <c r="F4539" s="29" t="s">
        <v>80</v>
      </c>
      <c r="G4539" s="3" t="s">
        <v>64</v>
      </c>
      <c r="H4539" s="3" t="s">
        <v>81</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2059</v>
      </c>
      <c r="B4540" s="183" t="s">
        <v>2060</v>
      </c>
      <c r="C4540" s="195">
        <v>139603725</v>
      </c>
      <c r="D4540" s="168"/>
      <c r="E4540" s="29"/>
      <c r="F4540" s="29" t="s">
        <v>80</v>
      </c>
      <c r="G4540" s="3" t="s">
        <v>64</v>
      </c>
      <c r="H4540" s="3" t="s">
        <v>81</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2059</v>
      </c>
      <c r="B4541" s="183" t="s">
        <v>2060</v>
      </c>
      <c r="C4541" s="195">
        <v>139603962</v>
      </c>
      <c r="D4541" s="168"/>
      <c r="E4541" s="29"/>
      <c r="F4541" s="29" t="s">
        <v>80</v>
      </c>
      <c r="G4541" s="3" t="s">
        <v>64</v>
      </c>
      <c r="H4541" s="3" t="s">
        <v>81</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2059</v>
      </c>
      <c r="B4542" s="183" t="s">
        <v>2060</v>
      </c>
      <c r="C4542" s="195">
        <v>139603901</v>
      </c>
      <c r="D4542" s="168"/>
      <c r="E4542" s="29"/>
      <c r="F4542" s="29" t="s">
        <v>80</v>
      </c>
      <c r="G4542" s="3" t="s">
        <v>64</v>
      </c>
      <c r="H4542" s="3" t="s">
        <v>81</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2059</v>
      </c>
      <c r="B4543" s="183" t="s">
        <v>2060</v>
      </c>
      <c r="C4543" s="195">
        <v>139603795</v>
      </c>
      <c r="D4543" s="168"/>
      <c r="E4543" s="29"/>
      <c r="F4543" s="29" t="s">
        <v>80</v>
      </c>
      <c r="G4543" s="3" t="s">
        <v>64</v>
      </c>
      <c r="H4543" s="3" t="s">
        <v>81</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2059</v>
      </c>
      <c r="B4544" s="183" t="s">
        <v>2060</v>
      </c>
      <c r="C4544" s="195">
        <v>139603876</v>
      </c>
      <c r="D4544" s="168"/>
      <c r="E4544" s="29"/>
      <c r="F4544" s="29" t="s">
        <v>80</v>
      </c>
      <c r="G4544" s="3" t="s">
        <v>64</v>
      </c>
      <c r="H4544" s="3" t="s">
        <v>81</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2061</v>
      </c>
      <c r="B4545" s="173" t="s">
        <v>2062</v>
      </c>
      <c r="C4545" s="195">
        <v>189601853</v>
      </c>
      <c r="D4545" s="168"/>
      <c r="E4545" s="29"/>
      <c r="F4545" s="29" t="s">
        <v>87</v>
      </c>
      <c r="G4545" s="3" t="s">
        <v>64</v>
      </c>
      <c r="H4545" s="3" t="s">
        <v>30</v>
      </c>
      <c r="I4545" s="59">
        <v>46211</v>
      </c>
      <c r="J4545" s="59">
        <v>46214</v>
      </c>
      <c r="K4545" s="59">
        <v>46242</v>
      </c>
      <c r="L4545" s="45"/>
      <c r="M4545" s="45"/>
      <c r="N4545" s="45"/>
      <c r="O4545" s="119" t="s">
        <v>2063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2061</v>
      </c>
      <c r="B4546" s="173" t="s">
        <v>2062</v>
      </c>
      <c r="C4546" s="195">
        <v>189601897</v>
      </c>
      <c r="D4546" s="168"/>
      <c r="E4546" s="29"/>
      <c r="F4546" s="29" t="s">
        <v>87</v>
      </c>
      <c r="G4546" s="3" t="s">
        <v>64</v>
      </c>
      <c r="H4546" s="3" t="s">
        <v>30</v>
      </c>
      <c r="I4546" s="59">
        <v>46211</v>
      </c>
      <c r="J4546" s="59">
        <v>46214</v>
      </c>
      <c r="K4546" s="59">
        <v>46242</v>
      </c>
      <c r="L4546" s="45"/>
      <c r="M4546" s="45"/>
      <c r="N4546" s="45"/>
      <c r="O4546" s="119" t="s">
        <v>2063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2061</v>
      </c>
      <c r="B4547" s="173" t="s">
        <v>2062</v>
      </c>
      <c r="C4547" s="195">
        <v>189601924</v>
      </c>
      <c r="D4547" s="168"/>
      <c r="E4547" s="29"/>
      <c r="F4547" s="29" t="s">
        <v>87</v>
      </c>
      <c r="G4547" s="3" t="s">
        <v>64</v>
      </c>
      <c r="H4547" s="3" t="s">
        <v>30</v>
      </c>
      <c r="I4547" s="59">
        <v>46211</v>
      </c>
      <c r="J4547" s="59">
        <v>46214</v>
      </c>
      <c r="K4547" s="59">
        <v>46242</v>
      </c>
      <c r="L4547" s="45"/>
      <c r="M4547" s="45"/>
      <c r="N4547" s="45"/>
      <c r="O4547" s="119" t="s">
        <v>2063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2061</v>
      </c>
      <c r="B4548" s="173" t="s">
        <v>2062</v>
      </c>
      <c r="C4548" s="195">
        <v>189601925</v>
      </c>
      <c r="D4548" s="168"/>
      <c r="E4548" s="29"/>
      <c r="F4548" s="29" t="s">
        <v>87</v>
      </c>
      <c r="G4548" s="3" t="s">
        <v>64</v>
      </c>
      <c r="H4548" s="3" t="s">
        <v>30</v>
      </c>
      <c r="I4548" s="59">
        <v>46211</v>
      </c>
      <c r="J4548" s="59">
        <v>46214</v>
      </c>
      <c r="K4548" s="59">
        <v>46242</v>
      </c>
      <c r="L4548" s="45"/>
      <c r="M4548" s="45"/>
      <c r="N4548" s="45"/>
      <c r="O4548" s="119" t="s">
        <v>2063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2061</v>
      </c>
      <c r="B4549" s="173" t="s">
        <v>2062</v>
      </c>
      <c r="C4549" s="195">
        <v>189601955</v>
      </c>
      <c r="D4549" s="168"/>
      <c r="E4549" s="29"/>
      <c r="F4549" s="29" t="s">
        <v>87</v>
      </c>
      <c r="G4549" s="3" t="s">
        <v>64</v>
      </c>
      <c r="H4549" s="3" t="s">
        <v>30</v>
      </c>
      <c r="I4549" s="59">
        <v>46211</v>
      </c>
      <c r="J4549" s="59">
        <v>46214</v>
      </c>
      <c r="K4549" s="59">
        <v>46242</v>
      </c>
      <c r="L4549" s="45"/>
      <c r="M4549" s="45"/>
      <c r="N4549" s="45"/>
      <c r="O4549" s="119" t="s">
        <v>2063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2061</v>
      </c>
      <c r="B4550" s="173" t="s">
        <v>2062</v>
      </c>
      <c r="C4550" s="195">
        <v>189602071</v>
      </c>
      <c r="D4550" s="168"/>
      <c r="E4550" s="29"/>
      <c r="F4550" s="29" t="s">
        <v>87</v>
      </c>
      <c r="G4550" s="3" t="s">
        <v>64</v>
      </c>
      <c r="H4550" s="3" t="s">
        <v>30</v>
      </c>
      <c r="I4550" s="59">
        <v>46211</v>
      </c>
      <c r="J4550" s="59">
        <v>46214</v>
      </c>
      <c r="K4550" s="59">
        <v>46242</v>
      </c>
      <c r="L4550" s="45"/>
      <c r="M4550" s="45"/>
      <c r="N4550" s="45"/>
      <c r="O4550" s="119" t="s">
        <v>2063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2061</v>
      </c>
      <c r="B4551" s="173" t="s">
        <v>2062</v>
      </c>
      <c r="C4551" s="195">
        <v>189602139</v>
      </c>
      <c r="D4551" s="168"/>
      <c r="E4551" s="29"/>
      <c r="F4551" s="29" t="s">
        <v>87</v>
      </c>
      <c r="G4551" s="3" t="s">
        <v>64</v>
      </c>
      <c r="H4551" s="3" t="s">
        <v>30</v>
      </c>
      <c r="I4551" s="59">
        <v>46211</v>
      </c>
      <c r="J4551" s="59">
        <v>46214</v>
      </c>
      <c r="K4551" s="59">
        <v>46242</v>
      </c>
      <c r="L4551" s="45"/>
      <c r="M4551" s="45"/>
      <c r="N4551" s="45"/>
      <c r="O4551" s="119" t="s">
        <v>2063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2061</v>
      </c>
      <c r="B4552" s="173" t="s">
        <v>2062</v>
      </c>
      <c r="C4552" s="195">
        <v>189602158</v>
      </c>
      <c r="D4552" s="168"/>
      <c r="E4552" s="29"/>
      <c r="F4552" s="29" t="s">
        <v>87</v>
      </c>
      <c r="G4552" s="3" t="s">
        <v>64</v>
      </c>
      <c r="H4552" s="3" t="s">
        <v>30</v>
      </c>
      <c r="I4552" s="59">
        <v>46211</v>
      </c>
      <c r="J4552" s="59">
        <v>46214</v>
      </c>
      <c r="K4552" s="59">
        <v>46242</v>
      </c>
      <c r="L4552" s="45"/>
      <c r="M4552" s="45"/>
      <c r="N4552" s="45"/>
      <c r="O4552" s="119" t="s">
        <v>2063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2061</v>
      </c>
      <c r="B4553" s="173" t="s">
        <v>2062</v>
      </c>
      <c r="C4553" s="195">
        <v>189602263</v>
      </c>
      <c r="D4553" s="168"/>
      <c r="E4553" s="29"/>
      <c r="F4553" s="29" t="s">
        <v>87</v>
      </c>
      <c r="G4553" s="3" t="s">
        <v>64</v>
      </c>
      <c r="H4553" s="3" t="s">
        <v>30</v>
      </c>
      <c r="I4553" s="59">
        <v>46211</v>
      </c>
      <c r="J4553" s="59">
        <v>46214</v>
      </c>
      <c r="K4553" s="59">
        <v>46242</v>
      </c>
      <c r="L4553" s="45"/>
      <c r="M4553" s="45"/>
      <c r="N4553" s="45"/>
      <c r="O4553" s="119" t="s">
        <v>2063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2061</v>
      </c>
      <c r="B4554" s="173" t="s">
        <v>2062</v>
      </c>
      <c r="C4554" s="195">
        <v>189602303</v>
      </c>
      <c r="D4554" s="168"/>
      <c r="E4554" s="29"/>
      <c r="F4554" s="29" t="s">
        <v>87</v>
      </c>
      <c r="G4554" s="3" t="s">
        <v>64</v>
      </c>
      <c r="H4554" s="3" t="s">
        <v>30</v>
      </c>
      <c r="I4554" s="59">
        <v>46211</v>
      </c>
      <c r="J4554" s="59">
        <v>46214</v>
      </c>
      <c r="K4554" s="59">
        <v>46242</v>
      </c>
      <c r="L4554" s="45"/>
      <c r="M4554" s="45"/>
      <c r="N4554" s="45"/>
      <c r="O4554" s="119" t="s">
        <v>2063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2061</v>
      </c>
      <c r="B4555" s="173" t="s">
        <v>2062</v>
      </c>
      <c r="C4555" s="195">
        <v>189602349</v>
      </c>
      <c r="D4555" s="168"/>
      <c r="E4555" s="29"/>
      <c r="F4555" s="29" t="s">
        <v>87</v>
      </c>
      <c r="G4555" s="3" t="s">
        <v>64</v>
      </c>
      <c r="H4555" s="3" t="s">
        <v>30</v>
      </c>
      <c r="I4555" s="59">
        <v>46211</v>
      </c>
      <c r="J4555" s="59">
        <v>46214</v>
      </c>
      <c r="K4555" s="59">
        <v>46242</v>
      </c>
      <c r="L4555" s="45"/>
      <c r="M4555" s="45"/>
      <c r="N4555" s="45"/>
      <c r="O4555" s="119" t="s">
        <v>2063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2061</v>
      </c>
      <c r="B4556" s="173" t="s">
        <v>2062</v>
      </c>
      <c r="C4556" s="195">
        <v>189602376</v>
      </c>
      <c r="D4556" s="168"/>
      <c r="E4556" s="29"/>
      <c r="F4556" s="29" t="s">
        <v>87</v>
      </c>
      <c r="G4556" s="3" t="s">
        <v>64</v>
      </c>
      <c r="H4556" s="3" t="s">
        <v>30</v>
      </c>
      <c r="I4556" s="59">
        <v>46211</v>
      </c>
      <c r="J4556" s="59">
        <v>46214</v>
      </c>
      <c r="K4556" s="59">
        <v>46242</v>
      </c>
      <c r="L4556" s="45"/>
      <c r="M4556" s="45"/>
      <c r="N4556" s="45"/>
      <c r="O4556" s="119" t="s">
        <v>2063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2061</v>
      </c>
      <c r="B4557" s="173" t="s">
        <v>2062</v>
      </c>
      <c r="C4557" s="195">
        <v>189602388</v>
      </c>
      <c r="D4557" s="168"/>
      <c r="E4557" s="29"/>
      <c r="F4557" s="29" t="s">
        <v>87</v>
      </c>
      <c r="G4557" s="3" t="s">
        <v>64</v>
      </c>
      <c r="H4557" s="3" t="s">
        <v>30</v>
      </c>
      <c r="I4557" s="59">
        <v>46211</v>
      </c>
      <c r="J4557" s="59">
        <v>46214</v>
      </c>
      <c r="K4557" s="59">
        <v>46242</v>
      </c>
      <c r="L4557" s="45"/>
      <c r="M4557" s="45"/>
      <c r="N4557" s="45"/>
      <c r="O4557" s="119" t="s">
        <v>2063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2061</v>
      </c>
      <c r="B4558" s="173" t="s">
        <v>2062</v>
      </c>
      <c r="C4558" s="195">
        <v>189602428</v>
      </c>
      <c r="D4558" s="168"/>
      <c r="E4558" s="29"/>
      <c r="F4558" s="29" t="s">
        <v>87</v>
      </c>
      <c r="G4558" s="3" t="s">
        <v>64</v>
      </c>
      <c r="H4558" s="3" t="s">
        <v>30</v>
      </c>
      <c r="I4558" s="59">
        <v>46211</v>
      </c>
      <c r="J4558" s="59">
        <v>46214</v>
      </c>
      <c r="K4558" s="59">
        <v>46242</v>
      </c>
      <c r="L4558" s="45"/>
      <c r="M4558" s="45"/>
      <c r="N4558" s="45"/>
      <c r="O4558" s="119" t="s">
        <v>2063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2061</v>
      </c>
      <c r="B4559" s="173" t="s">
        <v>2062</v>
      </c>
      <c r="C4559" s="195">
        <v>189602448</v>
      </c>
      <c r="D4559" s="168"/>
      <c r="E4559" s="29"/>
      <c r="F4559" s="29" t="s">
        <v>87</v>
      </c>
      <c r="G4559" s="3" t="s">
        <v>64</v>
      </c>
      <c r="H4559" s="3" t="s">
        <v>30</v>
      </c>
      <c r="I4559" s="59">
        <v>46211</v>
      </c>
      <c r="J4559" s="59">
        <v>46214</v>
      </c>
      <c r="K4559" s="59">
        <v>46242</v>
      </c>
      <c r="L4559" s="45"/>
      <c r="M4559" s="45"/>
      <c r="N4559" s="45"/>
      <c r="O4559" s="119" t="s">
        <v>2063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2061</v>
      </c>
      <c r="B4560" s="173" t="s">
        <v>2062</v>
      </c>
      <c r="C4560" s="195">
        <v>189602523</v>
      </c>
      <c r="D4560" s="168"/>
      <c r="E4560" s="29"/>
      <c r="F4560" s="29" t="s">
        <v>87</v>
      </c>
      <c r="G4560" s="3" t="s">
        <v>64</v>
      </c>
      <c r="H4560" s="3" t="s">
        <v>30</v>
      </c>
      <c r="I4560" s="59">
        <v>46211</v>
      </c>
      <c r="J4560" s="59">
        <v>46214</v>
      </c>
      <c r="K4560" s="59">
        <v>46242</v>
      </c>
      <c r="L4560" s="45"/>
      <c r="M4560" s="45"/>
      <c r="N4560" s="45"/>
      <c r="O4560" s="119" t="s">
        <v>2063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2061</v>
      </c>
      <c r="B4561" s="173" t="s">
        <v>2062</v>
      </c>
      <c r="C4561" s="195">
        <v>189602585</v>
      </c>
      <c r="D4561" s="168"/>
      <c r="E4561" s="29"/>
      <c r="F4561" s="29" t="s">
        <v>87</v>
      </c>
      <c r="G4561" s="3" t="s">
        <v>64</v>
      </c>
      <c r="H4561" s="3" t="s">
        <v>30</v>
      </c>
      <c r="I4561" s="59">
        <v>46211</v>
      </c>
      <c r="J4561" s="59">
        <v>46214</v>
      </c>
      <c r="K4561" s="59">
        <v>46242</v>
      </c>
      <c r="L4561" s="45"/>
      <c r="M4561" s="45"/>
      <c r="N4561" s="45"/>
      <c r="O4561" s="119" t="s">
        <v>2063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2061</v>
      </c>
      <c r="B4562" s="173" t="s">
        <v>2062</v>
      </c>
      <c r="C4562" s="195">
        <v>189602602</v>
      </c>
      <c r="D4562" s="168"/>
      <c r="E4562" s="29"/>
      <c r="F4562" s="29" t="s">
        <v>87</v>
      </c>
      <c r="G4562" s="3" t="s">
        <v>64</v>
      </c>
      <c r="H4562" s="3" t="s">
        <v>30</v>
      </c>
      <c r="I4562" s="59">
        <v>46211</v>
      </c>
      <c r="J4562" s="59">
        <v>46214</v>
      </c>
      <c r="K4562" s="59">
        <v>46242</v>
      </c>
      <c r="L4562" s="45"/>
      <c r="M4562" s="45"/>
      <c r="N4562" s="45"/>
      <c r="O4562" s="119" t="s">
        <v>2063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2061</v>
      </c>
      <c r="B4563" s="173" t="s">
        <v>2062</v>
      </c>
      <c r="C4563" s="195">
        <v>189602617</v>
      </c>
      <c r="D4563" s="168"/>
      <c r="E4563" s="29"/>
      <c r="F4563" s="29" t="s">
        <v>87</v>
      </c>
      <c r="G4563" s="3" t="s">
        <v>64</v>
      </c>
      <c r="H4563" s="3" t="s">
        <v>30</v>
      </c>
      <c r="I4563" s="59">
        <v>46211</v>
      </c>
      <c r="J4563" s="59">
        <v>46214</v>
      </c>
      <c r="K4563" s="59">
        <v>46242</v>
      </c>
      <c r="L4563" s="45"/>
      <c r="M4563" s="45"/>
      <c r="N4563" s="45"/>
      <c r="O4563" s="119" t="s">
        <v>2063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2061</v>
      </c>
      <c r="B4564" s="173" t="s">
        <v>2062</v>
      </c>
      <c r="C4564" s="195">
        <v>189602642</v>
      </c>
      <c r="D4564" s="168"/>
      <c r="E4564" s="29"/>
      <c r="F4564" s="29" t="s">
        <v>87</v>
      </c>
      <c r="G4564" s="3" t="s">
        <v>64</v>
      </c>
      <c r="H4564" s="3" t="s">
        <v>30</v>
      </c>
      <c r="I4564" s="59">
        <v>46211</v>
      </c>
      <c r="J4564" s="59">
        <v>46214</v>
      </c>
      <c r="K4564" s="59">
        <v>46242</v>
      </c>
      <c r="L4564" s="45"/>
      <c r="M4564" s="45"/>
      <c r="N4564" s="45"/>
      <c r="O4564" s="119" t="s">
        <v>2063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2061</v>
      </c>
      <c r="B4565" s="173" t="s">
        <v>2062</v>
      </c>
      <c r="C4565" s="195">
        <v>189602655</v>
      </c>
      <c r="D4565" s="168"/>
      <c r="E4565" s="29"/>
      <c r="F4565" s="29" t="s">
        <v>87</v>
      </c>
      <c r="G4565" s="3" t="s">
        <v>64</v>
      </c>
      <c r="H4565" s="3" t="s">
        <v>30</v>
      </c>
      <c r="I4565" s="59">
        <v>46211</v>
      </c>
      <c r="J4565" s="59">
        <v>46214</v>
      </c>
      <c r="K4565" s="59">
        <v>46242</v>
      </c>
      <c r="L4565" s="45"/>
      <c r="M4565" s="45"/>
      <c r="N4565" s="45"/>
      <c r="O4565" s="119" t="s">
        <v>2063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2061</v>
      </c>
      <c r="B4566" s="173" t="s">
        <v>2062</v>
      </c>
      <c r="C4566" s="195">
        <v>189602688</v>
      </c>
      <c r="D4566" s="168"/>
      <c r="E4566" s="29"/>
      <c r="F4566" s="29" t="s">
        <v>87</v>
      </c>
      <c r="G4566" s="3" t="s">
        <v>64</v>
      </c>
      <c r="H4566" s="3" t="s">
        <v>30</v>
      </c>
      <c r="I4566" s="59">
        <v>46211</v>
      </c>
      <c r="J4566" s="59">
        <v>46214</v>
      </c>
      <c r="K4566" s="59">
        <v>46242</v>
      </c>
      <c r="L4566" s="45"/>
      <c r="M4566" s="45"/>
      <c r="N4566" s="45"/>
      <c r="O4566" s="119" t="s">
        <v>2063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2061</v>
      </c>
      <c r="B4567" s="173" t="s">
        <v>2062</v>
      </c>
      <c r="C4567" s="195">
        <v>189602711</v>
      </c>
      <c r="D4567" s="168"/>
      <c r="E4567" s="29"/>
      <c r="F4567" s="29" t="s">
        <v>87</v>
      </c>
      <c r="G4567" s="3" t="s">
        <v>64</v>
      </c>
      <c r="H4567" s="3" t="s">
        <v>30</v>
      </c>
      <c r="I4567" s="59">
        <v>46211</v>
      </c>
      <c r="J4567" s="59">
        <v>46214</v>
      </c>
      <c r="K4567" s="59">
        <v>46242</v>
      </c>
      <c r="L4567" s="45"/>
      <c r="M4567" s="45"/>
      <c r="N4567" s="45"/>
      <c r="O4567" s="119" t="s">
        <v>2063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2064</v>
      </c>
      <c r="B4568" s="173" t="s">
        <v>2063</v>
      </c>
      <c r="C4568" s="195">
        <v>189607940</v>
      </c>
      <c r="D4568" s="168"/>
      <c r="E4568" s="29"/>
      <c r="F4568" s="29" t="s">
        <v>87</v>
      </c>
      <c r="G4568" s="3" t="s">
        <v>64</v>
      </c>
      <c r="H4568" s="3" t="s">
        <v>30</v>
      </c>
      <c r="I4568" s="59">
        <v>46211</v>
      </c>
      <c r="J4568" s="59">
        <v>46214</v>
      </c>
      <c r="K4568" s="59">
        <v>46242</v>
      </c>
      <c r="L4568" s="45"/>
      <c r="M4568" s="45"/>
      <c r="N4568" s="45"/>
      <c r="O4568" s="119" t="s">
        <v>2063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2064</v>
      </c>
      <c r="B4569" s="173" t="s">
        <v>2063</v>
      </c>
      <c r="C4569" s="195">
        <v>189607855</v>
      </c>
      <c r="D4569" s="168"/>
      <c r="E4569" s="29"/>
      <c r="F4569" s="29" t="s">
        <v>87</v>
      </c>
      <c r="G4569" s="3" t="s">
        <v>64</v>
      </c>
      <c r="H4569" s="3" t="s">
        <v>30</v>
      </c>
      <c r="I4569" s="59">
        <v>46211</v>
      </c>
      <c r="J4569" s="59">
        <v>46214</v>
      </c>
      <c r="K4569" s="59">
        <v>46242</v>
      </c>
      <c r="L4569" s="45"/>
      <c r="M4569" s="45"/>
      <c r="N4569" s="45"/>
      <c r="O4569" s="119" t="s">
        <v>2063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2064</v>
      </c>
      <c r="B4570" s="173" t="s">
        <v>2063</v>
      </c>
      <c r="C4570" s="195">
        <v>189607798</v>
      </c>
      <c r="D4570" s="168"/>
      <c r="E4570" s="29"/>
      <c r="F4570" s="29" t="s">
        <v>87</v>
      </c>
      <c r="G4570" s="3" t="s">
        <v>64</v>
      </c>
      <c r="H4570" s="3" t="s">
        <v>30</v>
      </c>
      <c r="I4570" s="59">
        <v>46211</v>
      </c>
      <c r="J4570" s="59">
        <v>46214</v>
      </c>
      <c r="K4570" s="59">
        <v>46242</v>
      </c>
      <c r="L4570" s="45"/>
      <c r="M4570" s="45"/>
      <c r="N4570" s="45"/>
      <c r="O4570" s="119" t="s">
        <v>2063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2064</v>
      </c>
      <c r="B4571" s="173" t="s">
        <v>2063</v>
      </c>
      <c r="C4571" s="195">
        <v>189607719</v>
      </c>
      <c r="D4571" s="168"/>
      <c r="E4571" s="29"/>
      <c r="F4571" s="184" t="s">
        <v>87</v>
      </c>
      <c r="G4571" s="3" t="s">
        <v>64</v>
      </c>
      <c r="H4571" s="3" t="s">
        <v>30</v>
      </c>
      <c r="I4571" s="59">
        <v>46211</v>
      </c>
      <c r="J4571" s="59">
        <v>46214</v>
      </c>
      <c r="K4571" s="59">
        <v>46242</v>
      </c>
      <c r="L4571" s="45"/>
      <c r="M4571" s="45"/>
      <c r="N4571" s="45"/>
      <c r="O4571" s="119" t="s">
        <v>2063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2064</v>
      </c>
      <c r="B4572" s="173" t="s">
        <v>2063</v>
      </c>
      <c r="C4572" s="195">
        <v>189607640</v>
      </c>
      <c r="D4572" s="168"/>
      <c r="E4572" s="29"/>
      <c r="F4572" s="184" t="s">
        <v>87</v>
      </c>
      <c r="G4572" s="3" t="s">
        <v>64</v>
      </c>
      <c r="H4572" s="3" t="s">
        <v>30</v>
      </c>
      <c r="I4572" s="59">
        <v>46211</v>
      </c>
      <c r="J4572" s="59">
        <v>46214</v>
      </c>
      <c r="K4572" s="59">
        <v>46242</v>
      </c>
      <c r="L4572" s="45"/>
      <c r="M4572" s="45"/>
      <c r="N4572" s="45"/>
      <c r="O4572" s="119" t="s">
        <v>2063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2064</v>
      </c>
      <c r="B4573" s="173" t="s">
        <v>2063</v>
      </c>
      <c r="C4573" s="195">
        <v>189607546</v>
      </c>
      <c r="D4573" s="168"/>
      <c r="E4573" s="29"/>
      <c r="F4573" s="29" t="s">
        <v>87</v>
      </c>
      <c r="G4573" s="3" t="s">
        <v>64</v>
      </c>
      <c r="H4573" s="3" t="s">
        <v>30</v>
      </c>
      <c r="I4573" s="59">
        <v>46211</v>
      </c>
      <c r="J4573" s="59">
        <v>46214</v>
      </c>
      <c r="K4573" s="59">
        <v>46242</v>
      </c>
      <c r="L4573" s="45"/>
      <c r="M4573" s="45"/>
      <c r="N4573" s="45"/>
      <c r="O4573" s="119" t="s">
        <v>2063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2064</v>
      </c>
      <c r="B4574" s="173" t="s">
        <v>2063</v>
      </c>
      <c r="C4574" s="195">
        <v>189607472</v>
      </c>
      <c r="D4574" s="168"/>
      <c r="E4574" s="29"/>
      <c r="F4574" s="29" t="s">
        <v>87</v>
      </c>
      <c r="G4574" s="3" t="s">
        <v>64</v>
      </c>
      <c r="H4574" s="3" t="s">
        <v>30</v>
      </c>
      <c r="I4574" s="59">
        <v>46211</v>
      </c>
      <c r="J4574" s="59">
        <v>46214</v>
      </c>
      <c r="K4574" s="59">
        <v>46242</v>
      </c>
      <c r="L4574" s="45"/>
      <c r="M4574" s="45"/>
      <c r="N4574" s="45"/>
      <c r="O4574" s="119" t="s">
        <v>2063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2025</v>
      </c>
      <c r="B4575" s="173" t="s">
        <v>2026</v>
      </c>
      <c r="C4575" s="195">
        <v>155606980</v>
      </c>
      <c r="D4575" s="168"/>
      <c r="E4575" s="29"/>
      <c r="F4575" s="29" t="s">
        <v>159</v>
      </c>
      <c r="G4575" s="3" t="s">
        <v>64</v>
      </c>
      <c r="H4575" s="3" t="s">
        <v>1140</v>
      </c>
      <c r="I4575" s="55">
        <v>46177</v>
      </c>
      <c r="J4575" s="55">
        <v>46181</v>
      </c>
      <c r="K4575" s="55">
        <v>46207</v>
      </c>
      <c r="L4575" s="3"/>
      <c r="M4575" s="3"/>
      <c r="N4575" s="3"/>
      <c r="O4575" s="119" t="s">
        <v>1172</v>
      </c>
      <c r="P4575" s="3"/>
      <c r="Q4575" s="167"/>
      <c r="R4575" s="1"/>
    </row>
    <row r="4576" spans="1:121">
      <c r="A4576" s="166" t="s">
        <v>2025</v>
      </c>
      <c r="B4576" s="173" t="s">
        <v>2026</v>
      </c>
      <c r="C4576" s="195">
        <v>155607049</v>
      </c>
      <c r="D4576" s="168"/>
      <c r="E4576" s="29"/>
      <c r="F4576" s="29" t="s">
        <v>159</v>
      </c>
      <c r="G4576" s="3" t="s">
        <v>64</v>
      </c>
      <c r="H4576" s="3" t="s">
        <v>1140</v>
      </c>
      <c r="I4576" s="55">
        <v>46177</v>
      </c>
      <c r="J4576" s="55">
        <v>46181</v>
      </c>
      <c r="K4576" s="55">
        <v>46207</v>
      </c>
      <c r="L4576" s="3"/>
      <c r="M4576" s="3"/>
      <c r="N4576" s="3"/>
      <c r="O4576" s="119" t="s">
        <v>1172</v>
      </c>
      <c r="P4576" s="3"/>
      <c r="Q4576" s="167"/>
      <c r="R4576" s="1"/>
    </row>
    <row r="4577" spans="1:121">
      <c r="A4577" s="166" t="s">
        <v>2025</v>
      </c>
      <c r="B4577" s="173" t="s">
        <v>2026</v>
      </c>
      <c r="C4577" s="195">
        <v>155607167</v>
      </c>
      <c r="D4577" s="168"/>
      <c r="E4577" s="29"/>
      <c r="F4577" s="29" t="s">
        <v>159</v>
      </c>
      <c r="G4577" s="3" t="s">
        <v>64</v>
      </c>
      <c r="H4577" s="3" t="s">
        <v>1140</v>
      </c>
      <c r="I4577" s="55">
        <v>46177</v>
      </c>
      <c r="J4577" s="55">
        <v>46181</v>
      </c>
      <c r="K4577" s="55">
        <v>46207</v>
      </c>
      <c r="L4577" s="3"/>
      <c r="M4577" s="3"/>
      <c r="N4577" s="3"/>
      <c r="O4577" s="119" t="s">
        <v>1172</v>
      </c>
      <c r="P4577" s="3"/>
      <c r="Q4577" s="167"/>
      <c r="R4577" s="1"/>
    </row>
    <row r="4578" spans="1:121">
      <c r="A4578" s="166" t="s">
        <v>2025</v>
      </c>
      <c r="B4578" s="173" t="s">
        <v>2026</v>
      </c>
      <c r="C4578" s="195">
        <v>155607257</v>
      </c>
      <c r="D4578" s="168"/>
      <c r="E4578" s="29"/>
      <c r="F4578" s="29" t="s">
        <v>159</v>
      </c>
      <c r="G4578" s="3" t="s">
        <v>64</v>
      </c>
      <c r="H4578" s="3" t="s">
        <v>1140</v>
      </c>
      <c r="I4578" s="55">
        <v>46177</v>
      </c>
      <c r="J4578" s="55">
        <v>46181</v>
      </c>
      <c r="K4578" s="55">
        <v>46207</v>
      </c>
      <c r="L4578" s="3"/>
      <c r="M4578" s="3"/>
      <c r="N4578" s="3"/>
      <c r="O4578" s="119" t="s">
        <v>1172</v>
      </c>
      <c r="P4578" s="3"/>
      <c r="Q4578" s="167"/>
      <c r="R4578" s="1"/>
    </row>
    <row r="4579" spans="1:121">
      <c r="A4579" s="166" t="s">
        <v>2025</v>
      </c>
      <c r="B4579" s="204" t="s">
        <v>2026</v>
      </c>
      <c r="C4579" s="195">
        <v>155607368</v>
      </c>
      <c r="D4579" s="168"/>
      <c r="E4579" s="29"/>
      <c r="F4579" s="29" t="s">
        <v>159</v>
      </c>
      <c r="G4579" s="3" t="s">
        <v>64</v>
      </c>
      <c r="H4579" s="3" t="s">
        <v>1140</v>
      </c>
      <c r="I4579" s="55">
        <v>46177</v>
      </c>
      <c r="J4579" s="55">
        <v>46181</v>
      </c>
      <c r="K4579" s="55">
        <v>46207</v>
      </c>
      <c r="L4579" s="3"/>
      <c r="M4579" s="3"/>
      <c r="N4579" s="3"/>
      <c r="O4579" s="119" t="s">
        <v>1172</v>
      </c>
      <c r="P4579" s="3"/>
      <c r="Q4579" s="167"/>
      <c r="R4579" s="1"/>
    </row>
    <row r="4580" spans="1:121">
      <c r="A4580" s="205" t="s">
        <v>2025</v>
      </c>
      <c r="B4580" s="200" t="s">
        <v>2026</v>
      </c>
      <c r="C4580" s="195">
        <v>155607436</v>
      </c>
      <c r="D4580" s="168"/>
      <c r="E4580" s="206"/>
      <c r="F4580" s="206" t="s">
        <v>159</v>
      </c>
      <c r="G4580" s="3" t="s">
        <v>64</v>
      </c>
      <c r="H4580" s="207" t="s">
        <v>1140</v>
      </c>
      <c r="I4580" s="55">
        <v>46177</v>
      </c>
      <c r="J4580" s="208">
        <v>46181</v>
      </c>
      <c r="K4580" s="55">
        <v>46207</v>
      </c>
      <c r="L4580" s="3"/>
      <c r="M4580" s="3"/>
      <c r="N4580" s="3"/>
      <c r="O4580" s="119" t="s">
        <v>1172</v>
      </c>
      <c r="P4580" s="3"/>
      <c r="Q4580" s="167"/>
      <c r="R4580" s="1"/>
    </row>
    <row r="4581" spans="1:121">
      <c r="A4581" s="205" t="s">
        <v>2025</v>
      </c>
      <c r="B4581" s="200" t="s">
        <v>2026</v>
      </c>
      <c r="C4581" s="195">
        <v>155607599</v>
      </c>
      <c r="D4581" s="168"/>
      <c r="E4581" s="206"/>
      <c r="F4581" s="206" t="s">
        <v>159</v>
      </c>
      <c r="G4581" s="3" t="s">
        <v>64</v>
      </c>
      <c r="H4581" s="207" t="s">
        <v>1140</v>
      </c>
      <c r="I4581" s="55">
        <v>46177</v>
      </c>
      <c r="J4581" s="208">
        <v>46181</v>
      </c>
      <c r="K4581" s="55">
        <v>46207</v>
      </c>
      <c r="L4581" s="3"/>
      <c r="M4581" s="3"/>
      <c r="N4581" s="3"/>
      <c r="O4581" s="119" t="s">
        <v>1172</v>
      </c>
      <c r="P4581" s="3"/>
      <c r="Q4581" s="167"/>
      <c r="R4581" s="1"/>
    </row>
    <row r="4582" spans="1:121">
      <c r="A4582" s="205" t="s">
        <v>2025</v>
      </c>
      <c r="B4582" s="200" t="s">
        <v>2026</v>
      </c>
      <c r="C4582" s="195">
        <v>155607633</v>
      </c>
      <c r="D4582" s="168"/>
      <c r="E4582" s="206"/>
      <c r="F4582" s="206" t="s">
        <v>159</v>
      </c>
      <c r="G4582" s="3" t="s">
        <v>64</v>
      </c>
      <c r="H4582" s="207" t="s">
        <v>1140</v>
      </c>
      <c r="I4582" s="55">
        <v>46177</v>
      </c>
      <c r="J4582" s="208">
        <v>46181</v>
      </c>
      <c r="K4582" s="55">
        <v>46207</v>
      </c>
      <c r="L4582" s="3"/>
      <c r="M4582" s="3"/>
      <c r="N4582" s="3"/>
      <c r="O4582" s="119" t="s">
        <v>1172</v>
      </c>
      <c r="P4582" s="3"/>
      <c r="Q4582" s="167"/>
      <c r="R4582" s="1"/>
    </row>
    <row r="4583" spans="1:121">
      <c r="A4583" s="183" t="s">
        <v>2065</v>
      </c>
      <c r="B4583" s="183" t="s">
        <v>2066</v>
      </c>
      <c r="C4583" s="195">
        <v>160609160</v>
      </c>
      <c r="D4583" s="168"/>
      <c r="E4583" s="29"/>
      <c r="F4583" s="29" t="s">
        <v>106</v>
      </c>
      <c r="G4583" s="3" t="s">
        <v>64</v>
      </c>
      <c r="H4583" s="3" t="s">
        <v>107</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2065</v>
      </c>
      <c r="B4584" s="183" t="s">
        <v>2066</v>
      </c>
      <c r="C4584" s="195">
        <v>160609167</v>
      </c>
      <c r="D4584" s="168"/>
      <c r="E4584" s="29"/>
      <c r="F4584" s="29" t="s">
        <v>106</v>
      </c>
      <c r="G4584" s="3" t="s">
        <v>64</v>
      </c>
      <c r="H4584" s="3" t="s">
        <v>107</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2065</v>
      </c>
      <c r="B4585" s="183" t="s">
        <v>2066</v>
      </c>
      <c r="C4585" s="195">
        <v>160609168</v>
      </c>
      <c r="D4585" s="168"/>
      <c r="E4585" s="29"/>
      <c r="F4585" s="29" t="s">
        <v>106</v>
      </c>
      <c r="G4585" s="3" t="s">
        <v>64</v>
      </c>
      <c r="H4585" s="3" t="s">
        <v>107</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2065</v>
      </c>
      <c r="B4586" s="183" t="s">
        <v>2066</v>
      </c>
      <c r="C4586" s="195">
        <v>160609170</v>
      </c>
      <c r="D4586" s="168"/>
      <c r="E4586" s="29"/>
      <c r="F4586" s="29" t="s">
        <v>106</v>
      </c>
      <c r="G4586" s="3" t="s">
        <v>64</v>
      </c>
      <c r="H4586" s="3" t="s">
        <v>107</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2065</v>
      </c>
      <c r="B4587" s="183" t="s">
        <v>2066</v>
      </c>
      <c r="C4587" s="195">
        <v>160609179</v>
      </c>
      <c r="D4587" s="168"/>
      <c r="E4587" s="29"/>
      <c r="F4587" s="29" t="s">
        <v>106</v>
      </c>
      <c r="G4587" s="3" t="s">
        <v>64</v>
      </c>
      <c r="H4587" s="3" t="s">
        <v>107</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2065</v>
      </c>
      <c r="B4588" s="183" t="s">
        <v>2066</v>
      </c>
      <c r="C4588" s="195">
        <v>160609181</v>
      </c>
      <c r="D4588" s="168"/>
      <c r="E4588" s="29"/>
      <c r="F4588" s="29" t="s">
        <v>106</v>
      </c>
      <c r="G4588" s="3" t="s">
        <v>64</v>
      </c>
      <c r="H4588" s="45" t="s">
        <v>107</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2065</v>
      </c>
      <c r="B4589" s="183" t="s">
        <v>2066</v>
      </c>
      <c r="C4589" s="195">
        <v>160609182</v>
      </c>
      <c r="D4589" s="168"/>
      <c r="E4589" s="29"/>
      <c r="F4589" s="29" t="s">
        <v>106</v>
      </c>
      <c r="G4589" s="3" t="s">
        <v>64</v>
      </c>
      <c r="H4589" s="45" t="s">
        <v>107</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2065</v>
      </c>
      <c r="B4590" s="183" t="s">
        <v>2066</v>
      </c>
      <c r="C4590" s="195">
        <v>160609185</v>
      </c>
      <c r="D4590" s="168"/>
      <c r="E4590" s="29"/>
      <c r="F4590" s="29" t="s">
        <v>106</v>
      </c>
      <c r="G4590" s="3" t="s">
        <v>64</v>
      </c>
      <c r="H4590" s="3" t="s">
        <v>107</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2065</v>
      </c>
      <c r="B4591" s="183" t="s">
        <v>2066</v>
      </c>
      <c r="C4591" s="195">
        <v>160609189</v>
      </c>
      <c r="D4591" s="168"/>
      <c r="E4591" s="29"/>
      <c r="F4591" s="29" t="s">
        <v>106</v>
      </c>
      <c r="G4591" s="3" t="s">
        <v>64</v>
      </c>
      <c r="H4591" s="3" t="s">
        <v>107</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2065</v>
      </c>
      <c r="B4592" s="183" t="s">
        <v>2066</v>
      </c>
      <c r="C4592" s="195">
        <v>160609192</v>
      </c>
      <c r="D4592" s="168"/>
      <c r="E4592" s="29"/>
      <c r="F4592" s="29" t="s">
        <v>106</v>
      </c>
      <c r="G4592" s="3" t="s">
        <v>64</v>
      </c>
      <c r="H4592" s="3" t="s">
        <v>107</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2065</v>
      </c>
      <c r="B4593" s="183" t="s">
        <v>2066</v>
      </c>
      <c r="C4593" s="195">
        <v>160609196</v>
      </c>
      <c r="D4593" s="168"/>
      <c r="E4593" s="29"/>
      <c r="F4593" s="29" t="s">
        <v>106</v>
      </c>
      <c r="G4593" s="3" t="s">
        <v>64</v>
      </c>
      <c r="H4593" s="3" t="s">
        <v>107</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2065</v>
      </c>
      <c r="B4594" s="183" t="s">
        <v>2066</v>
      </c>
      <c r="C4594" s="195">
        <v>160609199</v>
      </c>
      <c r="D4594" s="168"/>
      <c r="E4594" s="29"/>
      <c r="F4594" s="29" t="s">
        <v>106</v>
      </c>
      <c r="G4594" s="3" t="s">
        <v>64</v>
      </c>
      <c r="H4594" s="3" t="s">
        <v>107</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2017</v>
      </c>
      <c r="B4616" s="200" t="s">
        <v>2018</v>
      </c>
      <c r="C4616" s="195">
        <v>125601212</v>
      </c>
      <c r="D4616" s="168">
        <v>154600874</v>
      </c>
      <c r="E4616" s="29"/>
      <c r="F4616" s="29" t="s">
        <v>59</v>
      </c>
      <c r="G4616" s="3" t="s">
        <v>64</v>
      </c>
      <c r="H4616" s="3" t="s">
        <v>30</v>
      </c>
      <c r="I4616" s="55">
        <v>46147</v>
      </c>
      <c r="J4616" s="55">
        <v>46150</v>
      </c>
      <c r="K4616" s="55">
        <v>46177</v>
      </c>
      <c r="L4616" s="55"/>
      <c r="M4616" s="55"/>
      <c r="N4616" s="3"/>
      <c r="O4616" s="119" t="s">
        <v>1172</v>
      </c>
      <c r="P4616" s="3"/>
      <c r="Q4616" s="167" t="s">
        <v>1520</v>
      </c>
      <c r="R4616" s="2" t="s">
        <v>2067</v>
      </c>
    </row>
    <row r="4617" spans="1:121">
      <c r="A4617" s="166" t="s">
        <v>2017</v>
      </c>
      <c r="B4617" s="200" t="s">
        <v>2018</v>
      </c>
      <c r="C4617" s="195">
        <v>125603710</v>
      </c>
      <c r="D4617" s="168">
        <v>154600780</v>
      </c>
      <c r="E4617" s="29"/>
      <c r="F4617" s="29" t="s">
        <v>59</v>
      </c>
      <c r="G4617" s="3" t="s">
        <v>64</v>
      </c>
      <c r="H4617" s="3" t="s">
        <v>30</v>
      </c>
      <c r="I4617" s="55">
        <v>46176</v>
      </c>
      <c r="J4617" s="55">
        <v>46150</v>
      </c>
      <c r="K4617" s="55">
        <v>46177</v>
      </c>
      <c r="L4617" s="55"/>
      <c r="M4617" s="55"/>
      <c r="N4617" s="3"/>
      <c r="O4617" s="119" t="s">
        <v>1172</v>
      </c>
      <c r="P4617" s="3"/>
      <c r="Q4617" s="167">
        <v>250</v>
      </c>
      <c r="R4617" s="2" t="s">
        <v>2068</v>
      </c>
    </row>
    <row r="4618" spans="1:121">
      <c r="A4618" s="166" t="s">
        <v>2017</v>
      </c>
      <c r="B4618" s="200" t="s">
        <v>2018</v>
      </c>
      <c r="C4618" s="195">
        <v>125603846</v>
      </c>
      <c r="D4618" s="168">
        <v>154600795</v>
      </c>
      <c r="E4618" s="29"/>
      <c r="F4618" s="29" t="s">
        <v>59</v>
      </c>
      <c r="G4618" s="3" t="s">
        <v>64</v>
      </c>
      <c r="H4618" s="3" t="s">
        <v>30</v>
      </c>
      <c r="I4618" s="55">
        <v>46176</v>
      </c>
      <c r="J4618" s="55">
        <v>46150</v>
      </c>
      <c r="K4618" s="55">
        <v>46177</v>
      </c>
      <c r="L4618" s="55"/>
      <c r="M4618" s="55"/>
      <c r="N4618" s="3"/>
      <c r="O4618" s="119" t="s">
        <v>1172</v>
      </c>
      <c r="P4618" s="3"/>
      <c r="Q4618" s="167">
        <v>425</v>
      </c>
      <c r="R4618" s="2" t="s">
        <v>2068</v>
      </c>
    </row>
    <row r="4619" spans="1:121">
      <c r="A4619" s="166" t="s">
        <v>2017</v>
      </c>
      <c r="B4619" s="200" t="s">
        <v>2018</v>
      </c>
      <c r="C4619" s="195">
        <v>125603896</v>
      </c>
      <c r="D4619" s="168">
        <v>154600805</v>
      </c>
      <c r="E4619" s="29"/>
      <c r="F4619" s="29" t="s">
        <v>59</v>
      </c>
      <c r="G4619" s="3" t="s">
        <v>64</v>
      </c>
      <c r="H4619" s="3" t="s">
        <v>30</v>
      </c>
      <c r="I4619" s="55">
        <v>46176</v>
      </c>
      <c r="J4619" s="55">
        <v>46150</v>
      </c>
      <c r="K4619" s="55">
        <v>46177</v>
      </c>
      <c r="L4619" s="55"/>
      <c r="M4619" s="55"/>
      <c r="N4619" s="3"/>
      <c r="O4619" s="119" t="s">
        <v>1172</v>
      </c>
      <c r="P4619" s="3"/>
      <c r="Q4619" s="167">
        <v>500</v>
      </c>
      <c r="R4619" s="2" t="s">
        <v>2067</v>
      </c>
    </row>
    <row r="4620" spans="1:121">
      <c r="A4620" s="166" t="s">
        <v>2017</v>
      </c>
      <c r="B4620" s="200" t="s">
        <v>2018</v>
      </c>
      <c r="C4620" s="195">
        <v>125603978</v>
      </c>
      <c r="D4620" s="168">
        <v>154600815</v>
      </c>
      <c r="E4620" s="29"/>
      <c r="F4620" s="29" t="s">
        <v>59</v>
      </c>
      <c r="G4620" s="3" t="s">
        <v>64</v>
      </c>
      <c r="H4620" s="3" t="s">
        <v>30</v>
      </c>
      <c r="I4620" s="55">
        <v>46176</v>
      </c>
      <c r="J4620" s="55">
        <v>46150</v>
      </c>
      <c r="K4620" s="55">
        <v>46177</v>
      </c>
      <c r="L4620" s="55"/>
      <c r="M4620" s="55"/>
      <c r="N4620" s="3"/>
      <c r="O4620" s="119" t="s">
        <v>1172</v>
      </c>
      <c r="P4620" s="3"/>
      <c r="Q4620" s="167">
        <v>300</v>
      </c>
      <c r="R4620" s="2" t="s">
        <v>2067</v>
      </c>
    </row>
    <row r="4621" spans="1:121">
      <c r="A4621" s="166" t="s">
        <v>2017</v>
      </c>
      <c r="B4621" s="200" t="s">
        <v>2018</v>
      </c>
      <c r="C4621" s="195">
        <v>125604026</v>
      </c>
      <c r="D4621" s="168">
        <v>154600822</v>
      </c>
      <c r="E4621" s="29"/>
      <c r="F4621" s="29" t="s">
        <v>59</v>
      </c>
      <c r="G4621" s="3" t="s">
        <v>64</v>
      </c>
      <c r="H4621" s="3" t="s">
        <v>30</v>
      </c>
      <c r="I4621" s="55">
        <v>46176</v>
      </c>
      <c r="J4621" s="55">
        <v>46150</v>
      </c>
      <c r="K4621" s="55">
        <v>46177</v>
      </c>
      <c r="L4621" s="55"/>
      <c r="M4621" s="55"/>
      <c r="N4621" s="3"/>
      <c r="O4621" s="119" t="s">
        <v>1172</v>
      </c>
      <c r="P4621" s="3"/>
      <c r="Q4621" s="167">
        <v>60</v>
      </c>
      <c r="R4621" s="2" t="s">
        <v>2067</v>
      </c>
    </row>
    <row r="4622" spans="1:121">
      <c r="A4622" s="166" t="s">
        <v>2017</v>
      </c>
      <c r="B4622" s="200" t="s">
        <v>2018</v>
      </c>
      <c r="C4622" s="195">
        <v>125604081</v>
      </c>
      <c r="D4622" s="168">
        <v>154600836</v>
      </c>
      <c r="E4622" s="29"/>
      <c r="F4622" s="29" t="s">
        <v>59</v>
      </c>
      <c r="G4622" s="3" t="s">
        <v>64</v>
      </c>
      <c r="H4622" s="3" t="s">
        <v>30</v>
      </c>
      <c r="I4622" s="55">
        <v>46176</v>
      </c>
      <c r="J4622" s="55">
        <v>46150</v>
      </c>
      <c r="K4622" s="55">
        <v>46177</v>
      </c>
      <c r="L4622" s="55"/>
      <c r="M4622" s="55"/>
      <c r="N4622" s="3"/>
      <c r="O4622" s="119" t="s">
        <v>1172</v>
      </c>
      <c r="P4622" s="3"/>
      <c r="Q4622" s="167">
        <v>490</v>
      </c>
      <c r="R4622" s="2" t="s">
        <v>2067</v>
      </c>
    </row>
    <row r="4623" spans="1:121">
      <c r="A4623" s="166" t="s">
        <v>2017</v>
      </c>
      <c r="B4623" s="200" t="s">
        <v>2018</v>
      </c>
      <c r="C4623" s="195">
        <v>125604820</v>
      </c>
      <c r="D4623" s="168">
        <v>154600851</v>
      </c>
      <c r="E4623" s="29"/>
      <c r="F4623" s="29" t="s">
        <v>59</v>
      </c>
      <c r="G4623" s="3" t="s">
        <v>64</v>
      </c>
      <c r="H4623" s="3" t="s">
        <v>30</v>
      </c>
      <c r="I4623" s="55">
        <v>46176</v>
      </c>
      <c r="J4623" s="55">
        <v>46150</v>
      </c>
      <c r="K4623" s="55">
        <v>46177</v>
      </c>
      <c r="L4623" s="55"/>
      <c r="M4623" s="55"/>
      <c r="N4623" s="3"/>
      <c r="O4623" s="119" t="s">
        <v>1172</v>
      </c>
      <c r="P4623" s="3"/>
      <c r="Q4623" s="167">
        <v>250</v>
      </c>
      <c r="R4623" s="2" t="s">
        <v>2067</v>
      </c>
    </row>
    <row r="4624" spans="1:121">
      <c r="A4624" s="166" t="s">
        <v>2017</v>
      </c>
      <c r="B4624" s="166" t="s">
        <v>2018</v>
      </c>
      <c r="C4624" s="195">
        <v>125604870</v>
      </c>
      <c r="D4624" s="168">
        <v>154600853</v>
      </c>
      <c r="E4624" s="29"/>
      <c r="F4624" s="29" t="s">
        <v>59</v>
      </c>
      <c r="G4624" s="3" t="s">
        <v>64</v>
      </c>
      <c r="H4624" s="3" t="s">
        <v>30</v>
      </c>
      <c r="I4624" s="55">
        <v>46176</v>
      </c>
      <c r="J4624" s="3" t="s">
        <v>2069</v>
      </c>
      <c r="K4624" s="55">
        <v>46177</v>
      </c>
      <c r="L4624" s="55"/>
      <c r="M4624" s="55"/>
      <c r="N4624" s="3"/>
      <c r="O4624" s="119" t="s">
        <v>1172</v>
      </c>
      <c r="P4624" s="3"/>
      <c r="Q4624" s="167">
        <v>350</v>
      </c>
      <c r="R4624" s="2" t="s">
        <v>2067</v>
      </c>
    </row>
    <row r="4625" spans="1:121">
      <c r="A4625" s="166" t="s">
        <v>2017</v>
      </c>
      <c r="B4625" s="200" t="s">
        <v>2018</v>
      </c>
      <c r="C4625" s="195">
        <v>125604951</v>
      </c>
      <c r="D4625" s="168">
        <v>154600861</v>
      </c>
      <c r="E4625" s="29"/>
      <c r="F4625" s="29" t="s">
        <v>59</v>
      </c>
      <c r="G4625" s="3" t="s">
        <v>64</v>
      </c>
      <c r="H4625" s="3" t="s">
        <v>30</v>
      </c>
      <c r="I4625" s="55">
        <v>46176</v>
      </c>
      <c r="J4625" s="55">
        <v>46150</v>
      </c>
      <c r="K4625" s="55">
        <v>46177</v>
      </c>
      <c r="L4625" s="55"/>
      <c r="M4625" s="55"/>
      <c r="N4625" s="3"/>
      <c r="O4625" s="119" t="s">
        <v>1172</v>
      </c>
      <c r="P4625" s="3"/>
      <c r="Q4625" s="167">
        <v>65</v>
      </c>
      <c r="R4625" s="2" t="s">
        <v>2067</v>
      </c>
    </row>
    <row r="4626" spans="1:121">
      <c r="A4626" s="166" t="s">
        <v>2017</v>
      </c>
      <c r="B4626" s="200" t="s">
        <v>2018</v>
      </c>
      <c r="C4626" s="195">
        <v>125604992</v>
      </c>
      <c r="D4626" s="168">
        <v>154600868</v>
      </c>
      <c r="E4626" s="29"/>
      <c r="F4626" s="29" t="s">
        <v>59</v>
      </c>
      <c r="G4626" s="3" t="s">
        <v>64</v>
      </c>
      <c r="H4626" s="3" t="s">
        <v>30</v>
      </c>
      <c r="I4626" s="55">
        <v>46176</v>
      </c>
      <c r="J4626" s="55">
        <v>46150</v>
      </c>
      <c r="K4626" s="55">
        <v>46177</v>
      </c>
      <c r="L4626" s="55"/>
      <c r="M4626" s="55"/>
      <c r="N4626" s="3"/>
      <c r="O4626" s="119" t="s">
        <v>1172</v>
      </c>
      <c r="P4626" s="3"/>
      <c r="Q4626" s="167">
        <v>300</v>
      </c>
      <c r="R4626" s="2" t="s">
        <v>2067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2070</v>
      </c>
      <c r="I4628" s="55">
        <v>46162</v>
      </c>
      <c r="J4628" s="55">
        <v>46164</v>
      </c>
      <c r="K4628" s="55">
        <v>46192</v>
      </c>
      <c r="L4628" s="55"/>
      <c r="M4628" s="55"/>
      <c r="N4628" s="3"/>
      <c r="O4628" s="119" t="s">
        <v>15</v>
      </c>
      <c r="P4628" s="3"/>
      <c r="Q4628" s="167"/>
      <c r="R4628" s="177" t="s">
        <v>2071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2070</v>
      </c>
      <c r="I4629" s="55">
        <v>46162</v>
      </c>
      <c r="J4629" s="55">
        <v>46164</v>
      </c>
      <c r="K4629" s="55">
        <v>46192</v>
      </c>
      <c r="L4629" s="55"/>
      <c r="M4629" s="55"/>
      <c r="N4629" s="3"/>
      <c r="O4629" s="119" t="s">
        <v>15</v>
      </c>
      <c r="P4629" s="3"/>
      <c r="Q4629" s="167"/>
      <c r="R4629" s="177" t="s">
        <v>2071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2070</v>
      </c>
      <c r="I4630" s="55">
        <v>46162</v>
      </c>
      <c r="J4630" s="55">
        <v>46164</v>
      </c>
      <c r="K4630" s="55">
        <v>46192</v>
      </c>
      <c r="L4630" s="55"/>
      <c r="M4630" s="55"/>
      <c r="N4630" s="3"/>
      <c r="O4630" s="119" t="s">
        <v>15</v>
      </c>
      <c r="P4630" s="3"/>
      <c r="Q4630" s="167"/>
      <c r="R4630" s="177" t="s">
        <v>2072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2070</v>
      </c>
      <c r="I4631" s="55">
        <v>46162</v>
      </c>
      <c r="J4631" s="55">
        <v>46164</v>
      </c>
      <c r="K4631" s="55">
        <v>46192</v>
      </c>
      <c r="L4631" s="55"/>
      <c r="M4631" s="55"/>
      <c r="N4631" s="3"/>
      <c r="O4631" s="119" t="s">
        <v>15</v>
      </c>
      <c r="P4631" s="3"/>
      <c r="Q4631" s="167"/>
      <c r="R4631" s="177" t="s">
        <v>2071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2070</v>
      </c>
      <c r="I4632" s="55">
        <v>46162</v>
      </c>
      <c r="J4632" s="55">
        <v>46164</v>
      </c>
      <c r="K4632" s="55">
        <v>46192</v>
      </c>
      <c r="L4632" s="55"/>
      <c r="M4632" s="55"/>
      <c r="N4632" s="3"/>
      <c r="O4632" s="119" t="s">
        <v>15</v>
      </c>
      <c r="P4632" s="3"/>
      <c r="Q4632" s="167"/>
      <c r="R4632" s="177" t="s">
        <v>2073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2070</v>
      </c>
      <c r="I4633" s="55">
        <v>46162</v>
      </c>
      <c r="J4633" s="55">
        <v>46164</v>
      </c>
      <c r="K4633" s="55">
        <v>46192</v>
      </c>
      <c r="L4633" s="55"/>
      <c r="M4633" s="55"/>
      <c r="N4633" s="3"/>
      <c r="O4633" s="119" t="s">
        <v>15</v>
      </c>
      <c r="P4633" s="3"/>
      <c r="Q4633" s="167"/>
      <c r="R4633" s="177" t="s">
        <v>2073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2070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2074</v>
      </c>
      <c r="B4636" s="183" t="s">
        <v>2075</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2074</v>
      </c>
      <c r="B4637" s="183" t="s">
        <v>2075</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2074</v>
      </c>
      <c r="B4638" s="183" t="s">
        <v>2075</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2074</v>
      </c>
      <c r="B4639" s="183" t="s">
        <v>2075</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2074</v>
      </c>
      <c r="B4640" s="183" t="s">
        <v>2075</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2076</v>
      </c>
      <c r="B4641" s="183" t="s">
        <v>2077</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2078</v>
      </c>
      <c r="B4645" s="183" t="s">
        <v>2079</v>
      </c>
      <c r="C4645" s="195">
        <v>167602953</v>
      </c>
      <c r="D4645" s="168"/>
      <c r="E4645" s="29"/>
      <c r="F4645" s="29" t="s">
        <v>240</v>
      </c>
      <c r="G4645" s="3" t="s">
        <v>115</v>
      </c>
      <c r="H4645" s="3" t="s">
        <v>2080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2078</v>
      </c>
      <c r="B4646" s="183" t="s">
        <v>2079</v>
      </c>
      <c r="C4646" s="195">
        <v>167603084</v>
      </c>
      <c r="D4646" s="168"/>
      <c r="E4646" s="29"/>
      <c r="F4646" s="29" t="s">
        <v>240</v>
      </c>
      <c r="G4646" s="3" t="s">
        <v>115</v>
      </c>
      <c r="H4646" s="3" t="s">
        <v>2080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2081</v>
      </c>
      <c r="B4648" s="200" t="s">
        <v>2082</v>
      </c>
      <c r="C4648" s="195">
        <v>161606497</v>
      </c>
      <c r="D4648" s="168"/>
      <c r="E4648" s="29"/>
      <c r="F4648" s="29" t="s">
        <v>2083</v>
      </c>
      <c r="G4648" s="3" t="s">
        <v>115</v>
      </c>
      <c r="H4648" s="3" t="s">
        <v>2080</v>
      </c>
      <c r="I4648" s="55">
        <v>46183</v>
      </c>
      <c r="J4648" s="55">
        <v>46186</v>
      </c>
      <c r="K4648" s="55">
        <v>46213</v>
      </c>
      <c r="L4648" s="3"/>
      <c r="M4648" s="3"/>
      <c r="N4648" s="3"/>
      <c r="O4648" s="119" t="s">
        <v>10</v>
      </c>
      <c r="P4648" s="3"/>
      <c r="Q4648" s="167"/>
      <c r="R4648" s="1"/>
    </row>
    <row r="4649" spans="1:121">
      <c r="A4649" s="173" t="s">
        <v>2084</v>
      </c>
      <c r="B4649" s="183" t="s">
        <v>2085</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2084</v>
      </c>
      <c r="B4650" s="183" t="s">
        <v>2085</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2084</v>
      </c>
      <c r="B4651" s="183" t="s">
        <v>2085</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2084</v>
      </c>
      <c r="B4652" s="183" t="s">
        <v>2085</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2084</v>
      </c>
      <c r="B4653" s="183" t="s">
        <v>2085</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2086</v>
      </c>
      <c r="B4654" s="183" t="s">
        <v>2087</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2086</v>
      </c>
      <c r="B4655" s="183" t="s">
        <v>2087</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2086</v>
      </c>
      <c r="B4656" s="183" t="s">
        <v>2087</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2086</v>
      </c>
      <c r="B4657" s="183" t="s">
        <v>2087</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2086</v>
      </c>
      <c r="B4658" s="183" t="s">
        <v>2087</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2088</v>
      </c>
      <c r="B4659" s="183" t="s">
        <v>2089</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2088</v>
      </c>
      <c r="B4660" s="183" t="s">
        <v>2089</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2088</v>
      </c>
      <c r="B4661" s="183" t="s">
        <v>2089</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2088</v>
      </c>
      <c r="B4662" s="183" t="s">
        <v>2089</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2088</v>
      </c>
      <c r="B4663" s="183" t="s">
        <v>2089</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2090</v>
      </c>
      <c r="B4664" s="183" t="s">
        <v>2091</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2090</v>
      </c>
      <c r="B4665" s="183" t="s">
        <v>2091</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2090</v>
      </c>
      <c r="B4666" s="183" t="s">
        <v>2091</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2090</v>
      </c>
      <c r="B4667" s="183" t="s">
        <v>2091</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2092</v>
      </c>
      <c r="B4668" s="183" t="s">
        <v>2093</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2092</v>
      </c>
      <c r="B4669" s="183" t="s">
        <v>2093</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2092</v>
      </c>
      <c r="B4670" s="183" t="s">
        <v>2093</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2092</v>
      </c>
      <c r="B4671" s="183" t="s">
        <v>2093</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2094</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2094</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2094</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2094</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2094</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2094</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2094</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2095</v>
      </c>
      <c r="B4679" s="183" t="s">
        <v>2096</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2097</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2097</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2097</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2097</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2097</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2097</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2098</v>
      </c>
      <c r="B4686" s="166" t="s">
        <v>2099</v>
      </c>
      <c r="C4686" s="195">
        <v>166609501</v>
      </c>
      <c r="D4686" s="168"/>
      <c r="E4686" s="29"/>
      <c r="F4686" s="29" t="s">
        <v>121</v>
      </c>
      <c r="G4686" s="3" t="s">
        <v>2100</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2098</v>
      </c>
      <c r="B4687" s="166" t="s">
        <v>2099</v>
      </c>
      <c r="C4687" s="195">
        <v>166609660</v>
      </c>
      <c r="D4687" s="168"/>
      <c r="E4687" s="29"/>
      <c r="F4687" s="29" t="s">
        <v>121</v>
      </c>
      <c r="G4687" s="3" t="s">
        <v>2100</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2098</v>
      </c>
      <c r="B4688" s="166" t="s">
        <v>2099</v>
      </c>
      <c r="C4688" s="195">
        <v>166609835</v>
      </c>
      <c r="D4688" s="168"/>
      <c r="E4688" s="29"/>
      <c r="F4688" s="29" t="s">
        <v>121</v>
      </c>
      <c r="G4688" s="3" t="s">
        <v>2100</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2098</v>
      </c>
      <c r="B4689" s="166" t="s">
        <v>2099</v>
      </c>
      <c r="C4689" s="195">
        <v>166609899</v>
      </c>
      <c r="D4689" s="168"/>
      <c r="E4689" s="29"/>
      <c r="F4689" s="29" t="s">
        <v>121</v>
      </c>
      <c r="G4689" s="3" t="s">
        <v>2100</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2098</v>
      </c>
      <c r="B4690" s="166" t="s">
        <v>2099</v>
      </c>
      <c r="C4690" s="195">
        <v>166609976</v>
      </c>
      <c r="D4690" s="168"/>
      <c r="E4690" s="29"/>
      <c r="F4690" s="29" t="s">
        <v>121</v>
      </c>
      <c r="G4690" s="3" t="s">
        <v>2100</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2097</v>
      </c>
      <c r="B4691" s="183" t="s">
        <v>2099</v>
      </c>
      <c r="C4691" s="195">
        <v>169604002</v>
      </c>
      <c r="D4691" s="168"/>
      <c r="E4691" s="29"/>
      <c r="F4691" s="29" t="s">
        <v>121</v>
      </c>
      <c r="G4691" s="3" t="s">
        <v>2100</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2097</v>
      </c>
      <c r="B4692" s="183" t="s">
        <v>2099</v>
      </c>
      <c r="C4692" s="195">
        <v>169604108</v>
      </c>
      <c r="D4692" s="168"/>
      <c r="E4692" s="29"/>
      <c r="F4692" s="29" t="s">
        <v>121</v>
      </c>
      <c r="G4692" s="3" t="s">
        <v>2100</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2097</v>
      </c>
      <c r="B4693" s="183" t="s">
        <v>2099</v>
      </c>
      <c r="C4693" s="195">
        <v>169604401</v>
      </c>
      <c r="D4693" s="168"/>
      <c r="E4693" s="29"/>
      <c r="F4693" s="29" t="s">
        <v>121</v>
      </c>
      <c r="G4693" s="3" t="s">
        <v>2100</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2097</v>
      </c>
      <c r="B4694" s="183" t="s">
        <v>2099</v>
      </c>
      <c r="C4694" s="195">
        <v>169604462</v>
      </c>
      <c r="D4694" s="168"/>
      <c r="E4694" s="29"/>
      <c r="F4694" s="29" t="s">
        <v>121</v>
      </c>
      <c r="G4694" s="3" t="s">
        <v>2100</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2097</v>
      </c>
      <c r="B4695" s="183" t="s">
        <v>2099</v>
      </c>
      <c r="C4695" s="195">
        <v>169604556</v>
      </c>
      <c r="D4695" s="168"/>
      <c r="E4695" s="29"/>
      <c r="F4695" s="29" t="s">
        <v>121</v>
      </c>
      <c r="G4695" s="3" t="s">
        <v>2100</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2097</v>
      </c>
      <c r="B4696" s="183" t="s">
        <v>2099</v>
      </c>
      <c r="C4696" s="195">
        <v>169604586</v>
      </c>
      <c r="D4696" s="168"/>
      <c r="E4696" s="29"/>
      <c r="F4696" s="29" t="s">
        <v>121</v>
      </c>
      <c r="G4696" s="3" t="s">
        <v>2100</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2099</v>
      </c>
      <c r="C4697" s="195">
        <v>173609634</v>
      </c>
      <c r="D4697" s="168"/>
      <c r="E4697" s="29"/>
      <c r="F4697" s="29" t="s">
        <v>121</v>
      </c>
      <c r="G4697" s="3" t="s">
        <v>2100</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2099</v>
      </c>
      <c r="C4698" s="195">
        <v>173609679</v>
      </c>
      <c r="D4698" s="168"/>
      <c r="E4698" s="29"/>
      <c r="F4698" s="29" t="s">
        <v>121</v>
      </c>
      <c r="G4698" s="3" t="s">
        <v>2100</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2099</v>
      </c>
      <c r="C4699" s="195">
        <v>173609705</v>
      </c>
      <c r="D4699" s="168"/>
      <c r="E4699" s="29"/>
      <c r="F4699" s="29" t="s">
        <v>121</v>
      </c>
      <c r="G4699" s="3" t="s">
        <v>2100</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2099</v>
      </c>
      <c r="C4700" s="195">
        <v>173609720</v>
      </c>
      <c r="D4700" s="168"/>
      <c r="E4700" s="29"/>
      <c r="F4700" s="29" t="s">
        <v>121</v>
      </c>
      <c r="G4700" s="3" t="s">
        <v>2100</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2099</v>
      </c>
      <c r="C4701" s="195">
        <v>173609732</v>
      </c>
      <c r="D4701" s="168"/>
      <c r="E4701" s="29"/>
      <c r="F4701" s="29" t="s">
        <v>121</v>
      </c>
      <c r="G4701" s="3" t="s">
        <v>2100</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2099</v>
      </c>
      <c r="C4702" s="195">
        <v>173609744</v>
      </c>
      <c r="D4702" s="168"/>
      <c r="E4702" s="29"/>
      <c r="F4702" s="29" t="s">
        <v>121</v>
      </c>
      <c r="G4702" s="3" t="s">
        <v>2100</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2099</v>
      </c>
      <c r="C4703" s="195">
        <v>174609193</v>
      </c>
      <c r="D4703" s="168"/>
      <c r="E4703" s="29"/>
      <c r="F4703" s="29" t="s">
        <v>121</v>
      </c>
      <c r="G4703" s="3" t="s">
        <v>2100</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2101</v>
      </c>
      <c r="B4704" s="183" t="s">
        <v>2099</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2101</v>
      </c>
      <c r="B4705" s="183" t="s">
        <v>2099</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2101</v>
      </c>
      <c r="B4706" s="183" t="s">
        <v>2099</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2102</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2103</v>
      </c>
      <c r="C4709" s="195">
        <v>182607077</v>
      </c>
      <c r="F4709" s="134" t="s">
        <v>130</v>
      </c>
      <c r="G4709" s="134" t="s">
        <v>2104</v>
      </c>
      <c r="H4709" s="3" t="s">
        <v>30</v>
      </c>
      <c r="I4709" s="191">
        <v>46204</v>
      </c>
      <c r="J4709" s="191">
        <v>46207</v>
      </c>
      <c r="K4709" s="191">
        <v>46235</v>
      </c>
      <c r="O4709" s="119" t="s">
        <v>170</v>
      </c>
    </row>
    <row r="4710" spans="1:121">
      <c r="A4710" s="134" t="s">
        <v>2103</v>
      </c>
      <c r="C4710" s="195">
        <v>182606998</v>
      </c>
      <c r="F4710" s="134" t="s">
        <v>130</v>
      </c>
      <c r="G4710" s="134" t="s">
        <v>2104</v>
      </c>
      <c r="H4710" s="3" t="s">
        <v>30</v>
      </c>
      <c r="I4710" s="191">
        <v>46204</v>
      </c>
      <c r="J4710" s="191">
        <v>46207</v>
      </c>
      <c r="K4710" s="191">
        <v>46235</v>
      </c>
      <c r="O4710" s="119" t="s">
        <v>170</v>
      </c>
    </row>
    <row r="4711" spans="1:121">
      <c r="A4711" s="134" t="s">
        <v>2103</v>
      </c>
      <c r="C4711" s="195">
        <v>182606744</v>
      </c>
      <c r="F4711" s="134" t="s">
        <v>130</v>
      </c>
      <c r="G4711" s="134" t="s">
        <v>2104</v>
      </c>
      <c r="H4711" s="3" t="s">
        <v>30</v>
      </c>
      <c r="I4711" s="191">
        <v>46204</v>
      </c>
      <c r="J4711" s="191">
        <v>46207</v>
      </c>
      <c r="K4711" s="191">
        <v>46235</v>
      </c>
      <c r="O4711" s="119" t="s">
        <v>170</v>
      </c>
    </row>
    <row r="4712" spans="1:121">
      <c r="A4712" s="134" t="s">
        <v>2103</v>
      </c>
      <c r="C4712" s="195">
        <v>182606664</v>
      </c>
      <c r="F4712" s="134" t="s">
        <v>130</v>
      </c>
      <c r="G4712" s="134" t="s">
        <v>2104</v>
      </c>
      <c r="H4712" s="3" t="s">
        <v>30</v>
      </c>
      <c r="I4712" s="191">
        <v>46204</v>
      </c>
      <c r="J4712" s="191">
        <v>46207</v>
      </c>
      <c r="K4712" s="191">
        <v>46235</v>
      </c>
      <c r="O4712" s="119" t="s">
        <v>170</v>
      </c>
    </row>
    <row r="4713" spans="1:121">
      <c r="A4713" s="134" t="s">
        <v>2103</v>
      </c>
      <c r="C4713" s="195">
        <v>182606630</v>
      </c>
      <c r="F4713" s="134" t="s">
        <v>130</v>
      </c>
      <c r="G4713" s="134" t="s">
        <v>2104</v>
      </c>
      <c r="H4713" s="3" t="s">
        <v>30</v>
      </c>
      <c r="I4713" s="191">
        <v>46204</v>
      </c>
      <c r="J4713" s="191">
        <v>46207</v>
      </c>
      <c r="K4713" s="191">
        <v>46235</v>
      </c>
      <c r="O4713" s="119" t="s">
        <v>170</v>
      </c>
    </row>
    <row r="4714" spans="1:121">
      <c r="A4714" s="134" t="s">
        <v>2103</v>
      </c>
      <c r="C4714" s="195">
        <v>182606489</v>
      </c>
      <c r="F4714" s="134" t="s">
        <v>130</v>
      </c>
      <c r="G4714" s="134" t="s">
        <v>2104</v>
      </c>
      <c r="H4714" s="3" t="s">
        <v>30</v>
      </c>
      <c r="I4714" s="191">
        <v>46204</v>
      </c>
      <c r="J4714" s="191">
        <v>46207</v>
      </c>
      <c r="K4714" s="191">
        <v>46235</v>
      </c>
      <c r="O4714" s="119" t="s">
        <v>170</v>
      </c>
    </row>
    <row r="4715" spans="1:121">
      <c r="A4715" s="134" t="s">
        <v>2103</v>
      </c>
      <c r="C4715" s="195">
        <v>182606465</v>
      </c>
      <c r="F4715" s="134" t="s">
        <v>130</v>
      </c>
      <c r="G4715" s="134" t="s">
        <v>2104</v>
      </c>
      <c r="H4715" s="3" t="s">
        <v>30</v>
      </c>
      <c r="I4715" s="191">
        <v>46204</v>
      </c>
      <c r="J4715" s="191">
        <v>46207</v>
      </c>
      <c r="K4715" s="191">
        <v>46235</v>
      </c>
      <c r="O4715" s="119" t="s">
        <v>170</v>
      </c>
    </row>
    <row r="4716" spans="1:121">
      <c r="A4716" s="134" t="s">
        <v>2103</v>
      </c>
      <c r="C4716" s="195">
        <v>182606423</v>
      </c>
      <c r="F4716" s="134" t="s">
        <v>130</v>
      </c>
      <c r="G4716" s="134" t="s">
        <v>2104</v>
      </c>
      <c r="H4716" s="3" t="s">
        <v>30</v>
      </c>
      <c r="I4716" s="191">
        <v>46204</v>
      </c>
      <c r="J4716" s="191">
        <v>46207</v>
      </c>
      <c r="K4716" s="191">
        <v>46235</v>
      </c>
      <c r="O4716" s="119" t="s">
        <v>170</v>
      </c>
    </row>
    <row r="4717" spans="1:121">
      <c r="A4717" s="134" t="s">
        <v>2103</v>
      </c>
      <c r="C4717" s="195">
        <v>182606359</v>
      </c>
      <c r="F4717" s="134" t="s">
        <v>130</v>
      </c>
      <c r="G4717" s="134" t="s">
        <v>2104</v>
      </c>
      <c r="H4717" s="3" t="s">
        <v>30</v>
      </c>
      <c r="I4717" s="191">
        <v>46204</v>
      </c>
      <c r="J4717" s="191">
        <v>46207</v>
      </c>
      <c r="K4717" s="191">
        <v>46235</v>
      </c>
      <c r="O4717" s="119" t="s">
        <v>170</v>
      </c>
    </row>
    <row r="4718" spans="1:121">
      <c r="A4718" s="134" t="s">
        <v>2103</v>
      </c>
      <c r="C4718" s="195">
        <v>182606315</v>
      </c>
      <c r="F4718" s="134" t="s">
        <v>130</v>
      </c>
      <c r="G4718" s="134" t="s">
        <v>2104</v>
      </c>
      <c r="H4718" s="3" t="s">
        <v>30</v>
      </c>
      <c r="I4718" s="191">
        <v>46204</v>
      </c>
      <c r="J4718" s="191">
        <v>46207</v>
      </c>
      <c r="K4718" s="191">
        <v>46235</v>
      </c>
      <c r="O4718" s="119" t="s">
        <v>170</v>
      </c>
    </row>
    <row r="4719" spans="1:121">
      <c r="A4719" s="134" t="s">
        <v>2103</v>
      </c>
      <c r="C4719" s="195">
        <v>182606998</v>
      </c>
      <c r="F4719" s="134" t="s">
        <v>130</v>
      </c>
      <c r="G4719" s="134" t="s">
        <v>2104</v>
      </c>
      <c r="H4719" s="3" t="s">
        <v>30</v>
      </c>
      <c r="I4719" s="191">
        <v>46204</v>
      </c>
      <c r="J4719" s="191">
        <v>46207</v>
      </c>
      <c r="K4719" s="191">
        <v>46235</v>
      </c>
      <c r="O4719" s="119" t="s">
        <v>170</v>
      </c>
    </row>
    <row r="4720" spans="1:121">
      <c r="A4720" s="134" t="s">
        <v>2103</v>
      </c>
      <c r="C4720" s="195">
        <v>182606967</v>
      </c>
      <c r="F4720" s="134" t="s">
        <v>130</v>
      </c>
      <c r="G4720" s="134" t="s">
        <v>2104</v>
      </c>
      <c r="H4720" s="3" t="s">
        <v>30</v>
      </c>
      <c r="I4720" s="191">
        <v>46204</v>
      </c>
      <c r="J4720" s="191">
        <v>46207</v>
      </c>
      <c r="K4720" s="191">
        <v>46235</v>
      </c>
      <c r="O4720" s="119" t="s">
        <v>170</v>
      </c>
    </row>
    <row r="4721" spans="1:18">
      <c r="A4721" s="134" t="s">
        <v>2103</v>
      </c>
      <c r="C4721" s="195">
        <v>182606945</v>
      </c>
      <c r="F4721" s="134" t="s">
        <v>130</v>
      </c>
      <c r="G4721" s="134" t="s">
        <v>2104</v>
      </c>
      <c r="H4721" s="3" t="s">
        <v>30</v>
      </c>
      <c r="I4721" s="191">
        <v>46204</v>
      </c>
      <c r="J4721" s="191">
        <v>46207</v>
      </c>
      <c r="K4721" s="191">
        <v>46235</v>
      </c>
      <c r="O4721" s="119" t="s">
        <v>170</v>
      </c>
    </row>
    <row r="4722" spans="1:18">
      <c r="A4722" s="134" t="s">
        <v>2103</v>
      </c>
      <c r="C4722" s="195">
        <v>182606900</v>
      </c>
      <c r="F4722" s="134" t="s">
        <v>130</v>
      </c>
      <c r="G4722" s="134" t="s">
        <v>2104</v>
      </c>
      <c r="H4722" s="3" t="s">
        <v>30</v>
      </c>
      <c r="I4722" s="191">
        <v>46204</v>
      </c>
      <c r="J4722" s="191">
        <v>46207</v>
      </c>
      <c r="K4722" s="191">
        <v>46235</v>
      </c>
      <c r="O4722" s="119" t="s">
        <v>170</v>
      </c>
    </row>
    <row r="4723" spans="1:18">
      <c r="A4723" s="134" t="s">
        <v>2103</v>
      </c>
      <c r="C4723" s="195">
        <v>182606876</v>
      </c>
      <c r="F4723" s="134" t="s">
        <v>130</v>
      </c>
      <c r="G4723" s="134" t="s">
        <v>2104</v>
      </c>
      <c r="H4723" s="3" t="s">
        <v>30</v>
      </c>
      <c r="I4723" s="191">
        <v>46204</v>
      </c>
      <c r="J4723" s="191">
        <v>46207</v>
      </c>
      <c r="K4723" s="191">
        <v>46235</v>
      </c>
      <c r="O4723" s="119" t="s">
        <v>170</v>
      </c>
    </row>
    <row r="4724" spans="1:18">
      <c r="A4724" s="134" t="s">
        <v>2103</v>
      </c>
      <c r="C4724" s="195">
        <v>182606744</v>
      </c>
      <c r="F4724" s="134" t="s">
        <v>130</v>
      </c>
      <c r="G4724" s="134" t="s">
        <v>2104</v>
      </c>
      <c r="H4724" s="3" t="s">
        <v>30</v>
      </c>
      <c r="I4724" s="191">
        <v>46204</v>
      </c>
      <c r="J4724" s="191">
        <v>46207</v>
      </c>
      <c r="K4724" s="191">
        <v>46235</v>
      </c>
      <c r="O4724" s="119" t="s">
        <v>170</v>
      </c>
    </row>
    <row r="4725" spans="1:18">
      <c r="A4725" s="134" t="s">
        <v>2103</v>
      </c>
      <c r="C4725" s="195">
        <v>182606664</v>
      </c>
      <c r="F4725" s="134" t="s">
        <v>130</v>
      </c>
      <c r="G4725" s="134" t="s">
        <v>2104</v>
      </c>
      <c r="H4725" s="3" t="s">
        <v>30</v>
      </c>
      <c r="I4725" s="191">
        <v>46204</v>
      </c>
      <c r="J4725" s="191">
        <v>46207</v>
      </c>
      <c r="K4725" s="191">
        <v>46235</v>
      </c>
      <c r="O4725" s="119" t="s">
        <v>170</v>
      </c>
    </row>
    <row r="4726" spans="1:18">
      <c r="A4726" s="134" t="s">
        <v>2103</v>
      </c>
      <c r="C4726" s="195">
        <v>182606489</v>
      </c>
      <c r="F4726" s="134" t="s">
        <v>130</v>
      </c>
      <c r="G4726" s="134" t="s">
        <v>2104</v>
      </c>
      <c r="H4726" s="3" t="s">
        <v>30</v>
      </c>
      <c r="I4726" s="191">
        <v>46204</v>
      </c>
      <c r="J4726" s="191">
        <v>46207</v>
      </c>
      <c r="K4726" s="191">
        <v>46235</v>
      </c>
      <c r="O4726" s="119" t="s">
        <v>170</v>
      </c>
    </row>
    <row r="4727" spans="1:18">
      <c r="A4727" s="134" t="s">
        <v>2103</v>
      </c>
      <c r="C4727" s="195">
        <v>182606315</v>
      </c>
      <c r="F4727" s="134" t="s">
        <v>130</v>
      </c>
      <c r="G4727" s="134" t="s">
        <v>2104</v>
      </c>
      <c r="H4727" s="3" t="s">
        <v>30</v>
      </c>
      <c r="I4727" s="191">
        <v>46204</v>
      </c>
      <c r="J4727" s="191">
        <v>46207</v>
      </c>
      <c r="K4727" s="191">
        <v>46235</v>
      </c>
      <c r="O4727" s="119" t="s">
        <v>170</v>
      </c>
    </row>
    <row r="4728" spans="1:18">
      <c r="A4728" s="134" t="s">
        <v>2048</v>
      </c>
      <c r="C4728" s="195">
        <v>209608534</v>
      </c>
      <c r="F4728" s="29" t="s">
        <v>76</v>
      </c>
      <c r="G4728" s="3" t="s">
        <v>64</v>
      </c>
      <c r="H4728" s="3" t="s">
        <v>77</v>
      </c>
      <c r="I4728" s="191">
        <v>46231</v>
      </c>
      <c r="J4728" s="191">
        <v>46234</v>
      </c>
      <c r="K4728" s="191">
        <v>46262</v>
      </c>
      <c r="O4728" s="119" t="s">
        <v>170</v>
      </c>
    </row>
    <row r="4729" spans="1:18">
      <c r="A4729" s="134" t="s">
        <v>2048</v>
      </c>
      <c r="C4729" s="195">
        <v>-209608543</v>
      </c>
      <c r="F4729" s="29" t="s">
        <v>76</v>
      </c>
      <c r="G4729" s="3" t="s">
        <v>64</v>
      </c>
      <c r="H4729" s="3" t="s">
        <v>77</v>
      </c>
      <c r="I4729" s="191">
        <v>46231</v>
      </c>
      <c r="J4729" s="191">
        <v>46234</v>
      </c>
      <c r="K4729" s="191">
        <v>46262</v>
      </c>
      <c r="O4729" s="119" t="s">
        <v>170</v>
      </c>
    </row>
    <row r="4730" spans="1:18">
      <c r="A4730" s="134" t="s">
        <v>2048</v>
      </c>
      <c r="C4730" s="195">
        <v>-209608549</v>
      </c>
      <c r="F4730" s="29" t="s">
        <v>76</v>
      </c>
      <c r="G4730" s="3" t="s">
        <v>64</v>
      </c>
      <c r="H4730" s="3" t="s">
        <v>77</v>
      </c>
      <c r="I4730" s="191">
        <v>46231</v>
      </c>
      <c r="J4730" s="191">
        <v>46234</v>
      </c>
      <c r="K4730" s="191">
        <v>46262</v>
      </c>
      <c r="O4730" s="119" t="s">
        <v>170</v>
      </c>
    </row>
    <row r="4731" spans="1:18">
      <c r="A4731" s="134" t="s">
        <v>2048</v>
      </c>
      <c r="C4731" s="195">
        <v>-209608567</v>
      </c>
      <c r="F4731" s="29" t="s">
        <v>76</v>
      </c>
      <c r="G4731" s="3" t="s">
        <v>64</v>
      </c>
      <c r="H4731" s="3" t="s">
        <v>77</v>
      </c>
      <c r="I4731" s="191">
        <v>46231</v>
      </c>
      <c r="J4731" s="191">
        <v>46234</v>
      </c>
      <c r="K4731" s="191">
        <v>46262</v>
      </c>
      <c r="O4731" s="119" t="s">
        <v>170</v>
      </c>
    </row>
    <row r="4732" spans="1:18">
      <c r="A4732" s="134" t="s">
        <v>2048</v>
      </c>
      <c r="C4732" s="195">
        <v>-209608563</v>
      </c>
      <c r="F4732" s="29" t="s">
        <v>76</v>
      </c>
      <c r="G4732" s="3" t="s">
        <v>64</v>
      </c>
      <c r="H4732" s="3" t="s">
        <v>77</v>
      </c>
      <c r="I4732" s="191">
        <v>46231</v>
      </c>
      <c r="J4732" s="191">
        <v>46234</v>
      </c>
      <c r="K4732" s="191">
        <v>46262</v>
      </c>
      <c r="O4732" s="119" t="s">
        <v>170</v>
      </c>
    </row>
    <row r="4733" spans="1:18">
      <c r="A4733" s="134" t="s">
        <v>2048</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46097BF-04BC-49E1-B5E6-5E83351C3BE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2026-08-24T11:45:07Z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